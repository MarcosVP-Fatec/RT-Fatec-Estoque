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3.xml" ContentType="application/vnd.openxmlformats-officedocument.spreadsheetml.table+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4.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activeX/activeX27.xml" ContentType="application/vnd.ms-office.activeX+xml"/>
  <Override PartName="/xl/activeX/activeX27.bin" ContentType="application/vnd.ms-office.activeX"/>
  <Override PartName="/xl/tables/table5.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tables/table9.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4" codeName="{3D1A710C-6663-3D7B-7F91-EC182F24A4BC}"/>
  <workbookPr codeName="EstaPasta_de_trabalho"/>
  <mc:AlternateContent xmlns:mc="http://schemas.openxmlformats.org/markup-compatibility/2006">
    <mc:Choice Requires="x15">
      <x15ac:absPath xmlns:x15ac="http://schemas.microsoft.com/office/spreadsheetml/2010/11/ac" url="G:\Suprimentos\Compras\3 Planilhas Compras Estoque\"/>
    </mc:Choice>
  </mc:AlternateContent>
  <xr:revisionPtr revIDLastSave="0" documentId="13_ncr:1_{B0E6D9F7-CEA9-4623-8B6C-8A53A33F3A58}" xr6:coauthVersionLast="36" xr6:coauthVersionMax="36" xr10:uidLastSave="{00000000-0000-0000-0000-000000000000}"/>
  <bookViews>
    <workbookView xWindow="0" yWindow="0" windowWidth="28800" windowHeight="12300" xr2:uid="{00000000-000D-0000-FFFF-FFFF00000000}"/>
  </bookViews>
  <sheets>
    <sheet name="Ponto_Ped" sheetId="1" r:id="rId1"/>
    <sheet name="Saldo" sheetId="15" r:id="rId2"/>
    <sheet name="Filtros" sheetId="12" r:id="rId3"/>
    <sheet name="Consumo_Anual" sheetId="5" r:id="rId4"/>
    <sheet name="Excluir_do_Estoque" sheetId="11" r:id="rId5"/>
    <sheet name="Parâmetros" sheetId="9" r:id="rId6"/>
    <sheet name="Estáticas" sheetId="10" r:id="rId7"/>
    <sheet name="Grupos" sheetId="14" r:id="rId8"/>
  </sheets>
  <functionGroups builtInGroupCount="19"/>
  <definedNames>
    <definedName name="Excel_BuiltIn__FilterDatabase_3" localSheetId="7">#REF!</definedName>
    <definedName name="Excel_BuiltIn__FilterDatabase_3">#REF!</definedName>
    <definedName name="_xlnm.Print_Titles" localSheetId="0">Ponto_Ped!$1:$2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792" i="1" l="1"/>
  <c r="F792" i="1"/>
  <c r="G792" i="1"/>
  <c r="S792" i="1"/>
  <c r="T792" i="1"/>
  <c r="V792" i="1"/>
  <c r="Z792" i="1"/>
  <c r="AA792" i="1"/>
  <c r="AC792" i="1"/>
  <c r="K783" i="1"/>
  <c r="F783" i="1"/>
  <c r="G783" i="1"/>
  <c r="S783" i="1"/>
  <c r="T783" i="1"/>
  <c r="V783" i="1"/>
  <c r="Z783" i="1"/>
  <c r="AA783" i="1"/>
  <c r="AC783" i="1"/>
  <c r="K796" i="1"/>
  <c r="F796" i="1"/>
  <c r="G796" i="1"/>
  <c r="S796" i="1"/>
  <c r="T796" i="1"/>
  <c r="V796" i="1"/>
  <c r="Z796" i="1"/>
  <c r="AA796" i="1"/>
  <c r="AC796" i="1"/>
  <c r="K795" i="1"/>
  <c r="F795" i="1"/>
  <c r="G795" i="1"/>
  <c r="S795" i="1"/>
  <c r="T795" i="1"/>
  <c r="V795" i="1"/>
  <c r="Z795" i="1"/>
  <c r="AA795" i="1"/>
  <c r="AC795" i="1"/>
  <c r="K794" i="1"/>
  <c r="F794" i="1"/>
  <c r="G794" i="1"/>
  <c r="S794" i="1"/>
  <c r="T794" i="1"/>
  <c r="V794" i="1"/>
  <c r="Z794" i="1"/>
  <c r="AA794" i="1"/>
  <c r="AC794" i="1"/>
  <c r="K791" i="1"/>
  <c r="F791" i="1"/>
  <c r="G791" i="1"/>
  <c r="S791" i="1"/>
  <c r="T791" i="1"/>
  <c r="V791" i="1"/>
  <c r="Z791" i="1"/>
  <c r="AA791" i="1"/>
  <c r="AC791" i="1"/>
  <c r="K790" i="1"/>
  <c r="F790" i="1"/>
  <c r="G790" i="1"/>
  <c r="S790" i="1"/>
  <c r="T790" i="1"/>
  <c r="V790" i="1"/>
  <c r="Z790" i="1"/>
  <c r="AA790" i="1"/>
  <c r="AC790" i="1"/>
  <c r="K789" i="1"/>
  <c r="F789" i="1"/>
  <c r="G789" i="1"/>
  <c r="S789" i="1"/>
  <c r="T789" i="1"/>
  <c r="V789" i="1"/>
  <c r="Z789" i="1"/>
  <c r="AA789" i="1"/>
  <c r="AC789" i="1"/>
  <c r="K788" i="1"/>
  <c r="F788" i="1"/>
  <c r="G788" i="1"/>
  <c r="S788" i="1"/>
  <c r="T788" i="1"/>
  <c r="V788" i="1"/>
  <c r="Z788" i="1"/>
  <c r="AA788" i="1"/>
  <c r="AC788" i="1"/>
  <c r="K787" i="1"/>
  <c r="F787" i="1"/>
  <c r="G787" i="1"/>
  <c r="S787" i="1"/>
  <c r="T787" i="1"/>
  <c r="V787" i="1"/>
  <c r="Z787" i="1"/>
  <c r="AA787" i="1"/>
  <c r="AC787" i="1"/>
  <c r="K786" i="1"/>
  <c r="F786" i="1"/>
  <c r="G786" i="1"/>
  <c r="S786" i="1"/>
  <c r="T786" i="1"/>
  <c r="V786" i="1"/>
  <c r="Z786" i="1"/>
  <c r="AA786" i="1"/>
  <c r="AC786" i="1"/>
  <c r="K793" i="1"/>
  <c r="F793" i="1"/>
  <c r="G793" i="1"/>
  <c r="S793" i="1"/>
  <c r="T793" i="1"/>
  <c r="V793" i="1"/>
  <c r="Z793" i="1"/>
  <c r="AA793" i="1"/>
  <c r="AC793" i="1"/>
  <c r="K691" i="1"/>
  <c r="F691" i="1"/>
  <c r="G691" i="1"/>
  <c r="S691" i="1"/>
  <c r="T691" i="1"/>
  <c r="V691" i="1"/>
  <c r="Z691" i="1"/>
  <c r="AA691" i="1"/>
  <c r="AC691" i="1"/>
  <c r="K797" i="1"/>
  <c r="F797" i="1"/>
  <c r="G797" i="1"/>
  <c r="S797" i="1"/>
  <c r="T797" i="1"/>
  <c r="V797" i="1"/>
  <c r="Z797" i="1"/>
  <c r="AA797" i="1"/>
  <c r="AC797" i="1"/>
  <c r="K714" i="1"/>
  <c r="F714" i="1"/>
  <c r="G714" i="1"/>
  <c r="S714" i="1"/>
  <c r="T714" i="1"/>
  <c r="V714" i="1"/>
  <c r="Z714" i="1"/>
  <c r="AA714" i="1"/>
  <c r="AC714" i="1"/>
  <c r="K713" i="1"/>
  <c r="F713" i="1"/>
  <c r="G713" i="1"/>
  <c r="S713" i="1"/>
  <c r="T713" i="1"/>
  <c r="V713" i="1"/>
  <c r="Z713" i="1"/>
  <c r="AA713" i="1"/>
  <c r="AC713" i="1"/>
  <c r="K694" i="1"/>
  <c r="F694" i="1"/>
  <c r="G694" i="1"/>
  <c r="S694" i="1"/>
  <c r="T694" i="1"/>
  <c r="V694" i="1"/>
  <c r="Z694" i="1"/>
  <c r="AA694" i="1"/>
  <c r="AC694" i="1"/>
  <c r="K695" i="1"/>
  <c r="F695" i="1"/>
  <c r="G695" i="1"/>
  <c r="S695" i="1"/>
  <c r="T695" i="1"/>
  <c r="V695" i="1"/>
  <c r="Z695" i="1"/>
  <c r="AA695" i="1"/>
  <c r="AC695" i="1"/>
  <c r="K703" i="1"/>
  <c r="F703" i="1"/>
  <c r="G703" i="1"/>
  <c r="S703" i="1"/>
  <c r="T703" i="1"/>
  <c r="V703" i="1"/>
  <c r="Z703" i="1"/>
  <c r="AA703" i="1"/>
  <c r="AC703" i="1"/>
  <c r="K771" i="1"/>
  <c r="F771" i="1"/>
  <c r="G771" i="1"/>
  <c r="S771" i="1"/>
  <c r="T771" i="1"/>
  <c r="V771" i="1"/>
  <c r="Z771" i="1"/>
  <c r="AA771" i="1"/>
  <c r="AC771" i="1"/>
  <c r="K719" i="1"/>
  <c r="F719" i="1"/>
  <c r="G719" i="1"/>
  <c r="S719" i="1"/>
  <c r="T719" i="1"/>
  <c r="V719" i="1"/>
  <c r="Z719" i="1"/>
  <c r="AA719" i="1"/>
  <c r="AC719" i="1"/>
  <c r="K697" i="1"/>
  <c r="F697" i="1"/>
  <c r="G697" i="1"/>
  <c r="S697" i="1"/>
  <c r="T697" i="1"/>
  <c r="V697" i="1"/>
  <c r="Z697" i="1"/>
  <c r="AA697" i="1"/>
  <c r="AC697" i="1"/>
  <c r="K798" i="1"/>
  <c r="F798" i="1"/>
  <c r="G798" i="1"/>
  <c r="S798" i="1"/>
  <c r="T798" i="1"/>
  <c r="V798" i="1"/>
  <c r="Z798" i="1"/>
  <c r="AA798" i="1"/>
  <c r="AC798" i="1"/>
  <c r="K708" i="1"/>
  <c r="F708" i="1"/>
  <c r="G708" i="1"/>
  <c r="S708" i="1"/>
  <c r="T708" i="1"/>
  <c r="V708" i="1"/>
  <c r="Z708" i="1"/>
  <c r="AA708" i="1"/>
  <c r="AC708" i="1"/>
  <c r="K785" i="1"/>
  <c r="F785" i="1"/>
  <c r="G785" i="1"/>
  <c r="S785" i="1"/>
  <c r="T785" i="1"/>
  <c r="V785" i="1"/>
  <c r="Z785" i="1"/>
  <c r="AA785" i="1"/>
  <c r="AC785" i="1"/>
  <c r="K810" i="1"/>
  <c r="F810" i="1"/>
  <c r="G810" i="1"/>
  <c r="S810" i="1"/>
  <c r="T810" i="1"/>
  <c r="V810" i="1"/>
  <c r="Z810" i="1"/>
  <c r="AA810" i="1"/>
  <c r="AC810" i="1"/>
  <c r="K751" i="1"/>
  <c r="F751" i="1"/>
  <c r="G751" i="1"/>
  <c r="S751" i="1"/>
  <c r="T751" i="1"/>
  <c r="V751" i="1"/>
  <c r="Z751" i="1"/>
  <c r="AA751" i="1"/>
  <c r="AC751" i="1"/>
  <c r="K750" i="1"/>
  <c r="F750" i="1"/>
  <c r="G750" i="1"/>
  <c r="S750" i="1"/>
  <c r="T750" i="1"/>
  <c r="V750" i="1"/>
  <c r="Z750" i="1"/>
  <c r="AA750" i="1"/>
  <c r="AC750" i="1"/>
  <c r="K886" i="1"/>
  <c r="F886" i="1"/>
  <c r="G886" i="1"/>
  <c r="S886" i="1"/>
  <c r="T886" i="1"/>
  <c r="V886" i="1"/>
  <c r="Z886" i="1"/>
  <c r="AA886" i="1"/>
  <c r="AC886" i="1"/>
  <c r="K749" i="1"/>
  <c r="F749" i="1"/>
  <c r="G749" i="1"/>
  <c r="S749" i="1"/>
  <c r="T749" i="1"/>
  <c r="V749" i="1"/>
  <c r="Z749" i="1"/>
  <c r="AA749" i="1"/>
  <c r="AC749" i="1"/>
  <c r="K748" i="1"/>
  <c r="F748" i="1"/>
  <c r="G748" i="1"/>
  <c r="S748" i="1"/>
  <c r="T748" i="1"/>
  <c r="V748" i="1"/>
  <c r="Z748" i="1"/>
  <c r="AA748" i="1"/>
  <c r="AC748" i="1"/>
  <c r="K747" i="1"/>
  <c r="F747" i="1"/>
  <c r="G747" i="1"/>
  <c r="S747" i="1"/>
  <c r="T747" i="1"/>
  <c r="V747" i="1"/>
  <c r="Z747" i="1"/>
  <c r="AA747" i="1"/>
  <c r="AC747" i="1"/>
  <c r="K746" i="1"/>
  <c r="F746" i="1"/>
  <c r="G746" i="1"/>
  <c r="S746" i="1"/>
  <c r="T746" i="1"/>
  <c r="V746" i="1"/>
  <c r="Z746" i="1"/>
  <c r="AA746" i="1"/>
  <c r="AC746" i="1"/>
  <c r="K745" i="1"/>
  <c r="F745" i="1"/>
  <c r="G745" i="1"/>
  <c r="S745" i="1"/>
  <c r="T745" i="1"/>
  <c r="V745" i="1"/>
  <c r="Z745" i="1"/>
  <c r="AA745" i="1"/>
  <c r="AC745" i="1"/>
  <c r="K744" i="1"/>
  <c r="F744" i="1"/>
  <c r="G744" i="1"/>
  <c r="S744" i="1"/>
  <c r="T744" i="1"/>
  <c r="V744" i="1"/>
  <c r="Z744" i="1"/>
  <c r="AA744" i="1"/>
  <c r="AC744" i="1"/>
  <c r="K743" i="1"/>
  <c r="F743" i="1"/>
  <c r="G743" i="1"/>
  <c r="S743" i="1"/>
  <c r="T743" i="1"/>
  <c r="V743" i="1"/>
  <c r="Z743" i="1"/>
  <c r="AA743" i="1"/>
  <c r="AC743" i="1"/>
  <c r="K742" i="1"/>
  <c r="F742" i="1"/>
  <c r="G742" i="1"/>
  <c r="S742" i="1"/>
  <c r="T742" i="1"/>
  <c r="V742" i="1"/>
  <c r="Z742" i="1"/>
  <c r="AA742" i="1"/>
  <c r="AC742" i="1"/>
  <c r="K741" i="1"/>
  <c r="F741" i="1"/>
  <c r="G741" i="1"/>
  <c r="S741" i="1"/>
  <c r="T741" i="1"/>
  <c r="V741" i="1"/>
  <c r="Z741" i="1"/>
  <c r="AA741" i="1"/>
  <c r="AC741" i="1"/>
  <c r="K740" i="1"/>
  <c r="F740" i="1"/>
  <c r="G740" i="1"/>
  <c r="S740" i="1"/>
  <c r="T740" i="1"/>
  <c r="V740" i="1"/>
  <c r="Z740" i="1"/>
  <c r="AA740" i="1"/>
  <c r="AC740" i="1"/>
  <c r="K885" i="1"/>
  <c r="F885" i="1"/>
  <c r="G885" i="1"/>
  <c r="S885" i="1"/>
  <c r="T885" i="1"/>
  <c r="V885" i="1"/>
  <c r="Z885" i="1"/>
  <c r="AA885" i="1"/>
  <c r="AC885" i="1"/>
  <c r="K739" i="1"/>
  <c r="F739" i="1"/>
  <c r="G739" i="1"/>
  <c r="S739" i="1"/>
  <c r="T739" i="1"/>
  <c r="V739" i="1"/>
  <c r="Z739" i="1"/>
  <c r="AA739" i="1"/>
  <c r="AC739" i="1"/>
  <c r="K884" i="1"/>
  <c r="F884" i="1"/>
  <c r="G884" i="1"/>
  <c r="S884" i="1"/>
  <c r="T884" i="1"/>
  <c r="V884" i="1"/>
  <c r="Z884" i="1"/>
  <c r="AA884" i="1"/>
  <c r="AC884" i="1"/>
  <c r="K738" i="1"/>
  <c r="F738" i="1"/>
  <c r="G738" i="1"/>
  <c r="S738" i="1"/>
  <c r="T738" i="1"/>
  <c r="V738" i="1"/>
  <c r="Z738" i="1"/>
  <c r="AA738" i="1"/>
  <c r="AC738" i="1"/>
  <c r="K737" i="1"/>
  <c r="F737" i="1"/>
  <c r="G737" i="1"/>
  <c r="S737" i="1"/>
  <c r="T737" i="1"/>
  <c r="V737" i="1"/>
  <c r="Z737" i="1"/>
  <c r="AA737" i="1"/>
  <c r="AC737" i="1"/>
  <c r="K736" i="1"/>
  <c r="F736" i="1"/>
  <c r="G736" i="1"/>
  <c r="S736" i="1"/>
  <c r="T736" i="1"/>
  <c r="V736" i="1"/>
  <c r="Z736" i="1"/>
  <c r="AA736" i="1"/>
  <c r="AC736" i="1"/>
  <c r="K735" i="1"/>
  <c r="F735" i="1"/>
  <c r="G735" i="1"/>
  <c r="S735" i="1"/>
  <c r="T735" i="1"/>
  <c r="V735" i="1"/>
  <c r="Z735" i="1"/>
  <c r="AA735" i="1"/>
  <c r="AC735" i="1"/>
  <c r="K734" i="1"/>
  <c r="F734" i="1"/>
  <c r="G734" i="1"/>
  <c r="S734" i="1"/>
  <c r="T734" i="1"/>
  <c r="V734" i="1"/>
  <c r="Z734" i="1"/>
  <c r="AA734" i="1"/>
  <c r="AC734" i="1"/>
  <c r="K733" i="1"/>
  <c r="F733" i="1"/>
  <c r="G733" i="1"/>
  <c r="S733" i="1"/>
  <c r="T733" i="1"/>
  <c r="V733" i="1"/>
  <c r="Z733" i="1"/>
  <c r="AA733" i="1"/>
  <c r="AC733" i="1"/>
  <c r="K732" i="1"/>
  <c r="F732" i="1"/>
  <c r="G732" i="1"/>
  <c r="S732" i="1"/>
  <c r="T732" i="1"/>
  <c r="V732" i="1"/>
  <c r="Z732" i="1"/>
  <c r="AA732" i="1"/>
  <c r="AC732" i="1"/>
  <c r="K731" i="1"/>
  <c r="F731" i="1"/>
  <c r="G731" i="1"/>
  <c r="S731" i="1"/>
  <c r="T731" i="1"/>
  <c r="V731" i="1"/>
  <c r="Z731" i="1"/>
  <c r="AA731" i="1"/>
  <c r="AC731" i="1"/>
  <c r="K730" i="1"/>
  <c r="F730" i="1"/>
  <c r="G730" i="1"/>
  <c r="S730" i="1"/>
  <c r="T730" i="1"/>
  <c r="V730" i="1"/>
  <c r="Z730" i="1"/>
  <c r="AA730" i="1"/>
  <c r="AC730" i="1"/>
  <c r="K729" i="1"/>
  <c r="F729" i="1"/>
  <c r="G729" i="1"/>
  <c r="S729" i="1"/>
  <c r="T729" i="1"/>
  <c r="V729" i="1"/>
  <c r="Z729" i="1"/>
  <c r="AA729" i="1"/>
  <c r="AC729" i="1"/>
  <c r="K728" i="1"/>
  <c r="F728" i="1"/>
  <c r="G728" i="1"/>
  <c r="S728" i="1"/>
  <c r="T728" i="1"/>
  <c r="V728" i="1"/>
  <c r="Z728" i="1"/>
  <c r="AA728" i="1"/>
  <c r="AC728" i="1"/>
  <c r="K878" i="1"/>
  <c r="F878" i="1"/>
  <c r="G878" i="1"/>
  <c r="S878" i="1"/>
  <c r="T878" i="1"/>
  <c r="V878" i="1"/>
  <c r="Z878" i="1"/>
  <c r="AA878" i="1"/>
  <c r="AC878" i="1"/>
  <c r="K727" i="1"/>
  <c r="F727" i="1"/>
  <c r="G727" i="1"/>
  <c r="S727" i="1"/>
  <c r="T727" i="1"/>
  <c r="V727" i="1"/>
  <c r="Z727" i="1"/>
  <c r="AA727" i="1"/>
  <c r="AC727" i="1"/>
  <c r="K702" i="1"/>
  <c r="F702" i="1"/>
  <c r="G702" i="1"/>
  <c r="S702" i="1"/>
  <c r="T702" i="1"/>
  <c r="V702" i="1"/>
  <c r="Z702" i="1"/>
  <c r="AA702" i="1"/>
  <c r="AC702" i="1"/>
  <c r="K701" i="1"/>
  <c r="F701" i="1"/>
  <c r="G701" i="1"/>
  <c r="S701" i="1"/>
  <c r="T701" i="1"/>
  <c r="V701" i="1"/>
  <c r="Z701" i="1"/>
  <c r="AA701" i="1"/>
  <c r="AC701" i="1"/>
  <c r="K717" i="1"/>
  <c r="F717" i="1"/>
  <c r="G717" i="1"/>
  <c r="S717" i="1"/>
  <c r="T717" i="1"/>
  <c r="V717" i="1"/>
  <c r="Z717" i="1"/>
  <c r="AA717" i="1"/>
  <c r="AC717" i="1"/>
  <c r="K770" i="1"/>
  <c r="F770" i="1"/>
  <c r="G770" i="1"/>
  <c r="S770" i="1"/>
  <c r="T770" i="1"/>
  <c r="V770" i="1"/>
  <c r="Z770" i="1"/>
  <c r="AA770" i="1"/>
  <c r="AC770" i="1"/>
  <c r="K769" i="1"/>
  <c r="F769" i="1"/>
  <c r="G769" i="1"/>
  <c r="S769" i="1"/>
  <c r="T769" i="1"/>
  <c r="V769" i="1"/>
  <c r="Z769" i="1"/>
  <c r="AA769" i="1"/>
  <c r="AC769" i="1"/>
  <c r="K164" i="1" l="1"/>
  <c r="F164" i="1"/>
  <c r="G164" i="1"/>
  <c r="S164" i="1"/>
  <c r="T164" i="1"/>
  <c r="V164" i="1"/>
  <c r="Z164" i="1"/>
  <c r="AA164" i="1"/>
  <c r="AC164" i="1"/>
  <c r="K855" i="1"/>
  <c r="F855" i="1"/>
  <c r="G855" i="1"/>
  <c r="S855" i="1"/>
  <c r="T855" i="1"/>
  <c r="V855" i="1"/>
  <c r="Z855" i="1"/>
  <c r="AA855" i="1"/>
  <c r="AC855" i="1"/>
  <c r="K841" i="1"/>
  <c r="F841" i="1"/>
  <c r="G841" i="1"/>
  <c r="S841" i="1"/>
  <c r="T841" i="1"/>
  <c r="V841" i="1"/>
  <c r="Z841" i="1"/>
  <c r="AA841" i="1"/>
  <c r="AC841" i="1"/>
  <c r="K105" i="1" l="1"/>
  <c r="F105" i="1"/>
  <c r="G105" i="1"/>
  <c r="S105" i="1"/>
  <c r="T105" i="1"/>
  <c r="V105" i="1"/>
  <c r="Z105" i="1"/>
  <c r="AA105" i="1"/>
  <c r="AC105" i="1"/>
  <c r="K127" i="1"/>
  <c r="F127" i="1"/>
  <c r="G127" i="1"/>
  <c r="S127" i="1"/>
  <c r="T127" i="1"/>
  <c r="V127" i="1"/>
  <c r="Z127" i="1"/>
  <c r="AA127" i="1"/>
  <c r="AC127" i="1"/>
  <c r="K139" i="1"/>
  <c r="F139" i="1"/>
  <c r="G139" i="1"/>
  <c r="S139" i="1"/>
  <c r="T139" i="1"/>
  <c r="V139" i="1"/>
  <c r="Z139" i="1"/>
  <c r="AA139" i="1"/>
  <c r="AC139" i="1"/>
  <c r="K140" i="1" l="1"/>
  <c r="F140" i="1"/>
  <c r="G140" i="1"/>
  <c r="S140" i="1"/>
  <c r="T140" i="1"/>
  <c r="V140" i="1"/>
  <c r="Z140" i="1"/>
  <c r="AA140" i="1"/>
  <c r="AC140" i="1"/>
  <c r="K7" i="1" l="1"/>
  <c r="F7" i="1"/>
  <c r="G7" i="1"/>
  <c r="S7" i="1"/>
  <c r="T7" i="1"/>
  <c r="V7" i="1"/>
  <c r="Z7" i="1"/>
  <c r="AA7" i="1"/>
  <c r="AC7" i="1"/>
  <c r="K47" i="1"/>
  <c r="F47" i="1"/>
  <c r="G47" i="1"/>
  <c r="S47" i="1"/>
  <c r="T47" i="1"/>
  <c r="V47" i="1"/>
  <c r="Z47" i="1"/>
  <c r="AA47" i="1"/>
  <c r="AC47" i="1"/>
  <c r="K57" i="1" l="1"/>
  <c r="F57" i="1"/>
  <c r="G57" i="1"/>
  <c r="S57" i="1"/>
  <c r="T57" i="1"/>
  <c r="V57" i="1"/>
  <c r="Z57" i="1"/>
  <c r="AA57" i="1"/>
  <c r="AC57" i="1"/>
  <c r="K3" i="1"/>
  <c r="F3" i="1"/>
  <c r="G3" i="1"/>
  <c r="S3" i="1"/>
  <c r="T3" i="1"/>
  <c r="V3" i="1"/>
  <c r="Z3" i="1"/>
  <c r="AA3" i="1"/>
  <c r="AC3" i="1"/>
  <c r="K50" i="1"/>
  <c r="F50" i="1"/>
  <c r="G50" i="1"/>
  <c r="S50" i="1"/>
  <c r="T50" i="1"/>
  <c r="V50" i="1"/>
  <c r="Z50" i="1"/>
  <c r="AA50" i="1"/>
  <c r="AC50" i="1"/>
  <c r="K51" i="1"/>
  <c r="F51" i="1"/>
  <c r="G51" i="1"/>
  <c r="S51" i="1"/>
  <c r="T51" i="1"/>
  <c r="V51" i="1"/>
  <c r="Z51" i="1"/>
  <c r="AA51" i="1"/>
  <c r="AC51" i="1"/>
  <c r="T1190" i="1" l="1"/>
  <c r="T1189" i="1"/>
  <c r="T1188" i="1"/>
  <c r="T1186" i="1"/>
  <c r="T1185" i="1"/>
  <c r="T1184" i="1"/>
  <c r="T1183" i="1"/>
  <c r="T1182" i="1"/>
  <c r="T1181" i="1"/>
  <c r="T1180" i="1"/>
  <c r="T1179" i="1"/>
  <c r="T1178" i="1"/>
  <c r="T1177" i="1"/>
  <c r="T1176" i="1"/>
  <c r="T1175" i="1"/>
  <c r="T1174" i="1"/>
  <c r="T1173" i="1"/>
  <c r="T1172" i="1"/>
  <c r="T1170" i="1"/>
  <c r="T1169" i="1"/>
  <c r="T1168" i="1"/>
  <c r="T1167" i="1"/>
  <c r="T1166" i="1"/>
  <c r="T1165" i="1"/>
  <c r="T1164" i="1"/>
  <c r="T1163" i="1"/>
  <c r="T1161" i="1"/>
  <c r="T1160" i="1"/>
  <c r="T1159" i="1"/>
  <c r="T1158" i="1"/>
  <c r="T1157" i="1"/>
  <c r="T1156" i="1"/>
  <c r="T1155" i="1"/>
  <c r="T1154" i="1"/>
  <c r="T1153" i="1"/>
  <c r="T1152" i="1"/>
  <c r="T1151" i="1"/>
  <c r="T1150" i="1"/>
  <c r="T1149" i="1"/>
  <c r="T1147" i="1"/>
  <c r="T1144" i="1"/>
  <c r="T1143" i="1"/>
  <c r="T1142" i="1"/>
  <c r="T1141" i="1"/>
  <c r="T1140" i="1"/>
  <c r="T1139" i="1"/>
  <c r="T1138" i="1"/>
  <c r="T1137" i="1"/>
  <c r="T1136" i="1"/>
  <c r="T840" i="1"/>
  <c r="T1135" i="1"/>
  <c r="T1124" i="1"/>
  <c r="T1123" i="1"/>
  <c r="T1122" i="1"/>
  <c r="T1121" i="1"/>
  <c r="T1120" i="1"/>
  <c r="T1119" i="1"/>
  <c r="T1118" i="1"/>
  <c r="T1117" i="1"/>
  <c r="T1116" i="1"/>
  <c r="T1115" i="1"/>
  <c r="T1114" i="1"/>
  <c r="T1113" i="1"/>
  <c r="T1112" i="1"/>
  <c r="T1111" i="1"/>
  <c r="T1110" i="1"/>
  <c r="T1109" i="1"/>
  <c r="T1108" i="1"/>
  <c r="T1107" i="1"/>
  <c r="T1106" i="1"/>
  <c r="T1105" i="1"/>
  <c r="T1104" i="1"/>
  <c r="T1103" i="1"/>
  <c r="T1102" i="1"/>
  <c r="T1101" i="1"/>
  <c r="T1100" i="1"/>
  <c r="T1099" i="1"/>
  <c r="T1098" i="1"/>
  <c r="T1097" i="1"/>
  <c r="T1096" i="1"/>
  <c r="T1095" i="1"/>
  <c r="T1093" i="1"/>
  <c r="T1091" i="1"/>
  <c r="T1090" i="1"/>
  <c r="T1089" i="1"/>
  <c r="T1088" i="1"/>
  <c r="T1086" i="1"/>
  <c r="T1072" i="1"/>
  <c r="T1071" i="1"/>
  <c r="T1070" i="1"/>
  <c r="T1069" i="1"/>
  <c r="T1068" i="1"/>
  <c r="T1067" i="1"/>
  <c r="T1066" i="1"/>
  <c r="T1064" i="1"/>
  <c r="T1062" i="1"/>
  <c r="T1061" i="1"/>
  <c r="T1060" i="1"/>
  <c r="T1059" i="1"/>
  <c r="T1058" i="1"/>
  <c r="T1057" i="1"/>
  <c r="T1056" i="1"/>
  <c r="T1055" i="1"/>
  <c r="T1054" i="1"/>
  <c r="T1053" i="1"/>
  <c r="T1052" i="1"/>
  <c r="T1051" i="1"/>
  <c r="T1050" i="1"/>
  <c r="T1049" i="1"/>
  <c r="T1048" i="1"/>
  <c r="T1047" i="1"/>
  <c r="T1046" i="1"/>
  <c r="T1045" i="1"/>
  <c r="T1044" i="1"/>
  <c r="T1043" i="1"/>
  <c r="T1042" i="1"/>
  <c r="T1041" i="1"/>
  <c r="T1040" i="1"/>
  <c r="T1038" i="1"/>
  <c r="T1036" i="1"/>
  <c r="T1034" i="1"/>
  <c r="T1031" i="1"/>
  <c r="T1026" i="1"/>
  <c r="T1022" i="1"/>
  <c r="T1021" i="1"/>
  <c r="T1017" i="1"/>
  <c r="T1013" i="1"/>
  <c r="T1009" i="1"/>
  <c r="T1007" i="1"/>
  <c r="T1005" i="1"/>
  <c r="T1004" i="1"/>
  <c r="T1003" i="1"/>
  <c r="T1002" i="1"/>
  <c r="T999" i="1"/>
  <c r="T992" i="1"/>
  <c r="T991" i="1"/>
  <c r="T986" i="1"/>
  <c r="T985" i="1"/>
  <c r="T981" i="1"/>
  <c r="T978" i="1"/>
  <c r="T975" i="1"/>
  <c r="T974" i="1"/>
  <c r="T969" i="1"/>
  <c r="T967" i="1"/>
  <c r="T965" i="1"/>
  <c r="T962" i="1"/>
  <c r="T959" i="1"/>
  <c r="T956" i="1"/>
  <c r="T952" i="1"/>
  <c r="T933" i="1"/>
  <c r="T1187" i="1"/>
  <c r="T929" i="1"/>
  <c r="T928" i="1"/>
  <c r="T927" i="1"/>
  <c r="T924" i="1"/>
  <c r="T922" i="1"/>
  <c r="T6" i="1"/>
  <c r="T282" i="1"/>
  <c r="T918" i="1"/>
  <c r="T917" i="1"/>
  <c r="T915" i="1"/>
  <c r="T914" i="1"/>
  <c r="T913" i="1"/>
  <c r="T911" i="1"/>
  <c r="T90" i="1"/>
  <c r="T373" i="1"/>
  <c r="T372" i="1"/>
  <c r="T908" i="1"/>
  <c r="T905" i="1"/>
  <c r="T904" i="1"/>
  <c r="T903" i="1"/>
  <c r="T902" i="1"/>
  <c r="T894" i="1"/>
  <c r="T893" i="1"/>
  <c r="T890" i="1"/>
  <c r="T889" i="1"/>
  <c r="T400" i="1"/>
  <c r="T754" i="1"/>
  <c r="T204" i="1"/>
  <c r="T887" i="1"/>
  <c r="T881" i="1"/>
  <c r="T880" i="1"/>
  <c r="T879" i="1"/>
  <c r="T1171" i="1"/>
  <c r="T875" i="1"/>
  <c r="T874" i="1"/>
  <c r="T716" i="1"/>
  <c r="T715" i="1"/>
  <c r="T872" i="1"/>
  <c r="T67" i="1"/>
  <c r="T170" i="1"/>
  <c r="T1162" i="1"/>
  <c r="T35" i="1"/>
  <c r="T18" i="1"/>
  <c r="T32" i="1"/>
  <c r="T867" i="1"/>
  <c r="T866" i="1"/>
  <c r="T865" i="1"/>
  <c r="T864" i="1"/>
  <c r="T1148" i="1"/>
  <c r="T863" i="1"/>
  <c r="T862" i="1"/>
  <c r="T1146" i="1"/>
  <c r="T1145" i="1"/>
  <c r="T861" i="1"/>
  <c r="T860" i="1"/>
  <c r="T859" i="1"/>
  <c r="T858" i="1"/>
  <c r="T857" i="1"/>
  <c r="T856" i="1"/>
  <c r="T854" i="1"/>
  <c r="T853" i="1"/>
  <c r="T852" i="1"/>
  <c r="T851" i="1"/>
  <c r="T850" i="1"/>
  <c r="T849" i="1"/>
  <c r="T848" i="1"/>
  <c r="T847" i="1"/>
  <c r="T846" i="1"/>
  <c r="T845" i="1"/>
  <c r="T844" i="1"/>
  <c r="T843" i="1"/>
  <c r="T842" i="1"/>
  <c r="T839" i="1"/>
  <c r="T838" i="1"/>
  <c r="T837" i="1"/>
  <c r="T836" i="1"/>
  <c r="T835" i="1"/>
  <c r="T834" i="1"/>
  <c r="T833" i="1"/>
  <c r="T832" i="1"/>
  <c r="T831" i="1"/>
  <c r="T830" i="1"/>
  <c r="T1134" i="1"/>
  <c r="T1133" i="1"/>
  <c r="T1132" i="1"/>
  <c r="T829" i="1"/>
  <c r="T1131" i="1"/>
  <c r="T1130" i="1"/>
  <c r="T1129" i="1"/>
  <c r="T1128" i="1"/>
  <c r="T1127" i="1"/>
  <c r="T1126" i="1"/>
  <c r="T1125" i="1"/>
  <c r="T196" i="1"/>
  <c r="T822" i="1"/>
  <c r="T821" i="1"/>
  <c r="T820" i="1"/>
  <c r="T818" i="1"/>
  <c r="T816" i="1"/>
  <c r="T815" i="1"/>
  <c r="T814" i="1"/>
  <c r="T813" i="1"/>
  <c r="T812" i="1"/>
  <c r="T811" i="1"/>
  <c r="T809" i="1"/>
  <c r="T808" i="1"/>
  <c r="T807" i="1"/>
  <c r="T1094" i="1"/>
  <c r="T806" i="1"/>
  <c r="T805" i="1"/>
  <c r="T81" i="1"/>
  <c r="T505" i="1"/>
  <c r="T388" i="1"/>
  <c r="T627" i="1"/>
  <c r="T802" i="1"/>
  <c r="T436" i="1"/>
  <c r="T70" i="1"/>
  <c r="T387" i="1"/>
  <c r="T801" i="1"/>
  <c r="T30" i="1"/>
  <c r="T926" i="1"/>
  <c r="T925" i="1"/>
  <c r="T386" i="1"/>
  <c r="T100" i="1"/>
  <c r="T406" i="1"/>
  <c r="T218" i="1"/>
  <c r="T923" i="1"/>
  <c r="T23" i="1"/>
  <c r="T84" i="1"/>
  <c r="T145" i="1"/>
  <c r="T217" i="1"/>
  <c r="T572" i="1"/>
  <c r="T800" i="1"/>
  <c r="T799" i="1"/>
  <c r="T155" i="1"/>
  <c r="T385" i="1"/>
  <c r="T215" i="1"/>
  <c r="T1092" i="1"/>
  <c r="T344" i="1"/>
  <c r="T501" i="1"/>
  <c r="T380" i="1"/>
  <c r="T212" i="1"/>
  <c r="T782" i="1"/>
  <c r="T499" i="1"/>
  <c r="T781" i="1"/>
  <c r="T919" i="1"/>
  <c r="T375" i="1"/>
  <c r="T778" i="1"/>
  <c r="T497" i="1"/>
  <c r="T374" i="1"/>
  <c r="T777" i="1"/>
  <c r="T776" i="1"/>
  <c r="T352" i="1"/>
  <c r="T68" i="1"/>
  <c r="T234" i="1"/>
  <c r="T206" i="1"/>
  <c r="T773" i="1"/>
  <c r="T912" i="1"/>
  <c r="T205" i="1"/>
  <c r="T772" i="1"/>
  <c r="T910" i="1"/>
  <c r="T909" i="1"/>
  <c r="T768" i="1"/>
  <c r="T767" i="1"/>
  <c r="T764" i="1"/>
  <c r="T24" i="1"/>
  <c r="T900" i="1"/>
  <c r="T10" i="1"/>
  <c r="T1085" i="1"/>
  <c r="T88" i="1"/>
  <c r="T762" i="1"/>
  <c r="T892" i="1"/>
  <c r="T761" i="1"/>
  <c r="T760" i="1"/>
  <c r="T759" i="1"/>
  <c r="T891" i="1"/>
  <c r="T758" i="1"/>
  <c r="T757" i="1"/>
  <c r="T888" i="1"/>
  <c r="T756" i="1"/>
  <c r="T755" i="1"/>
  <c r="T753" i="1"/>
  <c r="T111" i="1"/>
  <c r="T1078" i="1"/>
  <c r="T1076" i="1"/>
  <c r="T1073" i="1"/>
  <c r="T877" i="1"/>
  <c r="T468" i="1"/>
  <c r="T311" i="1"/>
  <c r="T555" i="1"/>
  <c r="T318" i="1"/>
  <c r="T445" i="1"/>
  <c r="T60" i="1"/>
  <c r="T202" i="1"/>
  <c r="T82" i="1"/>
  <c r="T79" i="1"/>
  <c r="T568" i="1"/>
  <c r="T475" i="1"/>
  <c r="T110" i="1"/>
  <c r="T724" i="1"/>
  <c r="T723" i="1"/>
  <c r="T722" i="1"/>
  <c r="T721" i="1"/>
  <c r="T720" i="1"/>
  <c r="T567" i="1"/>
  <c r="T490" i="1"/>
  <c r="T402" i="1"/>
  <c r="T188" i="1"/>
  <c r="T251" i="1"/>
  <c r="T711" i="1"/>
  <c r="T334" i="1"/>
  <c r="T426" i="1"/>
  <c r="T710" i="1"/>
  <c r="T368" i="1"/>
  <c r="T709" i="1"/>
  <c r="T61" i="1"/>
  <c r="T707" i="1"/>
  <c r="T1063" i="1"/>
  <c r="T706" i="1"/>
  <c r="T705" i="1"/>
  <c r="T197" i="1"/>
  <c r="T9" i="1"/>
  <c r="T8" i="1"/>
  <c r="T704" i="1"/>
  <c r="T391" i="1"/>
  <c r="T828" i="1"/>
  <c r="T700" i="1"/>
  <c r="T699" i="1"/>
  <c r="T827" i="1"/>
  <c r="T698" i="1"/>
  <c r="T337" i="1"/>
  <c r="T4" i="1"/>
  <c r="T644" i="1"/>
  <c r="T825" i="1"/>
  <c r="T824" i="1"/>
  <c r="T823" i="1"/>
  <c r="T346" i="1"/>
  <c r="T480" i="1"/>
  <c r="T333" i="1"/>
  <c r="T363" i="1"/>
  <c r="T693" i="1"/>
  <c r="T523" i="1"/>
  <c r="T289" i="1"/>
  <c r="T532" i="1"/>
  <c r="T362" i="1"/>
  <c r="T690" i="1"/>
  <c r="T192" i="1"/>
  <c r="T688" i="1"/>
  <c r="T28" i="1"/>
  <c r="T687" i="1"/>
  <c r="T1039" i="1"/>
  <c r="T27" i="1"/>
  <c r="T479" i="1"/>
  <c r="T686" i="1"/>
  <c r="T677" i="1"/>
  <c r="T431" i="1"/>
  <c r="T128" i="1"/>
  <c r="T580" i="1"/>
  <c r="T640" i="1"/>
  <c r="T309" i="1"/>
  <c r="T607" i="1"/>
  <c r="T643" i="1"/>
  <c r="T674" i="1"/>
  <c r="T684" i="1"/>
  <c r="T593" i="1"/>
  <c r="T587" i="1"/>
  <c r="T685" i="1"/>
  <c r="T589" i="1"/>
  <c r="T696" i="1"/>
  <c r="T651" i="1"/>
  <c r="T647" i="1"/>
  <c r="T361" i="1"/>
  <c r="T621" i="1"/>
  <c r="T611" i="1"/>
  <c r="T290" i="1"/>
  <c r="T591" i="1"/>
  <c r="T485" i="1"/>
  <c r="T514" i="1"/>
  <c r="T576" i="1"/>
  <c r="T641" i="1"/>
  <c r="T629" i="1"/>
  <c r="T601" i="1"/>
  <c r="T559" i="1"/>
  <c r="T190" i="1"/>
  <c r="T662" i="1"/>
  <c r="T541" i="1"/>
  <c r="T642" i="1"/>
  <c r="T598" i="1"/>
  <c r="T564" i="1"/>
  <c r="T646" i="1"/>
  <c r="T509" i="1"/>
  <c r="T167" i="1"/>
  <c r="T104" i="1"/>
  <c r="T153" i="1"/>
  <c r="T354" i="1"/>
  <c r="T34" i="1"/>
  <c r="T658" i="1"/>
  <c r="T610" i="1"/>
  <c r="T622" i="1"/>
  <c r="T347" i="1"/>
  <c r="T396" i="1"/>
  <c r="T606" i="1"/>
  <c r="T529" i="1"/>
  <c r="T671" i="1"/>
  <c r="T682" i="1"/>
  <c r="T408" i="1"/>
  <c r="T680" i="1"/>
  <c r="T669" i="1"/>
  <c r="T1037" i="1"/>
  <c r="T343" i="1"/>
  <c r="T430" i="1"/>
  <c r="T473" i="1"/>
  <c r="T482" i="1"/>
  <c r="T683" i="1"/>
  <c r="T652" i="1"/>
  <c r="T506" i="1"/>
  <c r="T454" i="1"/>
  <c r="T1083" i="1"/>
  <c r="T467" i="1"/>
  <c r="T666" i="1"/>
  <c r="T393" i="1"/>
  <c r="T563" i="1"/>
  <c r="T447" i="1"/>
  <c r="T623" i="1"/>
  <c r="T663" i="1"/>
  <c r="T1080" i="1"/>
  <c r="T394" i="1"/>
  <c r="T655" i="1"/>
  <c r="T315" i="1"/>
  <c r="T413" i="1"/>
  <c r="T654" i="1"/>
  <c r="T672" i="1"/>
  <c r="T183" i="1"/>
  <c r="T504" i="1"/>
  <c r="T46" i="1"/>
  <c r="T469" i="1"/>
  <c r="T335" i="1"/>
  <c r="T536" i="1"/>
  <c r="T216" i="1"/>
  <c r="T465" i="1"/>
  <c r="T560" i="1"/>
  <c r="T548" i="1"/>
  <c r="T579" i="1"/>
  <c r="T624" i="1"/>
  <c r="T597" i="1"/>
  <c r="T136" i="1"/>
  <c r="T55" i="1"/>
  <c r="T534" i="1"/>
  <c r="T612" i="1"/>
  <c r="T1033" i="1"/>
  <c r="T102" i="1"/>
  <c r="T625" i="1"/>
  <c r="T637" i="1"/>
  <c r="T689" i="1"/>
  <c r="T1035" i="1"/>
  <c r="T270" i="1"/>
  <c r="T247" i="1"/>
  <c r="T1032" i="1"/>
  <c r="T272" i="1"/>
  <c r="T635" i="1"/>
  <c r="T415" i="1"/>
  <c r="T159" i="1"/>
  <c r="T1087" i="1"/>
  <c r="T520" i="1"/>
  <c r="T166" i="1"/>
  <c r="T316" i="1"/>
  <c r="T526" i="1"/>
  <c r="T265" i="1"/>
  <c r="T390" i="1"/>
  <c r="T360" i="1"/>
  <c r="T535" i="1"/>
  <c r="T656" i="1"/>
  <c r="T403" i="1"/>
  <c r="T645" i="1"/>
  <c r="T305" i="1"/>
  <c r="T527" i="1"/>
  <c r="T665" i="1"/>
  <c r="T539" i="1"/>
  <c r="T339" i="1"/>
  <c r="T246" i="1"/>
  <c r="T101" i="1"/>
  <c r="T462" i="1"/>
  <c r="T600" i="1"/>
  <c r="T631" i="1"/>
  <c r="T518" i="1"/>
  <c r="T133" i="1"/>
  <c r="T126" i="1"/>
  <c r="T241" i="1"/>
  <c r="T542" i="1"/>
  <c r="T530" i="1"/>
  <c r="T1030" i="1"/>
  <c r="T636" i="1"/>
  <c r="T605" i="1"/>
  <c r="T586" i="1"/>
  <c r="T578" i="1"/>
  <c r="T657" i="1"/>
  <c r="T472" i="1"/>
  <c r="T150" i="1"/>
  <c r="T678" i="1"/>
  <c r="T355" i="1"/>
  <c r="T1029" i="1"/>
  <c r="T437" i="1"/>
  <c r="T237" i="1"/>
  <c r="T148" i="1"/>
  <c r="T538" i="1"/>
  <c r="T1028" i="1"/>
  <c r="T650" i="1"/>
  <c r="T549" i="1"/>
  <c r="T149" i="1"/>
  <c r="T424" i="1"/>
  <c r="T1027" i="1"/>
  <c r="T603" i="1"/>
  <c r="T330" i="1"/>
  <c r="T412" i="1"/>
  <c r="T628" i="1"/>
  <c r="T648" i="1"/>
  <c r="T14" i="1"/>
  <c r="T283" i="1"/>
  <c r="T661" i="1"/>
  <c r="T22" i="1"/>
  <c r="T1025" i="1"/>
  <c r="T19" i="1"/>
  <c r="T676" i="1"/>
  <c r="T533" i="1"/>
  <c r="T1024" i="1"/>
  <c r="T42" i="1"/>
  <c r="T459" i="1"/>
  <c r="T1023" i="1"/>
  <c r="T340" i="1"/>
  <c r="T537" i="1"/>
  <c r="T675" i="1"/>
  <c r="T632" i="1"/>
  <c r="T389" i="1"/>
  <c r="T44" i="1"/>
  <c r="T803" i="1"/>
  <c r="T544" i="1"/>
  <c r="T553" i="1"/>
  <c r="T558" i="1"/>
  <c r="T638" i="1"/>
  <c r="T242" i="1"/>
  <c r="T94" i="1"/>
  <c r="T103" i="1"/>
  <c r="T1020" i="1"/>
  <c r="T348" i="1"/>
  <c r="T308" i="1"/>
  <c r="T438" i="1"/>
  <c r="T516" i="1"/>
  <c r="T223" i="1"/>
  <c r="T540" i="1"/>
  <c r="T1075" i="1"/>
  <c r="T336" i="1"/>
  <c r="T618" i="1"/>
  <c r="T617" i="1"/>
  <c r="T545" i="1"/>
  <c r="T1074" i="1"/>
  <c r="T131" i="1"/>
  <c r="T725" i="1"/>
  <c r="T54" i="1"/>
  <c r="T461" i="1"/>
  <c r="T38" i="1"/>
  <c r="T619" i="1"/>
  <c r="T129" i="1"/>
  <c r="T45" i="1"/>
  <c r="T883" i="1"/>
  <c r="T515" i="1"/>
  <c r="T317" i="1"/>
  <c r="T397" i="1"/>
  <c r="T517" i="1"/>
  <c r="T227" i="1"/>
  <c r="T191" i="1"/>
  <c r="T427" i="1"/>
  <c r="T1019" i="1"/>
  <c r="T763" i="1"/>
  <c r="T1018" i="1"/>
  <c r="T455" i="1"/>
  <c r="T338" i="1"/>
  <c r="T664" i="1"/>
  <c r="T59" i="1"/>
  <c r="T171" i="1"/>
  <c r="T513" i="1"/>
  <c r="T125" i="1"/>
  <c r="T1016" i="1"/>
  <c r="T493" i="1"/>
  <c r="T594" i="1"/>
  <c r="T577" i="1"/>
  <c r="T653" i="1"/>
  <c r="T547" i="1"/>
  <c r="T434" i="1"/>
  <c r="T602" i="1"/>
  <c r="T1015" i="1"/>
  <c r="T471" i="1"/>
  <c r="T460" i="1"/>
  <c r="T1082" i="1"/>
  <c r="T1014" i="1"/>
  <c r="T775" i="1"/>
  <c r="T1012" i="1"/>
  <c r="T194" i="1"/>
  <c r="T86" i="1"/>
  <c r="T1011" i="1"/>
  <c r="T179" i="1"/>
  <c r="T342" i="1"/>
  <c r="T407" i="1"/>
  <c r="T267" i="1"/>
  <c r="T556" i="1"/>
  <c r="T414" i="1"/>
  <c r="T484" i="1"/>
  <c r="T804" i="1"/>
  <c r="T1010" i="1"/>
  <c r="T561" i="1"/>
  <c r="T921" i="1"/>
  <c r="T154" i="1"/>
  <c r="T422" i="1"/>
  <c r="T512" i="1"/>
  <c r="T298" i="1"/>
  <c r="T263" i="1"/>
  <c r="T934" i="1"/>
  <c r="T581" i="1"/>
  <c r="T634" i="1"/>
  <c r="T571" i="1"/>
  <c r="T1008" i="1"/>
  <c r="T784" i="1"/>
  <c r="T522" i="1"/>
  <c r="T448" i="1"/>
  <c r="T496" i="1"/>
  <c r="T279" i="1"/>
  <c r="T609" i="1"/>
  <c r="T569" i="1"/>
  <c r="T411" i="1"/>
  <c r="T1006" i="1"/>
  <c r="T726" i="1"/>
  <c r="T565" i="1"/>
  <c r="T107" i="1"/>
  <c r="T466" i="1"/>
  <c r="T613" i="1"/>
  <c r="T592" i="1"/>
  <c r="T253" i="1"/>
  <c r="T245" i="1"/>
  <c r="T673" i="1"/>
  <c r="T367" i="1"/>
  <c r="T95" i="1"/>
  <c r="T481" i="1"/>
  <c r="T209" i="1"/>
  <c r="T162" i="1"/>
  <c r="T487" i="1"/>
  <c r="T323" i="1"/>
  <c r="T231" i="1"/>
  <c r="T681" i="1"/>
  <c r="T299" i="1"/>
  <c r="T392" i="1"/>
  <c r="T596" i="1"/>
  <c r="T649" i="1"/>
  <c r="T552" i="1"/>
  <c r="T261" i="1"/>
  <c r="T240" i="1"/>
  <c r="T1001" i="1"/>
  <c r="T157" i="1"/>
  <c r="T1065" i="1"/>
  <c r="T421" i="1"/>
  <c r="T243" i="1"/>
  <c r="T17" i="1"/>
  <c r="T1000" i="1"/>
  <c r="T399" i="1"/>
  <c r="T1079" i="1"/>
  <c r="T384" i="1"/>
  <c r="T546" i="1"/>
  <c r="T332" i="1"/>
  <c r="T780" i="1"/>
  <c r="T277" i="1"/>
  <c r="T1077" i="1"/>
  <c r="T489" i="1"/>
  <c r="T543" i="1"/>
  <c r="T364" i="1"/>
  <c r="T193" i="1"/>
  <c r="T174" i="1"/>
  <c r="T291" i="1"/>
  <c r="T353" i="1"/>
  <c r="T53" i="1"/>
  <c r="T670" i="1"/>
  <c r="T208" i="1"/>
  <c r="T416" i="1"/>
  <c r="T551" i="1"/>
  <c r="T379" i="1"/>
  <c r="T444" i="1"/>
  <c r="T238" i="1"/>
  <c r="T519" i="1"/>
  <c r="T531" i="1"/>
  <c r="T1084" i="1"/>
  <c r="T575" i="1"/>
  <c r="T37" i="1"/>
  <c r="T604" i="1"/>
  <c r="T998" i="1"/>
  <c r="T312" i="1"/>
  <c r="T524" i="1"/>
  <c r="T310" i="1"/>
  <c r="T258" i="1"/>
  <c r="T248" i="1"/>
  <c r="T249" i="1"/>
  <c r="T615" i="1"/>
  <c r="T525" i="1"/>
  <c r="T712" i="1"/>
  <c r="T660" i="1"/>
  <c r="T262" i="1"/>
  <c r="T997" i="1"/>
  <c r="T284" i="1"/>
  <c r="T278" i="1"/>
  <c r="T620" i="1"/>
  <c r="T147" i="1"/>
  <c r="T996" i="1"/>
  <c r="T228" i="1"/>
  <c r="T630" i="1"/>
  <c r="T351" i="1"/>
  <c r="T302" i="1"/>
  <c r="T304" i="1"/>
  <c r="T457" i="1"/>
  <c r="T303" i="1"/>
  <c r="T995" i="1"/>
  <c r="T994" i="1"/>
  <c r="T993" i="1"/>
  <c r="T13" i="1"/>
  <c r="T214" i="1"/>
  <c r="T211" i="1"/>
  <c r="T210" i="1"/>
  <c r="T207" i="1"/>
  <c r="T766" i="1"/>
  <c r="T491" i="1"/>
  <c r="T203" i="1"/>
  <c r="T198" i="1"/>
  <c r="T511" i="1"/>
  <c r="T440" i="1"/>
  <c r="T486" i="1"/>
  <c r="T307" i="1"/>
  <c r="T306" i="1"/>
  <c r="T158" i="1"/>
  <c r="T432" i="1"/>
  <c r="T186" i="1"/>
  <c r="T659" i="1"/>
  <c r="T420" i="1"/>
  <c r="T358" i="1"/>
  <c r="T301" i="1"/>
  <c r="T817" i="1"/>
  <c r="T322" i="1"/>
  <c r="T319" i="1"/>
  <c r="T185" i="1"/>
  <c r="T181" i="1"/>
  <c r="T123" i="1"/>
  <c r="T614" i="1"/>
  <c r="T583" i="1"/>
  <c r="T16" i="1"/>
  <c r="T239" i="1"/>
  <c r="T293" i="1"/>
  <c r="T271" i="1"/>
  <c r="T222" i="1"/>
  <c r="T345" i="1"/>
  <c r="T990" i="1"/>
  <c r="T989" i="1"/>
  <c r="T452" i="1"/>
  <c r="T451" i="1"/>
  <c r="T449" i="1"/>
  <c r="T987" i="1"/>
  <c r="T15" i="1"/>
  <c r="T116" i="1"/>
  <c r="T901" i="1"/>
  <c r="T113" i="1"/>
  <c r="T276" i="1"/>
  <c r="T446" i="1"/>
  <c r="T443" i="1"/>
  <c r="T442" i="1"/>
  <c r="T441" i="1"/>
  <c r="T161" i="1"/>
  <c r="T273" i="1"/>
  <c r="T329" i="1"/>
  <c r="T439" i="1"/>
  <c r="T984" i="1"/>
  <c r="T528" i="1"/>
  <c r="T73" i="1"/>
  <c r="T268" i="1"/>
  <c r="T433" i="1"/>
  <c r="T584" i="1"/>
  <c r="T425" i="1"/>
  <c r="T590" i="1"/>
  <c r="T456" i="1"/>
  <c r="T328" i="1"/>
  <c r="T326" i="1"/>
  <c r="T80" i="1"/>
  <c r="T983" i="1"/>
  <c r="T349" i="1"/>
  <c r="T260" i="1"/>
  <c r="T264" i="1"/>
  <c r="T320" i="1"/>
  <c r="T141" i="1"/>
  <c r="T257" i="1"/>
  <c r="T507" i="1"/>
  <c r="T470" i="1"/>
  <c r="T418" i="1"/>
  <c r="T774" i="1"/>
  <c r="T982" i="1"/>
  <c r="T608" i="1"/>
  <c r="T324" i="1"/>
  <c r="T176" i="1"/>
  <c r="T20" i="1"/>
  <c r="T429" i="1"/>
  <c r="T341" i="1"/>
  <c r="T409" i="1"/>
  <c r="T230" i="1"/>
  <c r="T616" i="1"/>
  <c r="T244" i="1"/>
  <c r="T435" i="1"/>
  <c r="T295" i="1"/>
  <c r="T233" i="1"/>
  <c r="T582" i="1"/>
  <c r="T639" i="1"/>
  <c r="T398" i="1"/>
  <c r="T350" i="1"/>
  <c r="T169" i="1"/>
  <c r="T172" i="1"/>
  <c r="T980" i="1"/>
  <c r="T168" i="1"/>
  <c r="T458" i="1"/>
  <c r="T819" i="1"/>
  <c r="T574" i="1"/>
  <c r="T979" i="1"/>
  <c r="T383" i="1"/>
  <c r="T976" i="1"/>
  <c r="T382" i="1"/>
  <c r="T381" i="1"/>
  <c r="T378" i="1"/>
  <c r="T779" i="1"/>
  <c r="T256" i="1"/>
  <c r="T56" i="1"/>
  <c r="T898" i="1"/>
  <c r="T371" i="1"/>
  <c r="T752" i="1"/>
  <c r="T331" i="1"/>
  <c r="T369" i="1"/>
  <c r="T521" i="1"/>
  <c r="T366" i="1"/>
  <c r="T488" i="1"/>
  <c r="T134" i="1"/>
  <c r="T165" i="1"/>
  <c r="T187" i="1"/>
  <c r="T182" i="1"/>
  <c r="T474" i="1"/>
  <c r="T173" i="1"/>
  <c r="T269" i="1"/>
  <c r="T177" i="1"/>
  <c r="T226" i="1"/>
  <c r="T667" i="1"/>
  <c r="T163" i="1"/>
  <c r="T285" i="1"/>
  <c r="T229" i="1"/>
  <c r="T359" i="1"/>
  <c r="T225" i="1"/>
  <c r="T138" i="1"/>
  <c r="T562" i="1"/>
  <c r="T973" i="1"/>
  <c r="T300" i="1"/>
  <c r="T423" i="1"/>
  <c r="T220" i="1"/>
  <c r="T26" i="1"/>
  <c r="T463" i="1"/>
  <c r="T189" i="1"/>
  <c r="T65" i="1"/>
  <c r="T221" i="1"/>
  <c r="T626" i="1"/>
  <c r="T870" i="1"/>
  <c r="T224" i="1"/>
  <c r="T419" i="1"/>
  <c r="T327" i="1"/>
  <c r="T498" i="1"/>
  <c r="T495" i="1"/>
  <c r="T972" i="1"/>
  <c r="T132" i="1"/>
  <c r="T971" i="1"/>
  <c r="T417" i="1"/>
  <c r="T66" i="1"/>
  <c r="T254" i="1"/>
  <c r="T970" i="1"/>
  <c r="T31" i="1"/>
  <c r="T29" i="1"/>
  <c r="T156" i="1"/>
  <c r="T718" i="1"/>
  <c r="T478" i="1"/>
  <c r="T1081" i="1"/>
  <c r="T250" i="1"/>
  <c r="T106" i="1"/>
  <c r="T588" i="1"/>
  <c r="T404" i="1"/>
  <c r="T401" i="1"/>
  <c r="T464" i="1"/>
  <c r="T160" i="1"/>
  <c r="T453" i="1"/>
  <c r="T977" i="1"/>
  <c r="T988" i="1"/>
  <c r="T121" i="1"/>
  <c r="T286" i="1"/>
  <c r="T500" i="1"/>
  <c r="T314" i="1"/>
  <c r="T119" i="1"/>
  <c r="T118" i="1"/>
  <c r="T117" i="1"/>
  <c r="T896" i="1"/>
  <c r="T570" i="1"/>
  <c r="T175" i="1"/>
  <c r="T143" i="1"/>
  <c r="T294" i="1"/>
  <c r="T274" i="1"/>
  <c r="T566" i="1"/>
  <c r="T966" i="1"/>
  <c r="T964" i="1"/>
  <c r="T232" i="1"/>
  <c r="T25" i="1"/>
  <c r="T410" i="1"/>
  <c r="T151" i="1"/>
  <c r="T428" i="1"/>
  <c r="T48" i="1"/>
  <c r="T292" i="1"/>
  <c r="T679" i="1"/>
  <c r="T476" i="1"/>
  <c r="T137" i="1"/>
  <c r="T405" i="1"/>
  <c r="T93" i="1"/>
  <c r="T36" i="1"/>
  <c r="T71" i="1"/>
  <c r="T395" i="1"/>
  <c r="T557" i="1"/>
  <c r="T573" i="1"/>
  <c r="T213" i="1"/>
  <c r="T69" i="1"/>
  <c r="T255" i="1"/>
  <c r="T963" i="1"/>
  <c r="T494" i="1"/>
  <c r="T89" i="1"/>
  <c r="T114" i="1"/>
  <c r="T492" i="1"/>
  <c r="T87" i="1"/>
  <c r="T968" i="1"/>
  <c r="T201" i="1"/>
  <c r="T200" i="1"/>
  <c r="T199" i="1"/>
  <c r="T39" i="1"/>
  <c r="T195" i="1"/>
  <c r="T550" i="1"/>
  <c r="T64" i="1"/>
  <c r="T357" i="1"/>
  <c r="T180" i="1"/>
  <c r="T115" i="1"/>
  <c r="T961" i="1"/>
  <c r="T365" i="1"/>
  <c r="T235" i="1"/>
  <c r="T92" i="1"/>
  <c r="T63" i="1"/>
  <c r="T599" i="1"/>
  <c r="T960" i="1"/>
  <c r="T152" i="1"/>
  <c r="T377" i="1"/>
  <c r="T144" i="1"/>
  <c r="T281" i="1"/>
  <c r="T266" i="1"/>
  <c r="T12" i="1"/>
  <c r="T296" i="1"/>
  <c r="T633" i="1"/>
  <c r="T259" i="1"/>
  <c r="T83" i="1"/>
  <c r="T219" i="1"/>
  <c r="T906" i="1"/>
  <c r="T325" i="1"/>
  <c r="T98" i="1"/>
  <c r="T585" i="1"/>
  <c r="T508" i="1"/>
  <c r="T935" i="1"/>
  <c r="T124" i="1"/>
  <c r="T122" i="1"/>
  <c r="T287" i="1"/>
  <c r="T120" i="1"/>
  <c r="T920" i="1"/>
  <c r="T450" i="1"/>
  <c r="T313" i="1"/>
  <c r="T916" i="1"/>
  <c r="T41" i="1"/>
  <c r="T40" i="1"/>
  <c r="T280" i="1"/>
  <c r="T907" i="1"/>
  <c r="T765" i="1"/>
  <c r="T899" i="1"/>
  <c r="T895" i="1"/>
  <c r="T112" i="1"/>
  <c r="T958" i="1"/>
  <c r="T957" i="1"/>
  <c r="T882" i="1"/>
  <c r="T876" i="1"/>
  <c r="T275" i="1"/>
  <c r="T109" i="1"/>
  <c r="T108" i="1"/>
  <c r="T871" i="1"/>
  <c r="T58" i="1"/>
  <c r="T595" i="1"/>
  <c r="T321" i="1"/>
  <c r="T96" i="1"/>
  <c r="T873" i="1"/>
  <c r="T62" i="1"/>
  <c r="T85" i="1"/>
  <c r="T554" i="1"/>
  <c r="T376" i="1"/>
  <c r="T955" i="1"/>
  <c r="T954" i="1"/>
  <c r="T236" i="1"/>
  <c r="T953" i="1"/>
  <c r="T288" i="1"/>
  <c r="T49" i="1"/>
  <c r="T33" i="1"/>
  <c r="T72" i="1"/>
  <c r="T951" i="1"/>
  <c r="T146" i="1"/>
  <c r="T370" i="1"/>
  <c r="T78" i="1"/>
  <c r="T77" i="1"/>
  <c r="T130" i="1"/>
  <c r="T76" i="1"/>
  <c r="T826" i="1"/>
  <c r="T135" i="1"/>
  <c r="T252" i="1"/>
  <c r="T869" i="1"/>
  <c r="T99" i="1"/>
  <c r="T75" i="1"/>
  <c r="T931" i="1"/>
  <c r="T97" i="1"/>
  <c r="T950" i="1"/>
  <c r="T932" i="1"/>
  <c r="T897" i="1"/>
  <c r="T948" i="1"/>
  <c r="T949" i="1"/>
  <c r="T868" i="1"/>
  <c r="T91" i="1"/>
  <c r="T142" i="1"/>
  <c r="T74" i="1"/>
  <c r="T52" i="1"/>
  <c r="T930" i="1"/>
  <c r="T43" i="1"/>
  <c r="T668" i="1"/>
  <c r="T503" i="1"/>
  <c r="T21" i="1"/>
  <c r="T947" i="1"/>
  <c r="T946" i="1"/>
  <c r="T510" i="1"/>
  <c r="T945" i="1"/>
  <c r="T178" i="1"/>
  <c r="T477" i="1"/>
  <c r="T483" i="1"/>
  <c r="T5" i="1"/>
  <c r="T944" i="1"/>
  <c r="T11" i="1"/>
  <c r="T502" i="1"/>
  <c r="T943" i="1"/>
  <c r="T356" i="1"/>
  <c r="T297" i="1"/>
  <c r="T184" i="1"/>
  <c r="T942" i="1"/>
  <c r="T940" i="1"/>
  <c r="T692" i="1"/>
  <c r="T939" i="1"/>
  <c r="T938" i="1"/>
  <c r="T936" i="1"/>
  <c r="T941" i="1"/>
  <c r="K1190" i="1"/>
  <c r="K1189" i="1"/>
  <c r="K1188" i="1"/>
  <c r="K1186" i="1"/>
  <c r="K1185" i="1"/>
  <c r="K1184" i="1"/>
  <c r="K1183" i="1"/>
  <c r="K1182" i="1"/>
  <c r="K1181" i="1"/>
  <c r="K1180" i="1"/>
  <c r="K1179" i="1"/>
  <c r="K1178" i="1"/>
  <c r="K1177" i="1"/>
  <c r="K1176" i="1"/>
  <c r="K1175" i="1"/>
  <c r="K1174" i="1"/>
  <c r="K1173" i="1"/>
  <c r="K1172" i="1"/>
  <c r="K1170" i="1"/>
  <c r="K1169" i="1"/>
  <c r="K1168" i="1"/>
  <c r="K1167" i="1"/>
  <c r="K1166" i="1"/>
  <c r="K1165" i="1"/>
  <c r="K1164" i="1"/>
  <c r="K1163" i="1"/>
  <c r="K1161" i="1"/>
  <c r="K1160" i="1"/>
  <c r="K1159" i="1"/>
  <c r="K1158" i="1"/>
  <c r="K1157" i="1"/>
  <c r="K1156" i="1"/>
  <c r="K1155" i="1"/>
  <c r="K1154" i="1"/>
  <c r="K1153" i="1"/>
  <c r="K1152" i="1"/>
  <c r="K1151" i="1"/>
  <c r="K1150" i="1"/>
  <c r="K1149" i="1"/>
  <c r="K1147" i="1"/>
  <c r="K1144" i="1"/>
  <c r="K1143" i="1"/>
  <c r="K1142" i="1"/>
  <c r="K1141" i="1"/>
  <c r="K1140" i="1"/>
  <c r="K1139" i="1"/>
  <c r="K1138" i="1"/>
  <c r="K1137" i="1"/>
  <c r="K1136" i="1"/>
  <c r="K840" i="1"/>
  <c r="K1135" i="1"/>
  <c r="K1124" i="1"/>
  <c r="K1123" i="1"/>
  <c r="K1122" i="1"/>
  <c r="K1121" i="1"/>
  <c r="K1120" i="1"/>
  <c r="K1119" i="1"/>
  <c r="K1118" i="1"/>
  <c r="K1117" i="1"/>
  <c r="K1116" i="1"/>
  <c r="K1115" i="1"/>
  <c r="K1114" i="1"/>
  <c r="K1113" i="1"/>
  <c r="K1112" i="1"/>
  <c r="K1111" i="1"/>
  <c r="K1110" i="1"/>
  <c r="K1109" i="1"/>
  <c r="K1108" i="1"/>
  <c r="K1107" i="1"/>
  <c r="K1106" i="1"/>
  <c r="K1105" i="1"/>
  <c r="K1104" i="1"/>
  <c r="K1103" i="1"/>
  <c r="K1102" i="1"/>
  <c r="K1101" i="1"/>
  <c r="K1100" i="1"/>
  <c r="K1099" i="1"/>
  <c r="K1098" i="1"/>
  <c r="K1097" i="1"/>
  <c r="K1096" i="1"/>
  <c r="K1095" i="1"/>
  <c r="K1093" i="1"/>
  <c r="K1091" i="1"/>
  <c r="K1090" i="1"/>
  <c r="K1089" i="1"/>
  <c r="K1088" i="1"/>
  <c r="K1086" i="1"/>
  <c r="K1072" i="1"/>
  <c r="K1071" i="1"/>
  <c r="K1070" i="1"/>
  <c r="K1069" i="1"/>
  <c r="K1068" i="1"/>
  <c r="K1067" i="1"/>
  <c r="K1066" i="1"/>
  <c r="K1064" i="1"/>
  <c r="K1062" i="1"/>
  <c r="K1061" i="1"/>
  <c r="K1060" i="1"/>
  <c r="K1059" i="1"/>
  <c r="K1058" i="1"/>
  <c r="K1057" i="1"/>
  <c r="K1056" i="1"/>
  <c r="K1055" i="1"/>
  <c r="K1054" i="1"/>
  <c r="K1053" i="1"/>
  <c r="K1052" i="1"/>
  <c r="K1051" i="1"/>
  <c r="K1050" i="1"/>
  <c r="K1049" i="1"/>
  <c r="K1048" i="1"/>
  <c r="K1047" i="1"/>
  <c r="K1046" i="1"/>
  <c r="K1045" i="1"/>
  <c r="K1044" i="1"/>
  <c r="K1043" i="1"/>
  <c r="K1042" i="1"/>
  <c r="K1041" i="1"/>
  <c r="K1040" i="1"/>
  <c r="K1038" i="1"/>
  <c r="K1036" i="1"/>
  <c r="K1034" i="1"/>
  <c r="K1031" i="1"/>
  <c r="K1026" i="1"/>
  <c r="K1022" i="1"/>
  <c r="K1021" i="1"/>
  <c r="K1017" i="1"/>
  <c r="K1013" i="1"/>
  <c r="K1009" i="1"/>
  <c r="K1007" i="1"/>
  <c r="K1005" i="1"/>
  <c r="K1004" i="1"/>
  <c r="K1003" i="1"/>
  <c r="K1002" i="1"/>
  <c r="K999" i="1"/>
  <c r="K992" i="1"/>
  <c r="K991" i="1"/>
  <c r="K986" i="1"/>
  <c r="K985" i="1"/>
  <c r="K981" i="1"/>
  <c r="K978" i="1"/>
  <c r="K975" i="1"/>
  <c r="K974" i="1"/>
  <c r="K969" i="1"/>
  <c r="K967" i="1"/>
  <c r="K965" i="1"/>
  <c r="K962" i="1"/>
  <c r="K959" i="1"/>
  <c r="K956" i="1"/>
  <c r="K952" i="1"/>
  <c r="K933" i="1"/>
  <c r="K1187" i="1"/>
  <c r="K929" i="1"/>
  <c r="K928" i="1"/>
  <c r="K927" i="1"/>
  <c r="K924" i="1"/>
  <c r="K922" i="1"/>
  <c r="K6" i="1"/>
  <c r="K282" i="1"/>
  <c r="K918" i="1"/>
  <c r="K917" i="1"/>
  <c r="K915" i="1"/>
  <c r="K914" i="1"/>
  <c r="K913" i="1"/>
  <c r="K911" i="1"/>
  <c r="K90" i="1"/>
  <c r="K373" i="1"/>
  <c r="K372" i="1"/>
  <c r="K908" i="1"/>
  <c r="K905" i="1"/>
  <c r="K904" i="1"/>
  <c r="K903" i="1"/>
  <c r="K902" i="1"/>
  <c r="K894" i="1"/>
  <c r="K893" i="1"/>
  <c r="K890" i="1"/>
  <c r="K889" i="1"/>
  <c r="K400" i="1"/>
  <c r="K754" i="1"/>
  <c r="K204" i="1"/>
  <c r="K887" i="1"/>
  <c r="K881" i="1"/>
  <c r="K880" i="1"/>
  <c r="K879" i="1"/>
  <c r="K1171" i="1"/>
  <c r="K875" i="1"/>
  <c r="K874" i="1"/>
  <c r="K716" i="1"/>
  <c r="K715" i="1"/>
  <c r="K872" i="1"/>
  <c r="K67" i="1"/>
  <c r="K170" i="1"/>
  <c r="K1162" i="1"/>
  <c r="K35" i="1"/>
  <c r="K18" i="1"/>
  <c r="K32" i="1"/>
  <c r="K867" i="1"/>
  <c r="K866" i="1"/>
  <c r="K865" i="1"/>
  <c r="K864" i="1"/>
  <c r="K1148" i="1"/>
  <c r="K863" i="1"/>
  <c r="K862" i="1"/>
  <c r="K1146" i="1"/>
  <c r="K1145" i="1"/>
  <c r="K861" i="1"/>
  <c r="K860" i="1"/>
  <c r="K859" i="1"/>
  <c r="K858" i="1"/>
  <c r="K857" i="1"/>
  <c r="K856" i="1"/>
  <c r="K854" i="1"/>
  <c r="K853" i="1"/>
  <c r="K852" i="1"/>
  <c r="K851" i="1"/>
  <c r="K850" i="1"/>
  <c r="K849" i="1"/>
  <c r="K848" i="1"/>
  <c r="K847" i="1"/>
  <c r="K846" i="1"/>
  <c r="K845" i="1"/>
  <c r="K844" i="1"/>
  <c r="K843" i="1"/>
  <c r="K842" i="1"/>
  <c r="K839" i="1"/>
  <c r="K838" i="1"/>
  <c r="K837" i="1"/>
  <c r="K836" i="1"/>
  <c r="K835" i="1"/>
  <c r="K834" i="1"/>
  <c r="K833" i="1"/>
  <c r="K832" i="1"/>
  <c r="K831" i="1"/>
  <c r="K830" i="1"/>
  <c r="K1134" i="1"/>
  <c r="K1133" i="1"/>
  <c r="K1132" i="1"/>
  <c r="K829" i="1"/>
  <c r="K1131" i="1"/>
  <c r="K1130" i="1"/>
  <c r="K1129" i="1"/>
  <c r="K1128" i="1"/>
  <c r="K1127" i="1"/>
  <c r="K1126" i="1"/>
  <c r="K1125" i="1"/>
  <c r="K196" i="1"/>
  <c r="K822" i="1"/>
  <c r="K821" i="1"/>
  <c r="K820" i="1"/>
  <c r="K818" i="1"/>
  <c r="K816" i="1"/>
  <c r="K815" i="1"/>
  <c r="K814" i="1"/>
  <c r="K813" i="1"/>
  <c r="K812" i="1"/>
  <c r="K811" i="1"/>
  <c r="K809" i="1"/>
  <c r="K808" i="1"/>
  <c r="K807" i="1"/>
  <c r="K1094" i="1"/>
  <c r="K806" i="1"/>
  <c r="K805" i="1"/>
  <c r="K81" i="1"/>
  <c r="K505" i="1"/>
  <c r="K388" i="1"/>
  <c r="K627" i="1"/>
  <c r="K802" i="1"/>
  <c r="K436" i="1"/>
  <c r="K70" i="1"/>
  <c r="K387" i="1"/>
  <c r="K801" i="1"/>
  <c r="K30" i="1"/>
  <c r="K926" i="1"/>
  <c r="K925" i="1"/>
  <c r="K386" i="1"/>
  <c r="K100" i="1"/>
  <c r="K406" i="1"/>
  <c r="K218" i="1"/>
  <c r="K923" i="1"/>
  <c r="K23" i="1"/>
  <c r="K84" i="1"/>
  <c r="K145" i="1"/>
  <c r="K217" i="1"/>
  <c r="K572" i="1"/>
  <c r="K800" i="1"/>
  <c r="K799" i="1"/>
  <c r="K155" i="1"/>
  <c r="K385" i="1"/>
  <c r="K215" i="1"/>
  <c r="K1092" i="1"/>
  <c r="K344" i="1"/>
  <c r="K501" i="1"/>
  <c r="K380" i="1"/>
  <c r="K212" i="1"/>
  <c r="K782" i="1"/>
  <c r="K499" i="1"/>
  <c r="K781" i="1"/>
  <c r="K919" i="1"/>
  <c r="K375" i="1"/>
  <c r="K778" i="1"/>
  <c r="K497" i="1"/>
  <c r="K374" i="1"/>
  <c r="K777" i="1"/>
  <c r="K776" i="1"/>
  <c r="K352" i="1"/>
  <c r="K68" i="1"/>
  <c r="K234" i="1"/>
  <c r="K206" i="1"/>
  <c r="K773" i="1"/>
  <c r="K912" i="1"/>
  <c r="K205" i="1"/>
  <c r="K772" i="1"/>
  <c r="K910" i="1"/>
  <c r="K909" i="1"/>
  <c r="K768" i="1"/>
  <c r="K767" i="1"/>
  <c r="K764" i="1"/>
  <c r="K24" i="1"/>
  <c r="K900" i="1"/>
  <c r="K10" i="1"/>
  <c r="K1085" i="1"/>
  <c r="K88" i="1"/>
  <c r="K762" i="1"/>
  <c r="K892" i="1"/>
  <c r="K761" i="1"/>
  <c r="K760" i="1"/>
  <c r="K759" i="1"/>
  <c r="K891" i="1"/>
  <c r="K758" i="1"/>
  <c r="K757" i="1"/>
  <c r="K888" i="1"/>
  <c r="K756" i="1"/>
  <c r="K755" i="1"/>
  <c r="K753" i="1"/>
  <c r="K111" i="1"/>
  <c r="K1078" i="1"/>
  <c r="K1076" i="1"/>
  <c r="K1073" i="1"/>
  <c r="K877" i="1"/>
  <c r="K468" i="1"/>
  <c r="K311" i="1"/>
  <c r="K555" i="1"/>
  <c r="K318" i="1"/>
  <c r="K445" i="1"/>
  <c r="K60" i="1"/>
  <c r="K202" i="1"/>
  <c r="K82" i="1"/>
  <c r="K79" i="1"/>
  <c r="K568" i="1"/>
  <c r="K475" i="1"/>
  <c r="K110" i="1"/>
  <c r="K724" i="1"/>
  <c r="K723" i="1"/>
  <c r="K722" i="1"/>
  <c r="K721" i="1"/>
  <c r="K720" i="1"/>
  <c r="K567" i="1"/>
  <c r="K490" i="1"/>
  <c r="K402" i="1"/>
  <c r="K188" i="1"/>
  <c r="K251" i="1"/>
  <c r="K711" i="1"/>
  <c r="K334" i="1"/>
  <c r="K426" i="1"/>
  <c r="K710" i="1"/>
  <c r="K368" i="1"/>
  <c r="K709" i="1"/>
  <c r="K61" i="1"/>
  <c r="K707" i="1"/>
  <c r="K1063" i="1"/>
  <c r="K706" i="1"/>
  <c r="K705" i="1"/>
  <c r="K197" i="1"/>
  <c r="K9" i="1"/>
  <c r="K8" i="1"/>
  <c r="K704" i="1"/>
  <c r="K391" i="1"/>
  <c r="K828" i="1"/>
  <c r="K700" i="1"/>
  <c r="K699" i="1"/>
  <c r="K827" i="1"/>
  <c r="K698" i="1"/>
  <c r="K337" i="1"/>
  <c r="K4" i="1"/>
  <c r="K644" i="1"/>
  <c r="K825" i="1"/>
  <c r="K824" i="1"/>
  <c r="K823" i="1"/>
  <c r="K346" i="1"/>
  <c r="K480" i="1"/>
  <c r="K333" i="1"/>
  <c r="K363" i="1"/>
  <c r="K693" i="1"/>
  <c r="K523" i="1"/>
  <c r="K289" i="1"/>
  <c r="K532" i="1"/>
  <c r="K362" i="1"/>
  <c r="K690" i="1"/>
  <c r="K192" i="1"/>
  <c r="K688" i="1"/>
  <c r="K28" i="1"/>
  <c r="K687" i="1"/>
  <c r="K1039" i="1"/>
  <c r="K27" i="1"/>
  <c r="K479" i="1"/>
  <c r="K686" i="1"/>
  <c r="K677" i="1"/>
  <c r="K431" i="1"/>
  <c r="K128" i="1"/>
  <c r="K580" i="1"/>
  <c r="K640" i="1"/>
  <c r="K309" i="1"/>
  <c r="K607" i="1"/>
  <c r="K643" i="1"/>
  <c r="K674" i="1"/>
  <c r="K684" i="1"/>
  <c r="K593" i="1"/>
  <c r="K587" i="1"/>
  <c r="K685" i="1"/>
  <c r="K589" i="1"/>
  <c r="K696" i="1"/>
  <c r="K651" i="1"/>
  <c r="K647" i="1"/>
  <c r="K361" i="1"/>
  <c r="K621" i="1"/>
  <c r="K611" i="1"/>
  <c r="K290" i="1"/>
  <c r="K591" i="1"/>
  <c r="K485" i="1"/>
  <c r="K514" i="1"/>
  <c r="K576" i="1"/>
  <c r="K641" i="1"/>
  <c r="K629" i="1"/>
  <c r="K601" i="1"/>
  <c r="K559" i="1"/>
  <c r="K190" i="1"/>
  <c r="K662" i="1"/>
  <c r="K541" i="1"/>
  <c r="K642" i="1"/>
  <c r="K598" i="1"/>
  <c r="K564" i="1"/>
  <c r="K646" i="1"/>
  <c r="K509" i="1"/>
  <c r="K167" i="1"/>
  <c r="K104" i="1"/>
  <c r="K153" i="1"/>
  <c r="K354" i="1"/>
  <c r="K34" i="1"/>
  <c r="K658" i="1"/>
  <c r="K610" i="1"/>
  <c r="K622" i="1"/>
  <c r="K347" i="1"/>
  <c r="K396" i="1"/>
  <c r="K606" i="1"/>
  <c r="K529" i="1"/>
  <c r="K671" i="1"/>
  <c r="K682" i="1"/>
  <c r="K408" i="1"/>
  <c r="K680" i="1"/>
  <c r="K669" i="1"/>
  <c r="K1037" i="1"/>
  <c r="K343" i="1"/>
  <c r="K430" i="1"/>
  <c r="K473" i="1"/>
  <c r="K482" i="1"/>
  <c r="K683" i="1"/>
  <c r="K652" i="1"/>
  <c r="K506" i="1"/>
  <c r="K454" i="1"/>
  <c r="K1083" i="1"/>
  <c r="K467" i="1"/>
  <c r="K666" i="1"/>
  <c r="K393" i="1"/>
  <c r="K563" i="1"/>
  <c r="K447" i="1"/>
  <c r="K623" i="1"/>
  <c r="K663" i="1"/>
  <c r="K1080" i="1"/>
  <c r="K394" i="1"/>
  <c r="K655" i="1"/>
  <c r="K315" i="1"/>
  <c r="K413" i="1"/>
  <c r="K654" i="1"/>
  <c r="K672" i="1"/>
  <c r="K183" i="1"/>
  <c r="K504" i="1"/>
  <c r="K46" i="1"/>
  <c r="K469" i="1"/>
  <c r="K335" i="1"/>
  <c r="K536" i="1"/>
  <c r="K216" i="1"/>
  <c r="K465" i="1"/>
  <c r="K560" i="1"/>
  <c r="K548" i="1"/>
  <c r="K579" i="1"/>
  <c r="K624" i="1"/>
  <c r="K597" i="1"/>
  <c r="K136" i="1"/>
  <c r="K55" i="1"/>
  <c r="K534" i="1"/>
  <c r="K612" i="1"/>
  <c r="K1033" i="1"/>
  <c r="K102" i="1"/>
  <c r="K625" i="1"/>
  <c r="K637" i="1"/>
  <c r="K689" i="1"/>
  <c r="K1035" i="1"/>
  <c r="K270" i="1"/>
  <c r="K247" i="1"/>
  <c r="K1032" i="1"/>
  <c r="K272" i="1"/>
  <c r="K635" i="1"/>
  <c r="K415" i="1"/>
  <c r="K159" i="1"/>
  <c r="K1087" i="1"/>
  <c r="K520" i="1"/>
  <c r="K166" i="1"/>
  <c r="K316" i="1"/>
  <c r="K526" i="1"/>
  <c r="K265" i="1"/>
  <c r="K390" i="1"/>
  <c r="K360" i="1"/>
  <c r="K535" i="1"/>
  <c r="K656" i="1"/>
  <c r="K403" i="1"/>
  <c r="K645" i="1"/>
  <c r="K305" i="1"/>
  <c r="K527" i="1"/>
  <c r="K665" i="1"/>
  <c r="K539" i="1"/>
  <c r="K339" i="1"/>
  <c r="K246" i="1"/>
  <c r="K101" i="1"/>
  <c r="K462" i="1"/>
  <c r="K600" i="1"/>
  <c r="K631" i="1"/>
  <c r="K518" i="1"/>
  <c r="K133" i="1"/>
  <c r="K126" i="1"/>
  <c r="K241" i="1"/>
  <c r="K542" i="1"/>
  <c r="K530" i="1"/>
  <c r="K1030" i="1"/>
  <c r="K636" i="1"/>
  <c r="K605" i="1"/>
  <c r="K586" i="1"/>
  <c r="K578" i="1"/>
  <c r="K657" i="1"/>
  <c r="K472" i="1"/>
  <c r="K150" i="1"/>
  <c r="K678" i="1"/>
  <c r="K355" i="1"/>
  <c r="K1029" i="1"/>
  <c r="K437" i="1"/>
  <c r="K237" i="1"/>
  <c r="K148" i="1"/>
  <c r="K538" i="1"/>
  <c r="K1028" i="1"/>
  <c r="K650" i="1"/>
  <c r="K549" i="1"/>
  <c r="K149" i="1"/>
  <c r="K424" i="1"/>
  <c r="K1027" i="1"/>
  <c r="K603" i="1"/>
  <c r="K330" i="1"/>
  <c r="K412" i="1"/>
  <c r="K628" i="1"/>
  <c r="K648" i="1"/>
  <c r="K14" i="1"/>
  <c r="K283" i="1"/>
  <c r="K661" i="1"/>
  <c r="K22" i="1"/>
  <c r="K1025" i="1"/>
  <c r="K19" i="1"/>
  <c r="K676" i="1"/>
  <c r="K533" i="1"/>
  <c r="K1024" i="1"/>
  <c r="K42" i="1"/>
  <c r="K459" i="1"/>
  <c r="K1023" i="1"/>
  <c r="K340" i="1"/>
  <c r="K537" i="1"/>
  <c r="K675" i="1"/>
  <c r="K632" i="1"/>
  <c r="K389" i="1"/>
  <c r="K44" i="1"/>
  <c r="K803" i="1"/>
  <c r="K544" i="1"/>
  <c r="K553" i="1"/>
  <c r="K558" i="1"/>
  <c r="K638" i="1"/>
  <c r="K242" i="1"/>
  <c r="K94" i="1"/>
  <c r="K103" i="1"/>
  <c r="K1020" i="1"/>
  <c r="K348" i="1"/>
  <c r="K308" i="1"/>
  <c r="K438" i="1"/>
  <c r="K516" i="1"/>
  <c r="K223" i="1"/>
  <c r="K540" i="1"/>
  <c r="K1075" i="1"/>
  <c r="K336" i="1"/>
  <c r="K618" i="1"/>
  <c r="K617" i="1"/>
  <c r="K545" i="1"/>
  <c r="K1074" i="1"/>
  <c r="K131" i="1"/>
  <c r="K725" i="1"/>
  <c r="K54" i="1"/>
  <c r="K461" i="1"/>
  <c r="K38" i="1"/>
  <c r="K619" i="1"/>
  <c r="K129" i="1"/>
  <c r="K45" i="1"/>
  <c r="K883" i="1"/>
  <c r="K515" i="1"/>
  <c r="K317" i="1"/>
  <c r="K397" i="1"/>
  <c r="K517" i="1"/>
  <c r="K227" i="1"/>
  <c r="K191" i="1"/>
  <c r="K427" i="1"/>
  <c r="K1019" i="1"/>
  <c r="K763" i="1"/>
  <c r="K1018" i="1"/>
  <c r="K455" i="1"/>
  <c r="K338" i="1"/>
  <c r="K664" i="1"/>
  <c r="K59" i="1"/>
  <c r="K171" i="1"/>
  <c r="K513" i="1"/>
  <c r="K125" i="1"/>
  <c r="K1016" i="1"/>
  <c r="K493" i="1"/>
  <c r="K594" i="1"/>
  <c r="K577" i="1"/>
  <c r="K653" i="1"/>
  <c r="K547" i="1"/>
  <c r="K434" i="1"/>
  <c r="K602" i="1"/>
  <c r="K1015" i="1"/>
  <c r="K471" i="1"/>
  <c r="K460" i="1"/>
  <c r="K1082" i="1"/>
  <c r="K1014" i="1"/>
  <c r="K775" i="1"/>
  <c r="K1012" i="1"/>
  <c r="K194" i="1"/>
  <c r="K86" i="1"/>
  <c r="K1011" i="1"/>
  <c r="K179" i="1"/>
  <c r="K342" i="1"/>
  <c r="K407" i="1"/>
  <c r="K267" i="1"/>
  <c r="K556" i="1"/>
  <c r="K414" i="1"/>
  <c r="K484" i="1"/>
  <c r="K804" i="1"/>
  <c r="K1010" i="1"/>
  <c r="K561" i="1"/>
  <c r="K921" i="1"/>
  <c r="K154" i="1"/>
  <c r="K422" i="1"/>
  <c r="K512" i="1"/>
  <c r="K298" i="1"/>
  <c r="K263" i="1"/>
  <c r="K934" i="1"/>
  <c r="K581" i="1"/>
  <c r="K634" i="1"/>
  <c r="K571" i="1"/>
  <c r="K1008" i="1"/>
  <c r="K784" i="1"/>
  <c r="K522" i="1"/>
  <c r="K448" i="1"/>
  <c r="K496" i="1"/>
  <c r="K279" i="1"/>
  <c r="K609" i="1"/>
  <c r="K569" i="1"/>
  <c r="K411" i="1"/>
  <c r="K1006" i="1"/>
  <c r="K726" i="1"/>
  <c r="K565" i="1"/>
  <c r="K107" i="1"/>
  <c r="K466" i="1"/>
  <c r="K613" i="1"/>
  <c r="K592" i="1"/>
  <c r="K253" i="1"/>
  <c r="K245" i="1"/>
  <c r="K673" i="1"/>
  <c r="K367" i="1"/>
  <c r="K95" i="1"/>
  <c r="K481" i="1"/>
  <c r="K209" i="1"/>
  <c r="K162" i="1"/>
  <c r="K487" i="1"/>
  <c r="K323" i="1"/>
  <c r="K231" i="1"/>
  <c r="K681" i="1"/>
  <c r="K299" i="1"/>
  <c r="K392" i="1"/>
  <c r="K596" i="1"/>
  <c r="K649" i="1"/>
  <c r="K552" i="1"/>
  <c r="K261" i="1"/>
  <c r="K240" i="1"/>
  <c r="K1001" i="1"/>
  <c r="K157" i="1"/>
  <c r="K1065" i="1"/>
  <c r="K421" i="1"/>
  <c r="K243" i="1"/>
  <c r="K17" i="1"/>
  <c r="K1000" i="1"/>
  <c r="K399" i="1"/>
  <c r="K1079" i="1"/>
  <c r="K384" i="1"/>
  <c r="K546" i="1"/>
  <c r="K332" i="1"/>
  <c r="K780" i="1"/>
  <c r="K277" i="1"/>
  <c r="K1077" i="1"/>
  <c r="K489" i="1"/>
  <c r="K543" i="1"/>
  <c r="K364" i="1"/>
  <c r="K193" i="1"/>
  <c r="K174" i="1"/>
  <c r="K291" i="1"/>
  <c r="K353" i="1"/>
  <c r="K53" i="1"/>
  <c r="K670" i="1"/>
  <c r="K208" i="1"/>
  <c r="K416" i="1"/>
  <c r="K551" i="1"/>
  <c r="K379" i="1"/>
  <c r="K444" i="1"/>
  <c r="K238" i="1"/>
  <c r="K519" i="1"/>
  <c r="K531" i="1"/>
  <c r="K1084" i="1"/>
  <c r="K575" i="1"/>
  <c r="K37" i="1"/>
  <c r="K604" i="1"/>
  <c r="K998" i="1"/>
  <c r="K312" i="1"/>
  <c r="K524" i="1"/>
  <c r="K310" i="1"/>
  <c r="K258" i="1"/>
  <c r="K248" i="1"/>
  <c r="K249" i="1"/>
  <c r="K615" i="1"/>
  <c r="K525" i="1"/>
  <c r="K712" i="1"/>
  <c r="K660" i="1"/>
  <c r="K262" i="1"/>
  <c r="K997" i="1"/>
  <c r="K284" i="1"/>
  <c r="K278" i="1"/>
  <c r="K620" i="1"/>
  <c r="K147" i="1"/>
  <c r="K996" i="1"/>
  <c r="K228" i="1"/>
  <c r="K630" i="1"/>
  <c r="K351" i="1"/>
  <c r="K302" i="1"/>
  <c r="K304" i="1"/>
  <c r="K457" i="1"/>
  <c r="K303" i="1"/>
  <c r="K995" i="1"/>
  <c r="K994" i="1"/>
  <c r="K993" i="1"/>
  <c r="K13" i="1"/>
  <c r="K214" i="1"/>
  <c r="K211" i="1"/>
  <c r="K210" i="1"/>
  <c r="K207" i="1"/>
  <c r="K766" i="1"/>
  <c r="K491" i="1"/>
  <c r="K203" i="1"/>
  <c r="K198" i="1"/>
  <c r="K511" i="1"/>
  <c r="K440" i="1"/>
  <c r="K486" i="1"/>
  <c r="K307" i="1"/>
  <c r="K306" i="1"/>
  <c r="K158" i="1"/>
  <c r="K432" i="1"/>
  <c r="K186" i="1"/>
  <c r="K659" i="1"/>
  <c r="K420" i="1"/>
  <c r="K358" i="1"/>
  <c r="K301" i="1"/>
  <c r="K817" i="1"/>
  <c r="K322" i="1"/>
  <c r="K319" i="1"/>
  <c r="K185" i="1"/>
  <c r="K181" i="1"/>
  <c r="K123" i="1"/>
  <c r="K614" i="1"/>
  <c r="K583" i="1"/>
  <c r="K16" i="1"/>
  <c r="K239" i="1"/>
  <c r="K293" i="1"/>
  <c r="K271" i="1"/>
  <c r="K222" i="1"/>
  <c r="K345" i="1"/>
  <c r="K990" i="1"/>
  <c r="K989" i="1"/>
  <c r="K451" i="1"/>
  <c r="K449" i="1"/>
  <c r="K987" i="1"/>
  <c r="K15" i="1"/>
  <c r="K116" i="1"/>
  <c r="K901" i="1"/>
  <c r="K113" i="1"/>
  <c r="K276" i="1"/>
  <c r="K446" i="1"/>
  <c r="K443" i="1"/>
  <c r="K442" i="1"/>
  <c r="K441" i="1"/>
  <c r="K161" i="1"/>
  <c r="K273" i="1"/>
  <c r="K329" i="1"/>
  <c r="K439" i="1"/>
  <c r="K984" i="1"/>
  <c r="K528" i="1"/>
  <c r="K73" i="1"/>
  <c r="K268" i="1"/>
  <c r="K433" i="1"/>
  <c r="K584" i="1"/>
  <c r="K425" i="1"/>
  <c r="K590" i="1"/>
  <c r="K456" i="1"/>
  <c r="K328" i="1"/>
  <c r="K326" i="1"/>
  <c r="K80" i="1"/>
  <c r="K983" i="1"/>
  <c r="K349" i="1"/>
  <c r="K260" i="1"/>
  <c r="K264" i="1"/>
  <c r="K320" i="1"/>
  <c r="K141" i="1"/>
  <c r="K257" i="1"/>
  <c r="K507" i="1"/>
  <c r="K470" i="1"/>
  <c r="K418" i="1"/>
  <c r="K774" i="1"/>
  <c r="K982" i="1"/>
  <c r="K608" i="1"/>
  <c r="K324" i="1"/>
  <c r="K176" i="1"/>
  <c r="K20" i="1"/>
  <c r="K429" i="1"/>
  <c r="K341" i="1"/>
  <c r="K409" i="1"/>
  <c r="K230" i="1"/>
  <c r="K616" i="1"/>
  <c r="K244" i="1"/>
  <c r="K435" i="1"/>
  <c r="K295" i="1"/>
  <c r="K233" i="1"/>
  <c r="K582" i="1"/>
  <c r="K639" i="1"/>
  <c r="K398" i="1"/>
  <c r="K350" i="1"/>
  <c r="K169" i="1"/>
  <c r="K172" i="1"/>
  <c r="K980" i="1"/>
  <c r="K168" i="1"/>
  <c r="K458" i="1"/>
  <c r="K819" i="1"/>
  <c r="K574" i="1"/>
  <c r="K979" i="1"/>
  <c r="K976" i="1"/>
  <c r="K382" i="1"/>
  <c r="K381" i="1"/>
  <c r="K378" i="1"/>
  <c r="K779" i="1"/>
  <c r="K256" i="1"/>
  <c r="K56" i="1"/>
  <c r="K898" i="1"/>
  <c r="K371" i="1"/>
  <c r="K752" i="1"/>
  <c r="K331" i="1"/>
  <c r="K369" i="1"/>
  <c r="K521" i="1"/>
  <c r="K366" i="1"/>
  <c r="K488" i="1"/>
  <c r="K134" i="1"/>
  <c r="K165" i="1"/>
  <c r="K187" i="1"/>
  <c r="K182" i="1"/>
  <c r="K474" i="1"/>
  <c r="K173" i="1"/>
  <c r="K269" i="1"/>
  <c r="K177" i="1"/>
  <c r="K226" i="1"/>
  <c r="K667" i="1"/>
  <c r="K163" i="1"/>
  <c r="K285" i="1"/>
  <c r="K229" i="1"/>
  <c r="K359" i="1"/>
  <c r="K225" i="1"/>
  <c r="K138" i="1"/>
  <c r="K562" i="1"/>
  <c r="K973" i="1"/>
  <c r="K300" i="1"/>
  <c r="K423" i="1"/>
  <c r="K220" i="1"/>
  <c r="K26" i="1"/>
  <c r="K463" i="1"/>
  <c r="K189" i="1"/>
  <c r="K65" i="1"/>
  <c r="K221" i="1"/>
  <c r="K626" i="1"/>
  <c r="K870" i="1"/>
  <c r="K224" i="1"/>
  <c r="K419" i="1"/>
  <c r="K327" i="1"/>
  <c r="K498" i="1"/>
  <c r="K495" i="1"/>
  <c r="K972" i="1"/>
  <c r="K132" i="1"/>
  <c r="K971" i="1"/>
  <c r="K417" i="1"/>
  <c r="K66" i="1"/>
  <c r="K254" i="1"/>
  <c r="K970" i="1"/>
  <c r="K31" i="1"/>
  <c r="K29" i="1"/>
  <c r="K156" i="1"/>
  <c r="K718" i="1"/>
  <c r="K478" i="1"/>
  <c r="K1081" i="1"/>
  <c r="K250" i="1"/>
  <c r="K106" i="1"/>
  <c r="K588" i="1"/>
  <c r="K404" i="1"/>
  <c r="K401" i="1"/>
  <c r="K464" i="1"/>
  <c r="K160" i="1"/>
  <c r="K453" i="1"/>
  <c r="K977" i="1"/>
  <c r="K988" i="1"/>
  <c r="K121" i="1"/>
  <c r="K286" i="1"/>
  <c r="K500" i="1"/>
  <c r="K314" i="1"/>
  <c r="K119" i="1"/>
  <c r="K118" i="1"/>
  <c r="K117" i="1"/>
  <c r="K896" i="1"/>
  <c r="K570" i="1"/>
  <c r="K175" i="1"/>
  <c r="K143" i="1"/>
  <c r="K294" i="1"/>
  <c r="K274" i="1"/>
  <c r="K566" i="1"/>
  <c r="K966" i="1"/>
  <c r="K964" i="1"/>
  <c r="K232" i="1"/>
  <c r="K25" i="1"/>
  <c r="K410" i="1"/>
  <c r="K151" i="1"/>
  <c r="K428" i="1"/>
  <c r="K48" i="1"/>
  <c r="K292" i="1"/>
  <c r="K679" i="1"/>
  <c r="K476" i="1"/>
  <c r="K137" i="1"/>
  <c r="K405" i="1"/>
  <c r="K93" i="1"/>
  <c r="K36" i="1"/>
  <c r="K71" i="1"/>
  <c r="K395" i="1"/>
  <c r="K557" i="1"/>
  <c r="K573" i="1"/>
  <c r="K213" i="1"/>
  <c r="K69" i="1"/>
  <c r="K255" i="1"/>
  <c r="K963" i="1"/>
  <c r="K494" i="1"/>
  <c r="K89" i="1"/>
  <c r="K114" i="1"/>
  <c r="K492" i="1"/>
  <c r="K87" i="1"/>
  <c r="K968" i="1"/>
  <c r="K201" i="1"/>
  <c r="K200" i="1"/>
  <c r="K199" i="1"/>
  <c r="K39" i="1"/>
  <c r="K195" i="1"/>
  <c r="K550" i="1"/>
  <c r="K64" i="1"/>
  <c r="K357" i="1"/>
  <c r="K180" i="1"/>
  <c r="K115" i="1"/>
  <c r="K961" i="1"/>
  <c r="K365" i="1"/>
  <c r="K235" i="1"/>
  <c r="K92" i="1"/>
  <c r="K63" i="1"/>
  <c r="K599" i="1"/>
  <c r="K960" i="1"/>
  <c r="K152" i="1"/>
  <c r="K377" i="1"/>
  <c r="K144" i="1"/>
  <c r="K281" i="1"/>
  <c r="K266" i="1"/>
  <c r="K12" i="1"/>
  <c r="K296" i="1"/>
  <c r="K633" i="1"/>
  <c r="K259" i="1"/>
  <c r="K83" i="1"/>
  <c r="K219" i="1"/>
  <c r="K906" i="1"/>
  <c r="K325" i="1"/>
  <c r="K98" i="1"/>
  <c r="K585" i="1"/>
  <c r="K508" i="1"/>
  <c r="K935" i="1"/>
  <c r="K124" i="1"/>
  <c r="K122" i="1"/>
  <c r="K287" i="1"/>
  <c r="K120" i="1"/>
  <c r="K920" i="1"/>
  <c r="K450" i="1"/>
  <c r="K313" i="1"/>
  <c r="K916" i="1"/>
  <c r="K41" i="1"/>
  <c r="K40" i="1"/>
  <c r="K280" i="1"/>
  <c r="K907" i="1"/>
  <c r="K765" i="1"/>
  <c r="K899" i="1"/>
  <c r="K895" i="1"/>
  <c r="K112" i="1"/>
  <c r="K958" i="1"/>
  <c r="K957" i="1"/>
  <c r="K882" i="1"/>
  <c r="K876" i="1"/>
  <c r="K275" i="1"/>
  <c r="K109" i="1"/>
  <c r="K108" i="1"/>
  <c r="K871" i="1"/>
  <c r="K58" i="1"/>
  <c r="K595" i="1"/>
  <c r="K321" i="1"/>
  <c r="K96" i="1"/>
  <c r="K873" i="1"/>
  <c r="K62" i="1"/>
  <c r="K85" i="1"/>
  <c r="K554" i="1"/>
  <c r="K376" i="1"/>
  <c r="K955" i="1"/>
  <c r="K954" i="1"/>
  <c r="K236" i="1"/>
  <c r="K953" i="1"/>
  <c r="K288" i="1"/>
  <c r="K49" i="1"/>
  <c r="K33" i="1"/>
  <c r="K72" i="1"/>
  <c r="K951" i="1"/>
  <c r="K146" i="1"/>
  <c r="K370" i="1"/>
  <c r="K78" i="1"/>
  <c r="K77" i="1"/>
  <c r="K130" i="1"/>
  <c r="K76" i="1"/>
  <c r="K826" i="1"/>
  <c r="K135" i="1"/>
  <c r="K252" i="1"/>
  <c r="K869" i="1"/>
  <c r="K99" i="1"/>
  <c r="K75" i="1"/>
  <c r="K931" i="1"/>
  <c r="K97" i="1"/>
  <c r="K950" i="1"/>
  <c r="K932" i="1"/>
  <c r="K897" i="1"/>
  <c r="K948" i="1"/>
  <c r="K949" i="1"/>
  <c r="K868" i="1"/>
  <c r="K91" i="1"/>
  <c r="K142" i="1"/>
  <c r="K74" i="1"/>
  <c r="K52" i="1"/>
  <c r="K930" i="1"/>
  <c r="K43" i="1"/>
  <c r="K668" i="1"/>
  <c r="K503" i="1"/>
  <c r="K21" i="1"/>
  <c r="K947" i="1"/>
  <c r="K946" i="1"/>
  <c r="K510" i="1"/>
  <c r="K945" i="1"/>
  <c r="K178" i="1"/>
  <c r="K477" i="1"/>
  <c r="K483" i="1"/>
  <c r="K5" i="1"/>
  <c r="K944" i="1"/>
  <c r="K11" i="1"/>
  <c r="K502" i="1"/>
  <c r="K943" i="1"/>
  <c r="K356" i="1"/>
  <c r="K297" i="1"/>
  <c r="K184" i="1"/>
  <c r="K942" i="1"/>
  <c r="K940" i="1"/>
  <c r="K692" i="1"/>
  <c r="K939" i="1"/>
  <c r="K938" i="1"/>
  <c r="K936" i="1"/>
  <c r="K941" i="1"/>
  <c r="AA941" i="1" l="1"/>
  <c r="AA937" i="1"/>
  <c r="AA692" i="1"/>
  <c r="AA184" i="1"/>
  <c r="AA942" i="1"/>
  <c r="AA5" i="1"/>
  <c r="AA356" i="1"/>
  <c r="AA944" i="1"/>
  <c r="AA483" i="1"/>
  <c r="AA11" i="1"/>
  <c r="AA945" i="1"/>
  <c r="AA510" i="1"/>
  <c r="AA668" i="1"/>
  <c r="AA946" i="1"/>
  <c r="AA947" i="1"/>
  <c r="AA21" i="1"/>
  <c r="AA503" i="1"/>
  <c r="AA43" i="1"/>
  <c r="AA930" i="1"/>
  <c r="AA52" i="1"/>
  <c r="AA74" i="1"/>
  <c r="AA91" i="1"/>
  <c r="AA868" i="1"/>
  <c r="AA949" i="1"/>
  <c r="AA948" i="1"/>
  <c r="AA897" i="1"/>
  <c r="AA932" i="1"/>
  <c r="AA950" i="1"/>
  <c r="AA219" i="1"/>
  <c r="AA931" i="1"/>
  <c r="AA75" i="1"/>
  <c r="AA99" i="1"/>
  <c r="AA97" i="1"/>
  <c r="AA376" i="1"/>
  <c r="AA869" i="1"/>
  <c r="AA252" i="1"/>
  <c r="AA49" i="1"/>
  <c r="AA321" i="1"/>
  <c r="AA76" i="1"/>
  <c r="AA130" i="1"/>
  <c r="AA325" i="1"/>
  <c r="AA77" i="1"/>
  <c r="AA78" i="1"/>
  <c r="AA370" i="1"/>
  <c r="AA146" i="1"/>
  <c r="AA72" i="1"/>
  <c r="AA33" i="1"/>
  <c r="AA40" i="1"/>
  <c r="AA135" i="1"/>
  <c r="AA288" i="1"/>
  <c r="AA953" i="1"/>
  <c r="AA236" i="1"/>
  <c r="AA955" i="1"/>
  <c r="AA58" i="1"/>
  <c r="AA96" i="1"/>
  <c r="AA85" i="1"/>
  <c r="AA62" i="1"/>
  <c r="AA873" i="1"/>
  <c r="AA554" i="1"/>
  <c r="AA871" i="1"/>
  <c r="AA259" i="1"/>
  <c r="AA108" i="1"/>
  <c r="AA109" i="1"/>
  <c r="AA275" i="1"/>
  <c r="AA876" i="1"/>
  <c r="AA882" i="1"/>
  <c r="AA958" i="1"/>
  <c r="AA112" i="1"/>
  <c r="AA895" i="1"/>
  <c r="AA899" i="1"/>
  <c r="AA765" i="1"/>
  <c r="AA907" i="1"/>
  <c r="AA280" i="1"/>
  <c r="AA41" i="1"/>
  <c r="AA916" i="1"/>
  <c r="AA313" i="1"/>
  <c r="AA119" i="1"/>
  <c r="AA450" i="1"/>
  <c r="AA920" i="1"/>
  <c r="AA120" i="1"/>
  <c r="AA287" i="1"/>
  <c r="AA122" i="1"/>
  <c r="AA124" i="1"/>
  <c r="AA803" i="1"/>
  <c r="AA935" i="1"/>
  <c r="AA508" i="1"/>
  <c r="AA585" i="1"/>
  <c r="AA906" i="1"/>
  <c r="AA98" i="1"/>
  <c r="AA83" i="1"/>
  <c r="AA152" i="1"/>
  <c r="AA633" i="1"/>
  <c r="AA951" i="1"/>
  <c r="AA235" i="1"/>
  <c r="AA296" i="1"/>
  <c r="AA595" i="1"/>
  <c r="AA12" i="1"/>
  <c r="AA395" i="1"/>
  <c r="AA521" i="1"/>
  <c r="AA281" i="1"/>
  <c r="AA144" i="1"/>
  <c r="AA377" i="1"/>
  <c r="AA92" i="1"/>
  <c r="AA63" i="1"/>
  <c r="AA954" i="1"/>
  <c r="AA463" i="1"/>
  <c r="AA93" i="1"/>
  <c r="AA365" i="1"/>
  <c r="AA961" i="1"/>
  <c r="AA115" i="1"/>
  <c r="AA180" i="1"/>
  <c r="AA970" i="1"/>
  <c r="AA64" i="1"/>
  <c r="AA464" i="1"/>
  <c r="AA138" i="1"/>
  <c r="AA550" i="1"/>
  <c r="AA266" i="1"/>
  <c r="AA66" i="1"/>
  <c r="AA39" i="1"/>
  <c r="AA198" i="1"/>
  <c r="AA199" i="1"/>
  <c r="AA200" i="1"/>
  <c r="AA201" i="1"/>
  <c r="AA968" i="1"/>
  <c r="AA132" i="1"/>
  <c r="AA87" i="1"/>
  <c r="AA114" i="1"/>
  <c r="AA89" i="1"/>
  <c r="AA494" i="1"/>
  <c r="AA963" i="1"/>
  <c r="AA255" i="1"/>
  <c r="AA69" i="1"/>
  <c r="AA573" i="1"/>
  <c r="AA557" i="1"/>
  <c r="AA71" i="1"/>
  <c r="AA142" i="1"/>
  <c r="AA36" i="1"/>
  <c r="AA405" i="1"/>
  <c r="AA137" i="1"/>
  <c r="AA292" i="1"/>
  <c r="AA224" i="1"/>
  <c r="AA428" i="1"/>
  <c r="AA151" i="1"/>
  <c r="AA410" i="1"/>
  <c r="AA232" i="1"/>
  <c r="AA965" i="1"/>
  <c r="AA966" i="1"/>
  <c r="AA566" i="1"/>
  <c r="AA870" i="1"/>
  <c r="AA274" i="1"/>
  <c r="AA443" i="1"/>
  <c r="AA276" i="1"/>
  <c r="AA143" i="1"/>
  <c r="AA175" i="1"/>
  <c r="AA896" i="1"/>
  <c r="AA117" i="1"/>
  <c r="AA118" i="1"/>
  <c r="AA779" i="1"/>
  <c r="AA314" i="1"/>
  <c r="AA500" i="1"/>
  <c r="AA286" i="1"/>
  <c r="AA121" i="1"/>
  <c r="AA988" i="1"/>
  <c r="AA977" i="1"/>
  <c r="AA989" i="1"/>
  <c r="AA960" i="1"/>
  <c r="AA476" i="1"/>
  <c r="AA160" i="1"/>
  <c r="AA528" i="1"/>
  <c r="AA254" i="1"/>
  <c r="AA401" i="1"/>
  <c r="AA404" i="1"/>
  <c r="AA474" i="1"/>
  <c r="AA588" i="1"/>
  <c r="AA106" i="1"/>
  <c r="AA250" i="1"/>
  <c r="AA294" i="1"/>
  <c r="AA373" i="1"/>
  <c r="AA478" i="1"/>
  <c r="AA718" i="1"/>
  <c r="AA326" i="1"/>
  <c r="AA156" i="1"/>
  <c r="AA458" i="1"/>
  <c r="AA423" i="1"/>
  <c r="AA29" i="1"/>
  <c r="AA31" i="1"/>
  <c r="AA667" i="1"/>
  <c r="AA221" i="1"/>
  <c r="AA417" i="1"/>
  <c r="AA971" i="1"/>
  <c r="AA972" i="1"/>
  <c r="AA498" i="1"/>
  <c r="AA419" i="1"/>
  <c r="AA189" i="1"/>
  <c r="AA331" i="1"/>
  <c r="AA256" i="1"/>
  <c r="AA285" i="1"/>
  <c r="AA163" i="1"/>
  <c r="AA220" i="1"/>
  <c r="AA359" i="1"/>
  <c r="AA973" i="1"/>
  <c r="AA409" i="1"/>
  <c r="AA225" i="1"/>
  <c r="AA562" i="1"/>
  <c r="AA226" i="1"/>
  <c r="AA429" i="1"/>
  <c r="AA177" i="1"/>
  <c r="AA173" i="1"/>
  <c r="AA187" i="1"/>
  <c r="AA182" i="1"/>
  <c r="AA165" i="1"/>
  <c r="AA964" i="1"/>
  <c r="AA48" i="1"/>
  <c r="AA877" i="1"/>
  <c r="AA73" i="1"/>
  <c r="AA898" i="1"/>
  <c r="AA381" i="1"/>
  <c r="AA382" i="1"/>
  <c r="AA976" i="1"/>
  <c r="AA383" i="1"/>
  <c r="AA943" i="1"/>
  <c r="AA979" i="1"/>
  <c r="AA385" i="1"/>
  <c r="AA168" i="1"/>
  <c r="AA819" i="1"/>
  <c r="AA679" i="1"/>
  <c r="AA1025" i="1"/>
  <c r="AA172" i="1"/>
  <c r="AA169" i="1"/>
  <c r="AA997" i="1"/>
  <c r="AA425" i="1"/>
  <c r="AA608" i="1"/>
  <c r="AA398" i="1"/>
  <c r="AA222" i="1"/>
  <c r="AA320" i="1"/>
  <c r="AA244" i="1"/>
  <c r="AA134" i="1"/>
  <c r="AA230" i="1"/>
  <c r="AA25" i="1"/>
  <c r="AA712" i="1"/>
  <c r="AA233" i="1"/>
  <c r="AA433" i="1"/>
  <c r="AA525" i="1"/>
  <c r="AA435" i="1"/>
  <c r="AA626" i="1"/>
  <c r="AA616" i="1"/>
  <c r="AA300" i="1"/>
  <c r="AA341" i="1"/>
  <c r="AA614" i="1"/>
  <c r="AA584" i="1"/>
  <c r="AA176" i="1"/>
  <c r="AA507" i="1"/>
  <c r="AA269" i="1"/>
  <c r="AA324" i="1"/>
  <c r="AA982" i="1"/>
  <c r="AA495" i="1"/>
  <c r="AA774" i="1"/>
  <c r="AA418" i="1"/>
  <c r="AA327" i="1"/>
  <c r="AA257" i="1"/>
  <c r="AA295" i="1"/>
  <c r="AA185" i="1"/>
  <c r="AA229" i="1"/>
  <c r="AA264" i="1"/>
  <c r="AA260" i="1"/>
  <c r="AA328" i="1"/>
  <c r="AA26" i="1"/>
  <c r="AA983" i="1"/>
  <c r="AA80" i="1"/>
  <c r="AA350" i="1"/>
  <c r="AA582" i="1"/>
  <c r="AA268" i="1"/>
  <c r="AA351" i="1"/>
  <c r="AA271" i="1"/>
  <c r="AA293" i="1"/>
  <c r="AA456" i="1"/>
  <c r="AA161" i="1"/>
  <c r="AA441" i="1"/>
  <c r="AA442" i="1"/>
  <c r="AA446" i="1"/>
  <c r="AA726" i="1"/>
  <c r="AA980" i="1"/>
  <c r="AA570" i="1"/>
  <c r="AA113" i="1"/>
  <c r="AA901" i="1"/>
  <c r="AA116" i="1"/>
  <c r="AA15" i="1"/>
  <c r="AA987" i="1"/>
  <c r="AA448" i="1"/>
  <c r="AA449" i="1"/>
  <c r="AA451" i="1"/>
  <c r="AA452" i="1"/>
  <c r="AA453" i="1"/>
  <c r="AA531" i="1"/>
  <c r="AA574" i="1"/>
  <c r="AA329" i="1"/>
  <c r="AA590" i="1"/>
  <c r="AA420" i="1"/>
  <c r="AA322" i="1"/>
  <c r="AA583" i="1"/>
  <c r="AA123" i="1"/>
  <c r="AA379" i="1"/>
  <c r="AA358" i="1"/>
  <c r="AA349" i="1"/>
  <c r="AA546" i="1"/>
  <c r="AA589" i="1"/>
  <c r="AA301" i="1"/>
  <c r="AA20" i="1"/>
  <c r="AA306" i="1"/>
  <c r="AA186" i="1"/>
  <c r="AA307" i="1"/>
  <c r="AA673" i="1"/>
  <c r="AA277" i="1"/>
  <c r="AA303" i="1"/>
  <c r="AA158" i="1"/>
  <c r="AA304" i="1"/>
  <c r="AA996" i="1"/>
  <c r="AA486" i="1"/>
  <c r="AA690" i="1"/>
  <c r="AA195" i="1"/>
  <c r="AA440" i="1"/>
  <c r="AA203" i="1"/>
  <c r="AA491" i="1"/>
  <c r="AA492" i="1"/>
  <c r="AA766" i="1"/>
  <c r="AA206" i="1"/>
  <c r="AA207" i="1"/>
  <c r="AA208" i="1"/>
  <c r="AA209" i="1"/>
  <c r="AA210" i="1"/>
  <c r="AA211" i="1"/>
  <c r="AA213" i="1"/>
  <c r="AA214" i="1"/>
  <c r="AA13" i="1"/>
  <c r="AA993" i="1"/>
  <c r="AA994" i="1"/>
  <c r="AA345" i="1"/>
  <c r="AA995" i="1"/>
  <c r="AA302" i="1"/>
  <c r="AA17" i="1"/>
  <c r="AA273" i="1"/>
  <c r="AA157" i="1"/>
  <c r="AA470" i="1"/>
  <c r="AA239" i="1"/>
  <c r="AA141" i="1"/>
  <c r="AA511" i="1"/>
  <c r="AA228" i="1"/>
  <c r="AA630" i="1"/>
  <c r="AA261" i="1"/>
  <c r="AA649" i="1"/>
  <c r="AA596" i="1"/>
  <c r="AA422" i="1"/>
  <c r="AA278" i="1"/>
  <c r="AA284" i="1"/>
  <c r="AA990" i="1"/>
  <c r="AA262" i="1"/>
  <c r="AA432" i="1"/>
  <c r="AA249" i="1"/>
  <c r="AA659" i="1"/>
  <c r="AA660" i="1"/>
  <c r="AA248" i="1"/>
  <c r="AA258" i="1"/>
  <c r="AA231" i="1"/>
  <c r="AA670" i="1"/>
  <c r="AA416" i="1"/>
  <c r="AA594" i="1"/>
  <c r="AA604" i="1"/>
  <c r="AA620" i="1"/>
  <c r="AA519" i="1"/>
  <c r="AA1030" i="1"/>
  <c r="AA238" i="1"/>
  <c r="AA291" i="1"/>
  <c r="AA551" i="1"/>
  <c r="AA421" i="1"/>
  <c r="AA560" i="1"/>
  <c r="AA543" i="1"/>
  <c r="AA489" i="1"/>
  <c r="AA240" i="1"/>
  <c r="AA434" i="1"/>
  <c r="AA312" i="1"/>
  <c r="AA181" i="1"/>
  <c r="AA466" i="1"/>
  <c r="AA615" i="1"/>
  <c r="AA1016" i="1"/>
  <c r="AA392" i="1"/>
  <c r="AA575" i="1"/>
  <c r="AA253" i="1"/>
  <c r="AA162" i="1"/>
  <c r="AA555" i="1"/>
  <c r="AA544" i="1"/>
  <c r="AA299" i="1"/>
  <c r="AA597" i="1"/>
  <c r="AA639" i="1"/>
  <c r="AA1074" i="1"/>
  <c r="AA1065" i="1"/>
  <c r="AA263" i="1"/>
  <c r="AA1078" i="1"/>
  <c r="AA439" i="1"/>
  <c r="AA565" i="1"/>
  <c r="AA515" i="1"/>
  <c r="AA444" i="1"/>
  <c r="AA1006" i="1"/>
  <c r="AA569" i="1"/>
  <c r="AA609" i="1"/>
  <c r="AA998" i="1"/>
  <c r="AA279" i="1"/>
  <c r="AA496" i="1"/>
  <c r="AA602" i="1"/>
  <c r="AA1008" i="1"/>
  <c r="AA1010" i="1"/>
  <c r="AA133" i="1"/>
  <c r="AA934" i="1"/>
  <c r="AA298" i="1"/>
  <c r="AA216" i="1"/>
  <c r="AA1080" i="1"/>
  <c r="AA154" i="1"/>
  <c r="AA1009" i="1"/>
  <c r="AA804" i="1"/>
  <c r="AA581" i="1"/>
  <c r="AA414" i="1"/>
  <c r="AA940" i="1"/>
  <c r="AA936" i="1"/>
  <c r="AA1014" i="1"/>
  <c r="AA1082" i="1"/>
  <c r="AA513" i="1"/>
  <c r="AA984" i="1"/>
  <c r="AA512" i="1"/>
  <c r="AA619" i="1"/>
  <c r="AA305" i="1"/>
  <c r="AA411" i="1"/>
  <c r="AA243" i="1"/>
  <c r="AA338" i="1"/>
  <c r="AA650" i="1"/>
  <c r="AA1001" i="1"/>
  <c r="AA317" i="1"/>
  <c r="AA653" i="1"/>
  <c r="AA310" i="1"/>
  <c r="AA1018" i="1"/>
  <c r="AA763" i="1"/>
  <c r="AA427" i="1"/>
  <c r="AA348" i="1"/>
  <c r="AA336" i="1"/>
  <c r="AA129" i="1"/>
  <c r="AA367" i="1"/>
  <c r="AA308" i="1"/>
  <c r="AA399" i="1"/>
  <c r="AA131" i="1"/>
  <c r="AA780" i="1"/>
  <c r="AA617" i="1"/>
  <c r="AA438" i="1"/>
  <c r="AA542" i="1"/>
  <c r="AA389" i="1"/>
  <c r="AA487" i="1"/>
  <c r="AA499" i="1"/>
  <c r="AA44" i="1"/>
  <c r="AA648" i="1"/>
  <c r="AA340" i="1"/>
  <c r="AA1015" i="1"/>
  <c r="AA592" i="1"/>
  <c r="AA42" i="1"/>
  <c r="AA37" i="1"/>
  <c r="AA558" i="1"/>
  <c r="AA553" i="1"/>
  <c r="AA481" i="1"/>
  <c r="AA623" i="1"/>
  <c r="AA19" i="1"/>
  <c r="AA318" i="1"/>
  <c r="AA22" i="1"/>
  <c r="AA332" i="1"/>
  <c r="AA522" i="1"/>
  <c r="AA661" i="1"/>
  <c r="AA634" i="1"/>
  <c r="AA635" i="1"/>
  <c r="AA666" i="1"/>
  <c r="AA524" i="1"/>
  <c r="AA126" i="1"/>
  <c r="AA676" i="1"/>
  <c r="AA533" i="1"/>
  <c r="AA1077" i="1"/>
  <c r="AA424" i="1"/>
  <c r="AA267" i="1"/>
  <c r="AA1033" i="1"/>
  <c r="AA54" i="1"/>
  <c r="AA202" i="1"/>
  <c r="AA283" i="1"/>
  <c r="AA1079" i="1"/>
  <c r="AA530" i="1"/>
  <c r="AA316" i="1"/>
  <c r="AA148" i="1"/>
  <c r="AA355" i="1"/>
  <c r="AA1084" i="1"/>
  <c r="AA472" i="1"/>
  <c r="AA1027" i="1"/>
  <c r="AA272" i="1"/>
  <c r="AA586" i="1"/>
  <c r="AA637" i="1"/>
  <c r="AA270" i="1"/>
  <c r="AA246" i="1"/>
  <c r="AA681" i="1"/>
  <c r="AA94" i="1"/>
  <c r="AA242" i="1"/>
  <c r="AA265" i="1"/>
  <c r="AA517" i="1"/>
  <c r="AA368" i="1"/>
  <c r="AA1083" i="1"/>
  <c r="AA564" i="1"/>
  <c r="AA534" i="1"/>
  <c r="AA82" i="1"/>
  <c r="AA237" i="1"/>
  <c r="AA631" i="1"/>
  <c r="AA437" i="1"/>
  <c r="AA506" i="1"/>
  <c r="AA1024" i="1"/>
  <c r="AA330" i="1"/>
  <c r="AA568" i="1"/>
  <c r="AA1032" i="1"/>
  <c r="AA628" i="1"/>
  <c r="AA1000" i="1"/>
  <c r="AA223" i="1"/>
  <c r="AA290" i="1"/>
  <c r="AA55" i="1"/>
  <c r="AA188" i="1"/>
  <c r="AA245" i="1"/>
  <c r="AA642" i="1"/>
  <c r="AA600" i="1"/>
  <c r="AA413" i="1"/>
  <c r="AA468" i="1"/>
  <c r="AA655" i="1"/>
  <c r="AA59" i="1"/>
  <c r="AA577" i="1"/>
  <c r="AA518" i="1"/>
  <c r="AA520" i="1"/>
  <c r="AA1029" i="1"/>
  <c r="AA605" i="1"/>
  <c r="AA516" i="1"/>
  <c r="AA309" i="1"/>
  <c r="AA624" i="1"/>
  <c r="AA526" i="1"/>
  <c r="AA548" i="1"/>
  <c r="AA563" i="1"/>
  <c r="AA1075" i="1"/>
  <c r="AA471" i="1"/>
  <c r="AA159" i="1"/>
  <c r="AA579" i="1"/>
  <c r="AA1035" i="1"/>
  <c r="AA104" i="1"/>
  <c r="AA149" i="1"/>
  <c r="AA539" i="1"/>
  <c r="AA587" i="1"/>
  <c r="AA430" i="1"/>
  <c r="AA549" i="1"/>
  <c r="AA640" i="1"/>
  <c r="AA190" i="1"/>
  <c r="AA537" i="1"/>
  <c r="AA150" i="1"/>
  <c r="AA514" i="1"/>
  <c r="AA27" i="1"/>
  <c r="AA1039" i="1"/>
  <c r="AA687" i="1"/>
  <c r="AA28" i="1"/>
  <c r="AA688" i="1"/>
  <c r="AA538" i="1"/>
  <c r="AA394" i="1"/>
  <c r="AA689" i="1"/>
  <c r="AA664" i="1"/>
  <c r="AA107" i="1"/>
  <c r="AA86" i="1"/>
  <c r="AA192" i="1"/>
  <c r="AA193" i="1"/>
  <c r="AA128" i="1"/>
  <c r="AA477" i="1"/>
  <c r="AA1023" i="1"/>
  <c r="AA622" i="1"/>
  <c r="AA174" i="1"/>
  <c r="AA461" i="1"/>
  <c r="AA362" i="1"/>
  <c r="AA532" i="1"/>
  <c r="AA561" i="1"/>
  <c r="AA817" i="1"/>
  <c r="AA289" i="1"/>
  <c r="AA523" i="1"/>
  <c r="AA693" i="1"/>
  <c r="AA509" i="1"/>
  <c r="AA363" i="1"/>
  <c r="AA654" i="1"/>
  <c r="AA333" i="1"/>
  <c r="AA485" i="1"/>
  <c r="AA45" i="1"/>
  <c r="AA171" i="1"/>
  <c r="AA342" i="1"/>
  <c r="AA559" i="1"/>
  <c r="AA1020" i="1"/>
  <c r="AA167" i="1"/>
  <c r="AA407" i="1"/>
  <c r="AA125" i="1"/>
  <c r="AA686" i="1"/>
  <c r="AA685" i="1"/>
  <c r="AA34" i="1"/>
  <c r="AA612" i="1"/>
  <c r="AA194" i="1"/>
  <c r="AA95" i="1"/>
  <c r="AA529" i="1"/>
  <c r="AA1047" i="1"/>
  <c r="AA1048" i="1"/>
  <c r="AA1049" i="1"/>
  <c r="AA1050" i="1"/>
  <c r="AA527" i="1"/>
  <c r="AA227" i="1"/>
  <c r="AA191" i="1"/>
  <c r="AA361" i="1"/>
  <c r="AA593" i="1"/>
  <c r="AA643" i="1"/>
  <c r="AA662" i="1"/>
  <c r="AA651" i="1"/>
  <c r="AA647" i="1"/>
  <c r="AA479" i="1"/>
  <c r="AA480" i="1"/>
  <c r="AA607" i="1"/>
  <c r="AA632" i="1"/>
  <c r="AA645" i="1"/>
  <c r="AA598" i="1"/>
  <c r="AA38" i="1"/>
  <c r="AA53" i="1"/>
  <c r="AA147" i="1"/>
  <c r="AA820" i="1"/>
  <c r="AA821" i="1"/>
  <c r="AA625" i="1"/>
  <c r="AA465" i="1"/>
  <c r="AA536" i="1"/>
  <c r="AA457" i="1"/>
  <c r="AA580" i="1"/>
  <c r="AA454" i="1"/>
  <c r="AA658" i="1"/>
  <c r="AA556" i="1"/>
  <c r="AA353" i="1"/>
  <c r="AA397" i="1"/>
  <c r="AA178" i="1"/>
  <c r="AA1011" i="1"/>
  <c r="AA540" i="1"/>
  <c r="AA677" i="1"/>
  <c r="AA591" i="1"/>
  <c r="AA606" i="1"/>
  <c r="AA482" i="1"/>
  <c r="AA665" i="1"/>
  <c r="AA467" i="1"/>
  <c r="AA621" i="1"/>
  <c r="AA179" i="1"/>
  <c r="AA610" i="1"/>
  <c r="AA431" i="1"/>
  <c r="AA599" i="1"/>
  <c r="AA674" i="1"/>
  <c r="AA684" i="1"/>
  <c r="AA696" i="1"/>
  <c r="AA678" i="1"/>
  <c r="AA578" i="1"/>
  <c r="AA611" i="1"/>
  <c r="AA101" i="1"/>
  <c r="AA102" i="1"/>
  <c r="AA166" i="1"/>
  <c r="AA484" i="1"/>
  <c r="AA576" i="1"/>
  <c r="AA103" i="1"/>
  <c r="AA396" i="1"/>
  <c r="AA603" i="1"/>
  <c r="AA65" i="1"/>
  <c r="AA663" i="1"/>
  <c r="AA680" i="1"/>
  <c r="AA683" i="1"/>
  <c r="AA682" i="1"/>
  <c r="AA669" i="1"/>
  <c r="AA652" i="1"/>
  <c r="AA671" i="1"/>
  <c r="AA672" i="1"/>
  <c r="AA346" i="1"/>
  <c r="AA319" i="1"/>
  <c r="AA323" i="1"/>
  <c r="AA347" i="1"/>
  <c r="AA823" i="1"/>
  <c r="AA824" i="1"/>
  <c r="AA825" i="1"/>
  <c r="AA644" i="1"/>
  <c r="AA638" i="1"/>
  <c r="AA641" i="1"/>
  <c r="AA646" i="1"/>
  <c r="AA629" i="1"/>
  <c r="AA4" i="1"/>
  <c r="AA337" i="1"/>
  <c r="AA826" i="1"/>
  <c r="AA698" i="1"/>
  <c r="AA827" i="1"/>
  <c r="AA636" i="1"/>
  <c r="AA393" i="1"/>
  <c r="AA360" i="1"/>
  <c r="AA601" i="1"/>
  <c r="AA699" i="1"/>
  <c r="AA700" i="1"/>
  <c r="AA828" i="1"/>
  <c r="AA412" i="1"/>
  <c r="AA408" i="1"/>
  <c r="AA153" i="1"/>
  <c r="AA391" i="1"/>
  <c r="AA704" i="1"/>
  <c r="AA8" i="1"/>
  <c r="AA9" i="1"/>
  <c r="AA197" i="1"/>
  <c r="AA705" i="1"/>
  <c r="AA364" i="1"/>
  <c r="AA706" i="1"/>
  <c r="AA1063" i="1"/>
  <c r="AA488" i="1"/>
  <c r="AA707" i="1"/>
  <c r="AA61" i="1"/>
  <c r="AA18" i="1"/>
  <c r="AA366" i="1"/>
  <c r="AA709" i="1"/>
  <c r="AA469" i="1"/>
  <c r="AA473" i="1"/>
  <c r="AA710" i="1"/>
  <c r="AA426" i="1"/>
  <c r="AA170" i="1"/>
  <c r="AA247" i="1"/>
  <c r="AA334" i="1"/>
  <c r="AA711" i="1"/>
  <c r="AA251" i="1"/>
  <c r="AA402" i="1"/>
  <c r="AA552" i="1"/>
  <c r="AA369" i="1"/>
  <c r="AA490" i="1"/>
  <c r="AA567" i="1"/>
  <c r="AA720" i="1"/>
  <c r="AA721" i="1"/>
  <c r="AA722" i="1"/>
  <c r="AA723" i="1"/>
  <c r="AA724" i="1"/>
  <c r="AA110" i="1"/>
  <c r="AA725" i="1"/>
  <c r="AA475" i="1"/>
  <c r="AA79" i="1"/>
  <c r="AA60" i="1"/>
  <c r="AA445" i="1"/>
  <c r="AA459" i="1"/>
  <c r="AA311" i="1"/>
  <c r="AA14" i="1"/>
  <c r="AA1073" i="1"/>
  <c r="AA883" i="1"/>
  <c r="AA1076" i="1"/>
  <c r="AA111" i="1"/>
  <c r="AA1081" i="1"/>
  <c r="AA753" i="1"/>
  <c r="AA755" i="1"/>
  <c r="AA756" i="1"/>
  <c r="AA888" i="1"/>
  <c r="AA757" i="1"/>
  <c r="AA758" i="1"/>
  <c r="AA891" i="1"/>
  <c r="AA759" i="1"/>
  <c r="AA760" i="1"/>
  <c r="AA761" i="1"/>
  <c r="AA371" i="1"/>
  <c r="AA892" i="1"/>
  <c r="AA762" i="1"/>
  <c r="AA16" i="1"/>
  <c r="AA657" i="1"/>
  <c r="AA493" i="1"/>
  <c r="AA613" i="1"/>
  <c r="AA88" i="1"/>
  <c r="AA1085" i="1"/>
  <c r="AA10" i="1"/>
  <c r="AA900" i="1"/>
  <c r="AA24" i="1"/>
  <c r="AA764" i="1"/>
  <c r="AA447" i="1"/>
  <c r="AA56" i="1"/>
  <c r="AA403" i="1"/>
  <c r="AA767" i="1"/>
  <c r="AA768" i="1"/>
  <c r="AA675" i="1"/>
  <c r="AA909" i="1"/>
  <c r="AA372" i="1"/>
  <c r="AA335" i="1"/>
  <c r="AA1012" i="1"/>
  <c r="AA1019" i="1"/>
  <c r="AA1028" i="1"/>
  <c r="AA1087" i="1"/>
  <c r="AA910" i="1"/>
  <c r="AA772" i="1"/>
  <c r="AA205" i="1"/>
  <c r="AA912" i="1"/>
  <c r="AA773" i="1"/>
  <c r="AA234" i="1"/>
  <c r="AA68" i="1"/>
  <c r="AA352" i="1"/>
  <c r="AA775" i="1"/>
  <c r="AA776" i="1"/>
  <c r="AA777" i="1"/>
  <c r="AA241" i="1"/>
  <c r="AA374" i="1"/>
  <c r="AA497" i="1"/>
  <c r="AA778" i="1"/>
  <c r="AA375" i="1"/>
  <c r="AA919" i="1"/>
  <c r="AA545" i="1"/>
  <c r="AA781" i="1"/>
  <c r="AA183" i="1"/>
  <c r="AA535" i="1"/>
  <c r="AA378" i="1"/>
  <c r="AA782" i="1"/>
  <c r="AA339" i="1"/>
  <c r="AA1037" i="1"/>
  <c r="AA212" i="1"/>
  <c r="AA784" i="1"/>
  <c r="AA380" i="1"/>
  <c r="AA501" i="1"/>
  <c r="AA656" i="1"/>
  <c r="AA344" i="1"/>
  <c r="AA1092" i="1"/>
  <c r="AA938" i="1"/>
  <c r="AA939" i="1"/>
  <c r="AA215" i="1"/>
  <c r="AA571" i="1"/>
  <c r="AA384" i="1"/>
  <c r="AA921" i="1"/>
  <c r="AA155" i="1"/>
  <c r="AA799" i="1"/>
  <c r="AA800" i="1"/>
  <c r="AA572" i="1"/>
  <c r="AA217" i="1"/>
  <c r="AA145" i="1"/>
  <c r="AA502" i="1"/>
  <c r="AA618" i="1"/>
  <c r="AA84" i="1"/>
  <c r="AA297" i="1"/>
  <c r="AA23" i="1"/>
  <c r="AA455" i="1"/>
  <c r="AA923" i="1"/>
  <c r="AA218" i="1"/>
  <c r="AA415" i="1"/>
  <c r="AA504" i="1"/>
  <c r="AA406" i="1"/>
  <c r="AA100" i="1"/>
  <c r="AA386" i="1"/>
  <c r="AA925" i="1"/>
  <c r="AA46" i="1"/>
  <c r="AA926" i="1"/>
  <c r="AA390" i="1"/>
  <c r="AA460" i="1"/>
  <c r="AA136" i="1"/>
  <c r="AA30" i="1"/>
  <c r="AA357" i="1"/>
  <c r="AA354" i="1"/>
  <c r="AA547" i="1"/>
  <c r="AA801" i="1"/>
  <c r="AA387" i="1"/>
  <c r="AA462" i="1"/>
  <c r="AA541" i="1"/>
  <c r="AA928" i="1"/>
  <c r="AA70" i="1"/>
  <c r="AA436" i="1"/>
  <c r="AA802" i="1"/>
  <c r="AA627" i="1"/>
  <c r="AA315" i="1"/>
  <c r="AA343" i="1"/>
  <c r="AA388" i="1"/>
  <c r="AA505" i="1"/>
  <c r="AA81" i="1"/>
  <c r="AA805" i="1"/>
  <c r="AA806" i="1"/>
  <c r="AA1094" i="1"/>
  <c r="AA807" i="1"/>
  <c r="AA808" i="1"/>
  <c r="AA809" i="1"/>
  <c r="AA811" i="1"/>
  <c r="AA812" i="1"/>
  <c r="AA813" i="1"/>
  <c r="AA814" i="1"/>
  <c r="AA815" i="1"/>
  <c r="AA816" i="1"/>
  <c r="AA818" i="1"/>
  <c r="AA822" i="1"/>
  <c r="AA196" i="1"/>
  <c r="AA1125" i="1"/>
  <c r="AA1126" i="1"/>
  <c r="AA1127" i="1"/>
  <c r="AA1128" i="1"/>
  <c r="AA1129" i="1"/>
  <c r="AA1130" i="1"/>
  <c r="AA1131" i="1"/>
  <c r="AA829" i="1"/>
  <c r="AA1132" i="1"/>
  <c r="AA1133" i="1"/>
  <c r="AA1134" i="1"/>
  <c r="AA830" i="1"/>
  <c r="AA831" i="1"/>
  <c r="AA832" i="1"/>
  <c r="AA833" i="1"/>
  <c r="AA834" i="1"/>
  <c r="AA835" i="1"/>
  <c r="AA836" i="1"/>
  <c r="AA837" i="1"/>
  <c r="AA838" i="1"/>
  <c r="AA839" i="1"/>
  <c r="AA842" i="1"/>
  <c r="AA843" i="1"/>
  <c r="AA844" i="1"/>
  <c r="AA845" i="1"/>
  <c r="AA846" i="1"/>
  <c r="AA847" i="1"/>
  <c r="AA848" i="1"/>
  <c r="AA1139" i="1"/>
  <c r="AA1140" i="1"/>
  <c r="AA849" i="1"/>
  <c r="AA850" i="1"/>
  <c r="AA851" i="1"/>
  <c r="AA852" i="1"/>
  <c r="AA853" i="1"/>
  <c r="AA854" i="1"/>
  <c r="AA856" i="1"/>
  <c r="AA857" i="1"/>
  <c r="AA858" i="1"/>
  <c r="AA859" i="1"/>
  <c r="AA860" i="1"/>
  <c r="AA861" i="1"/>
  <c r="AA1144" i="1"/>
  <c r="AA1145" i="1"/>
  <c r="AA1146" i="1"/>
  <c r="AA1147" i="1"/>
  <c r="AA862" i="1"/>
  <c r="AA863" i="1"/>
  <c r="AA1148" i="1"/>
  <c r="AA864" i="1"/>
  <c r="AA865" i="1"/>
  <c r="AA866" i="1"/>
  <c r="AA867" i="1"/>
  <c r="AA32" i="1"/>
  <c r="AA1161" i="1"/>
  <c r="AA35" i="1"/>
  <c r="AA1162" i="1"/>
  <c r="AA67" i="1"/>
  <c r="AA872" i="1"/>
  <c r="AA715" i="1"/>
  <c r="AA716" i="1"/>
  <c r="AA874" i="1"/>
  <c r="AA875" i="1"/>
  <c r="AA1170" i="1"/>
  <c r="AA1171" i="1"/>
  <c r="AA879" i="1"/>
  <c r="AA880" i="1"/>
  <c r="AA881" i="1"/>
  <c r="AA957" i="1"/>
  <c r="AA887" i="1"/>
  <c r="AA204" i="1"/>
  <c r="AA752" i="1"/>
  <c r="AA754" i="1"/>
  <c r="AA400" i="1"/>
  <c r="AA889" i="1"/>
  <c r="AA890" i="1"/>
  <c r="AA893" i="1"/>
  <c r="AA894" i="1"/>
  <c r="AA1173" i="1"/>
  <c r="AA902" i="1"/>
  <c r="AA903" i="1"/>
  <c r="AA904" i="1"/>
  <c r="AA905" i="1"/>
  <c r="AA908" i="1"/>
  <c r="AA1176" i="1"/>
  <c r="AA90" i="1"/>
  <c r="AA911" i="1"/>
  <c r="AA1179" i="1"/>
  <c r="AA1180" i="1"/>
  <c r="AA913" i="1"/>
  <c r="AA914" i="1"/>
  <c r="AA915" i="1"/>
  <c r="AA1182" i="1"/>
  <c r="AA1183" i="1"/>
  <c r="AA917" i="1"/>
  <c r="AA918" i="1"/>
  <c r="AA282" i="1"/>
  <c r="AA1185" i="1"/>
  <c r="AA6" i="1"/>
  <c r="AA922" i="1"/>
  <c r="AA924" i="1"/>
  <c r="AA927" i="1"/>
  <c r="AA929" i="1"/>
  <c r="AA1187" i="1"/>
  <c r="AA1188" i="1"/>
  <c r="AA933" i="1"/>
  <c r="AA1189" i="1"/>
  <c r="AA952" i="1"/>
  <c r="AA956" i="1"/>
  <c r="AA959" i="1"/>
  <c r="AA962" i="1"/>
  <c r="AA967" i="1"/>
  <c r="AA969" i="1"/>
  <c r="AA974" i="1"/>
  <c r="AA975" i="1"/>
  <c r="AA978" i="1"/>
  <c r="AA981" i="1"/>
  <c r="AA985" i="1"/>
  <c r="AA986" i="1"/>
  <c r="AA991" i="1"/>
  <c r="AA992" i="1"/>
  <c r="AA999" i="1"/>
  <c r="AA1002" i="1"/>
  <c r="AA1003" i="1"/>
  <c r="AA1004" i="1"/>
  <c r="AA1005" i="1"/>
  <c r="AA1007" i="1"/>
  <c r="AA1013" i="1"/>
  <c r="AA1017" i="1"/>
  <c r="AA1021" i="1"/>
  <c r="AA1022" i="1"/>
  <c r="AA1026" i="1"/>
  <c r="AA1031" i="1"/>
  <c r="AA1034" i="1"/>
  <c r="AA1036" i="1"/>
  <c r="AA1038" i="1"/>
  <c r="AA1040" i="1"/>
  <c r="AA1041" i="1"/>
  <c r="AA1042" i="1"/>
  <c r="AA1043" i="1"/>
  <c r="AA1044" i="1"/>
  <c r="AA1045" i="1"/>
  <c r="AA1046" i="1"/>
  <c r="AA1051" i="1"/>
  <c r="AA1052" i="1"/>
  <c r="AA1053" i="1"/>
  <c r="AA1054" i="1"/>
  <c r="AA1055" i="1"/>
  <c r="AA1056" i="1"/>
  <c r="AA1057" i="1"/>
  <c r="AA1058" i="1"/>
  <c r="AA1059" i="1"/>
  <c r="AA1060" i="1"/>
  <c r="AA1061" i="1"/>
  <c r="AA1062" i="1"/>
  <c r="AA1064" i="1"/>
  <c r="AA1066" i="1"/>
  <c r="AA1067" i="1"/>
  <c r="AA1068" i="1"/>
  <c r="AA1069" i="1"/>
  <c r="AA1070" i="1"/>
  <c r="AA1071" i="1"/>
  <c r="AA1072" i="1"/>
  <c r="AA1086" i="1"/>
  <c r="AA1088" i="1"/>
  <c r="AA1089" i="1"/>
  <c r="AA1090" i="1"/>
  <c r="AA1091" i="1"/>
  <c r="AA1093"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35" i="1"/>
  <c r="AA840" i="1"/>
  <c r="AA1136" i="1"/>
  <c r="AA1137" i="1"/>
  <c r="AA1138" i="1"/>
  <c r="AA1141" i="1"/>
  <c r="AA1142" i="1"/>
  <c r="AA1143" i="1"/>
  <c r="AA1149" i="1"/>
  <c r="AA1150" i="1"/>
  <c r="AA1151" i="1"/>
  <c r="AA1152" i="1"/>
  <c r="AA1153" i="1"/>
  <c r="AA1154" i="1"/>
  <c r="AA1155" i="1"/>
  <c r="AA1156" i="1"/>
  <c r="AA1157" i="1"/>
  <c r="AA1158" i="1"/>
  <c r="AA1159" i="1"/>
  <c r="AA1160" i="1"/>
  <c r="AA1163" i="1"/>
  <c r="AA1164" i="1"/>
  <c r="AA1165" i="1"/>
  <c r="AA1166" i="1"/>
  <c r="AA1167" i="1"/>
  <c r="AA1168" i="1"/>
  <c r="AA1169" i="1"/>
  <c r="AA1172" i="1"/>
  <c r="AA1174" i="1"/>
  <c r="AA1175" i="1"/>
  <c r="AA1177" i="1"/>
  <c r="AA1178" i="1"/>
  <c r="AA1181" i="1"/>
  <c r="AA1184" i="1"/>
  <c r="AA1186" i="1"/>
  <c r="AA1190" i="1"/>
  <c r="K937" i="1" l="1"/>
  <c r="F858" i="1" l="1"/>
  <c r="G858" i="1"/>
  <c r="S858" i="1"/>
  <c r="V858" i="1"/>
  <c r="Z858" i="1"/>
  <c r="AC858" i="1"/>
  <c r="F846" i="1"/>
  <c r="G846" i="1"/>
  <c r="S846" i="1"/>
  <c r="V846" i="1"/>
  <c r="Z846" i="1"/>
  <c r="AC846" i="1"/>
  <c r="F847" i="1"/>
  <c r="G847" i="1"/>
  <c r="S847" i="1"/>
  <c r="V847" i="1"/>
  <c r="Z847" i="1"/>
  <c r="AC847" i="1"/>
  <c r="F856" i="1"/>
  <c r="G856" i="1"/>
  <c r="S856" i="1"/>
  <c r="V856" i="1"/>
  <c r="Z856" i="1"/>
  <c r="AC856" i="1"/>
  <c r="F1131" i="1"/>
  <c r="G1131" i="1"/>
  <c r="S1131" i="1"/>
  <c r="V1131" i="1"/>
  <c r="Z1131" i="1"/>
  <c r="AC1131" i="1"/>
  <c r="F1130" i="1"/>
  <c r="G1130" i="1"/>
  <c r="S1130" i="1"/>
  <c r="V1130" i="1"/>
  <c r="Z1130" i="1"/>
  <c r="AC1130" i="1"/>
  <c r="F1129" i="1"/>
  <c r="G1129" i="1"/>
  <c r="S1129" i="1"/>
  <c r="V1129" i="1"/>
  <c r="Z1129" i="1"/>
  <c r="AC1129" i="1"/>
  <c r="F1128" i="1"/>
  <c r="G1128" i="1"/>
  <c r="S1128" i="1"/>
  <c r="V1128" i="1"/>
  <c r="Z1128" i="1"/>
  <c r="AC1128" i="1"/>
  <c r="F1127" i="1"/>
  <c r="G1127" i="1"/>
  <c r="S1127" i="1"/>
  <c r="V1127" i="1"/>
  <c r="Z1127" i="1"/>
  <c r="AC1127" i="1"/>
  <c r="F1126" i="1"/>
  <c r="G1126" i="1"/>
  <c r="S1126" i="1"/>
  <c r="V1126" i="1"/>
  <c r="Z1126" i="1"/>
  <c r="AC1126" i="1"/>
  <c r="F1125" i="1"/>
  <c r="G1125" i="1"/>
  <c r="S1125" i="1"/>
  <c r="V1125" i="1"/>
  <c r="Z1125" i="1"/>
  <c r="AC1125" i="1"/>
  <c r="F834" i="1"/>
  <c r="G834" i="1"/>
  <c r="S834" i="1"/>
  <c r="V834" i="1"/>
  <c r="Z834" i="1"/>
  <c r="AC834" i="1"/>
  <c r="F833" i="1"/>
  <c r="G833" i="1"/>
  <c r="S833" i="1"/>
  <c r="V833" i="1"/>
  <c r="Z833" i="1"/>
  <c r="AC833" i="1"/>
  <c r="F832" i="1"/>
  <c r="G832" i="1"/>
  <c r="S832" i="1"/>
  <c r="V832" i="1"/>
  <c r="Z832" i="1"/>
  <c r="AC832" i="1"/>
  <c r="F831" i="1"/>
  <c r="G831" i="1"/>
  <c r="S831" i="1"/>
  <c r="V831" i="1"/>
  <c r="Z831" i="1"/>
  <c r="AC831" i="1"/>
  <c r="F830" i="1"/>
  <c r="G830" i="1"/>
  <c r="S830" i="1"/>
  <c r="V830" i="1"/>
  <c r="Z830" i="1"/>
  <c r="AC830" i="1"/>
  <c r="F1134" i="1"/>
  <c r="G1134" i="1"/>
  <c r="S1134" i="1"/>
  <c r="V1134" i="1"/>
  <c r="Z1134" i="1"/>
  <c r="AC1134" i="1"/>
  <c r="F1133" i="1"/>
  <c r="G1133" i="1"/>
  <c r="S1133" i="1"/>
  <c r="V1133" i="1"/>
  <c r="Z1133" i="1"/>
  <c r="AC1133" i="1"/>
  <c r="F1132" i="1"/>
  <c r="G1132" i="1"/>
  <c r="S1132" i="1"/>
  <c r="V1132" i="1"/>
  <c r="Z1132" i="1"/>
  <c r="AC1132" i="1"/>
  <c r="F848" i="1"/>
  <c r="G848" i="1"/>
  <c r="S848" i="1"/>
  <c r="V848" i="1"/>
  <c r="Z848" i="1"/>
  <c r="AC848" i="1"/>
  <c r="F851" i="1"/>
  <c r="G851" i="1"/>
  <c r="S851" i="1"/>
  <c r="V851" i="1"/>
  <c r="Z851" i="1"/>
  <c r="AC851" i="1"/>
  <c r="F937" i="1"/>
  <c r="G937" i="1"/>
  <c r="S937" i="1"/>
  <c r="T937" i="1"/>
  <c r="V937" i="1"/>
  <c r="Z937" i="1"/>
  <c r="AC937" i="1"/>
  <c r="F942" i="1"/>
  <c r="G942" i="1"/>
  <c r="S942" i="1"/>
  <c r="V942" i="1"/>
  <c r="Z942" i="1"/>
  <c r="AC942" i="1"/>
  <c r="Z43" i="1" l="1"/>
  <c r="Z930" i="1"/>
  <c r="Z52" i="1"/>
  <c r="Z74" i="1"/>
  <c r="Z91" i="1"/>
  <c r="Z949" i="1"/>
  <c r="Z948" i="1"/>
  <c r="Z932" i="1"/>
  <c r="Z950" i="1"/>
  <c r="Z219" i="1"/>
  <c r="Z931" i="1"/>
  <c r="Z376" i="1"/>
  <c r="Z869" i="1"/>
  <c r="Z49" i="1"/>
  <c r="Z321" i="1"/>
  <c r="Z508" i="1"/>
  <c r="Z130" i="1"/>
  <c r="Z325" i="1"/>
  <c r="Z146" i="1"/>
  <c r="Z868" i="1"/>
  <c r="Z72" i="1"/>
  <c r="Z97" i="1"/>
  <c r="Z585" i="1"/>
  <c r="Z33" i="1"/>
  <c r="Z135" i="1"/>
  <c r="Z41" i="1"/>
  <c r="Z96" i="1"/>
  <c r="Z955" i="1"/>
  <c r="Z85" i="1"/>
  <c r="Z62" i="1"/>
  <c r="Z259" i="1"/>
  <c r="Z80" i="1"/>
  <c r="Z486" i="1"/>
  <c r="Z871" i="1"/>
  <c r="Z108" i="1"/>
  <c r="Z109" i="1"/>
  <c r="Z275" i="1"/>
  <c r="Z876" i="1"/>
  <c r="Z252" i="1"/>
  <c r="Z882" i="1"/>
  <c r="Z957" i="1"/>
  <c r="Z77" i="1"/>
  <c r="Z492" i="1"/>
  <c r="Z895" i="1"/>
  <c r="Z897" i="1"/>
  <c r="Z899" i="1"/>
  <c r="Z765" i="1"/>
  <c r="Z280" i="1"/>
  <c r="Z40" i="1"/>
  <c r="Z916" i="1"/>
  <c r="Z313" i="1"/>
  <c r="Z119" i="1"/>
  <c r="Z450" i="1"/>
  <c r="Z120" i="1"/>
  <c r="Z286" i="1"/>
  <c r="Z287" i="1"/>
  <c r="Z122" i="1"/>
  <c r="Z124" i="1"/>
  <c r="Z803" i="1"/>
  <c r="Z288" i="1"/>
  <c r="Z463" i="1"/>
  <c r="Z935" i="1"/>
  <c r="Z953" i="1"/>
  <c r="Z76" i="1"/>
  <c r="Z370" i="1"/>
  <c r="Z906" i="1"/>
  <c r="Z1025" i="1"/>
  <c r="Z266" i="1"/>
  <c r="Z180" i="1"/>
  <c r="Z633" i="1"/>
  <c r="Z951" i="1"/>
  <c r="Z255" i="1"/>
  <c r="Z595" i="1"/>
  <c r="Z428" i="1"/>
  <c r="Z521" i="1"/>
  <c r="Z281" i="1"/>
  <c r="Z144" i="1"/>
  <c r="Z377" i="1"/>
  <c r="Z98" i="1"/>
  <c r="Z63" i="1"/>
  <c r="Z71" i="1"/>
  <c r="Z954" i="1"/>
  <c r="Z93" i="1"/>
  <c r="Z296" i="1"/>
  <c r="Z138" i="1"/>
  <c r="Z365" i="1"/>
  <c r="Z961" i="1"/>
  <c r="Z175" i="1"/>
  <c r="Z83" i="1"/>
  <c r="Z533" i="1"/>
  <c r="Z224" i="1"/>
  <c r="Z92" i="1"/>
  <c r="Z196" i="1"/>
  <c r="Z66" i="1"/>
  <c r="Z39" i="1"/>
  <c r="Z198" i="1"/>
  <c r="Z199" i="1"/>
  <c r="Z200" i="1"/>
  <c r="Z201" i="1"/>
  <c r="Z417" i="1"/>
  <c r="Z968" i="1"/>
  <c r="Z112" i="1"/>
  <c r="Z114" i="1"/>
  <c r="Z766" i="1"/>
  <c r="Z907" i="1"/>
  <c r="Z494" i="1"/>
  <c r="Z963" i="1"/>
  <c r="Z206" i="1"/>
  <c r="Z69" i="1"/>
  <c r="Z13" i="1"/>
  <c r="Z573" i="1"/>
  <c r="Z557" i="1"/>
  <c r="Z550" i="1"/>
  <c r="Z712" i="1"/>
  <c r="Z235" i="1"/>
  <c r="Z151" i="1"/>
  <c r="Z970" i="1"/>
  <c r="Z137" i="1"/>
  <c r="Z292" i="1"/>
  <c r="Z232" i="1"/>
  <c r="Z966" i="1"/>
  <c r="Z726" i="1"/>
  <c r="Z565" i="1"/>
  <c r="Z566" i="1"/>
  <c r="Z870" i="1"/>
  <c r="Z274" i="1"/>
  <c r="Z443" i="1"/>
  <c r="Z667" i="1"/>
  <c r="Z896" i="1"/>
  <c r="Z113" i="1"/>
  <c r="Z115" i="1"/>
  <c r="Z116" i="1"/>
  <c r="Z117" i="1"/>
  <c r="Z15" i="1"/>
  <c r="Z36" i="1"/>
  <c r="Z118" i="1"/>
  <c r="Z448" i="1"/>
  <c r="Z478" i="1"/>
  <c r="Z256" i="1"/>
  <c r="Z920" i="1"/>
  <c r="Z314" i="1"/>
  <c r="Z500" i="1"/>
  <c r="Z121" i="1"/>
  <c r="Z988" i="1"/>
  <c r="Z453" i="1"/>
  <c r="Z423" i="1"/>
  <c r="Z554" i="1"/>
  <c r="Z401" i="1"/>
  <c r="Z142" i="1"/>
  <c r="Z404" i="1"/>
  <c r="Z405" i="1"/>
  <c r="Z458" i="1"/>
  <c r="Z294" i="1"/>
  <c r="Z64" i="1"/>
  <c r="Z1028" i="1"/>
  <c r="Z359" i="1"/>
  <c r="Z160" i="1"/>
  <c r="Z718" i="1"/>
  <c r="Z326" i="1"/>
  <c r="Z474" i="1"/>
  <c r="Z106" i="1"/>
  <c r="Z31" i="1"/>
  <c r="Z977" i="1"/>
  <c r="Z476" i="1"/>
  <c r="Z419" i="1"/>
  <c r="Z965" i="1"/>
  <c r="Z189" i="1"/>
  <c r="Z972" i="1"/>
  <c r="Z221" i="1"/>
  <c r="Z973" i="1"/>
  <c r="Z982" i="1"/>
  <c r="Z409" i="1"/>
  <c r="Z220" i="1"/>
  <c r="Z525" i="1"/>
  <c r="Z225" i="1"/>
  <c r="Z983" i="1"/>
  <c r="Z73" i="1"/>
  <c r="Z226" i="1"/>
  <c r="Z187" i="1"/>
  <c r="Z177" i="1"/>
  <c r="Z173" i="1"/>
  <c r="Z182" i="1"/>
  <c r="Z156" i="1"/>
  <c r="Z608" i="1"/>
  <c r="Z442" i="1"/>
  <c r="Z489" i="1"/>
  <c r="Z721" i="1"/>
  <c r="Z958" i="1"/>
  <c r="Z278" i="1"/>
  <c r="Z898" i="1"/>
  <c r="Z89" i="1"/>
  <c r="Z186" i="1"/>
  <c r="Z779" i="1"/>
  <c r="Z381" i="1"/>
  <c r="Z382" i="1"/>
  <c r="Z383" i="1"/>
  <c r="Z979" i="1"/>
  <c r="Z165" i="1"/>
  <c r="Z562" i="1"/>
  <c r="Z168" i="1"/>
  <c r="Z222" i="1"/>
  <c r="Z997" i="1"/>
  <c r="Z172" i="1"/>
  <c r="Z507" i="1"/>
  <c r="Z1009" i="1"/>
  <c r="Z169" i="1"/>
  <c r="Z519" i="1"/>
  <c r="Z134" i="1"/>
  <c r="Z349" i="1"/>
  <c r="Z350" i="1"/>
  <c r="Z208" i="1"/>
  <c r="Z398" i="1"/>
  <c r="Z616" i="1"/>
  <c r="Z244" i="1"/>
  <c r="Z230" i="1"/>
  <c r="Z239" i="1"/>
  <c r="Z410" i="1"/>
  <c r="Z614" i="1"/>
  <c r="Z429" i="1"/>
  <c r="Z664" i="1"/>
  <c r="Z543" i="1"/>
  <c r="Z277" i="1"/>
  <c r="Z320" i="1"/>
  <c r="Z324" i="1"/>
  <c r="Z161" i="1"/>
  <c r="Z971" i="1"/>
  <c r="Z495" i="1"/>
  <c r="Z774" i="1"/>
  <c r="Z498" i="1"/>
  <c r="Z418" i="1"/>
  <c r="Z209" i="1"/>
  <c r="Z327" i="1"/>
  <c r="Z176" i="1"/>
  <c r="Z379" i="1"/>
  <c r="Z439" i="1"/>
  <c r="Z305" i="1"/>
  <c r="Z594" i="1"/>
  <c r="Z257" i="1"/>
  <c r="Z264" i="1"/>
  <c r="Z604" i="1"/>
  <c r="Z804" i="1"/>
  <c r="Z29" i="1"/>
  <c r="Z260" i="1"/>
  <c r="Z328" i="1"/>
  <c r="Z310" i="1"/>
  <c r="Z233" i="1"/>
  <c r="Z456" i="1"/>
  <c r="Z590" i="1"/>
  <c r="Z420" i="1"/>
  <c r="Z42" i="1"/>
  <c r="Z537" i="1"/>
  <c r="Z86" i="1"/>
  <c r="Z440" i="1"/>
  <c r="Z425" i="1"/>
  <c r="Z273" i="1"/>
  <c r="Z441" i="1"/>
  <c r="Z980" i="1"/>
  <c r="Z569" i="1"/>
  <c r="Z570" i="1"/>
  <c r="Z987" i="1"/>
  <c r="Z998" i="1"/>
  <c r="Z279" i="1"/>
  <c r="Z496" i="1"/>
  <c r="Z449" i="1"/>
  <c r="Z284" i="1"/>
  <c r="Z451" i="1"/>
  <c r="Z990" i="1"/>
  <c r="Z934" i="1"/>
  <c r="Z574" i="1"/>
  <c r="Z271" i="1"/>
  <c r="Z268" i="1"/>
  <c r="Z293" i="1"/>
  <c r="Z351" i="1"/>
  <c r="Z261" i="1"/>
  <c r="Z649" i="1"/>
  <c r="Z341" i="1"/>
  <c r="Z626" i="1"/>
  <c r="Z493" i="1"/>
  <c r="Z586" i="1"/>
  <c r="Z329" i="1"/>
  <c r="Z584" i="1"/>
  <c r="Z185" i="1"/>
  <c r="Z157" i="1"/>
  <c r="Z416" i="1"/>
  <c r="Z679" i="1"/>
  <c r="Z285" i="1"/>
  <c r="Z546" i="1"/>
  <c r="Z322" i="1"/>
  <c r="Z229" i="1"/>
  <c r="Z154" i="1"/>
  <c r="Z20" i="1"/>
  <c r="Z269" i="1"/>
  <c r="Z819" i="1"/>
  <c r="Z25" i="1"/>
  <c r="Z470" i="1"/>
  <c r="Z531" i="1"/>
  <c r="Z1018" i="1"/>
  <c r="Z659" i="1"/>
  <c r="Z660" i="1"/>
  <c r="Z295" i="1"/>
  <c r="Z433" i="1"/>
  <c r="Z435" i="1"/>
  <c r="Z676" i="1"/>
  <c r="Z635" i="1"/>
  <c r="Z306" i="1"/>
  <c r="Z1015" i="1"/>
  <c r="Z1010" i="1"/>
  <c r="Z307" i="1"/>
  <c r="Z303" i="1"/>
  <c r="Z195" i="1"/>
  <c r="Z236" i="1"/>
  <c r="Z132" i="1"/>
  <c r="Z203" i="1"/>
  <c r="Z491" i="1"/>
  <c r="Z87" i="1"/>
  <c r="Z207" i="1"/>
  <c r="Z210" i="1"/>
  <c r="Z211" i="1"/>
  <c r="Z380" i="1"/>
  <c r="Z213" i="1"/>
  <c r="Z501" i="1"/>
  <c r="Z214" i="1"/>
  <c r="Z936" i="1"/>
  <c r="Z993" i="1"/>
  <c r="Z994" i="1"/>
  <c r="Z304" i="1"/>
  <c r="Z446" i="1"/>
  <c r="Z352" i="1"/>
  <c r="Z242" i="1"/>
  <c r="Z302" i="1"/>
  <c r="Z301" i="1"/>
  <c r="Z1084" i="1"/>
  <c r="Z399" i="1"/>
  <c r="Z438" i="1"/>
  <c r="Z358" i="1"/>
  <c r="Z596" i="1"/>
  <c r="Z583" i="1"/>
  <c r="Z551" i="1"/>
  <c r="Z516" i="1"/>
  <c r="Z544" i="1"/>
  <c r="Z228" i="1"/>
  <c r="Z54" i="1"/>
  <c r="Z26" i="1"/>
  <c r="Z1065" i="1"/>
  <c r="Z262" i="1"/>
  <c r="Z107" i="1"/>
  <c r="Z427" i="1"/>
  <c r="Z129" i="1"/>
  <c r="Z249" i="1"/>
  <c r="Z248" i="1"/>
  <c r="Z564" i="1"/>
  <c r="Z258" i="1"/>
  <c r="Z265" i="1"/>
  <c r="Z602" i="1"/>
  <c r="Z126" i="1"/>
  <c r="Z434" i="1"/>
  <c r="Z368" i="1"/>
  <c r="Z620" i="1"/>
  <c r="Z231" i="1"/>
  <c r="Z444" i="1"/>
  <c r="Z1080" i="1"/>
  <c r="Z466" i="1"/>
  <c r="Z1083" i="1"/>
  <c r="Z670" i="1"/>
  <c r="Z291" i="1"/>
  <c r="Z630" i="1"/>
  <c r="Z901" i="1"/>
  <c r="Z780" i="1"/>
  <c r="Z1014" i="1"/>
  <c r="Z384" i="1"/>
  <c r="Z432" i="1"/>
  <c r="Z216" i="1"/>
  <c r="Z560" i="1"/>
  <c r="Z623" i="1"/>
  <c r="Z592" i="1"/>
  <c r="Z411" i="1"/>
  <c r="Z394" i="1"/>
  <c r="Z335" i="1"/>
  <c r="Z240" i="1"/>
  <c r="Z1016" i="1"/>
  <c r="Z123" i="1"/>
  <c r="Z392" i="1"/>
  <c r="Z149" i="1"/>
  <c r="Z575" i="1"/>
  <c r="Z1023" i="1"/>
  <c r="Z162" i="1"/>
  <c r="Z421" i="1"/>
  <c r="Z254" i="1"/>
  <c r="Z513" i="1"/>
  <c r="Z253" i="1"/>
  <c r="Z1027" i="1"/>
  <c r="Z251" i="1"/>
  <c r="Z567" i="1"/>
  <c r="Z609" i="1"/>
  <c r="Z414" i="1"/>
  <c r="Z163" i="1"/>
  <c r="Z784" i="1"/>
  <c r="Z452" i="1"/>
  <c r="Z345" i="1"/>
  <c r="Z316" i="1"/>
  <c r="Z579" i="1"/>
  <c r="Z263" i="1"/>
  <c r="Z355" i="1"/>
  <c r="Z312" i="1"/>
  <c r="Z1087" i="1"/>
  <c r="Z158" i="1"/>
  <c r="Z984" i="1"/>
  <c r="Z581" i="1"/>
  <c r="Z447" i="1"/>
  <c r="Z94" i="1"/>
  <c r="Z615" i="1"/>
  <c r="Z299" i="1"/>
  <c r="Z631" i="1"/>
  <c r="Z424" i="1"/>
  <c r="Z445" i="1"/>
  <c r="Z298" i="1"/>
  <c r="Z141" i="1"/>
  <c r="Z464" i="1"/>
  <c r="Z996" i="1"/>
  <c r="Z181" i="1"/>
  <c r="Z413" i="1"/>
  <c r="Z422" i="1"/>
  <c r="Z19" i="1"/>
  <c r="Z568" i="1"/>
  <c r="Z403" i="1"/>
  <c r="Z656" i="1"/>
  <c r="Z517" i="1"/>
  <c r="Z490" i="1"/>
  <c r="Z577" i="1"/>
  <c r="Z338" i="1"/>
  <c r="Z339" i="1"/>
  <c r="Z317" i="1"/>
  <c r="Z336" i="1"/>
  <c r="Z241" i="1"/>
  <c r="Z348" i="1"/>
  <c r="Z308" i="1"/>
  <c r="Z330" i="1"/>
  <c r="Z437" i="1"/>
  <c r="Z318" i="1"/>
  <c r="Z499" i="1"/>
  <c r="Z624" i="1"/>
  <c r="Z526" i="1"/>
  <c r="Z506" i="1"/>
  <c r="Z246" i="1"/>
  <c r="Z524" i="1"/>
  <c r="Z589" i="1"/>
  <c r="Z1076" i="1"/>
  <c r="Z548" i="1"/>
  <c r="Z389" i="1"/>
  <c r="Z408" i="1"/>
  <c r="Z1035" i="1"/>
  <c r="Z1074" i="1"/>
  <c r="Z1001" i="1"/>
  <c r="Z642" i="1"/>
  <c r="Z587" i="1"/>
  <c r="Z648" i="1"/>
  <c r="Z459" i="1"/>
  <c r="Z535" i="1"/>
  <c r="Z153" i="1"/>
  <c r="Z469" i="1"/>
  <c r="Z539" i="1"/>
  <c r="Z1006" i="1"/>
  <c r="Z558" i="1"/>
  <c r="Z272" i="1"/>
  <c r="Z553" i="1"/>
  <c r="Z1029" i="1"/>
  <c r="Z270" i="1"/>
  <c r="Z622" i="1"/>
  <c r="Z509" i="1"/>
  <c r="Z238" i="1"/>
  <c r="Z55" i="1"/>
  <c r="Z530" i="1"/>
  <c r="Z512" i="1"/>
  <c r="Z600" i="1"/>
  <c r="Z237" i="1"/>
  <c r="Z563" i="1"/>
  <c r="Z638" i="1"/>
  <c r="Z1079" i="1"/>
  <c r="Z1077" i="1"/>
  <c r="Z1037" i="1"/>
  <c r="Z653" i="1"/>
  <c r="Z549" i="1"/>
  <c r="Z468" i="1"/>
  <c r="Z619" i="1"/>
  <c r="Z644" i="1"/>
  <c r="Z597" i="1"/>
  <c r="Z309" i="1"/>
  <c r="Z373" i="1"/>
  <c r="Z941" i="1"/>
  <c r="Z861" i="1"/>
  <c r="Z854" i="1"/>
  <c r="Z692" i="1"/>
  <c r="Z184" i="1"/>
  <c r="Z528" i="1"/>
  <c r="Z483" i="1"/>
  <c r="Z510" i="1"/>
  <c r="Z11" i="1"/>
  <c r="Z944" i="1"/>
  <c r="Z668" i="1"/>
  <c r="Z945" i="1"/>
  <c r="Z58" i="1"/>
  <c r="Z946" i="1"/>
  <c r="Z947" i="1"/>
  <c r="Z471" i="1"/>
  <c r="Z5" i="1"/>
  <c r="Z174" i="1"/>
  <c r="Z690" i="1"/>
  <c r="Z989" i="1"/>
  <c r="Z976" i="1"/>
  <c r="Z21" i="1"/>
  <c r="Z385" i="1"/>
  <c r="Z588" i="1"/>
  <c r="Z1008" i="1"/>
  <c r="Z1032" i="1"/>
  <c r="Z477" i="1"/>
  <c r="Z192" i="1"/>
  <c r="Z943" i="1"/>
  <c r="Z960" i="1"/>
  <c r="Z995" i="1"/>
  <c r="Z152" i="1"/>
  <c r="Z617" i="1"/>
  <c r="Z17" i="1"/>
  <c r="Z571" i="1"/>
  <c r="Z661" i="1"/>
  <c r="Z634" i="1"/>
  <c r="Z472" i="1"/>
  <c r="Z223" i="1"/>
  <c r="Z640" i="1"/>
  <c r="Z159" i="1"/>
  <c r="Z27" i="1"/>
  <c r="Z1039" i="1"/>
  <c r="Z687" i="1"/>
  <c r="Z28" i="1"/>
  <c r="Z688" i="1"/>
  <c r="Z538" i="1"/>
  <c r="Z816" i="1"/>
  <c r="Z689" i="1"/>
  <c r="Z193" i="1"/>
  <c r="Z542" i="1"/>
  <c r="Z150" i="1"/>
  <c r="Z514" i="1"/>
  <c r="Z518" i="1"/>
  <c r="Z673" i="1"/>
  <c r="Z601" i="1"/>
  <c r="Z300" i="1"/>
  <c r="Z865" i="1"/>
  <c r="Z340" i="1"/>
  <c r="Z520" i="1"/>
  <c r="Z487" i="1"/>
  <c r="Z488" i="1"/>
  <c r="Z367" i="1"/>
  <c r="Z473" i="1"/>
  <c r="Z511" i="1"/>
  <c r="Z356" i="1"/>
  <c r="Z290" i="1"/>
  <c r="Z250" i="1"/>
  <c r="Z247" i="1"/>
  <c r="Z188" i="1"/>
  <c r="Z245" i="1"/>
  <c r="Z515" i="1"/>
  <c r="Z395" i="1"/>
  <c r="Z552" i="1"/>
  <c r="Z369" i="1"/>
  <c r="Z637" i="1"/>
  <c r="Z481" i="1"/>
  <c r="Z110" i="1"/>
  <c r="Z725" i="1"/>
  <c r="Z475" i="1"/>
  <c r="Z79" i="1"/>
  <c r="Z82" i="1"/>
  <c r="Z48" i="1"/>
  <c r="Z202" i="1"/>
  <c r="Z60" i="1"/>
  <c r="Z131" i="1"/>
  <c r="Z555" i="1"/>
  <c r="Z311" i="1"/>
  <c r="Z331" i="1"/>
  <c r="Z964" i="1"/>
  <c r="Z1075" i="1"/>
  <c r="Z883" i="1"/>
  <c r="Z1030" i="1"/>
  <c r="Z1078" i="1"/>
  <c r="Z1024" i="1"/>
  <c r="Z1081" i="1"/>
  <c r="Z1082" i="1"/>
  <c r="Z1000" i="1"/>
  <c r="Z1033" i="1"/>
  <c r="Z582" i="1"/>
  <c r="Z650" i="1"/>
  <c r="Z276" i="1"/>
  <c r="Z99" i="1"/>
  <c r="Z78" i="1"/>
  <c r="Z143" i="1"/>
  <c r="Z753" i="1"/>
  <c r="Z762" i="1"/>
  <c r="Z763" i="1"/>
  <c r="Z56" i="1"/>
  <c r="Z243" i="1"/>
  <c r="Z1019" i="1"/>
  <c r="Z430" i="1"/>
  <c r="Z22" i="1"/>
  <c r="Z190" i="1"/>
  <c r="Z628" i="1"/>
  <c r="Z283" i="1"/>
  <c r="Z59" i="1"/>
  <c r="Z37" i="1"/>
  <c r="Z655" i="1"/>
  <c r="Z605" i="1"/>
  <c r="Z332" i="1"/>
  <c r="Z378" i="1"/>
  <c r="Z782" i="1"/>
  <c r="Z522" i="1"/>
  <c r="Z212" i="1"/>
  <c r="Z639" i="1"/>
  <c r="Z148" i="1"/>
  <c r="Z344" i="1"/>
  <c r="Z1092" i="1"/>
  <c r="Z938" i="1"/>
  <c r="Z940" i="1"/>
  <c r="Z939" i="1"/>
  <c r="Z215" i="1"/>
  <c r="Z666" i="1"/>
  <c r="Z681" i="1"/>
  <c r="Z104" i="1"/>
  <c r="Z133" i="1"/>
  <c r="Z44" i="1"/>
  <c r="Z534" i="1"/>
  <c r="Z805" i="1"/>
  <c r="Z806" i="1"/>
  <c r="Z1094" i="1"/>
  <c r="Z807" i="1"/>
  <c r="Z808" i="1"/>
  <c r="Z809" i="1"/>
  <c r="Z811" i="1"/>
  <c r="Z812" i="1"/>
  <c r="Z813" i="1"/>
  <c r="Z814" i="1"/>
  <c r="Z815" i="1"/>
  <c r="Z128" i="1"/>
  <c r="Z267" i="1"/>
  <c r="Z461" i="1"/>
  <c r="Z362" i="1"/>
  <c r="Z532" i="1"/>
  <c r="Z561" i="1"/>
  <c r="Z817" i="1"/>
  <c r="Z289" i="1"/>
  <c r="Z523" i="1"/>
  <c r="Z693" i="1"/>
  <c r="Z818" i="1"/>
  <c r="Z363" i="1"/>
  <c r="Z654" i="1"/>
  <c r="Z333" i="1"/>
  <c r="Z485" i="1"/>
  <c r="Z45" i="1"/>
  <c r="Z171" i="1"/>
  <c r="Z342" i="1"/>
  <c r="Z559" i="1"/>
  <c r="Z1020" i="1"/>
  <c r="Z167" i="1"/>
  <c r="Z407" i="1"/>
  <c r="Z125" i="1"/>
  <c r="Z686" i="1"/>
  <c r="Z685" i="1"/>
  <c r="Z34" i="1"/>
  <c r="Z612" i="1"/>
  <c r="Z194" i="1"/>
  <c r="Z95" i="1"/>
  <c r="Z529" i="1"/>
  <c r="Z1047" i="1"/>
  <c r="Z1048" i="1"/>
  <c r="Z1049" i="1"/>
  <c r="Z1050" i="1"/>
  <c r="Z527" i="1"/>
  <c r="Z227" i="1"/>
  <c r="Z191" i="1"/>
  <c r="Z361" i="1"/>
  <c r="Z593" i="1"/>
  <c r="Z643" i="1"/>
  <c r="Z662" i="1"/>
  <c r="Z651" i="1"/>
  <c r="Z647" i="1"/>
  <c r="Z479" i="1"/>
  <c r="Z480" i="1"/>
  <c r="Z607" i="1"/>
  <c r="Z632" i="1"/>
  <c r="Z645" i="1"/>
  <c r="Z598" i="1"/>
  <c r="Z38" i="1"/>
  <c r="Z53" i="1"/>
  <c r="Z147" i="1"/>
  <c r="Z820" i="1"/>
  <c r="Z821" i="1"/>
  <c r="Z625" i="1"/>
  <c r="Z465" i="1"/>
  <c r="Z536" i="1"/>
  <c r="Z457" i="1"/>
  <c r="Z580" i="1"/>
  <c r="Z454" i="1"/>
  <c r="Z658" i="1"/>
  <c r="Z556" i="1"/>
  <c r="Z353" i="1"/>
  <c r="Z397" i="1"/>
  <c r="Z178" i="1"/>
  <c r="Z822" i="1"/>
  <c r="Z1011" i="1"/>
  <c r="Z540" i="1"/>
  <c r="Z677" i="1"/>
  <c r="Z591" i="1"/>
  <c r="Z606" i="1"/>
  <c r="Z482" i="1"/>
  <c r="Z665" i="1"/>
  <c r="Z467" i="1"/>
  <c r="Z621" i="1"/>
  <c r="Z179" i="1"/>
  <c r="Z610" i="1"/>
  <c r="Z431" i="1"/>
  <c r="Z599" i="1"/>
  <c r="Z674" i="1"/>
  <c r="Z684" i="1"/>
  <c r="Z696" i="1"/>
  <c r="Z678" i="1"/>
  <c r="Z578" i="1"/>
  <c r="Z611" i="1"/>
  <c r="Z101" i="1"/>
  <c r="Z102" i="1"/>
  <c r="Z166" i="1"/>
  <c r="Z484" i="1"/>
  <c r="Z576" i="1"/>
  <c r="Z103" i="1"/>
  <c r="Z396" i="1"/>
  <c r="Z603" i="1"/>
  <c r="Z65" i="1"/>
  <c r="Z663" i="1"/>
  <c r="Z680" i="1"/>
  <c r="Z683" i="1"/>
  <c r="Z682" i="1"/>
  <c r="Z669" i="1"/>
  <c r="Z652" i="1"/>
  <c r="Z671" i="1"/>
  <c r="Z672" i="1"/>
  <c r="Z346" i="1"/>
  <c r="Z319" i="1"/>
  <c r="Z323" i="1"/>
  <c r="Z347" i="1"/>
  <c r="Z823" i="1"/>
  <c r="Z824" i="1"/>
  <c r="Z825" i="1"/>
  <c r="Z641" i="1"/>
  <c r="Z646" i="1"/>
  <c r="Z629" i="1"/>
  <c r="Z4" i="1"/>
  <c r="Z337" i="1"/>
  <c r="Z826" i="1"/>
  <c r="Z698" i="1"/>
  <c r="Z827" i="1"/>
  <c r="Z636" i="1"/>
  <c r="Z393" i="1"/>
  <c r="Z360" i="1"/>
  <c r="Z699" i="1"/>
  <c r="Z700" i="1"/>
  <c r="Z828" i="1"/>
  <c r="Z412" i="1"/>
  <c r="Z829" i="1"/>
  <c r="Z835" i="1"/>
  <c r="Z836" i="1"/>
  <c r="Z837" i="1"/>
  <c r="Z838" i="1"/>
  <c r="Z839" i="1"/>
  <c r="Z1135" i="1"/>
  <c r="Z840" i="1"/>
  <c r="Z1136" i="1"/>
  <c r="Z842" i="1"/>
  <c r="Z843" i="1"/>
  <c r="Z844" i="1"/>
  <c r="Z845" i="1"/>
  <c r="Z1138" i="1"/>
  <c r="Z1139" i="1"/>
  <c r="Z1140" i="1"/>
  <c r="Z849" i="1"/>
  <c r="Z850" i="1"/>
  <c r="Z852" i="1"/>
  <c r="Z853" i="1"/>
  <c r="Z1141" i="1"/>
  <c r="Z857" i="1"/>
  <c r="Z859" i="1"/>
  <c r="Z860" i="1"/>
  <c r="Z1143" i="1"/>
  <c r="Z1144" i="1"/>
  <c r="Z1145" i="1"/>
  <c r="Z1146" i="1"/>
  <c r="Z1147" i="1"/>
  <c r="Z862" i="1"/>
  <c r="Z863" i="1"/>
  <c r="Z1148" i="1"/>
  <c r="Z1151" i="1"/>
  <c r="Z1153" i="1"/>
  <c r="Z1154" i="1"/>
  <c r="Z1155" i="1"/>
  <c r="Z1158" i="1"/>
  <c r="Z1159" i="1"/>
  <c r="Z864" i="1"/>
  <c r="Z866" i="1"/>
  <c r="Z391" i="1"/>
  <c r="Z704" i="1"/>
  <c r="Z8" i="1"/>
  <c r="Z9" i="1"/>
  <c r="Z197" i="1"/>
  <c r="Z705" i="1"/>
  <c r="Z364" i="1"/>
  <c r="Z706" i="1"/>
  <c r="Z1063" i="1"/>
  <c r="Z707" i="1"/>
  <c r="Z867" i="1"/>
  <c r="Z61" i="1"/>
  <c r="Z32" i="1"/>
  <c r="Z1160" i="1"/>
  <c r="Z18" i="1"/>
  <c r="Z366" i="1"/>
  <c r="Z1161" i="1"/>
  <c r="Z35" i="1"/>
  <c r="Z1162" i="1"/>
  <c r="Z709" i="1"/>
  <c r="Z12" i="1"/>
  <c r="Z710" i="1"/>
  <c r="Z426" i="1"/>
  <c r="Z1164" i="1"/>
  <c r="Z170" i="1"/>
  <c r="Z334" i="1"/>
  <c r="Z711" i="1"/>
  <c r="Z67" i="1"/>
  <c r="Z872" i="1"/>
  <c r="Z402" i="1"/>
  <c r="Z715" i="1"/>
  <c r="Z716" i="1"/>
  <c r="Z873" i="1"/>
  <c r="Z75" i="1"/>
  <c r="Z874" i="1"/>
  <c r="Z720" i="1"/>
  <c r="Z875" i="1"/>
  <c r="Z722" i="1"/>
  <c r="Z723" i="1"/>
  <c r="Z724" i="1"/>
  <c r="Z1170" i="1"/>
  <c r="Z1171" i="1"/>
  <c r="Z877" i="1"/>
  <c r="Z14" i="1"/>
  <c r="Z879" i="1"/>
  <c r="Z1073" i="1"/>
  <c r="Z880" i="1"/>
  <c r="Z881" i="1"/>
  <c r="Z111" i="1"/>
  <c r="Z887" i="1"/>
  <c r="Z204" i="1"/>
  <c r="Z752" i="1"/>
  <c r="Z754" i="1"/>
  <c r="Z400" i="1"/>
  <c r="Z755" i="1"/>
  <c r="Z756" i="1"/>
  <c r="Z888" i="1"/>
  <c r="Z757" i="1"/>
  <c r="Z758" i="1"/>
  <c r="Z889" i="1"/>
  <c r="Z890" i="1"/>
  <c r="Z891" i="1"/>
  <c r="Z759" i="1"/>
  <c r="Z760" i="1"/>
  <c r="Z761" i="1"/>
  <c r="Z371" i="1"/>
  <c r="Z892" i="1"/>
  <c r="Z16" i="1"/>
  <c r="Z657" i="1"/>
  <c r="Z893" i="1"/>
  <c r="Z613" i="1"/>
  <c r="Z88" i="1"/>
  <c r="Z894" i="1"/>
  <c r="Z1085" i="1"/>
  <c r="Z10" i="1"/>
  <c r="Z1173" i="1"/>
  <c r="Z900" i="1"/>
  <c r="Z902" i="1"/>
  <c r="Z24" i="1"/>
  <c r="Z764" i="1"/>
  <c r="Z903" i="1"/>
  <c r="Z904" i="1"/>
  <c r="Z905" i="1"/>
  <c r="Z767" i="1"/>
  <c r="Z908" i="1"/>
  <c r="Z768" i="1"/>
  <c r="Z675" i="1"/>
  <c r="Z909" i="1"/>
  <c r="Z372" i="1"/>
  <c r="Z1012" i="1"/>
  <c r="Z1176" i="1"/>
  <c r="Z910" i="1"/>
  <c r="Z772" i="1"/>
  <c r="Z90" i="1"/>
  <c r="Z911" i="1"/>
  <c r="Z205" i="1"/>
  <c r="Z1179" i="1"/>
  <c r="Z912" i="1"/>
  <c r="Z1180" i="1"/>
  <c r="Z913" i="1"/>
  <c r="Z914" i="1"/>
  <c r="Z773" i="1"/>
  <c r="Z234" i="1"/>
  <c r="Z68" i="1"/>
  <c r="Z915" i="1"/>
  <c r="Z775" i="1"/>
  <c r="Z776" i="1"/>
  <c r="Z777" i="1"/>
  <c r="Z1182" i="1"/>
  <c r="Z1183" i="1"/>
  <c r="Z917" i="1"/>
  <c r="Z374" i="1"/>
  <c r="Z497" i="1"/>
  <c r="Z918" i="1"/>
  <c r="Z282" i="1"/>
  <c r="Z778" i="1"/>
  <c r="Z375" i="1"/>
  <c r="Z919" i="1"/>
  <c r="Z545" i="1"/>
  <c r="Z781" i="1"/>
  <c r="Z183" i="1"/>
  <c r="Z1185" i="1"/>
  <c r="Z6" i="1"/>
  <c r="Z921" i="1"/>
  <c r="Z155" i="1"/>
  <c r="Z799" i="1"/>
  <c r="Z800" i="1"/>
  <c r="Z572" i="1"/>
  <c r="Z217" i="1"/>
  <c r="Z145" i="1"/>
  <c r="Z502" i="1"/>
  <c r="Z618" i="1"/>
  <c r="Z84" i="1"/>
  <c r="Z503" i="1"/>
  <c r="Z297" i="1"/>
  <c r="Z23" i="1"/>
  <c r="Z455" i="1"/>
  <c r="Z922" i="1"/>
  <c r="Z923" i="1"/>
  <c r="Z924" i="1"/>
  <c r="Z218" i="1"/>
  <c r="Z415" i="1"/>
  <c r="Z504" i="1"/>
  <c r="Z406" i="1"/>
  <c r="Z100" i="1"/>
  <c r="Z386" i="1"/>
  <c r="Z925" i="1"/>
  <c r="Z46" i="1"/>
  <c r="Z926" i="1"/>
  <c r="Z927" i="1"/>
  <c r="Z390" i="1"/>
  <c r="Z460" i="1"/>
  <c r="Z136" i="1"/>
  <c r="Z30" i="1"/>
  <c r="Z357" i="1"/>
  <c r="Z354" i="1"/>
  <c r="Z547" i="1"/>
  <c r="Z801" i="1"/>
  <c r="Z387" i="1"/>
  <c r="Z462" i="1"/>
  <c r="Z541" i="1"/>
  <c r="Z928" i="1"/>
  <c r="Z70" i="1"/>
  <c r="Z929" i="1"/>
  <c r="Z436" i="1"/>
  <c r="Z802" i="1"/>
  <c r="Z627" i="1"/>
  <c r="Z315" i="1"/>
  <c r="Z343" i="1"/>
  <c r="Z1187" i="1"/>
  <c r="Z1188" i="1"/>
  <c r="Z933" i="1"/>
  <c r="Z388" i="1"/>
  <c r="Z505" i="1"/>
  <c r="Z81" i="1"/>
  <c r="Z1189" i="1"/>
  <c r="Z952" i="1"/>
  <c r="Z959" i="1"/>
  <c r="Z962" i="1"/>
  <c r="Z967" i="1"/>
  <c r="Z969" i="1"/>
  <c r="Z974" i="1"/>
  <c r="Z975" i="1"/>
  <c r="Z978" i="1"/>
  <c r="Z981" i="1"/>
  <c r="Z985" i="1"/>
  <c r="Z991" i="1"/>
  <c r="Z992" i="1"/>
  <c r="Z999" i="1"/>
  <c r="Z1002" i="1"/>
  <c r="Z1003" i="1"/>
  <c r="Z1004" i="1"/>
  <c r="Z1005" i="1"/>
  <c r="Z1022" i="1"/>
  <c r="Z1026" i="1"/>
  <c r="Z1031" i="1"/>
  <c r="Z1034" i="1"/>
  <c r="Z1036" i="1"/>
  <c r="Z956" i="1"/>
  <c r="Z986" i="1"/>
  <c r="Z1007" i="1"/>
  <c r="Z1013" i="1"/>
  <c r="Z1017" i="1"/>
  <c r="Z1021" i="1"/>
  <c r="Z1038" i="1"/>
  <c r="Z1040" i="1"/>
  <c r="Z1041" i="1"/>
  <c r="Z1042" i="1"/>
  <c r="Z1043" i="1"/>
  <c r="Z1044" i="1"/>
  <c r="Z1045" i="1"/>
  <c r="Z1046" i="1"/>
  <c r="Z1051" i="1"/>
  <c r="Z1052" i="1"/>
  <c r="Z1053" i="1"/>
  <c r="Z1054" i="1"/>
  <c r="Z1055" i="1"/>
  <c r="Z1056" i="1"/>
  <c r="Z1057" i="1"/>
  <c r="Z1058" i="1"/>
  <c r="Z1059" i="1"/>
  <c r="Z1060" i="1"/>
  <c r="Z1061" i="1"/>
  <c r="Z1062" i="1"/>
  <c r="Z1064" i="1"/>
  <c r="Z1066" i="1"/>
  <c r="Z1067" i="1"/>
  <c r="Z1068" i="1"/>
  <c r="Z1069" i="1"/>
  <c r="Z1070" i="1"/>
  <c r="Z1071" i="1"/>
  <c r="Z1072" i="1"/>
  <c r="Z1086" i="1"/>
  <c r="Z1088" i="1"/>
  <c r="Z1089" i="1"/>
  <c r="Z1090" i="1"/>
  <c r="Z1091" i="1"/>
  <c r="Z1093"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37" i="1"/>
  <c r="Z1142" i="1"/>
  <c r="Z1149" i="1"/>
  <c r="Z1150" i="1"/>
  <c r="Z1152" i="1"/>
  <c r="Z1156" i="1"/>
  <c r="Z1157" i="1"/>
  <c r="Z1163" i="1"/>
  <c r="Z1165" i="1"/>
  <c r="Z1166" i="1"/>
  <c r="Z1167" i="1"/>
  <c r="Z1168" i="1"/>
  <c r="Z1169" i="1"/>
  <c r="Z1172" i="1"/>
  <c r="Z1174" i="1"/>
  <c r="Z1175" i="1"/>
  <c r="Z1177" i="1"/>
  <c r="Z1178" i="1"/>
  <c r="Z1181" i="1"/>
  <c r="Z1184" i="1"/>
  <c r="Z1186" i="1"/>
  <c r="Z1190" i="1"/>
  <c r="F36" i="1" l="1"/>
  <c r="G36" i="1"/>
  <c r="S36" i="1"/>
  <c r="V36" i="1"/>
  <c r="AC36" i="1"/>
  <c r="F859" i="1"/>
  <c r="G859" i="1"/>
  <c r="S859" i="1"/>
  <c r="V859" i="1"/>
  <c r="AC859" i="1"/>
  <c r="F860" i="1"/>
  <c r="G860" i="1"/>
  <c r="S860" i="1"/>
  <c r="V860" i="1"/>
  <c r="AC860" i="1"/>
  <c r="F853" i="1"/>
  <c r="G853" i="1"/>
  <c r="S853" i="1"/>
  <c r="V853" i="1"/>
  <c r="AC853" i="1"/>
  <c r="F849" i="1"/>
  <c r="G849" i="1"/>
  <c r="S849" i="1"/>
  <c r="V849" i="1"/>
  <c r="AC849" i="1"/>
  <c r="F852" i="1"/>
  <c r="G852" i="1"/>
  <c r="S852" i="1"/>
  <c r="V852" i="1"/>
  <c r="AC852" i="1"/>
  <c r="F12" i="1" l="1"/>
  <c r="G12" i="1"/>
  <c r="S12" i="1"/>
  <c r="V12" i="1"/>
  <c r="AC12" i="1"/>
  <c r="S8" i="1" l="1"/>
  <c r="S238" i="1"/>
  <c r="S668" i="1"/>
  <c r="S551" i="1"/>
  <c r="S644" i="1"/>
  <c r="S662" i="1"/>
  <c r="S638" i="1"/>
  <c r="S678" i="1"/>
  <c r="S648" i="1"/>
  <c r="S670" i="1"/>
  <c r="S606" i="1"/>
  <c r="S591" i="1"/>
  <c r="S482" i="1"/>
  <c r="S467" i="1"/>
  <c r="S1009" i="1"/>
  <c r="S651" i="1"/>
  <c r="S533" i="1"/>
  <c r="S647" i="1"/>
  <c r="S632" i="1"/>
  <c r="S454" i="1"/>
  <c r="S178" i="1"/>
  <c r="S658" i="1"/>
  <c r="S556" i="1"/>
  <c r="S466" i="1"/>
  <c r="S623" i="1"/>
  <c r="S359" i="1"/>
  <c r="S223" i="1"/>
  <c r="S526" i="1"/>
  <c r="S597" i="1"/>
  <c r="S310" i="1"/>
  <c r="S17" i="1"/>
  <c r="S539" i="1"/>
  <c r="S590" i="1"/>
  <c r="S995" i="1"/>
  <c r="S384" i="1"/>
  <c r="S313" i="1"/>
  <c r="S936" i="1"/>
  <c r="S938" i="1"/>
  <c r="S448" i="1"/>
  <c r="S496" i="1"/>
  <c r="S940" i="1"/>
  <c r="S478" i="1"/>
  <c r="S939" i="1"/>
  <c r="S414" i="1"/>
  <c r="S943" i="1"/>
  <c r="S152" i="1"/>
  <c r="S588" i="1"/>
  <c r="S653" i="1"/>
  <c r="S661" i="1"/>
  <c r="S1182" i="1"/>
  <c r="S345" i="1"/>
  <c r="S602" i="1"/>
  <c r="S295" i="1"/>
  <c r="S256" i="1"/>
  <c r="S235" i="1"/>
  <c r="S190" i="1"/>
  <c r="S69" i="1"/>
  <c r="S282" i="1"/>
  <c r="S404" i="1"/>
  <c r="S283" i="1"/>
  <c r="S277" i="1"/>
  <c r="S301" i="1"/>
  <c r="S252" i="1"/>
  <c r="S613" i="1"/>
  <c r="S922" i="1"/>
  <c r="S998" i="1"/>
  <c r="S1019" i="1"/>
  <c r="S655" i="1"/>
  <c r="S605" i="1"/>
  <c r="S55" i="1"/>
  <c r="S545" i="1"/>
  <c r="S126" i="1"/>
  <c r="S31" i="1"/>
  <c r="S52" i="1"/>
  <c r="S599" i="1"/>
  <c r="S499" i="1"/>
  <c r="S239" i="1"/>
  <c r="S284" i="1"/>
  <c r="S868" i="1"/>
  <c r="S919" i="1"/>
  <c r="S659" i="1"/>
  <c r="S121" i="1"/>
  <c r="S327" i="1"/>
  <c r="S287" i="1"/>
  <c r="S562" i="1"/>
  <c r="S339" i="1"/>
  <c r="S1037" i="1"/>
  <c r="S666" i="1"/>
  <c r="S619" i="1"/>
  <c r="S247" i="1"/>
  <c r="S161" i="1"/>
  <c r="S162" i="1"/>
  <c r="S718" i="1"/>
  <c r="S426" i="1"/>
  <c r="S871" i="1"/>
  <c r="S62" i="1"/>
  <c r="S316" i="1"/>
  <c r="S216" i="1"/>
  <c r="S779" i="1"/>
  <c r="S780" i="1"/>
  <c r="S396" i="1"/>
  <c r="S118" i="1"/>
  <c r="S495" i="1"/>
  <c r="S352" i="1"/>
  <c r="S280" i="1"/>
  <c r="S774" i="1"/>
  <c r="S355" i="1"/>
  <c r="S285" i="1"/>
  <c r="S518" i="1"/>
  <c r="S625" i="1"/>
  <c r="S174" i="1"/>
  <c r="S424" i="1"/>
  <c r="S368" i="1"/>
  <c r="S675" i="1"/>
  <c r="S149" i="1"/>
  <c r="S100" i="1"/>
  <c r="S711" i="1"/>
  <c r="S5" i="1"/>
  <c r="S589" i="1"/>
  <c r="S511" i="1"/>
  <c r="S13" i="1"/>
  <c r="S83" i="1"/>
  <c r="S493" i="1"/>
  <c r="S411" i="1"/>
  <c r="S609" i="1"/>
  <c r="S73" i="1"/>
  <c r="S563" i="1"/>
  <c r="S444" i="1"/>
  <c r="S378" i="1"/>
  <c r="S435" i="1"/>
  <c r="S639" i="1"/>
  <c r="S335" i="1"/>
  <c r="S897" i="1"/>
  <c r="S895" i="1"/>
  <c r="S113" i="1"/>
  <c r="S185" i="1"/>
  <c r="S474" i="1"/>
  <c r="S896" i="1"/>
  <c r="S899" i="1"/>
  <c r="S114" i="1"/>
  <c r="S115" i="1"/>
  <c r="S900" i="1"/>
  <c r="S901" i="1"/>
  <c r="S902" i="1"/>
  <c r="S905" i="1"/>
  <c r="S906" i="1"/>
  <c r="S116" i="1"/>
  <c r="S89" i="1"/>
  <c r="S907" i="1"/>
  <c r="S766" i="1"/>
  <c r="S494" i="1"/>
  <c r="S449" i="1"/>
  <c r="S585" i="1"/>
  <c r="S417" i="1"/>
  <c r="S318" i="1"/>
  <c r="S459" i="1"/>
  <c r="S603" i="1"/>
  <c r="S642" i="1"/>
  <c r="S601" i="1"/>
  <c r="S296" i="1"/>
  <c r="S583" i="1"/>
  <c r="S509" i="1"/>
  <c r="S586" i="1"/>
  <c r="S665" i="1"/>
  <c r="S557" i="1"/>
  <c r="S196" i="1"/>
  <c r="S240" i="1"/>
  <c r="S272" i="1"/>
  <c r="S309" i="1"/>
  <c r="S377" i="1"/>
  <c r="S211" i="1"/>
  <c r="S328" i="1"/>
  <c r="S870" i="1"/>
  <c r="S1160" i="1"/>
  <c r="S54" i="1"/>
  <c r="S951" i="1"/>
  <c r="S91" i="1"/>
  <c r="S71" i="1"/>
  <c r="S259" i="1"/>
  <c r="S9" i="1"/>
  <c r="S924" i="1"/>
  <c r="S218" i="1"/>
  <c r="S415" i="1"/>
  <c r="S504" i="1"/>
  <c r="S406" i="1"/>
  <c r="S394" i="1"/>
  <c r="S324" i="1"/>
  <c r="S705" i="1"/>
  <c r="S364" i="1"/>
  <c r="S66" i="1"/>
  <c r="S160" i="1"/>
  <c r="S520" i="1"/>
  <c r="S487" i="1"/>
  <c r="S180" i="1"/>
  <c r="S261" i="1"/>
  <c r="S349" i="1"/>
  <c r="S254" i="1"/>
  <c r="S134" i="1"/>
  <c r="S363" i="1"/>
  <c r="S386" i="1"/>
  <c r="S390" i="1"/>
  <c r="S460" i="1"/>
  <c r="S136" i="1"/>
  <c r="S30" i="1"/>
  <c r="S357" i="1"/>
  <c r="S546" i="1"/>
  <c r="S452" i="1"/>
  <c r="S457" i="1"/>
  <c r="S170" i="1"/>
  <c r="S455" i="1"/>
  <c r="S507" i="1"/>
  <c r="S292" i="1"/>
  <c r="S634" i="1"/>
  <c r="S249" i="1"/>
  <c r="S258" i="1"/>
  <c r="S228" i="1"/>
  <c r="S187" i="1"/>
  <c r="S221" i="1"/>
  <c r="S189" i="1"/>
  <c r="S226" i="1"/>
  <c r="S11" i="1"/>
  <c r="S1029" i="1"/>
  <c r="S654" i="1"/>
  <c r="S549" i="1"/>
  <c r="S220" i="1"/>
  <c r="S225" i="1"/>
  <c r="S434" i="1"/>
  <c r="S366" i="1"/>
  <c r="S923" i="1"/>
  <c r="S94" i="1"/>
  <c r="S230" i="1"/>
  <c r="S380" i="1"/>
  <c r="S784" i="1"/>
  <c r="S131" i="1"/>
  <c r="S715" i="1"/>
  <c r="S819" i="1"/>
  <c r="S29" i="1"/>
  <c r="S538" i="1"/>
  <c r="S173" i="1"/>
  <c r="S177" i="1"/>
  <c r="S182" i="1"/>
  <c r="S244" i="1"/>
  <c r="S421" i="1"/>
  <c r="S543" i="1"/>
  <c r="S977" i="1"/>
  <c r="S1185" i="1"/>
  <c r="S286" i="1"/>
  <c r="S915" i="1"/>
  <c r="S234" i="1"/>
  <c r="S76" i="1"/>
  <c r="S916" i="1"/>
  <c r="S409" i="1"/>
  <c r="S314" i="1"/>
  <c r="S120" i="1"/>
  <c r="S326" i="1"/>
  <c r="S68" i="1"/>
  <c r="S542" i="1"/>
  <c r="S968" i="1"/>
  <c r="S1183" i="1"/>
  <c r="S944" i="1"/>
  <c r="S621" i="1"/>
  <c r="S260" i="1"/>
  <c r="S322" i="1"/>
  <c r="S293" i="1"/>
  <c r="S264" i="1"/>
  <c r="S257" i="1"/>
  <c r="S262" i="1"/>
  <c r="S979" i="1"/>
  <c r="S1027" i="1"/>
  <c r="S768" i="1"/>
  <c r="S894" i="1"/>
  <c r="S947" i="1"/>
  <c r="S356" i="1"/>
  <c r="S270" i="1"/>
  <c r="S248" i="1"/>
  <c r="S801" i="1"/>
  <c r="S387" i="1"/>
  <c r="S462" i="1"/>
  <c r="S716" i="1"/>
  <c r="S600" i="1"/>
  <c r="S500" i="1"/>
  <c r="S341" i="1"/>
  <c r="S1140" i="1"/>
  <c r="S428" i="1"/>
  <c r="S966" i="1"/>
  <c r="S32" i="1"/>
  <c r="S142" i="1"/>
  <c r="S401" i="1"/>
  <c r="S994" i="1"/>
  <c r="S46" i="1"/>
  <c r="S205" i="1"/>
  <c r="S1179" i="1"/>
  <c r="S891" i="1"/>
  <c r="S890" i="1"/>
  <c r="S432" i="1"/>
  <c r="S777" i="1"/>
  <c r="S826" i="1"/>
  <c r="S706" i="1"/>
  <c r="S6" i="1"/>
  <c r="S872" i="1"/>
  <c r="S367" i="1"/>
  <c r="S1006" i="1"/>
  <c r="S918" i="1"/>
  <c r="S441" i="1"/>
  <c r="S1139" i="1"/>
  <c r="S430" i="1"/>
  <c r="S229" i="1"/>
  <c r="S375" i="1"/>
  <c r="S183" i="1"/>
  <c r="S877" i="1"/>
  <c r="S166" i="1"/>
  <c r="S423" i="1"/>
  <c r="S194" i="1"/>
  <c r="S442" i="1"/>
  <c r="S506" i="1"/>
  <c r="S42" i="1"/>
  <c r="S925" i="1"/>
  <c r="S67" i="1"/>
  <c r="S108" i="1"/>
  <c r="S344" i="1"/>
  <c r="S372" i="1"/>
  <c r="S392" i="1"/>
  <c r="S340" i="1"/>
  <c r="S873" i="1"/>
  <c r="S450" i="1"/>
  <c r="S305" i="1"/>
  <c r="S130" i="1"/>
  <c r="S660" i="1"/>
  <c r="S501" i="1"/>
  <c r="S497" i="1"/>
  <c r="S374" i="1"/>
  <c r="S525" i="1"/>
  <c r="S10" i="1"/>
  <c r="S657" i="1"/>
  <c r="S16" i="1"/>
  <c r="S163" i="1"/>
  <c r="S208" i="1"/>
  <c r="S97" i="1"/>
  <c r="S206" i="1"/>
  <c r="S279" i="1"/>
  <c r="S989" i="1"/>
  <c r="S294" i="1"/>
  <c r="S677" i="1"/>
  <c r="S817" i="1"/>
  <c r="S489" i="1"/>
  <c r="S443" i="1"/>
  <c r="S524" i="1"/>
  <c r="S215" i="1"/>
  <c r="S565" i="1"/>
  <c r="S1063" i="1"/>
  <c r="S288" i="1"/>
  <c r="S577" i="1"/>
  <c r="S854" i="1"/>
  <c r="S242" i="1"/>
  <c r="S614" i="1"/>
  <c r="S645" i="1"/>
  <c r="S209" i="1"/>
  <c r="S534" i="1"/>
  <c r="S351" i="1"/>
  <c r="S596" i="1"/>
  <c r="S608" i="1"/>
  <c r="S920" i="1"/>
  <c r="S553" i="1"/>
  <c r="S18" i="1"/>
  <c r="S146" i="1"/>
  <c r="S376" i="1"/>
  <c r="S59" i="1"/>
  <c r="S575" i="1"/>
  <c r="S461" i="1"/>
  <c r="S369" i="1"/>
  <c r="S558" i="1"/>
  <c r="S129" i="1"/>
  <c r="S446" i="1"/>
  <c r="S347" i="1"/>
  <c r="S521" i="1"/>
  <c r="S269" i="1"/>
  <c r="S1079" i="1"/>
  <c r="S23" i="1"/>
  <c r="S531" i="1"/>
  <c r="S548" i="1"/>
  <c r="S44" i="1"/>
  <c r="S804" i="1"/>
  <c r="S106" i="1"/>
  <c r="S138" i="1"/>
  <c r="S679" i="1"/>
  <c r="S321" i="1"/>
  <c r="S1162" i="1"/>
  <c r="S709" i="1"/>
  <c r="S778" i="1"/>
  <c r="S418" i="1"/>
  <c r="S523" i="1"/>
  <c r="S144" i="1"/>
  <c r="S781" i="1"/>
  <c r="S72" i="1"/>
  <c r="S993" i="1"/>
  <c r="S946" i="1"/>
  <c r="S574" i="1"/>
  <c r="S463" i="1"/>
  <c r="S616" i="1"/>
  <c r="S1035" i="1"/>
  <c r="S291" i="1"/>
  <c r="S862" i="1"/>
  <c r="S251" i="1"/>
  <c r="S154" i="1"/>
  <c r="S75" i="1"/>
  <c r="S598" i="1"/>
  <c r="S617" i="1"/>
  <c r="S676" i="1"/>
  <c r="S93" i="1"/>
  <c r="S1144" i="1"/>
  <c r="S1164" i="1"/>
  <c r="S516" i="1"/>
  <c r="S911" i="1"/>
  <c r="S1092" i="1"/>
  <c r="S861" i="1"/>
  <c r="S14" i="1"/>
  <c r="S323" i="1"/>
  <c r="S941" i="1"/>
  <c r="S1024" i="1"/>
  <c r="S445" i="1"/>
  <c r="S202" i="1"/>
  <c r="S725" i="1"/>
  <c r="S568" i="1"/>
  <c r="S433" i="1"/>
  <c r="S410" i="1"/>
  <c r="S133" i="1"/>
  <c r="S104" i="1"/>
  <c r="S268" i="1"/>
  <c r="S198" i="1"/>
  <c r="S875" i="1"/>
  <c r="S232" i="1"/>
  <c r="S1083" i="1"/>
  <c r="S1082" i="1"/>
  <c r="S1084" i="1"/>
  <c r="S1000" i="1"/>
  <c r="S635" i="1"/>
  <c r="S22" i="1"/>
  <c r="S281" i="1"/>
  <c r="S950" i="1"/>
  <c r="S898" i="1"/>
  <c r="S475" i="1"/>
  <c r="S60" i="1"/>
  <c r="S110" i="1"/>
  <c r="S481" i="1"/>
  <c r="S607" i="1"/>
  <c r="S934" i="1"/>
  <c r="S547" i="1"/>
  <c r="S159" i="1"/>
  <c r="S192" i="1"/>
  <c r="S193" i="1"/>
  <c r="S532" i="1"/>
  <c r="S693" i="1"/>
  <c r="S265" i="1"/>
  <c r="S874" i="1"/>
  <c r="S720" i="1"/>
  <c r="S201" i="1"/>
  <c r="S1147" i="1"/>
  <c r="S15" i="1"/>
  <c r="S343" i="1"/>
  <c r="S70" i="1"/>
  <c r="S721" i="1"/>
  <c r="S663" i="1"/>
  <c r="S680" i="1"/>
  <c r="S683" i="1"/>
  <c r="S682" i="1"/>
  <c r="S536" i="1"/>
  <c r="S465" i="1"/>
  <c r="S275" i="1"/>
  <c r="S649" i="1"/>
  <c r="S212" i="1"/>
  <c r="S358" i="1"/>
  <c r="S419" i="1"/>
  <c r="S671" i="1"/>
  <c r="S652" i="1"/>
  <c r="S439" i="1"/>
  <c r="S4" i="1"/>
  <c r="S629" i="1"/>
  <c r="S641" i="1"/>
  <c r="S273" i="1"/>
  <c r="S137" i="1"/>
  <c r="S541" i="1"/>
  <c r="S122" i="1"/>
  <c r="S381" i="1"/>
  <c r="S382" i="1"/>
  <c r="S413" i="1"/>
  <c r="S214" i="1"/>
  <c r="S213" i="1"/>
  <c r="S79" i="1"/>
  <c r="S181" i="1"/>
  <c r="S1028" i="1"/>
  <c r="S429" i="1"/>
  <c r="S64" i="1"/>
  <c r="S540" i="1"/>
  <c r="S153" i="1"/>
  <c r="S408" i="1"/>
  <c r="S580" i="1"/>
  <c r="S973" i="1"/>
  <c r="S982" i="1"/>
  <c r="S334" i="1"/>
  <c r="S550" i="1"/>
  <c r="S579" i="1"/>
  <c r="S383" i="1"/>
  <c r="S486" i="1"/>
  <c r="S86" i="1"/>
  <c r="S958" i="1"/>
  <c r="S971" i="1"/>
  <c r="S236" i="1"/>
  <c r="S582" i="1"/>
  <c r="S650" i="1"/>
  <c r="S132" i="1"/>
  <c r="S276" i="1"/>
  <c r="S887" i="1"/>
  <c r="S99" i="1"/>
  <c r="S87" i="1"/>
  <c r="S78" i="1"/>
  <c r="S370" i="1"/>
  <c r="S77" i="1"/>
  <c r="S492" i="1"/>
  <c r="S143" i="1"/>
  <c r="S203" i="1"/>
  <c r="S491" i="1"/>
  <c r="S416" i="1"/>
  <c r="S21" i="1"/>
  <c r="S297" i="1"/>
  <c r="S573" i="1"/>
  <c r="S402" i="1"/>
  <c r="S1161" i="1"/>
  <c r="S618" i="1"/>
  <c r="S84" i="1"/>
  <c r="S155" i="1"/>
  <c r="S822" i="1"/>
  <c r="S65" i="1"/>
  <c r="S622" i="1"/>
  <c r="S472" i="1"/>
  <c r="S690" i="1"/>
  <c r="S1080" i="1"/>
  <c r="S195" i="1"/>
  <c r="S620" i="1"/>
  <c r="S630" i="1"/>
  <c r="S440" i="1"/>
  <c r="S176" i="1"/>
  <c r="S169" i="1"/>
  <c r="S172" i="1"/>
  <c r="S168" i="1"/>
  <c r="S398" i="1"/>
  <c r="S165" i="1"/>
  <c r="S1141" i="1"/>
  <c r="S302" i="1"/>
  <c r="S304" i="1"/>
  <c r="S307" i="1"/>
  <c r="S303" i="1"/>
  <c r="S306" i="1"/>
  <c r="S755" i="1"/>
  <c r="S756" i="1"/>
  <c r="S888" i="1"/>
  <c r="S953" i="1"/>
  <c r="S241" i="1"/>
  <c r="S656" i="1"/>
  <c r="S997" i="1"/>
  <c r="S456" i="1"/>
  <c r="S1170" i="1"/>
  <c r="S329" i="1"/>
  <c r="S365" i="1"/>
  <c r="S587" i="1"/>
  <c r="S624" i="1"/>
  <c r="S151" i="1"/>
  <c r="S824" i="1"/>
  <c r="S825" i="1"/>
  <c r="S823" i="1"/>
  <c r="S1151" i="1"/>
  <c r="S1153" i="1"/>
  <c r="S1154" i="1"/>
  <c r="S1155" i="1"/>
  <c r="S453" i="1"/>
  <c r="S893" i="1"/>
  <c r="S1077" i="1"/>
  <c r="S566" i="1"/>
  <c r="S535" i="1"/>
  <c r="S337" i="1"/>
  <c r="S135" i="1"/>
  <c r="S49" i="1"/>
  <c r="S726" i="1"/>
  <c r="S1076" i="1"/>
  <c r="S19" i="1"/>
  <c r="S255" i="1"/>
  <c r="S40" i="1"/>
  <c r="S207" i="1"/>
  <c r="S595" i="1"/>
  <c r="S20" i="1"/>
  <c r="S388" i="1"/>
  <c r="S1188" i="1"/>
  <c r="S505" i="1"/>
  <c r="S933" i="1"/>
  <c r="S81" i="1"/>
  <c r="S1189" i="1"/>
  <c r="S917" i="1"/>
  <c r="S1078" i="1"/>
  <c r="S866" i="1"/>
  <c r="S752" i="1"/>
  <c r="S204" i="1"/>
  <c r="S757" i="1"/>
  <c r="S325" i="1"/>
  <c r="S514" i="1"/>
  <c r="S782" i="1"/>
  <c r="S1081" i="1"/>
  <c r="S765" i="1"/>
  <c r="S698" i="1"/>
  <c r="S1158" i="1"/>
  <c r="S1159" i="1"/>
  <c r="S929" i="1"/>
  <c r="S758" i="1"/>
  <c r="S405" i="1"/>
  <c r="S707" i="1"/>
  <c r="S28" i="1"/>
  <c r="S688" i="1"/>
  <c r="S811" i="1"/>
  <c r="S816" i="1"/>
  <c r="S812" i="1"/>
  <c r="S814" i="1"/>
  <c r="S864" i="1"/>
  <c r="S807" i="1"/>
  <c r="S27" i="1"/>
  <c r="S1039" i="1"/>
  <c r="S687" i="1"/>
  <c r="S808" i="1"/>
  <c r="S672" i="1"/>
  <c r="S250" i="1"/>
  <c r="S723" i="1"/>
  <c r="S829" i="1"/>
  <c r="S815" i="1"/>
  <c r="S865" i="1"/>
  <c r="S85" i="1"/>
  <c r="S1146" i="1"/>
  <c r="S1145" i="1"/>
  <c r="S393" i="1"/>
  <c r="S300" i="1"/>
  <c r="S700" i="1"/>
  <c r="S828" i="1"/>
  <c r="S699" i="1"/>
  <c r="S420" i="1"/>
  <c r="S245" i="1"/>
  <c r="S569" i="1"/>
  <c r="S26" i="1"/>
  <c r="S681" i="1"/>
  <c r="S222" i="1"/>
  <c r="S669" i="1"/>
  <c r="S842" i="1"/>
  <c r="S843" i="1"/>
  <c r="S844" i="1"/>
  <c r="S845" i="1"/>
  <c r="S835" i="1"/>
  <c r="S836" i="1"/>
  <c r="S837" i="1"/>
  <c r="S838" i="1"/>
  <c r="S839" i="1"/>
  <c r="S604" i="1"/>
  <c r="S592" i="1"/>
  <c r="S412" i="1"/>
  <c r="S312" i="1"/>
  <c r="S289" i="1"/>
  <c r="S175" i="1"/>
  <c r="S759" i="1"/>
  <c r="S987" i="1"/>
  <c r="S955" i="1"/>
  <c r="S1075" i="1"/>
  <c r="S909" i="1"/>
  <c r="S33" i="1"/>
  <c r="S1011" i="1"/>
  <c r="S571" i="1"/>
  <c r="S320" i="1"/>
  <c r="S869" i="1"/>
  <c r="S88" i="1"/>
  <c r="S544" i="1"/>
  <c r="S753" i="1"/>
  <c r="S880" i="1"/>
  <c r="S1073" i="1"/>
  <c r="S957" i="1"/>
  <c r="S903" i="1"/>
  <c r="S904" i="1"/>
  <c r="S92" i="1"/>
  <c r="S876" i="1"/>
  <c r="S633" i="1"/>
  <c r="S615" i="1"/>
  <c r="S626" i="1"/>
  <c r="S760" i="1"/>
  <c r="S488" i="1"/>
  <c r="S150" i="1"/>
  <c r="S447" i="1"/>
  <c r="S233" i="1"/>
  <c r="S157" i="1"/>
  <c r="S56" i="1"/>
  <c r="S350" i="1"/>
  <c r="S311" i="1"/>
  <c r="S1072" i="1"/>
  <c r="S331" i="1"/>
  <c r="S468" i="1"/>
  <c r="S24" i="1"/>
  <c r="S970" i="1"/>
  <c r="S889" i="1"/>
  <c r="S764" i="1"/>
  <c r="S148" i="1"/>
  <c r="S637" i="1"/>
  <c r="S112" i="1"/>
  <c r="S513" i="1"/>
  <c r="S188" i="1"/>
  <c r="S39" i="1"/>
  <c r="S689" i="1"/>
  <c r="S892" i="1"/>
  <c r="S762" i="1"/>
  <c r="S761" i="1"/>
  <c r="S210" i="1"/>
  <c r="S82" i="1"/>
  <c r="S48" i="1"/>
  <c r="S436" i="1"/>
  <c r="S879" i="1"/>
  <c r="S74" i="1"/>
  <c r="S935" i="1"/>
  <c r="S673" i="1"/>
  <c r="S963" i="1"/>
  <c r="S476" i="1"/>
  <c r="S200" i="1"/>
  <c r="S199" i="1"/>
  <c r="S231" i="1"/>
  <c r="S219" i="1"/>
  <c r="S803" i="1"/>
  <c r="S299" i="1"/>
  <c r="S371" i="1"/>
  <c r="S1180" i="1"/>
  <c r="S913" i="1"/>
  <c r="S914" i="1"/>
  <c r="S912" i="1"/>
  <c r="S437" i="1"/>
  <c r="S712" i="1"/>
  <c r="S438" i="1"/>
  <c r="S1117" i="1"/>
  <c r="S1176" i="1"/>
  <c r="S827" i="1"/>
  <c r="S117" i="1"/>
  <c r="S243" i="1"/>
  <c r="S333" i="1"/>
  <c r="S184" i="1"/>
  <c r="S555" i="1"/>
  <c r="S483" i="1"/>
  <c r="S224" i="1"/>
  <c r="S1025" i="1"/>
  <c r="S1074" i="1"/>
  <c r="S972" i="1"/>
  <c r="S1015" i="1"/>
  <c r="S954" i="1"/>
  <c r="S61" i="1"/>
  <c r="S278" i="1"/>
  <c r="S41" i="1"/>
  <c r="S772" i="1"/>
  <c r="S564" i="1"/>
  <c r="S969" i="1"/>
  <c r="S330" i="1"/>
  <c r="S156" i="1"/>
  <c r="S464" i="1"/>
  <c r="S931" i="1"/>
  <c r="S930" i="1"/>
  <c r="S932" i="1"/>
  <c r="S631" i="1"/>
  <c r="S1187" i="1"/>
  <c r="S926" i="1"/>
  <c r="S927" i="1"/>
  <c r="S881" i="1"/>
  <c r="S949" i="1"/>
  <c r="S883" i="1"/>
  <c r="S980" i="1"/>
  <c r="S124" i="1"/>
  <c r="S775" i="1"/>
  <c r="S271" i="1"/>
  <c r="S502" i="1"/>
  <c r="S1030" i="1"/>
  <c r="S498" i="1"/>
  <c r="S503" i="1"/>
  <c r="S395" i="1"/>
  <c r="S360" i="1"/>
  <c r="S510" i="1"/>
  <c r="S123" i="1"/>
  <c r="S802" i="1"/>
  <c r="S627" i="1"/>
  <c r="S1001" i="1"/>
  <c r="S90" i="1"/>
  <c r="S561" i="1"/>
  <c r="S921" i="1"/>
  <c r="S809" i="1"/>
  <c r="S813" i="1"/>
  <c r="S1023" i="1"/>
  <c r="S552" i="1"/>
  <c r="S560" i="1"/>
  <c r="S1173" i="1"/>
  <c r="S776" i="1"/>
  <c r="S581" i="1"/>
  <c r="S385" i="1"/>
  <c r="S767" i="1"/>
  <c r="S863" i="1"/>
  <c r="S1148" i="1"/>
  <c r="S1171" i="1"/>
  <c r="S867" i="1"/>
  <c r="S554" i="1"/>
  <c r="S570" i="1"/>
  <c r="S1085" i="1"/>
  <c r="S25" i="1"/>
  <c r="S763" i="1"/>
  <c r="S948" i="1"/>
  <c r="S882" i="1"/>
  <c r="S400" i="1"/>
  <c r="S754" i="1"/>
  <c r="S667" i="1"/>
  <c r="S640" i="1"/>
  <c r="S1138" i="1"/>
  <c r="S910" i="1"/>
  <c r="S724" i="1"/>
  <c r="S512" i="1"/>
  <c r="S710" i="1"/>
  <c r="S458" i="1"/>
  <c r="S664" i="1"/>
  <c r="S1143" i="1"/>
  <c r="S928" i="1"/>
  <c r="S1120" i="1"/>
  <c r="S722" i="1"/>
  <c r="S107" i="1"/>
  <c r="S485" i="1"/>
  <c r="S686" i="1"/>
  <c r="S685" i="1"/>
  <c r="S559" i="1"/>
  <c r="S1020" i="1"/>
  <c r="S612" i="1"/>
  <c r="S529" i="1"/>
  <c r="S1047" i="1"/>
  <c r="S1048" i="1"/>
  <c r="S1050" i="1"/>
  <c r="S111" i="1"/>
  <c r="S964" i="1"/>
  <c r="S274" i="1"/>
  <c r="S696" i="1"/>
  <c r="S578" i="1"/>
  <c r="S611" i="1"/>
  <c r="S576" i="1"/>
  <c r="S389" i="1"/>
  <c r="S1049" i="1"/>
  <c r="S674" i="1"/>
  <c r="S684" i="1"/>
  <c r="S646" i="1"/>
  <c r="S319" i="1"/>
  <c r="S346" i="1"/>
  <c r="S96" i="1"/>
  <c r="S490" i="1"/>
  <c r="S567" i="1"/>
  <c r="S361" i="1"/>
  <c r="S593" i="1"/>
  <c r="S643" i="1"/>
  <c r="S610" i="1"/>
  <c r="S479" i="1"/>
  <c r="S480" i="1"/>
  <c r="S908" i="1"/>
  <c r="S1018" i="1"/>
  <c r="S477" i="1"/>
  <c r="S128" i="1"/>
  <c r="S422" i="1"/>
  <c r="S354" i="1"/>
  <c r="S425" i="1"/>
  <c r="S109" i="1"/>
  <c r="S397" i="1"/>
  <c r="S353" i="1"/>
  <c r="S965" i="1"/>
  <c r="S101" i="1"/>
  <c r="S102" i="1"/>
  <c r="S103" i="1"/>
  <c r="S1087" i="1"/>
  <c r="S98" i="1"/>
  <c r="S308" i="1"/>
  <c r="S338" i="1"/>
  <c r="S298" i="1"/>
  <c r="S253" i="1"/>
  <c r="S348" i="1"/>
  <c r="S263" i="1"/>
  <c r="S317" i="1"/>
  <c r="S336" i="1"/>
  <c r="S1016" i="1"/>
  <c r="S469" i="1"/>
  <c r="S473" i="1"/>
  <c r="S399" i="1"/>
  <c r="S1065" i="1"/>
  <c r="S996" i="1"/>
  <c r="S584" i="1"/>
  <c r="S43" i="1"/>
  <c r="S515" i="1"/>
  <c r="S266" i="1"/>
  <c r="S519" i="1"/>
  <c r="S508" i="1"/>
  <c r="S80" i="1"/>
  <c r="S391" i="1"/>
  <c r="S704" i="1"/>
  <c r="S517" i="1"/>
  <c r="S799" i="1"/>
  <c r="S800" i="1"/>
  <c r="S572" i="1"/>
  <c r="S217" i="1"/>
  <c r="S145" i="1"/>
  <c r="S315" i="1"/>
  <c r="S237" i="1"/>
  <c r="S63" i="1"/>
  <c r="S362" i="1"/>
  <c r="S197" i="1"/>
  <c r="S451" i="1"/>
  <c r="S522" i="1"/>
  <c r="S1135" i="1"/>
  <c r="S840" i="1"/>
  <c r="S1136" i="1"/>
  <c r="S373" i="1"/>
  <c r="S1010" i="1"/>
  <c r="S990" i="1"/>
  <c r="S1014" i="1"/>
  <c r="S960" i="1"/>
  <c r="S1032" i="1"/>
  <c r="S167" i="1"/>
  <c r="S119" i="1"/>
  <c r="S427" i="1"/>
  <c r="S186" i="1"/>
  <c r="S628" i="1"/>
  <c r="S773" i="1"/>
  <c r="S37" i="1"/>
  <c r="S379" i="1"/>
  <c r="S34" i="1"/>
  <c r="S527" i="1"/>
  <c r="S1008" i="1"/>
  <c r="S945" i="1"/>
  <c r="S976" i="1"/>
  <c r="S988" i="1"/>
  <c r="S403" i="1"/>
  <c r="S470" i="1"/>
  <c r="S246" i="1"/>
  <c r="S431" i="1"/>
  <c r="S158" i="1"/>
  <c r="S290" i="1"/>
  <c r="S141" i="1"/>
  <c r="S530" i="1"/>
  <c r="S636" i="1"/>
  <c r="S805" i="1"/>
  <c r="S806" i="1"/>
  <c r="S1094" i="1"/>
  <c r="S850" i="1"/>
  <c r="S528" i="1"/>
  <c r="S594" i="1"/>
  <c r="S984" i="1"/>
  <c r="S1033" i="1"/>
  <c r="S537" i="1"/>
  <c r="S857" i="1"/>
  <c r="S332" i="1"/>
  <c r="S471" i="1"/>
  <c r="S267" i="1"/>
  <c r="S45" i="1"/>
  <c r="S171" i="1"/>
  <c r="S38" i="1"/>
  <c r="S53" i="1"/>
  <c r="S147" i="1"/>
  <c r="S821" i="1"/>
  <c r="S820" i="1"/>
  <c r="S227" i="1"/>
  <c r="S191" i="1"/>
  <c r="S342" i="1"/>
  <c r="S484" i="1"/>
  <c r="S407" i="1"/>
  <c r="S125" i="1"/>
  <c r="S95" i="1"/>
  <c r="S179" i="1"/>
  <c r="S35" i="1"/>
  <c r="S818" i="1"/>
  <c r="S1012" i="1"/>
  <c r="S58" i="1"/>
  <c r="S983" i="1"/>
  <c r="S692" i="1"/>
  <c r="S961" i="1"/>
  <c r="S1046" i="1"/>
  <c r="S1005" i="1"/>
  <c r="S1045" i="1"/>
  <c r="S1090" i="1"/>
  <c r="S952" i="1"/>
  <c r="S1067" i="1"/>
  <c r="S1004" i="1"/>
  <c r="S1034" i="1"/>
  <c r="S1031" i="1"/>
  <c r="S981" i="1"/>
  <c r="S967" i="1"/>
  <c r="S962" i="1"/>
  <c r="S1101" i="1"/>
  <c r="S1115" i="1"/>
  <c r="S1190" i="1"/>
  <c r="S1096" i="1"/>
  <c r="S1167" i="1"/>
  <c r="S1036" i="1"/>
  <c r="S1064" i="1"/>
  <c r="S1044" i="1"/>
  <c r="S1086" i="1"/>
  <c r="S1168" i="1"/>
  <c r="S1099" i="1"/>
  <c r="S1098" i="1"/>
  <c r="S1091" i="1"/>
  <c r="S1095" i="1"/>
  <c r="S1093" i="1"/>
  <c r="S1026" i="1"/>
  <c r="S1069" i="1"/>
  <c r="S1097" i="1"/>
  <c r="S1172" i="1"/>
  <c r="S1150" i="1"/>
  <c r="S1021" i="1"/>
  <c r="S1169" i="1"/>
  <c r="S999" i="1"/>
  <c r="S1003" i="1"/>
  <c r="S1175" i="1"/>
  <c r="S991" i="1"/>
  <c r="S1174" i="1"/>
  <c r="S978" i="1"/>
  <c r="S1052" i="1"/>
  <c r="S1053" i="1"/>
  <c r="S1054" i="1"/>
  <c r="S1055" i="1"/>
  <c r="S956" i="1"/>
  <c r="S1022" i="1"/>
  <c r="S1002" i="1"/>
  <c r="S1142" i="1"/>
  <c r="S974" i="1"/>
  <c r="S1043" i="1"/>
  <c r="S1042" i="1"/>
  <c r="S1040" i="1"/>
  <c r="S1041" i="1"/>
  <c r="S1152" i="1"/>
  <c r="S1071" i="1"/>
  <c r="S1089" i="1"/>
  <c r="S985" i="1"/>
  <c r="S1184" i="1"/>
  <c r="S1017" i="1"/>
  <c r="S1060" i="1"/>
  <c r="S1156" i="1"/>
  <c r="S1157" i="1"/>
  <c r="S1061" i="1"/>
  <c r="S1062" i="1"/>
  <c r="S1100" i="1"/>
  <c r="S1068" i="1"/>
  <c r="S1013" i="1"/>
  <c r="S992" i="1"/>
  <c r="S1137" i="1"/>
  <c r="S1056" i="1"/>
  <c r="S1070" i="1"/>
  <c r="S1121" i="1"/>
  <c r="S1122" i="1"/>
  <c r="S1123" i="1"/>
  <c r="S1124" i="1"/>
  <c r="S1166" i="1"/>
  <c r="S1163" i="1"/>
  <c r="S986" i="1"/>
  <c r="S1066" i="1"/>
  <c r="S975" i="1"/>
  <c r="S1165" i="1"/>
  <c r="S1177" i="1"/>
  <c r="S1059" i="1"/>
  <c r="S1058" i="1"/>
  <c r="S1118" i="1"/>
  <c r="S1051" i="1"/>
  <c r="S1149" i="1"/>
  <c r="S1181" i="1"/>
  <c r="S1119" i="1"/>
  <c r="S1057" i="1"/>
  <c r="S1106" i="1"/>
  <c r="S1007" i="1"/>
  <c r="S1088" i="1"/>
  <c r="S1102" i="1"/>
  <c r="S1110" i="1"/>
  <c r="S1112" i="1"/>
  <c r="S1113" i="1"/>
  <c r="S1114" i="1"/>
  <c r="S1107" i="1"/>
  <c r="S959" i="1"/>
  <c r="S1038" i="1"/>
  <c r="S1111" i="1"/>
  <c r="S1103" i="1"/>
  <c r="S1116" i="1"/>
  <c r="S1104" i="1"/>
  <c r="S1108" i="1"/>
  <c r="S1109" i="1"/>
  <c r="S1186" i="1"/>
  <c r="S1105" i="1"/>
  <c r="S1178" i="1"/>
  <c r="F510" i="1" l="1"/>
  <c r="AC35" i="1" l="1"/>
  <c r="G35" i="1"/>
  <c r="F35" i="1"/>
  <c r="V35" i="1"/>
  <c r="AC818" i="1"/>
  <c r="G818" i="1"/>
  <c r="F818" i="1"/>
  <c r="V818" i="1"/>
  <c r="AC523" i="1"/>
  <c r="G523" i="1"/>
  <c r="F523" i="1"/>
  <c r="V523" i="1"/>
  <c r="AC619" i="1"/>
  <c r="G619" i="1"/>
  <c r="F619" i="1"/>
  <c r="V619" i="1"/>
  <c r="AC183" i="1"/>
  <c r="G183" i="1"/>
  <c r="F183" i="1"/>
  <c r="V183" i="1"/>
  <c r="AC1012" i="1"/>
  <c r="G1012" i="1"/>
  <c r="F1012" i="1"/>
  <c r="V1012" i="1"/>
  <c r="AC484" i="1"/>
  <c r="G484" i="1"/>
  <c r="F484" i="1"/>
  <c r="V484" i="1"/>
  <c r="AC179" i="1"/>
  <c r="G179" i="1"/>
  <c r="F179" i="1"/>
  <c r="V179" i="1"/>
  <c r="AC820" i="1"/>
  <c r="G820" i="1"/>
  <c r="F820" i="1"/>
  <c r="V820" i="1"/>
  <c r="AC821" i="1"/>
  <c r="G821" i="1"/>
  <c r="F821" i="1"/>
  <c r="V821" i="1"/>
  <c r="AC147" i="1"/>
  <c r="G147" i="1"/>
  <c r="F147" i="1"/>
  <c r="V147" i="1"/>
  <c r="AC53" i="1"/>
  <c r="G53" i="1"/>
  <c r="F53" i="1"/>
  <c r="V53" i="1"/>
  <c r="AC38" i="1"/>
  <c r="G38" i="1"/>
  <c r="F38" i="1"/>
  <c r="V38" i="1"/>
  <c r="AC191" i="1"/>
  <c r="G191" i="1"/>
  <c r="F191" i="1"/>
  <c r="V191" i="1"/>
  <c r="AC227" i="1"/>
  <c r="G227" i="1"/>
  <c r="F227" i="1"/>
  <c r="V227" i="1"/>
  <c r="AC95" i="1"/>
  <c r="G95" i="1"/>
  <c r="F95" i="1"/>
  <c r="V95" i="1"/>
  <c r="AC125" i="1"/>
  <c r="G125" i="1"/>
  <c r="F125" i="1"/>
  <c r="V125" i="1"/>
  <c r="AC407" i="1"/>
  <c r="G407" i="1"/>
  <c r="F407" i="1"/>
  <c r="V407" i="1"/>
  <c r="AC342" i="1"/>
  <c r="G342" i="1"/>
  <c r="F342" i="1"/>
  <c r="V342" i="1"/>
  <c r="AC171" i="1"/>
  <c r="G171" i="1"/>
  <c r="F171" i="1"/>
  <c r="V171" i="1"/>
  <c r="AC45" i="1"/>
  <c r="G45" i="1"/>
  <c r="F45" i="1"/>
  <c r="V45" i="1"/>
  <c r="AC527" i="1"/>
  <c r="G527" i="1"/>
  <c r="F527" i="1"/>
  <c r="V527" i="1"/>
  <c r="AC154" i="1"/>
  <c r="G154" i="1"/>
  <c r="F154" i="1"/>
  <c r="V154" i="1"/>
  <c r="AC251" i="1"/>
  <c r="G251" i="1"/>
  <c r="F251" i="1"/>
  <c r="V251" i="1"/>
  <c r="AC857" i="1" l="1"/>
  <c r="G857" i="1"/>
  <c r="F857" i="1"/>
  <c r="V857" i="1"/>
  <c r="AC839" i="1"/>
  <c r="G839" i="1"/>
  <c r="F839" i="1"/>
  <c r="V839" i="1"/>
  <c r="AC838" i="1"/>
  <c r="G838" i="1"/>
  <c r="F838" i="1"/>
  <c r="V838" i="1"/>
  <c r="AC837" i="1"/>
  <c r="G837" i="1"/>
  <c r="F837" i="1"/>
  <c r="V837" i="1"/>
  <c r="AC836" i="1"/>
  <c r="G836" i="1"/>
  <c r="F836" i="1"/>
  <c r="V836" i="1"/>
  <c r="AC835" i="1"/>
  <c r="G835" i="1"/>
  <c r="F835" i="1"/>
  <c r="V835" i="1"/>
  <c r="AC845" i="1"/>
  <c r="G845" i="1"/>
  <c r="F845" i="1"/>
  <c r="V845" i="1"/>
  <c r="AC844" i="1"/>
  <c r="G844" i="1"/>
  <c r="F844" i="1"/>
  <c r="V844" i="1"/>
  <c r="AC843" i="1"/>
  <c r="G843" i="1"/>
  <c r="F843" i="1"/>
  <c r="V843" i="1"/>
  <c r="AC842" i="1"/>
  <c r="G842" i="1"/>
  <c r="F842" i="1"/>
  <c r="V842" i="1"/>
  <c r="AC294" i="1"/>
  <c r="G294" i="1"/>
  <c r="F294" i="1"/>
  <c r="V294" i="1"/>
  <c r="AC521" i="1"/>
  <c r="G521" i="1"/>
  <c r="F521" i="1"/>
  <c r="V521" i="1"/>
  <c r="AC75" i="1" l="1"/>
  <c r="G75" i="1"/>
  <c r="F75" i="1"/>
  <c r="V75" i="1"/>
  <c r="AC508" i="1"/>
  <c r="G508" i="1"/>
  <c r="F508" i="1"/>
  <c r="V508" i="1"/>
  <c r="AC267" i="1"/>
  <c r="G267" i="1"/>
  <c r="F267" i="1"/>
  <c r="V267" i="1"/>
  <c r="F489" i="1" l="1"/>
  <c r="AC471" i="1" l="1"/>
  <c r="G471" i="1"/>
  <c r="F471" i="1"/>
  <c r="V471" i="1"/>
  <c r="AC332" i="1"/>
  <c r="G332" i="1"/>
  <c r="F332" i="1"/>
  <c r="V332" i="1"/>
  <c r="AC1033" i="1" l="1"/>
  <c r="G1033" i="1"/>
  <c r="F1033" i="1"/>
  <c r="V1033" i="1"/>
  <c r="AC984" i="1"/>
  <c r="G984" i="1"/>
  <c r="F984" i="1"/>
  <c r="V984" i="1"/>
  <c r="AC197" i="1"/>
  <c r="G197" i="1"/>
  <c r="F197" i="1"/>
  <c r="V197" i="1"/>
  <c r="AC926" i="1"/>
  <c r="G926" i="1"/>
  <c r="F926" i="1"/>
  <c r="V926" i="1"/>
  <c r="AC158" i="1" l="1"/>
  <c r="G158" i="1"/>
  <c r="F158" i="1"/>
  <c r="V158" i="1"/>
  <c r="AC141" i="1"/>
  <c r="G141" i="1"/>
  <c r="F141" i="1"/>
  <c r="V141" i="1"/>
  <c r="AC290" i="1"/>
  <c r="G290" i="1"/>
  <c r="F290" i="1"/>
  <c r="V290" i="1"/>
  <c r="AC822" i="1" l="1"/>
  <c r="G822" i="1"/>
  <c r="F822" i="1"/>
  <c r="V822" i="1"/>
  <c r="F594" i="1" l="1"/>
  <c r="G594" i="1"/>
  <c r="V594" i="1"/>
  <c r="AC594" i="1"/>
  <c r="AC373" i="1"/>
  <c r="AC8" i="1"/>
  <c r="AC238" i="1"/>
  <c r="AC668" i="1"/>
  <c r="AC551" i="1"/>
  <c r="AC644" i="1"/>
  <c r="AC662" i="1"/>
  <c r="AC638" i="1"/>
  <c r="AC678" i="1"/>
  <c r="AC648" i="1"/>
  <c r="AC670" i="1"/>
  <c r="AC606" i="1"/>
  <c r="AC591" i="1"/>
  <c r="AC482" i="1"/>
  <c r="AC467" i="1"/>
  <c r="AC1009" i="1"/>
  <c r="AC651" i="1"/>
  <c r="AC533" i="1"/>
  <c r="AC647" i="1"/>
  <c r="AC632" i="1"/>
  <c r="AC454" i="1"/>
  <c r="AC178" i="1"/>
  <c r="AC658" i="1"/>
  <c r="AC556" i="1"/>
  <c r="AC1046" i="1"/>
  <c r="AC466" i="1"/>
  <c r="AC623" i="1"/>
  <c r="AC359" i="1"/>
  <c r="AC223" i="1"/>
  <c r="AC526" i="1"/>
  <c r="AC597" i="1"/>
  <c r="AC310" i="1"/>
  <c r="AC17" i="1"/>
  <c r="AC1005" i="1"/>
  <c r="AC539" i="1"/>
  <c r="AC590" i="1"/>
  <c r="AC995" i="1"/>
  <c r="AC384" i="1"/>
  <c r="AC313" i="1"/>
  <c r="AC936" i="1"/>
  <c r="AC938" i="1"/>
  <c r="AC448" i="1"/>
  <c r="AC496" i="1"/>
  <c r="AC940" i="1"/>
  <c r="AC478" i="1"/>
  <c r="AC939" i="1"/>
  <c r="AC414" i="1"/>
  <c r="AC943" i="1"/>
  <c r="AC152" i="1"/>
  <c r="AC588" i="1"/>
  <c r="AC653" i="1"/>
  <c r="AC661" i="1"/>
  <c r="AC1182" i="1"/>
  <c r="AC345" i="1"/>
  <c r="AC602" i="1"/>
  <c r="AC295" i="1"/>
  <c r="AC256" i="1"/>
  <c r="AC235" i="1"/>
  <c r="AC190" i="1"/>
  <c r="AC69" i="1"/>
  <c r="AC282" i="1"/>
  <c r="AC404" i="1"/>
  <c r="AC283" i="1"/>
  <c r="AC277" i="1"/>
  <c r="AC301" i="1"/>
  <c r="AC252" i="1"/>
  <c r="AC613" i="1"/>
  <c r="AC922" i="1"/>
  <c r="AC1036" i="1"/>
  <c r="AC998" i="1"/>
  <c r="AC1019" i="1"/>
  <c r="AC655" i="1"/>
  <c r="AC605" i="1"/>
  <c r="AC55" i="1"/>
  <c r="AC545" i="1"/>
  <c r="AC126" i="1"/>
  <c r="AC31" i="1"/>
  <c r="AC52" i="1"/>
  <c r="AC599" i="1"/>
  <c r="AC499" i="1"/>
  <c r="AC239" i="1"/>
  <c r="AC284" i="1"/>
  <c r="AC868" i="1"/>
  <c r="AC919" i="1"/>
  <c r="AC659" i="1"/>
  <c r="AC121" i="1"/>
  <c r="AC327" i="1"/>
  <c r="AC287" i="1"/>
  <c r="AC562" i="1"/>
  <c r="AC339" i="1"/>
  <c r="AC1037" i="1"/>
  <c r="AC666" i="1"/>
  <c r="AC247" i="1"/>
  <c r="AC161" i="1"/>
  <c r="AC162" i="1"/>
  <c r="AC718" i="1"/>
  <c r="AC426" i="1"/>
  <c r="AC871" i="1"/>
  <c r="AC62" i="1"/>
  <c r="AC316" i="1"/>
  <c r="AC216" i="1"/>
  <c r="AC1064" i="1"/>
  <c r="AC779" i="1"/>
  <c r="AC780" i="1"/>
  <c r="AC396" i="1"/>
  <c r="AC118" i="1"/>
  <c r="AC495" i="1"/>
  <c r="AC352" i="1"/>
  <c r="AC280" i="1"/>
  <c r="AC774" i="1"/>
  <c r="AC355" i="1"/>
  <c r="AC285" i="1"/>
  <c r="AC518" i="1"/>
  <c r="AC625" i="1"/>
  <c r="AC174" i="1"/>
  <c r="AC1044" i="1"/>
  <c r="AC424" i="1"/>
  <c r="AC368" i="1"/>
  <c r="AC675" i="1"/>
  <c r="AC149" i="1"/>
  <c r="AC1086" i="1"/>
  <c r="AC100" i="1"/>
  <c r="AC711" i="1"/>
  <c r="AC5" i="1"/>
  <c r="AC589" i="1"/>
  <c r="AC1045" i="1"/>
  <c r="AC511" i="1"/>
  <c r="AC13" i="1"/>
  <c r="AC83" i="1"/>
  <c r="AC493" i="1"/>
  <c r="AC411" i="1"/>
  <c r="AC609" i="1"/>
  <c r="AC73" i="1"/>
  <c r="AC563" i="1"/>
  <c r="AC444" i="1"/>
  <c r="AC1090" i="1"/>
  <c r="AC378" i="1"/>
  <c r="AC435" i="1"/>
  <c r="AC639" i="1"/>
  <c r="AC335" i="1"/>
  <c r="AC897" i="1"/>
  <c r="AC895" i="1"/>
  <c r="AC113" i="1"/>
  <c r="AC185" i="1"/>
  <c r="AC474" i="1"/>
  <c r="AC896" i="1"/>
  <c r="AC899" i="1"/>
  <c r="AC114" i="1"/>
  <c r="AC115" i="1"/>
  <c r="AC900" i="1"/>
  <c r="AC901" i="1"/>
  <c r="AC902" i="1"/>
  <c r="AC905" i="1"/>
  <c r="AC906" i="1"/>
  <c r="AC116" i="1"/>
  <c r="AC89" i="1"/>
  <c r="AC907" i="1"/>
  <c r="AC766" i="1"/>
  <c r="AC494" i="1"/>
  <c r="AC449" i="1"/>
  <c r="AC585" i="1"/>
  <c r="AC417" i="1"/>
  <c r="AC318" i="1"/>
  <c r="AC459" i="1"/>
  <c r="AC603" i="1"/>
  <c r="AC642" i="1"/>
  <c r="AC601" i="1"/>
  <c r="AC296" i="1"/>
  <c r="AC583" i="1"/>
  <c r="AC509" i="1"/>
  <c r="AC586" i="1"/>
  <c r="AC665" i="1"/>
  <c r="AC557" i="1"/>
  <c r="AC196" i="1"/>
  <c r="AC240" i="1"/>
  <c r="AC272" i="1"/>
  <c r="AC309" i="1"/>
  <c r="AC377" i="1"/>
  <c r="AC211" i="1"/>
  <c r="AC328" i="1"/>
  <c r="AC870" i="1"/>
  <c r="AC1160" i="1"/>
  <c r="AC54" i="1"/>
  <c r="AC951" i="1"/>
  <c r="AC91" i="1"/>
  <c r="AC71" i="1"/>
  <c r="AC259" i="1"/>
  <c r="AC9" i="1"/>
  <c r="AC924" i="1"/>
  <c r="AC218" i="1"/>
  <c r="AC415" i="1"/>
  <c r="AC504" i="1"/>
  <c r="AC406" i="1"/>
  <c r="AC394" i="1"/>
  <c r="AC324" i="1"/>
  <c r="AC705" i="1"/>
  <c r="AC364" i="1"/>
  <c r="AC66" i="1"/>
  <c r="AC160" i="1"/>
  <c r="AC520" i="1"/>
  <c r="AC487" i="1"/>
  <c r="AC180" i="1"/>
  <c r="AC261" i="1"/>
  <c r="AC349" i="1"/>
  <c r="AC254" i="1"/>
  <c r="AC134" i="1"/>
  <c r="AC363" i="1"/>
  <c r="AC386" i="1"/>
  <c r="AC390" i="1"/>
  <c r="AC460" i="1"/>
  <c r="AC136" i="1"/>
  <c r="AC30" i="1"/>
  <c r="AC357" i="1"/>
  <c r="AC546" i="1"/>
  <c r="AC452" i="1"/>
  <c r="AC457" i="1"/>
  <c r="AC170" i="1"/>
  <c r="AC455" i="1"/>
  <c r="AC507" i="1"/>
  <c r="AC292" i="1"/>
  <c r="AC634" i="1"/>
  <c r="AC249" i="1"/>
  <c r="AC258" i="1"/>
  <c r="AC228" i="1"/>
  <c r="AC187" i="1"/>
  <c r="AC221" i="1"/>
  <c r="AC189" i="1"/>
  <c r="AC226" i="1"/>
  <c r="AC11" i="1"/>
  <c r="AC1029" i="1"/>
  <c r="AC654" i="1"/>
  <c r="AC549" i="1"/>
  <c r="AC220" i="1"/>
  <c r="AC225" i="1"/>
  <c r="AC434" i="1"/>
  <c r="AC366" i="1"/>
  <c r="AC923" i="1"/>
  <c r="AC94" i="1"/>
  <c r="AC230" i="1"/>
  <c r="AC380" i="1"/>
  <c r="AC784" i="1"/>
  <c r="AC131" i="1"/>
  <c r="AC715" i="1"/>
  <c r="AC819" i="1"/>
  <c r="AC29" i="1"/>
  <c r="AC538" i="1"/>
  <c r="AC173" i="1"/>
  <c r="AC177" i="1"/>
  <c r="AC182" i="1"/>
  <c r="AC244" i="1"/>
  <c r="AC421" i="1"/>
  <c r="AC543" i="1"/>
  <c r="AC977" i="1"/>
  <c r="AC1185" i="1"/>
  <c r="AC286" i="1"/>
  <c r="AC915" i="1"/>
  <c r="AC234" i="1"/>
  <c r="AC76" i="1"/>
  <c r="AC916" i="1"/>
  <c r="AC409" i="1"/>
  <c r="AC314" i="1"/>
  <c r="AC120" i="1"/>
  <c r="AC326" i="1"/>
  <c r="AC68" i="1"/>
  <c r="AC542" i="1"/>
  <c r="AC968" i="1"/>
  <c r="AC1183" i="1"/>
  <c r="AC944" i="1"/>
  <c r="AC621" i="1"/>
  <c r="AC260" i="1"/>
  <c r="AC322" i="1"/>
  <c r="AC293" i="1"/>
  <c r="AC264" i="1"/>
  <c r="AC257" i="1"/>
  <c r="AC262" i="1"/>
  <c r="AC979" i="1"/>
  <c r="AC1091" i="1"/>
  <c r="AC1027" i="1"/>
  <c r="AC768" i="1"/>
  <c r="AC894" i="1"/>
  <c r="AC947" i="1"/>
  <c r="AC356" i="1"/>
  <c r="AC270" i="1"/>
  <c r="AC248" i="1"/>
  <c r="AC801" i="1"/>
  <c r="AC387" i="1"/>
  <c r="AC462" i="1"/>
  <c r="AC716" i="1"/>
  <c r="AC600" i="1"/>
  <c r="AC500" i="1"/>
  <c r="AC341" i="1"/>
  <c r="AC1140" i="1"/>
  <c r="AC428" i="1"/>
  <c r="AC966" i="1"/>
  <c r="AC32" i="1"/>
  <c r="AC142" i="1"/>
  <c r="AC401" i="1"/>
  <c r="AC994" i="1"/>
  <c r="AC46" i="1"/>
  <c r="AC205" i="1"/>
  <c r="AC1179" i="1"/>
  <c r="AC891" i="1"/>
  <c r="AC890" i="1"/>
  <c r="AC432" i="1"/>
  <c r="AC777" i="1"/>
  <c r="AC826" i="1"/>
  <c r="AC706" i="1"/>
  <c r="AC6" i="1"/>
  <c r="AC872" i="1"/>
  <c r="AC367" i="1"/>
  <c r="AC1006" i="1"/>
  <c r="AC918" i="1"/>
  <c r="AC441" i="1"/>
  <c r="AC1139" i="1"/>
  <c r="AC430" i="1"/>
  <c r="AC229" i="1"/>
  <c r="AC375" i="1"/>
  <c r="AC877" i="1"/>
  <c r="AC166" i="1"/>
  <c r="AC423" i="1"/>
  <c r="AC194" i="1"/>
  <c r="AC442" i="1"/>
  <c r="AC506" i="1"/>
  <c r="AC42" i="1"/>
  <c r="AC925" i="1"/>
  <c r="AC67" i="1"/>
  <c r="AC108" i="1"/>
  <c r="AC344" i="1"/>
  <c r="AC372" i="1"/>
  <c r="AC392" i="1"/>
  <c r="AC340" i="1"/>
  <c r="AC873" i="1"/>
  <c r="AC450" i="1"/>
  <c r="AC305" i="1"/>
  <c r="AC130" i="1"/>
  <c r="AC660" i="1"/>
  <c r="AC501" i="1"/>
  <c r="AC497" i="1"/>
  <c r="AC374" i="1"/>
  <c r="AC525" i="1"/>
  <c r="AC10" i="1"/>
  <c r="AC657" i="1"/>
  <c r="AC16" i="1"/>
  <c r="AC163" i="1"/>
  <c r="AC208" i="1"/>
  <c r="AC97" i="1"/>
  <c r="AC206" i="1"/>
  <c r="AC279" i="1"/>
  <c r="AC989" i="1"/>
  <c r="AC677" i="1"/>
  <c r="AC817" i="1"/>
  <c r="AC489" i="1"/>
  <c r="AC443" i="1"/>
  <c r="AC1026" i="1"/>
  <c r="AC524" i="1"/>
  <c r="AC215" i="1"/>
  <c r="AC565" i="1"/>
  <c r="AC1063" i="1"/>
  <c r="AC288" i="1"/>
  <c r="AC952" i="1"/>
  <c r="AC577" i="1"/>
  <c r="AC854" i="1"/>
  <c r="AC1069" i="1"/>
  <c r="AC242" i="1"/>
  <c r="AC614" i="1"/>
  <c r="AC645" i="1"/>
  <c r="AC209" i="1"/>
  <c r="AC534" i="1"/>
  <c r="AC351" i="1"/>
  <c r="AC596" i="1"/>
  <c r="AC608" i="1"/>
  <c r="AC920" i="1"/>
  <c r="AC553" i="1"/>
  <c r="AC18" i="1"/>
  <c r="AC146" i="1"/>
  <c r="AC376" i="1"/>
  <c r="AC59" i="1"/>
  <c r="AC575" i="1"/>
  <c r="AC461" i="1"/>
  <c r="AC369" i="1"/>
  <c r="AC558" i="1"/>
  <c r="AC129" i="1"/>
  <c r="AC446" i="1"/>
  <c r="AC347" i="1"/>
  <c r="AC269" i="1"/>
  <c r="AC1079" i="1"/>
  <c r="AC23" i="1"/>
  <c r="AC531" i="1"/>
  <c r="AC548" i="1"/>
  <c r="AC44" i="1"/>
  <c r="AC804" i="1"/>
  <c r="AC106" i="1"/>
  <c r="AC138" i="1"/>
  <c r="AC679" i="1"/>
  <c r="AC321" i="1"/>
  <c r="AC1162" i="1"/>
  <c r="AC709" i="1"/>
  <c r="AC778" i="1"/>
  <c r="AC418" i="1"/>
  <c r="AC144" i="1"/>
  <c r="AC781" i="1"/>
  <c r="AC72" i="1"/>
  <c r="AC1067" i="1"/>
  <c r="AC993" i="1"/>
  <c r="AC946" i="1"/>
  <c r="AC574" i="1"/>
  <c r="AC463" i="1"/>
  <c r="AC616" i="1"/>
  <c r="AC1035" i="1"/>
  <c r="AC291" i="1"/>
  <c r="AC862" i="1"/>
  <c r="AC1172" i="1"/>
  <c r="AC598" i="1"/>
  <c r="AC617" i="1"/>
  <c r="AC1150" i="1"/>
  <c r="AC676" i="1"/>
  <c r="AC93" i="1"/>
  <c r="AC1144" i="1"/>
  <c r="AC1164" i="1"/>
  <c r="AC1021" i="1"/>
  <c r="AC516" i="1"/>
  <c r="AC911" i="1"/>
  <c r="AC1092" i="1"/>
  <c r="AC861" i="1"/>
  <c r="AC14" i="1"/>
  <c r="AC323" i="1"/>
  <c r="AC941" i="1"/>
  <c r="AC1024" i="1"/>
  <c r="AC445" i="1"/>
  <c r="AC202" i="1"/>
  <c r="AC725" i="1"/>
  <c r="AC568" i="1"/>
  <c r="AC433" i="1"/>
  <c r="AC410" i="1"/>
  <c r="AC133" i="1"/>
  <c r="AC104" i="1"/>
  <c r="AC268" i="1"/>
  <c r="AC198" i="1"/>
  <c r="AC875" i="1"/>
  <c r="AC232" i="1"/>
  <c r="AC1083" i="1"/>
  <c r="AC1082" i="1"/>
  <c r="AC1084" i="1"/>
  <c r="AC1000" i="1"/>
  <c r="AC635" i="1"/>
  <c r="AC22" i="1"/>
  <c r="AC281" i="1"/>
  <c r="AC950" i="1"/>
  <c r="AC898" i="1"/>
  <c r="AC475" i="1"/>
  <c r="AC60" i="1"/>
  <c r="AC110" i="1"/>
  <c r="AC481" i="1"/>
  <c r="AC607" i="1"/>
  <c r="AC934" i="1"/>
  <c r="AC547" i="1"/>
  <c r="AC159" i="1"/>
  <c r="AC192" i="1"/>
  <c r="AC193" i="1"/>
  <c r="AC999" i="1"/>
  <c r="AC532" i="1"/>
  <c r="AC693" i="1"/>
  <c r="AC265" i="1"/>
  <c r="AC874" i="1"/>
  <c r="AC720" i="1"/>
  <c r="AC201" i="1"/>
  <c r="AC1147" i="1"/>
  <c r="AC15" i="1"/>
  <c r="AC343" i="1"/>
  <c r="AC70" i="1"/>
  <c r="AC721" i="1"/>
  <c r="AC663" i="1"/>
  <c r="AC680" i="1"/>
  <c r="AC683" i="1"/>
  <c r="AC682" i="1"/>
  <c r="AC1175" i="1"/>
  <c r="AC536" i="1"/>
  <c r="AC465" i="1"/>
  <c r="AC275" i="1"/>
  <c r="AC649" i="1"/>
  <c r="AC212" i="1"/>
  <c r="AC358" i="1"/>
  <c r="AC419" i="1"/>
  <c r="AC1174" i="1"/>
  <c r="AC671" i="1"/>
  <c r="AC652" i="1"/>
  <c r="AC439" i="1"/>
  <c r="AC4" i="1"/>
  <c r="AC629" i="1"/>
  <c r="AC641" i="1"/>
  <c r="AC273" i="1"/>
  <c r="AC137" i="1"/>
  <c r="AC541" i="1"/>
  <c r="AC122" i="1"/>
  <c r="AC381" i="1"/>
  <c r="AC382" i="1"/>
  <c r="AC413" i="1"/>
  <c r="AC214" i="1"/>
  <c r="AC213" i="1"/>
  <c r="AC79" i="1"/>
  <c r="AC181" i="1"/>
  <c r="AC1028" i="1"/>
  <c r="AC978" i="1"/>
  <c r="AC429" i="1"/>
  <c r="AC64" i="1"/>
  <c r="AC540" i="1"/>
  <c r="AC153" i="1"/>
  <c r="AC408" i="1"/>
  <c r="AC580" i="1"/>
  <c r="AC973" i="1"/>
  <c r="AC982" i="1"/>
  <c r="AC334" i="1"/>
  <c r="AC550" i="1"/>
  <c r="AC579" i="1"/>
  <c r="AC383" i="1"/>
  <c r="AC486" i="1"/>
  <c r="AC86" i="1"/>
  <c r="AC958" i="1"/>
  <c r="AC971" i="1"/>
  <c r="AC236" i="1"/>
  <c r="AC582" i="1"/>
  <c r="AC650" i="1"/>
  <c r="AC132" i="1"/>
  <c r="AC276" i="1"/>
  <c r="AC887" i="1"/>
  <c r="AC99" i="1"/>
  <c r="AC87" i="1"/>
  <c r="AC78" i="1"/>
  <c r="AC370" i="1"/>
  <c r="AC77" i="1"/>
  <c r="AC492" i="1"/>
  <c r="AC143" i="1"/>
  <c r="AC203" i="1"/>
  <c r="AC491" i="1"/>
  <c r="AC416" i="1"/>
  <c r="AC21" i="1"/>
  <c r="AC297" i="1"/>
  <c r="AC573" i="1"/>
  <c r="AC402" i="1"/>
  <c r="AC1052" i="1"/>
  <c r="AC1053" i="1"/>
  <c r="AC1054" i="1"/>
  <c r="AC1161" i="1"/>
  <c r="AC618" i="1"/>
  <c r="AC84" i="1"/>
  <c r="AC155" i="1"/>
  <c r="AC956" i="1"/>
  <c r="AC1022" i="1"/>
  <c r="AC65" i="1"/>
  <c r="AC622" i="1"/>
  <c r="AC472" i="1"/>
  <c r="AC690" i="1"/>
  <c r="AC1080" i="1"/>
  <c r="AC195" i="1"/>
  <c r="AC1002" i="1"/>
  <c r="AC620" i="1"/>
  <c r="AC630" i="1"/>
  <c r="AC440" i="1"/>
  <c r="AC176" i="1"/>
  <c r="AC169" i="1"/>
  <c r="AC172" i="1"/>
  <c r="AC168" i="1"/>
  <c r="AC398" i="1"/>
  <c r="AC165" i="1"/>
  <c r="AC1141" i="1"/>
  <c r="AC1142" i="1"/>
  <c r="AC302" i="1"/>
  <c r="AC304" i="1"/>
  <c r="AC307" i="1"/>
  <c r="AC303" i="1"/>
  <c r="AC306" i="1"/>
  <c r="AC755" i="1"/>
  <c r="AC756" i="1"/>
  <c r="AC888" i="1"/>
  <c r="AC974" i="1"/>
  <c r="AC1043" i="1"/>
  <c r="AC1042" i="1"/>
  <c r="AC1040" i="1"/>
  <c r="AC953" i="1"/>
  <c r="AC241" i="1"/>
  <c r="AC656" i="1"/>
  <c r="AC997" i="1"/>
  <c r="AC456" i="1"/>
  <c r="AC1170" i="1"/>
  <c r="AC329" i="1"/>
  <c r="AC365" i="1"/>
  <c r="AC587" i="1"/>
  <c r="AC624" i="1"/>
  <c r="AC151" i="1"/>
  <c r="AC824" i="1"/>
  <c r="AC825" i="1"/>
  <c r="AC823" i="1"/>
  <c r="AC1151" i="1"/>
  <c r="AC1152" i="1"/>
  <c r="AC1153" i="1"/>
  <c r="AC1154" i="1"/>
  <c r="AC1155" i="1"/>
  <c r="AC453" i="1"/>
  <c r="AC893" i="1"/>
  <c r="AC1089" i="1"/>
  <c r="AC1077" i="1"/>
  <c r="AC566" i="1"/>
  <c r="AC535" i="1"/>
  <c r="AC337" i="1"/>
  <c r="AC135" i="1"/>
  <c r="AC49" i="1"/>
  <c r="AC726" i="1"/>
  <c r="AC1076" i="1"/>
  <c r="AC985" i="1"/>
  <c r="AC19" i="1"/>
  <c r="AC1184" i="1"/>
  <c r="AC255" i="1"/>
  <c r="AC40" i="1"/>
  <c r="AC207" i="1"/>
  <c r="AC595" i="1"/>
  <c r="AC20" i="1"/>
  <c r="AC388" i="1"/>
  <c r="AC1188" i="1"/>
  <c r="AC505" i="1"/>
  <c r="AC1017" i="1"/>
  <c r="AC933" i="1"/>
  <c r="AC81" i="1"/>
  <c r="AC1189" i="1"/>
  <c r="AC917" i="1"/>
  <c r="AC1078" i="1"/>
  <c r="AC866" i="1"/>
  <c r="AC752" i="1"/>
  <c r="AC204" i="1"/>
  <c r="AC757" i="1"/>
  <c r="AC325" i="1"/>
  <c r="AC514" i="1"/>
  <c r="AC782" i="1"/>
  <c r="AC1081" i="1"/>
  <c r="AC765" i="1"/>
  <c r="AC1004" i="1"/>
  <c r="AC698" i="1"/>
  <c r="AC1060" i="1"/>
  <c r="AC1156" i="1"/>
  <c r="AC1157" i="1"/>
  <c r="AC1158" i="1"/>
  <c r="AC1159" i="1"/>
  <c r="AC1061" i="1"/>
  <c r="AC1062" i="1"/>
  <c r="AC929" i="1"/>
  <c r="AC758" i="1"/>
  <c r="AC405" i="1"/>
  <c r="AC1068" i="1"/>
  <c r="AC707" i="1"/>
  <c r="AC28" i="1"/>
  <c r="AC688" i="1"/>
  <c r="AC811" i="1"/>
  <c r="AC816" i="1"/>
  <c r="AC812" i="1"/>
  <c r="AC814" i="1"/>
  <c r="AC864" i="1"/>
  <c r="AC807" i="1"/>
  <c r="AC27" i="1"/>
  <c r="AC1039" i="1"/>
  <c r="AC687" i="1"/>
  <c r="AC808" i="1"/>
  <c r="AC672" i="1"/>
  <c r="AC250" i="1"/>
  <c r="AC723" i="1"/>
  <c r="AC829" i="1"/>
  <c r="AC1013" i="1"/>
  <c r="AC815" i="1"/>
  <c r="AC865" i="1"/>
  <c r="AC1137" i="1"/>
  <c r="AC85" i="1"/>
  <c r="AC1146" i="1"/>
  <c r="AC1145" i="1"/>
  <c r="AC393" i="1"/>
  <c r="AC300" i="1"/>
  <c r="AC700" i="1"/>
  <c r="AC828" i="1"/>
  <c r="AC699" i="1"/>
  <c r="AC420" i="1"/>
  <c r="AC245" i="1"/>
  <c r="AC569" i="1"/>
  <c r="AC26" i="1"/>
  <c r="AC681" i="1"/>
  <c r="AC222" i="1"/>
  <c r="AC1070" i="1"/>
  <c r="AC669" i="1"/>
  <c r="AC604" i="1"/>
  <c r="AC592" i="1"/>
  <c r="AC412" i="1"/>
  <c r="AC312" i="1"/>
  <c r="AC289" i="1"/>
  <c r="AC175" i="1"/>
  <c r="AC759" i="1"/>
  <c r="AC987" i="1"/>
  <c r="AC955" i="1"/>
  <c r="AC1075" i="1"/>
  <c r="AC909" i="1"/>
  <c r="AC33" i="1"/>
  <c r="AC1011" i="1"/>
  <c r="AC571" i="1"/>
  <c r="AC320" i="1"/>
  <c r="AC869" i="1"/>
  <c r="AC1034" i="1"/>
  <c r="AC692" i="1"/>
  <c r="AC88" i="1"/>
  <c r="AC544" i="1"/>
  <c r="AC753" i="1"/>
  <c r="AC880" i="1"/>
  <c r="AC1073" i="1"/>
  <c r="AC957" i="1"/>
  <c r="AC903" i="1"/>
  <c r="AC904" i="1"/>
  <c r="AC92" i="1"/>
  <c r="AC876" i="1"/>
  <c r="AC633" i="1"/>
  <c r="AC615" i="1"/>
  <c r="AC626" i="1"/>
  <c r="AC760" i="1"/>
  <c r="AC488" i="1"/>
  <c r="AC150" i="1"/>
  <c r="AC447" i="1"/>
  <c r="AC233" i="1"/>
  <c r="AC157" i="1"/>
  <c r="AC56" i="1"/>
  <c r="AC350" i="1"/>
  <c r="AC311" i="1"/>
  <c r="AC1072" i="1"/>
  <c r="AC331" i="1"/>
  <c r="AC468" i="1"/>
  <c r="AC24" i="1"/>
  <c r="AC970" i="1"/>
  <c r="AC889" i="1"/>
  <c r="AC764" i="1"/>
  <c r="AC148" i="1"/>
  <c r="AC637" i="1"/>
  <c r="AC112" i="1"/>
  <c r="AC513" i="1"/>
  <c r="AC188" i="1"/>
  <c r="AC39" i="1"/>
  <c r="AC689" i="1"/>
  <c r="AC892" i="1"/>
  <c r="AC762" i="1"/>
  <c r="AC761" i="1"/>
  <c r="AC210" i="1"/>
  <c r="AC82" i="1"/>
  <c r="AC48" i="1"/>
  <c r="AC436" i="1"/>
  <c r="AC879" i="1"/>
  <c r="AC74" i="1"/>
  <c r="AC935" i="1"/>
  <c r="AC673" i="1"/>
  <c r="AC963" i="1"/>
  <c r="AC476" i="1"/>
  <c r="AC200" i="1"/>
  <c r="AC199" i="1"/>
  <c r="AC231" i="1"/>
  <c r="AC219" i="1"/>
  <c r="AC803" i="1"/>
  <c r="AC299" i="1"/>
  <c r="AC371" i="1"/>
  <c r="AC1180" i="1"/>
  <c r="AC913" i="1"/>
  <c r="AC914" i="1"/>
  <c r="AC912" i="1"/>
  <c r="AC437" i="1"/>
  <c r="AC712" i="1"/>
  <c r="AC438" i="1"/>
  <c r="AC1117" i="1"/>
  <c r="AC986" i="1"/>
  <c r="AC1176" i="1"/>
  <c r="AC827" i="1"/>
  <c r="AC117" i="1"/>
  <c r="AC243" i="1"/>
  <c r="AC333" i="1"/>
  <c r="AC184" i="1"/>
  <c r="AC1066" i="1"/>
  <c r="AC555" i="1"/>
  <c r="AC483" i="1"/>
  <c r="AC224" i="1"/>
  <c r="AC1025" i="1"/>
  <c r="AC1074" i="1"/>
  <c r="AC972" i="1"/>
  <c r="AC1015" i="1"/>
  <c r="AC954" i="1"/>
  <c r="AC61" i="1"/>
  <c r="AC278" i="1"/>
  <c r="AC41" i="1"/>
  <c r="AC772" i="1"/>
  <c r="AC564" i="1"/>
  <c r="AC969" i="1"/>
  <c r="AC330" i="1"/>
  <c r="AC156" i="1"/>
  <c r="AC464" i="1"/>
  <c r="AC931" i="1"/>
  <c r="AC930" i="1"/>
  <c r="AC932" i="1"/>
  <c r="AC631" i="1"/>
  <c r="AC1187" i="1"/>
  <c r="AC927" i="1"/>
  <c r="AC881" i="1"/>
  <c r="AC949" i="1"/>
  <c r="AC883" i="1"/>
  <c r="AC980" i="1"/>
  <c r="AC124" i="1"/>
  <c r="AC775" i="1"/>
  <c r="AC1031" i="1"/>
  <c r="AC271" i="1"/>
  <c r="AC981" i="1"/>
  <c r="AC502" i="1"/>
  <c r="AC1030" i="1"/>
  <c r="AC498" i="1"/>
  <c r="AC503" i="1"/>
  <c r="AC395" i="1"/>
  <c r="AC360" i="1"/>
  <c r="AC510" i="1"/>
  <c r="AC123" i="1"/>
  <c r="AC802" i="1"/>
  <c r="AC627" i="1"/>
  <c r="AC1001" i="1"/>
  <c r="AC90" i="1"/>
  <c r="AC561" i="1"/>
  <c r="AC921" i="1"/>
  <c r="AC809" i="1"/>
  <c r="AC813" i="1"/>
  <c r="AC1023" i="1"/>
  <c r="AC552" i="1"/>
  <c r="AC560" i="1"/>
  <c r="AC1173" i="1"/>
  <c r="AC776" i="1"/>
  <c r="AC581" i="1"/>
  <c r="AC385" i="1"/>
  <c r="AC1059" i="1"/>
  <c r="AC767" i="1"/>
  <c r="AC863" i="1"/>
  <c r="AC1058" i="1"/>
  <c r="AC1148" i="1"/>
  <c r="AC1118" i="1"/>
  <c r="AC1051" i="1"/>
  <c r="AC1171" i="1"/>
  <c r="AC1149" i="1"/>
  <c r="AC867" i="1"/>
  <c r="AC554" i="1"/>
  <c r="AC570" i="1"/>
  <c r="AC1085" i="1"/>
  <c r="AC25" i="1"/>
  <c r="AC763" i="1"/>
  <c r="AC948" i="1"/>
  <c r="AC882" i="1"/>
  <c r="AC400" i="1"/>
  <c r="AC754" i="1"/>
  <c r="AC1181" i="1"/>
  <c r="AC667" i="1"/>
  <c r="AC640" i="1"/>
  <c r="AC1119" i="1"/>
  <c r="AC1138" i="1"/>
  <c r="AC910" i="1"/>
  <c r="AC724" i="1"/>
  <c r="AC512" i="1"/>
  <c r="AC710" i="1"/>
  <c r="AC458" i="1"/>
  <c r="AC664" i="1"/>
  <c r="AC1143" i="1"/>
  <c r="AC928" i="1"/>
  <c r="AC1120" i="1"/>
  <c r="AC722" i="1"/>
  <c r="AC107" i="1"/>
  <c r="AC1057" i="1"/>
  <c r="AC485" i="1"/>
  <c r="AC686" i="1"/>
  <c r="AC685" i="1"/>
  <c r="AC559" i="1"/>
  <c r="AC1020" i="1"/>
  <c r="AC1106" i="1"/>
  <c r="AC612" i="1"/>
  <c r="AC529" i="1"/>
  <c r="AC1047" i="1"/>
  <c r="AC1048" i="1"/>
  <c r="AC1050" i="1"/>
  <c r="AC111" i="1"/>
  <c r="AC961" i="1"/>
  <c r="AC964" i="1"/>
  <c r="AC274" i="1"/>
  <c r="AC696" i="1"/>
  <c r="AC578" i="1"/>
  <c r="AC611" i="1"/>
  <c r="AC576" i="1"/>
  <c r="AC389" i="1"/>
  <c r="AC1049" i="1"/>
  <c r="AC674" i="1"/>
  <c r="AC684" i="1"/>
  <c r="AC646" i="1"/>
  <c r="AC319" i="1"/>
  <c r="AC346" i="1"/>
  <c r="AC96" i="1"/>
  <c r="AC1007" i="1"/>
  <c r="AC528" i="1"/>
  <c r="AC1088" i="1"/>
  <c r="AC490" i="1"/>
  <c r="AC567" i="1"/>
  <c r="AC361" i="1"/>
  <c r="AC593" i="1"/>
  <c r="AC643" i="1"/>
  <c r="AC610" i="1"/>
  <c r="AC479" i="1"/>
  <c r="AC480" i="1"/>
  <c r="AC967" i="1"/>
  <c r="AC962" i="1"/>
  <c r="AC908" i="1"/>
  <c r="AC1018" i="1"/>
  <c r="AC477" i="1"/>
  <c r="AC128" i="1"/>
  <c r="AC422" i="1"/>
  <c r="AC354" i="1"/>
  <c r="AC425" i="1"/>
  <c r="AC109" i="1"/>
  <c r="AC397" i="1"/>
  <c r="AC353" i="1"/>
  <c r="AC965" i="1"/>
  <c r="AC1102" i="1"/>
  <c r="AC1110" i="1"/>
  <c r="AC1112" i="1"/>
  <c r="AC1113" i="1"/>
  <c r="AC1114" i="1"/>
  <c r="AC101" i="1"/>
  <c r="AC102" i="1"/>
  <c r="AC103" i="1"/>
  <c r="AC1107" i="1"/>
  <c r="AC1087" i="1"/>
  <c r="AC959" i="1"/>
  <c r="AC98" i="1"/>
  <c r="AC308" i="1"/>
  <c r="AC338" i="1"/>
  <c r="AC298" i="1"/>
  <c r="AC253" i="1"/>
  <c r="AC348" i="1"/>
  <c r="AC263" i="1"/>
  <c r="AC317" i="1"/>
  <c r="AC336" i="1"/>
  <c r="AC1111" i="1"/>
  <c r="AC1103" i="1"/>
  <c r="AC1116" i="1"/>
  <c r="AC1104" i="1"/>
  <c r="AC1108" i="1"/>
  <c r="AC1109" i="1"/>
  <c r="AC1016" i="1"/>
  <c r="AC469" i="1"/>
  <c r="AC473" i="1"/>
  <c r="AC399" i="1"/>
  <c r="AC1065" i="1"/>
  <c r="AC996" i="1"/>
  <c r="AC584" i="1"/>
  <c r="AC43" i="1"/>
  <c r="AC515" i="1"/>
  <c r="AC266" i="1"/>
  <c r="AC519" i="1"/>
  <c r="AC80" i="1"/>
  <c r="AC391" i="1"/>
  <c r="AC704" i="1"/>
  <c r="AC517" i="1"/>
  <c r="AC799" i="1"/>
  <c r="AC800" i="1"/>
  <c r="AC572" i="1"/>
  <c r="AC217" i="1"/>
  <c r="AC145" i="1"/>
  <c r="AC315" i="1"/>
  <c r="AC237" i="1"/>
  <c r="AC63" i="1"/>
  <c r="AC362" i="1"/>
  <c r="AC451" i="1"/>
  <c r="AC522" i="1"/>
  <c r="AC1135" i="1"/>
  <c r="AC840" i="1"/>
  <c r="AC1136" i="1"/>
  <c r="AC1010" i="1"/>
  <c r="AC990" i="1"/>
  <c r="AC1014" i="1"/>
  <c r="AC960" i="1"/>
  <c r="AC1032" i="1"/>
  <c r="AC167" i="1"/>
  <c r="AC119" i="1"/>
  <c r="AC427" i="1"/>
  <c r="AC186" i="1"/>
  <c r="AC628" i="1"/>
  <c r="AC773" i="1"/>
  <c r="AC37" i="1"/>
  <c r="AC379" i="1"/>
  <c r="AC1101" i="1"/>
  <c r="AC1105" i="1"/>
  <c r="AC34" i="1"/>
  <c r="AC1115" i="1"/>
  <c r="AC1178" i="1"/>
  <c r="AC1008" i="1"/>
  <c r="AC945" i="1"/>
  <c r="AC976" i="1"/>
  <c r="AC988" i="1"/>
  <c r="AC403" i="1"/>
  <c r="AC470" i="1"/>
  <c r="AC246" i="1"/>
  <c r="AC431" i="1"/>
  <c r="AC530" i="1"/>
  <c r="AC636" i="1"/>
  <c r="AC805" i="1"/>
  <c r="AC806" i="1"/>
  <c r="AC1094" i="1"/>
  <c r="AC850" i="1"/>
  <c r="AC537" i="1"/>
  <c r="AC983" i="1"/>
  <c r="AC1190" i="1"/>
  <c r="AC1096" i="1"/>
  <c r="AC1167" i="1"/>
  <c r="AC1168" i="1"/>
  <c r="AC1099" i="1"/>
  <c r="AC1098" i="1"/>
  <c r="AC58" i="1"/>
  <c r="AC1095" i="1"/>
  <c r="AC1097" i="1"/>
  <c r="AC1169" i="1"/>
  <c r="AC1003" i="1"/>
  <c r="AC991" i="1"/>
  <c r="AC1055" i="1"/>
  <c r="AC1041" i="1"/>
  <c r="AC1071" i="1"/>
  <c r="AC1100" i="1"/>
  <c r="AC1056" i="1"/>
  <c r="AC1121" i="1"/>
  <c r="AC1122" i="1"/>
  <c r="AC1123" i="1"/>
  <c r="AC1124" i="1"/>
  <c r="AC1166" i="1"/>
  <c r="AC1163" i="1"/>
  <c r="AC975" i="1"/>
  <c r="AC1165" i="1"/>
  <c r="AC1177" i="1"/>
  <c r="AC1038" i="1"/>
  <c r="AC1093" i="1"/>
  <c r="AC992" i="1"/>
  <c r="AC1186" i="1"/>
  <c r="V528" i="1"/>
  <c r="G528" i="1"/>
  <c r="F528" i="1"/>
  <c r="G373" i="1" l="1"/>
  <c r="F373" i="1"/>
  <c r="G636" i="1" l="1"/>
  <c r="F636" i="1"/>
  <c r="V636" i="1"/>
  <c r="G869" i="1" l="1"/>
  <c r="F869" i="1"/>
  <c r="V869" i="1"/>
  <c r="G537" i="1" l="1"/>
  <c r="F537" i="1"/>
  <c r="V537" i="1"/>
  <c r="G850" i="1"/>
  <c r="F850" i="1"/>
  <c r="V850" i="1"/>
  <c r="V983" i="1" l="1"/>
  <c r="F983" i="1"/>
  <c r="G983" i="1"/>
  <c r="V30" i="1" l="1"/>
  <c r="V802" i="1"/>
  <c r="V971" i="1"/>
  <c r="V4" i="1"/>
  <c r="V136" i="1"/>
  <c r="V623" i="1"/>
  <c r="V297" i="1"/>
  <c r="V676" i="1"/>
  <c r="V9" i="1"/>
  <c r="V337" i="1"/>
  <c r="V365" i="1"/>
  <c r="V161" i="1"/>
  <c r="V911" i="1"/>
  <c r="V195" i="1"/>
  <c r="V440" i="1"/>
  <c r="V958" i="1"/>
  <c r="V548" i="1"/>
  <c r="V40" i="1"/>
  <c r="V41" i="1"/>
  <c r="V237" i="1"/>
  <c r="V390" i="1"/>
  <c r="V712" i="1"/>
  <c r="V1064" i="1"/>
  <c r="V1005" i="1"/>
  <c r="V194" i="1"/>
  <c r="V705" i="1"/>
  <c r="V401" i="1"/>
  <c r="V963" i="1"/>
  <c r="V118" i="1"/>
  <c r="V460" i="1"/>
  <c r="V1011" i="1"/>
  <c r="V1020" i="1"/>
  <c r="V952" i="1"/>
  <c r="V44" i="1"/>
  <c r="V351" i="1"/>
  <c r="V585" i="1"/>
  <c r="V1004" i="1"/>
  <c r="V91" i="1"/>
  <c r="V709" i="1"/>
  <c r="V973" i="1"/>
  <c r="V387" i="1"/>
  <c r="V1067" i="1"/>
  <c r="V361" i="1"/>
  <c r="V603" i="1"/>
  <c r="V324" i="1"/>
  <c r="V877" i="1"/>
  <c r="V516" i="1"/>
  <c r="V1184" i="1"/>
  <c r="V223" i="1"/>
  <c r="V486" i="1"/>
  <c r="V699" i="1"/>
  <c r="V700" i="1"/>
  <c r="V974" i="1"/>
  <c r="V707" i="1"/>
  <c r="V62" i="1"/>
  <c r="V710" i="1"/>
  <c r="V200" i="1"/>
  <c r="V475" i="1"/>
  <c r="V370" i="1"/>
  <c r="V757" i="1"/>
  <c r="V609" i="1"/>
  <c r="V897" i="1"/>
  <c r="V24" i="1"/>
  <c r="V90" i="1"/>
  <c r="V49" i="1"/>
  <c r="V377" i="1"/>
  <c r="V383" i="1"/>
  <c r="V978" i="1"/>
  <c r="V215" i="1"/>
  <c r="V576" i="1"/>
  <c r="V1117" i="1"/>
  <c r="V507" i="1"/>
  <c r="V949" i="1"/>
  <c r="V485" i="1"/>
  <c r="V520" i="1"/>
  <c r="V259" i="1"/>
  <c r="V879" i="1"/>
  <c r="V135" i="1"/>
  <c r="V355" i="1"/>
  <c r="V599" i="1"/>
  <c r="V433" i="1"/>
  <c r="V250" i="1"/>
  <c r="V618" i="1"/>
  <c r="V321" i="1"/>
  <c r="V999" i="1"/>
  <c r="V1018" i="1"/>
  <c r="V23" i="1"/>
  <c r="V416" i="1"/>
  <c r="V1009" i="1"/>
  <c r="V518" i="1"/>
  <c r="V356" i="1"/>
  <c r="V985" i="1"/>
  <c r="V188" i="1"/>
  <c r="V718" i="1"/>
  <c r="V987" i="1"/>
  <c r="V1087" i="1"/>
  <c r="V423" i="1"/>
  <c r="V1025" i="1"/>
  <c r="V54" i="1"/>
  <c r="V232" i="1"/>
  <c r="V410" i="1"/>
  <c r="V46" i="1"/>
  <c r="V19" i="1"/>
  <c r="V659" i="1"/>
  <c r="V438" i="1"/>
  <c r="V108" i="1"/>
  <c r="V443" i="1"/>
  <c r="V490" i="1"/>
  <c r="V968" i="1"/>
  <c r="V567" i="1"/>
  <c r="V991" i="1"/>
  <c r="V568" i="1"/>
  <c r="V236" i="1"/>
  <c r="V132" i="1"/>
  <c r="V496" i="1"/>
  <c r="V448" i="1"/>
  <c r="V449" i="1"/>
  <c r="V376" i="1"/>
  <c r="V656" i="1"/>
  <c r="V13" i="1"/>
  <c r="V938" i="1"/>
  <c r="V992" i="1"/>
  <c r="V979" i="1"/>
  <c r="V944" i="1"/>
  <c r="V385" i="1"/>
  <c r="V453" i="1"/>
  <c r="V593" i="1"/>
  <c r="V224" i="1"/>
  <c r="V358" i="1"/>
  <c r="V359" i="1"/>
  <c r="V316" i="1"/>
  <c r="V349" i="1"/>
  <c r="V543" i="1"/>
  <c r="V1116" i="1"/>
  <c r="V240" i="1"/>
  <c r="V600" i="1"/>
  <c r="V595" i="1"/>
  <c r="V457" i="1"/>
  <c r="V107" i="1"/>
  <c r="V395" i="1"/>
  <c r="V681" i="1"/>
  <c r="V292" i="1"/>
  <c r="V428" i="1"/>
  <c r="V265" i="1"/>
  <c r="V954" i="1"/>
  <c r="V774" i="1"/>
  <c r="V921" i="1"/>
  <c r="V155" i="1"/>
  <c r="V574" i="1"/>
  <c r="V270" i="1"/>
  <c r="V1050" i="1"/>
  <c r="V157" i="1"/>
  <c r="V972" i="1"/>
  <c r="V1015" i="1"/>
  <c r="V625" i="1"/>
  <c r="V29" i="1"/>
  <c r="V819" i="1"/>
  <c r="V454" i="1"/>
  <c r="V1021" i="1"/>
  <c r="V31" i="1"/>
  <c r="V32" i="1"/>
  <c r="V513" i="1"/>
  <c r="V441" i="1"/>
  <c r="V900" i="1"/>
  <c r="V499" i="1"/>
  <c r="V943" i="1"/>
  <c r="V502" i="1"/>
  <c r="V222" i="1"/>
  <c r="V630" i="1"/>
  <c r="V1007" i="1"/>
  <c r="V176" i="1"/>
  <c r="V476" i="1"/>
  <c r="V399" i="1"/>
  <c r="V620" i="1"/>
  <c r="V957" i="1"/>
  <c r="V256" i="1"/>
  <c r="V435" i="1"/>
  <c r="V546" i="1"/>
  <c r="V238" i="1"/>
  <c r="V255" i="1"/>
  <c r="V452" i="1"/>
  <c r="V1002" i="1"/>
  <c r="V613" i="1"/>
  <c r="V165" i="1"/>
  <c r="V272" i="1"/>
  <c r="V610" i="1"/>
  <c r="V439" i="1"/>
  <c r="V558" i="1"/>
  <c r="V621" i="1"/>
  <c r="V160" i="1"/>
  <c r="V1023" i="1"/>
  <c r="V309" i="1"/>
  <c r="V644" i="1"/>
  <c r="V1003" i="1"/>
  <c r="V134" i="1"/>
  <c r="V261" i="1"/>
  <c r="V130" i="1"/>
  <c r="V650" i="1"/>
  <c r="V175" i="1"/>
  <c r="V936" i="1"/>
  <c r="V526" i="1"/>
  <c r="V305" i="1"/>
  <c r="V591" i="1"/>
  <c r="V269" i="1"/>
  <c r="V556" i="1"/>
  <c r="V394" i="1"/>
  <c r="V670" i="1"/>
  <c r="V482" i="1"/>
  <c r="V6" i="1"/>
  <c r="V353" i="1"/>
  <c r="V86" i="1"/>
  <c r="V1049" i="1"/>
  <c r="V617" i="1"/>
  <c r="V347" i="1"/>
  <c r="V323" i="1"/>
  <c r="V230" i="1"/>
  <c r="V432" i="1"/>
  <c r="V168" i="1"/>
  <c r="V554" i="1"/>
  <c r="V539" i="1"/>
  <c r="V467" i="1"/>
  <c r="V975" i="1"/>
  <c r="V442" i="1"/>
  <c r="V722" i="1"/>
  <c r="V544" i="1"/>
  <c r="V166" i="1"/>
  <c r="V631" i="1"/>
  <c r="V633" i="1"/>
  <c r="V67" i="1"/>
  <c r="V1104" i="1"/>
  <c r="V444" i="1"/>
  <c r="V1028" i="1"/>
  <c r="V97" i="1"/>
  <c r="V634" i="1"/>
  <c r="V185" i="1"/>
  <c r="V260" i="1"/>
  <c r="V397" i="1"/>
  <c r="V953" i="1"/>
  <c r="V509" i="1"/>
  <c r="V551" i="1"/>
  <c r="V187" i="1"/>
  <c r="V346" i="1"/>
  <c r="V257" i="1"/>
  <c r="V392" i="1"/>
  <c r="V472" i="1"/>
  <c r="V364" i="1"/>
  <c r="V55" i="1"/>
  <c r="V417" i="1"/>
  <c r="V92" i="1"/>
  <c r="V939" i="1"/>
  <c r="V244" i="1"/>
  <c r="V220" i="1"/>
  <c r="V413" i="1"/>
  <c r="V345" i="1"/>
  <c r="V271" i="1"/>
  <c r="V98" i="1"/>
  <c r="V597" i="1"/>
  <c r="V225" i="1"/>
  <c r="V322" i="1"/>
  <c r="V293" i="1"/>
  <c r="V368" i="1"/>
  <c r="V1017" i="1"/>
  <c r="V680" i="1"/>
  <c r="V178" i="1"/>
  <c r="V16" i="1"/>
  <c r="V998" i="1"/>
  <c r="V910" i="1"/>
  <c r="V172" i="1"/>
  <c r="V17" i="1"/>
  <c r="V129" i="1"/>
  <c r="V690" i="1"/>
  <c r="V582" i="1"/>
  <c r="V583" i="1"/>
  <c r="V70" i="1"/>
  <c r="V677" i="1"/>
  <c r="V177" i="1"/>
  <c r="V465" i="1"/>
  <c r="V665" i="1"/>
  <c r="V182" i="1"/>
  <c r="V1090" i="1"/>
  <c r="V173" i="1"/>
  <c r="V474" i="1"/>
  <c r="V14" i="1"/>
  <c r="V226" i="1"/>
  <c r="V304" i="1"/>
  <c r="V193" i="1"/>
  <c r="V1068" i="1"/>
  <c r="V295" i="1"/>
  <c r="V404" i="1"/>
  <c r="V1031" i="1"/>
  <c r="V581" i="1"/>
  <c r="V930" i="1"/>
  <c r="V1000" i="1"/>
  <c r="V221" i="1"/>
  <c r="V328" i="1"/>
  <c r="V307" i="1"/>
  <c r="V658" i="1"/>
  <c r="V466" i="1"/>
  <c r="V612" i="1"/>
  <c r="V652" i="1"/>
  <c r="V301" i="1"/>
  <c r="V422" i="1"/>
  <c r="V262" i="1"/>
  <c r="V1070" i="1"/>
  <c r="V296" i="1"/>
  <c r="V405" i="1"/>
  <c r="V319" i="1"/>
  <c r="V153" i="1"/>
  <c r="V248" i="1"/>
  <c r="V446" i="1"/>
  <c r="V664" i="1"/>
  <c r="V189" i="1"/>
  <c r="V1046" i="1"/>
  <c r="V1103" i="1"/>
  <c r="V264" i="1"/>
  <c r="V541" i="1"/>
  <c r="V590" i="1"/>
  <c r="V434" i="1"/>
  <c r="V601" i="1"/>
  <c r="V1044" i="1"/>
  <c r="V596" i="1"/>
  <c r="V531" i="1"/>
  <c r="V638" i="1"/>
  <c r="V228" i="1"/>
  <c r="V1045" i="1"/>
  <c r="V671" i="1"/>
  <c r="V479" i="1"/>
  <c r="V289" i="1"/>
  <c r="V231" i="1"/>
  <c r="V632" i="1"/>
  <c r="V683" i="1"/>
  <c r="V654" i="1"/>
  <c r="V669" i="1"/>
  <c r="V607" i="1"/>
  <c r="V331" i="1"/>
  <c r="V679" i="1"/>
  <c r="V133" i="1"/>
  <c r="V511" i="1"/>
  <c r="V1106" i="1"/>
  <c r="V310" i="1"/>
  <c r="V661" i="1"/>
  <c r="V682" i="1"/>
  <c r="V533" i="1"/>
  <c r="V480" i="1"/>
  <c r="V398" i="1"/>
  <c r="V73" i="1"/>
  <c r="V302" i="1"/>
  <c r="V557" i="1"/>
  <c r="V71" i="1"/>
  <c r="V663" i="1"/>
  <c r="V562" i="1"/>
  <c r="V174" i="1"/>
  <c r="V258" i="1"/>
  <c r="V303" i="1"/>
  <c r="V629" i="1"/>
  <c r="V42" i="1"/>
  <c r="V640" i="1"/>
  <c r="V645" i="1"/>
  <c r="V159" i="1"/>
  <c r="V478" i="1"/>
  <c r="V641" i="1"/>
  <c r="V648" i="1"/>
  <c r="V646" i="1"/>
  <c r="V306" i="1"/>
  <c r="V672" i="1"/>
  <c r="V249" i="1"/>
  <c r="V150" i="1"/>
  <c r="V662" i="1"/>
  <c r="V1029" i="1"/>
  <c r="V655" i="1"/>
  <c r="V1035" i="1"/>
  <c r="V535" i="1"/>
  <c r="V339" i="1"/>
  <c r="V598" i="1"/>
  <c r="V1088" i="1"/>
  <c r="V456" i="1"/>
  <c r="V611" i="1"/>
  <c r="V514" i="1"/>
  <c r="V642" i="1"/>
  <c r="V1112" i="1"/>
  <c r="V807" i="1"/>
  <c r="V1039" i="1"/>
  <c r="V687" i="1"/>
  <c r="V808" i="1"/>
  <c r="V1040" i="1"/>
  <c r="V1041" i="1"/>
  <c r="V1042" i="1"/>
  <c r="V1043" i="1"/>
  <c r="V28" i="1"/>
  <c r="V688" i="1"/>
  <c r="V812" i="1"/>
  <c r="V815" i="1"/>
  <c r="V816" i="1"/>
  <c r="V542" i="1"/>
  <c r="V693" i="1"/>
  <c r="V363" i="1"/>
  <c r="V167" i="1"/>
  <c r="V103" i="1"/>
  <c r="V196" i="1"/>
  <c r="V823" i="1"/>
  <c r="V1051" i="1"/>
  <c r="V698" i="1"/>
  <c r="V827" i="1"/>
  <c r="V300" i="1"/>
  <c r="V828" i="1"/>
  <c r="V412" i="1"/>
  <c r="V1138" i="1"/>
  <c r="V966" i="1"/>
  <c r="V1055" i="1"/>
  <c r="V1056" i="1"/>
  <c r="V1141" i="1"/>
  <c r="V1143" i="1"/>
  <c r="V1145" i="1"/>
  <c r="V1146" i="1"/>
  <c r="V1148" i="1"/>
  <c r="V1058" i="1"/>
  <c r="V1059" i="1"/>
  <c r="V726" i="1"/>
  <c r="V1060" i="1"/>
  <c r="V1158" i="1"/>
  <c r="V1159" i="1"/>
  <c r="V865" i="1"/>
  <c r="V8" i="1"/>
  <c r="V66" i="1"/>
  <c r="V180" i="1"/>
  <c r="V706" i="1"/>
  <c r="V1063" i="1"/>
  <c r="V488" i="1"/>
  <c r="V867" i="1"/>
  <c r="V566" i="1"/>
  <c r="V61" i="1"/>
  <c r="V52" i="1"/>
  <c r="V868" i="1"/>
  <c r="V1162" i="1"/>
  <c r="V871" i="1"/>
  <c r="V429" i="1"/>
  <c r="V1164" i="1"/>
  <c r="V96" i="1"/>
  <c r="V76" i="1"/>
  <c r="V660" i="1"/>
  <c r="V274" i="1"/>
  <c r="V872" i="1"/>
  <c r="V198" i="1"/>
  <c r="V43" i="1"/>
  <c r="V266" i="1"/>
  <c r="V716" i="1"/>
  <c r="V199" i="1"/>
  <c r="V201" i="1"/>
  <c r="V489" i="1"/>
  <c r="V1066" i="1"/>
  <c r="V275" i="1"/>
  <c r="V369" i="1"/>
  <c r="V874" i="1"/>
  <c r="V720" i="1"/>
  <c r="V875" i="1"/>
  <c r="V721" i="1"/>
  <c r="V723" i="1"/>
  <c r="V1071" i="1"/>
  <c r="V724" i="1"/>
  <c r="V110" i="1"/>
  <c r="V82" i="1"/>
  <c r="V48" i="1"/>
  <c r="V445" i="1"/>
  <c r="V320" i="1"/>
  <c r="V131" i="1"/>
  <c r="V649" i="1"/>
  <c r="V876" i="1"/>
  <c r="V252" i="1"/>
  <c r="V948" i="1"/>
  <c r="V74" i="1"/>
  <c r="V276" i="1"/>
  <c r="V77" i="1"/>
  <c r="V887" i="1"/>
  <c r="V203" i="1"/>
  <c r="V491" i="1"/>
  <c r="V99" i="1"/>
  <c r="V87" i="1"/>
  <c r="V78" i="1"/>
  <c r="V492" i="1"/>
  <c r="V143" i="1"/>
  <c r="V204" i="1"/>
  <c r="V753" i="1"/>
  <c r="V755" i="1"/>
  <c r="V756" i="1"/>
  <c r="V758" i="1"/>
  <c r="V889" i="1"/>
  <c r="V890" i="1"/>
  <c r="V891" i="1"/>
  <c r="V761" i="1"/>
  <c r="V112" i="1"/>
  <c r="V371" i="1"/>
  <c r="V762" i="1"/>
  <c r="V657" i="1"/>
  <c r="V569" i="1"/>
  <c r="V667" i="1"/>
  <c r="V88" i="1"/>
  <c r="V894" i="1"/>
  <c r="V1085" i="1"/>
  <c r="V626" i="1"/>
  <c r="V10" i="1"/>
  <c r="V763" i="1"/>
  <c r="V114" i="1"/>
  <c r="V115" i="1"/>
  <c r="V902" i="1"/>
  <c r="V764" i="1"/>
  <c r="V765" i="1"/>
  <c r="V905" i="1"/>
  <c r="V766" i="1"/>
  <c r="V116" i="1"/>
  <c r="V117" i="1"/>
  <c r="V233" i="1"/>
  <c r="V243" i="1"/>
  <c r="V767" i="1"/>
  <c r="V15" i="1"/>
  <c r="V1086" i="1"/>
  <c r="V909" i="1"/>
  <c r="V969" i="1"/>
  <c r="V981" i="1"/>
  <c r="V982" i="1"/>
  <c r="V959" i="1"/>
  <c r="V955" i="1"/>
  <c r="V205" i="1"/>
  <c r="V913" i="1"/>
  <c r="V773" i="1"/>
  <c r="V206" i="1"/>
  <c r="V279" i="1"/>
  <c r="V234" i="1"/>
  <c r="V68" i="1"/>
  <c r="V495" i="1"/>
  <c r="V280" i="1"/>
  <c r="V915" i="1"/>
  <c r="V207" i="1"/>
  <c r="V208" i="1"/>
  <c r="V916" i="1"/>
  <c r="V313" i="1"/>
  <c r="V409" i="1"/>
  <c r="V604" i="1"/>
  <c r="V776" i="1"/>
  <c r="V281" i="1"/>
  <c r="V119" i="1"/>
  <c r="V427" i="1"/>
  <c r="V777" i="1"/>
  <c r="V94" i="1"/>
  <c r="V1089" i="1"/>
  <c r="V241" i="1"/>
  <c r="V497" i="1"/>
  <c r="V918" i="1"/>
  <c r="V282" i="1"/>
  <c r="V498" i="1"/>
  <c r="V450" i="1"/>
  <c r="V778" i="1"/>
  <c r="V418" i="1"/>
  <c r="V375" i="1"/>
  <c r="V69" i="1"/>
  <c r="V37" i="1"/>
  <c r="V779" i="1"/>
  <c r="V284" i="1"/>
  <c r="V919" i="1"/>
  <c r="V210" i="1"/>
  <c r="V920" i="1"/>
  <c r="V326" i="1"/>
  <c r="V211" i="1"/>
  <c r="V378" i="1"/>
  <c r="V782" i="1"/>
  <c r="V451" i="1"/>
  <c r="V212" i="1"/>
  <c r="V500" i="1"/>
  <c r="V286" i="1"/>
  <c r="V380" i="1"/>
  <c r="V287" i="1"/>
  <c r="V121" i="1"/>
  <c r="V148" i="1"/>
  <c r="V122" i="1"/>
  <c r="V381" i="1"/>
  <c r="V382" i="1"/>
  <c r="V501" i="1"/>
  <c r="V214" i="1"/>
  <c r="V419" i="1"/>
  <c r="V1091" i="1"/>
  <c r="V1092" i="1"/>
  <c r="V940" i="1"/>
  <c r="V1026" i="1"/>
  <c r="V993" i="1"/>
  <c r="V946" i="1"/>
  <c r="V947" i="1"/>
  <c r="V994" i="1"/>
  <c r="V1093" i="1"/>
  <c r="V384" i="1"/>
  <c r="V152" i="1"/>
  <c r="V588" i="1"/>
  <c r="V653" i="1"/>
  <c r="V21" i="1"/>
  <c r="V503" i="1"/>
  <c r="V922" i="1"/>
  <c r="V923" i="1"/>
  <c r="V218" i="1"/>
  <c r="V406" i="1"/>
  <c r="V100" i="1"/>
  <c r="V925" i="1"/>
  <c r="V801" i="1"/>
  <c r="V436" i="1"/>
  <c r="V627" i="1"/>
  <c r="V123" i="1"/>
  <c r="V931" i="1"/>
  <c r="V219" i="1"/>
  <c r="V288" i="1"/>
  <c r="V804" i="1"/>
  <c r="V146" i="1"/>
  <c r="V505" i="1"/>
  <c r="V934" i="1"/>
  <c r="V72" i="1"/>
  <c r="V81" i="1"/>
  <c r="V935" i="1"/>
  <c r="V772" i="1"/>
  <c r="V510" i="1"/>
  <c r="V560" i="1"/>
  <c r="V142" i="1"/>
  <c r="V56" i="1"/>
  <c r="V525" i="1"/>
  <c r="V1048" i="1"/>
  <c r="V1047" i="1"/>
  <c r="V692" i="1"/>
  <c r="V1030" i="1"/>
  <c r="V517" i="1"/>
  <c r="V1111" i="1"/>
  <c r="V1105" i="1"/>
  <c r="V59" i="1"/>
  <c r="V126" i="1"/>
  <c r="V1113" i="1"/>
  <c r="V515" i="1"/>
  <c r="V901" i="1"/>
  <c r="V614" i="1"/>
  <c r="V20" i="1"/>
  <c r="V964" i="1"/>
  <c r="V532" i="1"/>
  <c r="V1074" i="1"/>
  <c r="V101" i="1"/>
  <c r="V102" i="1"/>
  <c r="V311" i="1"/>
  <c r="V639" i="1"/>
  <c r="V970" i="1"/>
  <c r="V1032" i="1"/>
  <c r="V360" i="1"/>
  <c r="V192" i="1"/>
  <c r="V190" i="1"/>
  <c r="V1080" i="1"/>
  <c r="V577" i="1"/>
  <c r="V1075" i="1"/>
  <c r="V929" i="1"/>
  <c r="V1081" i="1"/>
  <c r="V1102" i="1"/>
  <c r="V628" i="1"/>
  <c r="V951" i="1"/>
  <c r="V149" i="1"/>
  <c r="V291" i="1"/>
  <c r="V673" i="1"/>
  <c r="V79" i="1"/>
  <c r="V493" i="1"/>
  <c r="V483" i="1"/>
  <c r="V559" i="1"/>
  <c r="V459" i="1"/>
  <c r="V473" i="1"/>
  <c r="V318" i="1"/>
  <c r="V181" i="1"/>
  <c r="V637" i="1"/>
  <c r="V333" i="1"/>
  <c r="V552" i="1"/>
  <c r="V1076" i="1"/>
  <c r="V1019" i="1"/>
  <c r="V606" i="1"/>
  <c r="V1109" i="1"/>
  <c r="V561" i="1"/>
  <c r="V685" i="1"/>
  <c r="V519" i="1"/>
  <c r="V65" i="1"/>
  <c r="V725" i="1"/>
  <c r="V202" i="1"/>
  <c r="V883" i="1"/>
  <c r="V570" i="1"/>
  <c r="V898" i="1"/>
  <c r="V775" i="1"/>
  <c r="V186" i="1"/>
  <c r="V163" i="1"/>
  <c r="V545" i="1"/>
  <c r="V314" i="1"/>
  <c r="V213" i="1"/>
  <c r="V1108" i="1"/>
  <c r="V675" i="1"/>
  <c r="V512" i="1"/>
  <c r="V468" i="1"/>
  <c r="V330" i="1"/>
  <c r="V469" i="1"/>
  <c r="V586" i="1"/>
  <c r="V1034" i="1"/>
  <c r="V1069" i="1"/>
  <c r="V83" i="1"/>
  <c r="V327" i="1"/>
  <c r="V573" i="1"/>
  <c r="V932" i="1"/>
  <c r="V1024" i="1"/>
  <c r="V1084" i="1"/>
  <c r="V481" i="1"/>
  <c r="V1082" i="1"/>
  <c r="V686" i="1"/>
  <c r="V285" i="1"/>
  <c r="V242" i="1"/>
  <c r="V464" i="1"/>
  <c r="V317" i="1"/>
  <c r="V298" i="1"/>
  <c r="V547" i="1"/>
  <c r="V263" i="1"/>
  <c r="V336" i="1"/>
  <c r="V308" i="1"/>
  <c r="V338" i="1"/>
  <c r="V253" i="1"/>
  <c r="V278" i="1"/>
  <c r="V1001" i="1"/>
  <c r="V616" i="1"/>
  <c r="V995" i="1"/>
  <c r="V84" i="1"/>
  <c r="V504" i="1"/>
  <c r="V343" i="1"/>
  <c r="V357" i="1"/>
  <c r="V348" i="1"/>
  <c r="V684" i="1"/>
  <c r="V696" i="1"/>
  <c r="V666" i="1"/>
  <c r="V340" i="1"/>
  <c r="V229" i="1"/>
  <c r="V956" i="1"/>
  <c r="V674" i="1"/>
  <c r="V64" i="1"/>
  <c r="V553" i="1"/>
  <c r="V437" i="1"/>
  <c r="V647" i="1"/>
  <c r="V415" i="1"/>
  <c r="V106" i="1"/>
  <c r="V997" i="1"/>
  <c r="V866" i="1"/>
  <c r="V487" i="1"/>
  <c r="V550" i="1"/>
  <c r="V372" i="1"/>
  <c r="V522" i="1"/>
  <c r="V977" i="1"/>
  <c r="V283" i="1"/>
  <c r="V245" i="1"/>
  <c r="V587" i="1"/>
  <c r="V273" i="1"/>
  <c r="V1114" i="1"/>
  <c r="V268" i="1"/>
  <c r="V462" i="1"/>
  <c r="V538" i="1"/>
  <c r="V93" i="1"/>
  <c r="V780" i="1"/>
  <c r="V209" i="1"/>
  <c r="V784" i="1"/>
  <c r="V1016" i="1"/>
  <c r="V137" i="1"/>
  <c r="V571" i="1"/>
  <c r="V216" i="1"/>
  <c r="V254" i="1"/>
  <c r="V389" i="1"/>
  <c r="V128" i="1"/>
  <c r="V989" i="1"/>
  <c r="V1079" i="1"/>
  <c r="V421" i="1"/>
  <c r="V162" i="1"/>
  <c r="V555" i="1"/>
  <c r="V22" i="1"/>
  <c r="V235" i="1"/>
  <c r="V1013" i="1"/>
  <c r="V151" i="1"/>
  <c r="V25" i="1"/>
  <c r="V1036" i="1"/>
  <c r="V534" i="1"/>
  <c r="V1077" i="1"/>
  <c r="V608" i="1"/>
  <c r="V169" i="1"/>
  <c r="V980" i="1"/>
  <c r="V414" i="1"/>
  <c r="V563" i="1"/>
  <c r="V624" i="1"/>
  <c r="V564" i="1"/>
  <c r="V354" i="1"/>
  <c r="V549" i="1"/>
  <c r="V461" i="1"/>
  <c r="V447" i="1"/>
  <c r="V341" i="1"/>
  <c r="V425" i="1"/>
  <c r="V524" i="1"/>
  <c r="V578" i="1"/>
  <c r="V411" i="1"/>
  <c r="V138" i="1"/>
  <c r="V651" i="1"/>
  <c r="V1006" i="1"/>
  <c r="V580" i="1"/>
  <c r="V350" i="1"/>
  <c r="V678" i="1"/>
  <c r="V589" i="1"/>
  <c r="V605" i="1"/>
  <c r="V430" i="1"/>
  <c r="V622" i="1"/>
  <c r="V455" i="1"/>
  <c r="V352" i="1"/>
  <c r="V1107" i="1"/>
  <c r="V506" i="1"/>
  <c r="V615" i="1"/>
  <c r="V312" i="1"/>
  <c r="V1037" i="1"/>
  <c r="V420" i="1"/>
  <c r="V11" i="1"/>
  <c r="V85" i="1"/>
  <c r="V458" i="1"/>
  <c r="V277" i="1"/>
  <c r="V408" i="1"/>
  <c r="V367" i="1"/>
  <c r="V592" i="1"/>
  <c r="V1110" i="1"/>
  <c r="V579" i="1"/>
  <c r="V584" i="1"/>
  <c r="V602" i="1"/>
  <c r="V344" i="1"/>
  <c r="V184" i="1"/>
  <c r="V1083" i="1"/>
  <c r="V156" i="1"/>
  <c r="V986" i="1"/>
  <c r="V247" i="1"/>
  <c r="V575" i="1"/>
  <c r="V689" i="1"/>
  <c r="V1022" i="1"/>
  <c r="V299" i="1"/>
  <c r="V5" i="1"/>
  <c r="V396" i="1"/>
  <c r="V26" i="1"/>
  <c r="V335" i="1"/>
  <c r="V536" i="1"/>
  <c r="V1027" i="1"/>
  <c r="V424" i="1"/>
  <c r="V965" i="1"/>
  <c r="V329" i="1"/>
  <c r="V643" i="1"/>
  <c r="V104" i="1"/>
  <c r="V668" i="1"/>
  <c r="V1038" i="1"/>
  <c r="V239" i="1"/>
  <c r="V805" i="1"/>
  <c r="V806" i="1"/>
  <c r="V1094" i="1"/>
  <c r="V27" i="1"/>
  <c r="V809" i="1"/>
  <c r="V811" i="1"/>
  <c r="V813" i="1"/>
  <c r="V814" i="1"/>
  <c r="V854" i="1"/>
  <c r="V941" i="1"/>
  <c r="V861" i="1"/>
  <c r="V950" i="1"/>
  <c r="V477" i="1"/>
  <c r="V362" i="1"/>
  <c r="V817" i="1"/>
  <c r="V1101" i="1"/>
  <c r="V34" i="1"/>
  <c r="V529" i="1"/>
  <c r="V540" i="1"/>
  <c r="V1115" i="1"/>
  <c r="V431" i="1"/>
  <c r="V824" i="1"/>
  <c r="V825" i="1"/>
  <c r="V1118" i="1"/>
  <c r="V1119" i="1"/>
  <c r="V826" i="1"/>
  <c r="V1120" i="1"/>
  <c r="V393" i="1"/>
  <c r="V1052" i="1"/>
  <c r="V1053" i="1"/>
  <c r="V1054" i="1"/>
  <c r="V829" i="1"/>
  <c r="V1135" i="1"/>
  <c r="V840" i="1"/>
  <c r="V1136" i="1"/>
  <c r="V1137" i="1"/>
  <c r="V1139" i="1"/>
  <c r="V1140" i="1"/>
  <c r="V1057" i="1"/>
  <c r="V1142" i="1"/>
  <c r="V1144" i="1"/>
  <c r="V1147" i="1"/>
  <c r="V862" i="1"/>
  <c r="V863" i="1"/>
  <c r="V1149" i="1"/>
  <c r="V1150" i="1"/>
  <c r="V1151" i="1"/>
  <c r="V1152" i="1"/>
  <c r="V1153" i="1"/>
  <c r="V1154" i="1"/>
  <c r="V1155" i="1"/>
  <c r="V1156" i="1"/>
  <c r="V1157" i="1"/>
  <c r="V1061" i="1"/>
  <c r="V864" i="1"/>
  <c r="V1062" i="1"/>
  <c r="V391" i="1"/>
  <c r="V704" i="1"/>
  <c r="V565" i="1"/>
  <c r="V1160" i="1"/>
  <c r="V18" i="1"/>
  <c r="V366" i="1"/>
  <c r="V1161" i="1"/>
  <c r="V870" i="1"/>
  <c r="V426" i="1"/>
  <c r="V530" i="1"/>
  <c r="V246" i="1"/>
  <c r="V170" i="1"/>
  <c r="V334" i="1"/>
  <c r="V711" i="1"/>
  <c r="V962" i="1"/>
  <c r="V967" i="1"/>
  <c r="V39" i="1"/>
  <c r="V1065" i="1"/>
  <c r="V996" i="1"/>
  <c r="V402" i="1"/>
  <c r="V715" i="1"/>
  <c r="V873" i="1"/>
  <c r="V109" i="1"/>
  <c r="V325" i="1"/>
  <c r="V80" i="1"/>
  <c r="V60" i="1"/>
  <c r="V1170" i="1"/>
  <c r="V1171" i="1"/>
  <c r="V1172" i="1"/>
  <c r="V1072" i="1"/>
  <c r="V1073" i="1"/>
  <c r="V880" i="1"/>
  <c r="V881" i="1"/>
  <c r="V882" i="1"/>
  <c r="V1078" i="1"/>
  <c r="V111" i="1"/>
  <c r="V961" i="1"/>
  <c r="V752" i="1"/>
  <c r="V754" i="1"/>
  <c r="V400" i="1"/>
  <c r="V888" i="1"/>
  <c r="V759" i="1"/>
  <c r="V760" i="1"/>
  <c r="V892" i="1"/>
  <c r="V893" i="1"/>
  <c r="V1173" i="1"/>
  <c r="V895" i="1"/>
  <c r="V896" i="1"/>
  <c r="V113" i="1"/>
  <c r="V899" i="1"/>
  <c r="V903" i="1"/>
  <c r="V904" i="1"/>
  <c r="V906" i="1"/>
  <c r="V89" i="1"/>
  <c r="V907" i="1"/>
  <c r="V494" i="1"/>
  <c r="V470" i="1"/>
  <c r="V403" i="1"/>
  <c r="V908" i="1"/>
  <c r="V768" i="1"/>
  <c r="V1174" i="1"/>
  <c r="V1175" i="1"/>
  <c r="V1176" i="1"/>
  <c r="V1178" i="1"/>
  <c r="V1179" i="1"/>
  <c r="V912" i="1"/>
  <c r="V1180" i="1"/>
  <c r="V914" i="1"/>
  <c r="V1181" i="1"/>
  <c r="V1182" i="1"/>
  <c r="V1183" i="1"/>
  <c r="V917" i="1"/>
  <c r="V374" i="1"/>
  <c r="V144" i="1"/>
  <c r="V781" i="1"/>
  <c r="V120" i="1"/>
  <c r="V33" i="1"/>
  <c r="V379" i="1"/>
  <c r="V1185" i="1"/>
  <c r="V1008" i="1"/>
  <c r="V1010" i="1"/>
  <c r="V945" i="1"/>
  <c r="V988" i="1"/>
  <c r="V976" i="1"/>
  <c r="V990" i="1"/>
  <c r="V1014" i="1"/>
  <c r="V960" i="1"/>
  <c r="V799" i="1"/>
  <c r="V800" i="1"/>
  <c r="V572" i="1"/>
  <c r="V217" i="1"/>
  <c r="V145" i="1"/>
  <c r="V924" i="1"/>
  <c r="V386" i="1"/>
  <c r="V927" i="1"/>
  <c r="V63" i="1"/>
  <c r="V928" i="1"/>
  <c r="V315" i="1"/>
  <c r="V124" i="1"/>
  <c r="V803" i="1"/>
  <c r="V1187" i="1"/>
  <c r="V635" i="1"/>
  <c r="V1188" i="1"/>
  <c r="V933" i="1"/>
  <c r="V388" i="1"/>
  <c r="V463" i="1"/>
  <c r="V1189" i="1"/>
  <c r="V1095" i="1"/>
  <c r="V1096" i="1"/>
  <c r="V1097" i="1"/>
  <c r="V1098" i="1"/>
  <c r="V1099" i="1"/>
  <c r="V1100" i="1"/>
  <c r="V1121" i="1"/>
  <c r="V1122" i="1"/>
  <c r="V1123" i="1"/>
  <c r="V1124" i="1"/>
  <c r="V1163" i="1"/>
  <c r="V1165" i="1"/>
  <c r="V1166" i="1"/>
  <c r="V1167" i="1"/>
  <c r="V1168" i="1"/>
  <c r="V1169" i="1"/>
  <c r="V1177" i="1"/>
  <c r="V1186" i="1"/>
  <c r="V58" i="1"/>
  <c r="V1190" i="1"/>
  <c r="G8" i="1" l="1"/>
  <c r="F8" i="1"/>
  <c r="G1187" i="1"/>
  <c r="F1187" i="1"/>
  <c r="G1094" i="1"/>
  <c r="F1094" i="1"/>
  <c r="G806" i="1"/>
  <c r="F806" i="1"/>
  <c r="G805" i="1"/>
  <c r="F805" i="1"/>
  <c r="G1157" i="1"/>
  <c r="F1157" i="1"/>
  <c r="G1156" i="1"/>
  <c r="F1156" i="1"/>
  <c r="G1155" i="1"/>
  <c r="F1155" i="1"/>
  <c r="G1154" i="1"/>
  <c r="F1154" i="1"/>
  <c r="G1153" i="1"/>
  <c r="F1153" i="1"/>
  <c r="G1152" i="1"/>
  <c r="F1152" i="1"/>
  <c r="G1151" i="1"/>
  <c r="F1151" i="1"/>
  <c r="G1136" i="1"/>
  <c r="F1136" i="1"/>
  <c r="G840" i="1"/>
  <c r="F840" i="1"/>
  <c r="G1135" i="1"/>
  <c r="F1135" i="1"/>
  <c r="G1137" i="1"/>
  <c r="F1137" i="1"/>
  <c r="G1142" i="1"/>
  <c r="F1142" i="1"/>
  <c r="G1071" i="1"/>
  <c r="F1071" i="1"/>
  <c r="G325" i="1"/>
  <c r="F325" i="1"/>
  <c r="G1093" i="1" l="1"/>
  <c r="F1093" i="1"/>
  <c r="G873" i="1" l="1"/>
  <c r="F873" i="1"/>
  <c r="F924" i="1" l="1"/>
  <c r="G924" i="1"/>
  <c r="F1034" i="1" l="1"/>
  <c r="F526" i="1"/>
  <c r="F223" i="1"/>
  <c r="F640" i="1"/>
  <c r="F159" i="1"/>
  <c r="F999" i="1"/>
  <c r="F1017" i="1"/>
  <c r="F393" i="1"/>
  <c r="F360" i="1"/>
  <c r="F807" i="1"/>
  <c r="F27" i="1"/>
  <c r="F1039" i="1"/>
  <c r="F687" i="1"/>
  <c r="F808" i="1"/>
  <c r="F1040" i="1"/>
  <c r="F1041" i="1"/>
  <c r="F1042" i="1"/>
  <c r="F1043" i="1"/>
  <c r="F809" i="1"/>
  <c r="F28" i="1"/>
  <c r="F688" i="1"/>
  <c r="F811" i="1"/>
  <c r="F812" i="1"/>
  <c r="F813" i="1"/>
  <c r="F814" i="1"/>
  <c r="F815" i="1"/>
  <c r="F564" i="1"/>
  <c r="F538" i="1"/>
  <c r="F816" i="1"/>
  <c r="F394" i="1"/>
  <c r="F689" i="1"/>
  <c r="F483" i="1"/>
  <c r="F664" i="1"/>
  <c r="F1095" i="1"/>
  <c r="F1096" i="1"/>
  <c r="F107" i="1"/>
  <c r="F86" i="1"/>
  <c r="F486" i="1"/>
  <c r="F192" i="1"/>
  <c r="F193" i="1"/>
  <c r="F310" i="1"/>
  <c r="F472" i="1"/>
  <c r="F690" i="1"/>
  <c r="F1044" i="1"/>
  <c r="F424" i="1"/>
  <c r="F589" i="1"/>
  <c r="F539" i="1"/>
  <c r="F1003" i="1"/>
  <c r="F854" i="1"/>
  <c r="F941" i="1"/>
  <c r="F861" i="1"/>
  <c r="F950" i="1"/>
  <c r="F439" i="1"/>
  <c r="F128" i="1"/>
  <c r="F5" i="1"/>
  <c r="F668" i="1"/>
  <c r="F542" i="1"/>
  <c r="F477" i="1"/>
  <c r="F579" i="1"/>
  <c r="F597" i="1"/>
  <c r="F506" i="1"/>
  <c r="F1023" i="1"/>
  <c r="F150" i="1"/>
  <c r="F1004" i="1"/>
  <c r="F265" i="1"/>
  <c r="F1045" i="1"/>
  <c r="F1046" i="1"/>
  <c r="F622" i="1"/>
  <c r="F1097" i="1"/>
  <c r="F692" i="1"/>
  <c r="F1005" i="1"/>
  <c r="F17" i="1"/>
  <c r="F184" i="1"/>
  <c r="F514" i="1"/>
  <c r="F174" i="1"/>
  <c r="F461" i="1"/>
  <c r="F362" i="1"/>
  <c r="F532" i="1"/>
  <c r="F561" i="1"/>
  <c r="F817" i="1"/>
  <c r="F289" i="1"/>
  <c r="F693" i="1"/>
  <c r="F29" i="1"/>
  <c r="F1098" i="1"/>
  <c r="F819" i="1"/>
  <c r="F1099" i="1"/>
  <c r="F1100" i="1"/>
  <c r="F509" i="1"/>
  <c r="F363" i="1"/>
  <c r="F654" i="1"/>
  <c r="F238" i="1"/>
  <c r="F333" i="1"/>
  <c r="F485" i="1"/>
  <c r="F1101" i="1"/>
  <c r="F1102" i="1"/>
  <c r="F1103" i="1"/>
  <c r="F533" i="1"/>
  <c r="F559" i="1"/>
  <c r="F1020" i="1"/>
  <c r="F167" i="1"/>
  <c r="F1104" i="1"/>
  <c r="F1105" i="1"/>
  <c r="F686" i="1"/>
  <c r="F685" i="1"/>
  <c r="F34" i="1"/>
  <c r="F612" i="1"/>
  <c r="F194" i="1"/>
  <c r="F1106" i="1"/>
  <c r="F529" i="1"/>
  <c r="F1047" i="1"/>
  <c r="F1048" i="1"/>
  <c r="F1049" i="1"/>
  <c r="F1050" i="1"/>
  <c r="F1107" i="1"/>
  <c r="F1108" i="1"/>
  <c r="F1109" i="1"/>
  <c r="F361" i="1"/>
  <c r="F593" i="1"/>
  <c r="F643" i="1"/>
  <c r="F662" i="1"/>
  <c r="F651" i="1"/>
  <c r="F647" i="1"/>
  <c r="F479" i="1"/>
  <c r="F480" i="1"/>
  <c r="F607" i="1"/>
  <c r="F632" i="1"/>
  <c r="F645" i="1"/>
  <c r="F598" i="1"/>
  <c r="F1110" i="1"/>
  <c r="F1111" i="1"/>
  <c r="F1112" i="1"/>
  <c r="F1113" i="1"/>
  <c r="F1114" i="1"/>
  <c r="F625" i="1"/>
  <c r="F465" i="1"/>
  <c r="F536" i="1"/>
  <c r="F457" i="1"/>
  <c r="F580" i="1"/>
  <c r="F454" i="1"/>
  <c r="F658" i="1"/>
  <c r="F556" i="1"/>
  <c r="F353" i="1"/>
  <c r="F397" i="1"/>
  <c r="F178" i="1"/>
  <c r="F518" i="1"/>
  <c r="F1011" i="1"/>
  <c r="F540" i="1"/>
  <c r="F677" i="1"/>
  <c r="F591" i="1"/>
  <c r="F1009" i="1"/>
  <c r="F586" i="1"/>
  <c r="F606" i="1"/>
  <c r="F392" i="1"/>
  <c r="F557" i="1"/>
  <c r="F482" i="1"/>
  <c r="F665" i="1"/>
  <c r="F467" i="1"/>
  <c r="F621" i="1"/>
  <c r="F1115" i="1"/>
  <c r="F610" i="1"/>
  <c r="F431" i="1"/>
  <c r="F599" i="1"/>
  <c r="F674" i="1"/>
  <c r="F684" i="1"/>
  <c r="F696" i="1"/>
  <c r="F678" i="1"/>
  <c r="F578" i="1"/>
  <c r="F611" i="1"/>
  <c r="F101" i="1"/>
  <c r="F102" i="1"/>
  <c r="F166" i="1"/>
  <c r="F1116" i="1"/>
  <c r="F576" i="1"/>
  <c r="F103" i="1"/>
  <c r="F396" i="1"/>
  <c r="F603" i="1"/>
  <c r="F65" i="1"/>
  <c r="F1117" i="1"/>
  <c r="F663" i="1"/>
  <c r="F680" i="1"/>
  <c r="F683" i="1"/>
  <c r="F682" i="1"/>
  <c r="F669" i="1"/>
  <c r="F652" i="1"/>
  <c r="F671" i="1"/>
  <c r="F601" i="1"/>
  <c r="F773" i="1"/>
  <c r="F430" i="1"/>
  <c r="F187" i="1"/>
  <c r="F220" i="1"/>
  <c r="F221" i="1"/>
  <c r="F189" i="1"/>
  <c r="F225" i="1"/>
  <c r="F226" i="1"/>
  <c r="F176" i="1"/>
  <c r="F169" i="1"/>
  <c r="F172" i="1"/>
  <c r="F168" i="1"/>
  <c r="F398" i="1"/>
  <c r="F165" i="1"/>
  <c r="F328" i="1"/>
  <c r="F302" i="1"/>
  <c r="F304" i="1"/>
  <c r="F307" i="1"/>
  <c r="F303" i="1"/>
  <c r="F306" i="1"/>
  <c r="F1038" i="1"/>
  <c r="F129" i="1"/>
  <c r="F177" i="1"/>
  <c r="F230" i="1"/>
  <c r="F244" i="1"/>
  <c r="F173" i="1"/>
  <c r="F182" i="1"/>
  <c r="F672" i="1"/>
  <c r="F195" i="1"/>
  <c r="F346" i="1"/>
  <c r="F319" i="1"/>
  <c r="F323" i="1"/>
  <c r="F257" i="1"/>
  <c r="F271" i="1"/>
  <c r="F260" i="1"/>
  <c r="F264" i="1"/>
  <c r="F322" i="1"/>
  <c r="F293" i="1"/>
  <c r="F268" i="1"/>
  <c r="F240" i="1"/>
  <c r="F270" i="1"/>
  <c r="F272" i="1"/>
  <c r="F309" i="1"/>
  <c r="F965" i="1"/>
  <c r="F359" i="1"/>
  <c r="F507" i="1"/>
  <c r="F623" i="1"/>
  <c r="F292" i="1"/>
  <c r="F423" i="1"/>
  <c r="F308" i="1"/>
  <c r="F338" i="1"/>
  <c r="F298" i="1"/>
  <c r="F253" i="1"/>
  <c r="F348" i="1"/>
  <c r="F263" i="1"/>
  <c r="F317" i="1"/>
  <c r="F336" i="1"/>
  <c r="F249" i="1"/>
  <c r="F262" i="1"/>
  <c r="F228" i="1"/>
  <c r="F248" i="1"/>
  <c r="F258" i="1"/>
  <c r="F512" i="1"/>
  <c r="F389" i="1"/>
  <c r="F558" i="1"/>
  <c r="F630" i="1"/>
  <c r="F620" i="1"/>
  <c r="F1002" i="1"/>
  <c r="F676" i="1"/>
  <c r="F196" i="1"/>
  <c r="F466" i="1"/>
  <c r="F551" i="1"/>
  <c r="F347" i="1"/>
  <c r="F823" i="1"/>
  <c r="F824" i="1"/>
  <c r="F825" i="1"/>
  <c r="F644" i="1"/>
  <c r="F670" i="1"/>
  <c r="F638" i="1"/>
  <c r="F648" i="1"/>
  <c r="F641" i="1"/>
  <c r="F646" i="1"/>
  <c r="F629" i="1"/>
  <c r="F560" i="1"/>
  <c r="F1118" i="1"/>
  <c r="F1051" i="1"/>
  <c r="F1119" i="1"/>
  <c r="F826" i="1"/>
  <c r="F698" i="1"/>
  <c r="F827" i="1"/>
  <c r="F1120" i="1"/>
  <c r="F300" i="1"/>
  <c r="F699" i="1"/>
  <c r="F700" i="1"/>
  <c r="F828" i="1"/>
  <c r="F412" i="1"/>
  <c r="F469" i="1"/>
  <c r="F473" i="1"/>
  <c r="F590" i="1"/>
  <c r="F511" i="1"/>
  <c r="F543" i="1"/>
  <c r="F368" i="1"/>
  <c r="F710" i="1"/>
  <c r="F631" i="1"/>
  <c r="F585" i="1"/>
  <c r="F600" i="1"/>
  <c r="F549" i="1"/>
  <c r="F356" i="1"/>
  <c r="F19" i="1"/>
  <c r="F426" i="1"/>
  <c r="F871" i="1"/>
  <c r="F429" i="1"/>
  <c r="F64" i="1"/>
  <c r="F42" i="1"/>
  <c r="F474" i="1"/>
  <c r="F1163" i="1"/>
  <c r="F986" i="1"/>
  <c r="F1164" i="1"/>
  <c r="F1021" i="1"/>
  <c r="F530" i="1"/>
  <c r="F96" i="1"/>
  <c r="F250" i="1"/>
  <c r="F246" i="1"/>
  <c r="F170" i="1"/>
  <c r="F239" i="1"/>
  <c r="F76" i="1"/>
  <c r="F1064" i="1"/>
  <c r="F247" i="1"/>
  <c r="F259" i="1"/>
  <c r="F161" i="1"/>
  <c r="F334" i="1"/>
  <c r="F711" i="1"/>
  <c r="F421" i="1"/>
  <c r="F550" i="1"/>
  <c r="F608" i="1"/>
  <c r="F130" i="1"/>
  <c r="F660" i="1"/>
  <c r="F274" i="1"/>
  <c r="F962" i="1"/>
  <c r="F967" i="1"/>
  <c r="F67" i="1"/>
  <c r="F39" i="1"/>
  <c r="F872" i="1"/>
  <c r="F188" i="1"/>
  <c r="F198" i="1"/>
  <c r="F420" i="1"/>
  <c r="F245" i="1"/>
  <c r="F43" i="1"/>
  <c r="F515" i="1"/>
  <c r="F266" i="1"/>
  <c r="F519" i="1"/>
  <c r="F513" i="1"/>
  <c r="F305" i="1"/>
  <c r="F524" i="1"/>
  <c r="F395" i="1"/>
  <c r="F464" i="1"/>
  <c r="F1165" i="1"/>
  <c r="F1166" i="1"/>
  <c r="F712" i="1"/>
  <c r="F438" i="1"/>
  <c r="F1065" i="1"/>
  <c r="F996" i="1"/>
  <c r="F584" i="1"/>
  <c r="F587" i="1"/>
  <c r="F458" i="1"/>
  <c r="F402" i="1"/>
  <c r="F715" i="1"/>
  <c r="F1167" i="1"/>
  <c r="F1168" i="1"/>
  <c r="F716" i="1"/>
  <c r="F199" i="1"/>
  <c r="F200" i="1"/>
  <c r="F441" i="1"/>
  <c r="F201" i="1"/>
  <c r="F108" i="1"/>
  <c r="F442" i="1"/>
  <c r="F443" i="1"/>
  <c r="F1066" i="1"/>
  <c r="F952" i="1"/>
  <c r="F1067" i="1"/>
  <c r="F109" i="1"/>
  <c r="F275" i="1"/>
  <c r="F417" i="1"/>
  <c r="F1018" i="1"/>
  <c r="F552" i="1"/>
  <c r="F369" i="1"/>
  <c r="F490" i="1"/>
  <c r="F718" i="1"/>
  <c r="F968" i="1"/>
  <c r="F567" i="1"/>
  <c r="F874" i="1"/>
  <c r="F720" i="1"/>
  <c r="F875" i="1"/>
  <c r="F721" i="1"/>
  <c r="F637" i="1"/>
  <c r="F1068" i="1"/>
  <c r="F1069" i="1"/>
  <c r="F1169" i="1"/>
  <c r="F1070" i="1"/>
  <c r="F444" i="1"/>
  <c r="F722" i="1"/>
  <c r="F991" i="1"/>
  <c r="F723" i="1"/>
  <c r="F1121" i="1"/>
  <c r="F1122" i="1"/>
  <c r="F1123" i="1"/>
  <c r="F1124" i="1"/>
  <c r="F1052" i="1"/>
  <c r="F1053" i="1"/>
  <c r="F1054" i="1"/>
  <c r="F829" i="1"/>
  <c r="F1138" i="1"/>
  <c r="F1139" i="1"/>
  <c r="F1140" i="1"/>
  <c r="F456" i="1"/>
  <c r="F408" i="1"/>
  <c r="F153" i="1"/>
  <c r="F966" i="1"/>
  <c r="F1055" i="1"/>
  <c r="F1056" i="1"/>
  <c r="F985" i="1"/>
  <c r="F1141" i="1"/>
  <c r="F1057" i="1"/>
  <c r="F1143" i="1"/>
  <c r="F1144" i="1"/>
  <c r="F1145" i="1"/>
  <c r="F1146" i="1"/>
  <c r="F440" i="1"/>
  <c r="F1147" i="1"/>
  <c r="F862" i="1"/>
  <c r="F863" i="1"/>
  <c r="F1148" i="1"/>
  <c r="F1149" i="1"/>
  <c r="F1150" i="1"/>
  <c r="F1058" i="1"/>
  <c r="F1059" i="1"/>
  <c r="F726" i="1"/>
  <c r="F974" i="1"/>
  <c r="F1060" i="1"/>
  <c r="F1158" i="1"/>
  <c r="F1159" i="1"/>
  <c r="F1061" i="1"/>
  <c r="F864" i="1"/>
  <c r="F865" i="1"/>
  <c r="F329" i="1"/>
  <c r="F866" i="1"/>
  <c r="F1062" i="1"/>
  <c r="F592" i="1"/>
  <c r="F1171" i="1"/>
  <c r="F1172" i="1"/>
  <c r="F350" i="1"/>
  <c r="F311" i="1"/>
  <c r="F92" i="1"/>
  <c r="F301" i="1"/>
  <c r="F876" i="1"/>
  <c r="F185" i="1"/>
  <c r="F252" i="1"/>
  <c r="F468" i="1"/>
  <c r="F331" i="1"/>
  <c r="F1072" i="1"/>
  <c r="F877" i="1"/>
  <c r="F312" i="1"/>
  <c r="F14" i="1"/>
  <c r="F879" i="1"/>
  <c r="F1073" i="1"/>
  <c r="F1025" i="1"/>
  <c r="F949" i="1"/>
  <c r="F948" i="1"/>
  <c r="F880" i="1"/>
  <c r="F881" i="1"/>
  <c r="F74" i="1"/>
  <c r="F882" i="1"/>
  <c r="F964" i="1"/>
  <c r="F1074" i="1"/>
  <c r="F1075" i="1"/>
  <c r="F970" i="1"/>
  <c r="F957" i="1"/>
  <c r="F883" i="1"/>
  <c r="F980" i="1"/>
  <c r="F1076" i="1"/>
  <c r="F1077" i="1"/>
  <c r="F1030" i="1"/>
  <c r="F1078" i="1"/>
  <c r="F111" i="1"/>
  <c r="F961" i="1"/>
  <c r="F956" i="1"/>
  <c r="F1022" i="1"/>
  <c r="F1024" i="1"/>
  <c r="F1027" i="1"/>
  <c r="F1035" i="1"/>
  <c r="F1079" i="1"/>
  <c r="F1006" i="1"/>
  <c r="F1080" i="1"/>
  <c r="F1081" i="1"/>
  <c r="F1082" i="1"/>
  <c r="F1000" i="1"/>
  <c r="F1083" i="1"/>
  <c r="F1084" i="1"/>
  <c r="F997" i="1"/>
  <c r="F958" i="1"/>
  <c r="F971" i="1"/>
  <c r="F236" i="1"/>
  <c r="F582" i="1"/>
  <c r="F650" i="1"/>
  <c r="F132" i="1"/>
  <c r="F276" i="1"/>
  <c r="F77" i="1"/>
  <c r="F887" i="1"/>
  <c r="F203" i="1"/>
  <c r="F491" i="1"/>
  <c r="F99" i="1"/>
  <c r="F87" i="1"/>
  <c r="F78" i="1"/>
  <c r="F370" i="1"/>
  <c r="F492" i="1"/>
  <c r="F143" i="1"/>
  <c r="F544" i="1"/>
  <c r="F204" i="1"/>
  <c r="F752" i="1"/>
  <c r="F753" i="1"/>
  <c r="F754" i="1"/>
  <c r="F400" i="1"/>
  <c r="F175" i="1"/>
  <c r="F755" i="1"/>
  <c r="F756" i="1"/>
  <c r="F888" i="1"/>
  <c r="F757" i="1"/>
  <c r="F758" i="1"/>
  <c r="F889" i="1"/>
  <c r="F890" i="1"/>
  <c r="F891" i="1"/>
  <c r="F411" i="1"/>
  <c r="F422" i="1"/>
  <c r="F759" i="1"/>
  <c r="F760" i="1"/>
  <c r="F761" i="1"/>
  <c r="F112" i="1"/>
  <c r="F277" i="1"/>
  <c r="F371" i="1"/>
  <c r="F892" i="1"/>
  <c r="F762" i="1"/>
  <c r="F16" i="1"/>
  <c r="F657" i="1"/>
  <c r="F893" i="1"/>
  <c r="F26" i="1"/>
  <c r="F569" i="1"/>
  <c r="F493" i="1"/>
  <c r="F278" i="1"/>
  <c r="F667" i="1"/>
  <c r="F553" i="1"/>
  <c r="F609" i="1"/>
  <c r="F73" i="1"/>
  <c r="F613" i="1"/>
  <c r="F88" i="1"/>
  <c r="F894" i="1"/>
  <c r="F1085" i="1"/>
  <c r="F626" i="1"/>
  <c r="F570" i="1"/>
  <c r="F554" i="1"/>
  <c r="F10" i="1"/>
  <c r="F1173" i="1"/>
  <c r="F895" i="1"/>
  <c r="F896" i="1"/>
  <c r="F763" i="1"/>
  <c r="F25" i="1"/>
  <c r="F897" i="1"/>
  <c r="F898" i="1"/>
  <c r="F113" i="1"/>
  <c r="F899" i="1"/>
  <c r="F114" i="1"/>
  <c r="F900" i="1"/>
  <c r="F901" i="1"/>
  <c r="F115" i="1"/>
  <c r="F902" i="1"/>
  <c r="F24" i="1"/>
  <c r="F764" i="1"/>
  <c r="F903" i="1"/>
  <c r="F904" i="1"/>
  <c r="F765" i="1"/>
  <c r="F905" i="1"/>
  <c r="F906" i="1"/>
  <c r="F766" i="1"/>
  <c r="F116" i="1"/>
  <c r="F89" i="1"/>
  <c r="F907" i="1"/>
  <c r="F494" i="1"/>
  <c r="F117" i="1"/>
  <c r="F299" i="1"/>
  <c r="F447" i="1"/>
  <c r="F56" i="1"/>
  <c r="F233" i="1"/>
  <c r="F157" i="1"/>
  <c r="F243" i="1"/>
  <c r="F470" i="1"/>
  <c r="F403" i="1"/>
  <c r="F767" i="1"/>
  <c r="F83" i="1"/>
  <c r="F563" i="1"/>
  <c r="F908" i="1"/>
  <c r="F768" i="1"/>
  <c r="F1174" i="1"/>
  <c r="F15" i="1"/>
  <c r="F149" i="1"/>
  <c r="F675" i="1"/>
  <c r="F1086" i="1"/>
  <c r="F909" i="1"/>
  <c r="F987" i="1"/>
  <c r="F973" i="1"/>
  <c r="F969" i="1"/>
  <c r="F372" i="1"/>
  <c r="F335" i="1"/>
  <c r="F981" i="1"/>
  <c r="F972" i="1"/>
  <c r="F1015" i="1"/>
  <c r="F998" i="1"/>
  <c r="F1019" i="1"/>
  <c r="F1028" i="1"/>
  <c r="F982" i="1"/>
  <c r="F1087" i="1"/>
  <c r="F959" i="1"/>
  <c r="F1001" i="1"/>
  <c r="F1036" i="1"/>
  <c r="F1175" i="1"/>
  <c r="F1176" i="1"/>
  <c r="F1177" i="1"/>
  <c r="F954" i="1"/>
  <c r="F963" i="1"/>
  <c r="F955" i="1"/>
  <c r="F1007" i="1"/>
  <c r="F1088" i="1"/>
  <c r="F1178" i="1"/>
  <c r="F399" i="1"/>
  <c r="F206" i="1"/>
  <c r="F279" i="1"/>
  <c r="F234" i="1"/>
  <c r="F68" i="1"/>
  <c r="F495" i="1"/>
  <c r="F352" i="1"/>
  <c r="F355" i="1"/>
  <c r="F280" i="1"/>
  <c r="F915" i="1"/>
  <c r="F774" i="1"/>
  <c r="F93" i="1"/>
  <c r="F118" i="1"/>
  <c r="F40" i="1"/>
  <c r="F255" i="1"/>
  <c r="F595" i="1"/>
  <c r="F207" i="1"/>
  <c r="F135" i="1"/>
  <c r="F49" i="1"/>
  <c r="F41" i="1"/>
  <c r="F208" i="1"/>
  <c r="F97" i="1"/>
  <c r="F229" i="1"/>
  <c r="F596" i="1"/>
  <c r="F633" i="1"/>
  <c r="F775" i="1"/>
  <c r="F916" i="1"/>
  <c r="F496" i="1"/>
  <c r="F448" i="1"/>
  <c r="F313" i="1"/>
  <c r="F478" i="1"/>
  <c r="F414" i="1"/>
  <c r="F409" i="1"/>
  <c r="F181" i="1"/>
  <c r="F604" i="1"/>
  <c r="F776" i="1"/>
  <c r="F281" i="1"/>
  <c r="F22" i="1"/>
  <c r="F1181" i="1"/>
  <c r="F449" i="1"/>
  <c r="F119" i="1"/>
  <c r="F427" i="1"/>
  <c r="F256" i="1"/>
  <c r="F777" i="1"/>
  <c r="F190" i="1"/>
  <c r="F235" i="1"/>
  <c r="F295" i="1"/>
  <c r="F628" i="1"/>
  <c r="F602" i="1"/>
  <c r="F186" i="1"/>
  <c r="F1182" i="1"/>
  <c r="F94" i="1"/>
  <c r="F1183" i="1"/>
  <c r="F1089" i="1"/>
  <c r="F917" i="1"/>
  <c r="F241" i="1"/>
  <c r="F163" i="1"/>
  <c r="F374" i="1"/>
  <c r="F497" i="1"/>
  <c r="F404" i="1"/>
  <c r="F918" i="1"/>
  <c r="F282" i="1"/>
  <c r="F283" i="1"/>
  <c r="F59" i="1"/>
  <c r="F341" i="1"/>
  <c r="F498" i="1"/>
  <c r="F450" i="1"/>
  <c r="F778" i="1"/>
  <c r="F418" i="1"/>
  <c r="F375" i="1"/>
  <c r="F69" i="1"/>
  <c r="F410" i="1"/>
  <c r="F433" i="1"/>
  <c r="F37" i="1"/>
  <c r="F1184" i="1"/>
  <c r="F583" i="1"/>
  <c r="F296" i="1"/>
  <c r="F525" i="1"/>
  <c r="F779" i="1"/>
  <c r="F780" i="1"/>
  <c r="F284" i="1"/>
  <c r="F144" i="1"/>
  <c r="F919" i="1"/>
  <c r="F614" i="1"/>
  <c r="F545" i="1"/>
  <c r="F781" i="1"/>
  <c r="F126" i="1"/>
  <c r="F376" i="1"/>
  <c r="F209" i="1"/>
  <c r="F210" i="1"/>
  <c r="F920" i="1"/>
  <c r="F326" i="1"/>
  <c r="F314" i="1"/>
  <c r="F120" i="1"/>
  <c r="F655" i="1"/>
  <c r="F605" i="1"/>
  <c r="F535" i="1"/>
  <c r="F1031" i="1"/>
  <c r="F33" i="1"/>
  <c r="F1090" i="1"/>
  <c r="F211" i="1"/>
  <c r="F499" i="1"/>
  <c r="F377" i="1"/>
  <c r="F98" i="1"/>
  <c r="F20" i="1"/>
  <c r="F378" i="1"/>
  <c r="F575" i="1"/>
  <c r="F782" i="1"/>
  <c r="F434" i="1"/>
  <c r="F451" i="1"/>
  <c r="F522" i="1"/>
  <c r="F379" i="1"/>
  <c r="F562" i="1"/>
  <c r="F339" i="1"/>
  <c r="F1037" i="1"/>
  <c r="F615" i="1"/>
  <c r="F212" i="1"/>
  <c r="F639" i="1"/>
  <c r="F285" i="1"/>
  <c r="F500" i="1"/>
  <c r="F784" i="1"/>
  <c r="F286" i="1"/>
  <c r="F1185" i="1"/>
  <c r="F380" i="1"/>
  <c r="F287" i="1"/>
  <c r="F327" i="1"/>
  <c r="F121" i="1"/>
  <c r="F148" i="1"/>
  <c r="F213" i="1"/>
  <c r="F616" i="1"/>
  <c r="F413" i="1"/>
  <c r="F122" i="1"/>
  <c r="F381" i="1"/>
  <c r="F382" i="1"/>
  <c r="F435" i="1"/>
  <c r="F501" i="1"/>
  <c r="F214" i="1"/>
  <c r="F419" i="1"/>
  <c r="F405" i="1"/>
  <c r="F656" i="1"/>
  <c r="F1091" i="1"/>
  <c r="F344" i="1"/>
  <c r="F1016" i="1"/>
  <c r="F6" i="1"/>
  <c r="F432" i="1"/>
  <c r="F316" i="1"/>
  <c r="F216" i="1"/>
  <c r="F921" i="1"/>
  <c r="F155" i="1"/>
  <c r="F799" i="1"/>
  <c r="F800" i="1"/>
  <c r="F572" i="1"/>
  <c r="F217" i="1"/>
  <c r="F145" i="1"/>
  <c r="F502" i="1"/>
  <c r="F618" i="1"/>
  <c r="F84" i="1"/>
  <c r="F503" i="1"/>
  <c r="F297" i="1"/>
  <c r="F23" i="1"/>
  <c r="F455" i="1"/>
  <c r="F453" i="1"/>
  <c r="F922" i="1"/>
  <c r="F923" i="1"/>
  <c r="F218" i="1"/>
  <c r="F415" i="1"/>
  <c r="F504" i="1"/>
  <c r="F406" i="1"/>
  <c r="F100" i="1"/>
  <c r="F386" i="1"/>
  <c r="F925" i="1"/>
  <c r="F46" i="1"/>
  <c r="F927" i="1"/>
  <c r="F390" i="1"/>
  <c r="F460" i="1"/>
  <c r="F136" i="1"/>
  <c r="F30" i="1"/>
  <c r="F357" i="1"/>
  <c r="F666" i="1"/>
  <c r="F58" i="1"/>
  <c r="F63" i="1"/>
  <c r="F237" i="1"/>
  <c r="F354" i="1"/>
  <c r="F222" i="1"/>
  <c r="F681" i="1"/>
  <c r="F547" i="1"/>
  <c r="F801" i="1"/>
  <c r="F387" i="1"/>
  <c r="F462" i="1"/>
  <c r="F541" i="1"/>
  <c r="F928" i="1"/>
  <c r="F70" i="1"/>
  <c r="F929" i="1"/>
  <c r="F436" i="1"/>
  <c r="F802" i="1"/>
  <c r="F627" i="1"/>
  <c r="F315" i="1"/>
  <c r="F343" i="1"/>
  <c r="F106" i="1"/>
  <c r="F254" i="1"/>
  <c r="F476" i="1"/>
  <c r="F123" i="1"/>
  <c r="F104" i="1"/>
  <c r="F133" i="1"/>
  <c r="F124" i="1"/>
  <c r="F573" i="1"/>
  <c r="F803" i="1"/>
  <c r="F85" i="1"/>
  <c r="F930" i="1"/>
  <c r="F931" i="1"/>
  <c r="F932" i="1"/>
  <c r="F219" i="1"/>
  <c r="F635" i="1"/>
  <c r="F288" i="1"/>
  <c r="F242" i="1"/>
  <c r="F44" i="1"/>
  <c r="F804" i="1"/>
  <c r="F146" i="1"/>
  <c r="F231" i="1"/>
  <c r="F428" i="1"/>
  <c r="F624" i="1"/>
  <c r="F151" i="1"/>
  <c r="F1188" i="1"/>
  <c r="F933" i="1"/>
  <c r="F388" i="1"/>
  <c r="F505" i="1"/>
  <c r="F534" i="1"/>
  <c r="F351" i="1"/>
  <c r="F531" i="1"/>
  <c r="F548" i="1"/>
  <c r="F934" i="1"/>
  <c r="F138" i="1"/>
  <c r="F679" i="1"/>
  <c r="F574" i="1"/>
  <c r="F463" i="1"/>
  <c r="F321" i="1"/>
  <c r="F72" i="1"/>
  <c r="F81" i="1"/>
  <c r="F1189" i="1"/>
  <c r="F935" i="1"/>
  <c r="F269" i="1"/>
  <c r="F291" i="1"/>
  <c r="F391" i="1"/>
  <c r="F704" i="1"/>
  <c r="F9" i="1"/>
  <c r="F340" i="1"/>
  <c r="F517" i="1"/>
  <c r="F66" i="1"/>
  <c r="F134" i="1"/>
  <c r="F160" i="1"/>
  <c r="F520" i="1"/>
  <c r="F487" i="1"/>
  <c r="F180" i="1"/>
  <c r="F261" i="1"/>
  <c r="F349" i="1"/>
  <c r="F324" i="1"/>
  <c r="F705" i="1"/>
  <c r="F364" i="1"/>
  <c r="F425" i="1"/>
  <c r="F706" i="1"/>
  <c r="F1063" i="1"/>
  <c r="F488" i="1"/>
  <c r="F565" i="1"/>
  <c r="F707" i="1"/>
  <c r="F365" i="1"/>
  <c r="F867" i="1"/>
  <c r="F4" i="1"/>
  <c r="F337" i="1"/>
  <c r="F642" i="1"/>
  <c r="F673" i="1"/>
  <c r="F80" i="1"/>
  <c r="F724" i="1"/>
  <c r="F481" i="1"/>
  <c r="F437" i="1"/>
  <c r="F577" i="1"/>
  <c r="F110" i="1"/>
  <c r="F725" i="1"/>
  <c r="F475" i="1"/>
  <c r="F568" i="1"/>
  <c r="F79" i="1"/>
  <c r="F82" i="1"/>
  <c r="F48" i="1"/>
  <c r="F202" i="1"/>
  <c r="F60" i="1"/>
  <c r="F445" i="1"/>
  <c r="F446" i="1"/>
  <c r="F1170" i="1"/>
  <c r="F162" i="1"/>
  <c r="F320" i="1"/>
  <c r="F318" i="1"/>
  <c r="F459" i="1"/>
  <c r="F131" i="1"/>
  <c r="F232" i="1"/>
  <c r="F224" i="1"/>
  <c r="F555" i="1"/>
  <c r="F649" i="1"/>
  <c r="F1008" i="1"/>
  <c r="F1186" i="1"/>
  <c r="F1010" i="1"/>
  <c r="F1032" i="1"/>
  <c r="F945" i="1"/>
  <c r="F988" i="1"/>
  <c r="F976" i="1"/>
  <c r="F977" i="1"/>
  <c r="F13" i="1"/>
  <c r="F383" i="1"/>
  <c r="F546" i="1"/>
  <c r="F617" i="1"/>
  <c r="F452" i="1"/>
  <c r="F1092" i="1"/>
  <c r="F938" i="1"/>
  <c r="F940" i="1"/>
  <c r="F1026" i="1"/>
  <c r="F939" i="1"/>
  <c r="F936" i="1"/>
  <c r="F943" i="1"/>
  <c r="F978" i="1"/>
  <c r="F137" i="1"/>
  <c r="F215" i="1"/>
  <c r="F571" i="1"/>
  <c r="F1013" i="1"/>
  <c r="F992" i="1"/>
  <c r="F993" i="1"/>
  <c r="F989" i="1"/>
  <c r="F946" i="1"/>
  <c r="F947" i="1"/>
  <c r="F979" i="1"/>
  <c r="F994" i="1"/>
  <c r="F990" i="1"/>
  <c r="F1014" i="1"/>
  <c r="F960" i="1"/>
  <c r="F345" i="1"/>
  <c r="F384" i="1"/>
  <c r="F944" i="1"/>
  <c r="F152" i="1"/>
  <c r="F1029" i="1"/>
  <c r="F11" i="1"/>
  <c r="F588" i="1"/>
  <c r="F653" i="1"/>
  <c r="F661" i="1"/>
  <c r="F21" i="1"/>
  <c r="F385" i="1"/>
  <c r="F995" i="1"/>
  <c r="F634" i="1"/>
  <c r="F581" i="1"/>
  <c r="F566" i="1"/>
  <c r="F61" i="1"/>
  <c r="F1190" i="1"/>
  <c r="F62" i="1"/>
  <c r="F54" i="1"/>
  <c r="F55" i="1"/>
  <c r="F951" i="1"/>
  <c r="F31" i="1"/>
  <c r="F52" i="1"/>
  <c r="F401" i="1"/>
  <c r="F142" i="1"/>
  <c r="F32" i="1"/>
  <c r="F71" i="1"/>
  <c r="F91" i="1"/>
  <c r="F868" i="1"/>
  <c r="F659" i="1"/>
  <c r="F416" i="1"/>
  <c r="F516" i="1"/>
  <c r="F953" i="1"/>
  <c r="F1160" i="1"/>
  <c r="F18" i="1"/>
  <c r="F366" i="1"/>
  <c r="F1161" i="1"/>
  <c r="F330" i="1"/>
  <c r="F156" i="1"/>
  <c r="F273" i="1"/>
  <c r="F358" i="1"/>
  <c r="F367" i="1"/>
  <c r="F1162" i="1"/>
  <c r="F870" i="1"/>
  <c r="F975" i="1"/>
  <c r="F709" i="1"/>
  <c r="F90" i="1"/>
  <c r="F911" i="1"/>
  <c r="F205" i="1"/>
  <c r="F1179" i="1"/>
  <c r="F912" i="1"/>
  <c r="F1180" i="1"/>
  <c r="F913" i="1"/>
  <c r="F914" i="1"/>
  <c r="F910" i="1"/>
  <c r="F772" i="1"/>
  <c r="D1012" i="5" l="1"/>
  <c r="D1011" i="5"/>
  <c r="D1010" i="5"/>
  <c r="D1009" i="5"/>
  <c r="D1008" i="5"/>
  <c r="D1007" i="5"/>
  <c r="D1006" i="5"/>
  <c r="D1005" i="5"/>
  <c r="D1004" i="5"/>
  <c r="D1003" i="5"/>
  <c r="D1002" i="5"/>
  <c r="D1001" i="5"/>
  <c r="D1000" i="5"/>
  <c r="D999" i="5"/>
  <c r="D998" i="5"/>
  <c r="D997" i="5"/>
  <c r="D996" i="5"/>
  <c r="D995" i="5"/>
  <c r="D994" i="5"/>
  <c r="D993" i="5"/>
  <c r="D992" i="5"/>
  <c r="D991" i="5"/>
  <c r="D990" i="5"/>
  <c r="D989" i="5"/>
  <c r="D988" i="5"/>
  <c r="D987" i="5"/>
  <c r="D986" i="5"/>
  <c r="D985" i="5"/>
  <c r="D984" i="5"/>
  <c r="D983" i="5"/>
  <c r="D982" i="5"/>
  <c r="D981" i="5"/>
  <c r="D980" i="5"/>
  <c r="D979" i="5"/>
  <c r="D978" i="5"/>
  <c r="D977" i="5"/>
  <c r="D976" i="5"/>
  <c r="D975" i="5"/>
  <c r="D974" i="5"/>
  <c r="D973" i="5"/>
  <c r="D972" i="5"/>
  <c r="D971" i="5"/>
  <c r="D970" i="5"/>
  <c r="D969" i="5"/>
  <c r="D968" i="5"/>
  <c r="D967" i="5"/>
  <c r="D966" i="5"/>
  <c r="D965" i="5"/>
  <c r="D964" i="5"/>
  <c r="D963" i="5"/>
  <c r="D962" i="5"/>
  <c r="D961" i="5"/>
  <c r="D960" i="5"/>
  <c r="D959" i="5"/>
  <c r="D958" i="5"/>
  <c r="D957" i="5"/>
  <c r="D956" i="5"/>
  <c r="D955" i="5"/>
  <c r="D954" i="5"/>
  <c r="D953" i="5"/>
  <c r="D952" i="5"/>
  <c r="D951" i="5"/>
  <c r="D950" i="5"/>
  <c r="D949" i="5"/>
  <c r="D948" i="5"/>
  <c r="D947" i="5"/>
  <c r="D946" i="5"/>
  <c r="D945" i="5"/>
  <c r="D944" i="5"/>
  <c r="D943" i="5"/>
  <c r="D942" i="5"/>
  <c r="D941" i="5"/>
  <c r="D940" i="5"/>
  <c r="D939" i="5"/>
  <c r="D938" i="5"/>
  <c r="D937" i="5"/>
  <c r="D936" i="5"/>
  <c r="D935" i="5"/>
  <c r="D934" i="5"/>
  <c r="D933" i="5"/>
  <c r="D932" i="5"/>
  <c r="D931" i="5"/>
  <c r="D930" i="5"/>
  <c r="D929" i="5"/>
  <c r="D928" i="5"/>
  <c r="D927" i="5"/>
  <c r="D926" i="5"/>
  <c r="D925" i="5"/>
  <c r="D924" i="5"/>
  <c r="D923" i="5"/>
  <c r="D922" i="5"/>
  <c r="D921" i="5"/>
  <c r="D920" i="5"/>
  <c r="D919" i="5"/>
  <c r="D918" i="5"/>
  <c r="D917" i="5"/>
  <c r="D916" i="5"/>
  <c r="D915" i="5"/>
  <c r="D914" i="5"/>
  <c r="D913" i="5"/>
  <c r="D912" i="5"/>
  <c r="D911" i="5"/>
  <c r="D910" i="5"/>
  <c r="D909" i="5"/>
  <c r="D908" i="5"/>
  <c r="D907" i="5"/>
  <c r="D906" i="5"/>
  <c r="D905" i="5"/>
  <c r="D904" i="5"/>
  <c r="D903" i="5"/>
  <c r="D902" i="5"/>
  <c r="D901" i="5"/>
  <c r="D900" i="5"/>
  <c r="D899" i="5"/>
  <c r="D898" i="5"/>
  <c r="D897" i="5"/>
  <c r="D896" i="5"/>
  <c r="D895" i="5"/>
  <c r="D894" i="5"/>
  <c r="D893" i="5"/>
  <c r="D892" i="5"/>
  <c r="D891" i="5"/>
  <c r="D890" i="5"/>
  <c r="D889" i="5"/>
  <c r="D888" i="5"/>
  <c r="D887" i="5"/>
  <c r="D886" i="5"/>
  <c r="D885" i="5"/>
  <c r="D884" i="5"/>
  <c r="D883" i="5"/>
  <c r="D882" i="5"/>
  <c r="D881" i="5"/>
  <c r="D880" i="5"/>
  <c r="D879" i="5"/>
  <c r="D878" i="5"/>
  <c r="D877" i="5"/>
  <c r="D876" i="5"/>
  <c r="D875" i="5"/>
  <c r="D874" i="5"/>
  <c r="D873" i="5"/>
  <c r="D872" i="5"/>
  <c r="D871" i="5"/>
  <c r="D870" i="5"/>
  <c r="D869" i="5"/>
  <c r="D868" i="5"/>
  <c r="D867" i="5"/>
  <c r="D866" i="5"/>
  <c r="D865" i="5"/>
  <c r="D864" i="5"/>
  <c r="D863" i="5"/>
  <c r="D862" i="5"/>
  <c r="D861" i="5"/>
  <c r="D860" i="5"/>
  <c r="D859" i="5"/>
  <c r="D858" i="5"/>
  <c r="D857" i="5"/>
  <c r="D856" i="5"/>
  <c r="D855" i="5"/>
  <c r="D854" i="5"/>
  <c r="D853" i="5"/>
  <c r="D852" i="5"/>
  <c r="D851" i="5"/>
  <c r="D850" i="5"/>
  <c r="D849" i="5"/>
  <c r="D848" i="5"/>
  <c r="D847" i="5"/>
  <c r="D846" i="5"/>
  <c r="D845" i="5"/>
  <c r="D844" i="5"/>
  <c r="D843" i="5"/>
  <c r="D842" i="5"/>
  <c r="D841" i="5"/>
  <c r="D840" i="5"/>
  <c r="D839" i="5"/>
  <c r="D838" i="5"/>
  <c r="D837" i="5"/>
  <c r="D836" i="5"/>
  <c r="D835" i="5"/>
  <c r="D834" i="5"/>
  <c r="D833" i="5"/>
  <c r="D832" i="5"/>
  <c r="D831" i="5"/>
  <c r="D830" i="5"/>
  <c r="D829" i="5"/>
  <c r="D828" i="5"/>
  <c r="D827" i="5"/>
  <c r="D826" i="5"/>
  <c r="D825" i="5"/>
  <c r="D824" i="5"/>
  <c r="D823" i="5"/>
  <c r="D822" i="5"/>
  <c r="D821" i="5"/>
  <c r="D820" i="5"/>
  <c r="D819" i="5"/>
  <c r="D818" i="5"/>
  <c r="D817" i="5"/>
  <c r="D816" i="5"/>
  <c r="D815" i="5"/>
  <c r="D814" i="5"/>
  <c r="D813" i="5"/>
  <c r="D812" i="5"/>
  <c r="D811" i="5"/>
  <c r="D810" i="5"/>
  <c r="D809" i="5"/>
  <c r="D808" i="5"/>
  <c r="D807" i="5"/>
  <c r="D806" i="5"/>
  <c r="D805" i="5"/>
  <c r="D804" i="5"/>
  <c r="D803" i="5"/>
  <c r="D802" i="5"/>
  <c r="D801" i="5"/>
  <c r="D800" i="5"/>
  <c r="D799" i="5"/>
  <c r="D798" i="5"/>
  <c r="D797" i="5"/>
  <c r="D796" i="5"/>
  <c r="D795" i="5"/>
  <c r="D794" i="5"/>
  <c r="D793" i="5"/>
  <c r="D792" i="5"/>
  <c r="D791" i="5"/>
  <c r="D790" i="5"/>
  <c r="D789" i="5"/>
  <c r="D788" i="5"/>
  <c r="D787" i="5"/>
  <c r="D786" i="5"/>
  <c r="D785" i="5"/>
  <c r="D784" i="5"/>
  <c r="D783" i="5"/>
  <c r="D782" i="5"/>
  <c r="D781" i="5"/>
  <c r="D780" i="5"/>
  <c r="D779" i="5"/>
  <c r="D778" i="5"/>
  <c r="D777" i="5"/>
  <c r="D776" i="5"/>
  <c r="D775" i="5"/>
  <c r="D774" i="5"/>
  <c r="D773" i="5"/>
  <c r="D772" i="5"/>
  <c r="D771" i="5"/>
  <c r="D770" i="5"/>
  <c r="D769" i="5"/>
  <c r="D768" i="5"/>
  <c r="D767" i="5"/>
  <c r="D766" i="5"/>
  <c r="D765" i="5"/>
  <c r="D764" i="5"/>
  <c r="D763" i="5"/>
  <c r="D762" i="5"/>
  <c r="D761" i="5"/>
  <c r="D760" i="5"/>
  <c r="D759" i="5"/>
  <c r="D758" i="5"/>
  <c r="D757" i="5"/>
  <c r="D756" i="5"/>
  <c r="D755" i="5"/>
  <c r="D754" i="5"/>
  <c r="D753" i="5"/>
  <c r="D752" i="5"/>
  <c r="D751" i="5"/>
  <c r="D750" i="5"/>
  <c r="D749" i="5"/>
  <c r="D748" i="5"/>
  <c r="D747" i="5"/>
  <c r="D746" i="5"/>
  <c r="D745" i="5"/>
  <c r="D744" i="5"/>
  <c r="D743" i="5"/>
  <c r="D742" i="5"/>
  <c r="D741" i="5"/>
  <c r="D740" i="5"/>
  <c r="D739" i="5"/>
  <c r="D738" i="5"/>
  <c r="D737" i="5"/>
  <c r="D736" i="5"/>
  <c r="D735" i="5"/>
  <c r="D734" i="5"/>
  <c r="D733" i="5"/>
  <c r="D732" i="5"/>
  <c r="D731" i="5"/>
  <c r="D730" i="5"/>
  <c r="D729" i="5"/>
  <c r="D728" i="5"/>
  <c r="D727" i="5"/>
  <c r="D726" i="5"/>
  <c r="D725" i="5"/>
  <c r="D724" i="5"/>
  <c r="D723" i="5"/>
  <c r="D722" i="5"/>
  <c r="D721" i="5"/>
  <c r="D720" i="5"/>
  <c r="D719" i="5"/>
  <c r="D718" i="5"/>
  <c r="D717" i="5"/>
  <c r="D716" i="5"/>
  <c r="D715" i="5"/>
  <c r="D714" i="5"/>
  <c r="D713" i="5"/>
  <c r="D712" i="5"/>
  <c r="D711" i="5"/>
  <c r="D710" i="5"/>
  <c r="D709" i="5"/>
  <c r="D708" i="5"/>
  <c r="D707" i="5"/>
  <c r="D706" i="5"/>
  <c r="D705" i="5"/>
  <c r="D704" i="5"/>
  <c r="D703" i="5"/>
  <c r="D702" i="5"/>
  <c r="D701" i="5"/>
  <c r="D700" i="5"/>
  <c r="D699" i="5"/>
  <c r="D698" i="5"/>
  <c r="D697" i="5"/>
  <c r="D696" i="5"/>
  <c r="D695" i="5"/>
  <c r="D694" i="5"/>
  <c r="D693" i="5"/>
  <c r="D692" i="5"/>
  <c r="D691" i="5"/>
  <c r="D690" i="5"/>
  <c r="D689" i="5"/>
  <c r="D688" i="5"/>
  <c r="D687" i="5"/>
  <c r="D686" i="5"/>
  <c r="D685" i="5"/>
  <c r="D684" i="5"/>
  <c r="D683" i="5"/>
  <c r="D682" i="5"/>
  <c r="D681" i="5"/>
  <c r="D680" i="5"/>
  <c r="D679" i="5"/>
  <c r="D678" i="5"/>
  <c r="D677" i="5"/>
  <c r="D676" i="5"/>
  <c r="D675" i="5"/>
  <c r="D674" i="5"/>
  <c r="D673" i="5"/>
  <c r="D672" i="5"/>
  <c r="D671" i="5"/>
  <c r="D670" i="5"/>
  <c r="D669" i="5"/>
  <c r="D668" i="5"/>
  <c r="D667" i="5"/>
  <c r="D666" i="5"/>
  <c r="D665" i="5"/>
  <c r="D664" i="5"/>
  <c r="D663" i="5"/>
  <c r="D662" i="5"/>
  <c r="D661" i="5"/>
  <c r="D660" i="5"/>
  <c r="D659" i="5"/>
  <c r="D658" i="5"/>
  <c r="D657" i="5"/>
  <c r="D656" i="5"/>
  <c r="D655" i="5"/>
  <c r="D654" i="5"/>
  <c r="D653" i="5"/>
  <c r="D652" i="5"/>
  <c r="D651" i="5"/>
  <c r="D650" i="5"/>
  <c r="D649" i="5"/>
  <c r="D648" i="5"/>
  <c r="D647" i="5"/>
  <c r="D646" i="5"/>
  <c r="D645" i="5"/>
  <c r="D644" i="5"/>
  <c r="D643" i="5"/>
  <c r="D642" i="5"/>
  <c r="D641" i="5"/>
  <c r="D640" i="5"/>
  <c r="D639" i="5"/>
  <c r="D638" i="5"/>
  <c r="D637" i="5"/>
  <c r="D636" i="5"/>
  <c r="D635" i="5"/>
  <c r="D634" i="5"/>
  <c r="D633" i="5"/>
  <c r="D632" i="5"/>
  <c r="D631" i="5"/>
  <c r="D630" i="5"/>
  <c r="D629" i="5"/>
  <c r="D628" i="5"/>
  <c r="D627" i="5"/>
  <c r="D626" i="5"/>
  <c r="D625" i="5"/>
  <c r="D624" i="5"/>
  <c r="D623" i="5"/>
  <c r="D622" i="5"/>
  <c r="D621" i="5"/>
  <c r="D620" i="5"/>
  <c r="D619" i="5"/>
  <c r="D618" i="5"/>
  <c r="D617" i="5"/>
  <c r="D616" i="5"/>
  <c r="D615" i="5"/>
  <c r="D614" i="5"/>
  <c r="D613" i="5"/>
  <c r="D612" i="5"/>
  <c r="D611" i="5"/>
  <c r="D610" i="5"/>
  <c r="D609" i="5"/>
  <c r="D608" i="5"/>
  <c r="D607" i="5"/>
  <c r="D606" i="5"/>
  <c r="D605" i="5"/>
  <c r="D604" i="5"/>
  <c r="D603" i="5"/>
  <c r="D602" i="5"/>
  <c r="D601" i="5"/>
  <c r="D600" i="5"/>
  <c r="D599" i="5"/>
  <c r="D598" i="5"/>
  <c r="D597" i="5"/>
  <c r="D596" i="5"/>
  <c r="D595" i="5"/>
  <c r="D594" i="5"/>
  <c r="D593" i="5"/>
  <c r="D592" i="5"/>
  <c r="D591" i="5"/>
  <c r="D590" i="5"/>
  <c r="D589" i="5"/>
  <c r="D588" i="5"/>
  <c r="D587" i="5"/>
  <c r="D586" i="5"/>
  <c r="D585" i="5"/>
  <c r="D584" i="5"/>
  <c r="D583" i="5"/>
  <c r="D582" i="5"/>
  <c r="D581" i="5"/>
  <c r="D580" i="5"/>
  <c r="D579" i="5"/>
  <c r="D578" i="5"/>
  <c r="D577" i="5"/>
  <c r="D576" i="5"/>
  <c r="D575" i="5"/>
  <c r="D574" i="5"/>
  <c r="D573" i="5"/>
  <c r="D572" i="5"/>
  <c r="D571" i="5"/>
  <c r="D570" i="5"/>
  <c r="D569" i="5"/>
  <c r="D568" i="5"/>
  <c r="D567" i="5"/>
  <c r="D566" i="5"/>
  <c r="D565" i="5"/>
  <c r="D564" i="5"/>
  <c r="D563" i="5"/>
  <c r="D562" i="5"/>
  <c r="D561" i="5"/>
  <c r="D560" i="5"/>
  <c r="D559" i="5"/>
  <c r="D558" i="5"/>
  <c r="D557" i="5"/>
  <c r="D556" i="5"/>
  <c r="D555" i="5"/>
  <c r="D554" i="5"/>
  <c r="D553" i="5"/>
  <c r="D552" i="5"/>
  <c r="D551" i="5"/>
  <c r="D550" i="5"/>
  <c r="D549" i="5"/>
  <c r="D548" i="5"/>
  <c r="D547" i="5"/>
  <c r="D546" i="5"/>
  <c r="D545" i="5"/>
  <c r="D544" i="5"/>
  <c r="D543" i="5"/>
  <c r="D542" i="5"/>
  <c r="D541" i="5"/>
  <c r="D540" i="5"/>
  <c r="D539" i="5"/>
  <c r="D538" i="5"/>
  <c r="D537" i="5"/>
  <c r="D536" i="5"/>
  <c r="D535" i="5"/>
  <c r="D534" i="5"/>
  <c r="D533" i="5"/>
  <c r="D532" i="5"/>
  <c r="D531" i="5"/>
  <c r="D530" i="5"/>
  <c r="D529" i="5"/>
  <c r="D528" i="5"/>
  <c r="D527" i="5"/>
  <c r="D526" i="5"/>
  <c r="D525" i="5"/>
  <c r="D524" i="5"/>
  <c r="D523" i="5"/>
  <c r="D522" i="5"/>
  <c r="D521" i="5"/>
  <c r="D520" i="5"/>
  <c r="D519" i="5"/>
  <c r="D518" i="5"/>
  <c r="D517" i="5"/>
  <c r="D516" i="5"/>
  <c r="D515" i="5"/>
  <c r="D514" i="5"/>
  <c r="D513" i="5"/>
  <c r="D512" i="5"/>
  <c r="D511" i="5"/>
  <c r="D510" i="5"/>
  <c r="D509" i="5"/>
  <c r="D508" i="5"/>
  <c r="D507" i="5"/>
  <c r="D506" i="5"/>
  <c r="D505" i="5"/>
  <c r="D504" i="5"/>
  <c r="D503" i="5"/>
  <c r="D502" i="5"/>
  <c r="D501" i="5"/>
  <c r="D500" i="5"/>
  <c r="D499" i="5"/>
  <c r="D498" i="5"/>
  <c r="D497" i="5"/>
  <c r="D496" i="5"/>
  <c r="D495" i="5"/>
  <c r="D494" i="5"/>
  <c r="D493" i="5"/>
  <c r="D492" i="5"/>
  <c r="D491" i="5"/>
  <c r="D490" i="5"/>
  <c r="D489" i="5"/>
  <c r="D488" i="5"/>
  <c r="D487" i="5"/>
  <c r="D486" i="5"/>
  <c r="D485" i="5"/>
  <c r="D484" i="5"/>
  <c r="D483" i="5"/>
  <c r="D482" i="5"/>
  <c r="D481" i="5"/>
  <c r="D480" i="5"/>
  <c r="D479" i="5"/>
  <c r="D478" i="5"/>
  <c r="D477" i="5"/>
  <c r="D476" i="5"/>
  <c r="D475" i="5"/>
  <c r="D474" i="5"/>
  <c r="D473" i="5"/>
  <c r="D472" i="5"/>
  <c r="D471" i="5"/>
  <c r="D470" i="5"/>
  <c r="D469" i="5"/>
  <c r="D468" i="5"/>
  <c r="D467" i="5"/>
  <c r="D466" i="5"/>
  <c r="D465" i="5"/>
  <c r="D464" i="5"/>
  <c r="D463" i="5"/>
  <c r="D462" i="5"/>
  <c r="D461" i="5"/>
  <c r="D460" i="5"/>
  <c r="D459" i="5"/>
  <c r="D458" i="5"/>
  <c r="D457" i="5"/>
  <c r="D456" i="5"/>
  <c r="D455" i="5"/>
  <c r="D454" i="5"/>
  <c r="D453" i="5"/>
  <c r="D452" i="5"/>
  <c r="D451" i="5"/>
  <c r="D450" i="5"/>
  <c r="D449" i="5"/>
  <c r="D448" i="5"/>
  <c r="D447" i="5"/>
  <c r="D446" i="5"/>
  <c r="D445" i="5"/>
  <c r="D444" i="5"/>
  <c r="D443" i="5"/>
  <c r="D442" i="5"/>
  <c r="D441" i="5"/>
  <c r="D440" i="5"/>
  <c r="D439" i="5"/>
  <c r="D438" i="5"/>
  <c r="D437" i="5"/>
  <c r="D436" i="5"/>
  <c r="D435" i="5"/>
  <c r="D434" i="5"/>
  <c r="D433" i="5"/>
  <c r="D432" i="5"/>
  <c r="D431" i="5"/>
  <c r="D430" i="5"/>
  <c r="D429" i="5"/>
  <c r="D428" i="5"/>
  <c r="D427" i="5"/>
  <c r="D426" i="5"/>
  <c r="D425" i="5"/>
  <c r="D424" i="5"/>
  <c r="D423" i="5"/>
  <c r="D422" i="5"/>
  <c r="D421" i="5"/>
  <c r="D420" i="5"/>
  <c r="D419" i="5"/>
  <c r="D418" i="5"/>
  <c r="D417" i="5"/>
  <c r="D416" i="5"/>
  <c r="D415" i="5"/>
  <c r="D414" i="5"/>
  <c r="D413" i="5"/>
  <c r="D412" i="5"/>
  <c r="D411" i="5"/>
  <c r="D410" i="5"/>
  <c r="D409" i="5"/>
  <c r="D408" i="5"/>
  <c r="D407" i="5"/>
  <c r="D406" i="5"/>
  <c r="D405" i="5"/>
  <c r="D404" i="5"/>
  <c r="D403" i="5"/>
  <c r="D402" i="5"/>
  <c r="D401" i="5"/>
  <c r="D400" i="5"/>
  <c r="D399" i="5"/>
  <c r="D398" i="5"/>
  <c r="D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G910" i="1"/>
  <c r="G772" i="1"/>
  <c r="G912" i="1"/>
  <c r="G914" i="1"/>
  <c r="G913" i="1"/>
  <c r="G1180" i="1"/>
  <c r="G911" i="1"/>
  <c r="G1179" i="1"/>
  <c r="G205" i="1"/>
  <c r="G90" i="1"/>
  <c r="G709" i="1"/>
  <c r="G975" i="1"/>
  <c r="G870" i="1"/>
  <c r="G1162" i="1"/>
  <c r="G156" i="1"/>
  <c r="G330" i="1"/>
  <c r="G273" i="1"/>
  <c r="G358" i="1"/>
  <c r="G367" i="1"/>
  <c r="G1161" i="1"/>
  <c r="G18" i="1"/>
  <c r="G366" i="1"/>
  <c r="G1160" i="1"/>
  <c r="G953" i="1"/>
  <c r="G416" i="1"/>
  <c r="G516" i="1"/>
  <c r="G401" i="1"/>
  <c r="G142" i="1"/>
  <c r="G32" i="1"/>
  <c r="G71" i="1"/>
  <c r="G91" i="1"/>
  <c r="G951" i="1"/>
  <c r="G54" i="1"/>
  <c r="G62" i="1"/>
  <c r="G659" i="1"/>
  <c r="G868" i="1"/>
  <c r="G52" i="1"/>
  <c r="G31" i="1"/>
  <c r="G55" i="1"/>
  <c r="G1190" i="1"/>
  <c r="G61" i="1"/>
  <c r="G566" i="1"/>
  <c r="G581" i="1"/>
  <c r="G634" i="1"/>
  <c r="G995" i="1"/>
  <c r="G385" i="1"/>
  <c r="G21" i="1"/>
  <c r="G944" i="1"/>
  <c r="G1029" i="1"/>
  <c r="G11" i="1"/>
  <c r="G661" i="1"/>
  <c r="G653" i="1"/>
  <c r="G588" i="1"/>
  <c r="G152" i="1"/>
  <c r="G384" i="1"/>
  <c r="G960" i="1"/>
  <c r="G1014" i="1"/>
  <c r="G990" i="1"/>
  <c r="G345" i="1"/>
  <c r="G571" i="1"/>
  <c r="G992" i="1"/>
  <c r="G1013" i="1"/>
  <c r="G946" i="1"/>
  <c r="G993" i="1"/>
  <c r="G989" i="1"/>
  <c r="G994" i="1"/>
  <c r="G947" i="1"/>
  <c r="G979" i="1"/>
  <c r="G215" i="1"/>
  <c r="G978" i="1"/>
  <c r="G137" i="1"/>
  <c r="G1026" i="1"/>
  <c r="G943" i="1"/>
  <c r="G939" i="1"/>
  <c r="G940" i="1"/>
  <c r="G938" i="1"/>
  <c r="G936" i="1"/>
  <c r="G383" i="1"/>
  <c r="G1092" i="1"/>
  <c r="G617" i="1"/>
  <c r="G977" i="1"/>
  <c r="G452" i="1"/>
  <c r="G546" i="1"/>
  <c r="G13" i="1"/>
  <c r="G988" i="1"/>
  <c r="G976" i="1"/>
  <c r="G945" i="1"/>
  <c r="G1008" i="1"/>
  <c r="G1186" i="1"/>
  <c r="G1032" i="1"/>
  <c r="G1010" i="1"/>
  <c r="G649" i="1"/>
  <c r="G224" i="1"/>
  <c r="G555" i="1"/>
  <c r="G232" i="1"/>
  <c r="G131" i="1"/>
  <c r="G320" i="1"/>
  <c r="G459" i="1"/>
  <c r="G318" i="1"/>
  <c r="G1170" i="1"/>
  <c r="G446" i="1"/>
  <c r="G162" i="1"/>
  <c r="G48" i="1"/>
  <c r="G82" i="1"/>
  <c r="G79" i="1"/>
  <c r="G110" i="1"/>
  <c r="G60" i="1"/>
  <c r="G475" i="1"/>
  <c r="G568" i="1"/>
  <c r="G725" i="1"/>
  <c r="G202" i="1"/>
  <c r="G445" i="1"/>
  <c r="G577" i="1"/>
  <c r="G80" i="1"/>
  <c r="G724" i="1"/>
  <c r="G437" i="1"/>
  <c r="G481" i="1"/>
  <c r="G673" i="1"/>
  <c r="G642" i="1"/>
  <c r="G337" i="1"/>
  <c r="G4" i="1"/>
  <c r="G867" i="1"/>
  <c r="G365" i="1"/>
  <c r="G707" i="1"/>
  <c r="G488" i="1"/>
  <c r="G1063" i="1"/>
  <c r="G565" i="1"/>
  <c r="G425" i="1"/>
  <c r="G706" i="1"/>
  <c r="G134" i="1"/>
  <c r="G349" i="1"/>
  <c r="G261" i="1"/>
  <c r="G180" i="1"/>
  <c r="G487" i="1"/>
  <c r="G520" i="1"/>
  <c r="G160" i="1"/>
  <c r="G66" i="1"/>
  <c r="G364" i="1"/>
  <c r="G705" i="1"/>
  <c r="G324" i="1"/>
  <c r="G517" i="1"/>
  <c r="G340" i="1"/>
  <c r="G9" i="1"/>
  <c r="G704" i="1"/>
  <c r="G391" i="1"/>
  <c r="G291" i="1"/>
  <c r="G269" i="1"/>
  <c r="G935" i="1"/>
  <c r="G1189" i="1"/>
  <c r="G81" i="1"/>
  <c r="G934" i="1"/>
  <c r="G463" i="1"/>
  <c r="G574" i="1"/>
  <c r="G72" i="1"/>
  <c r="G321" i="1"/>
  <c r="G679" i="1"/>
  <c r="G138" i="1"/>
  <c r="G548" i="1"/>
  <c r="G531" i="1"/>
  <c r="G351" i="1"/>
  <c r="G534" i="1"/>
  <c r="G933" i="1"/>
  <c r="G505" i="1"/>
  <c r="G1188" i="1"/>
  <c r="G388" i="1"/>
  <c r="G231" i="1"/>
  <c r="G151" i="1"/>
  <c r="G624" i="1"/>
  <c r="G804" i="1"/>
  <c r="G44" i="1"/>
  <c r="G146" i="1"/>
  <c r="G242" i="1"/>
  <c r="G428" i="1"/>
  <c r="G124" i="1"/>
  <c r="G932" i="1"/>
  <c r="G930" i="1"/>
  <c r="G931" i="1"/>
  <c r="G803" i="1"/>
  <c r="G219" i="1"/>
  <c r="G85" i="1"/>
  <c r="G573" i="1"/>
  <c r="G635" i="1"/>
  <c r="G288" i="1"/>
  <c r="G123" i="1"/>
  <c r="G476" i="1"/>
  <c r="G104" i="1"/>
  <c r="G133" i="1"/>
  <c r="G106" i="1"/>
  <c r="G254" i="1"/>
  <c r="G315" i="1"/>
  <c r="G627" i="1"/>
  <c r="G802" i="1"/>
  <c r="G436" i="1"/>
  <c r="G343" i="1"/>
  <c r="G929" i="1"/>
  <c r="G928" i="1"/>
  <c r="G70" i="1"/>
  <c r="G541" i="1"/>
  <c r="G462" i="1"/>
  <c r="G387" i="1"/>
  <c r="G801" i="1"/>
  <c r="G547" i="1"/>
  <c r="G63" i="1"/>
  <c r="G237" i="1"/>
  <c r="G354" i="1"/>
  <c r="G222" i="1"/>
  <c r="G681" i="1"/>
  <c r="G58" i="1"/>
  <c r="G666" i="1"/>
  <c r="G927" i="1"/>
  <c r="G357" i="1"/>
  <c r="G30" i="1"/>
  <c r="G136" i="1"/>
  <c r="G460" i="1"/>
  <c r="G390" i="1"/>
  <c r="G925" i="1"/>
  <c r="G46" i="1"/>
  <c r="G923" i="1"/>
  <c r="G386" i="1"/>
  <c r="G406" i="1"/>
  <c r="G504" i="1"/>
  <c r="G415" i="1"/>
  <c r="G218" i="1"/>
  <c r="G100" i="1"/>
  <c r="G922" i="1"/>
  <c r="G453" i="1"/>
  <c r="G297" i="1"/>
  <c r="G23" i="1"/>
  <c r="G455" i="1"/>
  <c r="G145" i="1"/>
  <c r="G217" i="1"/>
  <c r="G572" i="1"/>
  <c r="G800" i="1"/>
  <c r="G799" i="1"/>
  <c r="G503" i="1"/>
  <c r="G502" i="1"/>
  <c r="G155" i="1"/>
  <c r="G84" i="1"/>
  <c r="G618" i="1"/>
  <c r="G921" i="1"/>
  <c r="G6" i="1"/>
  <c r="G432" i="1"/>
  <c r="G216" i="1"/>
  <c r="G316" i="1"/>
  <c r="G1178" i="1"/>
  <c r="G399" i="1"/>
  <c r="G1088" i="1"/>
  <c r="G1007" i="1"/>
  <c r="G955" i="1"/>
  <c r="G963" i="1"/>
  <c r="G954" i="1"/>
  <c r="G1177" i="1"/>
  <c r="G1176" i="1"/>
  <c r="G1001" i="1"/>
  <c r="G1175" i="1"/>
  <c r="G1036" i="1"/>
  <c r="G959" i="1"/>
  <c r="G1087" i="1"/>
  <c r="G982" i="1"/>
  <c r="G1028" i="1"/>
  <c r="G1015" i="1"/>
  <c r="G972" i="1"/>
  <c r="G1019" i="1"/>
  <c r="G998" i="1"/>
  <c r="G981" i="1"/>
  <c r="G969" i="1"/>
  <c r="G987" i="1"/>
  <c r="G973" i="1"/>
  <c r="G372" i="1"/>
  <c r="G335" i="1"/>
  <c r="G909" i="1"/>
  <c r="G1174" i="1"/>
  <c r="G15" i="1"/>
  <c r="G1086" i="1"/>
  <c r="G149" i="1"/>
  <c r="G675" i="1"/>
  <c r="G908" i="1"/>
  <c r="G768" i="1"/>
  <c r="G563" i="1"/>
  <c r="G83" i="1"/>
  <c r="G767" i="1"/>
  <c r="G470" i="1"/>
  <c r="G403" i="1"/>
  <c r="G243" i="1"/>
  <c r="G117" i="1"/>
  <c r="G299" i="1"/>
  <c r="G56" i="1"/>
  <c r="G157" i="1"/>
  <c r="G233" i="1"/>
  <c r="G447" i="1"/>
  <c r="G764" i="1"/>
  <c r="G24" i="1"/>
  <c r="G904" i="1"/>
  <c r="G903" i="1"/>
  <c r="G765" i="1"/>
  <c r="G494" i="1"/>
  <c r="G766" i="1"/>
  <c r="G907" i="1"/>
  <c r="G89" i="1"/>
  <c r="G116" i="1"/>
  <c r="G906" i="1"/>
  <c r="G905" i="1"/>
  <c r="G763" i="1"/>
  <c r="G25" i="1"/>
  <c r="G1173" i="1"/>
  <c r="G898" i="1"/>
  <c r="G902" i="1"/>
  <c r="G901" i="1"/>
  <c r="G900" i="1"/>
  <c r="G115" i="1"/>
  <c r="G114" i="1"/>
  <c r="G899" i="1"/>
  <c r="G896" i="1"/>
  <c r="G113" i="1"/>
  <c r="G895" i="1"/>
  <c r="G897" i="1"/>
  <c r="G667" i="1"/>
  <c r="G1085" i="1"/>
  <c r="G570" i="1"/>
  <c r="G554" i="1"/>
  <c r="G278" i="1"/>
  <c r="G626" i="1"/>
  <c r="G88" i="1"/>
  <c r="G26" i="1"/>
  <c r="G569" i="1"/>
  <c r="G893" i="1"/>
  <c r="G553" i="1"/>
  <c r="G16" i="1"/>
  <c r="G657" i="1"/>
  <c r="G10" i="1"/>
  <c r="G894" i="1"/>
  <c r="G73" i="1"/>
  <c r="G609" i="1"/>
  <c r="G493" i="1"/>
  <c r="G613" i="1"/>
  <c r="G371" i="1"/>
  <c r="G762" i="1"/>
  <c r="G892" i="1"/>
  <c r="G112" i="1"/>
  <c r="G277" i="1"/>
  <c r="G761" i="1"/>
  <c r="G760" i="1"/>
  <c r="G759" i="1"/>
  <c r="G422" i="1"/>
  <c r="G889" i="1"/>
  <c r="G758" i="1"/>
  <c r="G890" i="1"/>
  <c r="G891" i="1"/>
  <c r="G411" i="1"/>
  <c r="G754" i="1"/>
  <c r="G400" i="1"/>
  <c r="G753" i="1"/>
  <c r="G544" i="1"/>
  <c r="G175" i="1"/>
  <c r="G757" i="1"/>
  <c r="G204" i="1"/>
  <c r="G752" i="1"/>
  <c r="G888" i="1"/>
  <c r="G756" i="1"/>
  <c r="G755" i="1"/>
  <c r="G491" i="1"/>
  <c r="G203" i="1"/>
  <c r="G143" i="1"/>
  <c r="G492" i="1"/>
  <c r="G77" i="1"/>
  <c r="G370" i="1"/>
  <c r="G78" i="1"/>
  <c r="G87" i="1"/>
  <c r="G99" i="1"/>
  <c r="G887" i="1"/>
  <c r="G276" i="1"/>
  <c r="G132" i="1"/>
  <c r="G650" i="1"/>
  <c r="G582" i="1"/>
  <c r="G236" i="1"/>
  <c r="G971" i="1"/>
  <c r="G958" i="1"/>
  <c r="G964" i="1"/>
  <c r="G961" i="1"/>
  <c r="G111" i="1"/>
  <c r="G882" i="1"/>
  <c r="G948" i="1"/>
  <c r="G1030" i="1"/>
  <c r="G980" i="1"/>
  <c r="G883" i="1"/>
  <c r="G949" i="1"/>
  <c r="G881" i="1"/>
  <c r="G1074" i="1"/>
  <c r="G1025" i="1"/>
  <c r="G74" i="1"/>
  <c r="G879" i="1"/>
  <c r="G970" i="1"/>
  <c r="G957" i="1"/>
  <c r="G1073" i="1"/>
  <c r="G880" i="1"/>
  <c r="G1075" i="1"/>
  <c r="G1081" i="1"/>
  <c r="G1078" i="1"/>
  <c r="G1076" i="1"/>
  <c r="G1077" i="1"/>
  <c r="G997" i="1"/>
  <c r="G1080" i="1"/>
  <c r="G1022" i="1"/>
  <c r="G956" i="1"/>
  <c r="G1000" i="1"/>
  <c r="G1084" i="1"/>
  <c r="G1082" i="1"/>
  <c r="G1083" i="1"/>
  <c r="G1024" i="1"/>
  <c r="G1035" i="1"/>
  <c r="G1079" i="1"/>
  <c r="G1006" i="1"/>
  <c r="G1027" i="1"/>
  <c r="G14" i="1"/>
  <c r="G312" i="1"/>
  <c r="G877" i="1"/>
  <c r="G468" i="1"/>
  <c r="G331" i="1"/>
  <c r="G1072" i="1"/>
  <c r="G311" i="1"/>
  <c r="G350" i="1"/>
  <c r="G876" i="1"/>
  <c r="G92" i="1"/>
  <c r="G185" i="1"/>
  <c r="G252" i="1"/>
  <c r="G301" i="1"/>
  <c r="G1171" i="1"/>
  <c r="G1172" i="1"/>
  <c r="G592" i="1"/>
  <c r="G865" i="1"/>
  <c r="G864" i="1"/>
  <c r="G1062" i="1"/>
  <c r="G1061" i="1"/>
  <c r="G1159" i="1"/>
  <c r="G1158" i="1"/>
  <c r="G1060" i="1"/>
  <c r="G866" i="1"/>
  <c r="G329" i="1"/>
  <c r="G974" i="1"/>
  <c r="G726" i="1"/>
  <c r="G1149" i="1"/>
  <c r="G1148" i="1"/>
  <c r="G1058" i="1"/>
  <c r="G863" i="1"/>
  <c r="G1059" i="1"/>
  <c r="G1150" i="1"/>
  <c r="G862" i="1"/>
  <c r="G1147" i="1"/>
  <c r="G440" i="1"/>
  <c r="G1057" i="1"/>
  <c r="G1143" i="1"/>
  <c r="G1138" i="1"/>
  <c r="G1124" i="1"/>
  <c r="G1123" i="1"/>
  <c r="G1122" i="1"/>
  <c r="G1121" i="1"/>
  <c r="G1056" i="1"/>
  <c r="G1145" i="1"/>
  <c r="G1146" i="1"/>
  <c r="G829" i="1"/>
  <c r="G985" i="1"/>
  <c r="G456" i="1"/>
  <c r="G1141" i="1"/>
  <c r="G1055" i="1"/>
  <c r="G1054" i="1"/>
  <c r="G1053" i="1"/>
  <c r="G1052" i="1"/>
  <c r="G408" i="1"/>
  <c r="G153" i="1"/>
  <c r="G1144" i="1"/>
  <c r="G1139" i="1"/>
  <c r="G966" i="1"/>
  <c r="G1140" i="1"/>
  <c r="G723" i="1"/>
  <c r="G991" i="1"/>
  <c r="G722" i="1"/>
  <c r="G637" i="1"/>
  <c r="G1070" i="1"/>
  <c r="G1068" i="1"/>
  <c r="G1169" i="1"/>
  <c r="G1069" i="1"/>
  <c r="G444" i="1"/>
  <c r="G567" i="1"/>
  <c r="G721" i="1"/>
  <c r="G720" i="1"/>
  <c r="G874" i="1"/>
  <c r="G875" i="1"/>
  <c r="G968" i="1"/>
  <c r="G490" i="1"/>
  <c r="G718" i="1"/>
  <c r="G1018" i="1"/>
  <c r="G552" i="1"/>
  <c r="G369" i="1"/>
  <c r="G417" i="1"/>
  <c r="G109" i="1"/>
  <c r="G275" i="1"/>
  <c r="G1067" i="1"/>
  <c r="G952" i="1"/>
  <c r="G1066" i="1"/>
  <c r="G201" i="1"/>
  <c r="G443" i="1"/>
  <c r="G489" i="1"/>
  <c r="G108" i="1"/>
  <c r="G442" i="1"/>
  <c r="G441" i="1"/>
  <c r="G199" i="1"/>
  <c r="G200" i="1"/>
  <c r="G402" i="1"/>
  <c r="G716" i="1"/>
  <c r="G1168" i="1"/>
  <c r="G715" i="1"/>
  <c r="G1167" i="1"/>
  <c r="G458" i="1"/>
  <c r="G587" i="1"/>
  <c r="G584" i="1"/>
  <c r="G996" i="1"/>
  <c r="G1065" i="1"/>
  <c r="G395" i="1"/>
  <c r="G1165" i="1"/>
  <c r="G464" i="1"/>
  <c r="G438" i="1"/>
  <c r="G712" i="1"/>
  <c r="G1166" i="1"/>
  <c r="G519" i="1"/>
  <c r="G266" i="1"/>
  <c r="G515" i="1"/>
  <c r="G43" i="1"/>
  <c r="G513" i="1"/>
  <c r="G524" i="1"/>
  <c r="G305" i="1"/>
  <c r="G962" i="1"/>
  <c r="G967" i="1"/>
  <c r="G39" i="1"/>
  <c r="G188" i="1"/>
  <c r="G245" i="1"/>
  <c r="G420" i="1"/>
  <c r="G198" i="1"/>
  <c r="G67" i="1"/>
  <c r="G872" i="1"/>
  <c r="G274" i="1"/>
  <c r="G550" i="1"/>
  <c r="G608" i="1"/>
  <c r="G660" i="1"/>
  <c r="G130" i="1"/>
  <c r="G421" i="1"/>
  <c r="G334" i="1"/>
  <c r="G259" i="1"/>
  <c r="G711" i="1"/>
  <c r="G161" i="1"/>
  <c r="G247" i="1"/>
  <c r="G246" i="1"/>
  <c r="G96" i="1"/>
  <c r="G250" i="1"/>
  <c r="G76" i="1"/>
  <c r="G170" i="1"/>
  <c r="G1064" i="1"/>
  <c r="G239" i="1"/>
  <c r="G530" i="1"/>
  <c r="G1021" i="1"/>
  <c r="G1164" i="1"/>
  <c r="G986" i="1"/>
  <c r="G1163" i="1"/>
  <c r="G474" i="1"/>
  <c r="G64" i="1"/>
  <c r="G429" i="1"/>
  <c r="G42" i="1"/>
  <c r="G871" i="1"/>
  <c r="G426" i="1"/>
  <c r="G19" i="1"/>
  <c r="G600" i="1"/>
  <c r="G356" i="1"/>
  <c r="G549" i="1"/>
  <c r="G585" i="1"/>
  <c r="G631" i="1"/>
  <c r="G710" i="1"/>
  <c r="G543" i="1"/>
  <c r="G511" i="1"/>
  <c r="G368" i="1"/>
  <c r="G590" i="1"/>
  <c r="G473" i="1"/>
  <c r="G469" i="1"/>
  <c r="G412" i="1"/>
  <c r="G699" i="1"/>
  <c r="G828" i="1"/>
  <c r="G700" i="1"/>
  <c r="G300" i="1"/>
  <c r="G560" i="1"/>
  <c r="G646" i="1"/>
  <c r="G641" i="1"/>
  <c r="G629" i="1"/>
  <c r="G648" i="1"/>
  <c r="G638" i="1"/>
  <c r="G670" i="1"/>
  <c r="G644" i="1"/>
  <c r="G1120" i="1"/>
  <c r="G827" i="1"/>
  <c r="G698" i="1"/>
  <c r="G826" i="1"/>
  <c r="G823" i="1"/>
  <c r="G825" i="1"/>
  <c r="G824" i="1"/>
  <c r="G347" i="1"/>
  <c r="G466" i="1"/>
  <c r="G551" i="1"/>
  <c r="G196" i="1"/>
  <c r="G389" i="1"/>
  <c r="G512" i="1"/>
  <c r="G630" i="1"/>
  <c r="G620" i="1"/>
  <c r="G1002" i="1"/>
  <c r="G676" i="1"/>
  <c r="G558" i="1"/>
  <c r="G336" i="1"/>
  <c r="G317" i="1"/>
  <c r="G263" i="1"/>
  <c r="G348" i="1"/>
  <c r="G253" i="1"/>
  <c r="G298" i="1"/>
  <c r="G338" i="1"/>
  <c r="G308" i="1"/>
  <c r="G423" i="1"/>
  <c r="G248" i="1"/>
  <c r="G262" i="1"/>
  <c r="G228" i="1"/>
  <c r="G258" i="1"/>
  <c r="G249" i="1"/>
  <c r="G292" i="1"/>
  <c r="G507" i="1"/>
  <c r="G359" i="1"/>
  <c r="G623" i="1"/>
  <c r="G965" i="1"/>
  <c r="G271" i="1"/>
  <c r="G268" i="1"/>
  <c r="G270" i="1"/>
  <c r="G257" i="1"/>
  <c r="G264" i="1"/>
  <c r="G293" i="1"/>
  <c r="G322" i="1"/>
  <c r="G260" i="1"/>
  <c r="G309" i="1"/>
  <c r="G272" i="1"/>
  <c r="G240" i="1"/>
  <c r="G346" i="1"/>
  <c r="G319" i="1"/>
  <c r="G323" i="1"/>
  <c r="G672" i="1"/>
  <c r="G195" i="1"/>
  <c r="G1038" i="1"/>
  <c r="G306" i="1"/>
  <c r="G303" i="1"/>
  <c r="G307" i="1"/>
  <c r="G304" i="1"/>
  <c r="G302" i="1"/>
  <c r="G165" i="1"/>
  <c r="G398" i="1"/>
  <c r="G168" i="1"/>
  <c r="G172" i="1"/>
  <c r="G169" i="1"/>
  <c r="G176" i="1"/>
  <c r="G129" i="1"/>
  <c r="G244" i="1"/>
  <c r="G182" i="1"/>
  <c r="G177" i="1"/>
  <c r="G173" i="1"/>
  <c r="G230" i="1"/>
  <c r="G225" i="1"/>
  <c r="G220" i="1"/>
  <c r="G226" i="1"/>
  <c r="G189" i="1"/>
  <c r="G221" i="1"/>
  <c r="G187" i="1"/>
  <c r="G328" i="1"/>
  <c r="G430" i="1"/>
  <c r="G773" i="1"/>
  <c r="G601" i="1"/>
  <c r="G669" i="1"/>
  <c r="G652" i="1"/>
  <c r="G671" i="1"/>
  <c r="G682" i="1"/>
  <c r="G683" i="1"/>
  <c r="G680" i="1"/>
  <c r="G663" i="1"/>
  <c r="G1117" i="1"/>
  <c r="G65" i="1"/>
  <c r="G603" i="1"/>
  <c r="G396" i="1"/>
  <c r="G1116" i="1"/>
  <c r="G103" i="1"/>
  <c r="G102" i="1"/>
  <c r="G101" i="1"/>
  <c r="G576" i="1"/>
  <c r="G166" i="1"/>
  <c r="G431" i="1"/>
  <c r="G610" i="1"/>
  <c r="G684" i="1"/>
  <c r="G674" i="1"/>
  <c r="G611" i="1"/>
  <c r="G578" i="1"/>
  <c r="G696" i="1"/>
  <c r="G599" i="1"/>
  <c r="G678" i="1"/>
  <c r="G1115" i="1"/>
  <c r="G677" i="1"/>
  <c r="G392" i="1"/>
  <c r="G621" i="1"/>
  <c r="G557" i="1"/>
  <c r="G665" i="1"/>
  <c r="G586" i="1"/>
  <c r="G1009" i="1"/>
  <c r="G467" i="1"/>
  <c r="G482" i="1"/>
  <c r="G591" i="1"/>
  <c r="G606" i="1"/>
  <c r="G1111" i="1"/>
  <c r="G1114" i="1"/>
  <c r="G1113" i="1"/>
  <c r="G1112" i="1"/>
  <c r="G1110" i="1"/>
  <c r="G353" i="1"/>
  <c r="G397" i="1"/>
  <c r="G1011" i="1"/>
  <c r="G580" i="1"/>
  <c r="G540" i="1"/>
  <c r="G465" i="1"/>
  <c r="G536" i="1"/>
  <c r="G598" i="1"/>
  <c r="G645" i="1"/>
  <c r="G457" i="1"/>
  <c r="G625" i="1"/>
  <c r="G518" i="1"/>
  <c r="G556" i="1"/>
  <c r="G658" i="1"/>
  <c r="G178" i="1"/>
  <c r="G454" i="1"/>
  <c r="G1109" i="1"/>
  <c r="G1108" i="1"/>
  <c r="G480" i="1"/>
  <c r="G479" i="1"/>
  <c r="G643" i="1"/>
  <c r="G593" i="1"/>
  <c r="G361" i="1"/>
  <c r="G607" i="1"/>
  <c r="G632" i="1"/>
  <c r="G647" i="1"/>
  <c r="G651" i="1"/>
  <c r="G662" i="1"/>
  <c r="G34" i="1"/>
  <c r="G1105" i="1"/>
  <c r="G1101" i="1"/>
  <c r="G167" i="1"/>
  <c r="G1104" i="1"/>
  <c r="G1103" i="1"/>
  <c r="G1107" i="1"/>
  <c r="G1102" i="1"/>
  <c r="G1049" i="1"/>
  <c r="G1050" i="1"/>
  <c r="G1048" i="1"/>
  <c r="G1047" i="1"/>
  <c r="G529" i="1"/>
  <c r="G612" i="1"/>
  <c r="G1106" i="1"/>
  <c r="G1020" i="1"/>
  <c r="G559" i="1"/>
  <c r="G685" i="1"/>
  <c r="G686" i="1"/>
  <c r="G485" i="1"/>
  <c r="G194" i="1"/>
  <c r="G533" i="1"/>
  <c r="G333" i="1"/>
  <c r="G238" i="1"/>
  <c r="G654" i="1"/>
  <c r="G363" i="1"/>
  <c r="G509" i="1"/>
  <c r="G1100" i="1"/>
  <c r="G1098" i="1"/>
  <c r="G29" i="1"/>
  <c r="G819" i="1"/>
  <c r="G1099" i="1"/>
  <c r="G362" i="1"/>
  <c r="G561" i="1"/>
  <c r="G289" i="1"/>
  <c r="G693" i="1"/>
  <c r="G532" i="1"/>
  <c r="G817" i="1"/>
  <c r="G461" i="1"/>
  <c r="G184" i="1"/>
  <c r="G514" i="1"/>
  <c r="G174" i="1"/>
  <c r="G17" i="1"/>
  <c r="G692" i="1"/>
  <c r="G622" i="1"/>
  <c r="G1097" i="1"/>
  <c r="G1045" i="1"/>
  <c r="G1005" i="1"/>
  <c r="G1046" i="1"/>
  <c r="G1023" i="1"/>
  <c r="G150" i="1"/>
  <c r="G1004" i="1"/>
  <c r="G265" i="1"/>
  <c r="G477" i="1"/>
  <c r="G579" i="1"/>
  <c r="G506" i="1"/>
  <c r="G542" i="1"/>
  <c r="G597" i="1"/>
  <c r="G128" i="1"/>
  <c r="G439" i="1"/>
  <c r="G1003" i="1"/>
  <c r="G950" i="1"/>
  <c r="G941" i="1"/>
  <c r="G861" i="1"/>
  <c r="G854" i="1"/>
  <c r="G589" i="1"/>
  <c r="G5" i="1"/>
  <c r="G424" i="1"/>
  <c r="G1044" i="1"/>
  <c r="G539" i="1"/>
  <c r="G668" i="1"/>
  <c r="G107" i="1"/>
  <c r="G690" i="1"/>
  <c r="G472" i="1"/>
  <c r="G86" i="1"/>
  <c r="G486" i="1"/>
  <c r="G193" i="1"/>
  <c r="G192" i="1"/>
  <c r="G1095" i="1"/>
  <c r="G1096" i="1"/>
  <c r="G310" i="1"/>
  <c r="G664" i="1"/>
  <c r="G510" i="1"/>
  <c r="G483" i="1"/>
  <c r="G689" i="1"/>
  <c r="G816" i="1"/>
  <c r="G394" i="1"/>
  <c r="G564" i="1"/>
  <c r="G538" i="1"/>
  <c r="G813" i="1"/>
  <c r="G809" i="1"/>
  <c r="G815" i="1"/>
  <c r="G814" i="1"/>
  <c r="G812" i="1"/>
  <c r="G811" i="1"/>
  <c r="G688" i="1"/>
  <c r="G28" i="1"/>
  <c r="G1041" i="1"/>
  <c r="G1040" i="1"/>
  <c r="G1042" i="1"/>
  <c r="G1043" i="1"/>
  <c r="G808" i="1"/>
  <c r="G687" i="1"/>
  <c r="G1039" i="1"/>
  <c r="G27" i="1"/>
  <c r="G807" i="1"/>
  <c r="G1016" i="1"/>
  <c r="G344" i="1"/>
  <c r="G148" i="1"/>
  <c r="G405" i="1"/>
  <c r="G656" i="1"/>
  <c r="G213" i="1"/>
  <c r="G214" i="1"/>
  <c r="G413" i="1"/>
  <c r="G382" i="1"/>
  <c r="G381" i="1"/>
  <c r="G122" i="1"/>
  <c r="G419" i="1"/>
  <c r="G212" i="1"/>
  <c r="G616" i="1"/>
  <c r="G501" i="1"/>
  <c r="G500" i="1"/>
  <c r="G1091" i="1"/>
  <c r="G286" i="1"/>
  <c r="G1185" i="1"/>
  <c r="G784" i="1"/>
  <c r="G380" i="1"/>
  <c r="G639" i="1"/>
  <c r="G435" i="1"/>
  <c r="G285" i="1"/>
  <c r="G287" i="1"/>
  <c r="G327" i="1"/>
  <c r="G121" i="1"/>
  <c r="G379" i="1"/>
  <c r="G522" i="1"/>
  <c r="G451" i="1"/>
  <c r="G615" i="1"/>
  <c r="G434" i="1"/>
  <c r="G1037" i="1"/>
  <c r="G339" i="1"/>
  <c r="G562" i="1"/>
  <c r="G782" i="1"/>
  <c r="G98" i="1"/>
  <c r="G20" i="1"/>
  <c r="G575" i="1"/>
  <c r="G211" i="1"/>
  <c r="G377" i="1"/>
  <c r="G378" i="1"/>
  <c r="G499" i="1"/>
  <c r="G1031" i="1"/>
  <c r="G33" i="1"/>
  <c r="G1090" i="1"/>
  <c r="G535" i="1"/>
  <c r="G605" i="1"/>
  <c r="G655" i="1"/>
  <c r="G37" i="1"/>
  <c r="G628" i="1"/>
  <c r="G186" i="1"/>
  <c r="G427" i="1"/>
  <c r="G119" i="1"/>
  <c r="G1181" i="1"/>
  <c r="G776" i="1"/>
  <c r="G498" i="1"/>
  <c r="G210" i="1"/>
  <c r="G604" i="1"/>
  <c r="G917" i="1"/>
  <c r="G1184" i="1"/>
  <c r="G1089" i="1"/>
  <c r="G241" i="1"/>
  <c r="G181" i="1"/>
  <c r="G281" i="1"/>
  <c r="G22" i="1"/>
  <c r="G410" i="1"/>
  <c r="G433" i="1"/>
  <c r="G781" i="1"/>
  <c r="G144" i="1"/>
  <c r="G418" i="1"/>
  <c r="G778" i="1"/>
  <c r="G59" i="1"/>
  <c r="G376" i="1"/>
  <c r="G920" i="1"/>
  <c r="G209" i="1"/>
  <c r="G614" i="1"/>
  <c r="G163" i="1"/>
  <c r="G525" i="1"/>
  <c r="G374" i="1"/>
  <c r="G497" i="1"/>
  <c r="G450" i="1"/>
  <c r="G375" i="1"/>
  <c r="G918" i="1"/>
  <c r="G777" i="1"/>
  <c r="G341" i="1"/>
  <c r="G1183" i="1"/>
  <c r="G326" i="1"/>
  <c r="G120" i="1"/>
  <c r="G314" i="1"/>
  <c r="G409" i="1"/>
  <c r="G916" i="1"/>
  <c r="G94" i="1"/>
  <c r="G583" i="1"/>
  <c r="G296" i="1"/>
  <c r="G449" i="1"/>
  <c r="G780" i="1"/>
  <c r="G779" i="1"/>
  <c r="G919" i="1"/>
  <c r="G284" i="1"/>
  <c r="G126" i="1"/>
  <c r="G545" i="1"/>
  <c r="G283" i="1"/>
  <c r="G404" i="1"/>
  <c r="G282" i="1"/>
  <c r="G69" i="1"/>
  <c r="G190" i="1"/>
  <c r="G235" i="1"/>
  <c r="G256" i="1"/>
  <c r="G295" i="1"/>
  <c r="G602" i="1"/>
  <c r="G1182" i="1"/>
  <c r="G414" i="1"/>
  <c r="G478" i="1"/>
  <c r="G496" i="1"/>
  <c r="G448" i="1"/>
  <c r="G313" i="1"/>
  <c r="G775" i="1"/>
  <c r="G41" i="1"/>
  <c r="G633" i="1"/>
  <c r="G595" i="1"/>
  <c r="G207" i="1"/>
  <c r="G40" i="1"/>
  <c r="G255" i="1"/>
  <c r="G49" i="1"/>
  <c r="G135" i="1"/>
  <c r="G93" i="1"/>
  <c r="G596" i="1"/>
  <c r="G97" i="1"/>
  <c r="G208" i="1"/>
  <c r="G229" i="1"/>
  <c r="G118" i="1"/>
  <c r="G279" i="1"/>
  <c r="G206" i="1"/>
  <c r="G68" i="1"/>
  <c r="G234" i="1"/>
  <c r="G915" i="1"/>
  <c r="G355" i="1"/>
  <c r="G774" i="1"/>
  <c r="G280" i="1"/>
  <c r="G352" i="1"/>
  <c r="G495" i="1"/>
  <c r="G360" i="1"/>
  <c r="G393" i="1"/>
  <c r="G1017" i="1"/>
  <c r="G1119" i="1"/>
  <c r="G1051" i="1"/>
  <c r="G1118" i="1"/>
  <c r="G999" i="1"/>
  <c r="G159" i="1"/>
  <c r="G640" i="1"/>
  <c r="G1034" i="1"/>
  <c r="G526" i="1"/>
  <c r="G2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Priscila Bucinskas de Miranda</author>
    <author>Administrador</author>
    <author>Marcos</author>
    <author>Rafael Genaro de Brito</author>
    <author>Helena Cardoso Correa povoa</author>
  </authors>
  <commentList>
    <comment ref="A2" authorId="0" shapeId="0" xr:uid="{00000000-0006-0000-0000-000001000000}">
      <text>
        <r>
          <rPr>
            <sz val="10"/>
            <color indexed="81"/>
            <rFont val="Lucida Console"/>
            <family val="3"/>
          </rPr>
          <t xml:space="preserve">Ordenado por: Excluir?, @DIFER, SETOR, GRUPO, SUBGRUPO, DESCRIÇÃO, CÓDIGO_x000D_
_x000D_
          1ª Coluna  ==  Excluir?_x000D_
          2ª Coluna  ==  DIFER (Descendente)_x000D_
          3ª Coluna  ==  SETOR_x000D_
          4ª Coluna  ==  GRUPO_x000D_
          5ª Coluna  ==  SUBGRUPO_x000D_
          6ª Coluna  ==  DESCRIÇÃO_x000D_
          7ª Coluna  ==  CÓDIGO_x000D_
</t>
        </r>
      </text>
    </comment>
    <comment ref="C2" authorId="1" shapeId="0" xr:uid="{00000000-0006-0000-0000-000002000000}">
      <text>
        <r>
          <rPr>
            <b/>
            <sz val="9"/>
            <color indexed="81"/>
            <rFont val="Segoe UI"/>
            <family val="2"/>
          </rPr>
          <t>ESTRUTURA</t>
        </r>
        <r>
          <rPr>
            <sz val="9"/>
            <color indexed="81"/>
            <rFont val="Segoe UI"/>
            <family val="2"/>
          </rPr>
          <t xml:space="preserve">
</t>
        </r>
      </text>
    </comment>
    <comment ref="D2" authorId="1" shapeId="0" xr:uid="{00000000-0006-0000-0000-000003000000}">
      <text>
        <r>
          <rPr>
            <b/>
            <sz val="9"/>
            <color indexed="81"/>
            <rFont val="Segoe UI"/>
            <family val="2"/>
          </rPr>
          <t>GRUPO</t>
        </r>
        <r>
          <rPr>
            <sz val="9"/>
            <color indexed="81"/>
            <rFont val="Segoe UI"/>
            <family val="2"/>
          </rPr>
          <t xml:space="preserve">
</t>
        </r>
      </text>
    </comment>
    <comment ref="E2" authorId="1" shapeId="0" xr:uid="{00000000-0006-0000-0000-000004000000}">
      <text>
        <r>
          <rPr>
            <b/>
            <sz val="9"/>
            <color indexed="81"/>
            <rFont val="Segoe UI"/>
            <family val="2"/>
          </rPr>
          <t>SUBGRUPO</t>
        </r>
        <r>
          <rPr>
            <sz val="9"/>
            <color indexed="81"/>
            <rFont val="Segoe UI"/>
            <family val="2"/>
          </rPr>
          <t xml:space="preserve">
</t>
        </r>
      </text>
    </comment>
    <comment ref="G2" authorId="1" shapeId="0" xr:uid="{00000000-0006-0000-0000-000005000000}">
      <text>
        <r>
          <rPr>
            <b/>
            <sz val="9"/>
            <color indexed="81"/>
            <rFont val="Segoe UI"/>
            <family val="2"/>
          </rPr>
          <t xml:space="preserve">Tabela de Códigos:
</t>
        </r>
        <r>
          <rPr>
            <sz val="9"/>
            <color indexed="81"/>
            <rFont val="Segoe UI"/>
            <family val="2"/>
          </rPr>
          <t xml:space="preserve">
ADM Administrativo
EDU Educação
INF Informática
MAN Manutenção
MCO Manutenção - Construção e Alvenaria
MEL Manutenção - Elétrica
MFR Manutenção - Frota
MHI Manutenção - Hidráulica
MMA Manutenção - Marcenaria
MPI Manutenção - Pintura
MSE Manutenção - Serralheria
OUT Outros
SAU Saúde
</t>
        </r>
      </text>
    </comment>
    <comment ref="I2" authorId="1" shapeId="0" xr:uid="{00000000-0006-0000-0000-000006000000}">
      <text>
        <r>
          <rPr>
            <b/>
            <sz val="10"/>
            <color indexed="81"/>
            <rFont val="Segoe UI"/>
            <family val="2"/>
          </rPr>
          <t>Marcos:</t>
        </r>
        <r>
          <rPr>
            <sz val="10"/>
            <color indexed="81"/>
            <rFont val="Segoe UI"/>
            <family val="2"/>
          </rPr>
          <t xml:space="preserve">
Quantidade de mês para o ponto de pedido.
Este campo é preenchido de forma padrão por fórmula. Só altere quando for mesmo necessário para um item específico.
</t>
        </r>
      </text>
    </comment>
    <comment ref="L2" authorId="2" shapeId="0" xr:uid="{00000000-0006-0000-0000-000007000000}">
      <text>
        <r>
          <rPr>
            <b/>
            <sz val="9"/>
            <color indexed="81"/>
            <rFont val="Segoe UI"/>
            <family val="2"/>
          </rPr>
          <t>Mudar Mensal:</t>
        </r>
        <r>
          <rPr>
            <sz val="9"/>
            <color indexed="81"/>
            <rFont val="Segoe UI"/>
            <family val="2"/>
          </rPr>
          <t xml:space="preserve">
Quantidade que será retornada à coluna MENSAL a partir da data especificada. Utilizar quando tiver que modificar o ponto de pedido e queira voltar ao original depois de um tempo para ajustar necessidades momentâneas.</t>
        </r>
      </text>
    </comment>
    <comment ref="M2" authorId="2" shapeId="0" xr:uid="{00000000-0006-0000-0000-000008000000}">
      <text>
        <r>
          <rPr>
            <b/>
            <sz val="9"/>
            <color indexed="81"/>
            <rFont val="Segoe UI"/>
            <family val="2"/>
          </rPr>
          <t>Mudar Em:</t>
        </r>
        <r>
          <rPr>
            <sz val="9"/>
            <color indexed="81"/>
            <rFont val="Segoe UI"/>
            <family val="2"/>
          </rPr>
          <t xml:space="preserve">
Data que a quantidade mensal será alterada pela coluna Mudar Mensal.</t>
        </r>
      </text>
    </comment>
    <comment ref="N2" authorId="3" shapeId="0" xr:uid="{CB154CDC-AFDD-47F5-8176-E08494FBA13F}">
      <text>
        <r>
          <rPr>
            <sz val="10"/>
            <color indexed="81"/>
            <rFont val="Lucida Console"/>
            <family val="3"/>
          </rPr>
          <t>Filtro aplicado: ( "Ativo" , "Suspenso" )</t>
        </r>
      </text>
    </comment>
    <comment ref="O2" authorId="3" shapeId="0" xr:uid="{C794E262-C039-4B4E-B256-DF089C63A19B}">
      <text>
        <r>
          <rPr>
            <sz val="10"/>
            <color indexed="81"/>
            <rFont val="Lucida Console"/>
            <family val="3"/>
          </rPr>
          <t>Filtro aplicado: ( &lt;&gt; )</t>
        </r>
      </text>
    </comment>
    <comment ref="R2" authorId="1" shapeId="0" xr:uid="{00000000-0006-0000-0000-00000B000000}">
      <text>
        <r>
          <rPr>
            <b/>
            <sz val="9"/>
            <color indexed="81"/>
            <rFont val="Segoe UI"/>
            <family val="2"/>
          </rPr>
          <t xml:space="preserve">CÁLCULO:
</t>
        </r>
        <r>
          <rPr>
            <sz val="9"/>
            <color indexed="81"/>
            <rFont val="Segoe UI"/>
            <family val="2"/>
          </rPr>
          <t>Coluna reservada para apuração de novo ponto de pedido mensal.</t>
        </r>
      </text>
    </comment>
    <comment ref="T2" authorId="3" shapeId="0" xr:uid="{2BEFC9EA-91AA-48A3-8667-E5FE2706B3D1}">
      <text>
        <r>
          <rPr>
            <sz val="10"/>
            <color indexed="81"/>
            <rFont val="Lucida Console"/>
            <family val="3"/>
          </rPr>
          <t>Filtro aplicado: ( &lt;&gt; )</t>
        </r>
      </text>
    </comment>
    <comment ref="U2" authorId="2" shapeId="0" xr:uid="{00000000-0006-0000-0000-00000D000000}">
      <text>
        <r>
          <rPr>
            <b/>
            <sz val="9"/>
            <color indexed="81"/>
            <rFont val="Segoe UI"/>
            <family val="2"/>
          </rPr>
          <t xml:space="preserve">
PICO:</t>
        </r>
        <r>
          <rPr>
            <sz val="9"/>
            <color indexed="81"/>
            <rFont val="Segoe UI"/>
            <family val="2"/>
          </rPr>
          <t xml:space="preserve">
Pico de Consumo no período.</t>
        </r>
      </text>
    </comment>
    <comment ref="X3" authorId="0" shapeId="0" xr:uid="{00000000-0006-0000-0000-00000F000000}">
      <text>
        <r>
          <rPr>
            <sz val="9"/>
            <color indexed="81"/>
            <rFont val="Segoe UI"/>
            <family val="2"/>
          </rPr>
          <t>115765|PLASTICO A3 PARA PLASTIFICACAO - POLASEAL 0,05 MM- 303 X 426 - CAIXA COM 100 UNIDADES|1|45|18|MAQ., EQUIP., COMP., ACES., MAT. PARA ESCRIT.E ESCOLAR|EDU|Padrão|4|69|276|Ativo|</t>
        </r>
      </text>
    </comment>
    <comment ref="X4" authorId="0" shapeId="0" xr:uid="{00000000-0006-0000-0000-000010000000}">
      <text>
        <r>
          <rPr>
            <sz val="10"/>
            <color indexed="81"/>
            <rFont val="Lucida Console"/>
            <family val="3"/>
          </rPr>
          <t>81152|SACO PLASTICO TRANSPARENTE, MEDINDO 15 X 30 CM - PACOTE COM 05 KG - AS MEDIDAS PODERAO VARIAR +/- 2 CM|1|73|1|EMBALAG., RECIP., ACESSOR., EQUIP., MATER. P/ACONDICIO|EDU|Padrão|4|2|8|Ativo|</t>
        </r>
      </text>
    </comment>
    <comment ref="X5" authorId="0" shapeId="0" xr:uid="{00000000-0006-0000-0000-000011000000}">
      <text>
        <r>
          <rPr>
            <sz val="10"/>
            <color indexed="81"/>
            <rFont val="Lucida Console"/>
            <family val="3"/>
          </rPr>
          <t>14121|SACO PLASTICO P/ LIXO - 50 L - 63 X 80 CM X 0,12 MM OU 120 MICRAS DE ESPESSURA (0,06 MM POR PAREDE)|1|72|6|MAQ.EQUIP.E MATERIAIS P/ HIGIEN.LIMP.POLIM.E LUBR.|ADM|Padrão|4|401|1604|Ativo|</t>
        </r>
      </text>
    </comment>
    <comment ref="X6" authorId="0" shapeId="0" xr:uid="{00000000-0006-0000-0000-000012000000}">
      <text>
        <r>
          <rPr>
            <sz val="10"/>
            <color indexed="81"/>
            <rFont val="Lucida Console"/>
            <family val="3"/>
          </rPr>
          <t>39378|HASTE GALVANIZADA - 1/4" X 350 MM - P/ FIXACAO DE TELHA DE|1|67|1|PARAFUSOS ELEM. VEDACAO UNIAO CONEX . FIXACAO|MSE|Padrão|4|119|476|Ativo|</t>
        </r>
      </text>
    </comment>
    <comment ref="X7" authorId="0" shapeId="0" xr:uid="{00000000-0006-0000-0000-000013000000}">
      <text>
        <r>
          <rPr>
            <sz val="10"/>
            <color indexed="81"/>
            <rFont val="Lucida Console"/>
            <family val="3"/>
          </rPr>
          <t>139144|PINCEL PARA PINTURA, CABO EM MADEIRA (CURTO OU LONGO), FORMATO CHATO, CERDA BRANCA, TAMANHO 24.|1|45|9|MAQ., EQUIP., COMP., ACES., MAT. PARA ESCRIT.E ESCOLAR|EDU|Padrão|4|81|324|Ativo|</t>
        </r>
      </text>
    </comment>
    <comment ref="X8" authorId="0" shapeId="0" xr:uid="{00000000-0006-0000-0000-000014000000}">
      <text>
        <r>
          <rPr>
            <sz val="10"/>
            <color indexed="81"/>
            <rFont val="Lucida Console"/>
            <family val="3"/>
          </rPr>
          <t>2278|LINHA DE PEDREIRO - ROLO COM 100 M|1|70|17|FERRAMENTAS MAQ.FERRAMENTAS,ELETR.PECAS E ACESSORI|MAN|Padrão|4|1|4|Ativo|</t>
        </r>
      </text>
    </comment>
    <comment ref="X9" authorId="0" shapeId="0" xr:uid="{00000000-0006-0000-0000-000015000000}">
      <text>
        <r>
          <rPr>
            <sz val="10"/>
            <color indexed="81"/>
            <rFont val="Lucida Console"/>
            <family val="3"/>
          </rPr>
          <t>17946|WIDIA PARA CORTAR PISOS E AZULEJOS|1|70|17|FERRAMENTAS MAQ.FERRAMENTAS,ELETR.PECAS E ACESSORI|MAN|Padrão|4|1|4|Ativo|</t>
        </r>
      </text>
    </comment>
    <comment ref="X10" authorId="0" shapeId="0" xr:uid="{00000000-0006-0000-0000-000016000000}">
      <text>
        <r>
          <rPr>
            <sz val="10"/>
            <color indexed="81"/>
            <rFont val="Lucida Console"/>
            <family val="3"/>
          </rPr>
          <t>54026|VERGALHAO ROSQUEADO DE 1/4" X 3 METROS|1|55|32|EQUIP. MAT. P/ GERACAO, TRANSM. DISTR. RETIF...|MEL|Padrão|4|1|4|Ativo|</t>
        </r>
      </text>
    </comment>
    <comment ref="J11" authorId="1" shapeId="0" xr:uid="{00000000-0006-0000-0000-000017000000}">
      <text>
        <r>
          <rPr>
            <sz val="9"/>
            <color indexed="81"/>
            <rFont val="Segoe UI"/>
            <family val="2"/>
          </rPr>
          <t xml:space="preserve">
Planilha do Laércio 06/06/2019.
</t>
        </r>
      </text>
    </comment>
    <comment ref="X11" authorId="0" shapeId="0" xr:uid="{00000000-0006-0000-0000-000018000000}">
      <text>
        <r>
          <rPr>
            <sz val="10"/>
            <color indexed="81"/>
            <rFont val="Lucida Console"/>
            <family val="3"/>
          </rPr>
          <t>24204|ROLO DE LA DE CARNEIRO P/ PINTURA - 9 CM C/ CABO|1|76|11|EQUIP. E MATERIAIS P/PINTURAS E IMPERMEABILIZACAO|MPI|Padrão|4|15|60|Ativo|</t>
        </r>
      </text>
    </comment>
    <comment ref="X12" authorId="0" shapeId="0" xr:uid="{00000000-0006-0000-0000-000019000000}">
      <text>
        <r>
          <rPr>
            <sz val="10"/>
            <color indexed="81"/>
            <rFont val="Lucida Console"/>
            <family val="3"/>
          </rPr>
          <t>100362|CIMENTO COLA AC3 - SACO C/20 KG|1|51|3|MAT.E EQUIP. P/ CONSTR.CIVIL E CONSERV. DE VIAS PUBL.|MCO|Padrão|4|24,9|99,6|Ativo|</t>
        </r>
      </text>
    </comment>
    <comment ref="J13" authorId="1" shapeId="0" xr:uid="{00000000-0006-0000-0000-00001A000000}">
      <text>
        <r>
          <rPr>
            <b/>
            <sz val="9"/>
            <color indexed="81"/>
            <rFont val="Segoe UI"/>
            <family val="2"/>
          </rPr>
          <t xml:space="preserve">
Planilha do Laércio 06/06/2019.</t>
        </r>
        <r>
          <rPr>
            <sz val="9"/>
            <color indexed="81"/>
            <rFont val="Segoe UI"/>
            <family val="2"/>
          </rPr>
          <t xml:space="preserve">
Ajustado em 18/03/2020 para pp=4 conforme solicitado pelo Laércio.</t>
        </r>
      </text>
    </comment>
    <comment ref="X13" authorId="0" shapeId="0" xr:uid="{00000000-0006-0000-0000-00001B000000}">
      <text>
        <r>
          <rPr>
            <sz val="10"/>
            <color indexed="81"/>
            <rFont val="Lucida Console"/>
            <family val="3"/>
          </rPr>
          <t>14737|TINTA ACRILICA P/ DEMARCACAO DE SOLO - BALDE C/ 18 L - PRETA - PADRAO DER 3.09|1|76|5|EQUIP. E MATERIAIS P/PINTURAS E IMPERMEABILIZACAO|MPI|Padrão|4|1|4|Ativo|</t>
        </r>
      </text>
    </comment>
    <comment ref="X14" authorId="0" shapeId="0" xr:uid="{00000000-0006-0000-0000-00001C000000}">
      <text>
        <r>
          <rPr>
            <sz val="10"/>
            <color indexed="81"/>
            <rFont val="Lucida Console"/>
            <family val="3"/>
          </rPr>
          <t>72184|PILHA PALITO AAA - ALCALINA|1|55|16|EQUIP. MAT. P/ GERACAO, TRANSM. DISTR. RETIF...|MEL|Padrão|4|41|164|Ativo|</t>
        </r>
      </text>
    </comment>
    <comment ref="X15" authorId="0" shapeId="0" xr:uid="{00000000-0006-0000-0000-00001D000000}">
      <text>
        <r>
          <rPr>
            <sz val="10"/>
            <color indexed="81"/>
            <rFont val="Lucida Console"/>
            <family val="3"/>
          </rPr>
          <t>78399|ABRACADEIRA GALVANIZADA TIPO D  - 1.1/2"|1|55|46|EQUIP. MAT. P/ GERACAO, TRANSM. DISTR. RETIF...|MEL|Padrão|4|5|20|Ativo|</t>
        </r>
      </text>
    </comment>
    <comment ref="X16" authorId="0" shapeId="0" xr:uid="{00000000-0006-0000-0000-00001E000000}">
      <text>
        <r>
          <rPr>
            <sz val="10"/>
            <color indexed="81"/>
            <rFont val="Lucida Console"/>
            <family val="3"/>
          </rPr>
          <t>54032|ARRUELA LISA 1/4"|1|55|32|EQUIP. MAT. P/ GERACAO, TRANSM. DISTR. RETIF...|MEL|Padrão|4|117|468|Ativo|</t>
        </r>
      </text>
    </comment>
    <comment ref="J17" authorId="1" shapeId="0" xr:uid="{00000000-0006-0000-0000-00001F000000}">
      <text>
        <r>
          <rPr>
            <b/>
            <sz val="9"/>
            <color indexed="81"/>
            <rFont val="Segoe UI"/>
            <family val="2"/>
          </rPr>
          <t>Marcos 23/05/2019:</t>
        </r>
        <r>
          <rPr>
            <sz val="9"/>
            <color indexed="81"/>
            <rFont val="Segoe UI"/>
            <family val="2"/>
          </rPr>
          <t xml:space="preserve">
Queda de consumo de 2843 para 800 devido a terceirização</t>
        </r>
      </text>
    </comment>
    <comment ref="X17" authorId="0" shapeId="0" xr:uid="{00000000-0006-0000-0000-000020000000}">
      <text>
        <r>
          <rPr>
            <sz val="10"/>
            <color indexed="81"/>
            <rFont val="Lucida Console"/>
            <family val="3"/>
          </rPr>
          <t>12685|AGUA SANITARIA - FRASCO C/ 1 L.|1|72|10|MAQ.EQUIP.E MATERIAIS P/ HIGIEN.LIMP.POLIM.E LUBR.|ADM|Padrão|4|624|2496|Ativo|</t>
        </r>
      </text>
    </comment>
    <comment ref="J18" authorId="1" shapeId="0" xr:uid="{00000000-0006-0000-0000-000021000000}">
      <text>
        <r>
          <rPr>
            <b/>
            <sz val="9"/>
            <color indexed="81"/>
            <rFont val="Segoe UI"/>
            <family val="2"/>
          </rPr>
          <t>Administrador:
Conforme informações do Miguel os 20 consumidos em fevereiro/2019 é o consumo totlal de 4 meses.</t>
        </r>
      </text>
    </comment>
    <comment ref="X18" authorId="0" shapeId="0" xr:uid="{00000000-0006-0000-0000-000022000000}">
      <text>
        <r>
          <rPr>
            <sz val="10"/>
            <color indexed="81"/>
            <rFont val="Lucida Console"/>
            <family val="3"/>
          </rPr>
          <t>60973|LIXA CINTA DE PANO P/ MADEIRA - MEDIDAS: 610 X 75 MM / GRAM|1|83|3|ABRASIVOS|MAN|Padrão|4|2|8|Ativo|</t>
        </r>
      </text>
    </comment>
    <comment ref="X19" authorId="2" shapeId="0" xr:uid="{00000000-0006-0000-0000-000023000000}">
      <text>
        <r>
          <rPr>
            <sz val="9"/>
            <color indexed="81"/>
            <rFont val="Segoe UI"/>
            <family val="2"/>
          </rPr>
          <t>102000|PISO DE CONCRETO, TIPO INTERTRAVADO RETANGULAR, COR NATURAL, DIMENSOES: 200 X 100MM, ESPESSURA: 60MM, RESISTENCIA DE 35MPA|1|51|7|MAT.E EQUIP. P/ CONSTR.CIVIL E CONSERV. DE VIAS PUBL.|MCO|Personalizado|3|20|60|Ativo|</t>
        </r>
      </text>
    </comment>
    <comment ref="X20" authorId="0" shapeId="0" xr:uid="{00000000-0006-0000-0000-000024000000}">
      <text>
        <r>
          <rPr>
            <sz val="10"/>
            <color indexed="81"/>
            <rFont val="Lucida Console"/>
            <family val="3"/>
          </rPr>
          <t>102588|GRELHA P/RALO EM INOX, 100MM (4")|1|61|11|MATERIAL HIDRAULICO, CANOS, TUBOS, MANGUEIRAS, CONEXOES E ACESS.|MHI|Padrão|4|6|24|Ativo|</t>
        </r>
      </text>
    </comment>
    <comment ref="J21" authorId="1" shapeId="0" xr:uid="{00000000-0006-0000-0000-000025000000}">
      <text>
        <r>
          <rPr>
            <sz val="9"/>
            <color indexed="81"/>
            <rFont val="Segoe UI"/>
            <family val="2"/>
          </rPr>
          <t xml:space="preserve">
Planilha do Laércio 06/06/2019.
</t>
        </r>
      </text>
    </comment>
    <comment ref="X21" authorId="0" shapeId="0" xr:uid="{00000000-0006-0000-0000-000026000000}">
      <text>
        <r>
          <rPr>
            <sz val="10"/>
            <color indexed="81"/>
            <rFont val="Lucida Console"/>
            <family val="3"/>
          </rPr>
          <t>88839|SELADOR ACRILICO - LATA COM 18 LITROS|1|76|13|EQUIP. E MATERIAIS P/PINTURAS E IMPERMEABILIZACAO|MPI|Padrão|4|2|8|Ativo|</t>
        </r>
      </text>
    </comment>
    <comment ref="X22" authorId="0" shapeId="0" xr:uid="{00000000-0006-0000-0000-000027000000}">
      <text>
        <r>
          <rPr>
            <sz val="10"/>
            <color indexed="81"/>
            <rFont val="Lucida Console"/>
            <family val="3"/>
          </rPr>
          <t>77109|CAP EM PVC DE 3/4 PARA AGUA MARROM|1|61|8|MATERIAL HIDRAULICO, CANOS, TUBOS, MANGUEIRAS, CONEXOES E ACESS.|MHI|Padrão|4|5|20|Ativo|</t>
        </r>
      </text>
    </comment>
    <comment ref="X23" authorId="0" shapeId="0" xr:uid="{00000000-0006-0000-0000-000028000000}">
      <text>
        <r>
          <rPr>
            <sz val="10"/>
            <color indexed="81"/>
            <rFont val="Lucida Console"/>
            <family val="3"/>
          </rPr>
          <t>64466|ARRUELA LISA DE ACO DE 3/8"|1|67|5|PARAFUSOS ELEM. VEDACAO UNIAO CONEX . FIXACAO|MSE|Padrão|4|23|92|Ativo|</t>
        </r>
      </text>
    </comment>
    <comment ref="X24" authorId="0" shapeId="0" xr:uid="{00000000-0006-0000-0000-000029000000}">
      <text>
        <r>
          <rPr>
            <sz val="10"/>
            <color indexed="81"/>
            <rFont val="Lucida Console"/>
            <family val="3"/>
          </rPr>
          <t>112494|TERMINAL A COMPRESSAO PARA 1 CABO DE COBRE 25 MM2 COM 1 FURO DE FIXACAO|1|55|35|EQUIP. MAT. P/ GERACAO, TRANSM. DISTR. RETIF...|MEL|Padrão|4|3|12|Ativo|</t>
        </r>
      </text>
    </comment>
    <comment ref="X25" authorId="0" shapeId="0" xr:uid="{00000000-0006-0000-0000-00002A000000}">
      <text>
        <r>
          <rPr>
            <sz val="10"/>
            <color indexed="81"/>
            <rFont val="Lucida Console"/>
            <family val="3"/>
          </rPr>
          <t>128818|CONECTOR DE ALUMINIO PARA CONDULETE MULTIPLO DE 3/4"|1|55|34|EQUIP. MAT. P/ GERACAO, TRANSM. DISTR. RETIF...|MEL|Padrão|4|150|600|Ativo|</t>
        </r>
      </text>
    </comment>
    <comment ref="X26" authorId="0" shapeId="0" xr:uid="{00000000-0006-0000-0000-00002B000000}">
      <text>
        <r>
          <rPr>
            <sz val="10"/>
            <color indexed="81"/>
            <rFont val="Lucida Console"/>
            <family val="3"/>
          </rPr>
          <t>106414|CONDULETE EM LIGA DE ALUMINIO|1|55|32|EQUIP. MAT. P/ GERACAO, TRANSM. DISTR. RETIF...|MEL|Padrão|4|100|400|Ativo|</t>
        </r>
      </text>
    </comment>
    <comment ref="X27" authorId="0" shapeId="0" xr:uid="{00000000-0006-0000-0000-00002C000000}">
      <text>
        <r>
          <rPr>
            <sz val="10"/>
            <color indexed="81"/>
            <rFont val="Lucida Console"/>
            <family val="3"/>
          </rPr>
          <t>105115|CAMISA DE BRIM, N° 3, CONFECCIONADA EM TECIDO 100% ALGODAO, NA COR AZUL MARINHO|1|62|1|VEST., ART.P/ TOUC.E HIG. PES. MAQ., EQUIP., MAT.E ACES.|ADM|Padrão|4|1|4|Ativo|</t>
        </r>
      </text>
    </comment>
    <comment ref="X28" authorId="0" shapeId="0" xr:uid="{00000000-0006-0000-0000-00002D000000}">
      <text>
        <r>
          <rPr>
            <sz val="10"/>
            <color indexed="81"/>
            <rFont val="Lucida Console"/>
            <family val="3"/>
          </rPr>
          <t>105106|CALCA DE BRIM N° 40, CONFECCIONADA EM TECIDO MISTO 67% ALGODAO NA COR AZUL MARINHO|1|62|4|VEST., ART.P/ TOUC.E HIG. PES. MAQ., EQUIP., MAT.E ACES.|ADM|Padrão|4|1|4|Ativo|</t>
        </r>
      </text>
    </comment>
    <comment ref="X29" authorId="0" shapeId="0" xr:uid="{00000000-0006-0000-0000-00002E000000}">
      <text>
        <r>
          <rPr>
            <sz val="10"/>
            <color indexed="81"/>
            <rFont val="Lucida Console"/>
            <family val="3"/>
          </rPr>
          <t>26506|ASSENTO EM MADEIRA  REVESTIDO C/ LAMINADO MELAMINICO 10 MM|1|78|6|MOBILIARIO E COFRE|ADM|Padrão|4|125|500|Ativo|</t>
        </r>
      </text>
    </comment>
    <comment ref="X30" authorId="0" shapeId="0" xr:uid="{00000000-0006-0000-0000-00002F000000}">
      <text>
        <r>
          <rPr>
            <sz val="10"/>
            <color indexed="81"/>
            <rFont val="Lucida Console"/>
            <family val="3"/>
          </rPr>
          <t>20583|REBITE DE REPUCHO EM ALUMINIO C/ MANDRIL DE ACO 6 X 25 MM|1|67|7|PARAFUSOS ELEM. VEDACAO UNIAO CONEX . FIXACAO|MSE|Padrão|4|710|2840|Ativo|</t>
        </r>
      </text>
    </comment>
    <comment ref="X31" authorId="0" shapeId="0" xr:uid="{00000000-0006-0000-0000-000030000000}">
      <text>
        <r>
          <rPr>
            <sz val="10"/>
            <color indexed="81"/>
            <rFont val="Lucida Console"/>
            <family val="3"/>
          </rPr>
          <t>13087|LIXA D'AGUA EM FOLHA 225 X 275 MM GRAO 220|1|83|2|ABRASIVOS|MAN|Padrão|4|25|100|Ativo|</t>
        </r>
      </text>
    </comment>
    <comment ref="X32" authorId="0" shapeId="0" xr:uid="{00000000-0006-0000-0000-000031000000}">
      <text>
        <r>
          <rPr>
            <sz val="10"/>
            <color indexed="81"/>
            <rFont val="Lucida Console"/>
            <family val="3"/>
          </rPr>
          <t>35550|LIXA DE PAPEL P/ MADEIRA EM FOLHA DE 225 X 275 MM - N°100|1|83|2|ABRASIVOS|MAN|Padrão|4|25|100|Ativo|</t>
        </r>
      </text>
    </comment>
    <comment ref="X33" authorId="0" shapeId="0" xr:uid="{00000000-0006-0000-0000-000032000000}">
      <text>
        <r>
          <rPr>
            <sz val="10"/>
            <color indexed="81"/>
            <rFont val="Lucida Console"/>
            <family val="3"/>
          </rPr>
          <t>108711|ELEMENTO FILTRANTE DE MICRO-FIBRA DE PP|1|61|10|MATERIAL HIDRAULICO, CANOS, TUBOS, MANGUEIRAS, CONEXOES E ACESS.|MHI|Padrão|4|25|100|Ativo|</t>
        </r>
      </text>
    </comment>
    <comment ref="X34" authorId="0" shapeId="0" xr:uid="{00000000-0006-0000-0000-000033000000}">
      <text>
        <r>
          <rPr>
            <sz val="10"/>
            <color indexed="81"/>
            <rFont val="Lucida Console"/>
            <family val="3"/>
          </rPr>
          <t>135701|MINIDICIONARIO DE LINGUA PORTUGUESA - COM MAIS DE 30 MIL VERBETES, COM DIVISAO SILABICA, ATUALIZADO COM A NOVA ORTOGRAFIA, ORIGEM NACIONAL - ACABAMENTO BROCHURA.|1|45|9|MAQ., EQUIP., COMP., ACES., MAT. PARA ESCRIT.E ESCOLAR|EDU|Padrão|4|127|508|Ativo|</t>
        </r>
      </text>
    </comment>
    <comment ref="X35" authorId="0" shapeId="0" xr:uid="{00000000-0006-0000-0000-000034000000}">
      <text>
        <r>
          <rPr>
            <sz val="10"/>
            <color indexed="81"/>
            <rFont val="Lucida Console"/>
            <family val="3"/>
          </rPr>
          <t>138475|DISCO DE CORTE 14" X 1/8" X 1" DE ACORDO COM AS NORMAS DA ABNT|1|83|4|ABRASIVOS|MAN|Padrão|4|17|68|Ativo|</t>
        </r>
      </text>
    </comment>
    <comment ref="X36" authorId="0" shapeId="0" xr:uid="{B5D17BE8-C184-40CD-8DAD-0160E8FBD8FD}">
      <text>
        <r>
          <rPr>
            <sz val="9"/>
            <color indexed="81"/>
            <rFont val="Segoe UI"/>
            <family val="2"/>
          </rPr>
          <t>136898|LUMINARIA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MESES.|1|55|49|EQUIP. MAT. P/ GERACAO, TRANSM. DISTR. RETIF...|MEL|Padrão|4|5|20|Ativo|</t>
        </r>
      </text>
    </comment>
    <comment ref="X37" authorId="0" shapeId="0" xr:uid="{00000000-0006-0000-0000-000036000000}">
      <text>
        <r>
          <rPr>
            <sz val="10"/>
            <color indexed="81"/>
            <rFont val="Lucida Console"/>
            <family val="3"/>
          </rPr>
          <t>135304|NIPLE DUPLO DE REDUCAO ROSQUEAVEL 3/4 X 1/2 EM LATAO|1|61|8|MATERIAL HIDRAULICO, CANOS, TUBOS, MANGUEIRAS, CONEXOES E ACESS.|MHI|Padrão|4|49|196|Ativo|</t>
        </r>
      </text>
    </comment>
    <comment ref="X38" authorId="0" shapeId="0" xr:uid="{00000000-0006-0000-0000-000037000000}">
      <text>
        <r>
          <rPr>
            <sz val="10"/>
            <color indexed="81"/>
            <rFont val="Lucida Console"/>
            <family val="3"/>
          </rPr>
          <t>138453|CADERNO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FSC/CERFLOR.|1|45|11|MAQ., EQUIP., COMP., ACES., MAT. PARA ESCRIT.E ESCOLAR|EDU|Padrão|4|1704|6816|Ativo|</t>
        </r>
      </text>
    </comment>
    <comment ref="X39" authorId="0" shapeId="0" xr:uid="{00000000-0006-0000-0000-000038000000}">
      <text>
        <r>
          <rPr>
            <sz val="10"/>
            <color indexed="81"/>
            <rFont val="Lucida Console"/>
            <family val="3"/>
          </rPr>
          <t>114299|CUMEEIRA NORMAL ( PARA TELHA DE CONCRETO ), INCLANACAO MINIMA : 30 OU 16,40º. SOBREPOSICAO TRANSVERSAL: 10 CM. RESISTENCIA A FLEXAO : ACIMA DE 300 KG. SEGUNDO AS NORMAS TECNICAS ABNT : NBR 13858-1 / 13858-2|1|51|17|MAT.E EQUIP. P/ CONSTR.CIVIL E CONSERV. DE VIAS PUBL.|MCO|Padrão|4|15|60|Ativo|</t>
        </r>
      </text>
    </comment>
    <comment ref="X40" authorId="0" shapeId="0" xr:uid="{00000000-0006-0000-0000-000039000000}">
      <text>
        <r>
          <rPr>
            <sz val="10"/>
            <color indexed="81"/>
            <rFont val="Lucida Console"/>
            <family val="3"/>
          </rPr>
          <t>102277|TUBO DE FERRO GALVANIZADO DN (DIAMETRO NOMINAL) 1"|1|61|3|MATERIAL HIDRAULICO, CANOS, TUBOS, MANGUEIRAS, CONEXOES E ACESS.|MHI|Padrão|4|15|60|Ativo|</t>
        </r>
      </text>
    </comment>
    <comment ref="X41" authorId="0" shapeId="0" xr:uid="{00000000-0006-0000-0000-00003A000000}">
      <text>
        <r>
          <rPr>
            <sz val="10"/>
            <color indexed="81"/>
            <rFont val="Lucida Console"/>
            <family val="3"/>
          </rPr>
          <t>121054|TUBO DE FERRO GALVANIZADO DN (DIAMETRO NOMINAL) 3´´ - DIAMETRO EXTERNO BASICO MINIMO 87,9MM E MAXIMO 89,4MM, ESPESSURA DA PAREDE DE 4MM, CLASSE M - ABNT NBR 5580/02 - BARRA COM 6 METROS.|1|61|3|MATERIAL HIDRAULICO, CANOS, TUBOS, MANGUEIRAS, CONEXOES E ACESS.|MHI|Padrão|4|15|60|Ativo|</t>
        </r>
      </text>
    </comment>
    <comment ref="X42" authorId="0" shapeId="0" xr:uid="{00000000-0006-0000-0000-00003B000000}">
      <text>
        <r>
          <rPr>
            <sz val="10"/>
            <color indexed="81"/>
            <rFont val="Lucida Console"/>
            <family val="3"/>
          </rPr>
          <t>49695|MACANETA ALAVANCA CROMADA P/ PORTA DE MADEIRA|1|51|8|MAT.E EQUIP. P/ CONSTR.CIVIL E CONSERV. DE VIAS PUBL.|MCO|Padrão|4|84|336|Ativo|</t>
        </r>
      </text>
    </comment>
    <comment ref="X43" authorId="0" shapeId="0" xr:uid="{00000000-0006-0000-0000-00003C000000}">
      <text>
        <r>
          <rPr>
            <sz val="10"/>
            <color indexed="81"/>
            <rFont val="Lucida Console"/>
            <family val="3"/>
          </rPr>
          <t>134545|PASTILHA CERAMICA, COR AMARELO CANARIO, MEDINDO 10 X 10 CM.|1|51|19|MAT.E EQUIP. P/ CONSTR.CIVIL E CONSERV. DE VIAS PUBL.|MCO|Padrão|4|83|332|Ativo|</t>
        </r>
      </text>
    </comment>
    <comment ref="X44" authorId="0" shapeId="0" xr:uid="{00000000-0006-0000-0000-00003D000000}">
      <text>
        <r>
          <rPr>
            <sz val="10"/>
            <color indexed="81"/>
            <rFont val="Lucida Console"/>
            <family val="3"/>
          </rPr>
          <t>64607|CANTONEIRA DE FERRO - BARRA COM 6 M - 1" X 1/8"|1|69|3|METAIS,LAMINAD.,PERFILADOS E ARTEFATOS METALICOS|MSE|Padrão|4|27|108|Ativo|</t>
        </r>
      </text>
    </comment>
    <comment ref="X45" authorId="0" shapeId="0" xr:uid="{00000000-0006-0000-0000-00003E000000}">
      <text>
        <r>
          <rPr>
            <sz val="10"/>
            <color indexed="81"/>
            <rFont val="Lucida Console"/>
            <family val="3"/>
          </rPr>
          <t>138450|APONTADOR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INMETRO.|1|45|9|MAQ., EQUIP., COMP., ACES., MAT. PARA ESCRIT.E ESCOLAR|EDU|Padrão|4|1748|6992|Ativo|</t>
        </r>
      </text>
    </comment>
    <comment ref="X46" authorId="0" shapeId="0" xr:uid="{00000000-0006-0000-0000-00003F000000}">
      <text>
        <r>
          <rPr>
            <sz val="10"/>
            <color indexed="81"/>
            <rFont val="Lucida Console"/>
            <family val="3"/>
          </rPr>
          <t>36031|PREGO DE ACO C/ CABECA - 15 X 15|1|67|6|PARAFUSOS ELEM. VEDACAO UNIAO CONEX . FIXACAO|MSE|Padrão|4|107|428|Ativo|</t>
        </r>
      </text>
    </comment>
    <comment ref="X47" authorId="0" shapeId="0" xr:uid="{00000000-0006-0000-0000-000040000000}">
      <text>
        <r>
          <rPr>
            <sz val="10"/>
            <color indexed="81"/>
            <rFont val="Lucida Console"/>
            <family val="3"/>
          </rPr>
          <t>139141|PINCEL PARA PINTURA, CABO EM MADEIRA (CURTO OU LONGO), FORMATO CHATO, CERDA BRANCA, TAMANHO 12.|1|45|9|MAQ., EQUIP., COMP., ACES., MAT. PARA ESCRIT.E ESCOLAR|EDU|Padrão|4|5228|20912|Ativo|</t>
        </r>
      </text>
    </comment>
    <comment ref="X48" authorId="0" shapeId="0" xr:uid="{00000000-0006-0000-0000-000041000000}">
      <text>
        <r>
          <rPr>
            <sz val="10"/>
            <color indexed="81"/>
            <rFont val="Lucida Console"/>
            <family val="3"/>
          </rPr>
          <t>114853|VIGA DE GARAPEIRA BRUTA - 60MM X 160MM X 7,00 M COMPRIMENTO|1|74|3|MADEIRAS,LAMINADOS,COMPENSADOS E AGLOMERADOS|MCO|Padrão|4|13|52|Ativo|</t>
        </r>
      </text>
    </comment>
    <comment ref="X49" authorId="0" shapeId="0" xr:uid="{00000000-0006-0000-0000-000042000000}">
      <text>
        <r>
          <rPr>
            <sz val="10"/>
            <color indexed="81"/>
            <rFont val="Lucida Console"/>
            <family val="3"/>
          </rPr>
          <t>101868|TUBO DE FERRO GALVANIZADO DN (DIAMETRO NOMINAL) 3/4" - DIAMETRO EXTERNO BASICO 26,9MM ESPESSURA DA PAREDE DE 3,00MM, CLASSE P - ABNT NBR 5580/02 - BARRA C/6 MT|1|61|3|MATERIAL HIDRAULICO, CANOS, TUBOS, MANGUEIRAS, CONEXOES E ACESS.|MHI|Padrão|4|13|52|Ativo|</t>
        </r>
      </text>
    </comment>
    <comment ref="X50" authorId="0" shapeId="0" xr:uid="{00000000-0006-0000-0000-000043000000}">
      <text>
        <r>
          <rPr>
            <sz val="10"/>
            <color indexed="81"/>
            <rFont val="Lucida Console"/>
            <family val="3"/>
          </rPr>
          <t>139143|PINCEL PARA PINTURA, CABO EM MADEIRA (CURTO OU LONGO), FORMATO CHATO, CERDA BRANCA, TAMANHO 20.|1|45|9|MAQ., EQUIP., COMP., ACES., MAT. PARA ESCRIT.E ESCOLAR|EDU|Padrão|4|5041|20164|Ativo|</t>
        </r>
      </text>
    </comment>
    <comment ref="X51" authorId="0" shapeId="0" xr:uid="{00000000-0006-0000-0000-000044000000}">
      <text>
        <r>
          <rPr>
            <sz val="10"/>
            <color indexed="81"/>
            <rFont val="Lucida Console"/>
            <family val="3"/>
          </rPr>
          <t>139142|PINCEL PARA PINTURA, CABO EM MADEIRA (CURTO OU LONGO), FORMATO CHATO, CERDA BRANCA, TAMANHO 16.|1|45|9|MAQ., EQUIP., COMP., ACES., MAT. PARA ESCRIT.E ESCOLAR|EDU|Padrão|4|5051|20204|Ativo|</t>
        </r>
      </text>
    </comment>
    <comment ref="X52" authorId="0" shapeId="0" xr:uid="{00000000-0006-0000-0000-000045000000}">
      <text>
        <r>
          <rPr>
            <sz val="10"/>
            <color indexed="81"/>
            <rFont val="Lucida Console"/>
            <family val="3"/>
          </rPr>
          <t>13088|LIXA D'AGUA EM FOLHA 225 X 275 MM GRAO 320|1|83|2|ABRASIVOS|MAN|Padrão|4|25|100|Ativo|</t>
        </r>
      </text>
    </comment>
    <comment ref="X53" authorId="0" shapeId="0" xr:uid="{00000000-0006-0000-0000-000046000000}">
      <text>
        <r>
          <rPr>
            <sz val="10"/>
            <color indexed="81"/>
            <rFont val="Lucida Console"/>
            <family val="3"/>
          </rPr>
          <t>138454|CADERNO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FSC/CERFLOR.|1|45|11|MAQ., EQUIP., COMP., ACES., MAT. PARA ESCRIT.E ESCOLAR|EDU|Padrão|4|8683|34732|Ativo|</t>
        </r>
      </text>
    </comment>
    <comment ref="X54" authorId="0" shapeId="0" xr:uid="{00000000-0006-0000-0000-000047000000}">
      <text>
        <r>
          <rPr>
            <sz val="10"/>
            <color indexed="81"/>
            <rFont val="Lucida Console"/>
            <family val="3"/>
          </rPr>
          <t>17662|LIXA D'AGUA EM FOLHA 225 X 275 MM GRAO 120|1|83|2|ABRASIVOS|MAN|Padrão|4|24|96|Ativo|</t>
        </r>
      </text>
    </comment>
    <comment ref="X55" authorId="0" shapeId="0" xr:uid="{00000000-0006-0000-0000-000048000000}">
      <text>
        <r>
          <rPr>
            <sz val="10"/>
            <color indexed="81"/>
            <rFont val="Lucida Console"/>
            <family val="3"/>
          </rPr>
          <t>13066|LIXA D'AGUA EM FOLHA 225 X 275 MM GRAO 150|1|83|2|ABRASIVOS|MAN|Padrão|4|24|96|Ativo|</t>
        </r>
      </text>
    </comment>
    <comment ref="X56" authorId="0" shapeId="0" xr:uid="{00000000-0006-0000-0000-000049000000}">
      <text>
        <r>
          <rPr>
            <sz val="10"/>
            <color indexed="81"/>
            <rFont val="Lucida Console"/>
            <family val="3"/>
          </rPr>
          <t>112157|TOMADA 2P+T DE 20A/250V DE SOBREPOR COM CAIXA, PADRAO NBR 14136|1|55|37|EQUIP. MAT. P/ GERACAO, TRANSM. DISTR. RETIF...|MEL|Padrão|4|12|48|Ativo|</t>
        </r>
      </text>
    </comment>
    <comment ref="X57" authorId="0" shapeId="0" xr:uid="{00000000-0006-0000-0000-00004A000000}">
      <text>
        <r>
          <rPr>
            <sz val="10"/>
            <color indexed="81"/>
            <rFont val="Lucida Console"/>
            <family val="3"/>
          </rPr>
          <t>64462|PORCA SEXTAVADA DE ACO DE 1/4"|1|67|4|PARAFUSOS ELEM. VEDACAO UNIAO CONEX . FIXACAO|MSE|Padrão|4|107|428|Ativo|</t>
        </r>
      </text>
    </comment>
    <comment ref="X58" authorId="0" shapeId="0" xr:uid="{00000000-0006-0000-0000-00004B000000}">
      <text>
        <r>
          <rPr>
            <sz val="10"/>
            <color indexed="81"/>
            <rFont val="Lucida Console"/>
            <family val="3"/>
          </rPr>
          <t>29293|BUCHA DE FIXACAO N° 10 - DE NYLON|1|67|9|PARAFUSOS ELEM. VEDACAO UNIAO CONEX . FIXACAO|MSE|Padrão|4|93|372|CANCELADO|</t>
        </r>
      </text>
    </comment>
    <comment ref="X59" authorId="0" shapeId="0" xr:uid="{00000000-0006-0000-0000-00004C000000}">
      <text>
        <r>
          <rPr>
            <sz val="10"/>
            <color indexed="81"/>
            <rFont val="Lucida Console"/>
            <family val="3"/>
          </rPr>
          <t>61201|LUVA DE PVC SOLDAVEL / ROSQUEAVEL AZUL - 3/4"|1|61|8|MATERIAL HIDRAULICO, CANOS, TUBOS, MANGUEIRAS, CONEXOES E ACESS.|MHI|Padrão|4|100|400|Ativo|</t>
        </r>
      </text>
    </comment>
    <comment ref="L60" authorId="4" shapeId="0" xr:uid="{00000000-0006-0000-0000-00004D000000}">
      <text>
        <r>
          <rPr>
            <sz val="10"/>
            <color indexed="81"/>
            <rFont val="Lucida Console"/>
            <family val="3"/>
          </rPr>
          <t>_x000D_
Alterado em 03.08.2020_x000D_
Anterior = 9</t>
        </r>
      </text>
    </comment>
    <comment ref="M60" authorId="4" shapeId="0" xr:uid="{00000000-0006-0000-0000-00004E000000}">
      <text>
        <r>
          <rPr>
            <sz val="10"/>
            <color indexed="81"/>
            <rFont val="Lucida Console"/>
            <family val="3"/>
          </rPr>
          <t>_x000D_
Alterado em 03.08.2020_x000D_
Anterior = 01.08.2020</t>
        </r>
      </text>
    </comment>
    <comment ref="X60" authorId="0" shapeId="0" xr:uid="{00000000-0006-0000-0000-00004F000000}">
      <text>
        <r>
          <rPr>
            <sz val="10"/>
            <color indexed="81"/>
            <rFont val="Lucida Console"/>
            <family val="3"/>
          </rPr>
          <t>77556|VIGA DE GARAPEIRA BRUTA - MEDIDAS: 06 CM X 16 CM X 4,50 M|1|74|3|MADEIRAS,LAMINADOS,COMPENSADOS E AGLOMERADOS|MCO|Padrão|4|11|44|Ativo|</t>
        </r>
      </text>
    </comment>
    <comment ref="X61" authorId="0" shapeId="0" xr:uid="{00000000-0006-0000-0000-000050000000}">
      <text>
        <r>
          <rPr>
            <sz val="10"/>
            <color indexed="81"/>
            <rFont val="Lucida Console"/>
            <family val="3"/>
          </rPr>
          <t>120615|GUARNICAO PARA POLICARBONATO, REFERENCIA "GUA-030", CONFECCIONADA EM EPDM - MEDIDAS: 12,0 X 6,5 X  4,8 X 2,5 MM (VARIACAO: 0,5 MM)|1|80|13|CABOS CORRENTES CORDAS ESTICADORES E ART. BORRACHA|MAN|Padrão|4|21|84|Ativo|</t>
        </r>
      </text>
    </comment>
    <comment ref="X62" authorId="0" shapeId="0" xr:uid="{00000000-0006-0000-0000-000051000000}">
      <text>
        <r>
          <rPr>
            <sz val="10"/>
            <color indexed="81"/>
            <rFont val="Lucida Console"/>
            <family val="3"/>
          </rPr>
          <t>13218|LIXA D'AGUA EM FOLHA 225 X 275 MM GRAO 100|1|83|2|ABRASIVOS|MAN|Padrão|4|42|168|Ativo|</t>
        </r>
      </text>
    </comment>
    <comment ref="X63" authorId="0" shapeId="0" xr:uid="{00000000-0006-0000-0000-000052000000}">
      <text>
        <r>
          <rPr>
            <sz val="10"/>
            <color indexed="81"/>
            <rFont val="Lucida Console"/>
            <family val="3"/>
          </rPr>
          <t>134568|BUCHA DE FIXACAO UNIVERSAL Nº 10 DE NYLON PARA BASES OCAS E MACICAS|1|67|9|PARAFUSOS ELEM. VEDACAO UNIAO CONEX . FIXACAO|MSE|Padrão|4|500|2000|Ativo|</t>
        </r>
      </text>
    </comment>
    <comment ref="L64" authorId="1" shapeId="0" xr:uid="{00000000-0006-0000-0000-000053000000}">
      <text>
        <r>
          <rPr>
            <sz val="10"/>
            <color indexed="81"/>
            <rFont val="Lucida Console"/>
            <family val="3"/>
          </rPr>
          <t>_x000D_
Alterado em 13.10.2020_x000D_
Anterior = 10</t>
        </r>
      </text>
    </comment>
    <comment ref="M64" authorId="1" shapeId="0" xr:uid="{00000000-0006-0000-0000-000054000000}">
      <text>
        <r>
          <rPr>
            <sz val="10"/>
            <color indexed="81"/>
            <rFont val="Lucida Console"/>
            <family val="3"/>
          </rPr>
          <t>_x000D_
Alterado em 13.10.2020_x000D_
Anterior = 01.10.2020</t>
        </r>
      </text>
    </comment>
    <comment ref="X64" authorId="0" shapeId="0" xr:uid="{00000000-0006-0000-0000-000055000000}">
      <text>
        <r>
          <rPr>
            <sz val="10"/>
            <color indexed="81"/>
            <rFont val="Lucida Console"/>
            <family val="3"/>
          </rPr>
          <t>82996|GONZO COM CHUMBADOR N. 3 (65MM)|1|51|8|MAT.E EQUIP. P/ CONSTR.CIVIL E CONSERV. DE VIAS PUBL.|MCO|Padrão|4|38|152|Ativo|</t>
        </r>
      </text>
    </comment>
    <comment ref="X65" authorId="0" shapeId="0" xr:uid="{00000000-0006-0000-0000-000056000000}">
      <text>
        <r>
          <rPr>
            <sz val="10"/>
            <color indexed="81"/>
            <rFont val="Lucida Console"/>
            <family val="3"/>
          </rPr>
          <t>91250|PLASTICO BOLHA - MEDIDA 1,20 M LARGURA|1|45|17|MAQ., EQUIP., COMP., ACES., MAT. PARA ESCRIT.E ESCOLAR|EDU|Padrão|4|64|256|Ativo|</t>
        </r>
      </text>
    </comment>
    <comment ref="X66" authorId="0" shapeId="0" xr:uid="{00000000-0006-0000-0000-000057000000}">
      <text>
        <r>
          <rPr>
            <sz val="10"/>
            <color indexed="81"/>
            <rFont val="Lucida Console"/>
            <family val="3"/>
          </rPr>
          <t>19998|BROCA DE ACO RAPIDO HELICOIDAL DE 1/2" COM HASTE CILINDRICA|1|70|31|FERRAMENTAS MAQ.FERRAMENTAS,ELETR.PECAS E ACESSORI|MAN|Padrão|4|9|36|Ativo|</t>
        </r>
      </text>
    </comment>
    <comment ref="X67" authorId="0" shapeId="0" xr:uid="{00000000-0006-0000-0000-000058000000}">
      <text>
        <r>
          <rPr>
            <sz val="10"/>
            <color indexed="81"/>
            <rFont val="Lucida Console"/>
            <family val="3"/>
          </rPr>
          <t>50475|CUMEEIRA DE BARRO COZIDO|1|51|17|MAT.E EQUIP. P/ CONSTR.CIVIL E CONSERV. DE VIAS PUBL.|MCO|Padrão|4|18|72|Ativo|</t>
        </r>
      </text>
    </comment>
    <comment ref="X68" authorId="0" shapeId="0" xr:uid="{00000000-0006-0000-0000-000059000000}">
      <text>
        <r>
          <rPr>
            <sz val="10"/>
            <color indexed="81"/>
            <rFont val="Lucida Console"/>
            <family val="3"/>
          </rPr>
          <t>28512|TUBO DE POLIETILENO DE 3/4" -  (PONTA VERMELHA)|1|61|2|MATERIAL HIDRAULICO, CANOS, TUBOS, MANGUEIRAS, CONEXOES E ACESS.|MHI|Padrão|4|18|72|Ativo|</t>
        </r>
      </text>
    </comment>
    <comment ref="X69" authorId="0" shapeId="0" xr:uid="{00000000-0006-0000-0000-00005A000000}">
      <text>
        <r>
          <rPr>
            <sz val="10"/>
            <color indexed="81"/>
            <rFont val="Lucida Console"/>
            <family val="3"/>
          </rPr>
          <t>12922|LUVA DE REDUCAO EM PVC RIGIDO SOLDAVEL DE 32 X 25 MM - 1" X|1|61|8|MATERIAL HIDRAULICO, CANOS, TUBOS, MANGUEIRAS, CONEXOES E ACESS.|MHI|Padrão|4|9|36|Ativo|</t>
        </r>
      </text>
    </comment>
    <comment ref="X70" authorId="0" shapeId="0" xr:uid="{00000000-0006-0000-0000-00005B000000}">
      <text>
        <r>
          <rPr>
            <sz val="10"/>
            <color indexed="81"/>
            <rFont val="Lucida Console"/>
            <family val="3"/>
          </rPr>
          <t>78418|PARAFUSO SEXTAVADO - 1/2" X 3.1/2" - COM PORCA|1|67|16|PARAFUSOS ELEM. VEDACAO UNIAO CONEX . FIXACAO|MSE|Padrão|4|9|36|Ativo|</t>
        </r>
      </text>
    </comment>
    <comment ref="X71" authorId="0" shapeId="0" xr:uid="{00000000-0006-0000-0000-00005C000000}">
      <text>
        <r>
          <rPr>
            <sz val="10"/>
            <color indexed="81"/>
            <rFont val="Lucida Console"/>
            <family val="3"/>
          </rPr>
          <t>17698|LIXA P/ FERRO E METAIS EM FOLHA DE 200 X 275 MM - Nº 120|1|83|2|ABRASIVOS|MAN|Padrão|4|44|176|Ativo|</t>
        </r>
      </text>
    </comment>
    <comment ref="X72" authorId="0" shapeId="0" xr:uid="{00000000-0006-0000-0000-00005D000000}">
      <text>
        <r>
          <rPr>
            <sz val="10"/>
            <color indexed="81"/>
            <rFont val="Lucida Console"/>
            <family val="3"/>
          </rPr>
          <t>64817|FERRO REDONDO 3/8" MECANICO, BARRA C/ 06 METROS|1|69|8|METAIS,LAMINAD.,PERFILADOS E ARTEFATOS METALICOS|MSE|Padrão|4|17|68|Ativo|</t>
        </r>
      </text>
    </comment>
    <comment ref="X73" authorId="2" shapeId="0" xr:uid="{00000000-0006-0000-0000-00005E000000}">
      <text>
        <r>
          <rPr>
            <sz val="9"/>
            <color indexed="81"/>
            <rFont val="Segoe UI"/>
            <family val="2"/>
          </rPr>
          <t>14887|ELETRODUTO FLEXIVEL CORRUGADO DE 2"|1|55|32|EQUIP. MAT. P/ GERACAO, TRANSM. DISTR. RETIF...|MEL|Personalizado|3|42|126|Ativo|</t>
        </r>
      </text>
    </comment>
    <comment ref="X74" authorId="0" shapeId="0" xr:uid="{00000000-0006-0000-0000-00005F000000}">
      <text>
        <r>
          <rPr>
            <sz val="10"/>
            <color indexed="81"/>
            <rFont val="Lucida Console"/>
            <family val="3"/>
          </rPr>
          <t>114976|CABO DE COBRE FLEXIVEL BITOLA 240 MM2 ISOLACAO 0,6/1KV , TEMPERATURA 70° C, COR PRETA - ANTICHAMA|1|55|19|EQUIP. MAT. P/ GERACAO, TRANSM. DISTR. RETIF...|MEL|Padrão|4|25|100|Ativo|</t>
        </r>
      </text>
    </comment>
    <comment ref="X75" authorId="0" shapeId="0" xr:uid="{00000000-0006-0000-0000-000060000000}">
      <text>
        <r>
          <rPr>
            <sz val="10"/>
            <color indexed="81"/>
            <rFont val="Lucida Console"/>
            <family val="3"/>
          </rPr>
          <t>67939|GUARNICAO PARA PORTA 0,92 X 2,10 M|1|51|28|MAT.E EQUIP. P/ CONSTR.CIVIL E CONSERV. DE VIAS PUBL.|MCO|Padrão|4|33|132|Ativo|</t>
        </r>
      </text>
    </comment>
    <comment ref="X76" authorId="0" shapeId="0" xr:uid="{00000000-0006-0000-0000-000061000000}">
      <text>
        <r>
          <rPr>
            <sz val="10"/>
            <color indexed="81"/>
            <rFont val="Lucida Console"/>
            <family val="3"/>
          </rPr>
          <t>28093|TRAVA DE SEGURANCA, CHAVE TETRA, P/ PORTAS|1|51|11|MAT.E EQUIP. P/ CONSTR.CIVIL E CONSERV. DE VIAS PUBL.|MCO|Padrão|4|8|32|Ativo|</t>
        </r>
      </text>
    </comment>
    <comment ref="X77" authorId="0" shapeId="0" xr:uid="{00000000-0006-0000-0000-000062000000}">
      <text>
        <r>
          <rPr>
            <sz val="10"/>
            <color indexed="81"/>
            <rFont val="Lucida Console"/>
            <family val="3"/>
          </rPr>
          <t>88740|DISJUNTOR NORMA DIN CURVA C PADRAO, BIPOLAR, 63 AMPERES|1|55|26|EQUIP. MAT. P/ GERACAO, TRANSM. DISTR. RETIF...|MEL|Padrão|4|8|32|Ativo|</t>
        </r>
      </text>
    </comment>
    <comment ref="X78" authorId="0" shapeId="0" xr:uid="{00000000-0006-0000-0000-000063000000}">
      <text>
        <r>
          <rPr>
            <sz val="10"/>
            <color indexed="81"/>
            <rFont val="Lucida Console"/>
            <family val="3"/>
          </rPr>
          <t>88734|DISJUNTOR NORMA DIN CURVA C PADRAO, TRIPOLAR, 40 AMPERES|1|55|26|EQUIP. MAT. P/ GERACAO, TRANSM. DISTR. RETIF...|MEL|Padrão|4|8|32|Ativo|</t>
        </r>
      </text>
    </comment>
    <comment ref="X79" authorId="0" shapeId="0" xr:uid="{00000000-0006-0000-0000-000064000000}">
      <text>
        <r>
          <rPr>
            <sz val="10"/>
            <color indexed="81"/>
            <rFont val="Lucida Console"/>
            <family val="3"/>
          </rPr>
          <t>82185|VIGA DE GARAPEIRA BRUTA - 60MM X 160MM X 6,00 M COMPRIMENTO|1|74|3|MADEIRAS,LAMINADOS,COMPENSADOS E AGLOMERADOS|MCO|Padrão|4|15|60|Ativo|</t>
        </r>
      </text>
    </comment>
    <comment ref="X80" authorId="0" shapeId="0" xr:uid="{00000000-0006-0000-0000-000065000000}">
      <text>
        <r>
          <rPr>
            <sz val="10"/>
            <color indexed="81"/>
            <rFont val="Lucida Console"/>
            <family val="3"/>
          </rPr>
          <t>134556|FITA DE BORDA CARVALHO MALVA OU SIMILAR, MEDINDO: 22 MM X 0,45 MM X 20 M.|1|74|2|MADEIRAS,LAMINADOS,COMPENSADOS E AGLOMERADOS|MCO|Padrão|4|7|28|Ativo|</t>
        </r>
      </text>
    </comment>
    <comment ref="X81" authorId="0" shapeId="0" xr:uid="{00000000-0006-0000-0000-000066000000}">
      <text>
        <r>
          <rPr>
            <sz val="10"/>
            <color indexed="81"/>
            <rFont val="Lucida Console"/>
            <family val="3"/>
          </rPr>
          <t>102728|GANCHO CURTO PARA PERFILADO|1|69|8|METAIS,LAMINAD.,PERFILADOS E ARTEFATOS METALICOS|MSE|Padrão|4|7|28|Ativo|</t>
        </r>
      </text>
    </comment>
    <comment ref="X82" authorId="0" shapeId="0" xr:uid="{00000000-0006-0000-0000-000067000000}">
      <text>
        <r>
          <rPr>
            <sz val="10"/>
            <color indexed="81"/>
            <rFont val="Lucida Console"/>
            <family val="3"/>
          </rPr>
          <t>114852|VIGA DE GARAPEIRA BRUTA - 60MM X 160MM X 6,50 M COMPRIMENTO|1|74|3|MADEIRAS,LAMINADOS,COMPENSADOS E AGLOMERADOS|MCO|Padrão|4|13|52|Ativo|</t>
        </r>
      </text>
    </comment>
    <comment ref="J83" authorId="2" shapeId="0" xr:uid="{00000000-0006-0000-0000-000068000000}">
      <text>
        <r>
          <rPr>
            <b/>
            <sz val="9"/>
            <color indexed="81"/>
            <rFont val="Segoe UI"/>
            <family val="2"/>
          </rPr>
          <t>Marcos:</t>
        </r>
        <r>
          <rPr>
            <sz val="9"/>
            <color indexed="81"/>
            <rFont val="Segoe UI"/>
            <family val="2"/>
          </rPr>
          <t xml:space="preserve">
10 porque houve pico de consumo de 22</t>
        </r>
      </text>
    </comment>
    <comment ref="X83" authorId="0" shapeId="0" xr:uid="{00000000-0006-0000-0000-000069000000}">
      <text>
        <r>
          <rPr>
            <sz val="10"/>
            <color indexed="81"/>
            <rFont val="Lucida Console"/>
            <family val="3"/>
          </rPr>
          <t>14754|FITA ISOLANTE 19 MM X 10 M DE AUTO FUSAO (ALTA TENSAO) -|1|55|40|EQUIP. MAT. P/ GERACAO, TRANSM. DISTR. RETIF...|MEL|Padrão|4|13|52|Ativo|</t>
        </r>
      </text>
    </comment>
    <comment ref="X84" authorId="0" shapeId="0" xr:uid="{00000000-0006-0000-0000-00006A000000}">
      <text>
        <r>
          <rPr>
            <sz val="10"/>
            <color indexed="81"/>
            <rFont val="Lucida Console"/>
            <family val="3"/>
          </rPr>
          <t>89864|PARAFUSO ZINCO AMARELO, CABECA CHATA PH 4,0 X 30 - CAIXA COM 500 UNIDADES|1|67|3|PARAFUSOS ELEM. VEDACAO UNIAO CONEX . FIXACAO|MSE|Padrão|4|13|52|Ativo|</t>
        </r>
      </text>
    </comment>
    <comment ref="J85" authorId="2" shapeId="0" xr:uid="{00000000-0006-0000-0000-00006B000000}">
      <text>
        <r>
          <rPr>
            <b/>
            <sz val="9"/>
            <color indexed="81"/>
            <rFont val="Segoe UI"/>
            <family val="2"/>
          </rPr>
          <t>Marcos:</t>
        </r>
        <r>
          <rPr>
            <sz val="9"/>
            <color indexed="81"/>
            <rFont val="Segoe UI"/>
            <family val="2"/>
          </rPr>
          <t xml:space="preserve">
50 porque houve pico de consumo mensal recente de 200.</t>
        </r>
      </text>
    </comment>
    <comment ref="X85" authorId="0" shapeId="0" xr:uid="{00000000-0006-0000-0000-00006C000000}">
      <text>
        <r>
          <rPr>
            <sz val="10"/>
            <color indexed="81"/>
            <rFont val="Lucida Console"/>
            <family val="3"/>
          </rPr>
          <t>105889|PERFIL CADEIRA DE FERRO, MEDINDO 50 MM X 25 MM, BARRA COM 3 METROS.|1|69|2|METAIS,LAMINAD.,PERFILADOS E ARTEFATOS METALICOS|MSE|Padrão|4|50|200|Ativo|</t>
        </r>
      </text>
    </comment>
    <comment ref="X86" authorId="0" shapeId="0" xr:uid="{00000000-0006-0000-0000-00006D000000}">
      <text>
        <r>
          <rPr>
            <sz val="10"/>
            <color indexed="81"/>
            <rFont val="Lucida Console"/>
            <family val="3"/>
          </rPr>
          <t>87699|REFIL DE BORRACHA PARA RODO DE ALUMINIO DE 40 CM|1|72|5|MAQ.EQUIP.E MATERIAIS P/ HIGIEN.LIMP.POLIM.E LUBR.|ADM|Padrão|4|6|24|Ativo|</t>
        </r>
      </text>
    </comment>
    <comment ref="L87" authorId="1" shapeId="0" xr:uid="{00000000-0006-0000-0000-00006E000000}">
      <text>
        <r>
          <rPr>
            <sz val="10"/>
            <color indexed="81"/>
            <rFont val="Lucida Console"/>
            <family val="3"/>
          </rPr>
          <t>_x000D_
Alterado em 01.10.2020_x000D_
Anterior = 2</t>
        </r>
      </text>
    </comment>
    <comment ref="M87" authorId="1" shapeId="0" xr:uid="{00000000-0006-0000-0000-00006F000000}">
      <text>
        <r>
          <rPr>
            <sz val="10"/>
            <color indexed="81"/>
            <rFont val="Lucida Console"/>
            <family val="3"/>
          </rPr>
          <t>_x000D_
Alterado em 01.10.2020_x000D_
Anterior = 01.10.2020</t>
        </r>
      </text>
    </comment>
    <comment ref="X87" authorId="0" shapeId="0" xr:uid="{00000000-0006-0000-0000-000070000000}">
      <text>
        <r>
          <rPr>
            <sz val="10"/>
            <color indexed="81"/>
            <rFont val="Lucida Console"/>
            <family val="3"/>
          </rPr>
          <t>88733|DISJUNTOR NORMA DIN CURVA C PADRAO, TRIPOLAR, 32 AMPERES|1|55|26|EQUIP. MAT. P/ GERACAO, TRANSM. DISTR. RETIF...|MEL|Padrão|4|6|24|Ativo|</t>
        </r>
      </text>
    </comment>
    <comment ref="X88" authorId="0" shapeId="0" xr:uid="{00000000-0006-0000-0000-000071000000}">
      <text>
        <r>
          <rPr>
            <sz val="10"/>
            <color indexed="81"/>
            <rFont val="Lucida Console"/>
            <family val="3"/>
          </rPr>
          <t>110702|ELETRODUTO GALVANIZADO A FOGO - LEVE  1"|1|55|32|EQUIP. MAT. P/ GERACAO, TRANSM. DISTR. RETIF...|MEL|Padrão|4|6|24|Ativo|</t>
        </r>
      </text>
    </comment>
    <comment ref="X89" authorId="0" shapeId="0" xr:uid="{00000000-0006-0000-0000-000072000000}">
      <text>
        <r>
          <rPr>
            <sz val="10"/>
            <color indexed="81"/>
            <rFont val="Lucida Console"/>
            <family val="3"/>
          </rPr>
          <t>15668|TERMINAL DE COMPRESSAO TIPO OLHAL P/ CABO DE COBRE 120MM2|1|55|35|EQUIP. MAT. P/ GERACAO, TRANSM. DISTR. RETIF...|MEL|Padrão|4|6|24|Ativo|</t>
        </r>
      </text>
    </comment>
    <comment ref="X90" authorId="0" shapeId="0" xr:uid="{00000000-0006-0000-0000-000073000000}">
      <text>
        <r>
          <rPr>
            <sz val="10"/>
            <color indexed="81"/>
            <rFont val="Lucida Console"/>
            <family val="3"/>
          </rPr>
          <t>126345|AGUA DESTILADA PARA BATERIA - FRASCO C/ 1 LITRO|1|89|7|PEC.P/ VEICULO DE USO ESPECIAL E BATERIASROLAMENTO|MFR|Padrão|4|40|160|Ativo|</t>
        </r>
      </text>
    </comment>
    <comment ref="X91" authorId="0" shapeId="0" xr:uid="{00000000-0006-0000-0000-000074000000}">
      <text>
        <r>
          <rPr>
            <sz val="10"/>
            <color indexed="81"/>
            <rFont val="Lucida Console"/>
            <family val="3"/>
          </rPr>
          <t>17696|LIXA P/ FERRO E METAIS EM FOLHA DE 225 X 275 MM - N.º 220|1|83|2|ABRASIVOS|MAN|Padrão|4|17|68|Ativo|</t>
        </r>
      </text>
    </comment>
    <comment ref="X92" authorId="0" shapeId="0" xr:uid="{00000000-0006-0000-0000-000075000000}">
      <text>
        <r>
          <rPr>
            <sz val="10"/>
            <color indexed="81"/>
            <rFont val="Lucida Console"/>
            <family val="3"/>
          </rPr>
          <t>110895|INTERRUPTOR 10A X 250V INTERNO C/ 01 TECLA PARALELA COM PLACA 4 X 2.|1|55|7|EQUIP. MAT. P/ GERACAO, TRANSM. DISTR. RETIF...|MEL|Padrão|4|34|136|Ativo|</t>
        </r>
      </text>
    </comment>
    <comment ref="J93" authorId="2" shapeId="0" xr:uid="{00000000-0006-0000-0000-000076000000}">
      <text>
        <r>
          <rPr>
            <b/>
            <sz val="9"/>
            <color indexed="81"/>
            <rFont val="Segoe UI"/>
            <family val="2"/>
          </rPr>
          <t>Marcos:</t>
        </r>
        <r>
          <rPr>
            <sz val="9"/>
            <color indexed="81"/>
            <rFont val="Segoe UI"/>
            <family val="2"/>
          </rPr>
          <t xml:space="preserve">
10 porque houve pico de consumo de 20.</t>
        </r>
      </text>
    </comment>
    <comment ref="X93" authorId="0" shapeId="0" xr:uid="{00000000-0006-0000-0000-000077000000}">
      <text>
        <r>
          <rPr>
            <sz val="10"/>
            <color indexed="81"/>
            <rFont val="Lucida Console"/>
            <family val="3"/>
          </rPr>
          <t>70967|CANO DE ALUMINIO P/ CHUVEIRO - 40 CM|1|61|3|MATERIAL HIDRAULICO, CANOS, TUBOS, MANGUEIRAS, CONEXOES E ACESS.|MHI|Padrão|4|17|68|Ativo|</t>
        </r>
      </text>
    </comment>
    <comment ref="X94" authorId="0" shapeId="0" xr:uid="{00000000-0006-0000-0000-000078000000}">
      <text>
        <r>
          <rPr>
            <sz val="10"/>
            <color indexed="81"/>
            <rFont val="Lucida Console"/>
            <family val="3"/>
          </rPr>
          <t>25523|COTOVELO EM PVC AZUL-COLA E ROSCA DE 3/4"|1|61|8|MATERIAL HIDRAULICO, CANOS, TUBOS, MANGUEIRAS, CONEXOES E ACESS.|MHI|Padrão|4|17|68|Ativo|</t>
        </r>
      </text>
    </comment>
    <comment ref="X95" authorId="0" shapeId="0" xr:uid="{00000000-0006-0000-0000-000079000000}">
      <text>
        <r>
          <rPr>
            <sz val="10"/>
            <color indexed="81"/>
            <rFont val="Lucida Console"/>
            <family val="3"/>
          </rPr>
          <t>138465|PASTA PLASTICA COM ELASTICO, SEM LOMBADA, MEDINDO 235 MM X 335 MM (VARIACAO DE +/- 2 MM). ATOXICA. ELASTICO DE BORRACHA REVESTIDO COM TECIDO TRANSPASSADO E TERMINAL PLASTICO, DE BOA QUALIDADE. COR: TRANSPARENTE/ CRISTAL.|1|45|9|MAQ., EQUIP., COMP., ACES., MAT. PARA ESCRIT.E ESCOLAR|EDU|Padrão|4|1011|4044|Ativo|</t>
        </r>
      </text>
    </comment>
    <comment ref="X96" authorId="0" shapeId="0" xr:uid="{00000000-0006-0000-0000-00007A000000}">
      <text>
        <r>
          <rPr>
            <sz val="10"/>
            <color indexed="81"/>
            <rFont val="Lucida Console"/>
            <family val="3"/>
          </rPr>
          <t>132465|FECHO CHATO COM PORTA CADEADO ZINCADO 5" REFORCADO, COM PARAFUSOS, MATERIAL DO FECHO:  ACO CARBONO, MEDIDA: 127MM.|1|51|11|MAT.E EQUIP. P/ CONSTR.CIVIL E CONSERV. DE VIAS PUBL.|MCO|Padrão|4|50|200|Ativo|</t>
        </r>
      </text>
    </comment>
    <comment ref="X97" authorId="0" shapeId="0" xr:uid="{00000000-0006-0000-0000-00007B000000}">
      <text>
        <r>
          <rPr>
            <sz val="10"/>
            <color indexed="81"/>
            <rFont val="Lucida Console"/>
            <family val="3"/>
          </rPr>
          <t>54552|TUBO DE FERRO METALON - 50 X 50 X 1,5MM - BARRA COM 6 METRO|1|61|3|MATERIAL HIDRAULICO, CANOS, TUBOS, MANGUEIRAS, CONEXOES E ACESS.|MHI|Padrão|4|50|200|Ativo|</t>
        </r>
      </text>
    </comment>
    <comment ref="X98" authorId="0" shapeId="0" xr:uid="{00000000-0006-0000-0000-00007C000000}">
      <text>
        <r>
          <rPr>
            <sz val="10"/>
            <color indexed="81"/>
            <rFont val="Lucida Console"/>
            <family val="3"/>
          </rPr>
          <t>133819|ESPUDE BRANCO DE BORRACHA DE 1.1/2" PARA BACIAS CONVENCIONAIS DE 2"|1|61|11|MATERIAL HIDRAULICO, CANOS, TUBOS, MANGUEIRAS, CONEXOES E ACESS.|MHI|Padrão|4|100|400|Ativo|</t>
        </r>
      </text>
    </comment>
    <comment ref="X99" authorId="0" shapeId="0" xr:uid="{00000000-0006-0000-0000-00007D000000}">
      <text>
        <r>
          <rPr>
            <sz val="10"/>
            <color indexed="81"/>
            <rFont val="Lucida Console"/>
            <family val="3"/>
          </rPr>
          <t>88732|DISJUNTOR NORMA DIN CURVA C PADRAO, TRIPOLAR, 20 AMPERES|1|55|26|EQUIP. MAT. P/ GERACAO, TRANSM. DISTR. RETIF...|MEL|Padrão|4|11|44|Ativo|</t>
        </r>
      </text>
    </comment>
    <comment ref="X100" authorId="0" shapeId="0" xr:uid="{00000000-0006-0000-0000-00007E000000}">
      <text>
        <r>
          <rPr>
            <sz val="10"/>
            <color indexed="81"/>
            <rFont val="Lucida Console"/>
            <family val="3"/>
          </rPr>
          <t>14055|PREGO COMUM DE CABECA CHATA - 19 X 36|1|67|6|PARAFUSOS ELEM. VEDACAO UNIAO CONEX . FIXACAO|MSE|Padrão|4|11|44|Ativo|</t>
        </r>
      </text>
    </comment>
    <comment ref="X101" authorId="0" shapeId="0" xr:uid="{00000000-0006-0000-0000-00007F000000}">
      <text>
        <r>
          <rPr>
            <sz val="10"/>
            <color indexed="81"/>
            <rFont val="Lucida Console"/>
            <family val="3"/>
          </rPr>
          <t>133788|ESQUADRO DE 45° - COR: TRANSPARENTE.|1|45|16|MAQ., EQUIP., COMP., ACES., MAT. PARA ESCRIT.E ESCOLAR|EDU|Padrão|4|113|452|Ativo|</t>
        </r>
      </text>
    </comment>
    <comment ref="X102" authorId="0" shapeId="0" xr:uid="{00000000-0006-0000-0000-000080000000}">
      <text>
        <r>
          <rPr>
            <sz val="10"/>
            <color indexed="81"/>
            <rFont val="Lucida Console"/>
            <family val="3"/>
          </rPr>
          <t>133790|ESQUADRO DE 60° - COR: TRANSPARENTE.|1|45|16|MAQ., EQUIP., COMP., ACES., MAT. PARA ESCRIT.E ESCOLAR|EDU|Padrão|4|113|452|Ativo|</t>
        </r>
      </text>
    </comment>
    <comment ref="X103" authorId="0" shapeId="0" xr:uid="{00000000-0006-0000-0000-000081000000}">
      <text>
        <r>
          <rPr>
            <sz val="10"/>
            <color indexed="81"/>
            <rFont val="Lucida Console"/>
            <family val="3"/>
          </rPr>
          <t>133791|TRANSFERIDOR DE 180° - COR: TRANSPARENTE|1|45|16|MAQ., EQUIP., COMP., ACES., MAT. PARA ESCRIT.E ESCOLAR|EDU|Padrão|4|102|408|Ativo|</t>
        </r>
      </text>
    </comment>
    <comment ref="X104" authorId="0" shapeId="0" xr:uid="{00000000-0006-0000-0000-000082000000}">
      <text>
        <r>
          <rPr>
            <sz val="10"/>
            <color indexed="81"/>
            <rFont val="Lucida Console"/>
            <family val="3"/>
          </rPr>
          <t>75334|CHAPA EM MDF, BRANCO, 02 FACES - MED. 2,75 M X 1,83 M X 15 MM|1|69|1|METAIS,LAMINAD.,PERFILADOS E ARTEFATOS METALICOS|MSE|Padrão|4|100|400|Ativo|</t>
        </r>
      </text>
    </comment>
    <comment ref="L105" authorId="1" shapeId="0" xr:uid="{00000000-0006-0000-0000-000083000000}">
      <text>
        <r>
          <rPr>
            <sz val="10"/>
            <color indexed="81"/>
            <rFont val="Lucida Console"/>
            <family val="3"/>
          </rPr>
          <t>_x000D_
Alterado em 01.10.2020_x000D_
Anterior = 13</t>
        </r>
      </text>
    </comment>
    <comment ref="M105" authorId="1" shapeId="0" xr:uid="{00000000-0006-0000-0000-000084000000}">
      <text>
        <r>
          <rPr>
            <sz val="10"/>
            <color indexed="81"/>
            <rFont val="Lucida Console"/>
            <family val="3"/>
          </rPr>
          <t>_x000D_
Alterado em 01.10.2020_x000D_
Anterior = 01.10.2020</t>
        </r>
      </text>
    </comment>
    <comment ref="X105" authorId="0" shapeId="0" xr:uid="{00000000-0006-0000-0000-000085000000}">
      <text>
        <r>
          <rPr>
            <sz val="10"/>
            <color indexed="81"/>
            <rFont val="Lucida Console"/>
            <family val="3"/>
          </rPr>
          <t>138553|LUMINARIA PUBLICA, PARA POSTE, COM DRIVER INCORPORADO, VIDA UTIL MINIMO DE 50.000 HS, IRC MINIMO 70, FLUXO LUMINOSO MINIMO 19.500 LM, EFICIENCIA ENERGETICA MINIMA DE 107 LM/W, TEMPERATURA DE COR 5000 A 6500 K, POTENCIA MAXIMA 181W, ALIMENTACAO 220V/60HZ|1|55|49|EQUIP. MAT. P/ GERACAO, TRANSM. DISTR. RETIF...|MEL|Padrão|4|42|168|Ativo|</t>
        </r>
      </text>
    </comment>
    <comment ref="X106" authorId="0" shapeId="0" xr:uid="{00000000-0006-0000-0000-000086000000}">
      <text>
        <r>
          <rPr>
            <sz val="10"/>
            <color indexed="81"/>
            <rFont val="Lucida Console"/>
            <family val="3"/>
          </rPr>
          <t>64610|CHAPA DE ACO CARBONO GALVANIZADO ZINCADO N. 24 - ESP = 0,64|1|69|1|METAIS,LAMINAD.,PERFILADOS E ARTEFATOS METALICOS|MSE|Padrão|4|84|336|Ativo|</t>
        </r>
      </text>
    </comment>
    <comment ref="X107" authorId="0" shapeId="0" xr:uid="{00000000-0006-0000-0000-000087000000}">
      <text>
        <r>
          <rPr>
            <sz val="10"/>
            <color indexed="81"/>
            <rFont val="Lucida Console"/>
            <family val="3"/>
          </rPr>
          <t>131482|PA DE LIXO, CORPO EM POLIPROPILENO, CABO LONGO|1|72|5|MAQ.EQUIP.E MATERIAIS P/ HIGIEN.LIMP.POLIM.E LUBR.|ADM|Padrão|4|5|20|Ativo|</t>
        </r>
      </text>
    </comment>
    <comment ref="X108" authorId="0" shapeId="0" xr:uid="{00000000-0006-0000-0000-000088000000}">
      <text>
        <r>
          <rPr>
            <sz val="10"/>
            <color indexed="81"/>
            <rFont val="Lucida Console"/>
            <family val="3"/>
          </rPr>
          <t>50591|FOLHA DE PORTA EM IMBUIA - MED: 0,72 X 2,10 M|1|51|28|MAT.E EQUIP. P/ CONSTR.CIVIL E CONSERV. DE VIAS PUBL.|MCO|Padrão|4|5|20|Ativo|</t>
        </r>
      </text>
    </comment>
    <comment ref="X109" authorId="0" shapeId="0" xr:uid="{00000000-0006-0000-0000-000089000000}">
      <text>
        <r>
          <rPr>
            <sz val="10"/>
            <color indexed="81"/>
            <rFont val="Lucida Console"/>
            <family val="3"/>
          </rPr>
          <t>133433|TELA EM ACO INOX 304, MALHA 14, DIAMETRO DO FIO 0,25 MM, LARGURA 1.200 MM (PODENDO VARIAR +/- 50 MM) - ROLO COM 30 METROS.|1|51|30|MAT.E EQUIP. P/ CONSTR.CIVIL E CONSERV. DE VIAS PUBL.|MCO|Padrão|4|5|20|Ativo|</t>
        </r>
      </text>
    </comment>
    <comment ref="X110" authorId="0" shapeId="0" xr:uid="{00000000-0006-0000-0000-00008A000000}">
      <text>
        <r>
          <rPr>
            <sz val="10"/>
            <color indexed="81"/>
            <rFont val="Lucida Console"/>
            <family val="3"/>
          </rPr>
          <t>77557|VIGA DE GARAPEIRA BRUTA - 0,06 X 0,16 X 5,00 M COMPRIMENTO|1|74|3|MADEIRAS,LAMINADOS,COMPENSADOS E AGLOMERADOS|MCO|Padrão|4|5|20|Ativo|</t>
        </r>
      </text>
    </comment>
    <comment ref="X111" authorId="0" shapeId="0" xr:uid="{00000000-0006-0000-0000-00008B000000}">
      <text>
        <r>
          <rPr>
            <sz val="10"/>
            <color indexed="81"/>
            <rFont val="Lucida Console"/>
            <family val="3"/>
          </rPr>
          <t>132229|CABO DE COBRE FLEXIVEL, BITOLA 50MM2, 0,6/1 KV, ISOLACAO DE PVC 70° C, COR AZUL CLARO - ANTI-CHAMA|1|55|19|EQUIP. MAT. P/ GERACAO, TRANSM. DISTR. RETIF...|MEL|Padrão|4|10|40|Ativo|</t>
        </r>
      </text>
    </comment>
    <comment ref="X112" authorId="0" shapeId="0" xr:uid="{00000000-0006-0000-0000-00008C000000}">
      <text>
        <r>
          <rPr>
            <sz val="10"/>
            <color indexed="81"/>
            <rFont val="Lucida Console"/>
            <family val="3"/>
          </rPr>
          <t>113634|CAIXA DE PASSAGEM EM CHAPA METALICA DE SOBREPOR|1|55|31|EQUIP. MAT. P/ GERACAO, TRANSM. DISTR. RETIF...|MEL|Padrão|4|5|20|Ativo|</t>
        </r>
      </text>
    </comment>
    <comment ref="X113" authorId="0" shapeId="0" xr:uid="{00000000-0006-0000-0000-00008D000000}">
      <text>
        <r>
          <rPr>
            <sz val="10"/>
            <color indexed="81"/>
            <rFont val="Lucida Console"/>
            <family val="3"/>
          </rPr>
          <t>15272|CONECTOR TIPO SPLIT BOLT-SIMPLES/SIMPLES P/ 2 CABOS DE COBRE DE 16MM2|1|55|34|EQUIP. MAT. P/ GERACAO, TRANSM. DISTR. RETIF...|MEL|Padrão|4|5|20|Ativo|</t>
        </r>
      </text>
    </comment>
    <comment ref="J114" authorId="2" shapeId="0" xr:uid="{00000000-0006-0000-0000-00008E000000}">
      <text>
        <r>
          <rPr>
            <b/>
            <sz val="9"/>
            <color indexed="81"/>
            <rFont val="Segoe UI"/>
            <family val="2"/>
          </rPr>
          <t>Marcos:</t>
        </r>
        <r>
          <rPr>
            <sz val="9"/>
            <color indexed="81"/>
            <rFont val="Segoe UI"/>
            <family val="2"/>
          </rPr>
          <t xml:space="preserve">
15 porque houve pico de consumo de 16 em mês recente.</t>
        </r>
      </text>
    </comment>
    <comment ref="X114" authorId="0" shapeId="0" xr:uid="{00000000-0006-0000-0000-00008F000000}">
      <text>
        <r>
          <rPr>
            <sz val="10"/>
            <color indexed="81"/>
            <rFont val="Lucida Console"/>
            <family val="3"/>
          </rPr>
          <t>15466|CONECTOR TIPO SPLIT BOLT-SIMPLES/SIMPLES P/ 2 CABOS DE COBRE DE 25MM2|1|55|34|EQUIP. MAT. P/ GERACAO, TRANSM. DISTR. RETIF...|MEL|Padrão|4|15|60|Ativo|</t>
        </r>
      </text>
    </comment>
    <comment ref="X115" authorId="0" shapeId="0" xr:uid="{00000000-0006-0000-0000-000090000000}">
      <text>
        <r>
          <rPr>
            <sz val="10"/>
            <color indexed="81"/>
            <rFont val="Lucida Console"/>
            <family val="3"/>
          </rPr>
          <t>15467|CONECTOR TIPO SPLIT BOLT-SIMPLES/SIMPLES P/2 CABOS DE COBRE DE 35MM2|1|55|34|EQUIP. MAT. P/ GERACAO, TRANSM. DISTR. RETIF...|MEL|Padrão|4|10|40|Ativo|</t>
        </r>
      </text>
    </comment>
    <comment ref="X116" authorId="0" shapeId="0" xr:uid="{00000000-0006-0000-0000-000091000000}">
      <text>
        <r>
          <rPr>
            <sz val="10"/>
            <color indexed="81"/>
            <rFont val="Lucida Console"/>
            <family val="3"/>
          </rPr>
          <t>15664|TERMINAL DE COMPRESSAO TIPO OLHAL P/ CABO DE COBRE 10MM2 C/|1|55|35|EQUIP. MAT. P/ GERACAO, TRANSM. DISTR. RETIF...|MEL|Padrão|4|5|20|Ativo|</t>
        </r>
      </text>
    </comment>
    <comment ref="X117" authorId="0" shapeId="0" xr:uid="{00000000-0006-0000-0000-000092000000}">
      <text>
        <r>
          <rPr>
            <sz val="10"/>
            <color indexed="81"/>
            <rFont val="Lucida Console"/>
            <family val="3"/>
          </rPr>
          <t>119180|INTERRUPTOR 10A/250V COM 2 TECLAS PARALELAS|1|55|37|EQUIP. MAT. P/ GERACAO, TRANSM. DISTR. RETIF...|MEL|Padrão|4|5|20|Ativo|</t>
        </r>
      </text>
    </comment>
    <comment ref="X118" authorId="0" shapeId="0" xr:uid="{00000000-0006-0000-0000-000093000000}">
      <text>
        <r>
          <rPr>
            <sz val="10"/>
            <color indexed="81"/>
            <rFont val="Lucida Console"/>
            <family val="3"/>
          </rPr>
          <t>13556|TUBO DE FERRO GALVANIZADO 4" BR C/ 6 M|1|61|3|MATERIAL HIDRAULICO, CANOS, TUBOS, MANGUEIRAS, CONEXOES E ACESS.|MHI|Padrão|4|5|20|Ativo|</t>
        </r>
      </text>
    </comment>
    <comment ref="X119" authorId="0" shapeId="0" xr:uid="{00000000-0006-0000-0000-000094000000}">
      <text>
        <r>
          <rPr>
            <sz val="10"/>
            <color indexed="81"/>
            <rFont val="Lucida Console"/>
            <family val="3"/>
          </rPr>
          <t>135299|COTOVELO 45° DE PVC - 1" PARA AGUA, DE ACORDO COM A NORMA NBR 5648. TODAS AS INFORMACOES DEVERAO ESTAR LITOGRAFADAS NA PECA.|1|61|8|MATERIAL HIDRAULICO, CANOS, TUBOS, MANGUEIRAS, CONEXOES E ACESS.|MHI|Padrão|4|5|20|Ativo|</t>
        </r>
      </text>
    </comment>
    <comment ref="X120" authorId="0" shapeId="0" xr:uid="{00000000-0006-0000-0000-000095000000}">
      <text>
        <r>
          <rPr>
            <sz val="10"/>
            <color indexed="81"/>
            <rFont val="Lucida Console"/>
            <family val="3"/>
          </rPr>
          <t>28307|UNIAO PVC COLA DE 1.1/4"|1|61|8|MATERIAL HIDRAULICO, CANOS, TUBOS, MANGUEIRAS, CONEXOES E ACESS.|MHI|Padrão|4|5|20|Ativo|</t>
        </r>
      </text>
    </comment>
    <comment ref="X121" authorId="0" shapeId="0" xr:uid="{00000000-0006-0000-0000-000096000000}">
      <text>
        <r>
          <rPr>
            <sz val="10"/>
            <color indexed="81"/>
            <rFont val="Lucida Console"/>
            <family val="3"/>
          </rPr>
          <t>13116|REGISTRO DE PRESSAO 3/4" SEM CANOPLA|1|61|15|MATERIAL HIDRAULICO, CANOS, TUBOS, MANGUEIRAS, CONEXOES E ACESS.|MHI|Padrão|4|5|20|Ativo|</t>
        </r>
      </text>
    </comment>
    <comment ref="X122" authorId="0" shapeId="0" xr:uid="{00000000-0006-0000-0000-000097000000}">
      <text>
        <r>
          <rPr>
            <sz val="10"/>
            <color indexed="81"/>
            <rFont val="Lucida Console"/>
            <family val="3"/>
          </rPr>
          <t>81563|REPARO P/ VALVULA DE DESCARGA - MARCA LORENZETTI - P-20|1|61|15|MATERIAL HIDRAULICO, CANOS, TUBOS, MANGUEIRAS, CONEXOES E ACESS.|MHI|Padrão|4|5|20|Ativo|</t>
        </r>
      </text>
    </comment>
    <comment ref="X123" authorId="0" shapeId="0" xr:uid="{00000000-0006-0000-0000-000098000000}">
      <text>
        <r>
          <rPr>
            <sz val="10"/>
            <color indexed="81"/>
            <rFont val="Lucida Console"/>
            <family val="3"/>
          </rPr>
          <t>126044|CHAPA EM MDF ULTRA TX, BRANCO, DUAS FACES COM PROTECAO CONTRA UMIDADE E CUPIM. MEDINDO: 2,75M X 1,83M X 18MM.|1|69|1|METAIS,LAMINAD.,PERFILADOS E ARTEFATOS METALICOS|MSE|Padrão|4|25|100|Ativo|</t>
        </r>
      </text>
    </comment>
    <comment ref="X124" authorId="0" shapeId="0" xr:uid="{00000000-0006-0000-0000-000099000000}">
      <text>
        <r>
          <rPr>
            <sz val="10"/>
            <color indexed="81"/>
            <rFont val="Lucida Console"/>
            <family val="3"/>
          </rPr>
          <t>123618|BARRA CHATA DE ALUMINIO 3/4" X 1/8" - BARRA COM 06 METROS|1|69|2|METAIS,LAMINAD.,PERFILADOS E ARTEFATOS METALICOS|MSE|Padrão|4|10|40|Ativo|</t>
        </r>
      </text>
    </comment>
    <comment ref="X125" authorId="0" shapeId="0" xr:uid="{00000000-0006-0000-0000-00009A000000}">
      <text>
        <r>
          <rPr>
            <sz val="10"/>
            <color indexed="81"/>
            <rFont val="Lucida Console"/>
            <family val="3"/>
          </rPr>
          <t>138464|LAPIS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FSC.|1|45|9|MAQ., EQUIP., COMP., ACES., MAT. PARA ESCRIT.E ESCOLAR|EDU|Padrão|4|10936|43744|Ativo|</t>
        </r>
      </text>
    </comment>
    <comment ref="X126" authorId="0" shapeId="0" xr:uid="{00000000-0006-0000-0000-00009B000000}">
      <text>
        <r>
          <rPr>
            <sz val="10"/>
            <color indexed="81"/>
            <rFont val="Lucida Console"/>
            <family val="3"/>
          </rPr>
          <t>13072|TE EM PVC RIGIDO SOLDAVEL 3/4"|1|61|8|MATERIAL HIDRAULICO, CANOS, TUBOS, MANGUEIRAS, CONEXOES E ACESS.|MHI|Padrão|4|95|380|Ativo|</t>
        </r>
      </text>
    </comment>
    <comment ref="L127" authorId="1" shapeId="0" xr:uid="{00000000-0006-0000-0000-00009C000000}">
      <text>
        <r>
          <rPr>
            <sz val="10"/>
            <color indexed="81"/>
            <rFont val="Lucida Console"/>
            <family val="3"/>
          </rPr>
          <t>_x000D_
Alterado em 01.10.2020_x000D_
Anterior = 13</t>
        </r>
      </text>
    </comment>
    <comment ref="M127" authorId="1" shapeId="0" xr:uid="{00000000-0006-0000-0000-00009D000000}">
      <text>
        <r>
          <rPr>
            <sz val="10"/>
            <color indexed="81"/>
            <rFont val="Lucida Console"/>
            <family val="3"/>
          </rPr>
          <t>_x000D_
Alterado em 01.10.2020_x000D_
Anterior = 01.10.2020</t>
        </r>
      </text>
    </comment>
    <comment ref="X127" authorId="0" shapeId="0" xr:uid="{00000000-0006-0000-0000-00009E000000}">
      <text>
        <r>
          <rPr>
            <sz val="10"/>
            <color indexed="81"/>
            <rFont val="Lucida Console"/>
            <family val="3"/>
          </rPr>
          <t>138552|LUMINARIA PUBLICA, PARA POSTE, COM DRIVER INCORPORADO, VIDA UTIL MINIMO DE 50.000 HS, IRC MINIMO 70, FLUXO LUMINOSO MINIMO 10.500 LM, EFICIENCIA ENERGETICA MINIMA DE 105 LM/W, TEMPERATURA DE COR 5000 A 6500 K, POTENCIA MAXIMA 100W, ALIMENTACAO 220V/60HZ|1|55|49|EQUIP. MAT. P/ GERACAO, TRANSM. DISTR. RETIF...|MEL|Padrão|4|42|168|Ativo|</t>
        </r>
      </text>
    </comment>
    <comment ref="X128" authorId="0" shapeId="0" xr:uid="{00000000-0006-0000-0000-00009F000000}">
      <text>
        <r>
          <rPr>
            <sz val="10"/>
            <color indexed="81"/>
            <rFont val="Lucida Console"/>
            <family val="3"/>
          </rPr>
          <t>133191|SACO PLASTICO P/ LIXO - 15 L, COR PRETA.|1|72|6|MAQ.EQUIP.E MATERIAIS P/ HIGIEN.LIMP.POLIM.E LUBR.|ADM|Padrão|4|9247|36988|Ativo|</t>
        </r>
      </text>
    </comment>
    <comment ref="X129" authorId="0" shapeId="0" xr:uid="{00000000-0006-0000-0000-0000A0000000}">
      <text>
        <r>
          <rPr>
            <sz val="10"/>
            <color indexed="81"/>
            <rFont val="Lucida Console"/>
            <family val="3"/>
          </rPr>
          <t>63591|PAPEL KRAFT 80G/M2 - 66 CM X 96 CM (PAPEL PARDO)|1|57|2|MAQ. E EQUIP. P/ IND. GRAFICA COMP. ACESS. E PAPEI|EDU|Padrão|4|1000|4000|Ativo|</t>
        </r>
      </text>
    </comment>
    <comment ref="X130" authorId="0" shapeId="0" xr:uid="{00000000-0006-0000-0000-0000A1000000}">
      <text>
        <r>
          <rPr>
            <sz val="10"/>
            <color indexed="81"/>
            <rFont val="Lucida Console"/>
            <family val="3"/>
          </rPr>
          <t>53813|FERRO TIPO U DE 2" X 1/8|1|51|13|MAT.E EQUIP. P/ CONSTR.CIVIL E CONSERV. DE VIAS PUBL.|MCO|Padrão|4|9|36|Ativo|</t>
        </r>
      </text>
    </comment>
    <comment ref="X131" authorId="0" shapeId="0" xr:uid="{00000000-0006-0000-0000-0000A2000000}">
      <text>
        <r>
          <rPr>
            <sz val="10"/>
            <color indexed="81"/>
            <rFont val="Lucida Console"/>
            <family val="3"/>
          </rPr>
          <t>26215|CHAPA DE MADEIRA COMPENSADA NAVAL C/ 2,20 X 1,60 M ESP.|1|74|9|MADEIRAS,LAMINADOS,COMPENSADOS E AGLOMERADOS|MCO|Padrão|4|9|36|Ativo|</t>
        </r>
      </text>
    </comment>
    <comment ref="X132" authorId="0" shapeId="0" xr:uid="{00000000-0006-0000-0000-0000A3000000}">
      <text>
        <r>
          <rPr>
            <sz val="10"/>
            <color indexed="81"/>
            <rFont val="Lucida Console"/>
            <family val="3"/>
          </rPr>
          <t>88729|DISJUNTOR NORMA DIN CURVA C PADRAO, BIPOLAR, 40 AMPERES|1|55|26|EQUIP. MAT. P/ GERACAO, TRANSM. DISTR. RETIF...|MEL|Padrão|4|9|36|Ativo|</t>
        </r>
      </text>
    </comment>
    <comment ref="X133" authorId="0" shapeId="0" xr:uid="{00000000-0006-0000-0000-0000A4000000}">
      <text>
        <r>
          <rPr>
            <sz val="10"/>
            <color indexed="81"/>
            <rFont val="Lucida Console"/>
            <family val="3"/>
          </rPr>
          <t>75324|CHAPA EM MDF, CRU - MED. 2,75 M X 1,83 M X 09 MM|1|69|1|METAIS,LAMINAD.,PERFILADOS E ARTEFATOS METALICOS|MSE|Padrão|4|45|180|Ativo|</t>
        </r>
      </text>
    </comment>
    <comment ref="X134" authorId="0" shapeId="0" xr:uid="{00000000-0006-0000-0000-0000A5000000}">
      <text>
        <r>
          <rPr>
            <sz val="10"/>
            <color indexed="81"/>
            <rFont val="Lucida Console"/>
            <family val="3"/>
          </rPr>
          <t>20144|BROCA DE ACO RAPIDO HELICOIDAL DE 1/4" C/ HASTE CILINDRICA|1|70|31|FERRAMENTAS MAQ.FERRAMENTAS,ELETR.PECAS E ACESSORI|MAN|Padrão|4|67|268|Ativo|</t>
        </r>
      </text>
    </comment>
    <comment ref="X135" authorId="0" shapeId="0" xr:uid="{00000000-0006-0000-0000-0000A6000000}">
      <text>
        <r>
          <rPr>
            <sz val="10"/>
            <color indexed="81"/>
            <rFont val="Lucida Console"/>
            <family val="3"/>
          </rPr>
          <t>101867|TUBO DE FERRO GALVANIZADO DN (DIAMETRO NOMINAL) 2" - DIAMETRO EXTERNO BASICO 59,6 MM ESPESSURA DA PAREDE DE 3,75MM, CLASSE M - ABNT NBR 5580/02 - BARRA C/6 MT|1|61|3|MATERIAL HIDRAULICO, CANOS, TUBOS, MANGUEIRAS, CONEXOES E ACESS.|MHI|Padrão|4|13|52|Ativo|</t>
        </r>
      </text>
    </comment>
    <comment ref="X136" authorId="0" shapeId="0" xr:uid="{00000000-0006-0000-0000-0000A7000000}">
      <text>
        <r>
          <rPr>
            <sz val="10"/>
            <color indexed="81"/>
            <rFont val="Lucida Console"/>
            <family val="3"/>
          </rPr>
          <t>20576|REBITE DE REPUCHO EM ALUMINIO C/ MANDRIL DE ACO 4,76 X 25MM|1|67|7|PARAFUSOS ELEM. VEDACAO UNIAO CONEX . FIXACAO|MSE|Padrão|4|384|1536|Ativo|</t>
        </r>
      </text>
    </comment>
    <comment ref="I137" authorId="1" shapeId="0" xr:uid="{00000000-0006-0000-0000-0000A8000000}">
      <text>
        <r>
          <rPr>
            <b/>
            <sz val="9"/>
            <color indexed="81"/>
            <rFont val="Segoe UI"/>
            <family val="2"/>
          </rPr>
          <t>Administrador:</t>
        </r>
        <r>
          <rPr>
            <sz val="9"/>
            <color indexed="81"/>
            <rFont val="Segoe UI"/>
            <family val="2"/>
          </rPr>
          <t xml:space="preserve">
Validade de apenas 60 dias.
</t>
        </r>
      </text>
    </comment>
    <comment ref="X137" authorId="2" shapeId="0" xr:uid="{00000000-0006-0000-0000-0000A9000000}">
      <text>
        <r>
          <rPr>
            <sz val="9"/>
            <color indexed="81"/>
            <rFont val="Segoe UI"/>
            <family val="2"/>
          </rPr>
          <t>81493|MASSA PLASTICA A BASE DE RECURSOS POLIESTERES - LATA C/ 700 GR|1|76|6|EQUIP. E MATERIAIS P/PINTURAS E IMPERMEABILIZACAO|MPI|Personalizado|3|17|51|Ativo|</t>
        </r>
      </text>
    </comment>
    <comment ref="X138" authorId="0" shapeId="0" xr:uid="{00000000-0006-0000-0000-0000AA000000}">
      <text>
        <r>
          <rPr>
            <sz val="10"/>
            <color indexed="81"/>
            <rFont val="Lucida Console"/>
            <family val="3"/>
          </rPr>
          <t>64625|FERRO CHATO - 1" X 1/4" - BARRA COM 06 METROS|1|69|8|METAIS,LAMINAD.,PERFILADOS E ARTEFATOS METALICOS|MSE|Padrão|4|34|136|Ativo|</t>
        </r>
      </text>
    </comment>
    <comment ref="X139" authorId="0" shapeId="0" xr:uid="{00000000-0006-0000-0000-0000AB000000}">
      <text>
        <r>
          <rPr>
            <sz val="10"/>
            <color indexed="81"/>
            <rFont val="Lucida Console"/>
            <family val="3"/>
          </rPr>
          <t>138554|LUMINARIA HIGH BAY, COM DRIVER INCORPORADO, VIDA UTIL MIMINA DE 50.000 HS, IRC MINIMO 70%, FLUXO LUMINOSO MINIMO DE 18.000 LM, EFICIENCIA ENERGETICA MINIMA DE 100LM/W, TEMPERATURA DE COR 5000 A 6500 K, POTENCIA MAXIMA 200W, TENSAO 220V/60HZ|1|55|49|EQUIP. MAT. P/ GERACAO, TRANSM. DISTR. RETIF...|MEL|Padrão|4|59|236|Ativo|</t>
        </r>
      </text>
    </comment>
    <comment ref="X140" authorId="0" shapeId="0" xr:uid="{00000000-0006-0000-0000-0000AC000000}">
      <text>
        <r>
          <rPr>
            <sz val="10"/>
            <color indexed="81"/>
            <rFont val="Lucida Console"/>
            <family val="3"/>
          </rPr>
          <t>138551|PROJETOR/REFLETOR LED COM DRIVER INCORPORADO, VIDA UTIL MIMINA DE 50.000 HS, IRC MINIMO 70, FLUXO LUMINOSO MINIMO 18.000 LM, EFICIENCIA ENERGETICA MINIMA DE 112,5 LM/W, TEMPERATURA DE COR 5000 A 6500 K, POTENCIA MAXIMA 160W, 220V/60HZ|1|55|66|EQUIP. MAT. P/ GERACAO, TRANSM. DISTR. RETIF...|MEL|Padrão|4|100|400|Ativo|</t>
        </r>
      </text>
    </comment>
    <comment ref="X141" authorId="0" shapeId="0" xr:uid="{00000000-0006-0000-0000-0000AD000000}">
      <text>
        <r>
          <rPr>
            <sz val="10"/>
            <color indexed="81"/>
            <rFont val="Lucida Console"/>
            <family val="3"/>
          </rPr>
          <t>136555|FECHADURA DE SOBREPOR PARA GAVETA, COM CILINDRO, MEDINDO 31 MM DE CORPO, ACABAMENTO NIQUELADO E ROTACAO DA CHAVE DE 180º COM DOIS PONTOS DE EXTRACAO|1'|51|9|MAT.E EQUIP. P/ CONSTR.CIVIL E CONSERV. DE VIAS PUBL.|MCO|Padrão|4|108|432|Ativo|</t>
        </r>
      </text>
    </comment>
    <comment ref="L142" authorId="1" shapeId="0" xr:uid="{00000000-0006-0000-0000-0000AE000000}">
      <text>
        <r>
          <rPr>
            <sz val="10"/>
            <color indexed="81"/>
            <rFont val="Lucida Console"/>
            <family val="3"/>
          </rPr>
          <t>_x000D_
Alterado em 01.10.2020_x000D_
Anterior = 5</t>
        </r>
      </text>
    </comment>
    <comment ref="M142" authorId="1" shapeId="0" xr:uid="{00000000-0006-0000-0000-0000AF000000}">
      <text>
        <r>
          <rPr>
            <sz val="10"/>
            <color indexed="81"/>
            <rFont val="Lucida Console"/>
            <family val="3"/>
          </rPr>
          <t>_x000D_
Alterado em 01.10.2020_x000D_
Anterior = 01.10.2020</t>
        </r>
      </text>
    </comment>
    <comment ref="X142" authorId="0" shapeId="0" xr:uid="{00000000-0006-0000-0000-0000B0000000}">
      <text>
        <r>
          <rPr>
            <sz val="10"/>
            <color indexed="81"/>
            <rFont val="Lucida Console"/>
            <family val="3"/>
          </rPr>
          <t>35554|LIXA DE PAPEL P/ MADEIRA EM FOLHA DE 225 X 275 MM - N° 80|1|83|2|ABRASIVOS|MAN|Padrão|4|8|32|Ativo|</t>
        </r>
      </text>
    </comment>
    <comment ref="X143" authorId="0" shapeId="0" xr:uid="{00000000-0006-0000-0000-0000B1000000}">
      <text>
        <r>
          <rPr>
            <sz val="10"/>
            <color indexed="81"/>
            <rFont val="Lucida Console"/>
            <family val="3"/>
          </rPr>
          <t>88745|DISJUNTOR NORMA DIN CURVA C PADRAO, TRIPOLAR, 80 AMPERES|1|55|26|EQUIP. MAT. P/ GERACAO, TRANSM. DISTR. RETIF...|MEL|Padrão|4|4|16|Ativo|</t>
        </r>
      </text>
    </comment>
    <comment ref="X144" authorId="0" shapeId="0" xr:uid="{00000000-0006-0000-0000-0000B2000000}">
      <text>
        <r>
          <rPr>
            <sz val="10"/>
            <color indexed="81"/>
            <rFont val="Lucida Console"/>
            <family val="3"/>
          </rPr>
          <t>64647|TE DE REDUCAO EM PVC RIGIDO - SOLDAVEL - 150 X 100 MM - 6"|1|61|8|MATERIAL HIDRAULICO, CANOS, TUBOS, MANGUEIRAS, CONEXOES E ACESS.|MHI|Padrão|4|4|16|Ativo|</t>
        </r>
      </text>
    </comment>
    <comment ref="X145" authorId="0" shapeId="0" xr:uid="{00000000-0006-0000-0000-0000B3000000}">
      <text>
        <r>
          <rPr>
            <sz val="10"/>
            <color indexed="81"/>
            <rFont val="Lucida Console"/>
            <family val="3"/>
          </rPr>
          <t>134565|PARAFUSO EM ACO BICROMATIZADO, CABECA CHATA PH 4,5 X 60 - CAIXA COM 500 UNIDADES|1|67|3|PARAFUSOS ELEM. VEDACAO UNIAO CONEX . FIXACAO|MSE|Padrão|4|4|16|Ativo|</t>
        </r>
      </text>
    </comment>
    <comment ref="X146" authorId="0" shapeId="0" xr:uid="{00000000-0006-0000-0000-0000B4000000}">
      <text>
        <r>
          <rPr>
            <sz val="10"/>
            <color indexed="81"/>
            <rFont val="Lucida Console"/>
            <family val="3"/>
          </rPr>
          <t>61046|CANTONEIRA DE FERRO 2" X 1/8" - BARRA COM 06 METROS|1|69|3|METAIS,LAMINAD.,PERFILADOS E ARTEFATOS METALICOS|MSE|Padrão|4|8|32|Ativo|</t>
        </r>
      </text>
    </comment>
    <comment ref="X147" authorId="0" shapeId="0" xr:uid="{00000000-0006-0000-0000-0000B5000000}">
      <text>
        <r>
          <rPr>
            <sz val="10"/>
            <color indexed="81"/>
            <rFont val="Lucida Console"/>
            <family val="3"/>
          </rPr>
          <t>138456|CADERNO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FSC/CERFLOR.|1|45|11|MAQ., EQUIP., COMP., ACES., MAT. PARA ESCRIT.E ESCOLAR|EDU|Padrão|4|13692|54768|Ativo|</t>
        </r>
      </text>
    </comment>
    <comment ref="X148" authorId="0" shapeId="0" xr:uid="{00000000-0006-0000-0000-0000B6000000}">
      <text>
        <r>
          <rPr>
            <sz val="10"/>
            <color indexed="81"/>
            <rFont val="Lucida Console"/>
            <family val="3"/>
          </rPr>
          <t>113581|REGISTRO TIPO ESFERA, MATERIAL PVC, DIAMETRO 3/4"|1|61|15|MATERIAL HIDRAULICO, CANOS, TUBOS, MANGUEIRAS, CONEXOES E ACESS.|MHI|Padrão|4|71|284|Ativo|</t>
        </r>
      </text>
    </comment>
    <comment ref="X149" authorId="0" shapeId="0" xr:uid="{00000000-0006-0000-0000-0000B7000000}">
      <text>
        <r>
          <rPr>
            <sz val="10"/>
            <color indexed="81"/>
            <rFont val="Lucida Console"/>
            <family val="3"/>
          </rPr>
          <t>14013|ABRACADEIRA GALVANIZADA TIPO D DE 3/4"|1|55|46|EQUIP. MAT. P/ GERACAO, TRANSM. DISTR. RETIF...|MEL|Padrão|4|76|304|Ativo|</t>
        </r>
      </text>
    </comment>
    <comment ref="X150" authorId="2" shapeId="0" xr:uid="{00000000-0006-0000-0000-0000B8000000}">
      <text>
        <r>
          <rPr>
            <sz val="9"/>
            <color indexed="81"/>
            <rFont val="Segoe UI"/>
            <family val="2"/>
          </rPr>
          <t>112109|ALCOOL GEL A 70%, FRASCO C/ 1.000 ML, VALVULA "TIPO PUMP", COM HIDRATANTE ALOE VERA|1|72|8|MAQ.EQUIP.E MATERIAIS P/ HIGIEN.LIMP.POLIM.E LUBR.|ADM|Personalizado|3|1500|4500|Ativo|</t>
        </r>
      </text>
    </comment>
    <comment ref="X151" authorId="0" shapeId="0" xr:uid="{00000000-0006-0000-0000-0000B9000000}">
      <text>
        <r>
          <rPr>
            <sz val="10"/>
            <color indexed="81"/>
            <rFont val="Lucida Console"/>
            <family val="3"/>
          </rPr>
          <t>98704|PERFIL TIPO EMENDA PVC BRANCO LISO, BARRA COM 6 MT|1|69|3|METAIS,LAMINAD.,PERFILADOS E ARTEFATOS METALICOS|MSE|Padrão|4|34|136|Ativo|</t>
        </r>
      </text>
    </comment>
    <comment ref="J152" authorId="1" shapeId="0" xr:uid="{00000000-0006-0000-0000-0000BA000000}">
      <text>
        <r>
          <rPr>
            <sz val="9"/>
            <color indexed="81"/>
            <rFont val="Segoe UI"/>
            <family val="2"/>
          </rPr>
          <t xml:space="preserve">
Planilha do Laércio 06/06/2019.
</t>
        </r>
      </text>
    </comment>
    <comment ref="X152" authorId="0" shapeId="0" xr:uid="{00000000-0006-0000-0000-0000BB000000}">
      <text>
        <r>
          <rPr>
            <sz val="10"/>
            <color indexed="81"/>
            <rFont val="Lucida Console"/>
            <family val="3"/>
          </rPr>
          <t>12847|ROLO DE ESPUMA PARA PINTURA - 4 CM|1|76|11|EQUIP. E MATERIAIS P/PINTURAS E IMPERMEABILIZACAO|MPI|Padrão|4|220|880|Ativo|</t>
        </r>
      </text>
    </comment>
    <comment ref="X153" authorId="0" shapeId="0" xr:uid="{00000000-0006-0000-0000-0000BC000000}">
      <text>
        <r>
          <rPr>
            <sz val="10"/>
            <color indexed="81"/>
            <rFont val="Lucida Console"/>
            <family val="3"/>
          </rPr>
          <t>83838|LUVA DE LATEX PARA PROCEDIMENTO, TAM. M.|1|54|4|EQUIP PROT IND, INST MAT P/ SINAL, CONTR, COMB ...|MAN|Padrão|4|1501|6004|Ativo|</t>
        </r>
      </text>
    </comment>
    <comment ref="X154" authorId="0" shapeId="0" xr:uid="{00000000-0006-0000-0000-0000BD000000}">
      <text>
        <r>
          <rPr>
            <sz val="10"/>
            <color indexed="81"/>
            <rFont val="Lucida Console"/>
            <family val="3"/>
          </rPr>
          <t>67376|CUMEEIRA DE FIBRA SINTETICA 10 GRAUS PARA TELHA ONDULADA ES|1|51|17|MAT.E EQUIP. P/ CONSTR.CIVIL E CONSERV. DE VIAS PUBL.|MCO|Padrão|4|11|44|Ativo|</t>
        </r>
      </text>
    </comment>
    <comment ref="J155" authorId="1" shapeId="0" xr:uid="{00000000-0006-0000-0000-0000BE000000}">
      <text>
        <r>
          <rPr>
            <sz val="9"/>
            <color indexed="81"/>
            <rFont val="Segoe UI"/>
            <family val="2"/>
          </rPr>
          <t xml:space="preserve">
Deixei 10 porque no mês que usa consomem 10 caixas.</t>
        </r>
      </text>
    </comment>
    <comment ref="X155" authorId="0" shapeId="0" xr:uid="{00000000-0006-0000-0000-0000BF000000}">
      <text>
        <r>
          <rPr>
            <sz val="10"/>
            <color indexed="81"/>
            <rFont val="Lucida Console"/>
            <family val="3"/>
          </rPr>
          <t>89865|PARAFUSO  ZINCO AMARELO, CABECA CHATA - PH 4,0 X 50 - CAIXA COM 500 UNIDADES|1|67|3|PARAFUSOS ELEM. VEDACAO UNIAO CONEX . FIXACAO|MSE|Padrão|4|11|44|Ativo|</t>
        </r>
      </text>
    </comment>
    <comment ref="X156" authorId="0" shapeId="0" xr:uid="{00000000-0006-0000-0000-0000C0000000}">
      <text>
        <r>
          <rPr>
            <sz val="10"/>
            <color indexed="81"/>
            <rFont val="Lucida Console"/>
            <family val="3"/>
          </rPr>
          <t>122305|DISCO DE CORTE 4 1/2" DE DIAMETRO EXTERNO, 1/8 MM DE ESPESSURA E 7/8" DE DIAMETRO DE FURO|1|83|4|ABRASIVOS|MAN|Padrão|4|100|400|Ativo|</t>
        </r>
      </text>
    </comment>
    <comment ref="X157" authorId="0" shapeId="0" xr:uid="{00000000-0006-0000-0000-0000C1000000}">
      <text>
        <r>
          <rPr>
            <sz val="10"/>
            <color indexed="81"/>
            <rFont val="Lucida Console"/>
            <family val="3"/>
          </rPr>
          <t>112156|TOMADA MOVEL 2P+T NBR 14136 DE 20A/250V|1|55|37|EQUIP. MAT. P/ GERACAO, TRANSM. DISTR. RETIF...|MEL|Padrão|4|50|200|Ativo|</t>
        </r>
      </text>
    </comment>
    <comment ref="X158" authorId="0" shapeId="0" xr:uid="{00000000-0006-0000-0000-0000C2000000}">
      <text>
        <r>
          <rPr>
            <sz val="10"/>
            <color indexed="81"/>
            <rFont val="Lucida Console"/>
            <family val="3"/>
          </rPr>
          <t>136553|DOBRADICA DE PRESSAO EM ACO, CURVA, COMPLETA, PARA ARMARIOS - 35 MM, FABRICADA EM ACO ZINCADO, ABERTURA COM ANGULO DE 110°, COM PARAFUSOS E COM MOLA, SEM AMORTECEDOR.|1|51|10|MAT.E EQUIP. P/ CONSTR.CIVIL E CONSERV. DE VIAS PUBL.|MCO|Padrão|4|478|1912|Ativo|</t>
        </r>
      </text>
    </comment>
    <comment ref="X159" authorId="0" shapeId="0" xr:uid="{00000000-0006-0000-0000-0000C3000000}">
      <text>
        <r>
          <rPr>
            <sz val="10"/>
            <color indexed="81"/>
            <rFont val="Lucida Console"/>
            <family val="3"/>
          </rPr>
          <t>77819|BOBINA DE SACO PLASTICO PICOTADO PARA EMBALAGEM - MED. 35 X 45 CM|1|52|15|EQUIP.E MAT. P/REFEITORIO, COPA E COZINHA|ADM|Padrão|4|123|492|Ativo|</t>
        </r>
      </text>
    </comment>
    <comment ref="X160" authorId="0" shapeId="0" xr:uid="{00000000-0006-0000-0000-0000C4000000}">
      <text>
        <r>
          <rPr>
            <sz val="10"/>
            <color indexed="81"/>
            <rFont val="Lucida Console"/>
            <family val="3"/>
          </rPr>
          <t>20001|BROCA DE ACO RAPIDO HELICOIDAL DE 1/8" COM HASTE CILINDRICA|1|70|31|FERRAMENTAS MAQ.FERRAMENTAS,ELETR.PECAS E ACESSORI|MAN|Padrão|4|42|168|Ativo|</t>
        </r>
      </text>
    </comment>
    <comment ref="X161" authorId="0" shapeId="0" xr:uid="{00000000-0006-0000-0000-0000C5000000}">
      <text>
        <r>
          <rPr>
            <sz val="10"/>
            <color indexed="81"/>
            <rFont val="Lucida Console"/>
            <family val="3"/>
          </rPr>
          <t>13181|CADEADO DE LATAO - 50 MM|1|51|12|MAT.E EQUIP. P/ CONSTR.CIVIL E CONSERV. DE VIAS PUBL.|MCO|Padrão|4|42|168|Ativo|</t>
        </r>
      </text>
    </comment>
    <comment ref="X162" authorId="0" shapeId="0" xr:uid="{00000000-0006-0000-0000-0000C6000000}">
      <text>
        <r>
          <rPr>
            <sz val="10"/>
            <color indexed="81"/>
            <rFont val="Lucida Console"/>
            <family val="3"/>
          </rPr>
          <t>13186|COLA P/ MADEIRA - 1 LITRO|1|74|4|MADEIRAS,LAMINADOS,COMPENSADOS E AGLOMERADOS|MCO|Padrão|4|7|28|Ativo|</t>
        </r>
      </text>
    </comment>
    <comment ref="X163" authorId="0" shapeId="0" xr:uid="{00000000-0006-0000-0000-0000C7000000}">
      <text>
        <r>
          <rPr>
            <sz val="10"/>
            <color indexed="81"/>
            <rFont val="Lucida Console"/>
            <family val="3"/>
          </rPr>
          <t>54144|JUNCAO INTERNA "I" - 38 X 38 MM|1|61|8|MATERIAL HIDRAULICO, CANOS, TUBOS, MANGUEIRAS, CONEXOES E ACESS.|MHI|Padrão|4|42|168|Ativo|</t>
        </r>
      </text>
    </comment>
    <comment ref="X164" authorId="0" shapeId="0" xr:uid="{00000000-0006-0000-0000-0000C8000000}">
      <text>
        <r>
          <rPr>
            <sz val="10"/>
            <color indexed="81"/>
            <rFont val="Lucida Console"/>
            <family val="3"/>
          </rPr>
          <t>93334|PAPEL DE SEDA - 48 X 60 CM - VERDE ESCURO|1|57|2|MAQ. E EQUIP. P/ IND. GRAFICA COMP. ACESS. E PAPEI|EDU|Padrão|4|834|3336|Ativo|</t>
        </r>
      </text>
    </comment>
    <comment ref="X165" authorId="0" shapeId="0" xr:uid="{00000000-0006-0000-0000-0000C9000000}">
      <text>
        <r>
          <rPr>
            <sz val="10"/>
            <color indexed="81"/>
            <rFont val="Lucida Console"/>
            <family val="3"/>
          </rPr>
          <t>93335|PAPEL DE SEDA - 48 X 60 CM - VERMELHO|1|57|2|MAQ. E EQUIP. P/ IND. GRAFICA COMP. ACESS. E PAPEI|EDU|Padrão|4|834|3336|Ativo|</t>
        </r>
      </text>
    </comment>
    <comment ref="X166" authorId="0" shapeId="0" xr:uid="{00000000-0006-0000-0000-0000CA000000}">
      <text>
        <r>
          <rPr>
            <sz val="10"/>
            <color indexed="81"/>
            <rFont val="Lucida Console"/>
            <family val="3"/>
          </rPr>
          <t>46420|ESTILETE DE METAL C/ LAMINA ESTREITA|1|45|16|MAQ., EQUIP., COMP., ACES., MAT. PARA ESCRIT.E ESCOLAR|EDU|Padrão|4|76|304|Ativo|</t>
        </r>
      </text>
    </comment>
    <comment ref="X167" authorId="0" shapeId="0" xr:uid="{00000000-0006-0000-0000-0000CB000000}">
      <text>
        <r>
          <rPr>
            <sz val="10"/>
            <color indexed="81"/>
            <rFont val="Lucida Console"/>
            <family val="3"/>
          </rPr>
          <t>135297|LAPIS DE COR JUMBO, MODELO TRIANGULAR, EM 12 CORES.|1|45|9|MAQ., EQUIP., COMP., ACES., MAT. PARA ESCRIT.E ESCOLAR|EDU|Padrão|4|624|2496|Ativo|</t>
        </r>
      </text>
    </comment>
    <comment ref="X168" authorId="0" shapeId="0" xr:uid="{00000000-0006-0000-0000-0000CC000000}">
      <text>
        <r>
          <rPr>
            <sz val="10"/>
            <color indexed="81"/>
            <rFont val="Lucida Console"/>
            <family val="3"/>
          </rPr>
          <t>93332|PAPEL DE SEDA - 48 X 60 CM - ROSA - AS MEDIDAS PODERAO VARIAR +/- 5 CM|1|57|2|MAQ. E EQUIP. P/ IND. GRAFICA COMP. ACESS. E PAPEI|EDU|Padrão|4|834|3336|Ativo|</t>
        </r>
      </text>
    </comment>
    <comment ref="X169" authorId="0" shapeId="0" xr:uid="{00000000-0006-0000-0000-0000CD000000}">
      <text>
        <r>
          <rPr>
            <sz val="10"/>
            <color indexed="81"/>
            <rFont val="Lucida Console"/>
            <family val="3"/>
          </rPr>
          <t>93327|PAPEL DE SEDA - 48 X 60 CM - AZUL ESCURO|1|57|2|MAQ. E EQUIP. P/ IND. GRAFICA COMP. ACESS. E PAPEI|EDU|Padrão|4|834|3336|Ativo|</t>
        </r>
      </text>
    </comment>
    <comment ref="X170" authorId="0" shapeId="0" xr:uid="{00000000-0006-0000-0000-0000CE000000}">
      <text>
        <r>
          <rPr>
            <sz val="10"/>
            <color indexed="81"/>
            <rFont val="Lucida Console"/>
            <family val="3"/>
          </rPr>
          <t>23607|TARJETA CROMADA 2"|1|51|11|MAT.E EQUIP. P/ CONSTR.CIVIL E CONSERV. DE VIAS PUBL.|MCO|Padrão|4|17|68|Ativo|</t>
        </r>
      </text>
    </comment>
    <comment ref="X171" authorId="0" shapeId="0" xr:uid="{00000000-0006-0000-0000-0000CF000000}">
      <text>
        <r>
          <rPr>
            <sz val="10"/>
            <color indexed="81"/>
            <rFont val="Lucida Console"/>
            <family val="3"/>
          </rPr>
          <t>138451|BORRACHA BRANCA COMUM NUMERO 20 (SEM CINTA), CONFECCIONADA EM MATERIAL NATURAL E MACIO, ATOXICA. APLICAVEL PARA QUALQUER SUPERFICIE E GRADUACAO DE GRAFITE. MEDIDA: 40MM X 30MM X 10MM (VARIACAO +/- 2MM). PRODUTO CERTIFICADO PELO INMETRO.|1|45|9|MAQ., EQUIP., COMP., ACES., MAT. PARA ESCRIT.E ESCOLAR|EDU|Padrão|4|6983|27932|Ativo|</t>
        </r>
      </text>
    </comment>
    <comment ref="X172" authorId="0" shapeId="0" xr:uid="{00000000-0006-0000-0000-0000D0000000}">
      <text>
        <r>
          <rPr>
            <sz val="10"/>
            <color indexed="81"/>
            <rFont val="Lucida Console"/>
            <family val="3"/>
          </rPr>
          <t>93329|PAPEL DE SEDA - 48 X 60 CM - LARANJA|1|57|2|MAQ. E EQUIP. P/ IND. GRAFICA COMP. ACESS. E PAPEI|EDU|Padrão|4|834|3336|Ativo|</t>
        </r>
      </text>
    </comment>
    <comment ref="X173" authorId="0" shapeId="0" xr:uid="{00000000-0006-0000-0000-0000D1000000}">
      <text>
        <r>
          <rPr>
            <sz val="10"/>
            <color indexed="81"/>
            <rFont val="Lucida Console"/>
            <family val="3"/>
          </rPr>
          <t>27137|PAPEL LAMINADO - 50 X 60 CM - VERDE|1|57|2|MAQ. E EQUIP. P/ IND. GRAFICA COMP. ACESS. E PAPEI|EDU|Padrão|4|834|3336|Ativo|</t>
        </r>
      </text>
    </comment>
    <comment ref="X174" authorId="0" shapeId="0" xr:uid="{00000000-0006-0000-0000-0000D2000000}">
      <text>
        <r>
          <rPr>
            <sz val="10"/>
            <color indexed="81"/>
            <rFont val="Lucida Console"/>
            <family val="3"/>
          </rPr>
          <t>13905|LIMPADOR GERAL DE MULTIPLO USO - LIMPEZA INSTANTANEA|1|72|10|MAQ.EQUIP.E MATERIAIS P/ HIGIEN.LIMP.POLIM.E LUBR.|ADM|Padrão|4|155|620|Ativo|</t>
        </r>
      </text>
    </comment>
    <comment ref="X175" authorId="0" shapeId="0" xr:uid="{00000000-0006-0000-0000-0000D3000000}">
      <text>
        <r>
          <rPr>
            <sz val="10"/>
            <color indexed="81"/>
            <rFont val="Lucida Console"/>
            <family val="3"/>
          </rPr>
          <t>108393|INTERRUPTOR DIFERENCIAL RESIDUAL BIPOLAR|1|55|26|EQUIP. MAT. P/ GERACAO, TRANSM. DISTR. RETIF...|MEL|Padrão|4|10|40|Ativo|</t>
        </r>
      </text>
    </comment>
    <comment ref="X176" authorId="0" shapeId="0" xr:uid="{00000000-0006-0000-0000-0000D4000000}">
      <text>
        <r>
          <rPr>
            <sz val="10"/>
            <color indexed="81"/>
            <rFont val="Lucida Console"/>
            <family val="3"/>
          </rPr>
          <t>93325|PAPEL DE SEDA - 48 X 60 CM - AMARELO|1|57|2|MAQ. E EQUIP. P/ IND. GRAFICA COMP. ACESS. E PAPEI|EDU|Padrão|4|834|3336|Ativo|</t>
        </r>
      </text>
    </comment>
    <comment ref="X177" authorId="0" shapeId="0" xr:uid="{00000000-0006-0000-0000-0000D5000000}">
      <text>
        <r>
          <rPr>
            <sz val="10"/>
            <color indexed="81"/>
            <rFont val="Lucida Console"/>
            <family val="3"/>
          </rPr>
          <t>27138|PAPEL LAMINADO - 50 X 60 CM - AZUL|1|57|2|MAQ. E EQUIP. P/ IND. GRAFICA COMP. ACESS. E PAPEI|EDU|Padrão|4|834|3336|Ativo|</t>
        </r>
      </text>
    </comment>
    <comment ref="X178" authorId="0" shapeId="0" xr:uid="{00000000-0006-0000-0000-0000D6000000}">
      <text>
        <r>
          <rPr>
            <sz val="10"/>
            <color indexed="81"/>
            <rFont val="Lucida Console"/>
            <family val="3"/>
          </rPr>
          <t>12018|LIVRO P/ REGISTRO DE CORRESPONDENCIA - 100 FOLHAS - CAPA DURA - MED. 160 X 220 MM|1|45|11|MAQ., EQUIP., COMP., ACES., MAT. PARA ESCRIT.E ESCOLAR|EDU|Padrão|4|33|132|Ativo|</t>
        </r>
      </text>
    </comment>
    <comment ref="X179" authorId="0" shapeId="0" xr:uid="{00000000-0006-0000-0000-0000D7000000}">
      <text>
        <r>
          <rPr>
            <sz val="10"/>
            <color indexed="81"/>
            <rFont val="Lucida Console"/>
            <family val="3"/>
          </rPr>
          <t>138471|TESOURA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INMETRO.|1|45|12|MAQ., EQUIP., COMP., ACES., MAT. PARA ESCRIT.E ESCOLAR|EDU|Padrão|4|1585|6340|Ativo|</t>
        </r>
      </text>
    </comment>
    <comment ref="X180" authorId="0" shapeId="0" xr:uid="{00000000-0006-0000-0000-0000D8000000}">
      <text>
        <r>
          <rPr>
            <sz val="10"/>
            <color indexed="81"/>
            <rFont val="Lucida Console"/>
            <family val="3"/>
          </rPr>
          <t>20037|BROCA DE ACO RAPIDO HELICOIDAL DE 3/8" COM HASTE CILINDRICA|1|70|31|FERRAMENTAS MAQ.FERRAMENTAS,ELETR.PECAS E ACESSORI|MAN|Padrão|4|13|52|Ativo|</t>
        </r>
      </text>
    </comment>
    <comment ref="X181" authorId="0" shapeId="0" xr:uid="{00000000-0006-0000-0000-0000D9000000}">
      <text>
        <r>
          <rPr>
            <sz val="10"/>
            <color indexed="81"/>
            <rFont val="Lucida Console"/>
            <family val="3"/>
          </rPr>
          <t>82452|BUCHA DE REDUCAO EM LATAO 3/4 X 1/2|1|61|8|MATERIAL HIDRAULICO, CANOS, TUBOS, MANGUEIRAS, CONEXOES E ACESS.|MHI|Padrão|4|13|52|Ativo|</t>
        </r>
      </text>
    </comment>
    <comment ref="X182" authorId="0" shapeId="0" xr:uid="{00000000-0006-0000-0000-0000DA000000}">
      <text>
        <r>
          <rPr>
            <sz val="10"/>
            <color indexed="81"/>
            <rFont val="Lucida Console"/>
            <family val="3"/>
          </rPr>
          <t>27139|PAPEL LAMINADO - 50 X 60 CM - VERMELHO|1|57|2|MAQ. E EQUIP. P/ IND. GRAFICA COMP. ACESS. E PAPEI|EDU|Padrão|4|834|3336|Ativo|</t>
        </r>
      </text>
    </comment>
    <comment ref="X183" authorId="0" shapeId="0" xr:uid="{00000000-0006-0000-0000-0000DB000000}">
      <text>
        <r>
          <rPr>
            <sz val="10"/>
            <color indexed="81"/>
            <rFont val="Lucida Console"/>
            <family val="3"/>
          </rPr>
          <t>45607|UNIAO DE PVC COLA -  25 MM|1|61|8|MATERIAL HIDRAULICO, CANOS, TUBOS, MANGUEIRAS, CONEXOES E ACESS.|MHI|Padrão|4|57|228|Ativo|</t>
        </r>
      </text>
    </comment>
    <comment ref="X184" authorId="0" shapeId="0" xr:uid="{00000000-0006-0000-0000-0000DC000000}">
      <text>
        <r>
          <rPr>
            <sz val="10"/>
            <color indexed="81"/>
            <rFont val="Lucida Console"/>
            <family val="3"/>
          </rPr>
          <t>119407|DESINFETANTE, MULTIUSO, ANTIBACTERICIDA, PERFUME LAVANDA, GALAO COM 5 LITROS|1|72|10|MAQ.EQUIP.E MATERIAIS P/ HIGIEN.LIMP.POLIM.E LUBR.|ADM|Padrão|4|50|200|Ativo|</t>
        </r>
      </text>
    </comment>
    <comment ref="X185" authorId="0" shapeId="0" xr:uid="{00000000-0006-0000-0000-0000DD000000}">
      <text>
        <r>
          <rPr>
            <sz val="10"/>
            <color indexed="81"/>
            <rFont val="Lucida Console"/>
            <family val="3"/>
          </rPr>
          <t>15299|INTERRUPTOR 10A X 250V INTERNO C/PLACA-  01 TECLA|1|55|7|EQUIP. MAT. P/ GERACAO, TRANSM. DISTR. RETIF...|MEL|Padrão|4|50|200|Ativo|</t>
        </r>
      </text>
    </comment>
    <comment ref="X186" authorId="0" shapeId="0" xr:uid="{00000000-0006-0000-0000-0000DE000000}">
      <text>
        <r>
          <rPr>
            <sz val="10"/>
            <color indexed="81"/>
            <rFont val="Lucida Console"/>
            <family val="3"/>
          </rPr>
          <t>135301|COTOVELO DE 45°, EM PVC BRANCO, PARA ESGOTO, DE 4" (100 MM), DE ACORDO COM A NORMA NBR 5688. TODAS AS INFORMACOES DEVERAO ESTAR LITOGRAFADAS NA PECA.|1|61|8|MATERIAL HIDRAULICO, CANOS, TUBOS, MANGUEIRAS, CONEXOES E ACESS.|MHI|Padrão|4|34|136|Ativo|</t>
        </r>
      </text>
    </comment>
    <comment ref="X187" authorId="0" shapeId="0" xr:uid="{00000000-0006-0000-0000-0000DF000000}">
      <text>
        <r>
          <rPr>
            <sz val="10"/>
            <color indexed="81"/>
            <rFont val="Lucida Console"/>
            <family val="3"/>
          </rPr>
          <t>23986|PAPEL CREPOM - RL C/ 48 X 200 CM - AMARELO OURO|1|57|2|MAQ. E EQUIP. P/ IND. GRAFICA COMP. ACESS. E PAPEI|EDU|Padrão|4|834|3336|Ativo|</t>
        </r>
      </text>
    </comment>
    <comment ref="X188" authorId="0" shapeId="0" xr:uid="{00000000-0006-0000-0000-0000E0000000}">
      <text>
        <r>
          <rPr>
            <sz val="10"/>
            <color indexed="81"/>
            <rFont val="Lucida Console"/>
            <family val="3"/>
          </rPr>
          <t>114297|TELHA DE CONCRETO, INCLINACAO MINIMA : 30 OU 16, 40º. SOBREPOSICAO TRANSVERSAL: 10 CM, RESISTENCIA A FLEXAO: ACIMA DE 300 KG, SEGUNDO AS NORMAS TECNICAS ABNT: NBR 13858-1 / 13858-2|1|51|17|MAT.E EQUIP. P/ CONSTR.CIVIL E CONSERV. DE VIAS PUBL.|MCO|Padrão|4|49|196|Ativo|</t>
        </r>
      </text>
    </comment>
    <comment ref="X189" authorId="0" shapeId="0" xr:uid="{00000000-0006-0000-0000-0000E1000000}">
      <text>
        <r>
          <rPr>
            <sz val="10"/>
            <color indexed="81"/>
            <rFont val="Lucida Console"/>
            <family val="3"/>
          </rPr>
          <t>23993|PAPEL CREPOM - RL C/ 48 X 200 CM - ROSA|1|57|2|MAQ. E EQUIP. P/ IND. GRAFICA COMP. ACESS. E PAPEI|EDU|Padrão|4|834|3336|Ativo|</t>
        </r>
      </text>
    </comment>
    <comment ref="X190" authorId="0" shapeId="0" xr:uid="{00000000-0006-0000-0000-0000E2000000}">
      <text>
        <r>
          <rPr>
            <sz val="10"/>
            <color indexed="81"/>
            <rFont val="Lucida Console"/>
            <family val="3"/>
          </rPr>
          <t>12894|COTOVELO 90 GRAUS EM PVC RIGIDO SOLDAVEL DE 3/4"|1|61|8|MATERIAL HIDRAULICO, CANOS, TUBOS, MANGUEIRAS, CONEXOES E ACESS.|MHI|Padrão|4|334|1336|Ativo|</t>
        </r>
      </text>
    </comment>
    <comment ref="X191" authorId="0" shapeId="0" xr:uid="{00000000-0006-0000-0000-0000E3000000}">
      <text>
        <r>
          <rPr>
            <sz val="10"/>
            <color indexed="81"/>
            <rFont val="Lucida Console"/>
            <family val="3"/>
          </rPr>
          <t>138460|CANETA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INMETRO.|1|45|10|MAQ., EQUIP., COMP., ACES., MAT. PARA ESCRIT.E ESCOLAR|EDU|Padrão|4|1997|7988|Ativo|</t>
        </r>
      </text>
    </comment>
    <comment ref="X192" authorId="0" shapeId="0" xr:uid="{00000000-0006-0000-0000-0000E4000000}">
      <text>
        <r>
          <rPr>
            <sz val="10"/>
            <color indexed="81"/>
            <rFont val="Lucida Console"/>
            <family val="3"/>
          </rPr>
          <t>77822|RODO DE ALUMINIO DE 40 CM C/ CABO DE ALUMINIO MED. 1,30 M - BORRACHA UNICA E SUBSTITUIVEL (VARIACAO +/-05 CM DO CABO)|1|72|5|MAQ.EQUIP.E MATERIAIS P/ HIGIEN.LIMP.POLIM.E LUBR.|ADM|Padrão|4|3|12|Ativo|</t>
        </r>
      </text>
    </comment>
    <comment ref="X193" authorId="0" shapeId="0" xr:uid="{00000000-0006-0000-0000-0000E5000000}">
      <text>
        <r>
          <rPr>
            <sz val="10"/>
            <color indexed="81"/>
            <rFont val="Lucida Console"/>
            <family val="3"/>
          </rPr>
          <t>77823|RODO DE ALUMINIO DE 60 CM C/ CABO DE ALUMINIO MEDINDO APROXIMADAMENTE 1,30 M  - BORRACHA UNICA E SUBSTITUIVEL|1|72|5|MAQ.EQUIP.E MATERIAIS P/ HIGIEN.LIMP.POLIM.E LUBR.|ADM|Padrão|4|3|12|Ativo|</t>
        </r>
      </text>
    </comment>
    <comment ref="X194" authorId="0" shapeId="0" xr:uid="{00000000-0006-0000-0000-0000E6000000}">
      <text>
        <r>
          <rPr>
            <sz val="10"/>
            <color indexed="81"/>
            <rFont val="Lucida Console"/>
            <family val="3"/>
          </rPr>
          <t>48901|PASTA MOLHA DEDO|1|45|9|MAQ., EQUIP., COMP., ACES., MAT. PARA ESCRIT.E ESCOLAR|EDU|Padrão|4|6|24|Ativo|</t>
        </r>
      </text>
    </comment>
    <comment ref="A195" authorId="0" shapeId="0" xr:uid="{00000000-0006-0000-0000-0000E7000000}">
      <text>
        <r>
          <rPr>
            <sz val="10"/>
            <color indexed="81"/>
            <rFont val="Lucida Console"/>
            <family val="3"/>
          </rPr>
          <t>Mantido o valor anterior</t>
        </r>
      </text>
    </comment>
    <comment ref="X195" authorId="0" shapeId="0" xr:uid="{00000000-0006-0000-0000-0000E8000000}">
      <text>
        <r>
          <rPr>
            <sz val="10"/>
            <color indexed="81"/>
            <rFont val="Lucida Console"/>
            <family val="3"/>
          </rPr>
          <t>92842|PAPEL SULFITE COATED HP 914 MM X 45 M GRAMATURA 90G/M² PARA PLOTER, HP DESIGNJET SERIE 4000|1|57|3|MAQ. E EQUIP. P/ IND. GRAFICA COMP. ACESS. E PAPEI|EDU|Padrão|4|3|12|Ativo|</t>
        </r>
      </text>
    </comment>
    <comment ref="X196" authorId="0" shapeId="0" xr:uid="{00000000-0006-0000-0000-0000E9000000}">
      <text>
        <r>
          <rPr>
            <sz val="10"/>
            <color indexed="81"/>
            <rFont val="Lucida Console"/>
            <family val="3"/>
          </rPr>
          <t>17299|PAPEL MONOLUCIDO - 120 G/M2 660 X 960 MM  - PACOTE C/ 250|1|57|18|MAQ. E EQUIP. P/ IND. GRAFICA COMP. ACESS. E PAPEI|EDU|Padrão|4|3|12|Ativo|</t>
        </r>
      </text>
    </comment>
    <comment ref="X197" authorId="0" shapeId="0" xr:uid="{00000000-0006-0000-0000-0000EA000000}">
      <text>
        <r>
          <rPr>
            <sz val="10"/>
            <color indexed="81"/>
            <rFont val="Lucida Console"/>
            <family val="3"/>
          </rPr>
          <t>134570|PONTEIRA BIT PH2 DUPLA, IMANTADA, COMPRIMENTO DE 110 MM, EM ACO CROMO VANADIO||70|25|FERRAMENTAS MAQ.FERRAMENTAS,ELETR.PECAS E ACESSORI|MAN|Padrão|4|3|12|Ativo|</t>
        </r>
      </text>
    </comment>
    <comment ref="X198" authorId="0" shapeId="0" xr:uid="{00000000-0006-0000-0000-0000EB000000}">
      <text>
        <r>
          <rPr>
            <sz val="10"/>
            <color indexed="81"/>
            <rFont val="Lucida Console"/>
            <family val="3"/>
          </rPr>
          <t>76218|TELHA DE FIBROCIMENTO - 0,90 X 8,20 M - TIPO CANALETE|1|51|17|MAT.E EQUIP. P/ CONSTR.CIVIL E CONSERV. DE VIAS PUBL.|MCO|Padrão|4|3|12|Ativo|</t>
        </r>
      </text>
    </comment>
    <comment ref="X199" authorId="0" shapeId="0" xr:uid="{00000000-0006-0000-0000-0000EC000000}">
      <text>
        <r>
          <rPr>
            <sz val="10"/>
            <color indexed="81"/>
            <rFont val="Lucida Console"/>
            <family val="3"/>
          </rPr>
          <t>115841|VITRO DE CORRER EM ALUMINIO COM VIDROS E GRADE EM ALUMINIO FOSCO MEDINDO: 1,50 X 1,20M|1|51|26|MAT.E EQUIP. P/ CONSTR.CIVIL E CONSERV. DE VIAS PUBL.|MCO|Padrão|4|3|12|Ativo|</t>
        </r>
      </text>
    </comment>
    <comment ref="X200" authorId="0" shapeId="0" xr:uid="{00000000-0006-0000-0000-0000ED000000}">
      <text>
        <r>
          <rPr>
            <sz val="10"/>
            <color indexed="81"/>
            <rFont val="Lucida Console"/>
            <family val="3"/>
          </rPr>
          <t>115840|VITRO DE CORRER EM ALUMINIO COM VIDROS E GRADE EM ALUMINIO FOSCO MEDINDO: 2,00 X 1,20M|1|51|26|MAT.E EQUIP. P/ CONSTR.CIVIL E CONSERV. DE VIAS PUBL.|MCO|Padrão|4|3|12|Ativo|</t>
        </r>
      </text>
    </comment>
    <comment ref="X201" authorId="0" shapeId="0" xr:uid="{00000000-0006-0000-0000-0000EE000000}">
      <text>
        <r>
          <rPr>
            <sz val="10"/>
            <color indexed="81"/>
            <rFont val="Lucida Console"/>
            <family val="3"/>
          </rPr>
          <t>78307|FOLHA DE PORTA DE IMBUIA - MED. 1,02 X 2,10 M|1|51|28|MAT.E EQUIP. P/ CONSTR.CIVIL E CONSERV. DE VIAS PUBL.|MCO|Padrão|4|3|12|Ativo|</t>
        </r>
      </text>
    </comment>
    <comment ref="X202" authorId="0" shapeId="0" xr:uid="{00000000-0006-0000-0000-0000EF000000}">
      <text>
        <r>
          <rPr>
            <sz val="10"/>
            <color indexed="81"/>
            <rFont val="Lucida Console"/>
            <family val="3"/>
          </rPr>
          <t>74908|VIGA DE GARAPEIRA BRUTA - MEDIDAS: 06 CM X 16 CM X 4,00 M|1|74|3|MADEIRAS,LAMINADOS,COMPENSADOS E AGLOMERADOS|MCO|Padrão|4|12|48|Ativo|</t>
        </r>
      </text>
    </comment>
    <comment ref="X203" authorId="0" shapeId="0" xr:uid="{00000000-0006-0000-0000-0000F0000000}">
      <text>
        <r>
          <rPr>
            <sz val="10"/>
            <color indexed="81"/>
            <rFont val="Lucida Console"/>
            <family val="3"/>
          </rPr>
          <t>88746|DISJUNTOR NORMA DIN CURVA C PADRAO, TRIPOLAR, 100 AMPERES|1|55|26|EQUIP. MAT. P/ GERACAO, TRANSM. DISTR. RETIF...|MEL|Padrão|4|3|12|Ativo|</t>
        </r>
      </text>
    </comment>
    <comment ref="X204" authorId="0" shapeId="0" xr:uid="{00000000-0006-0000-0000-0000F1000000}">
      <text>
        <r>
          <rPr>
            <sz val="10"/>
            <color indexed="81"/>
            <rFont val="Lucida Console"/>
            <family val="3"/>
          </rPr>
          <t>102820|DISJUNTOR TRIPOLAR IN = 125A, TENSAO MINIMA DE OPERACAO 240V, CURVA C, NBR 60947-2 - CATEGORIA "A"|1|55|26|EQUIP. MAT. P/ GERACAO, TRANSM. DISTR. RETIF...|MEL|Padrão|4|3|12|Ativo|</t>
        </r>
      </text>
    </comment>
    <comment ref="X205" authorId="0" shapeId="0" xr:uid="{00000000-0006-0000-0000-0000F2000000}">
      <text>
        <r>
          <rPr>
            <sz val="10"/>
            <color indexed="81"/>
            <rFont val="Lucida Console"/>
            <family val="3"/>
          </rPr>
          <t>36399|ROLAMENTO - 6202 - ZZ|1|89|12|PEC.P/ VEICULO DE USO ESPECIAL E BATERIASROLAMENTO|MFR|Padrão|4|3|12|Ativo|</t>
        </r>
      </text>
    </comment>
    <comment ref="X206" authorId="0" shapeId="0" xr:uid="{00000000-0006-0000-0000-0000F3000000}">
      <text>
        <r>
          <rPr>
            <sz val="10"/>
            <color indexed="81"/>
            <rFont val="Lucida Console"/>
            <family val="3"/>
          </rPr>
          <t>54586|COTOVELO 45 GRAUS EM PVC - RIGIDO SOLDAVEL - 6"- (150 MM) -|1|61|2|MATERIAL HIDRAULICO, CANOS, TUBOS, MANGUEIRAS, CONEXOES E ACESS.|MHI|Padrão|4|3|12|Ativo|</t>
        </r>
      </text>
    </comment>
    <comment ref="X207" authorId="0" shapeId="0" xr:uid="{00000000-0006-0000-0000-0000F4000000}">
      <text>
        <r>
          <rPr>
            <sz val="10"/>
            <color indexed="81"/>
            <rFont val="Lucida Console"/>
            <family val="3"/>
          </rPr>
          <t>102278|TUBO DE FERRO GALVANIZADO DN (DIAMETRO NOMINAL) 1/2"|1|61|3|MATERIAL HIDRAULICO, CANOS, TUBOS, MANGUEIRAS, CONEXOES E ACESS.|MHI|Padrão|4|3|12|Ativo|</t>
        </r>
      </text>
    </comment>
    <comment ref="X208" authorId="0" shapeId="0" xr:uid="{00000000-0006-0000-0000-0000F5000000}">
      <text>
        <r>
          <rPr>
            <sz val="10"/>
            <color indexed="81"/>
            <rFont val="Lucida Console"/>
            <family val="3"/>
          </rPr>
          <t>54550|TUBO DE FERRO METALON - 40 X 40 X 1,5MM - BARRA COM 6 METRO|1|61|3|MATERIAL HIDRAULICO, CANOS, TUBOS, MANGUEIRAS, CONEXOES E ACESS.|MHI|Padrão|4|42|168|Ativo|</t>
        </r>
      </text>
    </comment>
    <comment ref="X209" authorId="0" shapeId="0" xr:uid="{00000000-0006-0000-0000-0000F6000000}">
      <text>
        <r>
          <rPr>
            <sz val="10"/>
            <color indexed="81"/>
            <rFont val="Lucida Console"/>
            <family val="3"/>
          </rPr>
          <t>59097|TUBO DE PVC BRANCO PARA ESGOTO, DE 150 MM - 6" X 06 M|1|61|8|MATERIAL HIDRAULICO, CANOS, TUBOS, MANGUEIRAS, CONEXOES E ACESS.|MHI|Padrão|4|9|36|Ativo|</t>
        </r>
      </text>
    </comment>
    <comment ref="X210" authorId="0" shapeId="0" xr:uid="{00000000-0006-0000-0000-0000F7000000}">
      <text>
        <r>
          <rPr>
            <sz val="10"/>
            <color indexed="81"/>
            <rFont val="Lucida Console"/>
            <family val="3"/>
          </rPr>
          <t>114822|TUBO DE PVC SOLDAVEL, 10" 250MM X 6M PARA ESGOTO NA COR BRANCA|1|61|8|MATERIAL HIDRAULICO, CANOS, TUBOS, MANGUEIRAS, CONEXOES E ACESS.|MHI|Padrão|4|3|12|Ativo|</t>
        </r>
      </text>
    </comment>
    <comment ref="X211" authorId="0" shapeId="0" xr:uid="{00000000-0006-0000-0000-0000F8000000}">
      <text>
        <r>
          <rPr>
            <sz val="10"/>
            <color indexed="81"/>
            <rFont val="Lucida Console"/>
            <family val="3"/>
          </rPr>
          <t>17426|CAIXA DE DESCARGA COM CORPO PLASTICO (ACOMPANHA ENGATE E|1|61|11|MATERIAL HIDRAULICO, CANOS, TUBOS, MANGUEIRAS, CONEXOES E ACESS.|MHI|Padrão|4|3|12|Ativo|</t>
        </r>
      </text>
    </comment>
    <comment ref="X212" authorId="0" shapeId="0" xr:uid="{00000000-0006-0000-0000-0000F9000000}">
      <text>
        <r>
          <rPr>
            <sz val="10"/>
            <color indexed="81"/>
            <rFont val="Lucida Console"/>
            <family val="3"/>
          </rPr>
          <t>80385|CONJUNTO DE CRUZETA, MOLA E PARAFUSO PARA VALVULA DE DESCARGA|1|61|15|MATERIAL HIDRAULICO, CANOS, TUBOS, MANGUEIRAS, CONEXOES E ACESS.|MHI|Padrão|4|3|12|Ativo|</t>
        </r>
      </text>
    </comment>
    <comment ref="X213" authorId="0" shapeId="0" xr:uid="{00000000-0006-0000-0000-0000FA000000}">
      <text>
        <r>
          <rPr>
            <sz val="10"/>
            <color indexed="81"/>
            <rFont val="Lucida Console"/>
            <family val="3"/>
          </rPr>
          <t>81808|REPARO ACIONADOR PARA VALVULA DE DESCARGA HYDRA LUXO - REF. 4336004|1|61|15|MATERIAL HIDRAULICO, CANOS, TUBOS, MANGUEIRAS, CONEXOES E ACESS.|MHI|Padrão|4|3|12|Ativo|</t>
        </r>
      </text>
    </comment>
    <comment ref="X214" authorId="0" shapeId="0" xr:uid="{00000000-0006-0000-0000-0000FB000000}">
      <text>
        <r>
          <rPr>
            <sz val="10"/>
            <color indexed="81"/>
            <rFont val="Lucida Console"/>
            <family val="3"/>
          </rPr>
          <t>81807|REPARO PARA VALVULA HYDRA LUXO - REF. 4686924|1|61|15|MATERIAL HIDRAULICO, CANOS, TUBOS, MANGUEIRAS, CONEXOES E ACESS.|MHI|Padrão|4|3|12|Ativo|</t>
        </r>
      </text>
    </comment>
    <comment ref="X215" authorId="2" shapeId="0" xr:uid="{00000000-0006-0000-0000-0000FC000000}">
      <text>
        <r>
          <rPr>
            <sz val="9"/>
            <color indexed="81"/>
            <rFont val="Segoe UI"/>
            <family val="2"/>
          </rPr>
          <t>57900|TINTA BETUMINOSA PARA IMPERMEABILIZACAO DE ALVENARIA - LATA|1|76|8|EQUIP. E MATERIAIS P/PINTURAS E IMPERMEABILIZACAO|MPI|Personalizado|4|3|12|Ativo|</t>
        </r>
      </text>
    </comment>
    <comment ref="X216" authorId="0" shapeId="0" xr:uid="{00000000-0006-0000-0000-0000FD000000}">
      <text>
        <r>
          <rPr>
            <sz val="10"/>
            <color indexed="81"/>
            <rFont val="Lucida Console"/>
            <family val="3"/>
          </rPr>
          <t>13222|PARAFUSO GALVANIZADO P/ FIXACAO DE TELHAS MODULADAS - 8 X 1|1|67|1|PARAFUSOS ELEM. VEDACAO UNIAO CONEX . FIXACAO|MSE|Padrão|4|27|108|Ativo|</t>
        </r>
      </text>
    </comment>
    <comment ref="X217" authorId="0" shapeId="0" xr:uid="{00000000-0006-0000-0000-0000FE000000}">
      <text>
        <r>
          <rPr>
            <sz val="10"/>
            <color indexed="81"/>
            <rFont val="Lucida Console"/>
            <family val="3"/>
          </rPr>
          <t>134564|PARAFUSO EM ACO BICROMATIZADO, CABECA CHATA PH 4,0 X 35 - CAIXA COM 500 UNIDADES|1|67|3|PARAFUSOS ELEM. VEDACAO UNIAO CONEX . FIXACAO|MSE|Padrão|4|3|12|Ativo|</t>
        </r>
      </text>
    </comment>
    <comment ref="X218" authorId="0" shapeId="0" xr:uid="{00000000-0006-0000-0000-0000FF000000}">
      <text>
        <r>
          <rPr>
            <sz val="10"/>
            <color indexed="81"/>
            <rFont val="Lucida Console"/>
            <family val="3"/>
          </rPr>
          <t>18346|PREGO COMUM DE CABECA CHATA - 15 X 15|1|67|6|PARAFUSOS ELEM. VEDACAO UNIAO CONEX . FIXACAO|MSE|Padrão|4|3|12|Ativo|</t>
        </r>
      </text>
    </comment>
    <comment ref="X219" authorId="0" shapeId="0" xr:uid="{00000000-0006-0000-0000-000000010000}">
      <text>
        <r>
          <rPr>
            <sz val="10"/>
            <color indexed="81"/>
            <rFont val="Lucida Console"/>
            <family val="3"/>
          </rPr>
          <t>116751|PERFIL TEE, CHAPA DOBRADA, 25 MM X 25 MM - BARRA COM 03 METROS|1|69|2|METAIS,LAMINAD.,PERFILADOS E ARTEFATOS METALICOS|MSE|Padrão|4|9|36|Ativo|</t>
        </r>
      </text>
    </comment>
    <comment ref="X220" authorId="0" shapeId="0" xr:uid="{00000000-0006-0000-0000-000001010000}">
      <text>
        <r>
          <rPr>
            <sz val="10"/>
            <color indexed="81"/>
            <rFont val="Lucida Console"/>
            <family val="3"/>
          </rPr>
          <t>24476|PAPEL CREPOM - RL C/ 48 X 200 CM - AZUL ESCURO|1|57|2|MAQ. E EQUIP. P/ IND. GRAFICA COMP. ACESS. E PAPEI|EDU|Padrão|4|834|3336|Ativo|</t>
        </r>
      </text>
    </comment>
    <comment ref="X221" authorId="0" shapeId="0" xr:uid="{00000000-0006-0000-0000-000002010000}">
      <text>
        <r>
          <rPr>
            <sz val="10"/>
            <color indexed="81"/>
            <rFont val="Lucida Console"/>
            <family val="3"/>
          </rPr>
          <t>23989|PAPEL CREPOM - RL C/ 48 X 200 CM - LARANJA|1|57|2|MAQ. E EQUIP. P/ IND. GRAFICA COMP. ACESS. E PAPEI|EDU|Padrão|4|834|3336|Ativo|</t>
        </r>
      </text>
    </comment>
    <comment ref="X222" authorId="0" shapeId="0" xr:uid="{00000000-0006-0000-0000-000003010000}">
      <text>
        <r>
          <rPr>
            <sz val="10"/>
            <color indexed="81"/>
            <rFont val="Lucida Console"/>
            <family val="3"/>
          </rPr>
          <t>106546|CHUMBADOR CBA   5/16"  X  3.1/4"|1|67|9|PARAFUSOS ELEM. VEDACAO UNIAO CONEX . FIXACAO|MSE|Padrão|4|150|600|Ativo|</t>
        </r>
      </text>
    </comment>
    <comment ref="X223" authorId="0" shapeId="0" xr:uid="{00000000-0006-0000-0000-000004010000}">
      <text>
        <r>
          <rPr>
            <sz val="10"/>
            <color indexed="81"/>
            <rFont val="Lucida Console"/>
            <family val="3"/>
          </rPr>
          <t>12652|COPO PLASTICO DESCARTAVEL - 50 ML - PT C/ 100 UNID (CAFE)|1|52|6|EQUIP.E MAT. P/REFEITORIO, COPA E COZINHA|ADM|Padrão|4|500|2000|Ativo|</t>
        </r>
      </text>
    </comment>
    <comment ref="X224" authorId="0" shapeId="0" xr:uid="{00000000-0006-0000-0000-000005010000}">
      <text>
        <r>
          <rPr>
            <sz val="10"/>
            <color indexed="81"/>
            <rFont val="Lucida Console"/>
            <family val="3"/>
          </rPr>
          <t>119621|CHAPA EM MDF ALTO BRILHO - MEDIDAS: 2,75 X 1,86 M X 06 MM DE ESPESSURA|1|74|9|MADEIRAS,LAMINADOS,COMPENSADOS E AGLOMERADOS|MCO|Padrão|4|125|500|Ativo|</t>
        </r>
      </text>
    </comment>
    <comment ref="X225" authorId="0" shapeId="0" xr:uid="{00000000-0006-0000-0000-000006010000}">
      <text>
        <r>
          <rPr>
            <sz val="10"/>
            <color indexed="81"/>
            <rFont val="Lucida Console"/>
            <family val="3"/>
          </rPr>
          <t>24477|PAPEL CREPOM - RL C/ 48 X 200 CM - VERDE ESCURO|1|57|2|MAQ. E EQUIP. P/ IND. GRAFICA COMP. ACESS. E PAPEI|EDU|Padrão|4|834|3336|Ativo|</t>
        </r>
      </text>
    </comment>
    <comment ref="X226" authorId="0" shapeId="0" xr:uid="{00000000-0006-0000-0000-000007010000}">
      <text>
        <r>
          <rPr>
            <sz val="10"/>
            <color indexed="81"/>
            <rFont val="Lucida Console"/>
            <family val="3"/>
          </rPr>
          <t>23996|PAPEL CREPOM - RL C/ 48 X 200 CM - VERMELHO|1|57|2|MAQ. E EQUIP. P/ IND. GRAFICA COMP. ACESS. E PAPEI|EDU|Padrão|4|834|3336|Ativo|</t>
        </r>
      </text>
    </comment>
    <comment ref="X227" authorId="0" shapeId="0" xr:uid="{00000000-0006-0000-0000-000008010000}">
      <text>
        <r>
          <rPr>
            <sz val="10"/>
            <color indexed="81"/>
            <rFont val="Lucida Console"/>
            <family val="3"/>
          </rPr>
          <t>138459|CANETA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INMETRO.|1|45|10|MAQ., EQUIP., COMP., ACES., MAT. PARA ESCRIT.E ESCOLAR|EDU|Padrão|4|5679|22716|Ativo|</t>
        </r>
      </text>
    </comment>
    <comment ref="X228" authorId="0" shapeId="0" xr:uid="{00000000-0006-0000-0000-000009010000}">
      <text>
        <r>
          <rPr>
            <sz val="10"/>
            <color indexed="81"/>
            <rFont val="Lucida Console"/>
            <family val="3"/>
          </rPr>
          <t>23875|PAPEL CARTAO - 50 X 70 CM - LARANJA (MEDIDAS PODERAO VARIAR +/- 5CM)|1|57|16|MAQ. E EQUIP. P/ IND. GRAFICA COMP. ACESS. E PAPEI|EDU|Padrão|4|2084|8336|Ativo|</t>
        </r>
      </text>
    </comment>
    <comment ref="X229" authorId="0" shapeId="0" xr:uid="{00000000-0006-0000-0000-00000A010000}">
      <text>
        <r>
          <rPr>
            <sz val="10"/>
            <color indexed="81"/>
            <rFont val="Lucida Console"/>
            <family val="3"/>
          </rPr>
          <t>44398|TUBO DE FERRO TIPO METALON, 40 X 20 X 1,5 MM, BARRA COM 6 M|1|61|3|MATERIAL HIDRAULICO, CANOS, TUBOS, MANGUEIRAS, CONEXOES E ACESS.|MHI|Padrão|4|167|668|Ativo|</t>
        </r>
      </text>
    </comment>
    <comment ref="X230" authorId="0" shapeId="0" xr:uid="{00000000-0006-0000-0000-00000B010000}">
      <text>
        <r>
          <rPr>
            <sz val="10"/>
            <color indexed="81"/>
            <rFont val="Lucida Console"/>
            <family val="3"/>
          </rPr>
          <t>25559|PAPEL LAMINADO - 50 X 60 CM - DOURADO - AS MEDIDAS PODERAO VARIAR +/- 5 CM|1|57|2|MAQ. E EQUIP. P/ IND. GRAFICA COMP. ACESS. E PAPEI|EDU|Padrão|4|834|3336|Ativo|</t>
        </r>
      </text>
    </comment>
    <comment ref="X231" authorId="0" shapeId="0" xr:uid="{00000000-0006-0000-0000-00000C010000}">
      <text>
        <r>
          <rPr>
            <sz val="10"/>
            <color indexed="81"/>
            <rFont val="Lucida Console"/>
            <family val="3"/>
          </rPr>
          <t>116466|CANTONEIRA EM ACO PARA FIXACAO DE BALS MEDINDO 47 MM X 20 MM X 25 MM COM 3 FUROS|1|69|3|METAIS,LAMINAD.,PERFILADOS E ARTEFATOS METALICOS|MSE|Padrão|4|709|2836|Ativo|</t>
        </r>
      </text>
    </comment>
    <comment ref="X232" authorId="0" shapeId="0" xr:uid="{00000000-0006-0000-0000-00000D010000}">
      <text>
        <r>
          <rPr>
            <sz val="10"/>
            <color indexed="81"/>
            <rFont val="Lucida Console"/>
            <family val="3"/>
          </rPr>
          <t>76583|CHAPA DE MADEIRA COMPENSADO LAMINADO DE VIROLA - MEDIDAS: 2,20 M X 1,60 M X 15 MM|1|74|9|MADEIRAS,LAMINADOS,COMPENSADOS E AGLOMERADOS|MCO|Padrão|4|17|68|Ativo|</t>
        </r>
      </text>
    </comment>
    <comment ref="X233" authorId="0" shapeId="0" xr:uid="{00000000-0006-0000-0000-00000E010000}">
      <text>
        <r>
          <rPr>
            <sz val="10"/>
            <color indexed="81"/>
            <rFont val="Lucida Console"/>
            <family val="3"/>
          </rPr>
          <t>112155|TOMADA COM 2 TOMADAS 2P+T DE 20A/250V DE EMBUTIR COM ESPELHO PARA CAIXA 4X2, PADRAO NBR 14136|1|55|37|EQUIP. MAT. P/ GERACAO, TRANSM. DISTR. RETIF...|MEL|Padrão|4|17|68|Ativo|</t>
        </r>
      </text>
    </comment>
    <comment ref="X234" authorId="0" shapeId="0" xr:uid="{00000000-0006-0000-0000-00000F010000}">
      <text>
        <r>
          <rPr>
            <sz val="10"/>
            <color indexed="81"/>
            <rFont val="Lucida Console"/>
            <family val="3"/>
          </rPr>
          <t>27764|TUBO DE POLIETILENO DE 1" - (PONTA VERMELHA)|1|61|2|MATERIAL HIDRAULICO, CANOS, TUBOS, MANGUEIRAS, CONEXOES E ACESS.|MHI|Padrão|4|17|68|Ativo|</t>
        </r>
      </text>
    </comment>
    <comment ref="X235" authorId="0" shapeId="0" xr:uid="{00000000-0006-0000-0000-000010010000}">
      <text>
        <r>
          <rPr>
            <sz val="10"/>
            <color indexed="81"/>
            <rFont val="Lucida Console"/>
            <family val="3"/>
          </rPr>
          <t>12891|COTOVELO 90 GRAUS EM PVC RIGIDO SOLDAVEL DE 32 MM (1")|1|61|8|MATERIAL HIDRAULICO, CANOS, TUBOS, MANGUEIRAS, CONEXOES E ACESS.|MHI|Padrão|4|17|68|Ativo|</t>
        </r>
      </text>
    </comment>
    <comment ref="X236" authorId="0" shapeId="0" xr:uid="{00000000-0006-0000-0000-000011010000}">
      <text>
        <r>
          <rPr>
            <sz val="10"/>
            <color indexed="81"/>
            <rFont val="Lucida Console"/>
            <family val="3"/>
          </rPr>
          <t>88726|DISJUNTOR NORMA DIN CURVA C PADRAO, BIPOLAR, 10 AMPERES|1|55|26|EQUIP. MAT. P/ GERACAO, TRANSM. DISTR. RETIF...|MEL|Padrão|4|14|56|Ativo|</t>
        </r>
      </text>
    </comment>
    <comment ref="X237" authorId="0" shapeId="0" xr:uid="{00000000-0006-0000-0000-000012010000}">
      <text>
        <r>
          <rPr>
            <sz val="10"/>
            <color indexed="81"/>
            <rFont val="Lucida Console"/>
            <family val="3"/>
          </rPr>
          <t>134567|BUCHA DE FIXACAO UNIVERSAL Nº 8 DE NYLON PARA BASES OCAS E MACICAS|1|67|9|PARAFUSOS ELEM. VEDACAO UNIAO CONEX . FIXACAO|MSE|Padrão|4|554|2216|Ativo|</t>
        </r>
      </text>
    </comment>
    <comment ref="D238" authorId="1" shapeId="0" xr:uid="{00000000-0006-0000-0000-000013010000}">
      <text>
        <r>
          <rPr>
            <b/>
            <sz val="9"/>
            <color indexed="81"/>
            <rFont val="Segoe UI"/>
            <family val="2"/>
          </rPr>
          <t>Administrador:</t>
        </r>
        <r>
          <rPr>
            <sz val="9"/>
            <color indexed="81"/>
            <rFont val="Segoe UI"/>
            <family val="2"/>
          </rPr>
          <t xml:space="preserve">
</t>
        </r>
      </text>
    </comment>
    <comment ref="E238" authorId="1" shapeId="0" xr:uid="{00000000-0006-0000-0000-000014010000}">
      <text>
        <r>
          <rPr>
            <b/>
            <sz val="9"/>
            <color indexed="81"/>
            <rFont val="Segoe UI"/>
            <family val="2"/>
          </rPr>
          <t>Administrador:</t>
        </r>
        <r>
          <rPr>
            <sz val="9"/>
            <color indexed="81"/>
            <rFont val="Segoe UI"/>
            <family val="2"/>
          </rPr>
          <t xml:space="preserve">
</t>
        </r>
      </text>
    </comment>
    <comment ref="X238" authorId="0" shapeId="0" xr:uid="{00000000-0006-0000-0000-000015010000}">
      <text>
        <r>
          <rPr>
            <sz val="10"/>
            <color indexed="81"/>
            <rFont val="Lucida Console"/>
            <family val="3"/>
          </rPr>
          <t>4680|LENCOL DESCARTAVEL 70 CM X 50 MT|1|20|3|MATERIAIS DE CONSUMO HOSPITALAR|SAU|Padrão|4|805|3220|Ativo|</t>
        </r>
      </text>
    </comment>
    <comment ref="X239" authorId="0" shapeId="0" xr:uid="{00000000-0006-0000-0000-000016010000}">
      <text>
        <r>
          <rPr>
            <sz val="10"/>
            <color indexed="81"/>
            <rFont val="Lucida Console"/>
            <family val="3"/>
          </rPr>
          <t>13094|TARJETA CROMADA 3"|1|51|11|MAT.E EQUIP. P/ CONSTR.CIVIL E CONSERV. DE VIAS PUBL.|MCO|Padrão|4|117|468|Ativo|</t>
        </r>
      </text>
    </comment>
    <comment ref="X240" authorId="0" shapeId="0" xr:uid="{00000000-0006-0000-0000-000017010000}">
      <text>
        <r>
          <rPr>
            <sz val="10"/>
            <color indexed="81"/>
            <rFont val="Lucida Console"/>
            <family val="3"/>
          </rPr>
          <t>17362|PAPEL CELOFANE - 90 X 100 CM - AMARELO|1|57|15|MAQ. E EQUIP. P/ IND. GRAFICA COMP. ACESS. E PAPEI|EDU|Padrão|4|1000|4000|Ativo|</t>
        </r>
      </text>
    </comment>
    <comment ref="X241" authorId="0" shapeId="0" xr:uid="{00000000-0006-0000-0000-000018010000}">
      <text>
        <r>
          <rPr>
            <sz val="10"/>
            <color indexed="81"/>
            <rFont val="Lucida Console"/>
            <family val="3"/>
          </rPr>
          <t>95121|JOELHO 45° DE PVC SOLDAVEL PARA AGUA, MARROM, 25 MM|1|61|8|MATERIAL HIDRAULICO, CANOS, TUBOS, MANGUEIRAS, CONEXOES E ACESS.|MHI|Padrão|4|25|100|Ativo|</t>
        </r>
      </text>
    </comment>
    <comment ref="X242" authorId="0" shapeId="0" xr:uid="{00000000-0006-0000-0000-000019010000}">
      <text>
        <r>
          <rPr>
            <sz val="10"/>
            <color indexed="81"/>
            <rFont val="Lucida Console"/>
            <family val="3"/>
          </rPr>
          <t>59018|CANTONEIRA DE FERRO - 1.1/2" X 1/8" BARRA COM 06 MET|1|69|3|METAIS,LAMINAD.,PERFILADOS E ARTEFATOS METALICOS|MSE|Padrão|4|25|100|Ativo|</t>
        </r>
      </text>
    </comment>
    <comment ref="X243" authorId="0" shapeId="0" xr:uid="{00000000-0006-0000-0000-00001A010000}">
      <text>
        <r>
          <rPr>
            <sz val="10"/>
            <color indexed="81"/>
            <rFont val="Lucida Console"/>
            <family val="3"/>
          </rPr>
          <t>119181|TOMADA MOVEL PADRAO NBR 14136 2 +T  DE 10A/250V|1|55|37|EQUIP. MAT. P/ GERACAO, TRANSM. DISTR. RETIF...|MEL|Padrão|4|58|232|Ativo|</t>
        </r>
      </text>
    </comment>
    <comment ref="X244" authorId="0" shapeId="0" xr:uid="{00000000-0006-0000-0000-00001B010000}">
      <text>
        <r>
          <rPr>
            <sz val="10"/>
            <color indexed="81"/>
            <rFont val="Lucida Console"/>
            <family val="3"/>
          </rPr>
          <t>27140|PAPEL LAMINADO - 50 X 60 CM - PRATA|1|57|2|MAQ. E EQUIP. P/ IND. GRAFICA COMP. ACESS. E PAPEI|EDU|Padrão|4|834|3336|Ativo|</t>
        </r>
      </text>
    </comment>
    <comment ref="X245" authorId="0" shapeId="0" xr:uid="{00000000-0006-0000-0000-00001C010000}">
      <text>
        <r>
          <rPr>
            <sz val="10"/>
            <color indexed="81"/>
            <rFont val="Lucida Console"/>
            <family val="3"/>
          </rPr>
          <t>106376|TELHA EM CIMENTO REFORCADO COM FIO SINTETICO(CRFS)|1|51|17|MAT.E EQUIP. P/ CONSTR.CIVIL E CONSERV. DE VIAS PUBL.|MCO|Padrão|4|293|1172|Ativo|</t>
        </r>
      </text>
    </comment>
    <comment ref="X246" authorId="0" shapeId="0" xr:uid="{00000000-0006-0000-0000-00001D010000}">
      <text>
        <r>
          <rPr>
            <sz val="10"/>
            <color indexed="81"/>
            <rFont val="Lucida Console"/>
            <family val="3"/>
          </rPr>
          <t>136273|PUXADOR PARA MOVEL EM ABS, BOLA GRANDE, COM PARAFUSO 3,50 X 30 MM, CABECA FLANGE, COR:|1|51|11|MAT.E EQUIP. P/ CONSTR.CIVIL E CONSERV. DE VIAS PUBL.|MCO|Padrão|4|155|620|Ativo|</t>
        </r>
      </text>
    </comment>
    <comment ref="X247" authorId="0" shapeId="0" xr:uid="{00000000-0006-0000-0000-00001E010000}">
      <text>
        <r>
          <rPr>
            <sz val="10"/>
            <color indexed="81"/>
            <rFont val="Lucida Console"/>
            <family val="3"/>
          </rPr>
          <t>13180|CADEADO DE LATAO - 30 MM|1|51|12|MAT.E EQUIP. P/ CONSTR.CIVIL E CONSERV. DE VIAS PUBL.|MCO|Padrão|4|43|172|Ativo|</t>
        </r>
      </text>
    </comment>
    <comment ref="X248" authorId="0" shapeId="0" xr:uid="{00000000-0006-0000-0000-00001F010000}">
      <text>
        <r>
          <rPr>
            <sz val="10"/>
            <color indexed="81"/>
            <rFont val="Lucida Console"/>
            <family val="3"/>
          </rPr>
          <t>32933|PAPEL CARTAO - 50 X 70 CM - VERDE ESCURO (MEDIDAS PODERAO VARIAR +/- 5CM)|1|57|16|MAQ. E EQUIP. P/ IND. GRAFICA COMP. ACESS. E PAPEI|EDU|Padrão|4|2084|8336|Ativo|</t>
        </r>
      </text>
    </comment>
    <comment ref="X249" authorId="0" shapeId="0" xr:uid="{00000000-0006-0000-0000-000020010000}">
      <text>
        <r>
          <rPr>
            <sz val="10"/>
            <color indexed="81"/>
            <rFont val="Lucida Console"/>
            <family val="3"/>
          </rPr>
          <t>23846|PAPEL CARTAO - 50 X 70 CM - AMARELO (MEDIDAS PODERAO VARIAR +/- 5CM)|1|57|16|MAQ. E EQUIP. P/ IND. GRAFICA COMP. ACESS. E PAPEI|EDU|Padrão|4|2084|8336|Ativo|</t>
        </r>
      </text>
    </comment>
    <comment ref="X250" authorId="0" shapeId="0" xr:uid="{00000000-0006-0000-0000-000021010000}">
      <text>
        <r>
          <rPr>
            <sz val="10"/>
            <color indexed="81"/>
            <rFont val="Lucida Console"/>
            <family val="3"/>
          </rPr>
          <t>105293|PUXADOR EXTERNO PARA ARMARIO, COM 2 PARAFUSOS - TIPO ALCA - MEDIDA: 14,5 CM X 2,5 CM|1|51|11|MAT.E EQUIP. P/ CONSTR.CIVIL E CONSERV. DE VIAS PUBL.|MCO|Padrão|4|163|652|Ativo|</t>
        </r>
      </text>
    </comment>
    <comment ref="X251" authorId="0" shapeId="0" xr:uid="{00000000-0006-0000-0000-000022010000}">
      <text>
        <r>
          <rPr>
            <sz val="10"/>
            <color indexed="81"/>
            <rFont val="Lucida Console"/>
            <family val="3"/>
          </rPr>
          <t>67375|CUMEEIRA DE FIBRA SINTETICA 30 GRAUS PARA TELHA ONDULADA ESP. 06 MM|1|51|17|MAT.E EQUIP. P/ CONSTR.CIVIL E CONSERV. DE VIAS PUBL.|MCO|Padrão|4|8|32|Ativo|</t>
        </r>
      </text>
    </comment>
    <comment ref="X252" authorId="0" shapeId="0" xr:uid="{00000000-0006-0000-0000-000023010000}">
      <text>
        <r>
          <rPr>
            <sz val="10"/>
            <color indexed="81"/>
            <rFont val="Lucida Console"/>
            <family val="3"/>
          </rPr>
          <t>12992|INTERRUPTOR 10A X 250V INTERNO DE 03 TECLAS C/ PLACA|1|55|7|EQUIP. MAT. P/ GERACAO, TRANSM. DISTR. RETIF...|MEL|Padrão|4|8|32|Ativo|</t>
        </r>
      </text>
    </comment>
    <comment ref="L253" authorId="1" shapeId="0" xr:uid="{00000000-0006-0000-0000-000024010000}">
      <text>
        <r>
          <rPr>
            <sz val="10"/>
            <color indexed="81"/>
            <rFont val="Lucida Console"/>
            <family val="3"/>
          </rPr>
          <t>_x000D_
Alterado em 01.09.2020_x000D_
Anterior = 1575</t>
        </r>
      </text>
    </comment>
    <comment ref="M253" authorId="1" shapeId="0" xr:uid="{00000000-0006-0000-0000-000025010000}">
      <text>
        <r>
          <rPr>
            <sz val="10"/>
            <color indexed="81"/>
            <rFont val="Lucida Console"/>
            <family val="3"/>
          </rPr>
          <t>_x000D_
Alterado em 01.09.2020_x000D_
Anterior = 01.09.2020</t>
        </r>
      </text>
    </comment>
    <comment ref="X253" authorId="0" shapeId="0" xr:uid="{00000000-0006-0000-0000-000026010000}">
      <text>
        <r>
          <rPr>
            <sz val="10"/>
            <color indexed="81"/>
            <rFont val="Lucida Console"/>
            <family val="3"/>
          </rPr>
          <t>133846|CARTOLINA DUPLA FACE / COLOR SET MARROM - 48 X 66 CM|1|57|16|MAQ. E EQUIP. P/ IND. GRAFICA COMP. ACESS. E PAPEI|EDU|Padrão|4|2084|8336|Ativo|</t>
        </r>
      </text>
    </comment>
    <comment ref="X254" authorId="0" shapeId="0" xr:uid="{00000000-0006-0000-0000-000027010000}">
      <text>
        <r>
          <rPr>
            <sz val="10"/>
            <color indexed="81"/>
            <rFont val="Lucida Console"/>
            <family val="3"/>
          </rPr>
          <t>20135|CHAPA DE ACO CARBONO GALVANIZADO ZINCADO N°22 ESP=0,80 MM -|1|69|1|METAIS,LAMINAD.,PERFILADOS E ARTEFATOS METALICOS|MSE|Padrão|4|50|200|Ativo|</t>
        </r>
      </text>
    </comment>
    <comment ref="X255" authorId="0" shapeId="0" xr:uid="{00000000-0006-0000-0000-000028010000}">
      <text>
        <r>
          <rPr>
            <sz val="10"/>
            <color indexed="81"/>
            <rFont val="Lucida Console"/>
            <family val="3"/>
          </rPr>
          <t>102276|TUBO DE FERRO GALVANIZADO DN (DIAMETRO NOMINAL) 1.1/2" - DIAMETRO EXTERNO BASICO 48,3MM|1|61|3|MATERIAL HIDRAULICO, CANOS, TUBOS, MANGUEIRAS, CONEXOES E ACESS.|MHI|Padrão|4|21|84|Ativo|</t>
        </r>
      </text>
    </comment>
    <comment ref="X256" authorId="0" shapeId="0" xr:uid="{00000000-0006-0000-0000-000029010000}">
      <text>
        <r>
          <rPr>
            <sz val="10"/>
            <color indexed="81"/>
            <rFont val="Lucida Console"/>
            <family val="3"/>
          </rPr>
          <t>12886|COTOVELO 90 GRAUS EM PVC RIGIDO SOLDAVEL - 1.1/2"|1|61|8|MATERIAL HIDRAULICO, CANOS, TUBOS, MANGUEIRAS, CONEXOES E ACESS.|MHI|Padrão|4|42|168|Ativo|</t>
        </r>
      </text>
    </comment>
    <comment ref="X257" authorId="0" shapeId="0" xr:uid="{00000000-0006-0000-0000-00002A010000}">
      <text>
        <r>
          <rPr>
            <sz val="10"/>
            <color indexed="81"/>
            <rFont val="Lucida Console"/>
            <family val="3"/>
          </rPr>
          <t>29964|PAPEL CAMURCA - 60 X 40 - ROSA - AS MEDIDAS PODERAO VARIAR +/- 5 CM|1|57|15|MAQ. E EQUIP. P/ IND. GRAFICA COMP. ACESS. E PAPEI|EDU|Padrão|4|834|3336|Ativo|</t>
        </r>
      </text>
    </comment>
    <comment ref="X258" authorId="0" shapeId="0" xr:uid="{00000000-0006-0000-0000-00002B010000}">
      <text>
        <r>
          <rPr>
            <sz val="10"/>
            <color indexed="81"/>
            <rFont val="Lucida Console"/>
            <family val="3"/>
          </rPr>
          <t>23862|PAPEL CARTAO - 50 X 70 CM - VERMELHO (MEDIDAS PODERAO VARIAR +/- 5CM)|1|57|16|MAQ. E EQUIP. P/ IND. GRAFICA COMP. ACESS. E PAPEI|EDU|Padrão|4|2084|8336|Ativo|</t>
        </r>
      </text>
    </comment>
    <comment ref="X259" authorId="0" shapeId="0" xr:uid="{00000000-0006-0000-0000-00002C010000}">
      <text>
        <r>
          <rPr>
            <sz val="10"/>
            <color indexed="81"/>
            <rFont val="Lucida Console"/>
            <family val="3"/>
          </rPr>
          <t>17704|CADEADO DE LATAO - 40 MM|1|51|12|MAT.E EQUIP. P/ CONSTR.CIVIL E CONSERV. DE VIAS PUBL.|MCO|Padrão|4|34|136|Ativo|</t>
        </r>
      </text>
    </comment>
    <comment ref="X260" authorId="0" shapeId="0" xr:uid="{00000000-0006-0000-0000-00002D010000}">
      <text>
        <r>
          <rPr>
            <sz val="10"/>
            <color indexed="81"/>
            <rFont val="Lucida Console"/>
            <family val="3"/>
          </rPr>
          <t>29956|PAPEL CAMURCA - 60 X 40 CM - BRANCO|1|57|15|MAQ. E EQUIP. P/ IND. GRAFICA COMP. ACESS. E PAPEI|EDU|Padrão|4|834|3336|Ativo|</t>
        </r>
      </text>
    </comment>
    <comment ref="X261" authorId="0" shapeId="0" xr:uid="{00000000-0006-0000-0000-00002E010000}">
      <text>
        <r>
          <rPr>
            <sz val="10"/>
            <color indexed="81"/>
            <rFont val="Lucida Console"/>
            <family val="3"/>
          </rPr>
          <t>20104|BROCA DE ACO RAPIDO HELICOIDAL DE 5/16" COM HASTE CILINDRIC|1|70|31|FERRAMENTAS MAQ.FERRAMENTAS,ELETR.PECAS E ACESSORI|MAN|Padrão|4|13|52|Ativo|</t>
        </r>
      </text>
    </comment>
    <comment ref="X262" authorId="0" shapeId="0" xr:uid="{00000000-0006-0000-0000-00002F010000}">
      <text>
        <r>
          <rPr>
            <sz val="10"/>
            <color indexed="81"/>
            <rFont val="Lucida Console"/>
            <family val="3"/>
          </rPr>
          <t>30165|PAPEL CARTAO - 50 X 70 CM - AZUL ESCURO (MEDIDAS PODERAO VARIAR +/- 5CM)|1|57|16|MAQ. E EQUIP. P/ IND. GRAFICA COMP. ACESS. E PAPEI|EDU|Padrão|4|2084|8336|Ativo|</t>
        </r>
      </text>
    </comment>
    <comment ref="X263" authorId="0" shapeId="0" xr:uid="{00000000-0006-0000-0000-000030010000}">
      <text>
        <r>
          <rPr>
            <sz val="10"/>
            <color indexed="81"/>
            <rFont val="Lucida Console"/>
            <family val="3"/>
          </rPr>
          <t>133848|CARTOLINA DUPLA FACE / COLOR SET ROSA - 48 X 66 CM|1|57|16|MAQ. E EQUIP. P/ IND. GRAFICA COMP. ACESS. E PAPEI|EDU|Padrão|4|2084|8336|Ativo|</t>
        </r>
      </text>
    </comment>
    <comment ref="X264" authorId="0" shapeId="0" xr:uid="{00000000-0006-0000-0000-000031010000}">
      <text>
        <r>
          <rPr>
            <sz val="10"/>
            <color indexed="81"/>
            <rFont val="Lucida Console"/>
            <family val="3"/>
          </rPr>
          <t>29962|PAPEL CAMURCA - 60 X 40 CM - MARROM|1|57|15|MAQ. E EQUIP. P/ IND. GRAFICA COMP. ACESS. E PAPEI|EDU|Padrão|4|834|3336|Ativo|</t>
        </r>
      </text>
    </comment>
    <comment ref="X265" authorId="0" shapeId="0" xr:uid="{00000000-0006-0000-0000-000032010000}">
      <text>
        <r>
          <rPr>
            <sz val="10"/>
            <color indexed="81"/>
            <rFont val="Lucida Console"/>
            <family val="3"/>
          </rPr>
          <t>78181|PASTA PARA LIMPEZA DE ALUMINIO, POTE COM 500 GRAMAS|1|72|8|MAQ.EQUIP.E MATERIAIS P/ HIGIEN.LIMP.POLIM.E LUBR.|ADM|Padrão|4|18|72|Ativo|</t>
        </r>
      </text>
    </comment>
    <comment ref="L266" authorId="1" shapeId="0" xr:uid="{00000000-0006-0000-0000-000033010000}">
      <text>
        <r>
          <rPr>
            <sz val="10"/>
            <color indexed="81"/>
            <rFont val="Lucida Console"/>
            <family val="3"/>
          </rPr>
          <t>_x000D_
Alterado em 01.10.2020_x000D_
Anterior = 48</t>
        </r>
      </text>
    </comment>
    <comment ref="M266" authorId="1" shapeId="0" xr:uid="{00000000-0006-0000-0000-000034010000}">
      <text>
        <r>
          <rPr>
            <sz val="10"/>
            <color indexed="81"/>
            <rFont val="Lucida Console"/>
            <family val="3"/>
          </rPr>
          <t>_x000D_
Alterado em 01.10.2020_x000D_
Anterior = 01.10.2020</t>
        </r>
      </text>
    </comment>
    <comment ref="X266" authorId="0" shapeId="0" xr:uid="{00000000-0006-0000-0000-000035010000}">
      <text>
        <r>
          <rPr>
            <sz val="10"/>
            <color indexed="81"/>
            <rFont val="Lucida Console"/>
            <family val="3"/>
          </rPr>
          <t>134547|PASTILHA CERAMICA, COR AZUL ROYAL, MEDINDO 10 X 10 CM.|1|51|19|MAT.E EQUIP. P/ CONSTR.CIVIL E CONSERV. DE VIAS PUBL.|MCO|Padrão|4|100|400|Ativo|</t>
        </r>
      </text>
    </comment>
    <comment ref="X267" authorId="0" shapeId="0" xr:uid="{00000000-0006-0000-0000-000036010000}">
      <text>
        <r>
          <rPr>
            <sz val="10"/>
            <color indexed="81"/>
            <rFont val="Lucida Console"/>
            <family val="3"/>
          </rPr>
          <t>138352|SABAO DESENGRAXANTE, INDICADO PARA DESENGORDURAR E DESENGRAXAR, COM COMPONENTES ABRASIVOS PARA FACILITAR A LIMPEZA - POTE COM 1 KG.|1|72|9|MAQ.EQUIP.E MATERIAIS P/ HIGIEN.LIMP.POLIM.E LUBR.|ADM|Padrão|4|23|92|Ativo|</t>
        </r>
      </text>
    </comment>
    <comment ref="X268" authorId="0" shapeId="0" xr:uid="{00000000-0006-0000-0000-000037010000}">
      <text>
        <r>
          <rPr>
            <sz val="10"/>
            <color indexed="81"/>
            <rFont val="Lucida Console"/>
            <family val="3"/>
          </rPr>
          <t>75938|PAPEL CAMURCA - 60 X 40CM - AMARELO|1|57|15|MAQ. E EQUIP. P/ IND. GRAFICA COMP. ACESS. E PAPEI|EDU|Padrão|4|834|3336|Ativo|</t>
        </r>
      </text>
    </comment>
    <comment ref="L269" authorId="1" shapeId="0" xr:uid="{00000000-0006-0000-0000-000038010000}">
      <text>
        <r>
          <rPr>
            <sz val="10"/>
            <color indexed="81"/>
            <rFont val="Lucida Console"/>
            <family val="3"/>
          </rPr>
          <t>_x000D_
Alterado em 01.10.2020_x000D_
Anterior = 81</t>
        </r>
      </text>
    </comment>
    <comment ref="M269" authorId="1" shapeId="0" xr:uid="{00000000-0006-0000-0000-000039010000}">
      <text>
        <r>
          <rPr>
            <sz val="10"/>
            <color indexed="81"/>
            <rFont val="Lucida Console"/>
            <family val="3"/>
          </rPr>
          <t>_x000D_
Alterado em 01.10.2020_x000D_
Anterior = 01.10.2020</t>
        </r>
      </text>
    </comment>
    <comment ref="X269" authorId="0" shapeId="0" xr:uid="{00000000-0006-0000-0000-00003A010000}">
      <text>
        <r>
          <rPr>
            <sz val="10"/>
            <color indexed="81"/>
            <rFont val="Lucida Console"/>
            <family val="3"/>
          </rPr>
          <t>64253|TUBO QUADRADO DE METALON - 1" X 1" X 1,5 MM - BARRA COM 06|1|69|17|METAIS,LAMINAD.,PERFILADOS E ARTEFATOS METALICOS|MSE|Padrão|4|167|668|Ativo|</t>
        </r>
      </text>
    </comment>
    <comment ref="X270" authorId="0" shapeId="0" xr:uid="{00000000-0006-0000-0000-00003B010000}">
      <text>
        <r>
          <rPr>
            <sz val="10"/>
            <color indexed="81"/>
            <rFont val="Lucida Console"/>
            <family val="3"/>
          </rPr>
          <t>32927|PAPEL CELOFANE - 90 X 100 CM - AZUL|1|57|15|MAQ. E EQUIP. P/ IND. GRAFICA COMP. ACESS. E PAPEI|EDU|Padrão|4|793|3172|Ativo|</t>
        </r>
      </text>
    </comment>
    <comment ref="X271" authorId="0" shapeId="0" xr:uid="{00000000-0006-0000-0000-00003C010000}">
      <text>
        <r>
          <rPr>
            <sz val="10"/>
            <color indexed="81"/>
            <rFont val="Lucida Console"/>
            <family val="3"/>
          </rPr>
          <t>124261|PAPEL CAMURCA - 60 X 40 CM - AZUL CLARO|1|57|15|MAQ. E EQUIP. P/ IND. GRAFICA COMP. ACESS. E PAPEI|EDU|Padrão|4|834|3336|Ativo|</t>
        </r>
      </text>
    </comment>
    <comment ref="X272" authorId="0" shapeId="0" xr:uid="{00000000-0006-0000-0000-00003D010000}">
      <text>
        <r>
          <rPr>
            <sz val="10"/>
            <color indexed="81"/>
            <rFont val="Lucida Console"/>
            <family val="3"/>
          </rPr>
          <t>17370|PAPEL CELOFANE - 90 X 100 CM - VERDE|1|57|15|MAQ. E EQUIP. P/ IND. GRAFICA COMP. ACESS. E PAPEI|EDU|Padrão|4|785|3140|Ativo|</t>
        </r>
      </text>
    </comment>
    <comment ref="X273" authorId="0" shapeId="0" xr:uid="{00000000-0006-0000-0000-00003E010000}">
      <text>
        <r>
          <rPr>
            <sz val="10"/>
            <color indexed="81"/>
            <rFont val="Lucida Console"/>
            <family val="3"/>
          </rPr>
          <t>81455|DISCO DE CORTE 7" X 1/8" X 7/8" (DIAM.EXT X ESPESSURA X DIAM. FURO)|1|83|4|ABRASIVOS|MAN|Padrão|4|30|120|Ativo|</t>
        </r>
      </text>
    </comment>
    <comment ref="X274" authorId="0" shapeId="0" xr:uid="{00000000-0006-0000-0000-00003F010000}">
      <text>
        <r>
          <rPr>
            <sz val="10"/>
            <color indexed="81"/>
            <rFont val="Lucida Console"/>
            <family val="3"/>
          </rPr>
          <t>132232|FERRO TIPO U DE 6" X 1/8" - BARRA COM 06 METROS|1|51|13|MAT.E EQUIP. P/ CONSTR.CIVIL E CONSERV. DE VIAS PUBL.|MCO|Padrão|4|5|20|Ativo|</t>
        </r>
      </text>
    </comment>
    <comment ref="X275" authorId="0" shapeId="0" xr:uid="{00000000-0006-0000-0000-000040010000}">
      <text>
        <r>
          <rPr>
            <sz val="10"/>
            <color indexed="81"/>
            <rFont val="Lucida Console"/>
            <family val="3"/>
          </rPr>
          <t>80298|TELA ONDULADA FIO 14, MALHA 3/4 - MED. 10 X 2,00 M|1|51|30|MAT.E EQUIP. P/ CONSTR.CIVIL E CONSERV. DE VIAS PUBL.|MCO|Padrão|4|5|20|Ativo|</t>
        </r>
      </text>
    </comment>
    <comment ref="X276" authorId="0" shapeId="0" xr:uid="{00000000-0006-0000-0000-000041010000}">
      <text>
        <r>
          <rPr>
            <sz val="10"/>
            <color indexed="81"/>
            <rFont val="Lucida Console"/>
            <family val="3"/>
          </rPr>
          <t>88730|DISJUNTOR NORMA DIN CURVA C PADRAO, BIPOLAR, 50 AMPERES|1|55|26|EQUIP. MAT. P/ GERACAO, TRANSM. DISTR. RETIF...|MEL|Padrão|4|5|20|Ativo|</t>
        </r>
      </text>
    </comment>
    <comment ref="X277" authorId="0" shapeId="0" xr:uid="{00000000-0006-0000-0000-000042010000}">
      <text>
        <r>
          <rPr>
            <sz val="10"/>
            <color indexed="81"/>
            <rFont val="Lucida Console"/>
            <family val="3"/>
          </rPr>
          <t>12971|CAIXA DE PASSAGEM RETANGULAR 2 X 4 - EM PVC|1|55|31|EQUIP. MAT. P/ GERACAO, TRANSM. DISTR. RETIF...|MEL|Padrão|4|20|80|Ativo|</t>
        </r>
      </text>
    </comment>
    <comment ref="X278" authorId="0" shapeId="0" xr:uid="{00000000-0006-0000-0000-000043010000}">
      <text>
        <r>
          <rPr>
            <sz val="10"/>
            <color indexed="81"/>
            <rFont val="Lucida Console"/>
            <family val="3"/>
          </rPr>
          <t>120995|ELETRODUTO CORRUGADO 1" - COR: AMARELA|1|55|32|EQUIP. MAT. P/ GERACAO, TRANSM. DISTR. RETIF...|MEL|Padrão|4|10|40|Ativo|</t>
        </r>
      </text>
    </comment>
    <comment ref="X279" authorId="0" shapeId="0" xr:uid="{00000000-0006-0000-0000-000044010000}">
      <text>
        <r>
          <rPr>
            <sz val="10"/>
            <color indexed="81"/>
            <rFont val="Lucida Console"/>
            <family val="3"/>
          </rPr>
          <t>54587|COTOVELO 90 GRAUS EM PVC - RIGIDO SOLDAVEL - 6"- (150 MM) -|1|61|2|MATERIAL HIDRAULICO, CANOS, TUBOS, MANGUEIRAS, CONEXOES E ACESS.|MHI|Padrão|4|5|20|Ativo|</t>
        </r>
      </text>
    </comment>
    <comment ref="X280" authorId="0" shapeId="0" xr:uid="{00000000-0006-0000-0000-000045010000}">
      <text>
        <r>
          <rPr>
            <sz val="10"/>
            <color indexed="81"/>
            <rFont val="Lucida Console"/>
            <family val="3"/>
          </rPr>
          <t>13560|TUBO DE PVC RIGIDO SOLDAVEL DE 32 MM - 1" X 06 M  - CLASSE|1|61|2|MATERIAL HIDRAULICO, CANOS, TUBOS, MANGUEIRAS, CONEXOES E ACESS.|MHI|Padrão|4|5|20|Ativo|</t>
        </r>
      </text>
    </comment>
    <comment ref="X281" authorId="0" shapeId="0" xr:uid="{00000000-0006-0000-0000-000046010000}">
      <text>
        <r>
          <rPr>
            <sz val="10"/>
            <color indexed="81"/>
            <rFont val="Lucida Console"/>
            <family val="3"/>
          </rPr>
          <t>77110|CAP EM PVC DE 1 PARA AGUA MARROM|1|61|8|MATERIAL HIDRAULICO, CANOS, TUBOS, MANGUEIRAS, CONEXOES E ACESS.|MHI|Padrão|4|5|20|Ativo|</t>
        </r>
      </text>
    </comment>
    <comment ref="X282" authorId="0" shapeId="0" xr:uid="{00000000-0006-0000-0000-000047010000}">
      <text>
        <r>
          <rPr>
            <sz val="10"/>
            <color indexed="81"/>
            <rFont val="Lucida Console"/>
            <family val="3"/>
          </rPr>
          <t>12948|LUVA DE PVC RIGIDO SOLDAVEL DE 2"|1|61|8|MATERIAL HIDRAULICO, CANOS, TUBOS, MANGUEIRAS, CONEXOES E ACESS.|MHI|Padrão|4|5|20|Ativo|</t>
        </r>
      </text>
    </comment>
    <comment ref="X283" authorId="0" shapeId="0" xr:uid="{00000000-0006-0000-0000-000048010000}">
      <text>
        <r>
          <rPr>
            <sz val="10"/>
            <color indexed="81"/>
            <rFont val="Lucida Console"/>
            <family val="3"/>
          </rPr>
          <t>12956|LUVA DE PVC RIGIDO SOLDAVEL DE 3/4"|1|61|8|MATERIAL HIDRAULICO, CANOS, TUBOS, MANGUEIRAS, CONEXOES E ACESS.|MHI|Padrão|4|100|400|Ativo|</t>
        </r>
      </text>
    </comment>
    <comment ref="X284" authorId="0" shapeId="0" xr:uid="{00000000-0006-0000-0000-000049010000}">
      <text>
        <r>
          <rPr>
            <sz val="10"/>
            <color indexed="81"/>
            <rFont val="Lucida Console"/>
            <family val="3"/>
          </rPr>
          <t>13095|TE DE PVC SOLDAVEL - 1.1/2"|1|61|8|MATERIAL HIDRAULICO, CANOS, TUBOS, MANGUEIRAS, CONEXOES E ACESS.|MHI|Padrão|4|20|80|Ativo|</t>
        </r>
      </text>
    </comment>
    <comment ref="X285" authorId="0" shapeId="0" xr:uid="{00000000-0006-0000-0000-00004A010000}">
      <text>
        <r>
          <rPr>
            <sz val="10"/>
            <color indexed="81"/>
            <rFont val="Lucida Console"/>
            <family val="3"/>
          </rPr>
          <t>13563|PINO P/TORNEIRA DE 3/4"|1|61|15|MATERIAL HIDRAULICO, CANOS, TUBOS, MANGUEIRAS, CONEXOES E ACESS.|MHI|Padrão|4|40|160|Ativo|</t>
        </r>
      </text>
    </comment>
    <comment ref="X286" authorId="0" shapeId="0" xr:uid="{00000000-0006-0000-0000-00004B010000}">
      <text>
        <r>
          <rPr>
            <sz val="10"/>
            <color indexed="81"/>
            <rFont val="Lucida Console"/>
            <family val="3"/>
          </rPr>
          <t>27760|REGISTRO DE GAVETA EM LIGA DE COBRE DE 1.1/2"- S/ CANOPLA|1|61|15|MATERIAL HIDRAULICO, CANOS, TUBOS, MANGUEIRAS, CONEXOES E ACESS.|MHI|Padrão|4|5|20|Ativo|</t>
        </r>
      </text>
    </comment>
    <comment ref="X287" authorId="0" shapeId="0" xr:uid="{00000000-0006-0000-0000-00004C010000}">
      <text>
        <r>
          <rPr>
            <sz val="10"/>
            <color indexed="81"/>
            <rFont val="Lucida Console"/>
            <family val="3"/>
          </rPr>
          <t>13120|REGISTRO DE GAVETA EM LIGA DE COBRE DE 3/4" S/ CANOPLA|1|61|15|MATERIAL HIDRAULICO, CANOS, TUBOS, MANGUEIRAS, CONEXOES E ACESS.|MHI|Padrão|4|5|20|Ativo|</t>
        </r>
      </text>
    </comment>
    <comment ref="X288" authorId="0" shapeId="0" xr:uid="{00000000-0006-0000-0000-00004D010000}">
      <text>
        <r>
          <rPr>
            <sz val="10"/>
            <color indexed="81"/>
            <rFont val="Lucida Console"/>
            <family val="3"/>
          </rPr>
          <t>58436|ROLDANA 2.1/2" COM CAIXA EM "V"|1|69|2|METAIS,LAMINAD.,PERFILADOS E ARTEFATOS METALICOS|MSE|Padrão|4|15|60|Ativo|</t>
        </r>
      </text>
    </comment>
    <comment ref="X289" authorId="0" shapeId="0" xr:uid="{00000000-0006-0000-0000-00004E010000}">
      <text>
        <r>
          <rPr>
            <sz val="10"/>
            <color indexed="81"/>
            <rFont val="Lucida Console"/>
            <family val="3"/>
          </rPr>
          <t>107926|SAPATA LATERAL 16 MM|1|78|2|MOBILIARIO E COFRE|ADM|Padrão|4|209|836|Ativo|</t>
        </r>
      </text>
    </comment>
    <comment ref="X290" authorId="0" shapeId="0" xr:uid="{00000000-0006-0000-0000-00004F010000}">
      <text>
        <r>
          <rPr>
            <sz val="10"/>
            <color indexed="81"/>
            <rFont val="Lucida Console"/>
            <family val="3"/>
          </rPr>
          <t>136554|FECHADURA DE SOBREPOR PARA GAVETA, COM CILINDRO, MEDINDO 22 MM DE CORPO, ACABAMENTO NIQUELADO E ROTACAO DA CHAVE 180º COM DOIS PONTOS DE EXTRACAO|1|51|9|MAT.E EQUIP. P/ CONSTR.CIVIL E CONSERV. DE VIAS PUBL.|MCO|Padrão|4|87|348|Ativo|</t>
        </r>
      </text>
    </comment>
    <comment ref="J291" authorId="2" shapeId="0" xr:uid="{00000000-0006-0000-0000-000050010000}">
      <text>
        <r>
          <rPr>
            <b/>
            <sz val="9"/>
            <color indexed="81"/>
            <rFont val="Segoe UI"/>
            <family val="2"/>
          </rPr>
          <t>Marcos:</t>
        </r>
        <r>
          <rPr>
            <sz val="9"/>
            <color indexed="81"/>
            <rFont val="Segoe UI"/>
            <family val="2"/>
          </rPr>
          <t xml:space="preserve">
100 porque houve pico de consumo mensal de 190 em mês recente.</t>
        </r>
      </text>
    </comment>
    <comment ref="X291" authorId="0" shapeId="0" xr:uid="{00000000-0006-0000-0000-000051010000}">
      <text>
        <r>
          <rPr>
            <sz val="10"/>
            <color indexed="81"/>
            <rFont val="Lucida Console"/>
            <family val="3"/>
          </rPr>
          <t>66168|TUBO QUADRADO DE METALON 20MM X 20MM X 1,5MM - BARRA COM 06|1|69|17|METAIS,LAMINAD.,PERFILADOS E ARTEFATOS METALICOS|MSE|Padrão|4|74|296|Ativo|</t>
        </r>
      </text>
    </comment>
    <comment ref="X292" authorId="0" shapeId="0" xr:uid="{00000000-0006-0000-0000-000052010000}">
      <text>
        <r>
          <rPr>
            <sz val="10"/>
            <color indexed="81"/>
            <rFont val="Lucida Console"/>
            <family val="3"/>
          </rPr>
          <t>23692|CARTOLINA - ROSA - 50 X 66 CM - 180 G/M2|1|57|16|MAQ. E EQUIP. P/ IND. GRAFICA COMP. ACESS. E PAPEI|EDU|Padrão|4|2084|8336|Ativo|</t>
        </r>
      </text>
    </comment>
    <comment ref="X293" authorId="0" shapeId="0" xr:uid="{00000000-0006-0000-0000-000053010000}">
      <text>
        <r>
          <rPr>
            <sz val="10"/>
            <color indexed="81"/>
            <rFont val="Lucida Console"/>
            <family val="3"/>
          </rPr>
          <t>29961|PAPEL CAMURCA - 60 X 40 CM - VERMELHO|1|57|15|MAQ. E EQUIP. P/ IND. GRAFICA COMP. ACESS. E PAPEI|EDU|Padrão|4|834|3336|Ativo|</t>
        </r>
      </text>
    </comment>
    <comment ref="X294" authorId="0" shapeId="0" xr:uid="{00000000-0006-0000-0000-000054010000}">
      <text>
        <r>
          <rPr>
            <sz val="10"/>
            <color indexed="81"/>
            <rFont val="Lucida Console"/>
            <family val="3"/>
          </rPr>
          <t>54680|TELA DE ARAME GALVANIZADO - FIO 10 - MALHA 2.1/2" X 4 METROS DE ALTURA|1|51|30|MAT.E EQUIP. P/ CONSTR.CIVIL E CONSERV. DE VIAS PUBL.|MCO|Padrão|4|34|136|Ativo|</t>
        </r>
      </text>
    </comment>
    <comment ref="X295" authorId="0" shapeId="0" xr:uid="{00000000-0006-0000-0000-000055010000}">
      <text>
        <r>
          <rPr>
            <sz val="10"/>
            <color indexed="81"/>
            <rFont val="Lucida Console"/>
            <family val="3"/>
          </rPr>
          <t>12884|COTOVELO 90 GRAUS EM PVC RIGIDO SOLDAVEL DE 4" (ESGOTO)|1|61|8|MATERIAL HIDRAULICO, CANOS, TUBOS, MANGUEIRAS, CONEXOES E ACESS.|MHI|Padrão|4|34|136|Ativo|</t>
        </r>
      </text>
    </comment>
    <comment ref="X296" authorId="0" shapeId="0" xr:uid="{00000000-0006-0000-0000-000056010000}">
      <text>
        <r>
          <rPr>
            <sz val="10"/>
            <color indexed="81"/>
            <rFont val="Lucida Console"/>
            <family val="3"/>
          </rPr>
          <t>16956|PLUG EM PVC RIGIDO ROSCAVEL DE 3/4"|1|61|8|MATERIAL HIDRAULICO, CANOS, TUBOS, MANGUEIRAS, CONEXOES E ACESS.|MHI|Padrão|4|17|68|Ativo|</t>
        </r>
      </text>
    </comment>
    <comment ref="X297" authorId="0" shapeId="0" xr:uid="{00000000-0006-0000-0000-000057010000}">
      <text>
        <r>
          <rPr>
            <sz val="10"/>
            <color indexed="81"/>
            <rFont val="Lucida Console"/>
            <family val="3"/>
          </rPr>
          <t>88849|ARRUELA LISA DE ACO DE 3/16"|1|67|5|PARAFUSOS ELEM. VEDACAO UNIAO CONEX . FIXACAO|MSE|Padrão|4|17|68|Ativo|</t>
        </r>
      </text>
    </comment>
    <comment ref="X298" authorId="0" shapeId="0" xr:uid="{00000000-0006-0000-0000-000058010000}">
      <text>
        <r>
          <rPr>
            <sz val="10"/>
            <color indexed="81"/>
            <rFont val="Lucida Console"/>
            <family val="3"/>
          </rPr>
          <t>133845|CARTOLINA DUPLA FACE / COLOR SET LARANJA - 48 X 66 CM|1|57|16|MAQ. E EQUIP. P/ IND. GRAFICA COMP. ACESS. E PAPEI|EDU|Padrão|4|2084|8336|Ativo|</t>
        </r>
      </text>
    </comment>
    <comment ref="X299" authorId="0" shapeId="0" xr:uid="{00000000-0006-0000-0000-000059010000}">
      <text>
        <r>
          <rPr>
            <sz val="10"/>
            <color indexed="81"/>
            <rFont val="Lucida Console"/>
            <family val="3"/>
          </rPr>
          <t>116874|TOMADA 2P + T DE 10/250V DE EMBUTIR COM ESPELHO PARA CAIXA 4X2, PADRAO NBR 14136|1|55|37|EQUIP. MAT. P/ GERACAO, TRANSM. DISTR. RETIF...|MEL|Padrão|4|109|436|Ativo|</t>
        </r>
      </text>
    </comment>
    <comment ref="X300" authorId="0" shapeId="0" xr:uid="{00000000-0006-0000-0000-00005A010000}">
      <text>
        <r>
          <rPr>
            <sz val="10"/>
            <color indexed="81"/>
            <rFont val="Lucida Console"/>
            <family val="3"/>
          </rPr>
          <t>106128|CONTATOR LC1 D18M7|1|50|2|EQUIP. P/ COND. VENT. PURIF. DE AR, COMPONENTES E ACES.|MAN|Padrão|4|12|48|Ativo|</t>
        </r>
      </text>
    </comment>
    <comment ref="X301" authorId="0" shapeId="0" xr:uid="{00000000-0006-0000-0000-00005B010000}">
      <text>
        <r>
          <rPr>
            <sz val="10"/>
            <color indexed="81"/>
            <rFont val="Lucida Console"/>
            <family val="3"/>
          </rPr>
          <t>12989|INTERRUPTOR 10A X 250V INTERNO C/ 02 TECLAS C/ PLACA|1|55|7|EQUIP. MAT. P/ GERACAO, TRANSM. DISTR. RETIF...|MEL|Padrão|4|19|76|Ativo|</t>
        </r>
      </text>
    </comment>
    <comment ref="X302" authorId="0" shapeId="0" xr:uid="{00000000-0006-0000-0000-00005C010000}">
      <text>
        <r>
          <rPr>
            <sz val="10"/>
            <color indexed="81"/>
            <rFont val="Lucida Console"/>
            <family val="3"/>
          </rPr>
          <t>93453|PAPEL ESPELHO BRILHANTE (DOBRADURA), MEDINDO 48 X 66 CM - COR: AMARELA|1|57|2|MAQ. E EQUIP. P/ IND. GRAFICA COMP. ACESS. E PAPEI|EDU|Padrão|4|850|3400|Ativo|</t>
        </r>
      </text>
    </comment>
    <comment ref="X303" authorId="0" shapeId="0" xr:uid="{00000000-0006-0000-0000-00005D010000}">
      <text>
        <r>
          <rPr>
            <sz val="10"/>
            <color indexed="81"/>
            <rFont val="Lucida Console"/>
            <family val="3"/>
          </rPr>
          <t>93461|PAPEL ESPELHO BRILHANTE (DOBRADURA), MEDINDO 48 X 66 CM - COR: VERDE ESCURO|1|57|2|MAQ. E EQUIP. P/ IND. GRAFICA COMP. ACESS. E PAPEI|EDU|Padrão|4|850|3400|Ativo|</t>
        </r>
      </text>
    </comment>
    <comment ref="X304" authorId="0" shapeId="0" xr:uid="{00000000-0006-0000-0000-00005E010000}">
      <text>
        <r>
          <rPr>
            <sz val="10"/>
            <color indexed="81"/>
            <rFont val="Lucida Console"/>
            <family val="3"/>
          </rPr>
          <t>93454|PAPEL ESPELHO BRILHANTE (DOBRADURA), MEDINDO 48 X 66 CM - COR: AZUL ESCURO|1|57|2|MAQ. E EQUIP. P/ IND. GRAFICA COMP. ACESS. E PAPEI|EDU|Padrão|4|850|3400|Ativo|</t>
        </r>
      </text>
    </comment>
    <comment ref="X305" authorId="0" shapeId="0" xr:uid="{00000000-0006-0000-0000-00005F010000}">
      <text>
        <r>
          <rPr>
            <sz val="10"/>
            <color indexed="81"/>
            <rFont val="Lucida Console"/>
            <family val="3"/>
          </rPr>
          <t>53446|REJUNTE BRANCO - SACO COM 01 KG|1|51|19|MAT.E EQUIP. P/ CONSTR.CIVIL E CONSERV. DE VIAS PUBL.|MCO|Padrão|4|94|376|Ativo|</t>
        </r>
      </text>
    </comment>
    <comment ref="X306" authorId="0" shapeId="0" xr:uid="{00000000-0006-0000-0000-000060010000}">
      <text>
        <r>
          <rPr>
            <sz val="10"/>
            <color indexed="81"/>
            <rFont val="Lucida Console"/>
            <family val="3"/>
          </rPr>
          <t>93462|PAPEL ESPELHO BRILHANTE (DOBRADURA), MEDINDO 48 X 66 CM - COR: VERMELHA|1|57|2|MAQ. E EQUIP. P/ IND. GRAFICA COMP. ACESS. E PAPEI|EDU|Padrão|4|850|3400|Ativo|</t>
        </r>
      </text>
    </comment>
    <comment ref="X307" authorId="0" shapeId="0" xr:uid="{00000000-0006-0000-0000-000061010000}">
      <text>
        <r>
          <rPr>
            <sz val="10"/>
            <color indexed="81"/>
            <rFont val="Lucida Console"/>
            <family val="3"/>
          </rPr>
          <t>93456|PAPEL ESPELHO BRILHANTE (DOBRADURA), MEDINDO 48 X 66 CM - COR: LARANJA - AS MEDIDAS PODERAO VARIAR +/- 5 CM|1|57|2|MAQ. E EQUIP. P/ IND. GRAFICA COMP. ACESS. E PAPEI|EDU|Padrão|4|850|3400|Ativo|</t>
        </r>
      </text>
    </comment>
    <comment ref="X308" authorId="0" shapeId="0" xr:uid="{00000000-0006-0000-0000-000062010000}">
      <text>
        <r>
          <rPr>
            <sz val="10"/>
            <color indexed="81"/>
            <rFont val="Lucida Console"/>
            <family val="3"/>
          </rPr>
          <t>133843|CARTOLINA DUPLA FACE / COLOR SET AMARELA - 48 X 66 CM|1|57|16|MAQ. E EQUIP. P/ IND. GRAFICA COMP. ACESS. E PAPEI|EDU|Padrão|4|2084|8336|Ativo|</t>
        </r>
      </text>
    </comment>
    <comment ref="X309" authorId="0" shapeId="0" xr:uid="{00000000-0006-0000-0000-000063010000}">
      <text>
        <r>
          <rPr>
            <sz val="10"/>
            <color indexed="81"/>
            <rFont val="Lucida Console"/>
            <family val="3"/>
          </rPr>
          <t>17371|PAPEL CELOFANE - 90 X 100 CM - VERMELHO|1|57|15|MAQ. E EQUIP. P/ IND. GRAFICA COMP. ACESS. E PAPEI|EDU|Padrão|4|750|3000|Ativo|</t>
        </r>
      </text>
    </comment>
    <comment ref="X310" authorId="0" shapeId="0" xr:uid="{00000000-0006-0000-0000-000064010000}">
      <text>
        <r>
          <rPr>
            <sz val="10"/>
            <color indexed="81"/>
            <rFont val="Lucida Console"/>
            <family val="3"/>
          </rPr>
          <t>12673|VASSOURA DE PELO DE 40 CM, COM CABO EM MADEIRA, MEDINDO NO MINIMO: 1,15 M DE COMPRIMENTO X 2,5 CM DE DIAMETRO|1|72|5|MAQ.EQUIP.E MATERIAIS P/ HIGIEN.LIMP.POLIM.E LUBR.|ADM|Padrão|4|7|28|Ativo|</t>
        </r>
      </text>
    </comment>
    <comment ref="X311" authorId="0" shapeId="0" xr:uid="{00000000-0006-0000-0000-000065010000}">
      <text>
        <r>
          <rPr>
            <sz val="10"/>
            <color indexed="81"/>
            <rFont val="Lucida Console"/>
            <family val="3"/>
          </rPr>
          <t>112159|INTERRUPTOR 10A X 250V COM 2 TECLAS PARALELAS MAIS 1 TOMADA 2P + T PADRAO NBR 14136 DE 20A/250V DE EMBUTIR COM ESPELHO PARA CAIXA 4X2|1|55|7|EQUIP. MAT. P/ GERACAO, TRANSM. DISTR. RETIF...|MEL|Padrão|4|7|28|Ativo|</t>
        </r>
      </text>
    </comment>
    <comment ref="X312" authorId="0" shapeId="0" xr:uid="{00000000-0006-0000-0000-000066010000}">
      <text>
        <r>
          <rPr>
            <sz val="10"/>
            <color indexed="81"/>
            <rFont val="Lucida Console"/>
            <family val="3"/>
          </rPr>
          <t>107889|CHAVE DE NIVEL TIPO BOIA|1|55|9|EQUIP. MAT. P/ GERACAO, TRANSM. DISTR. RETIF...|MEL|Padrão|4|21|84|Ativo|</t>
        </r>
      </text>
    </comment>
    <comment ref="X313" authorId="0" shapeId="0" xr:uid="{00000000-0006-0000-0000-000067010000}">
      <text>
        <r>
          <rPr>
            <sz val="10"/>
            <color indexed="81"/>
            <rFont val="Lucida Console"/>
            <family val="3"/>
          </rPr>
          <t>12813|ADAPTADOR DE PVC RIGIDO SOLDAVEL C/ FLANGE SEXTAVADA FIXO P/ CAIXA D'AGUA - 32 MM X 1"|1|61|8|MATERIAL HIDRAULICO, CANOS, TUBOS, MANGUEIRAS, CONEXOES E ACESS.|MHI|Padrão|4|7|28|Ativo|</t>
        </r>
      </text>
    </comment>
    <comment ref="X314" authorId="0" shapeId="0" xr:uid="{00000000-0006-0000-0000-000068010000}">
      <text>
        <r>
          <rPr>
            <sz val="10"/>
            <color indexed="81"/>
            <rFont val="Lucida Console"/>
            <family val="3"/>
          </rPr>
          <t>28306|UNIAO PVC COLA DE 1.1/2"|1|61|8|MATERIAL HIDRAULICO, CANOS, TUBOS, MANGUEIRAS, CONEXOES E ACESS.|MHI|Padrão|4|7|28|Ativo|</t>
        </r>
      </text>
    </comment>
    <comment ref="X315" authorId="0" shapeId="0" xr:uid="{00000000-0006-0000-0000-000069010000}">
      <text>
        <r>
          <rPr>
            <sz val="10"/>
            <color indexed="81"/>
            <rFont val="Lucida Console"/>
            <family val="3"/>
          </rPr>
          <t>134566|PARAFUSO FRANCES - 1.1/2" X 1/4" - COM PORCA E ARRUELA|1|67|18|PARAFUSOS ELEM. VEDACAO UNIAO CONEX . FIXACAO|MSE|Padrão|4|91|364|Ativo|</t>
        </r>
      </text>
    </comment>
    <comment ref="X316" authorId="0" shapeId="0" xr:uid="{00000000-0006-0000-0000-00006A010000}">
      <text>
        <r>
          <rPr>
            <sz val="10"/>
            <color indexed="81"/>
            <rFont val="Lucida Console"/>
            <family val="3"/>
          </rPr>
          <t>13221|PARAFUSO GALVANIZADO P/ FIXACAO DE TELHAS MODULADAS - 5/16 X 110 MM|1|67|1|PARAFUSOS ELEM. VEDACAO UNIAO CONEX . FIXACAO|MSE|Padrão|4|316|1264|Ativo|</t>
        </r>
      </text>
    </comment>
    <comment ref="X317" authorId="0" shapeId="0" xr:uid="{00000000-0006-0000-0000-00006B010000}">
      <text>
        <r>
          <rPr>
            <sz val="10"/>
            <color indexed="81"/>
            <rFont val="Lucida Console"/>
            <family val="3"/>
          </rPr>
          <t>133849|CARTOLINA DUPLA FACE / COLOR SET VERDE ESCURO - 48 X 66 CM|1|57|16|MAQ. E EQUIP. P/ IND. GRAFICA COMP. ACESS. E PAPEI|EDU|Padrão|4|2084|8336|Ativo|</t>
        </r>
      </text>
    </comment>
    <comment ref="X318" authorId="0" shapeId="0" xr:uid="{00000000-0006-0000-0000-00006C010000}">
      <text>
        <r>
          <rPr>
            <sz val="10"/>
            <color indexed="81"/>
            <rFont val="Lucida Console"/>
            <family val="3"/>
          </rPr>
          <t>16363|CHAPA DE MADEIRA RESINADA C/ 2,20 X 1,10 M ESP. 10,0 MM|1|74|8|MADEIRAS,LAMINADOS,COMPENSADOS E AGLOMERADOS|MCO|Padrão|4|30|120|Ativo|</t>
        </r>
      </text>
    </comment>
    <comment ref="X319" authorId="0" shapeId="0" xr:uid="{00000000-0006-0000-0000-00006D010000}">
      <text>
        <r>
          <rPr>
            <sz val="10"/>
            <color indexed="81"/>
            <rFont val="Lucida Console"/>
            <family val="3"/>
          </rPr>
          <t>132405|ESPIRAL 9 MM DE PVC - PACOTE COM 100 UNIDADES.|1|57|6|MAQ. E EQUIP. P/ IND. GRAFICA COMP. ACESS. E PAPEI|EDU|Padrão|4|16|64|Ativo|</t>
        </r>
      </text>
    </comment>
    <comment ref="X320" authorId="0" shapeId="0" xr:uid="{00000000-0006-0000-0000-00006E010000}">
      <text>
        <r>
          <rPr>
            <sz val="10"/>
            <color indexed="81"/>
            <rFont val="Lucida Console"/>
            <family val="3"/>
          </rPr>
          <t>109944|CHAPA DE LAMINADO MELAMINICO  PARA LOUSA LISA QUADRICULADA (5X5CM) DE FUNDO BRANCO ACABAMENTO BRILHANTE C/ 3,08 X 1,25 M ESP =1,0MM. COR PADRAO: BRANCOLINE|1|74|8|MADEIRAS,LAMINADOS,COMPENSADOS E AGLOMERADOS|MCO|Padrão|4|50|200|Ativo|</t>
        </r>
      </text>
    </comment>
    <comment ref="J321" authorId="2" shapeId="0" xr:uid="{00000000-0006-0000-0000-00006F010000}">
      <text>
        <r>
          <rPr>
            <b/>
            <sz val="9"/>
            <color indexed="81"/>
            <rFont val="Segoe UI"/>
            <family val="2"/>
          </rPr>
          <t>Marcos:</t>
        </r>
        <r>
          <rPr>
            <sz val="9"/>
            <color indexed="81"/>
            <rFont val="Segoe UI"/>
            <family val="2"/>
          </rPr>
          <t xml:space="preserve">
50 = Conforme estimativa de ata em 25/06/22019.</t>
        </r>
      </text>
    </comment>
    <comment ref="X321" authorId="0" shapeId="0" xr:uid="{00000000-0006-0000-0000-000070010000}">
      <text>
        <r>
          <rPr>
            <sz val="10"/>
            <color indexed="81"/>
            <rFont val="Lucida Console"/>
            <family val="3"/>
          </rPr>
          <t>64627|FERRO REDONDO - 1/2" - MECANICO - BARRA COM 06 METROS|1|69|8|METAIS,LAMINAD.,PERFILADOS E ARTEFATOS METALICOS|MSE|Padrão|4|50|200|Ativo|</t>
        </r>
      </text>
    </comment>
    <comment ref="X322" authorId="0" shapeId="0" xr:uid="{00000000-0006-0000-0000-000071010000}">
      <text>
        <r>
          <rPr>
            <sz val="10"/>
            <color indexed="81"/>
            <rFont val="Lucida Console"/>
            <family val="3"/>
          </rPr>
          <t>29959|PAPEL CAMURCA - 60 X 40 CM - PRETO|1|57|15|MAQ. E EQUIP. P/ IND. GRAFICA COMP. ACESS. E PAPEI|EDU|Padrão|4|834|3336|Ativo|</t>
        </r>
      </text>
    </comment>
    <comment ref="X323" authorId="0" shapeId="0" xr:uid="{00000000-0006-0000-0000-000072010000}">
      <text>
        <r>
          <rPr>
            <sz val="10"/>
            <color indexed="81"/>
            <rFont val="Lucida Console"/>
            <family val="3"/>
          </rPr>
          <t>72222|ESPIRAL N. 12 (12 MM) DE PVC - PACOTE COM 100 UNIDADES|1|57|6|MAQ. E EQUIP. P/ IND. GRAFICA COMP. ACESS. E PAPEI|EDU|Padrão|4|18|72|Ativo|</t>
        </r>
      </text>
    </comment>
    <comment ref="X324" authorId="0" shapeId="0" xr:uid="{00000000-0006-0000-0000-000073010000}">
      <text>
        <r>
          <rPr>
            <sz val="10"/>
            <color indexed="81"/>
            <rFont val="Lucida Console"/>
            <family val="3"/>
          </rPr>
          <t>19871|BROCA DE WIDIA 1/4"|1|70|31|FERRAMENTAS MAQ.FERRAMENTAS,ELETR.PECAS E ACESSORI|MAN|Padrão|4|9|36|Ativo|</t>
        </r>
      </text>
    </comment>
    <comment ref="X325" authorId="0" shapeId="0" xr:uid="{00000000-0006-0000-0000-000074010000}">
      <text>
        <r>
          <rPr>
            <sz val="10"/>
            <color indexed="81"/>
            <rFont val="Lucida Console"/>
            <family val="3"/>
          </rPr>
          <t>102832|PORTA GRELHA REDONDA, EM PVC, 100MM (4"), ALTURA MINIMA DE 20 MM||51|42|MAT.E EQUIP. P/ CONSTR.CIVIL E CONSERV. DE VIAS PUBL.|MCO|Padrão|4|9|36|Ativo|</t>
        </r>
      </text>
    </comment>
    <comment ref="X326" authorId="0" shapeId="0" xr:uid="{00000000-0006-0000-0000-000075010000}">
      <text>
        <r>
          <rPr>
            <sz val="10"/>
            <color indexed="81"/>
            <rFont val="Lucida Console"/>
            <family val="3"/>
          </rPr>
          <t>28308|UNIAO PVC COLA DE 1"|1|61|8|MATERIAL HIDRAULICO, CANOS, TUBOS, MANGUEIRAS, CONEXOES E ACESS.|MHI|Padrão|4|9|36|Ativo|</t>
        </r>
      </text>
    </comment>
    <comment ref="X327" authorId="0" shapeId="0" xr:uid="{00000000-0006-0000-0000-000076010000}">
      <text>
        <r>
          <rPr>
            <sz val="10"/>
            <color indexed="81"/>
            <rFont val="Lucida Console"/>
            <family val="3"/>
          </rPr>
          <t>13117|REGISTRO DE PRESSAO 3/4" COM CANOPLA|1|61|15|MATERIAL HIDRAULICO, CANOS, TUBOS, MANGUEIRAS, CONEXOES E ACESS.|MHI|Padrão|4|9|36|Ativo|</t>
        </r>
      </text>
    </comment>
    <comment ref="X328" authorId="0" shapeId="0" xr:uid="{00000000-0006-0000-0000-000077010000}">
      <text>
        <r>
          <rPr>
            <sz val="10"/>
            <color indexed="81"/>
            <rFont val="Lucida Console"/>
            <family val="3"/>
          </rPr>
          <t>17454|PAPEL ESPELHO - 65 X 50 CM - ROSA|1|57|2|MAQ. E EQUIP. P/ IND. GRAFICA COMP. ACESS. E PAPEI|EDU|Padrão|4|716|2864|Ativo|</t>
        </r>
      </text>
    </comment>
    <comment ref="X329" authorId="0" shapeId="0" xr:uid="{00000000-0006-0000-0000-000078010000}">
      <text>
        <r>
          <rPr>
            <sz val="10"/>
            <color indexed="81"/>
            <rFont val="Lucida Console"/>
            <family val="3"/>
          </rPr>
          <t>98080|LUVA DE LATEX - TAMANHO G|1|54|19|EQUIP PROT IND, INST MAT P/ SINAL, CONTR, COMB ...|MAN|Padrão|4|100|400|Ativo|</t>
        </r>
      </text>
    </comment>
    <comment ref="X330" authorId="0" shapeId="0" xr:uid="{00000000-0006-0000-0000-000079010000}">
      <text>
        <r>
          <rPr>
            <sz val="10"/>
            <color indexed="81"/>
            <rFont val="Lucida Console"/>
            <family val="3"/>
          </rPr>
          <t>122304|DISCO DE CORTE 4 1/2" DE DIAMETRO EXTERNO, 01 MM DE ESPESSURA E 7/8" DE DIAMETRO DE FURO|1|83|4|ABRASIVOS|MAN|Padrão|4|100|400|Ativo|</t>
        </r>
      </text>
    </comment>
    <comment ref="X331" authorId="0" shapeId="0" xr:uid="{00000000-0006-0000-0000-00007A010000}">
      <text>
        <r>
          <rPr>
            <sz val="10"/>
            <color indexed="81"/>
            <rFont val="Lucida Console"/>
            <family val="3"/>
          </rPr>
          <t>112162|PLUG MOVEL 2P + T 90° PADRAO NBR 14136 DE 20A/250V GIGANTE|1|55|7|EQUIP. MAT. P/ GERACAO, TRANSM. DISTR. RETIF...|MEL|Padrão|4|20|80|Ativo|</t>
        </r>
      </text>
    </comment>
    <comment ref="X332" authorId="0" shapeId="0" xr:uid="{00000000-0006-0000-0000-00007B010000}">
      <text>
        <r>
          <rPr>
            <sz val="10"/>
            <color indexed="81"/>
            <rFont val="Lucida Console"/>
            <family val="3"/>
          </rPr>
          <t>138054|ANEL DE VEDACAO PARA BACIA SANITARIA, CONFECCIONADO EM BORRACHA BUTILICA, MEDIDAS MINIMAS: 85 MM (DIAMETRO INTERNO), 110 MM (DIAMETRO EXTERNO) E 20 MM (LARGURA).|1|61|10|MATERIAL HIDRAULICO, CANOS, TUBOS, MANGUEIRAS, CONEXOES E ACESS.|MHI|Padrão|4|20|80|Ativo|</t>
        </r>
      </text>
    </comment>
    <comment ref="X333" authorId="0" shapeId="0" xr:uid="{00000000-0006-0000-0000-00007C010000}">
      <text>
        <r>
          <rPr>
            <sz val="10"/>
            <color indexed="81"/>
            <rFont val="Lucida Console"/>
            <family val="3"/>
          </rPr>
          <t>119318|TINTA A BASE DE AGUA PARA USO EM CARIMBO AUTO ENTINTADO - FRASCO COM  30 ML -  COR PRETA|1|45|8|MAQ., EQUIP., COMP., ACES., MAT. PARA ESCRIT.E ESCOLAR|EDU|Padrão|4|11|44|Ativo|</t>
        </r>
      </text>
    </comment>
    <comment ref="X334" authorId="0" shapeId="0" xr:uid="{00000000-0006-0000-0000-00007D010000}">
      <text>
        <r>
          <rPr>
            <sz val="10"/>
            <color indexed="81"/>
            <rFont val="Lucida Console"/>
            <family val="3"/>
          </rPr>
          <t>87247|PORTA CADEADO DE FERRO ZINCADO 2"|1|51|12|MAT.E EQUIP. P/ CONSTR.CIVIL E CONSERV. DE VIAS PUBL.|MCO|Padrão|4|11|44|Ativo|</t>
        </r>
      </text>
    </comment>
    <comment ref="X335" authorId="0" shapeId="0" xr:uid="{00000000-0006-0000-0000-00007E010000}">
      <text>
        <r>
          <rPr>
            <sz val="10"/>
            <color indexed="81"/>
            <rFont val="Lucida Console"/>
            <family val="3"/>
          </rPr>
          <t>15167|LUMINARIA FECHADA TIPO CALHA P/ LAMPADA FLUORESCENTE 2 X 40|1|55|49|EQUIP. MAT. P/ GERACAO, TRANSM. DISTR. RETIF...|MEL|Padrão|4|55|220|Ativo|</t>
        </r>
      </text>
    </comment>
    <comment ref="X336" authorId="0" shapeId="0" xr:uid="{00000000-0006-0000-0000-00007F010000}">
      <text>
        <r>
          <rPr>
            <sz val="10"/>
            <color indexed="81"/>
            <rFont val="Lucida Console"/>
            <family val="3"/>
          </rPr>
          <t>133850|CARTOLINA DUPLA FACE / COLOR SET VERMELHA - 48 X 66 CM|1|57|16|MAQ. E EQUIP. P/ IND. GRAFICA COMP. ACESS. E PAPEI|EDU|Padrão|4|2084|8336|Ativo|</t>
        </r>
      </text>
    </comment>
    <comment ref="X337" authorId="0" shapeId="0" xr:uid="{00000000-0006-0000-0000-000080010000}">
      <text>
        <r>
          <rPr>
            <sz val="10"/>
            <color indexed="81"/>
            <rFont val="Lucida Console"/>
            <family val="3"/>
          </rPr>
          <t>100907|SACOLA PLASTICA P/ EMBALAGEM  - LEITOSA - 40 X 50 CM - ALÇA CAMISETA|1|73|1|EMBALAG., RECIP., ACESSOR., EQUIP., MATER. P/ACONDICIO|EDU|Padrão|4|24|96|Ativo|</t>
        </r>
      </text>
    </comment>
    <comment ref="X338" authorId="0" shapeId="0" xr:uid="{00000000-0006-0000-0000-000081010000}">
      <text>
        <r>
          <rPr>
            <sz val="10"/>
            <color indexed="81"/>
            <rFont val="Lucida Console"/>
            <family val="3"/>
          </rPr>
          <t>133844|CARTOLINA DUPLA FACE / COLOR SET AZUL ESCURO - 48 X 66 CM|1|57|16|MAQ. E EQUIP. P/ IND. GRAFICA COMP. ACESS. E PAPEI|EDU|Padrão|4|2084|8336|Ativo|</t>
        </r>
      </text>
    </comment>
    <comment ref="X339" authorId="0" shapeId="0" xr:uid="{00000000-0006-0000-0000-000082010000}">
      <text>
        <r>
          <rPr>
            <sz val="10"/>
            <color indexed="81"/>
            <rFont val="Lucida Console"/>
            <family val="3"/>
          </rPr>
          <t>13165|TORNEIRA DE PRESSAO EM LATAO CROMADO 1/2" X 18 CM - P/ PIA - SEM ADAPTADOR|1|61|14|MATERIAL HIDRAULICO, CANOS, TUBOS, MANGUEIRAS, CONEXOES E ACESS.|MHI|Padrão|4|61|244|Ativo|</t>
        </r>
      </text>
    </comment>
    <comment ref="X340" authorId="0" shapeId="0" xr:uid="{00000000-0006-0000-0000-000083010000}">
      <text>
        <r>
          <rPr>
            <sz val="10"/>
            <color indexed="81"/>
            <rFont val="Lucida Console"/>
            <family val="3"/>
          </rPr>
          <t>52129|DISCO DE CORTE PARA POLICORTE - MED. 10" DIAMETRO EXTERNO -|1|70|30|FERRAMENTAS MAQ.FERRAMENTAS,ELETR.PECAS E ACESSORI|MAN|Padrão|4|37|148|Ativo|</t>
        </r>
      </text>
    </comment>
    <comment ref="X341" authorId="0" shapeId="0" xr:uid="{00000000-0006-0000-0000-000084010000}">
      <text>
        <r>
          <rPr>
            <sz val="10"/>
            <color indexed="81"/>
            <rFont val="Lucida Console"/>
            <family val="3"/>
          </rPr>
          <t>35227|LUVA DE PVC, 1", RIGIDO SOLDAVEL|1|61|8|MATERIAL HIDRAULICO, CANOS, TUBOS, MANGUEIRAS, CONEXOES E ACESS.|MHI|Padrão|4|13|52|Ativo|</t>
        </r>
      </text>
    </comment>
    <comment ref="X342" authorId="0" shapeId="0" xr:uid="{00000000-0006-0000-0000-000085010000}">
      <text>
        <r>
          <rPr>
            <sz val="10"/>
            <color indexed="81"/>
            <rFont val="Lucida Console"/>
            <family val="3"/>
          </rPr>
          <t>138461|CANETA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EMBALAGEM.|1|45|9|MAQ., EQUIP., COMP., ACES., MAT. PARA ESCRIT.E ESCOLAR|EDU|Padrão|4|3095|12380|Ativo|</t>
        </r>
      </text>
    </comment>
    <comment ref="X343" authorId="0" shapeId="0" xr:uid="{00000000-0006-0000-0000-000086010000}">
      <text>
        <r>
          <rPr>
            <sz val="10"/>
            <color indexed="81"/>
            <rFont val="Lucida Console"/>
            <family val="3"/>
          </rPr>
          <t>78416|PARAFUSO FRANCES - 1/2" X 8" - COM PORCA E ARRUELA|1|67|18|PARAFUSOS ELEM. VEDACAO UNIAO CONEX . FIXACAO|MSE|Padrão|4|43|172|Ativo|</t>
        </r>
      </text>
    </comment>
    <comment ref="X344" authorId="0" shapeId="0" xr:uid="{00000000-0006-0000-0000-000087010000}">
      <text>
        <r>
          <rPr>
            <sz val="10"/>
            <color indexed="81"/>
            <rFont val="Lucida Console"/>
            <family val="3"/>
          </rPr>
          <t>50797|CHUVEIRO ELETRICO AUTOMATICO - CORPO EM PLASTICO 220V/5400W|1|61|16|MATERIAL HIDRAULICO, CANOS, TUBOS, MANGUEIRAS, CONEXOES E ACESS.|MHI|Padrão|4|15|60|Ativo|</t>
        </r>
      </text>
    </comment>
    <comment ref="J345" authorId="1" shapeId="0" xr:uid="{00000000-0006-0000-0000-000088010000}">
      <text>
        <r>
          <rPr>
            <sz val="9"/>
            <color indexed="81"/>
            <rFont val="Segoe UI"/>
            <family val="2"/>
          </rPr>
          <t xml:space="preserve">
Planilha do Laércio 06/06/2019.
</t>
        </r>
      </text>
    </comment>
    <comment ref="X345" authorId="0" shapeId="0" xr:uid="{00000000-0006-0000-0000-000089010000}">
      <text>
        <r>
          <rPr>
            <sz val="10"/>
            <color indexed="81"/>
            <rFont val="Lucida Console"/>
            <family val="3"/>
          </rPr>
          <t>12877|TINTA LATEX PVA BRANCO, LATA COM 18 LITROS|1|76|10|EQUIP. E MATERIAIS P/PINTURAS E IMPERMEABILIZACAO|MPI|Padrão|4|15|60|Ativo|</t>
        </r>
      </text>
    </comment>
    <comment ref="X346" authorId="0" shapeId="0" xr:uid="{00000000-0006-0000-0000-00008A010000}">
      <text>
        <r>
          <rPr>
            <sz val="10"/>
            <color indexed="81"/>
            <rFont val="Lucida Console"/>
            <family val="3"/>
          </rPr>
          <t>132407|ESPIRAL 25 MM DE PVC - PACOTE COM NO MINIMO 45 UNIDADES.|1|57|6|MAQ. E EQUIP. P/ IND. GRAFICA COMP. ACESS. E PAPEI|EDU|Padrão|4|17|68|Ativo|</t>
        </r>
      </text>
    </comment>
    <comment ref="X347" authorId="0" shapeId="0" xr:uid="{00000000-0006-0000-0000-00008B010000}">
      <text>
        <r>
          <rPr>
            <sz val="10"/>
            <color indexed="81"/>
            <rFont val="Lucida Console"/>
            <family val="3"/>
          </rPr>
          <t>63991|BALDINHO DE PRAIA EM PLASTICO - COLORIDO, ATOXICO, COM ACES|1|58|8|EQUIP. E MAT. P/ RECREACAO, ATLETISMO, DESPORTO...|EDU|Padrão|4|485|1940|Ativo|</t>
        </r>
      </text>
    </comment>
    <comment ref="X348" authorId="0" shapeId="0" xr:uid="{00000000-0006-0000-0000-00008C010000}">
      <text>
        <r>
          <rPr>
            <sz val="10"/>
            <color indexed="81"/>
            <rFont val="Lucida Console"/>
            <family val="3"/>
          </rPr>
          <t>133847|CARTOLINA DUPLA FACE / COLOR SET PRETA  - 48 X 66 CM|1|57|16|MAQ. E EQUIP. P/ IND. GRAFICA COMP. ACESS. E PAPEI|EDU|Padrão|4|2084|8336|Ativo|</t>
        </r>
      </text>
    </comment>
    <comment ref="X349" authorId="0" shapeId="0" xr:uid="{00000000-0006-0000-0000-00008D010000}">
      <text>
        <r>
          <rPr>
            <sz val="10"/>
            <color indexed="81"/>
            <rFont val="Lucida Console"/>
            <family val="3"/>
          </rPr>
          <t>20106|BROCA DE ACO RAPIDO HELICOIDAL DE 5/32" COM HASTE CILINDRIC|1|70|31|FERRAMENTAS MAQ.FERRAMENTAS,ELETR.PECAS E ACESSORI|MAN|Padrão|4|21|84|Ativo|</t>
        </r>
      </text>
    </comment>
    <comment ref="X350" authorId="0" shapeId="0" xr:uid="{00000000-0006-0000-0000-00008E010000}">
      <text>
        <r>
          <rPr>
            <sz val="10"/>
            <color indexed="81"/>
            <rFont val="Lucida Console"/>
            <family val="3"/>
          </rPr>
          <t>112158|INTERRUPTOR 10A X 250V COM 1 TECLA PARALELA MAIS 1 TOMADA 2P+T PADRAO NBR 14136 DE 20A/250V DE EMBUTIR COM ESPELHO PARA CAIXA|1|55|7|EQUIP. MAT. P/ GERACAO, TRANSM. DISTR. RETIF...|MEL|Padrão|4|21|84|Ativo|</t>
        </r>
      </text>
    </comment>
    <comment ref="X351" authorId="0" shapeId="0" xr:uid="{00000000-0006-0000-0000-00008F010000}">
      <text>
        <r>
          <rPr>
            <sz val="10"/>
            <color indexed="81"/>
            <rFont val="Lucida Console"/>
            <family val="3"/>
          </rPr>
          <t>59942|BARRA/FIO REDONDO DE ACO CA 50 P/CONSTRUCAO NBR 7480 - 5/16|1|69|8|METAIS,LAMINAD.,PERFILADOS E ARTEFATOS METALICOS|MSE|Padrão|4|44|176|Ativo|</t>
        </r>
      </text>
    </comment>
    <comment ref="X352" authorId="0" shapeId="0" xr:uid="{00000000-0006-0000-0000-000090010000}">
      <text>
        <r>
          <rPr>
            <sz val="10"/>
            <color indexed="81"/>
            <rFont val="Lucida Console"/>
            <family val="3"/>
          </rPr>
          <t>13559|TUBO DE PVC RIGIDO SOLDAVEL DE 100 MM - 4" X 6 M (P/ESGOTO)|1|61|2|MATERIAL HIDRAULICO, CANOS, TUBOS, MANGUEIRAS, CONEXOES E ACESS.|MHI|Padrão|4|25|100|Ativo|</t>
        </r>
      </text>
    </comment>
    <comment ref="X353" authorId="0" shapeId="0" xr:uid="{00000000-0006-0000-0000-000091010000}">
      <text>
        <r>
          <rPr>
            <sz val="10"/>
            <color indexed="81"/>
            <rFont val="Lucida Console"/>
            <family val="3"/>
          </rPr>
          <t>133451|LIVRO DE ATA, CAPA DURA, COM 100 FOLHAS - MEDIDA: 206 X 300 MM (VARIACAO +/- 6 MM)|1|45|11|MAQ., EQUIP., COMP., ACES., MAT. PARA ESCRIT.E ESCOLAR|EDU|Padrão|4|79|316|Ativo|</t>
        </r>
      </text>
    </comment>
    <comment ref="X354" authorId="0" shapeId="0" xr:uid="{00000000-0006-0000-0000-000092010000}">
      <text>
        <r>
          <rPr>
            <sz val="10"/>
            <color indexed="81"/>
            <rFont val="Lucida Console"/>
            <family val="3"/>
          </rPr>
          <t>133366|BUCHA PARA GESSO ACARTONADO (DRYWALL)|1|67|9|PARAFUSOS ELEM. VEDACAO UNIAO CONEX . FIXACAO|MSE|Padrão|4|320|1280|Ativo|</t>
        </r>
      </text>
    </comment>
    <comment ref="X355" authorId="0" shapeId="0" xr:uid="{00000000-0006-0000-0000-000093010000}">
      <text>
        <r>
          <rPr>
            <sz val="10"/>
            <color indexed="81"/>
            <rFont val="Lucida Console"/>
            <family val="3"/>
          </rPr>
          <t>13562|TUBO DE PVC RIGIDO SOLDAVEL DE 25 MM  - 3/4" X 06 M - CLASSE 15 MARROM - NBR 5648 - A MARCA DEVERA SER LITOGRAFADA NO PRODUTO|1|61|2|MATERIAL HIDRAULICO, CANOS, TUBOS, MANGUEIRAS, CONEXOES E ACESS.|MHI|Padrão|4|72|288|Ativo|</t>
        </r>
      </text>
    </comment>
    <comment ref="X356" authorId="2" shapeId="0" xr:uid="{00000000-0006-0000-0000-000094010000}">
      <text>
        <r>
          <rPr>
            <sz val="9"/>
            <color indexed="81"/>
            <rFont val="Segoe UI"/>
            <family val="2"/>
          </rPr>
          <t>32534|BLOCO DE CONCRETO - 20 X 20 X 40 CM|1|51|7|MAT.E EQUIP. P/ CONSTR.CIVIL E CONSERV. DE VIAS PUBL.|MCO|Personalizado|4|125|500|Ativo|</t>
        </r>
      </text>
    </comment>
    <comment ref="X357" authorId="0" shapeId="0" xr:uid="{00000000-0006-0000-0000-000095010000}">
      <text>
        <r>
          <rPr>
            <sz val="10"/>
            <color indexed="81"/>
            <rFont val="Lucida Console"/>
            <family val="3"/>
          </rPr>
          <t>20584|REBITE DE REPUCHO EM ALUMINIO C/ MANDRIL DE ACO 6 X 30 MM|1|67|7|PARAFUSOS ELEM. VEDACAO UNIAO CONEX . FIXACAO|MSE|Padrão|4|255|1020|Ativo|</t>
        </r>
      </text>
    </comment>
    <comment ref="X358" authorId="0" shapeId="0" xr:uid="{00000000-0006-0000-0000-000096010000}">
      <text>
        <r>
          <rPr>
            <sz val="10"/>
            <color indexed="81"/>
            <rFont val="Lucida Console"/>
            <family val="3"/>
          </rPr>
          <t>80387|DISCO DE CORTE 9" X 1/8" X 7/8"|1|83|4|ABRASIVOS|MAN|Padrão|4|55|220|Ativo|</t>
        </r>
      </text>
    </comment>
    <comment ref="X359" authorId="0" shapeId="0" xr:uid="{00000000-0006-0000-0000-000097010000}">
      <text>
        <r>
          <rPr>
            <sz val="10"/>
            <color indexed="81"/>
            <rFont val="Lucida Console"/>
            <family val="3"/>
          </rPr>
          <t>12635|CARTOLINA - AMARELA - 50 X 66 CM - 180 G/M2|1|57|16|MAQ. E EQUIP. P/ IND. GRAFICA COMP. ACESS. E PAPEI|EDU|Padrão|4|2084|8336|Ativo|</t>
        </r>
      </text>
    </comment>
    <comment ref="X360" authorId="0" shapeId="0" xr:uid="{00000000-0006-0000-0000-000098010000}">
      <text>
        <r>
          <rPr>
            <sz val="10"/>
            <color indexed="81"/>
            <rFont val="Lucida Console"/>
            <family val="3"/>
          </rPr>
          <t>125269|CONECTOR RJ-45 MACHO, PARA CABO UTP CATEGORIA 5E|1|60|21|COMPUT.SOFT. PROCES. EQUIP. SUPRI. COMP. ACESS. INFORMAT|INF|Padrão|4|67|268|Ativo|</t>
        </r>
      </text>
    </comment>
    <comment ref="X361" authorId="0" shapeId="0" xr:uid="{00000000-0006-0000-0000-000099010000}">
      <text>
        <r>
          <rPr>
            <sz val="10"/>
            <color indexed="81"/>
            <rFont val="Lucida Console"/>
            <family val="3"/>
          </rPr>
          <t>132646|CANETA HIDROGRAFICA JUMBO COM 12 CORES, PONTA GROSSA, TINTA LAVAVEL|1|45|10|MAQ., EQUIP., COMP., ACES., MAT. PARA ESCRIT.E ESCOLAR|EDU|Padrão|4|1240|4960|Ativo|</t>
        </r>
      </text>
    </comment>
    <comment ref="X362" authorId="0" shapeId="0" xr:uid="{00000000-0006-0000-0000-00009A010000}">
      <text>
        <r>
          <rPr>
            <sz val="10"/>
            <color indexed="81"/>
            <rFont val="Lucida Console"/>
            <family val="3"/>
          </rPr>
          <t>134569|CORREDICA TELESCOPICA ZINCADA PARA GAVETA FZ 500 MM - COM CAPACIDADE PARA 35 KG|1|78|2|MOBILIARIO E COFRE|ADM|Padrão|4|8|32|Ativo|</t>
        </r>
      </text>
    </comment>
    <comment ref="X363" authorId="0" shapeId="0" xr:uid="{00000000-0006-0000-0000-00009B010000}">
      <text>
        <r>
          <rPr>
            <sz val="10"/>
            <color indexed="81"/>
            <rFont val="Lucida Console"/>
            <family val="3"/>
          </rPr>
          <t>20167|LONA PLASTICA - 4 X 100M - PRETA|1|79|5|ART. DOMEST. DECO. GUARNI. DE AMBI.TECI. VEICULOS|ADM|Padrão|4|2|8|Ativo|</t>
        </r>
      </text>
    </comment>
    <comment ref="X364" authorId="0" shapeId="0" xr:uid="{00000000-0006-0000-0000-00009C010000}">
      <text>
        <r>
          <rPr>
            <sz val="10"/>
            <color indexed="81"/>
            <rFont val="Lucida Console"/>
            <family val="3"/>
          </rPr>
          <t>19883|BROCA DE WIDIA 5/16"|1|70|31|FERRAMENTAS MAQ.FERRAMENTAS,ELETR.PECAS E ACESSORI|MAN|Padrão|4|4|16|Ativo|</t>
        </r>
      </text>
    </comment>
    <comment ref="X365" authorId="0" shapeId="0" xr:uid="{00000000-0006-0000-0000-00009D010000}">
      <text>
        <r>
          <rPr>
            <sz val="10"/>
            <color indexed="81"/>
            <rFont val="Lucida Console"/>
            <family val="3"/>
          </rPr>
          <t>98359|FITA DE BORDA EM PVC TEXTURIZADA, 22MM - ROLO COM 300 MTS|1|70|47|FERRAMENTAS MAQ.FERRAMENTAS,ELETR.PECAS E ACESSORI|MAN|Padrão|4|10|40|Ativo|</t>
        </r>
      </text>
    </comment>
    <comment ref="J366" authorId="1" shapeId="0" xr:uid="{00000000-0006-0000-0000-00009E010000}">
      <text>
        <r>
          <rPr>
            <b/>
            <sz val="9"/>
            <color indexed="81"/>
            <rFont val="Segoe UI"/>
            <family val="2"/>
          </rPr>
          <t>Administrador:</t>
        </r>
        <r>
          <rPr>
            <sz val="9"/>
            <color indexed="81"/>
            <rFont val="Segoe UI"/>
            <family val="2"/>
          </rPr>
          <t xml:space="preserve">
Conforme informações do Miguel os 20 consumidos em fevereiro/2019 é o consumo totlal de 4 meses.</t>
        </r>
      </text>
    </comment>
    <comment ref="X366" authorId="0" shapeId="0" xr:uid="{00000000-0006-0000-0000-00009F010000}">
      <text>
        <r>
          <rPr>
            <sz val="10"/>
            <color indexed="81"/>
            <rFont val="Lucida Console"/>
            <family val="3"/>
          </rPr>
          <t>24551|LIXA CINTA DE PANO P/ MADEIRA - MEDIDAS: 610 X 75 MM GRAMAT|1|83|3|ABRASIVOS|MAN|Padrão|4|4|16|Ativo|</t>
        </r>
      </text>
    </comment>
    <comment ref="X367" authorId="0" shapeId="0" xr:uid="{00000000-0006-0000-0000-0000A0010000}">
      <text>
        <r>
          <rPr>
            <sz val="10"/>
            <color indexed="81"/>
            <rFont val="Lucida Console"/>
            <family val="3"/>
          </rPr>
          <t>40251|DISCO DIAMANTADO (SECO) - DIAMETRO EXTERNO 110 MM E FURO 20|1|83|4|ABRASIVOS|MAN|Padrão|4|50|200|Ativo|</t>
        </r>
      </text>
    </comment>
    <comment ref="X368" authorId="0" shapeId="0" xr:uid="{00000000-0006-0000-0000-0000A1010000}">
      <text>
        <r>
          <rPr>
            <sz val="10"/>
            <color indexed="81"/>
            <rFont val="Lucida Console"/>
            <family val="3"/>
          </rPr>
          <t>14001|MASSA CORRIDA PVA - LATA C/ 18 LITROS|1|51|3|MAT.E EQUIP. P/ CONSTR.CIVIL E CONSERV. DE VIAS PUBL.|MCO|Padrão|4|18|72|Ativo|</t>
        </r>
      </text>
    </comment>
    <comment ref="X369" authorId="0" shapeId="0" xr:uid="{00000000-0006-0000-0000-0000A2010000}">
      <text>
        <r>
          <rPr>
            <sz val="10"/>
            <color indexed="81"/>
            <rFont val="Lucida Console"/>
            <family val="3"/>
          </rPr>
          <t>63382|MASSA PARA CALAFETAR A BASE DE POLIBUTENO EM FILETES - CAIX|1|51|33|MAT.E EQUIP. P/ CONSTR.CIVIL E CONSERV. DE VIAS PUBL.|MCO|Padrão|4|2|8|Ativo|</t>
        </r>
      </text>
    </comment>
    <comment ref="X370" authorId="0" shapeId="0" xr:uid="{00000000-0006-0000-0000-0000A3010000}">
      <text>
        <r>
          <rPr>
            <sz val="10"/>
            <color indexed="81"/>
            <rFont val="Lucida Console"/>
            <family val="3"/>
          </rPr>
          <t>88735|DISJUNTOR NORMA DIN CURVA C PADRAO, TRIPOLAR, 50 AMPERES|1|55|26|EQUIP. MAT. P/ GERACAO, TRANSM. DISTR. RETIF...|MEL|Padrão|4|4|16|Ativo|</t>
        </r>
      </text>
    </comment>
    <comment ref="X371" authorId="0" shapeId="0" xr:uid="{00000000-0006-0000-0000-0000A4010000}">
      <text>
        <r>
          <rPr>
            <sz val="10"/>
            <color indexed="81"/>
            <rFont val="Lucida Console"/>
            <family val="3"/>
          </rPr>
          <t>117734|CAIXA PLASTICA DE SOBREPOR COM TAMPA - MEDIDAS: 23 X 17 X 90 CM|1|55|31|EQUIP. MAT. P/ GERACAO, TRANSM. DISTR. RETIF...|MEL|Padrão|4|2|8|Ativo|</t>
        </r>
      </text>
    </comment>
    <comment ref="X372" authorId="0" shapeId="0" xr:uid="{00000000-0006-0000-0000-0000A5010000}">
      <text>
        <r>
          <rPr>
            <sz val="10"/>
            <color indexed="81"/>
            <rFont val="Lucida Console"/>
            <family val="3"/>
          </rPr>
          <t>51222|LUMINARIA FECHADA TIPO CALHA - P/ LAMPADA FLUORESCENTE - 2 X 20 W, CALHA COM SOQUETE DE PRESSAO E SUPORTE PARA FIXACAO TIPO PE DE GALINHA|1|55|49|EQUIP. MAT. P/ GERACAO, TRANSM. DISTR. RETIF...|MEL|Padrão|4|2|8|Ativo|</t>
        </r>
      </text>
    </comment>
    <comment ref="X373" authorId="0" shapeId="0" xr:uid="{00000000-0006-0000-0000-0000A6010000}">
      <text>
        <r>
          <rPr>
            <sz val="10"/>
            <color indexed="81"/>
            <rFont val="Lucida Console"/>
            <family val="3"/>
          </rPr>
          <t>135088|LAMPADA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PROCEL|1|55|66|EQUIP. MAT. P/ GERACAO, TRANSM. DISTR. RETIF...|MEL|Padrão|4|40|160|Ativo|</t>
        </r>
      </text>
    </comment>
    <comment ref="X374" authorId="0" shapeId="0" xr:uid="{00000000-0006-0000-0000-0000A7010000}">
      <text>
        <r>
          <rPr>
            <sz val="10"/>
            <color indexed="81"/>
            <rFont val="Lucida Console"/>
            <family val="3"/>
          </rPr>
          <t>54018|JUNCAO INTERNA "L"  38 X 38 MM|1|61|8|MATERIAL HIDRAULICO, CANOS, TUBOS, MANGUEIRAS, CONEXOES E ACESS.|MHI|Padrão|4|2|8|Ativo|</t>
        </r>
      </text>
    </comment>
    <comment ref="X375" authorId="0" shapeId="0" xr:uid="{00000000-0006-0000-0000-0000A8010000}">
      <text>
        <r>
          <rPr>
            <sz val="10"/>
            <color indexed="81"/>
            <rFont val="Lucida Console"/>
            <family val="3"/>
          </rPr>
          <t>44789|LUVA DE REDUCAO EM PVC RIGIDO SOLDAVEL DE 2" X 1 1/2"|1|61|8|MATERIAL HIDRAULICO, CANOS, TUBOS, MANGUEIRAS, CONEXOES E ACESS.|MHI|Padrão|4|2|8|Ativo|</t>
        </r>
      </text>
    </comment>
    <comment ref="X376" authorId="0" shapeId="0" xr:uid="{00000000-0006-0000-0000-0000A9010000}">
      <text>
        <r>
          <rPr>
            <sz val="10"/>
            <color indexed="81"/>
            <rFont val="Lucida Console"/>
            <family val="3"/>
          </rPr>
          <t>61200|TE EM PVC RIGIDO SOLDAVEL ROSCA AZUL - 3/4"|1|61|8|MATERIAL HIDRAULICO, CANOS, TUBOS, MANGUEIRAS, CONEXOES E ACESS.|MHI|Padrão|4|6|24|Ativo|</t>
        </r>
      </text>
    </comment>
    <comment ref="X377" authorId="0" shapeId="0" xr:uid="{00000000-0006-0000-0000-0000AA010000}">
      <text>
        <r>
          <rPr>
            <sz val="10"/>
            <color indexed="81"/>
            <rFont val="Lucida Console"/>
            <family val="3"/>
          </rPr>
          <t>17422|CAIXA SIFONADA REDONDA EM PVC RIGIDO DE 100 X 150 X 50 MM (4" X 6" X 2")|1|61|11|MATERIAL HIDRAULICO, CANOS, TUBOS, MANGUEIRAS, CONEXOES E ACESS.|MHI|Padrão|4|4|16|Ativo|</t>
        </r>
      </text>
    </comment>
    <comment ref="X378" authorId="0" shapeId="0" xr:uid="{00000000-0006-0000-0000-0000AB010000}">
      <text>
        <r>
          <rPr>
            <sz val="10"/>
            <color indexed="81"/>
            <rFont val="Lucida Console"/>
            <family val="3"/>
          </rPr>
          <t>15051|RALO SIFONADO EM PVC DE 100 X 40 MM (1 1/2")|1|61|11|MATERIAL HIDRAULICO, CANOS, TUBOS, MANGUEIRAS, CONEXOES E ACESS.|MHI|Padrão|4|2|8|Ativo|</t>
        </r>
      </text>
    </comment>
    <comment ref="X379" authorId="0" shapeId="0" xr:uid="{00000000-0006-0000-0000-0000AC010000}">
      <text>
        <r>
          <rPr>
            <sz val="10"/>
            <color indexed="81"/>
            <rFont val="Lucida Console"/>
            <family val="3"/>
          </rPr>
          <t>135414|TORNEIRA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DURABILIDADE|1|61|14|MATERIAL HIDRAULICO, CANOS, TUBOS, MANGUEIRAS, CONEXOES E ACESS.|MHI|Padrão|4|34|136|Ativo|</t>
        </r>
      </text>
    </comment>
    <comment ref="X380" authorId="0" shapeId="0" xr:uid="{00000000-0006-0000-0000-0000AD010000}">
      <text>
        <r>
          <rPr>
            <sz val="10"/>
            <color indexed="81"/>
            <rFont val="Lucida Console"/>
            <family val="3"/>
          </rPr>
          <t>25630|REGISTRO DE GAVETA EM LIGA DE COBRE DE 3/4" C/ CANOPLA|1|61|15|MATERIAL HIDRAULICO, CANOS, TUBOS, MANGUEIRAS, CONEXOES E ACESS.|MHI|Padrão|4|6|24|Ativo|</t>
        </r>
      </text>
    </comment>
    <comment ref="X381" authorId="0" shapeId="0" xr:uid="{00000000-0006-0000-0000-0000AE010000}">
      <text>
        <r>
          <rPr>
            <sz val="10"/>
            <color indexed="81"/>
            <rFont val="Lucida Console"/>
            <family val="3"/>
          </rPr>
          <t>81564|REPARO P/ VALVULA DE DESCARGA - MARCA LORENZETTI - P-21|1|61|15|MATERIAL HIDRAULICO, CANOS, TUBOS, MANGUEIRAS, CONEXOES E ACESS.|MHI|Padrão|4|2|8|Ativo|</t>
        </r>
      </text>
    </comment>
    <comment ref="X382" authorId="0" shapeId="0" xr:uid="{00000000-0006-0000-0000-0000AF010000}">
      <text>
        <r>
          <rPr>
            <sz val="10"/>
            <color indexed="81"/>
            <rFont val="Lucida Console"/>
            <family val="3"/>
          </rPr>
          <t>81565|REPARO P/ VALVULA DE DESCARGA - MARCA LORENZETTI - P-41|1|61|15|MATERIAL HIDRAULICO, CANOS, TUBOS, MANGUEIRAS, CONEXOES E ACESS.|MHI|Padrão|4|2|8|Ativo|</t>
        </r>
      </text>
    </comment>
    <comment ref="J383" authorId="1" shapeId="0" xr:uid="{00000000-0006-0000-0000-0000B0010000}">
      <text>
        <r>
          <rPr>
            <b/>
            <sz val="9"/>
            <color indexed="81"/>
            <rFont val="Segoe UI"/>
            <family val="2"/>
          </rPr>
          <t xml:space="preserve">
Planilha do Laércio 06/06/2019.</t>
        </r>
        <r>
          <rPr>
            <sz val="9"/>
            <color indexed="81"/>
            <rFont val="Segoe UI"/>
            <family val="2"/>
          </rPr>
          <t xml:space="preserve">
</t>
        </r>
      </text>
    </comment>
    <comment ref="X383" authorId="0" shapeId="0" xr:uid="{00000000-0006-0000-0000-0000B1010000}">
      <text>
        <r>
          <rPr>
            <sz val="10"/>
            <color indexed="81"/>
            <rFont val="Lucida Console"/>
            <family val="3"/>
          </rPr>
          <t>87586|TINTA ACRILICA P/ DEMARCACAO DE SOLO - BALDE C/ 18 L - VERMELHA - PADRAO DER 3.09|1|76|5|EQUIP. E MATERIAIS P/PINTURAS E IMPERMEABILIZACAO|MPI|Padrão|4|2|2|Ativo|</t>
        </r>
      </text>
    </comment>
    <comment ref="X384" authorId="0" shapeId="0" xr:uid="{00000000-0006-0000-0000-0000B2010000}">
      <text>
        <r>
          <rPr>
            <sz val="10"/>
            <color indexed="81"/>
            <rFont val="Lucida Console"/>
            <family val="3"/>
          </rPr>
          <t>12812|BROXA RETANGULAR - 16,5 X 6 CM|1|76|11|EQUIP. E MATERIAIS P/PINTURAS E IMPERMEABILIZACAO|MPI|Padrão|4|4|16|Ativo|</t>
        </r>
      </text>
    </comment>
    <comment ref="J385" authorId="1" shapeId="0" xr:uid="{00000000-0006-0000-0000-0000B3010000}">
      <text>
        <r>
          <rPr>
            <sz val="9"/>
            <color indexed="81"/>
            <rFont val="Segoe UI"/>
            <family val="2"/>
          </rPr>
          <t xml:space="preserve">
Planilha do Laércio 06/06/2019.= 2
Reajustado para 2 em 05/08/2019 para não faltar.
</t>
        </r>
      </text>
    </comment>
    <comment ref="X385" authorId="0" shapeId="0" xr:uid="{00000000-0006-0000-0000-0000B4010000}">
      <text>
        <r>
          <rPr>
            <sz val="10"/>
            <color indexed="81"/>
            <rFont val="Lucida Console"/>
            <family val="3"/>
          </rPr>
          <t>128288|SELADORA PARA MADEIRA GALAO DE 3,6 LITROS|1|76|13|EQUIP. E MATERIAIS P/PINTURAS E IMPERMEABILIZACAO|MPI|Padrão|4|2|8|Ativo|</t>
        </r>
      </text>
    </comment>
    <comment ref="X386" authorId="0" shapeId="0" xr:uid="{00000000-0006-0000-0000-0000B5010000}">
      <text>
        <r>
          <rPr>
            <sz val="10"/>
            <color indexed="81"/>
            <rFont val="Lucida Console"/>
            <family val="3"/>
          </rPr>
          <t>20537|PREGO COMUM DE CABECA CHATA - 22 X 48|1|67|6|PARAFUSOS ELEM. VEDACAO UNIAO CONEX . FIXACAO|MSE|Padrão|4|2|8|Ativo|</t>
        </r>
      </text>
    </comment>
    <comment ref="X387" authorId="0" shapeId="0" xr:uid="{00000000-0006-0000-0000-0000B6010000}">
      <text>
        <r>
          <rPr>
            <sz val="10"/>
            <color indexed="81"/>
            <rFont val="Lucida Console"/>
            <family val="3"/>
          </rPr>
          <t>33612|ARAME DE ACO CARBONO GALVANIZADO - BWG N° 16 (1,65 MM)|1|67|14|PARAFUSOS ELEM. VEDACAO UNIAO CONEX . FIXACAO|MSE|Padrão|4|6|24|Ativo|</t>
        </r>
      </text>
    </comment>
    <comment ref="X388" authorId="0" shapeId="0" xr:uid="{00000000-0006-0000-0000-0000B7010000}">
      <text>
        <r>
          <rPr>
            <sz val="10"/>
            <color indexed="81"/>
            <rFont val="Lucida Console"/>
            <family val="3"/>
          </rPr>
          <t>102690|ELETROCALHA PERFURADA C/TAMPA C/FECHAMENTO POR PRESSAO, GALVANIZADA - LARGURA 200 X 50MM|1|69|5|METAIS,LAMINAD.,PERFILADOS E ARTEFATOS METALICOS|MSE|Padrão|4|2|8|Ativo|</t>
        </r>
      </text>
    </comment>
    <comment ref="X389" authorId="0" shapeId="0" xr:uid="{00000000-0006-0000-0000-0000B8010000}">
      <text>
        <r>
          <rPr>
            <sz val="10"/>
            <color indexed="81"/>
            <rFont val="Lucida Console"/>
            <family val="3"/>
          </rPr>
          <t>132303|PAPEL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MARGEM|1|57|17|MAQ. E EQUIP. P/ IND. GRAFICA COMP. ACESS. E PAPEI|EDU|Padrão|4|2084|8336|Ativo|</t>
        </r>
      </text>
    </comment>
    <comment ref="X390" authorId="0" shapeId="0" xr:uid="{00000000-0006-0000-0000-0000B9010000}">
      <text>
        <r>
          <rPr>
            <sz val="10"/>
            <color indexed="81"/>
            <rFont val="Lucida Console"/>
            <family val="3"/>
          </rPr>
          <t>20554|REBITE DE REPUCHO EM ALUMINIO C/ MANDRIL DE ACO 4 X 12 MM|1|67|7|PARAFUSOS ELEM. VEDACAO UNIAO CONEX . FIXACAO|MSE|Padrão|4|1321|5284|Ativo|</t>
        </r>
      </text>
    </comment>
    <comment ref="X391" authorId="0" shapeId="0" xr:uid="{00000000-0006-0000-0000-0000BA010000}">
      <text>
        <r>
          <rPr>
            <sz val="10"/>
            <color indexed="81"/>
            <rFont val="Lucida Console"/>
            <family val="3"/>
          </rPr>
          <t>134558|PONTEIRA PLASTICA INTERNA NA COR PRETA PARA TUBO QUADRADO DE 1"|1|70|16|FERRAMENTAS MAQ.FERRAMENTAS,ELETR.PECAS E ACESSORI|MAN|Padrão|4|45|180|Ativo|</t>
        </r>
      </text>
    </comment>
    <comment ref="L392" authorId="4" shapeId="0" xr:uid="{00000000-0006-0000-0000-0000BB010000}">
      <text>
        <r>
          <rPr>
            <sz val="10"/>
            <color indexed="81"/>
            <rFont val="Lucida Console"/>
            <family val="3"/>
          </rPr>
          <t>_x000D_
Alterado em 03.08.2020_x000D_
Anterior = 45</t>
        </r>
      </text>
    </comment>
    <comment ref="M392" authorId="4" shapeId="0" xr:uid="{00000000-0006-0000-0000-0000BC010000}">
      <text>
        <r>
          <rPr>
            <sz val="10"/>
            <color indexed="81"/>
            <rFont val="Lucida Console"/>
            <family val="3"/>
          </rPr>
          <t>_x000D_
Alterado em 03.08.2020_x000D_
Anterior = 01.08.2020</t>
        </r>
      </text>
    </comment>
    <comment ref="X392" authorId="0" shapeId="0" xr:uid="{00000000-0006-0000-0000-0000BD010000}">
      <text>
        <r>
          <rPr>
            <sz val="10"/>
            <color indexed="81"/>
            <rFont val="Lucida Console"/>
            <family val="3"/>
          </rPr>
          <t>51579|GRAMPEADOR GRANDE, TAMANHO 26/6|1|45|12|MAQ., EQUIP., COMP., ACES., MAT. PARA ESCRIT.E ESCOLAR|EDU|Padrão|4|125|500|Ativo|</t>
        </r>
      </text>
    </comment>
    <comment ref="X393" authorId="0" shapeId="0" xr:uid="{00000000-0006-0000-0000-0000BE010000}">
      <text>
        <r>
          <rPr>
            <sz val="10"/>
            <color indexed="81"/>
            <rFont val="Lucida Console"/>
            <family val="3"/>
          </rPr>
          <t>106038|CONECTOR RJ-45 FEMEA, PARA CABO UTP CATEGORIA 6|1|60|21|COMPUT.SOFT. PROCES. EQUIP. SUPRI. COMP. ACESS. INFORMAT|INF|Padrão|4|35|140|Ativo|</t>
        </r>
      </text>
    </comment>
    <comment ref="X394" authorId="0" shapeId="0" xr:uid="{00000000-0006-0000-0000-0000BF010000}">
      <text>
        <r>
          <rPr>
            <sz val="10"/>
            <color indexed="81"/>
            <rFont val="Lucida Console"/>
            <family val="3"/>
          </rPr>
          <t>19842|PROTETOR DE CABELO TIPO REDE EM NYLON PRETA|1|62|12|VEST., ART.P/ TOUC.E HIG. PES. MAQ., EQUIP., MAT.E ACES.|ADM|Padrão|4|532|2128|Ativo|</t>
        </r>
      </text>
    </comment>
    <comment ref="X395" authorId="0" shapeId="0" xr:uid="{00000000-0006-0000-0000-0000C0010000}">
      <text>
        <r>
          <rPr>
            <sz val="10"/>
            <color indexed="81"/>
            <rFont val="Lucida Console"/>
            <family val="3"/>
          </rPr>
          <t>125262|PISO DE BORRACHA MODELO I, COR: AMARELO, NA MEDIDA 335 X 255 X 20 MM.|1|51|21|MAT.E EQUIP. P/ CONSTR.CIVIL E CONSERV. DE VIAS PUBL.|MCO|Padrão|4|62|248|Ativo|</t>
        </r>
      </text>
    </comment>
    <comment ref="X396" authorId="0" shapeId="0" xr:uid="{00000000-0006-0000-0000-0000C1010000}">
      <text>
        <r>
          <rPr>
            <sz val="10"/>
            <color indexed="81"/>
            <rFont val="Lucida Console"/>
            <family val="3"/>
          </rPr>
          <t>13539|APAGADOR PARA QUADRO BRANCO - NAO MAGNETICO|1|45|17|MAQ., EQUIP., COMP., ACES., MAT. PARA ESCRIT.E ESCOLAR|EDU|Padrão|4|257|1028|Ativo|</t>
        </r>
      </text>
    </comment>
    <comment ref="X397" authorId="0" shapeId="0" xr:uid="{00000000-0006-0000-0000-0000C2010000}">
      <text>
        <r>
          <rPr>
            <sz val="10"/>
            <color indexed="81"/>
            <rFont val="Lucida Console"/>
            <family val="3"/>
          </rPr>
          <t>133450|LIVRO DE ATA, CAPA DURA, COM 50 FOLHAS - MEDIDA: 206 X 300 MM (VARIACAO +/- 6 MM)|1|45|11|MAQ., EQUIP., COMP., ACES., MAT. PARA ESCRIT.E ESCOLAR|EDU|Padrão|4|65|260|Ativo|</t>
        </r>
      </text>
    </comment>
    <comment ref="A398" authorId="0" shapeId="0" xr:uid="{00000000-0006-0000-0000-0000C3010000}">
      <text>
        <r>
          <rPr>
            <sz val="10"/>
            <color indexed="81"/>
            <rFont val="Lucida Console"/>
            <family val="3"/>
          </rPr>
          <t>Mantido o valor anterior</t>
        </r>
      </text>
    </comment>
    <comment ref="X398" authorId="0" shapeId="0" xr:uid="{00000000-0006-0000-0000-0000C4010000}">
      <text>
        <r>
          <rPr>
            <sz val="10"/>
            <color indexed="81"/>
            <rFont val="Lucida Console"/>
            <family val="3"/>
          </rPr>
          <t>834|PAPEL DE SEDA - 48 X 60 CM - VERDE ESCURO|1|57|2|MAQ. E EQUIP. P/ IND. GRAFICA COMP. ACESS. E PAPEI|EDU|Padrão|4|1250|5000|Ativo|</t>
        </r>
      </text>
    </comment>
    <comment ref="J399" authorId="1" shapeId="0" xr:uid="{00000000-0006-0000-0000-0000C5010000}">
      <text>
        <r>
          <rPr>
            <b/>
            <sz val="9"/>
            <color indexed="81"/>
            <rFont val="Segoe UI"/>
            <family val="2"/>
          </rPr>
          <t>Marcos:</t>
        </r>
        <r>
          <rPr>
            <sz val="9"/>
            <color indexed="81"/>
            <rFont val="Segoe UI"/>
            <family val="2"/>
          </rPr>
          <t xml:space="preserve">
O número foi aumentado devido a aumento de demanda recente por construção de novas salas e escolas.</t>
        </r>
      </text>
    </comment>
    <comment ref="X399" authorId="0" shapeId="0" xr:uid="{00000000-0006-0000-0000-0000C6010000}">
      <text>
        <r>
          <rPr>
            <sz val="10"/>
            <color indexed="81"/>
            <rFont val="Lucida Console"/>
            <family val="3"/>
          </rPr>
          <t>134373|LAMPADA LED TUBULAR T8.|1|55|66|EQUIP. MAT. P/ GERACAO, TRANSM. DISTR. RETIF...|MEL|Padrão|4|1000|4000|Ativo|</t>
        </r>
      </text>
    </comment>
    <comment ref="X400" authorId="0" shapeId="0" xr:uid="{00000000-0006-0000-0000-0000C7010000}">
      <text>
        <r>
          <rPr>
            <sz val="10"/>
            <color indexed="81"/>
            <rFont val="Lucida Console"/>
            <family val="3"/>
          </rPr>
          <t>129961|DISJUNTOR TRIPOLAR IN 350 A, TENSAO MINIMA DE OPERACAO 220 V, CURVA C, NBR 60947-2, CATEGORIA A|1|55|26|EQUIP. MAT. P/ GERACAO, TRANSM. DISTR. RETIF...|MEL|Padrão|4|1,9|7,6|Ativo|</t>
        </r>
      </text>
    </comment>
    <comment ref="X401" authorId="0" shapeId="0" xr:uid="{00000000-0006-0000-0000-0000C8010000}">
      <text>
        <r>
          <rPr>
            <sz val="10"/>
            <color indexed="81"/>
            <rFont val="Lucida Console"/>
            <family val="3"/>
          </rPr>
          <t>35555|LIXA DE PAPEL P/ MADEIRA EM FOLHA DE 225 X 275 MM - N° 120|1|83|2|ABRASIVOS|MAN|Padrão|4|17|68|Ativo|</t>
        </r>
      </text>
    </comment>
    <comment ref="X402" authorId="0" shapeId="0" xr:uid="{00000000-0006-0000-0000-0000C9010000}">
      <text>
        <r>
          <rPr>
            <sz val="10"/>
            <color indexed="81"/>
            <rFont val="Lucida Console"/>
            <family val="3"/>
          </rPr>
          <t>88876|ALAVANCA EM FERRO  PARA VITRO, TAMANHO PADRAO|1|51|26|MAT.E EQUIP. P/ CONSTR.CIVIL E CONSERV. DE VIAS PUBL.|MCO|Padrão|4|17|68|Ativo|</t>
        </r>
      </text>
    </comment>
    <comment ref="X403" authorId="0" shapeId="0" xr:uid="{00000000-0006-0000-0000-0000CA010000}">
      <text>
        <r>
          <rPr>
            <sz val="10"/>
            <color indexed="81"/>
            <rFont val="Lucida Console"/>
            <family val="3"/>
          </rPr>
          <t>136082|TOMADA PADRAO NBR 14136 COM 2 TOMADAS 2P + T DE 10A/250V DE EMBUTIR COM ESPELHO COR BRANCA PARA CAIXA 4X2.|1|55|37|EQUIP. MAT. P/ GERACAO, TRANSM. DISTR. RETIF...|MEL|Padrão|4|17|68|Ativo|</t>
        </r>
      </text>
    </comment>
    <comment ref="X404" authorId="0" shapeId="0" xr:uid="{00000000-0006-0000-0000-0000CB010000}">
      <text>
        <r>
          <rPr>
            <sz val="10"/>
            <color indexed="81"/>
            <rFont val="Lucida Console"/>
            <family val="3"/>
          </rPr>
          <t>12950|LUVA DE PVC RIGIDO SOLDAVEL DE 1.1/2"|1|61|8|MATERIAL HIDRAULICO, CANOS, TUBOS, MANGUEIRAS, CONEXOES E ACESS.|MHI|Padrão|4|17|68|Ativo|</t>
        </r>
      </text>
    </comment>
    <comment ref="X405" authorId="0" shapeId="0" xr:uid="{00000000-0006-0000-0000-0000CC010000}">
      <text>
        <r>
          <rPr>
            <sz val="10"/>
            <color indexed="81"/>
            <rFont val="Lucida Console"/>
            <family val="3"/>
          </rPr>
          <t>104667|VALVULA DE DESCARGA, EM LATAO, COM DIAMETRO NOMINAL DE 40 MM (1 1/2")|1|61|15|MATERIAL HIDRAULICO, CANOS, TUBOS, MANGUEIRAS, CONEXOES E ACESS.|MHI|Padrão|4|17|68|Ativo|</t>
        </r>
      </text>
    </comment>
    <comment ref="X406" authorId="0" shapeId="0" xr:uid="{00000000-0006-0000-0000-0000CD010000}">
      <text>
        <r>
          <rPr>
            <sz val="10"/>
            <color indexed="81"/>
            <rFont val="Lucida Console"/>
            <family val="3"/>
          </rPr>
          <t>18358|PREGO COMUM DE CABECA CHATA - 18 X 30|1|67|6|PARAFUSOS ELEM. VEDACAO UNIAO CONEX . FIXACAO|MSE|Padrão|4|15|60|Ativo|</t>
        </r>
      </text>
    </comment>
    <comment ref="X407" authorId="0" shapeId="0" xr:uid="{00000000-0006-0000-0000-0000CE010000}">
      <text>
        <r>
          <rPr>
            <sz val="10"/>
            <color indexed="81"/>
            <rFont val="Lucida Console"/>
            <family val="3"/>
          </rPr>
          <t>138463|LAPIS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FSC.|1|45|9|MAQ., EQUIP., COMP., ACES., MAT. PARA ESCRIT.E ESCOLAR|EDU|Padrão|4|2067|8268|Ativo|</t>
        </r>
      </text>
    </comment>
    <comment ref="X408" authorId="0" shapeId="0" xr:uid="{00000000-0006-0000-0000-0000CF010000}">
      <text>
        <r>
          <rPr>
            <sz val="10"/>
            <color indexed="81"/>
            <rFont val="Lucida Console"/>
            <family val="3"/>
          </rPr>
          <t>83839|LUVA DE LATEX PARA PROCEDIMENTO, TAM. G.|1|54|4|EQUIP PROT IND, INST MAT P/ SINAL, CONTR, COMB ...|MAN|Padrão|4|382|1528|Ativo|</t>
        </r>
      </text>
    </comment>
    <comment ref="X409" authorId="0" shapeId="0" xr:uid="{00000000-0006-0000-0000-0000D0010000}">
      <text>
        <r>
          <rPr>
            <sz val="10"/>
            <color indexed="81"/>
            <rFont val="Lucida Console"/>
            <family val="3"/>
          </rPr>
          <t>28184|ADAPTADOR EM PVC RIGIDO SOLDAVEL DE 1"|1|61|8|MATERIAL HIDRAULICO, CANOS, TUBOS, MANGUEIRAS, CONEXOES E ACESS.|MHI|Padrão|4|13|52|Ativo|</t>
        </r>
      </text>
    </comment>
    <comment ref="X410" authorId="0" shapeId="0" xr:uid="{00000000-0006-0000-0000-0000D1010000}">
      <text>
        <r>
          <rPr>
            <sz val="10"/>
            <color indexed="81"/>
            <rFont val="Lucida Console"/>
            <family val="3"/>
          </rPr>
          <t>74979|LUVA DESLIZANTE EM PVC COM ANEL - MARROM - 1 1/2"|1|61|8|MATERIAL HIDRAULICO, CANOS, TUBOS, MANGUEIRAS, CONEXOES E ACESS.|MHI|Padrão|4|13|52|Ativo|</t>
        </r>
      </text>
    </comment>
    <comment ref="X411" authorId="0" shapeId="0" xr:uid="{00000000-0006-0000-0000-0000D2010000}">
      <text>
        <r>
          <rPr>
            <sz val="10"/>
            <color indexed="81"/>
            <rFont val="Lucida Console"/>
            <family val="3"/>
          </rPr>
          <t>14831|SOQUETE DE PORCELANA E-27 P/ LAMPADA INCANDESCENTE|1|55|27|EQUIP. MAT. P/ GERACAO, TRANSM. DISTR. RETIF...|MEL|Padrão|4|50|200|Ativo|</t>
        </r>
      </text>
    </comment>
    <comment ref="X412" authorId="0" shapeId="0" xr:uid="{00000000-0006-0000-0000-0000D3010000}">
      <text>
        <r>
          <rPr>
            <sz val="10"/>
            <color indexed="81"/>
            <rFont val="Lucida Console"/>
            <family val="3"/>
          </rPr>
          <t>107790|CONTROLADOR ROTATIVO DE VELOCIDADE COM CHAVE PARA VENTILADORES|1|50|3|EQUIP. P/ COND. VENT. PURIF. DE AR, COMPONENTES E ACES.|MAN|Padrão|4|22|88|Ativo|</t>
        </r>
      </text>
    </comment>
    <comment ref="X413" authorId="0" shapeId="0" xr:uid="{00000000-0006-0000-0000-0000D4010000}">
      <text>
        <r>
          <rPr>
            <sz val="10"/>
            <color indexed="81"/>
            <rFont val="Lucida Console"/>
            <family val="3"/>
          </rPr>
          <t>81566|REPARO P/ VALVULA DE DESCARGA - MARCA HYDRA-MAX|1|61|15|MATERIAL HIDRAULICO, CANOS, TUBOS, MANGUEIRAS, CONEXOES E ACESS.|MHI|Padrão|4|31|124|Ativo|</t>
        </r>
      </text>
    </comment>
    <comment ref="X414" authorId="0" shapeId="0" xr:uid="{00000000-0006-0000-0000-0000D5010000}">
      <text>
        <r>
          <rPr>
            <sz val="10"/>
            <color indexed="81"/>
            <rFont val="Lucida Console"/>
            <family val="3"/>
          </rPr>
          <t>12835|ADAPTADOR DE PVC SOLDAVEL 3/4"|1|61|8|MATERIAL HIDRAULICO, CANOS, TUBOS, MANGUEIRAS, CONEXOES E ACESS.|MHI|Padrão|4|40|160|Ativo|</t>
        </r>
      </text>
    </comment>
    <comment ref="X415" authorId="0" shapeId="0" xr:uid="{00000000-0006-0000-0000-0000D6010000}">
      <text>
        <r>
          <rPr>
            <sz val="10"/>
            <color indexed="81"/>
            <rFont val="Lucida Console"/>
            <family val="3"/>
          </rPr>
          <t>18353|PREGO COMUM DE CABECA CHATA - 17 X 21|1|67|6|PARAFUSOS ELEM. VEDACAO UNIAO CONEX . FIXACAO|MSE|Padrão|4|20|80|Ativo|</t>
        </r>
      </text>
    </comment>
    <comment ref="X416" authorId="0" shapeId="0" xr:uid="{00000000-0006-0000-0000-0000D7010000}">
      <text>
        <r>
          <rPr>
            <sz val="10"/>
            <color indexed="81"/>
            <rFont val="Lucida Console"/>
            <family val="3"/>
          </rPr>
          <t>88838|LIXA PARA PAREDE - 120|1|83|2|ABRASIVOS|MAN|Padrão|4|125|500|Ativo|</t>
        </r>
      </text>
    </comment>
    <comment ref="X417" authorId="0" shapeId="0" xr:uid="{00000000-0006-0000-0000-0000D8010000}">
      <text>
        <r>
          <rPr>
            <sz val="10"/>
            <color indexed="81"/>
            <rFont val="Lucida Console"/>
            <family val="3"/>
          </rPr>
          <t>16053|ADESIVO P/ CHAPISCO, CONCRETO E ARGAMASSA - BALDE C/18 LITROS|1|51|33|MAT.E EQUIP. P/ CONSTR.CIVIL E CONSERV. DE VIAS PUBL.|MCO|Padrão|4|9|36|Ativo|</t>
        </r>
      </text>
    </comment>
    <comment ref="X418" authorId="0" shapeId="0" xr:uid="{00000000-0006-0000-0000-0000D9010000}">
      <text>
        <r>
          <rPr>
            <sz val="10"/>
            <color indexed="81"/>
            <rFont val="Lucida Console"/>
            <family val="3"/>
          </rPr>
          <t>64636|LUVA DE REDUCAO EM PVC RIGIDO - MARROM - SOLDAVEL - 1.1/2"|1|61|8|MATERIAL HIDRAULICO, CANOS, TUBOS, MANGUEIRAS, CONEXOES E ACESS.|MHI|Padrão|4|9|36|Ativo|</t>
        </r>
      </text>
    </comment>
    <comment ref="X419" authorId="0" shapeId="0" xr:uid="{00000000-0006-0000-0000-0000DA010000}">
      <text>
        <r>
          <rPr>
            <sz val="10"/>
            <color indexed="81"/>
            <rFont val="Lucida Console"/>
            <family val="3"/>
          </rPr>
          <t>80390|VALVULA AMERICANA 3 1/2" X 1 1/2" EM INOX|1|61|15|MATERIAL HIDRAULICO, CANOS, TUBOS, MANGUEIRAS, CONEXOES E ACESS.|MHI|Padrão|4|9|36|Ativo|</t>
        </r>
      </text>
    </comment>
    <comment ref="X420" authorId="0" shapeId="0" xr:uid="{00000000-0006-0000-0000-0000DB010000}">
      <text>
        <r>
          <rPr>
            <sz val="10"/>
            <color indexed="81"/>
            <rFont val="Lucida Console"/>
            <family val="3"/>
          </rPr>
          <t>106375|TELHA EM CIMENTO REFORCADO|1|51|17|MAT.E EQUIP. P/ CONSTR.CIVIL E CONSERV. DE VIAS PUBL.|MCO|Padrão|4|59|236|Ativo|</t>
        </r>
      </text>
    </comment>
    <comment ref="X421" authorId="0" shapeId="0" xr:uid="{00000000-0006-0000-0000-0000DC010000}">
      <text>
        <r>
          <rPr>
            <sz val="10"/>
            <color indexed="81"/>
            <rFont val="Lucida Console"/>
            <family val="3"/>
          </rPr>
          <t>27287|FERRO CHATO 1 X 1/ 8" BARRA C/ 06 METROS|1|51|13|MAT.E EQUIP. P/ CONSTR.CIVIL E CONSERV. DE VIAS PUBL.|MCO|Padrão|4|50|200|Ativo|</t>
        </r>
      </text>
    </comment>
    <comment ref="X422" authorId="0" shapeId="0" xr:uid="{00000000-0006-0000-0000-0000DD010000}">
      <text>
        <r>
          <rPr>
            <sz val="10"/>
            <color indexed="81"/>
            <rFont val="Lucida Console"/>
            <family val="3"/>
          </rPr>
          <t>133301|SOQUETE PARA BASE G13|1|55|27|EQUIP. MAT. P/ GERACAO, TRANSM. DISTR. RETIF...|MEL|Padrão|4|355|1420|Ativo|</t>
        </r>
      </text>
    </comment>
    <comment ref="X423" authorId="0" shapeId="0" xr:uid="{00000000-0006-0000-0000-0000DE010000}">
      <text>
        <r>
          <rPr>
            <sz val="10"/>
            <color indexed="81"/>
            <rFont val="Lucida Console"/>
            <family val="3"/>
          </rPr>
          <t>47447|CARTOLINA - VERDE CLARO - 50 X 66 CM - GRAMATURA 180G/M2|1|57|16|MAQ. E EQUIP. P/ IND. GRAFICA COMP. ACESS. E PAPEI|EDU|Padrão|4|2084|8336|Ativo|</t>
        </r>
      </text>
    </comment>
    <comment ref="X424" authorId="0" shapeId="0" xr:uid="{00000000-0006-0000-0000-0000DF010000}">
      <text>
        <r>
          <rPr>
            <sz val="10"/>
            <color indexed="81"/>
            <rFont val="Lucida Console"/>
            <family val="3"/>
          </rPr>
          <t>13991|CESTO DE PLASTICO P/ LIXO, 6 LITROS - FECHADO|1|72|6|MAQ.EQUIP.E MATERIAIS P/ HIGIEN.LIMP.POLIM.E LUBR.|ADM|Padrão|4|46|184|Ativo|</t>
        </r>
      </text>
    </comment>
    <comment ref="X425" authorId="0" shapeId="0" xr:uid="{00000000-0006-0000-0000-0000E0010000}">
      <text>
        <r>
          <rPr>
            <sz val="10"/>
            <color indexed="81"/>
            <rFont val="Lucida Console"/>
            <family val="3"/>
          </rPr>
          <t>133371|ELETRODO REVESTIDO PARA SOLDA 2,5 MM - NORMA AWS E-6013|1|70|33|FERRAMENTAS MAQ.FERRAMENTAS,ELETR.PECAS E ACESSORI|MAN|Padrão|4|60|240|Ativo|</t>
        </r>
      </text>
    </comment>
    <comment ref="X426" authorId="0" shapeId="0" xr:uid="{00000000-0006-0000-0000-0000E1010000}">
      <text>
        <r>
          <rPr>
            <sz val="10"/>
            <color indexed="81"/>
            <rFont val="Lucida Console"/>
            <family val="3"/>
          </rPr>
          <t>13197|DOBRADICA DE FERRO POLIDO 1.1/2"|1|51|8|MAT.E EQUIP. P/ CONSTR.CIVIL E CONSERV. DE VIAS PUBL.|MCO|Padrão|4|14|56|Ativo|</t>
        </r>
      </text>
    </comment>
    <comment ref="X427" authorId="0" shapeId="0" xr:uid="{00000000-0006-0000-0000-0000E2010000}">
      <text>
        <r>
          <rPr>
            <sz val="10"/>
            <color indexed="81"/>
            <rFont val="Lucida Console"/>
            <family val="3"/>
          </rPr>
          <t>135300|COTOVELO 45°, EM PVC SOLDAVEL PARA AGUA, MARROM, 2" (50 MM), DE ACORDO COM A NBR 5648. TODAS AS INFORMACOES DEVERAO ESTAR LITOGRAFADAS NA PECA.|1|61|8|MATERIAL HIDRAULICO, CANOS, TUBOS, MANGUEIRAS, CONEXOES E ACESS.|MHI|Padrão|4|7|28|Ativo|</t>
        </r>
      </text>
    </comment>
    <comment ref="X428" authorId="0" shapeId="0" xr:uid="{00000000-0006-0000-0000-0000E3010000}">
      <text>
        <r>
          <rPr>
            <sz val="10"/>
            <color indexed="81"/>
            <rFont val="Lucida Console"/>
            <family val="3"/>
          </rPr>
          <t>35256|CANTONEIRA EM ALUMINIO - 10 MM DE VAO - BR C/ 3 METROS  (P/|1|69|3|METAIS,LAMINAD.,PERFILADOS E ARTEFATOS METALICOS|MSE|Padrão|4|21|84|Ativo|</t>
        </r>
      </text>
    </comment>
    <comment ref="X429" authorId="0" shapeId="0" xr:uid="{00000000-0006-0000-0000-0000E4010000}">
      <text>
        <r>
          <rPr>
            <sz val="10"/>
            <color indexed="81"/>
            <rFont val="Lucida Console"/>
            <family val="3"/>
          </rPr>
          <t>82995|GONZO COM ABAS N. 3 (65MM)|1|51|8|MAT.E EQUIP. P/ CONSTR.CIVIL E CONSERV. DE VIAS PUBL.|MCO|Padrão|4|59|236|Ativo|</t>
        </r>
      </text>
    </comment>
    <comment ref="X430" authorId="0" shapeId="0" xr:uid="{00000000-0006-0000-0000-0000E5010000}">
      <text>
        <r>
          <rPr>
            <sz val="10"/>
            <color indexed="81"/>
            <rFont val="Lucida Console"/>
            <family val="3"/>
          </rPr>
          <t>42854|VELA(REFIL), PARA FILTRO MOD. AP 055|1|49|8|EQUIP. P/REFR. PURIF. ADUCAO DE AGUA E TRAT. DE ESGOTO|MHI|Padrão|4|128|512|Ativo|</t>
        </r>
      </text>
    </comment>
    <comment ref="X431" authorId="0" shapeId="0" xr:uid="{00000000-0006-0000-0000-0000E6010000}">
      <text>
        <r>
          <rPr>
            <sz val="10"/>
            <color indexed="81"/>
            <rFont val="Lucida Console"/>
            <family val="3"/>
          </rPr>
          <t>136408|COLA BRANCA LIQUIDA LAVAVEL. MINIMO 90 G, COM BICO APLICADOR ECONOMICO, COMPOSICAO: RESINA DE PVA. PRODUTO DEVERA ESTAR DE ACORDO COM A NORMA DE SEGURANCA DE ARTIGOS ESCOLARES. PRODUTO CERTIFICADO PELO INMETRO E COM CODIGO DE BARRAS NO PRODUTO.|1|45|14|MAQ., EQUIP., COMP., ACES., MAT. PARA ESCRIT.E ESCOLAR|EDU|Padrão|4|3036|12144|Ativo|</t>
        </r>
      </text>
    </comment>
    <comment ref="X432" authorId="0" shapeId="0" xr:uid="{00000000-0006-0000-0000-0000E7010000}">
      <text>
        <r>
          <rPr>
            <sz val="10"/>
            <color indexed="81"/>
            <rFont val="Lucida Console"/>
            <family val="3"/>
          </rPr>
          <t>37528|PARAFUSO CABECA REDONDA P/ FIXACAO DE VASO SANITARIO - 4,5|1|67|1|PARAFUSOS ELEM. VEDACAO UNIAO CONEX . FIXACAO|MSE|Padrão|4|84|336|Ativo|</t>
        </r>
      </text>
    </comment>
    <comment ref="X433" authorId="0" shapeId="0" xr:uid="{00000000-0006-0000-0000-0000E8010000}">
      <text>
        <r>
          <rPr>
            <sz val="10"/>
            <color indexed="81"/>
            <rFont val="Lucida Console"/>
            <family val="3"/>
          </rPr>
          <t>74976|LUVA DESLIZANTE EM PVC COM ANEL - MARROM - 3/4"|1|61|8|MATERIAL HIDRAULICO, CANOS, TUBOS, MANGUEIRAS, CONEXOES E ACESS.|MHI|Padrão|4|17|68|Ativo|</t>
        </r>
      </text>
    </comment>
    <comment ref="X434" authorId="0" shapeId="0" xr:uid="{00000000-0006-0000-0000-0000E9010000}">
      <text>
        <r>
          <rPr>
            <sz val="10"/>
            <color indexed="81"/>
            <rFont val="Lucida Console"/>
            <family val="3"/>
          </rPr>
          <t>24500|CANOPLA COMPLETA P/ VALVULA DE DESCARGA|1|61|14|MATERIAL HIDRAULICO, CANOS, TUBOS, MANGUEIRAS, CONEXOES E ACESS.|MHI|Padrão|4|17|68|Ativo|</t>
        </r>
      </text>
    </comment>
    <comment ref="X435" authorId="0" shapeId="0" xr:uid="{00000000-0006-0000-0000-0000EA010000}">
      <text>
        <r>
          <rPr>
            <sz val="10"/>
            <color indexed="81"/>
            <rFont val="Lucida Console"/>
            <family val="3"/>
          </rPr>
          <t>15066|REPARO P/ VALVULA DE DESCARGA 1 1/2" (MARCA DOCOL)|1|61|15|MATERIAL HIDRAULICO, CANOS, TUBOS, MANGUEIRAS, CONEXOES E ACESS.|MHI|Padrão|4|17|68|Ativo|</t>
        </r>
      </text>
    </comment>
    <comment ref="X436" authorId="0" shapeId="0" xr:uid="{00000000-0006-0000-0000-0000EB010000}">
      <text>
        <r>
          <rPr>
            <sz val="10"/>
            <color indexed="81"/>
            <rFont val="Lucida Console"/>
            <family val="3"/>
          </rPr>
          <t>114923|PARAFUSO CABECA FRANCESA 3/16 X 2" COM ARRUELA E PORCA|1|67|18|PARAFUSOS ELEM. VEDACAO UNIAO CONEX . FIXACAO|MSE|Padrão|4|172|688|Ativo|</t>
        </r>
      </text>
    </comment>
    <comment ref="X437" authorId="0" shapeId="0" xr:uid="{00000000-0006-0000-0000-0000EC010000}">
      <text>
        <r>
          <rPr>
            <sz val="10"/>
            <color indexed="81"/>
            <rFont val="Lucida Console"/>
            <family val="3"/>
          </rPr>
          <t>118427|TABUA DE CAMBARA DE 1ª, 25 X 300 MM, BRUTA|1|74|2|MADEIRAS,LAMINADOS,COMPENSADOS E AGLOMERADOS|MCO|Padrão|4|467|1868|Ativo|</t>
        </r>
      </text>
    </comment>
    <comment ref="X438" authorId="0" shapeId="0" xr:uid="{00000000-0006-0000-0000-0000ED010000}">
      <text>
        <r>
          <rPr>
            <sz val="10"/>
            <color indexed="81"/>
            <rFont val="Lucida Console"/>
            <family val="3"/>
          </rPr>
          <t>118577|PISO HIDRAULICO, ANTIDERRAPANTE, COR CINZA.|1|51|21|MAT.E EQUIP. P/ CONSTR.CIVIL E CONSERV. DE VIAS PUBL.|MCO|Padrão|4|47|188|Ativo|</t>
        </r>
      </text>
    </comment>
    <comment ref="X439" authorId="0" shapeId="0" xr:uid="{00000000-0006-0000-0000-0000EE010000}">
      <text>
        <r>
          <rPr>
            <sz val="10"/>
            <color indexed="81"/>
            <rFont val="Lucida Console"/>
            <family val="3"/>
          </rPr>
          <t>81131|PALHA DE ACO Nº 01 - PACOTE COM 25  A 30 GRAMAS|1|72|6|MAQ.EQUIP.E MATERIAIS P/ HIGIEN.LIMP.POLIM.E LUBR.|ADM|Padrão|4|10|40|Ativo|</t>
        </r>
      </text>
    </comment>
    <comment ref="X440" authorId="0" shapeId="0" xr:uid="{00000000-0006-0000-0000-0000EF010000}">
      <text>
        <r>
          <rPr>
            <sz val="10"/>
            <color indexed="81"/>
            <rFont val="Lucida Console"/>
            <family val="3"/>
          </rPr>
          <t>93139|FITA PLASTICA P/ ISOLAMENTO DE TRAFEGO PRETA/AMARELA - ROLO COM 100 M|1|54|8|EQUIP PROT IND, INST MAT P/ SINAL, CONTR, COMB ...|MAN|Padrão|4|15|60|Ativo|</t>
        </r>
      </text>
    </comment>
    <comment ref="X441" authorId="0" shapeId="0" xr:uid="{00000000-0006-0000-0000-0000F0010000}">
      <text>
        <r>
          <rPr>
            <sz val="10"/>
            <color indexed="81"/>
            <rFont val="Lucida Console"/>
            <family val="3"/>
          </rPr>
          <t>42566|FOLHA DE PORTA - EM IMBUIA - 0,92 X 2,10 M|1|51|28|MAT.E EQUIP. P/ CONSTR.CIVIL E CONSERV. DE VIAS PUBL.|MCO|Padrão|4|5|20|Ativo|</t>
        </r>
      </text>
    </comment>
    <comment ref="X442" authorId="0" shapeId="0" xr:uid="{4D2F05FE-2287-4858-BC05-75B968058371}">
      <text>
        <r>
          <rPr>
            <sz val="9"/>
            <color indexed="81"/>
            <rFont val="Segoe UI"/>
            <family val="2"/>
          </rPr>
          <t>49033|FOLHA DE PORTA EM IMBUIA - MED: 0,82 X 2,10 M|1|51|28|MAT.E EQUIP. P/ CONSTR.CIVIL E CONSERV. DE VIAS PUBL.|MCO|Padrão|4|4|16|Ativo|</t>
        </r>
      </text>
    </comment>
    <comment ref="X443" authorId="0" shapeId="0" xr:uid="{00000000-0006-0000-0000-0000F2010000}">
      <text>
        <r>
          <rPr>
            <sz val="10"/>
            <color indexed="81"/>
            <rFont val="Lucida Console"/>
            <family val="3"/>
          </rPr>
          <t>56520|FOLHA DE PORTA TIPO MEXICANA - MED.: 0,92 X 2,10 M|1|51|28|MAT.E EQUIP. P/ CONSTR.CIVIL E CONSERV. DE VIAS PUBL.|MCO|Padrão|4|5|20|Ativo|</t>
        </r>
      </text>
    </comment>
    <comment ref="X444" authorId="0" shapeId="0" xr:uid="{00000000-0006-0000-0000-0000F3010000}">
      <text>
        <r>
          <rPr>
            <sz val="10"/>
            <color indexed="81"/>
            <rFont val="Lucida Console"/>
            <family val="3"/>
          </rPr>
          <t>14977|TAMPO E ASSENTO P/ VASO SANITARIO ( INFANTIL )|1|51|37|MAT.E EQUIP. P/ CONSTR.CIVIL E CONSERV. DE VIAS PUBL.|MCO|Padrão|4|15|60|Ativo|</t>
        </r>
      </text>
    </comment>
    <comment ref="X445" authorId="0" shapeId="0" xr:uid="{00000000-0006-0000-0000-0000F4010000}">
      <text>
        <r>
          <rPr>
            <sz val="10"/>
            <color indexed="81"/>
            <rFont val="Lucida Console"/>
            <family val="3"/>
          </rPr>
          <t>74907|VIGA DE GARAPEIRA BRUTA - MEDIDAS: 06 CM X 16 CM X 5,50 M|1|74|3|MADEIRAS,LAMINADOS,COMPENSADOS E AGLOMERADOS|MCO|Padrão|4|5|20|Ativo|</t>
        </r>
      </text>
    </comment>
    <comment ref="X446" authorId="0" shapeId="0" xr:uid="{00000000-0006-0000-0000-0000F5010000}">
      <text>
        <r>
          <rPr>
            <sz val="10"/>
            <color indexed="81"/>
            <rFont val="Lucida Console"/>
            <family val="3"/>
          </rPr>
          <t>63839|COLA DE CONTATO P/ LAMINADO MELAMINICO - 2,8 KG|1|74|4|MADEIRAS,LAMINADOS,COMPENSADOS E AGLOMERADOS|MCO|Padrão|4|15|60|Ativo|</t>
        </r>
      </text>
    </comment>
    <comment ref="X447" authorId="0" shapeId="0" xr:uid="{00000000-0006-0000-0000-0000F6010000}">
      <text>
        <r>
          <rPr>
            <sz val="10"/>
            <color indexed="81"/>
            <rFont val="Lucida Console"/>
            <family val="3"/>
          </rPr>
          <t>112154|TOMADA 2P+T DE 20A/250V DE EMBUTIR COM ESPELHO PARA CAIXA 4X2, PADRAO NBR 14136|1|55|37|EQUIP. MAT. P/ GERACAO, TRANSM. DISTR. RETIF...|MEL|Padrão|4|35|140|Ativo|</t>
        </r>
      </text>
    </comment>
    <comment ref="X448" authorId="0" shapeId="0" xr:uid="{00000000-0006-0000-0000-0000F7010000}">
      <text>
        <r>
          <rPr>
            <sz val="10"/>
            <color indexed="81"/>
            <rFont val="Lucida Console"/>
            <family val="3"/>
          </rPr>
          <t>12821|ADAPTADOR DE PVC RIGIDO SOLDAVEL C/ FLANGE SEXTAVADA FIXO - 50 MM X 1 1/2"|1|61|8|MATERIAL HIDRAULICO, CANOS, TUBOS, MANGUEIRAS, CONEXOES E ACESS.|MHI|Padrão|4|5|20|Ativo|</t>
        </r>
      </text>
    </comment>
    <comment ref="X449" authorId="0" shapeId="0" xr:uid="{00000000-0006-0000-0000-0000F8010000}">
      <text>
        <r>
          <rPr>
            <sz val="10"/>
            <color indexed="81"/>
            <rFont val="Lucida Console"/>
            <family val="3"/>
          </rPr>
          <t>15761|COTOVELO 45 GRAUS EM PVC RIGIDO SOLDAVEL 2"|1|61|8|MATERIAL HIDRAULICO, CANOS, TUBOS, MANGUEIRAS, CONEXOES E ACESS.|MHI|Padrão|4|15|60|Ativo|</t>
        </r>
      </text>
    </comment>
    <comment ref="X450" authorId="0" shapeId="0" xr:uid="{00000000-0006-0000-0000-0000F9010000}">
      <text>
        <r>
          <rPr>
            <sz val="10"/>
            <color indexed="81"/>
            <rFont val="Lucida Console"/>
            <family val="3"/>
          </rPr>
          <t>52994|LUVA DE REDUCAO EM PVC DE 1.1/2" X 1.1/4"|1|61|8|MATERIAL HIDRAULICO, CANOS, TUBOS, MANGUEIRAS, CONEXOES E ACESS.|MHI|Padrão|4|5|20|Ativo|</t>
        </r>
      </text>
    </comment>
    <comment ref="X451" authorId="0" shapeId="0" xr:uid="{00000000-0006-0000-0000-0000FA010000}">
      <text>
        <r>
          <rPr>
            <sz val="10"/>
            <color indexed="81"/>
            <rFont val="Lucida Console"/>
            <family val="3"/>
          </rPr>
          <t>134581|TORNEIRA BOIA PARA CAIXA D´AGUA COM CORPO METALICO (LATAO) E FLUTUADOR EM PLASTICO ROSCA BSP NBR 8133 PRESSAO MAXIMA PARA FUNCIONAMENTO 150 MCA, PRESSAO MINIMA 2 MCA  BITOLA 1".|1|61|14|MATERIAL HIDRAULICO, CANOS, TUBOS, MANGUEIRAS, CONEXOES E ACESS.|MHI|Padrão|4|5|20|Ativo|</t>
        </r>
      </text>
    </comment>
    <comment ref="J452" authorId="1" shapeId="0" xr:uid="{00000000-0006-0000-0000-0000FB010000}">
      <text>
        <r>
          <rPr>
            <b/>
            <sz val="9"/>
            <color indexed="81"/>
            <rFont val="Segoe UI"/>
            <family val="2"/>
          </rPr>
          <t xml:space="preserve">
Planilha do Laércio 06/06/2019.</t>
        </r>
      </text>
    </comment>
    <comment ref="X452" authorId="0" shapeId="0" xr:uid="{00000000-0006-0000-0000-0000FC010000}">
      <text>
        <r>
          <rPr>
            <sz val="10"/>
            <color indexed="81"/>
            <rFont val="Lucida Console"/>
            <family val="3"/>
          </rPr>
          <t>20763|TINTA ACRILICA P/ DEMARCACAO DO SOLO - BALDE COM 18 LITROS - AMARELA|1|76|5|EQUIP. E MATERIAIS P/PINTURAS E IMPERMEABILIZACAO|MPI|Padrão|4|5||Ativo|</t>
        </r>
      </text>
    </comment>
    <comment ref="X453" authorId="0" shapeId="0" xr:uid="{00000000-0006-0000-0000-0000FD010000}">
      <text>
        <r>
          <rPr>
            <sz val="10"/>
            <color indexed="81"/>
            <rFont val="Lucida Console"/>
            <family val="3"/>
          </rPr>
          <t>99787|ELETRODUTO DE ACO CARBONO GALVANIZADO A FOGO - DIAMETRO 1 1/2" - BARRA COM 3 M|1|67|5|PARAFUSOS ELEM. VEDACAO UNIAO CONEX . FIXACAO|MSE|Padrão|4|5|20|Ativo|</t>
        </r>
      </text>
    </comment>
    <comment ref="X454" authorId="0" shapeId="0" xr:uid="{00000000-0006-0000-0000-0000FE010000}">
      <text>
        <r>
          <rPr>
            <sz val="10"/>
            <color indexed="81"/>
            <rFont val="Lucida Console"/>
            <family val="3"/>
          </rPr>
          <t>11857|ENVELOPE PARDO TIPO SACO - 162 X 229MM - GRAMATURA MINIMA 80 G/M²|1|45|11|MAQ., EQUIP., COMP., ACES., MAT. PARA ESCRIT.E ESCOLAR|EDU|Padrão|4|1362|5448|Ativo|</t>
        </r>
      </text>
    </comment>
    <comment ref="X455" authorId="0" shapeId="0" xr:uid="{00000000-0006-0000-0000-0000FF010000}">
      <text>
        <r>
          <rPr>
            <sz val="10"/>
            <color indexed="81"/>
            <rFont val="Lucida Console"/>
            <family val="3"/>
          </rPr>
          <t>23676|CONJUNTO DE VEDACAO PLASTICA P/ TELHA 6 MM|1|67|5|PARAFUSOS ELEM. VEDACAO UNIAO CONEX . FIXACAO|MSE|Padrão|4|270|1080|Ativo|</t>
        </r>
      </text>
    </comment>
    <comment ref="X456" authorId="0" shapeId="0" xr:uid="{00000000-0006-0000-0000-000000020000}">
      <text>
        <r>
          <rPr>
            <sz val="10"/>
            <color indexed="81"/>
            <rFont val="Lucida Console"/>
            <family val="3"/>
          </rPr>
          <t>96516|LUVA DE LATEX - TAMANHO M.|1|54|4|EQUIP PROT IND, INST MAT P/ SINAL, CONTR, COMB ...|MAN|Padrão|4|100|400|Ativo|</t>
        </r>
      </text>
    </comment>
    <comment ref="X457" authorId="0" shapeId="0" xr:uid="{00000000-0006-0000-0000-000001020000}">
      <text>
        <r>
          <rPr>
            <sz val="10"/>
            <color indexed="81"/>
            <rFont val="Lucida Console"/>
            <family val="3"/>
          </rPr>
          <t>23581|ENVELOPE BRANCO - OFICIO - 114 X 229 MM- GRAMATURA MINIMA 63 G/M²|1|45|11|MAQ., EQUIP., COMP., ACES., MAT. PARA ESCRIT.E ESCOLAR|EDU|Padrão|4|1372|5488|Ativo|</t>
        </r>
      </text>
    </comment>
    <comment ref="X458" authorId="0" shapeId="0" xr:uid="{00000000-0006-0000-0000-000002020000}">
      <text>
        <r>
          <rPr>
            <sz val="10"/>
            <color indexed="81"/>
            <rFont val="Lucida Console"/>
            <family val="3"/>
          </rPr>
          <t>130634|ISOPOR PARA FORRO, COM APLICACAO DE MASSA ACRILICA (IMPERMEAVEL), COR BRANCO, DIMENSAO: 625 X 1250 X 20 MM - VARIACAO: +/- 10 MM|1|51|24|MAT.E EQUIP. P/ CONSTR.CIVIL E CONSERV. DE VIAS PUBL.|MCO|Padrão|4|113|452|Ativo|</t>
        </r>
      </text>
    </comment>
    <comment ref="X459" authorId="0" shapeId="0" xr:uid="{00000000-0006-0000-0000-000003020000}">
      <text>
        <r>
          <rPr>
            <sz val="10"/>
            <color indexed="81"/>
            <rFont val="Lucida Console"/>
            <family val="3"/>
          </rPr>
          <t>16365|CHAPA DE MADEIRA RESINADA C/ 2,20 X 1,10 M ESP. 15,0 MM|1|74|8|MADEIRAS,LAMINADOS,COMPENSADOS E AGLOMERADOS|MCO|Padrão|4|29|116|Ativo|</t>
        </r>
      </text>
    </comment>
    <comment ref="X460" authorId="0" shapeId="0" xr:uid="{00000000-0006-0000-0000-000004020000}">
      <text>
        <r>
          <rPr>
            <sz val="10"/>
            <color indexed="81"/>
            <rFont val="Lucida Console"/>
            <family val="3"/>
          </rPr>
          <t>20558|REBITE DE REPUCHO EM ALUMINIO C/ MANDRIL DE ACO 4 X 16 MM|1|67|7|PARAFUSOS ELEM. VEDACAO UNIAO CONEX . FIXACAO|MSE|Padrão|4|650|2600|Ativo|</t>
        </r>
      </text>
    </comment>
    <comment ref="X461" authorId="0" shapeId="0" xr:uid="{00000000-0006-0000-0000-000005020000}">
      <text>
        <r>
          <rPr>
            <sz val="10"/>
            <color indexed="81"/>
            <rFont val="Lucida Console"/>
            <family val="3"/>
          </rPr>
          <t>63252|OLEO DESENGRIPANTE - 300 ML|1|72|13|MAQ.EQUIP.E MATERIAIS P/ HIGIEN.LIMP.POLIM.E LUBR.|ADM|Padrão|4|8|32|Ativo|</t>
        </r>
      </text>
    </comment>
    <comment ref="X462" authorId="0" shapeId="0" xr:uid="{00000000-0006-0000-0000-000006020000}">
      <text>
        <r>
          <rPr>
            <sz val="10"/>
            <color indexed="81"/>
            <rFont val="Lucida Console"/>
            <family val="3"/>
          </rPr>
          <t>33623|ARAME DE ACO CARBONO RECOZIDO (LISO) - BWG N° 18 (1,24 MM)|1|67|14|PARAFUSOS ELEM. VEDACAO UNIAO CONEX . FIXACAO|MSE|Padrão|4|32|128|Ativo|</t>
        </r>
      </text>
    </comment>
    <comment ref="J463" authorId="2" shapeId="0" xr:uid="{00000000-0006-0000-0000-000007020000}">
      <text>
        <r>
          <rPr>
            <b/>
            <sz val="9"/>
            <color indexed="81"/>
            <rFont val="Segoe UI"/>
            <family val="2"/>
          </rPr>
          <t>Marcos:</t>
        </r>
        <r>
          <rPr>
            <sz val="9"/>
            <color indexed="81"/>
            <rFont val="Segoe UI"/>
            <family val="2"/>
          </rPr>
          <t xml:space="preserve">
35 = Conforme estimativa de ata em 25/06/2019.</t>
        </r>
      </text>
    </comment>
    <comment ref="X463" authorId="0" shapeId="0" xr:uid="{00000000-0006-0000-0000-000008020000}">
      <text>
        <r>
          <rPr>
            <sz val="10"/>
            <color indexed="81"/>
            <rFont val="Lucida Console"/>
            <family val="3"/>
          </rPr>
          <t>64861|FERRO CHATO 3/4" X 1/8" BARRA C/ 06 METROS|1|69|8|METAIS,LAMINAD.,PERFILADOS E ARTEFATOS METALICOS|MSE|Padrão|4|35|140|Ativo|</t>
        </r>
      </text>
    </comment>
    <comment ref="L464" authorId="1" shapeId="0" xr:uid="{00000000-0006-0000-0000-000009020000}">
      <text>
        <r>
          <rPr>
            <sz val="10"/>
            <color indexed="81"/>
            <rFont val="Lucida Console"/>
            <family val="3"/>
          </rPr>
          <t>_x000D_
Alterado em 01.09.2020_x000D_
Anterior = 62</t>
        </r>
      </text>
    </comment>
    <comment ref="M464" authorId="1" shapeId="0" xr:uid="{00000000-0006-0000-0000-00000A020000}">
      <text>
        <r>
          <rPr>
            <sz val="10"/>
            <color indexed="81"/>
            <rFont val="Lucida Console"/>
            <family val="3"/>
          </rPr>
          <t>_x000D_
Alterado em 01.09.2020_x000D_
Anterior = 01.09.2020</t>
        </r>
      </text>
    </comment>
    <comment ref="X464" authorId="0" shapeId="0" xr:uid="{00000000-0006-0000-0000-00000B020000}">
      <text>
        <r>
          <rPr>
            <sz val="10"/>
            <color indexed="81"/>
            <rFont val="Lucida Console"/>
            <family val="3"/>
          </rPr>
          <t>122818|PISO DE BORRACHA MODELO I, ISENTO DE SUBSTANCIAS TOXICAS COM ABSORCAO DE IMPACTOS ANTI DERRAPANTES, NA MEDIDA 335 X255 X20 MM|1|51|21|MAT.E EQUIP. P/ CONSTR.CIVIL E CONSERV. DE VIAS PUBL.|MCO|Padrão|4|100|400|Ativo|</t>
        </r>
      </text>
    </comment>
    <comment ref="X465" authorId="0" shapeId="0" xr:uid="{00000000-0006-0000-0000-00000C020000}">
      <text>
        <r>
          <rPr>
            <sz val="10"/>
            <color indexed="81"/>
            <rFont val="Lucida Console"/>
            <family val="3"/>
          </rPr>
          <t>79688|CAPA EM POLIPROPILENO, TAMANHO A4, 0,30 MM DE ESPESSURA, PRETO|1|45|11|MAQ., EQUIP., COMP., ACES., MAT. PARA ESCRIT.E ESCOLAR|EDU|Padrão|4|796|3184|Ativo|</t>
        </r>
      </text>
    </comment>
    <comment ref="L466" authorId="2" shapeId="0" xr:uid="{00000000-0006-0000-0000-00000D020000}">
      <text>
        <r>
          <rPr>
            <sz val="10"/>
            <color indexed="81"/>
            <rFont val="Lucida Console"/>
            <family val="3"/>
          </rPr>
          <t>_x000D_
Alterado em 15.07.2020_x000D_
Anterior = 2581</t>
        </r>
      </text>
    </comment>
    <comment ref="M466" authorId="2" shapeId="0" xr:uid="{00000000-0006-0000-0000-00000E020000}">
      <text>
        <r>
          <rPr>
            <sz val="10"/>
            <color indexed="81"/>
            <rFont val="Lucida Console"/>
            <family val="3"/>
          </rPr>
          <t>_x000D_
Alterado em 15.07.2020_x000D_
Anterior = 15.07.2020</t>
        </r>
      </text>
    </comment>
    <comment ref="X466" authorId="0" shapeId="0" xr:uid="{00000000-0006-0000-0000-00000F020000}">
      <text>
        <r>
          <rPr>
            <sz val="10"/>
            <color indexed="81"/>
            <rFont val="Lucida Console"/>
            <family val="3"/>
          </rPr>
          <t>12616|PAPEL P/ REPROGRAFIA - 210 X 297 MM - A4 - GRAMATURA 75|1|57|19|MAQ. E EQUIP. P/ IND. GRAFICA COMP. ACESS. E PAPEI|EDU|Padrão|4|5000|20000|Ativo|</t>
        </r>
      </text>
    </comment>
    <comment ref="X467" authorId="0" shapeId="0" xr:uid="{00000000-0006-0000-0000-000010020000}">
      <text>
        <r>
          <rPr>
            <sz val="10"/>
            <color indexed="81"/>
            <rFont val="Lucida Console"/>
            <family val="3"/>
          </rPr>
          <t>11264|PERFURADOR P/ PAPEL - 2 FUROS - MEDIO|1|45|12|MAQ., EQUIP., COMP., ACES., MAT. PARA ESCRIT.E ESCOLAR|EDU|Padrão|4|36|144|Ativo|</t>
        </r>
      </text>
    </comment>
    <comment ref="X468" authorId="0" shapeId="0" xr:uid="{00000000-0006-0000-0000-000011020000}">
      <text>
        <r>
          <rPr>
            <sz val="10"/>
            <color indexed="81"/>
            <rFont val="Lucida Console"/>
            <family val="3"/>
          </rPr>
          <t>112163|PLUG MOVEL 2P + T 90° PADRAO NBR 14136 DE 10A/250V GIGANTE|1|55|7|EQUIP. MAT. P/ GERACAO, TRANSM. DISTR. RETIF...|MEL|Padrão|4|61|244|Ativo|</t>
        </r>
      </text>
    </comment>
    <comment ref="X469" authorId="2" shapeId="0" xr:uid="{00000000-0006-0000-0000-000012020000}">
      <text>
        <r>
          <rPr>
            <sz val="10"/>
            <color indexed="81"/>
            <rFont val="Lucida Console"/>
            <family val="3"/>
          </rPr>
          <t>134246|AREIA MEDIA LAVADA(GRANULAMETRIA 0,6 A 2,4 MM), CONFORME ABNT. O MATERIAL ENTREGUE DEVERA ESTAR APTO A ENSAIOS DE PENEIRAMENTO, CONFORME TABELA 2 - LIMITES DA DISTRIBUICAO GRANULOMETRICA DO AGREGADO MIUDO (ABNT 7211/2005).EQUIVALENCIA APROXIMADA EM TONELADAS: 1,30 A 1,50|1|51|2|MAT.E EQUIP. P/ CONSTR.CIVIL E CONSERV. DE VIAS PUBL.|MCO|Personalizado|3|111|333|Ativo|</t>
        </r>
      </text>
    </comment>
    <comment ref="X470" authorId="0" shapeId="0" xr:uid="{00000000-0006-0000-0000-000013020000}">
      <text>
        <r>
          <rPr>
            <sz val="10"/>
            <color indexed="81"/>
            <rFont val="Lucida Console"/>
            <family val="3"/>
          </rPr>
          <t>136083|TOMADA PADRAO NBR 14136 2P + T DE 10A/250V DE SOBREPOR COM CAIXA COR BRANCA.|1|55|37|EQUIP. MAT. P/ GERACAO, TRANSM. DISTR. RETIF...|MEL|Padrão|4|25|100|Ativo|</t>
        </r>
      </text>
    </comment>
    <comment ref="X471" authorId="0" shapeId="0" xr:uid="{00000000-0006-0000-0000-000014020000}">
      <text>
        <r>
          <rPr>
            <sz val="10"/>
            <color indexed="81"/>
            <rFont val="Lucida Console"/>
            <family val="3"/>
          </rPr>
          <t>138055|ENGATE DE PVC BRANCO FLEXIVEL DE 40 CM, COMPOSTO POR PORCAS E NIPLE ½" EM PVC RIGIDO E ANEIS DE VEDACAO DE BORRACHA FIXOS NAS EXTREMIDADES. MATERIAL DE ACORDO COM A ABNT NBR 14878:2015 E A MARCA DEVERA SER LITOGRAFADA NO PRODUTO.|1|61|11|MATERIAL HIDRAULICO, CANOS, TUBOS, MANGUEIRAS, CONEXOES E ACESS.|MHI|Padrão|4|50|200|Ativo|</t>
        </r>
      </text>
    </comment>
    <comment ref="X472" authorId="0" shapeId="0" xr:uid="{00000000-0006-0000-0000-000015020000}">
      <text>
        <r>
          <rPr>
            <sz val="10"/>
            <color indexed="81"/>
            <rFont val="Lucida Console"/>
            <family val="3"/>
          </rPr>
          <t>91811|VASSOURA DE PIACAVA N° 05|1|72|5|MAQ.EQUIP.E MATERIAIS P/ HIGIEN.LIMP.POLIM.E LUBR.|ADM|Padrão|4|14|56|Ativo|</t>
        </r>
      </text>
    </comment>
    <comment ref="X473" authorId="2" shapeId="0" xr:uid="{00000000-0006-0000-0000-000016020000}">
      <text>
        <r>
          <rPr>
            <sz val="10"/>
            <color indexed="81"/>
            <rFont val="Lucida Console"/>
            <family val="3"/>
          </rPr>
          <t>134247|PEDRA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1,45|1|51|2|MAT.E EQUIP. P/ CONSTR.CIVIL E CONSERV. DE VIAS PUBL.|MCO|Personalizado|3|42|126|Ativo|</t>
        </r>
      </text>
    </comment>
    <comment ref="X474" authorId="0" shapeId="0" xr:uid="{00000000-0006-0000-0000-000017020000}">
      <text>
        <r>
          <rPr>
            <sz val="10"/>
            <color indexed="81"/>
            <rFont val="Lucida Console"/>
            <family val="3"/>
          </rPr>
          <t>15436|FECHADURA DE EMBUTIR C/ TAMBOR - EXTERNA|1|51|9|MAT.E EQUIP. P/ CONSTR.CIVIL E CONSERV. DE VIAS PUBL.|MCO|Padrão|4|56|224|Ativo|</t>
        </r>
      </text>
    </comment>
    <comment ref="X475" authorId="0" shapeId="0" xr:uid="{00000000-0006-0000-0000-000018020000}">
      <text>
        <r>
          <rPr>
            <sz val="10"/>
            <color indexed="81"/>
            <rFont val="Lucida Console"/>
            <family val="3"/>
          </rPr>
          <t>77554|VIGA DE GARAPEIRA BRUTA - 6 CM X 12 CM X 5,50 M COMPRIMENTO|1|74|3|MADEIRAS,LAMINADOS,COMPENSADOS E AGLOMERADOS|MCO|Padrão|4|14|56|Ativo|</t>
        </r>
      </text>
    </comment>
    <comment ref="X476" authorId="0" shapeId="0" xr:uid="{00000000-0006-0000-0000-000019020000}">
      <text>
        <r>
          <rPr>
            <sz val="10"/>
            <color indexed="81"/>
            <rFont val="Lucida Console"/>
            <family val="3"/>
          </rPr>
          <t>115807|CHAPA EM MDF CARVALHO 2 FACES, MEDINDO 2,75 X 1,83 M X 15 MM DE ESPESSURA|1|69|1|METAIS,LAMINAD.,PERFILADOS E ARTEFATOS METALICOS|MSE|Padrão|4|42|168|Ativo|</t>
        </r>
      </text>
    </comment>
    <comment ref="J477" authorId="2" shapeId="0" xr:uid="{00000000-0006-0000-0000-00001A020000}">
      <text>
        <r>
          <rPr>
            <b/>
            <sz val="9"/>
            <color indexed="81"/>
            <rFont val="Segoe UI"/>
            <family val="2"/>
          </rPr>
          <t>Marcos:</t>
        </r>
        <r>
          <rPr>
            <sz val="9"/>
            <color indexed="81"/>
            <rFont val="Segoe UI"/>
            <family val="2"/>
          </rPr>
          <t xml:space="preserve">
Considerar apenas a entrega comum. Ocorreu entrega volumosa em janeiro para as escolas</t>
        </r>
      </text>
    </comment>
    <comment ref="X477" authorId="0" shapeId="0" xr:uid="{00000000-0006-0000-0000-00001B020000}">
      <text>
        <r>
          <rPr>
            <sz val="10"/>
            <color indexed="81"/>
            <rFont val="Lucida Console"/>
            <family val="3"/>
          </rPr>
          <t>133021|PANO DE CHAO, MEDIDAS: 45 X 75 CM (VARIACAO +/- 5 CM), 100% ALGODAO, ALVEJADO, PESO MINIMO DE 130 GRAMAS.|1|72|7|MAQ.EQUIP.E MATERIAIS P/ HIGIEN.LIMP.POLIM.E LUBR.|ADM|Padrão|4|60|240|Ativo|</t>
        </r>
      </text>
    </comment>
    <comment ref="X478" authorId="0" shapeId="0" xr:uid="{00000000-0006-0000-0000-00001C020000}">
      <text>
        <r>
          <rPr>
            <sz val="10"/>
            <color indexed="81"/>
            <rFont val="Lucida Console"/>
            <family val="3"/>
          </rPr>
          <t>12830|ADAPTADOR DE PVC SOLDAVEL 1.1/2"|1|61|8|MATERIAL HIDRAULICO, CANOS, TUBOS, MANGUEIRAS, CONEXOES E ACESS.|MHI|Padrão|4|40|160|Ativo|</t>
        </r>
      </text>
    </comment>
    <comment ref="X479" authorId="0" shapeId="0" xr:uid="{00000000-0006-0000-0000-00001D020000}">
      <text>
        <r>
          <rPr>
            <sz val="10"/>
            <color indexed="81"/>
            <rFont val="Lucida Console"/>
            <family val="3"/>
          </rPr>
          <t>132655|MARCADOR DE QUADRO BRANCO, PONTA DE 04 MM (MINIMO) REDONDA DE ACRILICO OU POLISTER. COR INTENSA E FACIL DE APAGAR. A MARCA DEVERA SER LITOGRAFADA NO PRODUTO. COR: AZUL|1|45|10|MAQ., EQUIP., COMP., ACES., MAT. PARA ESCRIT.E ESCOLAR|EDU|Padrão|4|2694|10776|Ativo|</t>
        </r>
      </text>
    </comment>
    <comment ref="X480" authorId="0" shapeId="0" xr:uid="{00000000-0006-0000-0000-00001E020000}">
      <text>
        <r>
          <rPr>
            <sz val="10"/>
            <color indexed="81"/>
            <rFont val="Lucida Console"/>
            <family val="3"/>
          </rPr>
          <t>132656|MARCADOR DE QUADRO BRANCO, PONTA DE 04 MM (MINIMO) REDONDA DE ACRILICO OU POLISTER. COR INTENSA E FACIL DE APAGAR. A MARCA DEVERA SER LITOGRAFADA NO PRODUTO. COR: PRETO|1|45|10|MAQ., EQUIP., COMP., ACES., MAT. PARA ESCRIT.E ESCOLAR|EDU|Padrão|4|2680|10720|Ativo|</t>
        </r>
      </text>
    </comment>
    <comment ref="X481" authorId="0" shapeId="0" xr:uid="{00000000-0006-0000-0000-00001F020000}">
      <text>
        <r>
          <rPr>
            <sz val="10"/>
            <color indexed="81"/>
            <rFont val="Lucida Console"/>
            <family val="3"/>
          </rPr>
          <t>77562|SARRAFO DE CEDRINHO DE 1ª, 25 X 100 M/M, BRUTO DE 4,00 M COMPRIMENTO|1|74|2|MADEIRAS,LAMINADOS,COMPENSADOS E AGLOMERADOS|MCO|Padrão|4|604|2416|Ativo|</t>
        </r>
      </text>
    </comment>
    <comment ref="X482" authorId="0" shapeId="0" xr:uid="{00000000-0006-0000-0000-000020020000}">
      <text>
        <r>
          <rPr>
            <sz val="10"/>
            <color indexed="81"/>
            <rFont val="Lucida Console"/>
            <family val="3"/>
          </rPr>
          <t>11116|GRAMPO P/ PAPEL N°1 TIPO TRANCADO - CX COM 12 UNID|1|45|12|MAQ., EQUIP., COMP., ACES., MAT. PARA ESCRIT.E ESCOLAR|EDU|Padrão|4|41|164|Ativo|</t>
        </r>
      </text>
    </comment>
    <comment ref="J483" authorId="1" shapeId="0" xr:uid="{00000000-0006-0000-0000-000021020000}">
      <text>
        <r>
          <rPr>
            <b/>
            <sz val="9"/>
            <color indexed="81"/>
            <rFont val="Segoe UI"/>
            <family val="2"/>
          </rPr>
          <t>24/04/2019-Marcos:</t>
        </r>
        <r>
          <rPr>
            <sz val="9"/>
            <color indexed="81"/>
            <rFont val="Segoe UI"/>
            <family val="2"/>
          </rPr>
          <t xml:space="preserve">
Redução de 130 para 50 conforme solicitação da Maria Rita devido à redução de consumo por passar a ser atendido pela Milclean.
</t>
        </r>
      </text>
    </comment>
    <comment ref="X483" authorId="0" shapeId="0" xr:uid="{00000000-0006-0000-0000-000022020000}">
      <text>
        <r>
          <rPr>
            <sz val="10"/>
            <color indexed="81"/>
            <rFont val="Lucida Console"/>
            <family val="3"/>
          </rPr>
          <t>119595|PAPEL HIGIENICO BRANCO, ROLO COM 300 METROS, FOLHA SIMPLES, MASSA UNIFORME, SEM CONTER FUROS, EXTRA LUXO, FIBRA 100% CELULOSICAS, ROLO MEDINDO 10 CM X 300 M. EMBALADOS EM FARDOS COM PLASTICO RESISTENTE CONTENDO 8 ROLOS|1|62|26|VEST., ART.P/ TOUC.E HIG. PES. MAQ., EQUIP., MAT.E ACES.|ADM|Padrão|4|50|200|Ativo|</t>
        </r>
      </text>
    </comment>
    <comment ref="X484" authorId="0" shapeId="0" xr:uid="{00000000-0006-0000-0000-000023020000}">
      <text>
        <r>
          <rPr>
            <sz val="10"/>
            <color indexed="81"/>
            <rFont val="Lucida Console"/>
            <family val="3"/>
          </rPr>
          <t>138462|GIZ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INMETRO.|1|45|16|MAQ., EQUIP., COMP., ACES., MAT. PARA ESCRIT.E ESCOLAR|EDU|Padrão|4|1946|7784|Ativo|</t>
        </r>
      </text>
    </comment>
    <comment ref="X485" authorId="0" shapeId="0" xr:uid="{00000000-0006-0000-0000-000024020000}">
      <text>
        <r>
          <rPr>
            <sz val="10"/>
            <color indexed="81"/>
            <rFont val="Lucida Console"/>
            <family val="3"/>
          </rPr>
          <t>131917|APONTADOR DUPLO (LAPIS NORMAL E JUMBO), SEM DEPOSITO, CORPO METALICO EM ALUMINIO|1|45|9|MAQ., EQUIP., COMP., ACES., MAT. PARA ESCRIT.E ESCOLAR|EDU|Padrão|4|617|2468|Ativo|</t>
        </r>
      </text>
    </comment>
    <comment ref="X486" authorId="0" shapeId="0" xr:uid="{00000000-0006-0000-0000-000025020000}">
      <text>
        <r>
          <rPr>
            <sz val="10"/>
            <color indexed="81"/>
            <rFont val="Lucida Console"/>
            <family val="3"/>
          </rPr>
          <t>87698|REFIL DE BORRACHA PARA RODO DE ALUMINIO DE 60 CM|1|72|5|MAQ.EQUIP.E MATERIAIS P/ HIGIEN.LIMP.POLIM.E LUBR.|ADM|Padrão|4|3|12|Ativo|</t>
        </r>
      </text>
    </comment>
    <comment ref="X487" authorId="0" shapeId="0" xr:uid="{00000000-0006-0000-0000-000026020000}">
      <text>
        <r>
          <rPr>
            <sz val="10"/>
            <color indexed="81"/>
            <rFont val="Lucida Console"/>
            <family val="3"/>
          </rPr>
          <t>20035|BROCA DE ACO RAPIDO HELICOIDAL DE 3/32" COM HASTE CILINDRIC|1|70|31|FERRAMENTAS MAQ.FERRAMENTAS,ELETR.PECAS E ACESSORI|MAN|Padrão|4|9|36|Ativo|</t>
        </r>
      </text>
    </comment>
    <comment ref="X488" authorId="0" shapeId="0" xr:uid="{00000000-0006-0000-0000-000027020000}">
      <text>
        <r>
          <rPr>
            <sz val="10"/>
            <color indexed="81"/>
            <rFont val="Lucida Console"/>
            <family val="3"/>
          </rPr>
          <t>112064|CARRINHO DE MAO 150 KG ( 60 LITROS)  TOTALMENTE GALVANIZADO|1|70|38|FERRAMENTAS MAQ.FERRAMENTAS,ELETR.PECAS E ACESSORI|MAN|Padrão|4|3|12|Ativo|</t>
        </r>
      </text>
    </comment>
    <comment ref="X489" authorId="0" shapeId="0" xr:uid="{00000000-0006-0000-0000-000028020000}">
      <text>
        <r>
          <rPr>
            <sz val="10"/>
            <color indexed="81"/>
            <rFont val="Lucida Console"/>
            <family val="3"/>
          </rPr>
          <t>56519|FOLHA DE PORTA TIPO MEXICANA - MED.: 0,82 X 2,10 M|1|51|28|MAT.E EQUIP. P/ CONSTR.CIVIL E CONSERV. DE VIAS PUBL.|MCO|Padrão|4|3|12|Ativo|</t>
        </r>
      </text>
    </comment>
    <comment ref="X490" authorId="0" shapeId="0" xr:uid="{00000000-0006-0000-0000-000029020000}">
      <text>
        <r>
          <rPr>
            <sz val="10"/>
            <color indexed="81"/>
            <rFont val="Lucida Console"/>
            <family val="3"/>
          </rPr>
          <t>132623|VASO SANITARIO INFANTIL, NA COR BRANCA, MATERIAL EM LOUCA NAS DIMENSOE: 30 X 31 X 41,5 CM (ALTURA/LARGURA/COMPRIMENTO)  MEDIDAS PODENDO VARIAR EM + / - 03 CM|1|51|35|MAT.E EQUIP. P/ CONSTR.CIVIL E CONSERV. DE VIAS PUBL.|MCO|Padrão|4|6|24|Ativo|</t>
        </r>
      </text>
    </comment>
    <comment ref="X491" authorId="0" shapeId="0" xr:uid="{00000000-0006-0000-0000-00002A020000}">
      <text>
        <r>
          <rPr>
            <sz val="10"/>
            <color indexed="81"/>
            <rFont val="Lucida Console"/>
            <family val="3"/>
          </rPr>
          <t>88747|DISJUNTOR NORMA DIN CURVA C PADRAO, TRIPOLAR, 125 AMPERES|1|55|26|EQUIP. MAT. P/ GERACAO, TRANSM. DISTR. RETIF...|MEL|Padrão|4|1,5|6|Ativo|</t>
        </r>
      </text>
    </comment>
    <comment ref="X492" authorId="0" shapeId="0" xr:uid="{00000000-0006-0000-0000-00002B020000}">
      <text>
        <r>
          <rPr>
            <sz val="10"/>
            <color indexed="81"/>
            <rFont val="Lucida Console"/>
            <family val="3"/>
          </rPr>
          <t>88744|DISJUNTOR NORMA DIN CURVA C PADRAO, TRIPOLAR, 63 AMPERES|1|55|26|EQUIP. MAT. P/ GERACAO, TRANSM. DISTR. RETIF...|MEL|Padrão|4|3|12|Ativo|</t>
        </r>
      </text>
    </comment>
    <comment ref="X493" authorId="0" shapeId="0" xr:uid="{00000000-0006-0000-0000-00002C020000}">
      <text>
        <r>
          <rPr>
            <sz val="10"/>
            <color indexed="81"/>
            <rFont val="Lucida Console"/>
            <family val="3"/>
          </rPr>
          <t>14784|CURVA 90 GRAUS DE ACO CARBONO GALVANIZADO P/ ELETRODUTO|1|55|32|EQUIP. MAT. P/ GERACAO, TRANSM. DISTR. RETIF...|MEL|Padrão|4|15|60|Ativo|</t>
        </r>
      </text>
    </comment>
    <comment ref="X494" authorId="0" shapeId="0" xr:uid="{00000000-0006-0000-0000-00002D020000}">
      <text>
        <r>
          <rPr>
            <sz val="10"/>
            <color indexed="81"/>
            <rFont val="Lucida Console"/>
            <family val="3"/>
          </rPr>
          <t>15680|TERMINAL DE COMPRESSAO TIPO OLHAL P/ CABO DE COBRE 70MM2 C/|1|55|35|EQUIP. MAT. P/ GERACAO, TRANSM. DISTR. RETIF...|MEL|Padrão|4|3|12|Ativo|</t>
        </r>
      </text>
    </comment>
    <comment ref="X495" authorId="0" shapeId="0" xr:uid="{00000000-0006-0000-0000-00002E020000}">
      <text>
        <r>
          <rPr>
            <sz val="10"/>
            <color indexed="81"/>
            <rFont val="Lucida Console"/>
            <family val="3"/>
          </rPr>
          <t>13558|TUBO DE PVC RIGIDO SOLDAVEL 2" X 06 M (P/ESGOTO)|1|61|2|MATERIAL HIDRAULICO, CANOS, TUBOS, MANGUEIRAS, CONEXOES E ACESS.|MHI|Padrão|4|9|36|Ativo|</t>
        </r>
      </text>
    </comment>
    <comment ref="X496" authorId="0" shapeId="0" xr:uid="{00000000-0006-0000-0000-00002F020000}">
      <text>
        <r>
          <rPr>
            <sz val="10"/>
            <color indexed="81"/>
            <rFont val="Lucida Console"/>
            <family val="3"/>
          </rPr>
          <t>12824|ADAPTADOR DE PVC RIGIDO SOLDAVEL C/ FLANGE SEXTAVADA FIXO - 25 MM X 3/4"|1|61|8|MATERIAL HIDRAULICO, CANOS, TUBOS, MANGUEIRAS, CONEXOES E ACESS.|MHI|Padrão|4|6|24|Ativo|</t>
        </r>
      </text>
    </comment>
    <comment ref="X497" authorId="0" shapeId="0" xr:uid="{00000000-0006-0000-0000-000030020000}">
      <text>
        <r>
          <rPr>
            <sz val="10"/>
            <color indexed="81"/>
            <rFont val="Lucida Console"/>
            <family val="3"/>
          </rPr>
          <t>54017|JUNCAO INTERNA "T" 38 X 38 MM|1|61|8|MATERIAL HIDRAULICO, CANOS, TUBOS, MANGUEIRAS, CONEXOES E ACESS.|MHI|Padrão|4|3|12|Ativo|</t>
        </r>
      </text>
    </comment>
    <comment ref="X498" authorId="0" shapeId="0" xr:uid="{00000000-0006-0000-0000-000031020000}">
      <text>
        <r>
          <rPr>
            <sz val="10"/>
            <color indexed="81"/>
            <rFont val="Lucida Console"/>
            <family val="3"/>
          </rPr>
          <t>125173|LUVA DE REDUCAO DE ESGOTO 2" X 1.1/2|1|61|8|MATERIAL HIDRAULICO, CANOS, TUBOS, MANGUEIRAS, CONEXOES E ACESS.|MHI|Padrão|4|9|36|Ativo|</t>
        </r>
      </text>
    </comment>
    <comment ref="X499" authorId="0" shapeId="0" xr:uid="{00000000-0006-0000-0000-000032020000}">
      <text>
        <r>
          <rPr>
            <sz val="10"/>
            <color indexed="81"/>
            <rFont val="Lucida Console"/>
            <family val="3"/>
          </rPr>
          <t>13092|CAIXA SIFONADA REDONDA EM PVC RIGIDO DE 100 X 100 X 50 MM - 4" X 4"X 2"|1|61|11|MATERIAL HIDRAULICO, CANOS, TUBOS, MANGUEIRAS, CONEXOES E ACESS.|MHI|Padrão|4|9|36|Ativo|</t>
        </r>
      </text>
    </comment>
    <comment ref="X500" authorId="0" shapeId="0" xr:uid="{00000000-0006-0000-0000-000033020000}">
      <text>
        <r>
          <rPr>
            <sz val="10"/>
            <color indexed="81"/>
            <rFont val="Lucida Console"/>
            <family val="3"/>
          </rPr>
          <t>35224|REGISTRO DE GAVETA EM LIGA DE COBRE - 1" - S/ CANOPLA|1|61|15|MATERIAL HIDRAULICO, CANOS, TUBOS, MANGUEIRAS, CONEXOES E ACESS.|MHI|Padrão|4|3|12|Ativo|</t>
        </r>
      </text>
    </comment>
    <comment ref="X501" authorId="0" shapeId="0" xr:uid="{00000000-0006-0000-0000-000034020000}">
      <text>
        <r>
          <rPr>
            <sz val="10"/>
            <color indexed="81"/>
            <rFont val="Lucida Console"/>
            <family val="3"/>
          </rPr>
          <t>53849|REPARO P/ VALVULA DE DESCARGA 1 1/4" (MARCA DOCOL)|1|61|15|MATERIAL HIDRAULICO, CANOS, TUBOS, MANGUEIRAS, CONEXOES E ACESS.|MHI|Padrão|4|3|12|Ativo|</t>
        </r>
      </text>
    </comment>
    <comment ref="X502" authorId="0" shapeId="0" xr:uid="{00000000-0006-0000-0000-000035020000}">
      <text>
        <r>
          <rPr>
            <sz val="10"/>
            <color indexed="81"/>
            <rFont val="Lucida Console"/>
            <family val="3"/>
          </rPr>
          <t>124963|PARAFUSO ZINCO AMARELO, CABECA CHATA PH  6,0 X 70 - CAIXA COM  100 UNIDADES|1|67|3|PARAFUSOS ELEM. VEDACAO UNIAO CONEX . FIXACAO|MSE|Padrão|4|6|24|Ativo|</t>
        </r>
      </text>
    </comment>
    <comment ref="X503" authorId="0" shapeId="0" xr:uid="{00000000-0006-0000-0000-000036020000}">
      <text>
        <r>
          <rPr>
            <sz val="10"/>
            <color indexed="81"/>
            <rFont val="Lucida Console"/>
            <family val="3"/>
          </rPr>
          <t>125201|PARAFUSO ZINCO AMARELO, CABECA CHATA PH 4,5 X 40 - CAIXA COM 500 UNIDADES|1|67|3|PARAFUSOS ELEM. VEDACAO UNIAO CONEX . FIXACAO|MSE|Padrão|4|6|24|Ativo|</t>
        </r>
      </text>
    </comment>
    <comment ref="X504" authorId="0" shapeId="0" xr:uid="{00000000-0006-0000-0000-000037020000}">
      <text>
        <r>
          <rPr>
            <sz val="10"/>
            <color indexed="81"/>
            <rFont val="Lucida Console"/>
            <family val="3"/>
          </rPr>
          <t>18357|PREGO COMUM DE CABECA CHATA - 18 X 27|1|67|6|PARAFUSOS ELEM. VEDACAO UNIAO CONEX . FIXACAO|MSE|Padrão|4|27|108|Ativo|</t>
        </r>
      </text>
    </comment>
    <comment ref="X505" authorId="0" shapeId="0" xr:uid="{00000000-0006-0000-0000-000038020000}">
      <text>
        <r>
          <rPr>
            <sz val="10"/>
            <color indexed="81"/>
            <rFont val="Lucida Console"/>
            <family val="3"/>
          </rPr>
          <t>102694|EMENDA INTERNA PERFURA, GALVANIZADA, P/ELETROCALHA - 200 X 50MM|1|69|5|METAIS,LAMINAD.,PERFILADOS E ARTEFATOS METALICOS|MSE|Padrão|4|3|12|Ativo|</t>
        </r>
      </text>
    </comment>
    <comment ref="X506" authorId="0" shapeId="0" xr:uid="{00000000-0006-0000-0000-000039020000}">
      <text>
        <r>
          <rPr>
            <sz val="10"/>
            <color indexed="81"/>
            <rFont val="Lucida Console"/>
            <family val="3"/>
          </rPr>
          <t>49254|PLASTICO OLEADO, TIPO FLANELADO - NAS CORES AZUL CLARO E BR|1|72|7|MAQ.EQUIP.E MATERIAIS P/ HIGIEN.LIMP.POLIM.E LUBR.|ADM|Padrão|4|121|484|Ativo|</t>
        </r>
      </text>
    </comment>
    <comment ref="X507" authorId="0" shapeId="0" xr:uid="{00000000-0006-0000-0000-00003A020000}">
      <text>
        <r>
          <rPr>
            <sz val="10"/>
            <color indexed="81"/>
            <rFont val="Lucida Console"/>
            <family val="3"/>
          </rPr>
          <t>23687|CARTOLINA - AZUL CLARO - 50 X 66 CM - 180 G/M2|1|57|16|MAQ. E EQUIP. P/ IND. GRAFICA COMP. ACESS. E PAPEI|EDU|Padrão|4|2084|8336|Ativo|</t>
        </r>
      </text>
    </comment>
    <comment ref="X508" authorId="0" shapeId="0" xr:uid="{00000000-0006-0000-0000-00003B020000}">
      <text>
        <r>
          <rPr>
            <sz val="10"/>
            <color indexed="81"/>
            <rFont val="Lucida Console"/>
            <family val="3"/>
          </rPr>
          <t>134549|PASTILHA CERAMICA, COR VERDE AGUA, MEDINDO 10 X 10 CM.|1|51|19|MAT.E EQUIP. P/ CONSTR.CIVIL E CONSERV. DE VIAS PUBL.|MCO|Padrão|4|40|160|Ativo|</t>
        </r>
      </text>
    </comment>
    <comment ref="X509" authorId="0" shapeId="0" xr:uid="{00000000-0006-0000-0000-00003C020000}">
      <text>
        <r>
          <rPr>
            <sz val="10"/>
            <color indexed="81"/>
            <rFont val="Lucida Console"/>
            <family val="3"/>
          </rPr>
          <t>17115|GUARDANAPO DE PAPEL 23 X 22 CM|1|79|1|ART. DOMEST. DECO. GUARNI. DE AMBI.TECI. VEICULOS|ADM|Padrão|4|649|2596|Ativo|</t>
        </r>
      </text>
    </comment>
    <comment ref="J510" authorId="1" shapeId="0" xr:uid="{00000000-0006-0000-0000-00003D020000}">
      <text>
        <r>
          <rPr>
            <b/>
            <sz val="9"/>
            <color indexed="81"/>
            <rFont val="Segoe UI"/>
            <family val="2"/>
          </rPr>
          <t>24/04/2019-Marcos:</t>
        </r>
        <r>
          <rPr>
            <sz val="9"/>
            <color indexed="81"/>
            <rFont val="Segoe UI"/>
            <family val="2"/>
          </rPr>
          <t xml:space="preserve">
Conforme solicitado pela Maria Rita redução de 6311 para 800 devido a corte no consumo direto por terceirização com a Milclean.
</t>
        </r>
        <r>
          <rPr>
            <b/>
            <sz val="9"/>
            <color indexed="81"/>
            <rFont val="Segoe UI"/>
            <family val="2"/>
          </rPr>
          <t>05/09/2019-Marcos:</t>
        </r>
        <r>
          <rPr>
            <sz val="9"/>
            <color indexed="81"/>
            <rFont val="Segoe UI"/>
            <family val="2"/>
          </rPr>
          <t xml:space="preserve">
aumentado de 1000 para 1200 devido ao aumento de consumo nos últimos quatro meses</t>
        </r>
      </text>
    </comment>
    <comment ref="X510" authorId="0" shapeId="0" xr:uid="{00000000-0006-0000-0000-00003E020000}">
      <text>
        <r>
          <rPr>
            <sz val="10"/>
            <color indexed="81"/>
            <rFont val="Lucida Console"/>
            <family val="3"/>
          </rPr>
          <t>125641|PAPEL HIGIENICO 30 M X 10 CM, CLASSE 01, FOLHA DUPLA, GOFRADO, COR BRANCA, NEUTRO, MATERIA PRIMA 100% FIBRAS NATURAIS|1|62|26|VEST., ART.P/ TOUC.E HIG. PES. MAQ., EQUIP., MAT.E ACES.|ADM|Padrão|4|1131|4524|Ativo|</t>
        </r>
      </text>
    </comment>
    <comment ref="X511" authorId="2" shapeId="0" xr:uid="{00000000-0006-0000-0000-00003F020000}">
      <text>
        <r>
          <rPr>
            <sz val="9"/>
            <color indexed="81"/>
            <rFont val="Segoe UI"/>
            <family val="2"/>
          </rPr>
          <t>14662|CIMENTO COMUM CPII-32 - SACO C/ 50KG - O MATERIAL DEVERA SER ENTREGUE EM LOTE PALETIZADO PROTEGIDO COM FILME PLASTICO.|1|51|3|MAT.E EQUIP. P/ CONSTR.CIVIL E CONSERV. DE VIAS PUBL.|MCO|Personalizado|2|480|960|Ativo|</t>
        </r>
      </text>
    </comment>
    <comment ref="X512" authorId="0" shapeId="0" xr:uid="{00000000-0006-0000-0000-000040020000}">
      <text>
        <r>
          <rPr>
            <sz val="10"/>
            <color indexed="81"/>
            <rFont val="Lucida Console"/>
            <family val="3"/>
          </rPr>
          <t>130624|PAPEL CRIATIVO FLUORESCENTE, TIPO LUMIPAPER, 5 CORES|1|57|17|MAQ. E EQUIP. P/ IND. GRAFICA COMP. ACESS. E PAPEI|EDU|Padrão|4|2667|10668|Ativo|</t>
        </r>
      </text>
    </comment>
    <comment ref="X513" authorId="0" shapeId="0" xr:uid="{00000000-0006-0000-0000-000041020000}">
      <text>
        <r>
          <rPr>
            <sz val="10"/>
            <color indexed="81"/>
            <rFont val="Lucida Console"/>
            <family val="3"/>
          </rPr>
          <t>113846|REJUNTE BEGE - SACO COM 01 KG|1|51|19|MAT.E EQUIP. P/ CONSTR.CIVIL E CONSERV. DE VIAS PUBL.|MCO|Padrão|4|92|368|Ativo|</t>
        </r>
      </text>
    </comment>
    <comment ref="L514" authorId="1" shapeId="0" xr:uid="{00000000-0006-0000-0000-000042020000}">
      <text>
        <r>
          <rPr>
            <sz val="10"/>
            <color indexed="81"/>
            <rFont val="Lucida Console"/>
            <family val="3"/>
          </rPr>
          <t>_x000D_
Alterado em 01.09.2020_x000D_
Anterior = 1000</t>
        </r>
      </text>
    </comment>
    <comment ref="M514" authorId="1" shapeId="0" xr:uid="{00000000-0006-0000-0000-000043020000}">
      <text>
        <r>
          <rPr>
            <sz val="10"/>
            <color indexed="81"/>
            <rFont val="Lucida Console"/>
            <family val="3"/>
          </rPr>
          <t>_x000D_
Alterado em 01.09.2020_x000D_
Anterior = 01.09.2020</t>
        </r>
      </text>
    </comment>
    <comment ref="X514" authorId="0" shapeId="0" xr:uid="{00000000-0006-0000-0000-000044020000}">
      <text>
        <r>
          <rPr>
            <sz val="10"/>
            <color indexed="81"/>
            <rFont val="Lucida Console"/>
            <family val="3"/>
          </rPr>
          <t>102922|DETERGENTE LIQUIDO,  NEUTRO - INCOLOR - FRASCO C/500ML|1|72|10|MAQ.EQUIP.E MATERIAIS P/ HIGIEN.LIMP.POLIM.E LUBR.|ADM|Padrão|4|1914|7656|Ativo|</t>
        </r>
      </text>
    </comment>
    <comment ref="X515" authorId="0" shapeId="0" xr:uid="{00000000-0006-0000-0000-000045020000}">
      <text>
        <r>
          <rPr>
            <sz val="10"/>
            <color indexed="81"/>
            <rFont val="Lucida Console"/>
            <family val="3"/>
          </rPr>
          <t>134546|PASTILHA CERAMICA, COR AZUL CLARO (PISCINA OU CEU), MEDINDO 10 X 10 CM, ESPESSURA DE 7 MM, UNIDAS POR PONTOS DE COLA.|1|51|19|MAT.E EQUIP. P/ CONSTR.CIVIL E CONSERV. DE VIAS PUBL.|MCO|Padrão|4|45|180|Ativo|</t>
        </r>
      </text>
    </comment>
    <comment ref="X516" authorId="0" shapeId="0" xr:uid="{00000000-0006-0000-0000-000046020000}">
      <text>
        <r>
          <rPr>
            <sz val="10"/>
            <color indexed="81"/>
            <rFont val="Lucida Console"/>
            <family val="3"/>
          </rPr>
          <t>71697|LIXA PARA PAREDE - 60|1|83|2|ABRASIVOS|MAN|Padrão|4|103|412|Ativo|</t>
        </r>
      </text>
    </comment>
    <comment ref="X517" authorId="0" shapeId="0" xr:uid="{00000000-0006-0000-0000-000047020000}">
      <text>
        <r>
          <rPr>
            <sz val="10"/>
            <color indexed="81"/>
            <rFont val="Lucida Console"/>
            <family val="3"/>
          </rPr>
          <t>134560|LAMINA DE SERRA EM ACO RAPIDO BI-METAL 1/2" X 12", 18 DPP (DENTES POR POLEGADA), ESPESSURA DE NO MINIMO 0,6 MM|1|70|30|FERRAMENTAS MAQ.FERRAMENTAS,ELETR.PECAS E ACESSORI|MAN|Padrão|4|36|144|Ativo|</t>
        </r>
      </text>
    </comment>
    <comment ref="X518" authorId="0" shapeId="0" xr:uid="{00000000-0006-0000-0000-000048020000}">
      <text>
        <r>
          <rPr>
            <sz val="10"/>
            <color indexed="81"/>
            <rFont val="Lucida Console"/>
            <family val="3"/>
          </rPr>
          <t>13655|PASTA DE CARTOLINA PLASTIFICADA MOD. C/ FERRAGEM - PRETA -|1|45|11|MAQ., EQUIP., COMP., ACES., MAT. PARA ESCRIT.E ESCOLAR|EDU|Padrão|4|1435|5740|Ativo|</t>
        </r>
      </text>
    </comment>
    <comment ref="J519" authorId="2" shapeId="0" xr:uid="{00000000-0006-0000-0000-000049020000}">
      <text>
        <r>
          <rPr>
            <b/>
            <sz val="9"/>
            <color indexed="81"/>
            <rFont val="Segoe UI"/>
            <family val="2"/>
          </rPr>
          <t>Marcos:</t>
        </r>
        <r>
          <rPr>
            <sz val="9"/>
            <color indexed="81"/>
            <rFont val="Segoe UI"/>
            <family val="2"/>
          </rPr>
          <t xml:space="preserve">
80 porque houve pico de consumo em mês recente de 152.</t>
        </r>
      </text>
    </comment>
    <comment ref="X519" authorId="0" shapeId="0" xr:uid="{00000000-0006-0000-0000-00004A020000}">
      <text>
        <r>
          <rPr>
            <sz val="10"/>
            <color indexed="81"/>
            <rFont val="Lucida Console"/>
            <family val="3"/>
          </rPr>
          <t>134548|PASTILHA CERAMICA, COR BRANCA, MEDINDO 10 X 10 CM.|1|51|19|MAT.E EQUIP. P/ CONSTR.CIVIL E CONSERV. DE VIAS PUBL.|MCO|Padrão|4|109|436|Ativo|</t>
        </r>
      </text>
    </comment>
    <comment ref="X520" authorId="0" shapeId="0" xr:uid="{00000000-0006-0000-0000-00004B020000}">
      <text>
        <r>
          <rPr>
            <sz val="10"/>
            <color indexed="81"/>
            <rFont val="Lucida Console"/>
            <family val="3"/>
          </rPr>
          <t>20034|BROCA DE ACO RAPIDO HELICOIDAL DE 3/16" COM HASTE CILINDRIC|1|70|31|FERRAMENTAS MAQ.FERRAMENTAS,ELETR.PECAS E ACESSORI|MAN|Padrão|4|40|160|Ativo|</t>
        </r>
      </text>
    </comment>
    <comment ref="J521" authorId="2" shapeId="0" xr:uid="{00000000-0006-0000-0000-00004C020000}">
      <text>
        <r>
          <rPr>
            <b/>
            <sz val="9"/>
            <color indexed="81"/>
            <rFont val="Segoe UI"/>
            <family val="2"/>
          </rPr>
          <t xml:space="preserve">Marcos:
</t>
        </r>
        <r>
          <rPr>
            <sz val="9"/>
            <color indexed="81"/>
            <rFont val="Segoe UI"/>
            <family val="2"/>
          </rPr>
          <t>Quantidade utilizada para garantir sempre 20 itens em estoque que é o maior pico detectado nos últimos meses.</t>
        </r>
      </text>
    </comment>
    <comment ref="X521" authorId="0" shapeId="0" xr:uid="{00000000-0006-0000-0000-00004D020000}">
      <text>
        <r>
          <rPr>
            <sz val="10"/>
            <color indexed="81"/>
            <rFont val="Lucida Console"/>
            <family val="3"/>
          </rPr>
          <t>64044|TELA DE ARAME GALVANIZADO - FIO 10 - MALHA 2.1/2" X 2 M DE ALTURA|1|51|30|MAT.E EQUIP. P/ CONSTR.CIVIL E CONSERV. DE VIAS PUBL.|MCO|Padrão|4|10|40|Ativo|</t>
        </r>
      </text>
    </comment>
    <comment ref="X522" authorId="0" shapeId="0" xr:uid="{00000000-0006-0000-0000-00004E020000}">
      <text>
        <r>
          <rPr>
            <sz val="10"/>
            <color indexed="81"/>
            <rFont val="Lucida Console"/>
            <family val="3"/>
          </rPr>
          <t>134582|TORNEIRA BOIA PARA CAIXA D´AGUA COM CORPO METALICO (LATAO) E FLUTUADOR EM PLASTICO ROSCA BSP NBR 8133 PRESSAO MAXIMA PARA FUNCIONAMENTO 150 MCA, PRESSAO MINIMA 2 MCA  BITOLA 3/4".|1|61|14|MATERIAL HIDRAULICO, CANOS, TUBOS, MANGUEIRAS, CONEXOES E ACESS.|MHI|Padrão|4|10|40|Ativo|</t>
        </r>
      </text>
    </comment>
    <comment ref="X523" authorId="0" shapeId="0" xr:uid="{00000000-0006-0000-0000-00004F020000}">
      <text>
        <r>
          <rPr>
            <sz val="10"/>
            <color indexed="81"/>
            <rFont val="Lucida Console"/>
            <family val="3"/>
          </rPr>
          <t>64646|SAPATA REGULAVEL PARA MOVEIS, COM BUCHA 1/4 X 25 MM|1|78|2|MOBILIARIO E COFRE|ADM|Padrão|4|71|284|Ativo|</t>
        </r>
      </text>
    </comment>
    <comment ref="X524" authorId="0" shapeId="0" xr:uid="{00000000-0006-0000-0000-000050020000}">
      <text>
        <r>
          <rPr>
            <sz val="10"/>
            <color indexed="81"/>
            <rFont val="Lucida Console"/>
            <family val="3"/>
          </rPr>
          <t>57598|REJUNTE CINZA CLARO - SC C/ 01 KG|1|51|19|MAT.E EQUIP. P/ CONSTR.CIVIL E CONSERV. DE VIAS PUBL.|MCO|Padrão|4|105|420|Ativo|</t>
        </r>
      </text>
    </comment>
    <comment ref="J525" authorId="2" shapeId="0" xr:uid="{00000000-0006-0000-0000-000051020000}">
      <text>
        <r>
          <rPr>
            <b/>
            <sz val="9"/>
            <color indexed="81"/>
            <rFont val="Segoe UI"/>
            <family val="2"/>
          </rPr>
          <t>Marcos:</t>
        </r>
        <r>
          <rPr>
            <sz val="9"/>
            <color indexed="81"/>
            <rFont val="Segoe UI"/>
            <family val="2"/>
          </rPr>
          <t xml:space="preserve">
15 porque o pico de consumo foi de 30 em mês recente. Sem movimentação para cálculo.
</t>
        </r>
      </text>
    </comment>
    <comment ref="X525" authorId="0" shapeId="0" xr:uid="{00000000-0006-0000-0000-000052020000}">
      <text>
        <r>
          <rPr>
            <sz val="10"/>
            <color indexed="81"/>
            <rFont val="Lucida Console"/>
            <family val="3"/>
          </rPr>
          <t>54019|SAPATA INTERNA 38 X 38 MM|1|61|8|MATERIAL HIDRAULICO, CANOS, TUBOS, MANGUEIRAS, CONEXOES E ACESS.|MHI|Padrão|4|17|68|Ativo|</t>
        </r>
      </text>
    </comment>
    <comment ref="X526" authorId="2" shapeId="0" xr:uid="{00000000-0006-0000-0000-000053020000}">
      <text>
        <r>
          <rPr>
            <sz val="10"/>
            <color indexed="81"/>
            <rFont val="Lucida Console"/>
            <family val="3"/>
          </rPr>
          <t>12654|COPO PLASTICO DESCARTAVEL - 180 ML - PT C/ 100 UN (AGUA)|1|52|6|EQUIP.E MAT. P/REFEITORIO, COPA E COZINHA|ADM|Personalizado|3|6016|18048|Ativo|</t>
        </r>
      </text>
    </comment>
    <comment ref="X527" authorId="0" shapeId="0" xr:uid="{00000000-0006-0000-0000-000054020000}">
      <text>
        <r>
          <rPr>
            <sz val="10"/>
            <color indexed="81"/>
            <rFont val="Lucida Console"/>
            <family val="3"/>
          </rPr>
          <t>135703|REGUA DE 30 CM EM POLIESTIRENO. COR: TRANSPARENTE, CRISTAL.|1|45|9|MAQ., EQUIP., COMP., ACES., MAT. PARA ESCRIT.E ESCOLAR|EDU|Padrão|4|695|2780|Ativo|</t>
        </r>
      </text>
    </comment>
    <comment ref="X528" authorId="0" shapeId="0" xr:uid="{00000000-0006-0000-0000-000055020000}">
      <text>
        <r>
          <rPr>
            <sz val="10"/>
            <color indexed="81"/>
            <rFont val="Lucida Console"/>
            <family val="3"/>
          </rPr>
          <t>136895|LAMPADA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PROCEL.|1|55|66|EQUIP. MAT. P/ GERACAO, TRANSM. DISTR. RETIF...|MEL|Padrão|4|42|168|Ativo|</t>
        </r>
      </text>
    </comment>
    <comment ref="X529" authorId="0" shapeId="0" xr:uid="{00000000-0006-0000-0000-000056020000}">
      <text>
        <r>
          <rPr>
            <sz val="10"/>
            <color indexed="81"/>
            <rFont val="Lucida Console"/>
            <family val="3"/>
          </rPr>
          <t>131937|PINCEL PARA PINTURA, CABO EM MADEIRA CURTO, FORMATO BROXA REDONDO, CERDA GRIS, TAMANHO 4.|1|45|9|MAQ., EQUIP., COMP., ACES., MAT. PARA ESCRIT.E ESCOLAR|EDU|Padrão|4|304|1216|Ativo|</t>
        </r>
      </text>
    </comment>
    <comment ref="X530" authorId="0" shapeId="0" xr:uid="{00000000-0006-0000-0000-000057020000}">
      <text>
        <r>
          <rPr>
            <sz val="10"/>
            <color indexed="81"/>
            <rFont val="Lucida Console"/>
            <family val="3"/>
          </rPr>
          <t>136556|DOBRADICA PARA PORTA EM ACO ZINCADO, MEDIDAS 3.1/2" X 2.1/4", ESPESSURA MINIMA DE 1,5 MM|1|51|10|MAT.E EQUIP. P/ CONSTR.CIVIL E CONSERV. DE VIAS PUBL.|MCO|Padrão|4|89|356|Ativo|</t>
        </r>
      </text>
    </comment>
    <comment ref="X531" authorId="0" shapeId="0" xr:uid="{00000000-0006-0000-0000-000058020000}">
      <text>
        <r>
          <rPr>
            <sz val="10"/>
            <color indexed="81"/>
            <rFont val="Lucida Console"/>
            <family val="3"/>
          </rPr>
          <t>64604|BARRA/FIO REDONDO PARA CONSTRUCAO, DE ACO CA50 - 1/4"|1|69|8|METAIS,LAMINAD.,PERFILADOS E ARTEFATOS METALICOS|MSE|Padrão|4|25|100|Ativo|</t>
        </r>
      </text>
    </comment>
    <comment ref="X532" authorId="0" shapeId="0" xr:uid="{00000000-0006-0000-0000-000059020000}">
      <text>
        <r>
          <rPr>
            <sz val="10"/>
            <color indexed="81"/>
            <rFont val="Lucida Console"/>
            <family val="3"/>
          </rPr>
          <t>78055|CORREDICA TELESCOPICA, PARA GAVETA, FZ 405 MM - 45 KG|1|78|2|MOBILIARIO E COFRE|ADM|Padrão|4|11|44|Ativo|</t>
        </r>
      </text>
    </comment>
    <comment ref="X533" authorId="0" shapeId="0" xr:uid="{00000000-0006-0000-0000-00005A020000}">
      <text>
        <r>
          <rPr>
            <sz val="10"/>
            <color indexed="81"/>
            <rFont val="Lucida Console"/>
            <family val="3"/>
          </rPr>
          <t>11448|CORRETIVO LIQUIDO A BASE DE AGUA - FR C/ 18 ML|1|45|9|MAQ., EQUIP., COMP., ACES., MAT. PARA ESCRIT.E ESCOLAR|EDU|Padrão|4|125|500|Ativo|</t>
        </r>
      </text>
    </comment>
    <comment ref="X534" authorId="0" shapeId="0" xr:uid="{00000000-0006-0000-0000-00005B020000}">
      <text>
        <r>
          <rPr>
            <sz val="10"/>
            <color indexed="81"/>
            <rFont val="Lucida Console"/>
            <family val="3"/>
          </rPr>
          <t>59882|BARRA/FIO REDONDO DE ACO CA 50 P/CONSTRUCAO NBR 7480 - 3/8"|1|69|8|METAIS,LAMINAD.,PERFILADOS E ARTEFATOS METALICOS|MSE|Padrão|4|97|388|Ativo|</t>
        </r>
      </text>
    </comment>
    <comment ref="X535" authorId="0" shapeId="0" xr:uid="{00000000-0006-0000-0000-00005C020000}">
      <text>
        <r>
          <rPr>
            <sz val="10"/>
            <color indexed="81"/>
            <rFont val="Lucida Console"/>
            <family val="3"/>
          </rPr>
          <t>100802|SILICONE PARA VEDACAO - TUBO COM NO MINIMO 280G|1|61|9|MATERIAL HIDRAULICO, CANOS, TUBOS, MANGUEIRAS, CONEXOES E ACESS.|MHI|Padrão|4|49|196|Ativo|</t>
        </r>
      </text>
    </comment>
    <comment ref="X536" authorId="0" shapeId="0" xr:uid="{00000000-0006-0000-0000-00005D020000}">
      <text>
        <r>
          <rPr>
            <sz val="10"/>
            <color indexed="81"/>
            <rFont val="Lucida Console"/>
            <family val="3"/>
          </rPr>
          <t>79687|CAPA EM POLIPROPILENO, TAMANHO A4, 0,30 MM DE ESPESSURA, TRANSPARENTE|1|45|11|MAQ., EQUIP., COMP., ACES., MAT. PARA ESCRIT.E ESCOLAR|EDU|Padrão|4|811|3244|Ativo|</t>
        </r>
      </text>
    </comment>
    <comment ref="X537" authorId="0" shapeId="0" xr:uid="{00000000-0006-0000-0000-00005E020000}">
      <text>
        <r>
          <rPr>
            <sz val="10"/>
            <color indexed="81"/>
            <rFont val="Lucida Console"/>
            <family val="3"/>
          </rPr>
          <t>136941|PAPEL KRAFT MONOLUCIDO EM BOBINA, COR PARDA, MEDIDAS MINIMAS: 55 CM X 130 M, GRAMATURA MINIMA: 80G/M², PESO MINIMO DA BOBINA: 5,7 KG. PRODUZIDO EM FIBRAS CELULOSICAS VIRGENS NATURAIS, PURO, LISO, SEM APARAS.||57|2|MAQ. E EQUIP. P/ IND. GRAFICA COMP. ACESS. E PAPEI|EDU|Padrão|4|50|200|Ativo|</t>
        </r>
      </text>
    </comment>
    <comment ref="X538" authorId="0" shapeId="0" xr:uid="{00000000-0006-0000-0000-00005F020000}">
      <text>
        <r>
          <rPr>
            <sz val="10"/>
            <color indexed="81"/>
            <rFont val="Lucida Console"/>
            <family val="3"/>
          </rPr>
          <t>27136|TOUCA DE PROTECAO PARA CABELOS, TIPO COZINHEIRA, EM MATERIAL DESCARTAVEL (TNT) SANFONADA|1|62|10|VEST., ART.P/ TOUC.E HIG. PES. MAQ., EQUIP., MAT.E ACES.|ADM|Padrão|4|9752|39008|Ativo|</t>
        </r>
      </text>
    </comment>
    <comment ref="X539" authorId="0" shapeId="0" xr:uid="{00000000-0006-0000-0000-000060020000}">
      <text>
        <r>
          <rPr>
            <sz val="10"/>
            <color indexed="81"/>
            <rFont val="Lucida Console"/>
            <family val="3"/>
          </rPr>
          <t>12754|LA DE ACO - EMBALAGEM C/ 08 ESPONJAS.|1|72|6|MAQ.EQUIP.E MATERIAIS P/ HIGIEN.LIMP.POLIM.E LUBR.|ADM|Padrão|4|87|348|Ativo|</t>
        </r>
      </text>
    </comment>
    <comment ref="X540" authorId="0" shapeId="0" xr:uid="{00000000-0006-0000-0000-000061020000}">
      <text>
        <r>
          <rPr>
            <sz val="10"/>
            <color indexed="81"/>
            <rFont val="Lucida Console"/>
            <family val="3"/>
          </rPr>
          <t>83627|SACO PLASTICO - GROSSO - 4 FUROS - TAMANHO OFICIO|1|45|11|MAQ., EQUIP., COMP., ACES., MAT. PARA ESCRIT.E ESCOLAR|EDU|Padrão|4|5637|22548|Ativo|</t>
        </r>
      </text>
    </comment>
    <comment ref="X541" authorId="0" shapeId="0" xr:uid="{00000000-0006-0000-0000-000062020000}">
      <text>
        <r>
          <rPr>
            <sz val="10"/>
            <color indexed="81"/>
            <rFont val="Lucida Console"/>
            <family val="3"/>
          </rPr>
          <t>81514|PARAFUSO EM ACO BICROMATIZADO, CABECA CHATA - 3,5 X 16 MM - CABECA COM ENCAIXE PARA CHAVE PHILLIPS|1|67|15|PARAFUSOS ELEM. VEDACAO UNIAO CONEX . FIXACAO|MSE|Padrão|4|6564|26256|Ativo|</t>
        </r>
      </text>
    </comment>
    <comment ref="X542" authorId="0" shapeId="0" xr:uid="{00000000-0006-0000-0000-000063020000}">
      <text>
        <r>
          <rPr>
            <sz val="10"/>
            <color indexed="81"/>
            <rFont val="Lucida Console"/>
            <family val="3"/>
          </rPr>
          <t>29296|ESTOPA BRANCA - PACOTE C/ 500 GR, NA EMBALAGEM DEVERA CONTER MARCA DO FABRICANTE|1|72|7|MAQ.EQUIP.E MATERIAIS P/ HIGIEN.LIMP.POLIM.E LUBR.|ADM|Padrão|4|16|64|Ativo|</t>
        </r>
      </text>
    </comment>
    <comment ref="X543" authorId="0" shapeId="0" xr:uid="{00000000-0006-0000-0000-000064020000}">
      <text>
        <r>
          <rPr>
            <sz val="10"/>
            <color indexed="81"/>
            <rFont val="Lucida Console"/>
            <family val="3"/>
          </rPr>
          <t>27353|GESSO ESTUQUE, EMBALAGEM C/ 01 KG|1|51|3|MAT.E EQUIP. P/ CONSTR.CIVIL E CONSERV. DE VIAS PUBL.|MCO|Padrão|4|20|80|Ativo|</t>
        </r>
      </text>
    </comment>
    <comment ref="X544" authorId="0" shapeId="0" xr:uid="{00000000-0006-0000-0000-000065020000}">
      <text>
        <r>
          <rPr>
            <sz val="10"/>
            <color indexed="81"/>
            <rFont val="Lucida Console"/>
            <family val="3"/>
          </rPr>
          <t>110771|DISJUNTOR NORMA DIN, CURVA C PADRAO, BIPOLAR - 25 AMPERES|1|55|26|EQUIP. MAT. P/ GERACAO, TRANSM. DISTR. RETIF...|MEL|Padrão|4|8|32|Ativo|</t>
        </r>
      </text>
    </comment>
    <comment ref="X545" authorId="0" shapeId="0" xr:uid="{00000000-0006-0000-0000-000066020000}">
      <text>
        <r>
          <rPr>
            <sz val="10"/>
            <color indexed="81"/>
            <rFont val="Lucida Console"/>
            <family val="3"/>
          </rPr>
          <t>13068|TE DE REDUCAO PVC RIGIDO SOLDAVEL 1.1/2 X 3/4"|1|61|8|MATERIAL HIDRAULICO, CANOS, TUBOS, MANGUEIRAS, CONEXOES E ACESS.|MHI|Padrão|4|8|32|Ativo|</t>
        </r>
      </text>
    </comment>
    <comment ref="J546" authorId="1" shapeId="0" xr:uid="{00000000-0006-0000-0000-000067020000}">
      <text>
        <r>
          <rPr>
            <b/>
            <sz val="9"/>
            <color indexed="81"/>
            <rFont val="Segoe UI"/>
            <family val="2"/>
          </rPr>
          <t xml:space="preserve">
Planilha do Laércio 06/06/2019.</t>
        </r>
        <r>
          <rPr>
            <sz val="9"/>
            <color indexed="81"/>
            <rFont val="Segoe UI"/>
            <family val="2"/>
          </rPr>
          <t xml:space="preserve">
</t>
        </r>
      </text>
    </comment>
    <comment ref="X546" authorId="1" shapeId="0" xr:uid="{00000000-0006-0000-0000-000068020000}">
      <text>
        <r>
          <rPr>
            <sz val="9"/>
            <color indexed="81"/>
            <rFont val="Segoe UI"/>
            <family val="2"/>
          </rPr>
          <t>20760|TINTA ACRILICA P/ DEMARCACAO DE SOLO - BALDE C/ 18 LITROS -|1|76|5|EQUIP. E MATERIAIS P/PINTURAS E IMPERMEABILIZACAO|MPI|Personalizado|3|8|24|Ativo|</t>
        </r>
      </text>
    </comment>
    <comment ref="X547" authorId="0" shapeId="0" xr:uid="{00000000-0006-0000-0000-000069020000}">
      <text>
        <r>
          <rPr>
            <sz val="10"/>
            <color indexed="81"/>
            <rFont val="Lucida Console"/>
            <family val="3"/>
          </rPr>
          <t>77788|RODIZIO GIRATORIO DE 2" - P/CARRINHO COM PLACA|1|67|13|PARAFUSOS ELEM. VEDACAO UNIAO CONEX . FIXACAO|MSE|Padrão|4|50|200|Ativo|</t>
        </r>
      </text>
    </comment>
    <comment ref="X548" authorId="0" shapeId="0" xr:uid="{00000000-0006-0000-0000-00006A020000}">
      <text>
        <r>
          <rPr>
            <sz val="10"/>
            <color indexed="81"/>
            <rFont val="Lucida Console"/>
            <family val="3"/>
          </rPr>
          <t>64605|BARRA/FIO REDONDO PARA CONSTRUCAO, DE ACO CA50 - 3/16" - BARRA COM 12 METROS|1|69|8|METAIS,LAMINAD.,PERFILADOS E ARTEFATOS METALICOS|MSE|Padrão|4|50|200|Ativo|</t>
        </r>
      </text>
    </comment>
    <comment ref="X549" authorId="1" shapeId="0" xr:uid="{00000000-0006-0000-0000-00006B020000}">
      <text>
        <r>
          <rPr>
            <sz val="9"/>
            <color indexed="81"/>
            <rFont val="Segoe UI"/>
            <family val="2"/>
          </rPr>
          <t>24371|BLOCO DE CONCRETO - 15 X 20 X 40 CM|1|51|7|MAT.E EQUIP. P/ CONSTR.CIVIL E CONSERV. DE VIAS PUBL.|MCO||4|2138|8552|Ativo|</t>
        </r>
      </text>
    </comment>
    <comment ref="X550" authorId="0" shapeId="0" xr:uid="{00000000-0006-0000-0000-00006C020000}">
      <text>
        <r>
          <rPr>
            <sz val="10"/>
            <color indexed="81"/>
            <rFont val="Lucida Console"/>
            <family val="3"/>
          </rPr>
          <t>87348|FERRO CHATO 1/2" X 1/4" - BARRA C/ 06 METROS|1|51|13|MAT.E EQUIP. P/ CONSTR.CIVIL E CONSERV. DE VIAS PUBL.|MCO|Padrão|4|42|168|Ativo|</t>
        </r>
      </text>
    </comment>
    <comment ref="X551" authorId="0" shapeId="0" xr:uid="{00000000-0006-0000-0000-00006D020000}">
      <text>
        <r>
          <rPr>
            <sz val="10"/>
            <color indexed="81"/>
            <rFont val="Lucida Console"/>
            <family val="3"/>
          </rPr>
          <t>10302|PAPEL P/ REPROGRAFIA 210 X 297 MM - AMARELO GR 75GR|1|57|19|MAQ. E EQUIP. P/ IND. GRAFICA COMP. ACESS. E PAPEI|EDU|Padrão|4|316|1264|Ativo|</t>
        </r>
      </text>
    </comment>
    <comment ref="X552" authorId="0" shapeId="0" xr:uid="{00000000-0006-0000-0000-00006E020000}">
      <text>
        <r>
          <rPr>
            <sz val="10"/>
            <color indexed="81"/>
            <rFont val="Lucida Console"/>
            <family val="3"/>
          </rPr>
          <t>127384|MANTA ASFALTICA, AUTO ADESIVA - MEDIDAS: 10CM DE LARGURA X 10 M DE COMPRIMENTO|1|51|33|MAT.E EQUIP. P/ CONSTR.CIVIL E CONSERV. DE VIAS PUBL.|MCO|Padrão|4|13|52|Ativo|</t>
        </r>
      </text>
    </comment>
    <comment ref="X553" authorId="0" shapeId="0" xr:uid="{00000000-0006-0000-0000-00006F020000}">
      <text>
        <r>
          <rPr>
            <sz val="10"/>
            <color indexed="81"/>
            <rFont val="Lucida Console"/>
            <family val="3"/>
          </rPr>
          <t>60889|ELETRODUTO DE FERRO GALVANIZADO - 3/4"|1|55|32|EQUIP. MAT. P/ GERACAO, TRANSM. DISTR. RETIF...|MEL|Padrão|4|79|316|Ativo|</t>
        </r>
      </text>
    </comment>
    <comment ref="X554" authorId="0" shapeId="0" xr:uid="{00000000-0006-0000-0000-000070020000}">
      <text>
        <r>
          <rPr>
            <sz val="10"/>
            <color indexed="81"/>
            <rFont val="Lucida Console"/>
            <family val="3"/>
          </rPr>
          <t>128815|TAMPAO DE PVC PARA CONDULETE DE 3/4"|1|55|32|EQUIP. MAT. P/ GERACAO, TRANSM. DISTR. RETIF...|MEL|Padrão|4|200|800|Ativo|</t>
        </r>
      </text>
    </comment>
    <comment ref="X555" authorId="0" shapeId="0" xr:uid="{00000000-0006-0000-0000-000071020000}">
      <text>
        <r>
          <rPr>
            <sz val="10"/>
            <color indexed="81"/>
            <rFont val="Lucida Console"/>
            <family val="3"/>
          </rPr>
          <t>119554|CHAPA EM MDF ALTO BRILHO - MEDIDAS: 2,75 X 1,86 M X 15 MM DE ESPESSURA|1|74|9|MADEIRAS,LAMINADOS,COMPENSADOS E AGLOMERADOS|MCO|Padrão|4|9|36|Ativo|</t>
        </r>
      </text>
    </comment>
    <comment ref="X556" authorId="0" shapeId="0" xr:uid="{00000000-0006-0000-0000-000072020000}">
      <text>
        <r>
          <rPr>
            <sz val="10"/>
            <color indexed="81"/>
            <rFont val="Lucida Console"/>
            <family val="3"/>
          </rPr>
          <t>12614|ENVELOPE PARDO TIPO SACO 310  X 410 MM- GRAMATURA MINIMA 80 G/M²|1|45|11|MAQ., EQUIP., COMP., ACES., MAT. PARA ESCRIT.E ESCOLAR|EDU|Padrão|4|2760|11040|Ativo|</t>
        </r>
      </text>
    </comment>
    <comment ref="X557" authorId="0" shapeId="0" xr:uid="{00000000-0006-0000-0000-000073020000}">
      <text>
        <r>
          <rPr>
            <sz val="10"/>
            <color indexed="81"/>
            <rFont val="Lucida Console"/>
            <family val="3"/>
          </rPr>
          <t>17136|GRAMPO 26/6 P/ GRAMPEADOR CX C/ 5000 UNIDADES|1|45|12|MAQ., EQUIP., COMP., ACES., MAT. PARA ESCRIT.E ESCOLAR|EDU|Padrão|4|100|400|Ativo|</t>
        </r>
      </text>
    </comment>
    <comment ref="X558" authorId="0" shapeId="0" xr:uid="{00000000-0006-0000-0000-000074020000}">
      <text>
        <r>
          <rPr>
            <sz val="10"/>
            <color indexed="81"/>
            <rFont val="Lucida Console"/>
            <family val="3"/>
          </rPr>
          <t>63385|PAPEL SULFITE - 66 X 96 CM  120 G/M2 - BRANCO|1|57|17|MAQ. E EQUIP. P/ IND. GRAFICA COMP. ACESS. E PAPEI|EDU|Padrão|4|3677|14708|Ativo|</t>
        </r>
      </text>
    </comment>
    <comment ref="X559" authorId="0" shapeId="0" xr:uid="{00000000-0006-0000-0000-000075020000}">
      <text>
        <r>
          <rPr>
            <sz val="10"/>
            <color indexed="81"/>
            <rFont val="Lucida Console"/>
            <family val="3"/>
          </rPr>
          <t>131930|FITA ADESIVA DUPLA FACE, MEDINDO APROXIMADAMENTE 12MM X 30M|1|45|9|MAQ., EQUIP., COMP., ACES., MAT. PARA ESCRIT.E ESCOLAR|EDU|Padrão|4|1008|4032|Ativo|</t>
        </r>
      </text>
    </comment>
    <comment ref="X560" authorId="2" shapeId="0" xr:uid="{00000000-0006-0000-0000-000076020000}">
      <text>
        <r>
          <rPr>
            <sz val="10"/>
            <color indexed="81"/>
            <rFont val="Lucida Console"/>
            <family val="3"/>
          </rPr>
          <t>127664|CHA DE ERVA MATE TOSTADO - CAIXA COM 250 GR|1|71|34|GENEROS ALIMENTICIOS E BEBIDAS|EDU|Personalizado|3|420|1260|Ativo|</t>
        </r>
      </text>
    </comment>
    <comment ref="X561" authorId="0" shapeId="0" xr:uid="{00000000-0006-0000-0000-000077020000}">
      <text>
        <r>
          <rPr>
            <sz val="10"/>
            <color indexed="81"/>
            <rFont val="Lucida Console"/>
            <family val="3"/>
          </rPr>
          <t>126837|PE CONICO EM FERRO CROMADO DE 15 CM|1|78|2|MOBILIARIO E COFRE|ADM|Padrão|4|138|552|Ativo|</t>
        </r>
      </text>
    </comment>
    <comment ref="X562" authorId="0" shapeId="0" xr:uid="{00000000-0006-0000-0000-000078020000}">
      <text>
        <r>
          <rPr>
            <sz val="10"/>
            <color indexed="81"/>
            <rFont val="Lucida Console"/>
            <family val="3"/>
          </rPr>
          <t>13161|TORNEIRA DE PRESSAO EM LATAO CROMADO 1/2" P/ LAVATORIO|1|61|14|MATERIAL HIDRAULICO, CANOS, TUBOS, MANGUEIRAS, CONEXOES E ACESS.|MHI|Padrão|4|24|96|Ativo|</t>
        </r>
      </text>
    </comment>
    <comment ref="X563" authorId="0" shapeId="0" xr:uid="{00000000-0006-0000-0000-000079020000}">
      <text>
        <r>
          <rPr>
            <sz val="10"/>
            <color indexed="81"/>
            <rFont val="Lucida Console"/>
            <family val="3"/>
          </rPr>
          <t>14921|FITA ISOLANTE 19 MM X 20 M|1|55|40|EQUIP. MAT. P/ GERACAO, TRANSM. DISTR. RETIF...|MEL|Padrão|4|102|408|Ativo|</t>
        </r>
      </text>
    </comment>
    <comment ref="X564" authorId="0" shapeId="0" xr:uid="{00000000-0006-0000-0000-00007A020000}">
      <text>
        <r>
          <rPr>
            <sz val="10"/>
            <color indexed="81"/>
            <rFont val="Lucida Console"/>
            <family val="3"/>
          </rPr>
          <t>121126|SAPATILHA DESCARTAVEL (TIPO PRO PE) DE COR BRANCA, CONFECCIONADA EM TECIDO NAO TECIDO, 30 G DE GRAMATURA, COM ELASTICO A VOLTA, CONTENDO NA EMBALAGEM DADOS DE IDENTIFICACAO E PROCEDENCIA|1|62|10|VEST., ART.P/ TOUC.E HIG. PES. MAQ., EQUIP., MAT.E ACES.|ADM|Padrão|4|2875|11500|Ativo|</t>
        </r>
      </text>
    </comment>
    <comment ref="X565" authorId="0" shapeId="0" xr:uid="{00000000-0006-0000-0000-00007B020000}">
      <text>
        <r>
          <rPr>
            <sz val="10"/>
            <color indexed="81"/>
            <rFont val="Lucida Console"/>
            <family val="3"/>
          </rPr>
          <t>58116|PNEU 325 X 8 COM 02 LONAS - PARA CARRINHO DE MAO, TIPO PERU|1|70|38|FERRAMENTAS MAQ.FERRAMENTAS,ELETR.PECAS E ACESSORI|MAN|Padrão|4|5|20|Ativo|</t>
        </r>
      </text>
    </comment>
    <comment ref="X566" authorId="0" shapeId="0" xr:uid="{00000000-0006-0000-0000-00007C020000}">
      <text>
        <r>
          <rPr>
            <sz val="10"/>
            <color indexed="81"/>
            <rFont val="Lucida Console"/>
            <family val="3"/>
          </rPr>
          <t>100383|FIO DE NYLON DE 3,0MM, QUADRADO, USO EM ROCADEIRA LATERAL STIHL FS 220 - PESO APROXIMADO: ROLO C/2 KG|1|80|7|CABOS CORRENTES CORDAS ESTICADORES E ART. BORRACHA|MAN|Padrão|4|5|20|Ativo|</t>
        </r>
      </text>
    </comment>
    <comment ref="X567" authorId="0" shapeId="0" xr:uid="{00000000-0006-0000-0000-00007D020000}">
      <text>
        <r>
          <rPr>
            <sz val="10"/>
            <color indexed="81"/>
            <rFont val="Lucida Console"/>
            <family val="3"/>
          </rPr>
          <t>132624|LAVATORIO SUSPENSO INFANTIL, NA COR BRANCA, MATERAL EM LOUCA NAS DIMENSOES: 38 X 28 CM (COMPRIMENTO/LARGURA). MEDIDAS PODENDO VARIAR EM + / - 03 CM.|1|51|36|MAT.E EQUIP. P/ CONSTR.CIVIL E CONSERV. DE VIAS PUBL.|MCO|Padrão|4|5|20|Ativo|</t>
        </r>
      </text>
    </comment>
    <comment ref="X568" authorId="0" shapeId="0" xr:uid="{00000000-0006-0000-0000-00007E020000}">
      <text>
        <r>
          <rPr>
            <sz val="10"/>
            <color indexed="81"/>
            <rFont val="Lucida Console"/>
            <family val="3"/>
          </rPr>
          <t>74911|VIGA DE GARAPEIRA BRUTA - 6 X 12 CM X 4,50 M COMPRIMENTO|1|74|3|MADEIRAS,LAMINADOS,COMPENSADOS E AGLOMERADOS|MCO|Padrão|4|20|80|Ativo|</t>
        </r>
      </text>
    </comment>
    <comment ref="X569" authorId="0" shapeId="0" xr:uid="{00000000-0006-0000-0000-00007F020000}">
      <text>
        <r>
          <rPr>
            <sz val="10"/>
            <color indexed="81"/>
            <rFont val="Lucida Console"/>
            <family val="3"/>
          </rPr>
          <t>106408|CONDULETE EM LIGA DE ALUMINIO FUNDIDO|1|55|32|EQUIP. MAT. P/ GERACAO, TRANSM. DISTR. RETIF...|MEL|Padrão|4|5|20|Ativo|</t>
        </r>
      </text>
    </comment>
    <comment ref="X570" authorId="0" shapeId="0" xr:uid="{00000000-0006-0000-0000-000080020000}">
      <text>
        <r>
          <rPr>
            <sz val="10"/>
            <color indexed="81"/>
            <rFont val="Lucida Console"/>
            <family val="3"/>
          </rPr>
          <t>128816|TAMPAO DE PVC PARA CONDULETE DE 1.1/2"|1|55|32|EQUIP. MAT. P/ GERACAO, TRANSM. DISTR. RETIF...|MEL|Padrão|4|5|20|Ativo|</t>
        </r>
      </text>
    </comment>
    <comment ref="J571" authorId="1" shapeId="0" xr:uid="{00000000-0006-0000-0000-000081020000}">
      <text>
        <r>
          <rPr>
            <b/>
            <sz val="9"/>
            <color indexed="81"/>
            <rFont val="Segoe UI"/>
            <family val="2"/>
          </rPr>
          <t xml:space="preserve">
Planilha do Laércio 06/06/2019.</t>
        </r>
        <r>
          <rPr>
            <sz val="9"/>
            <color indexed="81"/>
            <rFont val="Segoe UI"/>
            <family val="2"/>
          </rPr>
          <t xml:space="preserve">
</t>
        </r>
      </text>
    </comment>
    <comment ref="X571" authorId="0" shapeId="0" xr:uid="{00000000-0006-0000-0000-000082020000}">
      <text>
        <r>
          <rPr>
            <sz val="10"/>
            <color indexed="81"/>
            <rFont val="Lucida Console"/>
            <family val="3"/>
          </rPr>
          <t>109848|TEXTURA ACRILICA GRAFIATO HIDROREPELENTE NA COR BRANCA - BARRICA COM 25 KG.|1|76|9|EQUIP. E MATERIAIS P/PINTURAS E IMPERMEABILIZACAO|MPI|Padrão|4|5|20|Ativo|</t>
        </r>
      </text>
    </comment>
    <comment ref="X572" authorId="0" shapeId="0" xr:uid="{00000000-0006-0000-0000-000083020000}">
      <text>
        <r>
          <rPr>
            <sz val="10"/>
            <color indexed="81"/>
            <rFont val="Lucida Console"/>
            <family val="3"/>
          </rPr>
          <t>134563|PARAFUSO EM ACO BICROMATIZADO, CABECA CHATA PH 4,0 X 16 - CAIXA COM 500 UNIDADES|1|67|3|PARAFUSOS ELEM. VEDACAO UNIAO CONEX . FIXACAO|MSE|Padrão|4|5|20|Ativo|</t>
        </r>
      </text>
    </comment>
    <comment ref="J573" authorId="2" shapeId="0" xr:uid="{00000000-0006-0000-0000-000084020000}">
      <text>
        <r>
          <rPr>
            <b/>
            <sz val="9"/>
            <color indexed="81"/>
            <rFont val="Segoe UI"/>
            <family val="2"/>
          </rPr>
          <t>Marcos:</t>
        </r>
        <r>
          <rPr>
            <sz val="9"/>
            <color indexed="81"/>
            <rFont val="Segoe UI"/>
            <family val="2"/>
          </rPr>
          <t xml:space="preserve">
Média dos últimos 4 meses = 21.</t>
        </r>
      </text>
    </comment>
    <comment ref="X573" authorId="0" shapeId="0" xr:uid="{00000000-0006-0000-0000-000085020000}">
      <text>
        <r>
          <rPr>
            <sz val="10"/>
            <color indexed="81"/>
            <rFont val="Lucida Console"/>
            <family val="3"/>
          </rPr>
          <t>88856|BARRA DE FERRO TEE 1 X 1/8 - BARRA COM 06 METROS|1|69|2|METAIS,LAMINAD.,PERFILADOS E ARTEFATOS METALICOS|MSE|Padrão|4|20|80|Ativo|</t>
        </r>
      </text>
    </comment>
    <comment ref="X574" authorId="0" shapeId="0" xr:uid="{00000000-0006-0000-0000-000086020000}">
      <text>
        <r>
          <rPr>
            <sz val="10"/>
            <color indexed="81"/>
            <rFont val="Lucida Console"/>
            <family val="3"/>
          </rPr>
          <t>64860|FERRO CHATO 1 1/2" X 1/8" BARRA C/ 06 METROS|1|69|8|METAIS,LAMINAD.,PERFILADOS E ARTEFATOS METALICOS|MSE|Padrão|4|10|40|Ativo|</t>
        </r>
      </text>
    </comment>
    <comment ref="X575" authorId="0" shapeId="0" xr:uid="{00000000-0006-0000-0000-000087020000}">
      <text>
        <r>
          <rPr>
            <sz val="10"/>
            <color indexed="81"/>
            <rFont val="Lucida Console"/>
            <family val="3"/>
          </rPr>
          <t>63031|SIFAO SANFONADO UNIVERSAL|1|61|11|MATERIAL HIDRAULICO, CANOS, TUBOS, MANGUEIRAS, CONEXOES E ACESS.|MHI|Padrão|4|66|264|Ativo|</t>
        </r>
      </text>
    </comment>
    <comment ref="X576" authorId="0" shapeId="0" xr:uid="{00000000-0006-0000-0000-000088020000}">
      <text>
        <r>
          <rPr>
            <sz val="10"/>
            <color indexed="81"/>
            <rFont val="Lucida Console"/>
            <family val="3"/>
          </rPr>
          <t>132300|LAPIS DE COR AQUARELAVEL, CAIXA COM 12 CORES, TINTAS ATOXICAS, SOLUVEIS EM AGUA. DIMENSAO DA CAIXA: 215MM X 95MM X 13MM (VARIACAO +/- 10MM). PRODUTO COM CERTIFICACAO DO INMETRO|1|45|16|MAQ., EQUIP., COMP., ACES., MAT. PARA ESCRIT.E ESCOLAR|EDU|Padrão|4|697|2788|Ativo|</t>
        </r>
      </text>
    </comment>
    <comment ref="X577" authorId="0" shapeId="0" xr:uid="{00000000-0006-0000-0000-000089020000}">
      <text>
        <r>
          <rPr>
            <sz val="10"/>
            <color indexed="81"/>
            <rFont val="Lucida Console"/>
            <family val="3"/>
          </rPr>
          <t>58706|PONTALETE DE CEDRINHO 3" X 3" - COM 03 METROS DE COMPRIMENT|1|74|3|MADEIRAS,LAMINADOS,COMPENSADOS E AGLOMERADOS|MCO|Padrão|4|32|128|Ativo|</t>
        </r>
      </text>
    </comment>
    <comment ref="X578" authorId="0" shapeId="0" xr:uid="{00000000-0006-0000-0000-00008A020000}">
      <text>
        <r>
          <rPr>
            <sz val="10"/>
            <color indexed="81"/>
            <rFont val="Lucida Console"/>
            <family val="3"/>
          </rPr>
          <t>132296|FITA ADESIVA TRANSPARENTE, MEDINDO APROXIMADAMENTE 19MM X 50M. COMPOSICAO: FILME DE POLIPROPILENO, COM ADESIVO A BASE DE RESINA, BORRACHA SINTETICA E PIGMENTO, ADESIVO HOT MELT|1|45|14|MAQ., EQUIP., COMP., ACES., MAT. PARA ESCRIT.E ESCOLAR|EDU|Padrão|4|855|3420|Ativo|</t>
        </r>
      </text>
    </comment>
    <comment ref="X579" authorId="0" shapeId="0" xr:uid="{00000000-0006-0000-0000-00008B020000}">
      <text>
        <r>
          <rPr>
            <sz val="10"/>
            <color indexed="81"/>
            <rFont val="Lucida Console"/>
            <family val="3"/>
          </rPr>
          <t>87465|PANO DE FLANELA 30 X 60CM - BRANCA|1|72|7|MAQ.EQUIP.E MATERIAIS P/ HIGIEN.LIMP.POLIM.E LUBR.|ADM|Padrão|4|125|500|Ativo|</t>
        </r>
      </text>
    </comment>
    <comment ref="X580" authorId="0" shapeId="0" xr:uid="{00000000-0006-0000-0000-00008C020000}">
      <text>
        <r>
          <rPr>
            <sz val="10"/>
            <color indexed="81"/>
            <rFont val="Lucida Console"/>
            <family val="3"/>
          </rPr>
          <t>84878|ENVELOPE OURO TIPO SACO 80 X 115 MM- GRAMATURA MINIMA 80 G/M²|1|45|11|MAQ., EQUIP., COMP., ACES., MAT. PARA ESCRIT.E ESCOLAR|EDU|Padrão|4|6209|24836|Ativo|</t>
        </r>
      </text>
    </comment>
    <comment ref="J581" authorId="1" shapeId="0" xr:uid="{00000000-0006-0000-0000-00008D020000}">
      <text>
        <r>
          <rPr>
            <sz val="9"/>
            <color indexed="81"/>
            <rFont val="Segoe UI"/>
            <family val="2"/>
          </rPr>
          <t xml:space="preserve">
Planilha do Laércio 06/06/2019.
</t>
        </r>
      </text>
    </comment>
    <comment ref="X581" authorId="0" shapeId="0" xr:uid="{00000000-0006-0000-0000-00008E020000}">
      <text>
        <r>
          <rPr>
            <sz val="10"/>
            <color indexed="81"/>
            <rFont val="Lucida Console"/>
            <family val="3"/>
          </rPr>
          <t>128287|THINNER PARA PINTURA AUTOMOTIVA E MOVEIS LATA COM 05 LITROS|1|76|16|EQUIP. E MATERIAIS P/PINTURAS E IMPERMEABILIZACAO|MPI|Padrão|4|45|180|Ativo|</t>
        </r>
      </text>
    </comment>
    <comment ref="X582" authorId="0" shapeId="0" xr:uid="{00000000-0006-0000-0000-00008F020000}">
      <text>
        <r>
          <rPr>
            <sz val="10"/>
            <color indexed="81"/>
            <rFont val="Lucida Console"/>
            <family val="3"/>
          </rPr>
          <t>88727|DISJUNTOR NORMA DIN CURVA C PADRAO, BIPOLAR, 20 AMPERES|1|55|26|EQUIP. MAT. P/ GERACAO, TRANSM. DISTR. RETIF...|MEL|Padrão|4|17|68|Ativo|</t>
        </r>
      </text>
    </comment>
    <comment ref="X583" authorId="0" shapeId="0" xr:uid="{00000000-0006-0000-0000-000090020000}">
      <text>
        <r>
          <rPr>
            <sz val="10"/>
            <color indexed="81"/>
            <rFont val="Lucida Console"/>
            <family val="3"/>
          </rPr>
          <t>16978|PLUG EM PVC RIGIDO ROSCAVEL DE 1/2"|1|61|8|MATERIAL HIDRAULICO, CANOS, TUBOS, MANGUEIRAS, CONEXOES E ACESS.|MHI|Padrão|4|34|136|Ativo|</t>
        </r>
      </text>
    </comment>
    <comment ref="J584" authorId="1" shapeId="0" xr:uid="{00000000-0006-0000-0000-000091020000}">
      <text>
        <r>
          <rPr>
            <b/>
            <sz val="9"/>
            <color indexed="81"/>
            <rFont val="Segoe UI"/>
            <family val="2"/>
          </rPr>
          <t>28/05/2019
Informada uma quantidade maior para manter o estoque com uns 500 conforme orientações da Maria Rita devido à solicitação do Rogério.</t>
        </r>
        <r>
          <rPr>
            <sz val="9"/>
            <color indexed="81"/>
            <rFont val="Segoe UI"/>
            <family val="2"/>
          </rPr>
          <t xml:space="preserve">
</t>
        </r>
      </text>
    </comment>
    <comment ref="X584" authorId="0" shapeId="0" xr:uid="{00000000-0006-0000-0000-000092020000}">
      <text>
        <r>
          <rPr>
            <sz val="10"/>
            <color indexed="81"/>
            <rFont val="Lucida Console"/>
            <family val="3"/>
          </rPr>
          <t>134544|REVESTIMENTO CERAMICO, BRANCO BRILHANTE, 32 X 56 CM (VARIACAO +/- 2 CM).|1|51|21|MAT.E EQUIP. P/ CONSTR.CIVIL E CONSERV. DE VIAS PUBL.|MCO|Padrão|4|125|500|Ativo|</t>
        </r>
      </text>
    </comment>
    <comment ref="J585" authorId="1" shapeId="0" xr:uid="{00000000-0006-0000-0000-000093020000}">
      <text>
        <r>
          <rPr>
            <b/>
            <sz val="9"/>
            <color indexed="81"/>
            <rFont val="Segoe UI"/>
            <family val="2"/>
          </rPr>
          <t>Marcos:</t>
        </r>
        <r>
          <rPr>
            <sz val="9"/>
            <color indexed="81"/>
            <rFont val="Segoe UI"/>
            <family val="2"/>
          </rPr>
          <t xml:space="preserve">
Conforme estimativa de Ata.</t>
        </r>
      </text>
    </comment>
    <comment ref="X585" authorId="0" shapeId="0" xr:uid="{00000000-0006-0000-0000-000094020000}">
      <text>
        <r>
          <rPr>
            <sz val="10"/>
            <color indexed="81"/>
            <rFont val="Lucida Console"/>
            <family val="3"/>
          </rPr>
          <t>15813|TIJOLO COMUM DE BARRO MEDINDO 20 X 9 X 4 CM|1|51|6|MAT.E EQUIP. P/ CONSTR.CIVIL E CONSERV. DE VIAS PUBL.|MCO|Padrão|4|542|2168|Ativo|</t>
        </r>
      </text>
    </comment>
    <comment ref="X586" authorId="0" shapeId="0" xr:uid="{00000000-0006-0000-0000-000095020000}">
      <text>
        <r>
          <rPr>
            <sz val="10"/>
            <color indexed="81"/>
            <rFont val="Lucida Console"/>
            <family val="3"/>
          </rPr>
          <t>17132|ELASTICO - EMBALAGEM COM 100GR|1|45|12|MAQ., EQUIP., COMP., ACES., MAT. PARA ESCRIT.E ESCOLAR|EDU|Padrão|4|93|372|Ativo|</t>
        </r>
      </text>
    </comment>
    <comment ref="X587" authorId="2" shapeId="0" xr:uid="{00000000-0006-0000-0000-000096020000}">
      <text>
        <r>
          <rPr>
            <sz val="9"/>
            <color indexed="81"/>
            <rFont val="Segoe UI"/>
            <family val="2"/>
          </rPr>
          <t>98702|FORRO EM PVC BRANCO LISO, REGUA DE 6M DE COMPRIMENTO, 20CM DE LARGURA - 10MM DE ESPESSURA (ESPESSURA COM TOLERANCIA DE +/- 2MM)|1|51|24|MAT.E EQUIP. P/ CONSTR.CIVIL E CONSERV. DE VIAS PUBL.|MCO|Personalizado|3|350|1050|Ativo|</t>
        </r>
      </text>
    </comment>
    <comment ref="J588" authorId="1" shapeId="0" xr:uid="{00000000-0006-0000-0000-000097020000}">
      <text>
        <r>
          <rPr>
            <sz val="9"/>
            <color indexed="81"/>
            <rFont val="Segoe UI"/>
            <family val="2"/>
          </rPr>
          <t xml:space="preserve">
Planilha do Laércio 06/06/2019.
</t>
        </r>
      </text>
    </comment>
    <comment ref="X588" authorId="0" shapeId="0" xr:uid="{00000000-0006-0000-0000-000098020000}">
      <text>
        <r>
          <rPr>
            <sz val="10"/>
            <color indexed="81"/>
            <rFont val="Lucida Console"/>
            <family val="3"/>
          </rPr>
          <t>12853|TRINCHA PARA PINTURA - 1", COM CERDAS 100% NATURAIS|1|76|11|EQUIP. E MATERIAIS P/PINTURAS E IMPERMEABILIZACAO|MPI|Padrão|4|12|48|Ativo|</t>
        </r>
      </text>
    </comment>
    <comment ref="J589" authorId="2" shapeId="0" xr:uid="{00000000-0006-0000-0000-000099020000}">
      <text>
        <r>
          <rPr>
            <b/>
            <sz val="9"/>
            <color indexed="81"/>
            <rFont val="Segoe UI"/>
            <family val="2"/>
          </rPr>
          <t xml:space="preserve">
Alterado para 750 devido ao fato de ter ocorrido consumo de mais de 3670 itens em janeiro/2020, muito fora dos 700 normais de consumo.</t>
        </r>
      </text>
    </comment>
    <comment ref="X589" authorId="0" shapeId="0" xr:uid="{00000000-0006-0000-0000-00009A020000}">
      <text>
        <r>
          <rPr>
            <sz val="10"/>
            <color indexed="81"/>
            <rFont val="Lucida Console"/>
            <family val="3"/>
          </rPr>
          <t>14154|ESPONJA DE NYLON DUPLA FACE, LISO E ABRASIVA - MED: 110 X 75 X 20 MM|1|72|6|MAQ.EQUIP.E MATERIAIS P/ HIGIEN.LIMP.POLIM.E LUBR.|ADM|Padrão|4|750|3000|Ativo|</t>
        </r>
      </text>
    </comment>
    <comment ref="X590" authorId="0" shapeId="0" xr:uid="{00000000-0006-0000-0000-00009B020000}">
      <text>
        <r>
          <rPr>
            <sz val="10"/>
            <color indexed="81"/>
            <rFont val="Lucida Console"/>
            <family val="3"/>
          </rPr>
          <t>12763|CAL HIDRATADA - SACO COM 20 KG|1|51|3|MAT.E EQUIP. P/ CONSTR.CIVIL E CONSERV. DE VIAS PUBL.|MCO|Padrão|4|100|400|Ativo|</t>
        </r>
      </text>
    </comment>
    <comment ref="X591" authorId="0" shapeId="0" xr:uid="{00000000-0006-0000-0000-00009C020000}">
      <text>
        <r>
          <rPr>
            <sz val="10"/>
            <color indexed="81"/>
            <rFont val="Lucida Console"/>
            <family val="3"/>
          </rPr>
          <t>11109|CLIPS 30 MM DE COMPRIMENTO - CX C/ 100 UN|1|45|12|MAQ., EQUIP., COMP., ACES., MAT. PARA ESCRIT.E ESCOLAR|EDU|Padrão|4|329|1316|Ativo|</t>
        </r>
      </text>
    </comment>
    <comment ref="X592" authorId="0" shapeId="0" xr:uid="{00000000-0006-0000-0000-00009D020000}">
      <text>
        <r>
          <rPr>
            <sz val="10"/>
            <color indexed="81"/>
            <rFont val="Lucida Console"/>
            <family val="3"/>
          </rPr>
          <t>107483|RELE FOTOELETRICO COM BASE 220 V - 1000 W - TIPO NF|1|55|4|EQUIP. MAT. P/ GERACAO, TRANSM. DISTR. RETIF...|MEL|Padrão|4|19|76|Ativo|</t>
        </r>
      </text>
    </comment>
    <comment ref="X593" authorId="0" shapeId="0" xr:uid="{00000000-0006-0000-0000-00009E020000}">
      <text>
        <r>
          <rPr>
            <sz val="10"/>
            <color indexed="81"/>
            <rFont val="Lucida Console"/>
            <family val="3"/>
          </rPr>
          <t>132647|CANETA HIDROGRAFICA JUMBO PRETA, PONTA GROSSA, TINTA LAVAVEL.|1|45|10|MAQ., EQUIP., COMP., ACES., MAT. PARA ESCRIT.E ESCOLAR|EDU|Padrão|4|1149|4596|Ativo|</t>
        </r>
      </text>
    </comment>
    <comment ref="X594" authorId="0" shapeId="0" xr:uid="{00000000-0006-0000-0000-00009F020000}">
      <text>
        <r>
          <rPr>
            <sz val="10"/>
            <color indexed="81"/>
            <rFont val="Lucida Console"/>
            <family val="3"/>
          </rPr>
          <t>136896|LAMPADA LED BULBO, BASE E27, POTENCIA MAXIMA 20W, TENSAO 100-240 V, TEMPERATURA DE COR DE 4000 - 7000 K, EFICIENCIA LUMINOSA MINIMA 90 LM/W, FLUXO LUMINOSO MINIMO 1800 LM, ABERTURA DA FACHO MINIMA 140º, VIDA UTIL MINIMA 25.000 H, FP MINIMO 0,75, TAMANHO MAXIMO 14,5 X 9 CM.|1|55|66|EQUIP. MAT. P/ GERACAO, TRANSM. DISTR. RETIF...|MEL|Padrão|4|97|388|Ativo|</t>
        </r>
      </text>
    </comment>
    <comment ref="X595" authorId="0" shapeId="0" xr:uid="{00000000-0006-0000-0000-0000A0020000}">
      <text>
        <r>
          <rPr>
            <sz val="10"/>
            <color indexed="81"/>
            <rFont val="Lucida Console"/>
            <family val="3"/>
          </rPr>
          <t>102279|TUBO DE FERRO GALVANIZADO DN (DIAMETRO NOMINAL) 1.1/4"|1|61|3|MATERIAL HIDRAULICO, CANOS, TUBOS, MANGUEIRAS, CONEXOES E ACESS.|MHI|Padrão|4|13|52|Ativo|</t>
        </r>
      </text>
    </comment>
    <comment ref="X596" authorId="0" shapeId="0" xr:uid="{00000000-0006-0000-0000-0000A1020000}">
      <text>
        <r>
          <rPr>
            <sz val="10"/>
            <color indexed="81"/>
            <rFont val="Lucida Console"/>
            <family val="3"/>
          </rPr>
          <t>60116|TUBO DESCARGA PONTA AZUL - 18|1|61|3|MATERIAL HIDRAULICO, CANOS, TUBOS, MANGUEIRAS, CONEXOES E ACESS.|MHI|Padrão|4|13|52|Ativo|</t>
        </r>
      </text>
    </comment>
    <comment ref="X597" authorId="0" shapeId="0" xr:uid="{00000000-0006-0000-0000-0000A2020000}">
      <text>
        <r>
          <rPr>
            <sz val="10"/>
            <color indexed="81"/>
            <rFont val="Lucida Console"/>
            <family val="3"/>
          </rPr>
          <t>12659|PANO P/ COPA ATOALHADO|1|72|7|MAQ.EQUIP.E MATERIAIS P/ HIGIEN.LIMP.POLIM.E LUBR.|ADM|Padrão|4|178|712|Ativo|</t>
        </r>
      </text>
    </comment>
    <comment ref="X598" authorId="0" shapeId="0" xr:uid="{00000000-0006-0000-0000-0000A3020000}">
      <text>
        <r>
          <rPr>
            <sz val="10"/>
            <color indexed="81"/>
            <rFont val="Lucida Console"/>
            <family val="3"/>
          </rPr>
          <t>69222|BLOCO P/ RECADOS AUTO COLANTE - MED. 38 X 51|1|45|11|MAQ., EQUIP., COMP., ACES., MAT. PARA ESCRIT.E ESCOLAR|EDU|Padrão|4|304|1216|Ativo|</t>
        </r>
      </text>
    </comment>
    <comment ref="X599" authorId="0" shapeId="0" xr:uid="{00000000-0006-0000-0000-0000A4020000}">
      <text>
        <r>
          <rPr>
            <sz val="10"/>
            <color indexed="81"/>
            <rFont val="Lucida Console"/>
            <family val="3"/>
          </rPr>
          <t>13091|ETIQUETA ADESIVA - 36 X 102 MM - FOLHA C/ 24 UNIDADES - TIPO FORMULARIO CONTINUO|1|45|14|MAQ., EQUIP., COMP., ACES., MAT. PARA ESCRIT.E ESCOLAR|EDU|Padrão|4|306|1224|Ativo|</t>
        </r>
      </text>
    </comment>
    <comment ref="X600" authorId="2" shapeId="0" xr:uid="{00000000-0006-0000-0000-0000A5020000}">
      <text>
        <r>
          <rPr>
            <sz val="9"/>
            <color indexed="81"/>
            <rFont val="Segoe UI"/>
            <family val="2"/>
          </rPr>
          <t>34801|BLOCO DE CONCRETO - 10 X 20 X 40 CM|1|51|7|MAT.E EQUIP. P/ CONSTR.CIVIL E CONSERV. DE VIAS PUBL.|MCO|Personalizado|3|417|1251|Ativo|</t>
        </r>
      </text>
    </comment>
    <comment ref="X601" authorId="0" shapeId="0" xr:uid="{00000000-0006-0000-0000-0000A6020000}">
      <text>
        <r>
          <rPr>
            <sz val="10"/>
            <color indexed="81"/>
            <rFont val="Lucida Console"/>
            <family val="3"/>
          </rPr>
          <t>16571|INSETICIDA AEROSOL A BASE DE AGUA FR C/ 300 ML|1|48|24|MAQ.EQUIP.E MAT.P/ CULTURA ANIMAL E VEGETAL|MAN|Padrão|4|256|1024|Ativo|</t>
        </r>
      </text>
    </comment>
    <comment ref="X602" authorId="0" shapeId="0" xr:uid="{00000000-0006-0000-0000-0000A7020000}">
      <text>
        <r>
          <rPr>
            <sz val="10"/>
            <color indexed="81"/>
            <rFont val="Lucida Console"/>
            <family val="3"/>
          </rPr>
          <t>12881|COTOVELO 90° GRAUS EM PVC RIGIDO SOLDAVEL DE 2" (ESGOTO)|1|61|8|MATERIAL HIDRAULICO, CANOS, TUBOS, MANGUEIRAS, CONEXOES E ACESS.|MHI|Padrão|4|34|136|Ativo|</t>
        </r>
      </text>
    </comment>
    <comment ref="X603" authorId="0" shapeId="0" xr:uid="{00000000-0006-0000-0000-0000A8020000}">
      <text>
        <r>
          <rPr>
            <sz val="10"/>
            <color indexed="81"/>
            <rFont val="Lucida Console"/>
            <family val="3"/>
          </rPr>
          <t>16512|GIZ DE CORES DIVERSAS, ANTIALERGICO, CAIXA COM 50 UNIDADES|1|45|17|MAQ., EQUIP., COMP., ACES., MAT. PARA ESCRIT.E ESCOLAR|EDU|Padrão|4|179|716|Ativo|</t>
        </r>
      </text>
    </comment>
    <comment ref="X604" authorId="0" shapeId="0" xr:uid="{00000000-0006-0000-0000-0000A9020000}">
      <text>
        <r>
          <rPr>
            <sz val="10"/>
            <color indexed="81"/>
            <rFont val="Lucida Console"/>
            <family val="3"/>
          </rPr>
          <t>107401|BUCHA DE REDUCAO EM PVC RIGIDO SOLDAVEL DE 4" X 2" - ESGOTO".|1|61|8|MATERIAL HIDRAULICO, CANOS, TUBOS, MANGUEIRAS, CONEXOES E ACESS.|MHI|Padrão|4|7|28|Ativo|</t>
        </r>
      </text>
    </comment>
    <comment ref="X605" authorId="0" shapeId="0" xr:uid="{00000000-0006-0000-0000-0000AA020000}">
      <text>
        <r>
          <rPr>
            <sz val="10"/>
            <color indexed="81"/>
            <rFont val="Lucida Console"/>
            <family val="3"/>
          </rPr>
          <t>13064|FITA DE TEFLON P/ VEDACAO HIDRAULICA (VEDA ROSCA) - 18 MM X|1|61|9|MATERIAL HIDRAULICO, CANOS, TUBOS, MANGUEIRAS, CONEXOES E ACESS.|MHI|Padrão|4|138|552|Ativo|</t>
        </r>
      </text>
    </comment>
    <comment ref="X606" authorId="0" shapeId="0" xr:uid="{00000000-0006-0000-0000-0000AB020000}">
      <text>
        <r>
          <rPr>
            <sz val="10"/>
            <color indexed="81"/>
            <rFont val="Lucida Console"/>
            <family val="3"/>
          </rPr>
          <t>11072|EXTRATOR DE GRAMPOS - TIPO ESPATULA|1|45|12|MAQ., EQUIP., COMP., ACES., MAT. PARA ESCRIT.E ESCOLAR|EDU|Padrão|4|51|204|Ativo|</t>
        </r>
      </text>
    </comment>
    <comment ref="X607" authorId="0" shapeId="0" xr:uid="{00000000-0006-0000-0000-0000AC020000}">
      <text>
        <r>
          <rPr>
            <sz val="10"/>
            <color indexed="81"/>
            <rFont val="Lucida Console"/>
            <family val="3"/>
          </rPr>
          <t>77755|PINCEL ATOMICO PONTA RETANGULAR 5 X 8 MM, CHANFRADA - COR PRETA|1|45|10|MAQ., EQUIP., COMP., ACES., MAT. PARA ESCRIT.E ESCOLAR|EDU|Padrão|4|469|1876|Ativo|</t>
        </r>
      </text>
    </comment>
    <comment ref="X608" authorId="0" shapeId="0" xr:uid="{00000000-0006-0000-0000-0000AD020000}">
      <text>
        <r>
          <rPr>
            <sz val="10"/>
            <color indexed="81"/>
            <rFont val="Lucida Console"/>
            <family val="3"/>
          </rPr>
          <t>60517|FERRO REDONDO DE 5/8" - BARRA COM 06 METROS (FERRO MECANICO|1|51|13|MAT.E EQUIP. P/ CONSTR.CIVIL E CONSERV. DE VIAS PUBL.|MCO|Padrão|4|30|120|Ativo|</t>
        </r>
      </text>
    </comment>
    <comment ref="X609" authorId="0" shapeId="0" xr:uid="{00000000-0006-0000-0000-0000AE020000}">
      <text>
        <r>
          <rPr>
            <sz val="10"/>
            <color indexed="81"/>
            <rFont val="Lucida Console"/>
            <family val="3"/>
          </rPr>
          <t>14885|ELETRODUTO FLEXIVEL CORRUGADO DE 1.1/2"|1|55|32|EQUIP. MAT. P/ GERACAO, TRANSM. DISTR. RETIF...|MEL|Padrão|4|15|60|Ativo|</t>
        </r>
      </text>
    </comment>
    <comment ref="X610" authorId="0" shapeId="0" xr:uid="{00000000-0006-0000-0000-0000AF020000}">
      <text>
        <r>
          <rPr>
            <sz val="10"/>
            <color indexed="81"/>
            <rFont val="Lucida Console"/>
            <family val="3"/>
          </rPr>
          <t>132650|COLA BRANCA , FRASCO COM 1 KG - COMPOSICAO RESINA DE PVA, LAVAVEL, CERTIFICADA PELO INMETRO|1|45|14|MAQ., EQUIP., COMP., ACES., MAT. PARA ESCRIT.E ESCOLAR|EDU|Padrão|4|736|2944|Ativo|</t>
        </r>
      </text>
    </comment>
    <comment ref="X611" authorId="0" shapeId="0" xr:uid="{00000000-0006-0000-0000-0000B0020000}">
      <text>
        <r>
          <rPr>
            <sz val="10"/>
            <color indexed="81"/>
            <rFont val="Lucida Console"/>
            <family val="3"/>
          </rPr>
          <t>132297|FITA ADESIVA TRANSPARENTE, MEDINDO APROXIMADAMENTE 48MM X 50M (VARIACAO +/- 05 MM) -  COMPOSICAO: FILME DE POLIPROPILENO, COM ADESIVO A BASE DE RESINA, BORRACHA SINTETICA E PIGMENTO, ADESIVO HOT MELT|1|45|14|MAQ., EQUIP., COMP., ACES., MAT. PARA ESCRIT.E ESCOLAR|EDU|Padrão|4|2358|9432|Ativo|</t>
        </r>
      </text>
    </comment>
    <comment ref="X612" authorId="0" shapeId="0" xr:uid="{00000000-0006-0000-0000-0000B1020000}">
      <text>
        <r>
          <rPr>
            <sz val="10"/>
            <color indexed="81"/>
            <rFont val="Lucida Console"/>
            <family val="3"/>
          </rPr>
          <t>131935|PASTA EM PLASTICO PP CORRUGADO, COM ABAS E ELASTICO REVESTIDO DE TECIDO COM TERMINAIS DE PLASTICO MEDINDO 180MM X 245MM X 20MM|1|45|9|MAQ., EQUIP., COMP., ACES., MAT. PARA ESCRIT.E ESCOLAR|EDU|Padrão|4|834|3336|Ativo|</t>
        </r>
      </text>
    </comment>
    <comment ref="X613" authorId="0" shapeId="0" xr:uid="{00000000-0006-0000-0000-0000B2020000}">
      <text>
        <r>
          <rPr>
            <sz val="10"/>
            <color indexed="81"/>
            <rFont val="Lucida Console"/>
            <family val="3"/>
          </rPr>
          <t>13009|ELETRODUTO FLEXIVEL CORRUGADO DE 3/4" - COR AMARELA|1|55|32|EQUIP. MAT. P/ GERACAO, TRANSM. DISTR. RETIF...|MEL|Padrão|4|24|96|Ativo|</t>
        </r>
      </text>
    </comment>
    <comment ref="X614" authorId="0" shapeId="0" xr:uid="{00000000-0006-0000-0000-0000B3020000}">
      <text>
        <r>
          <rPr>
            <sz val="10"/>
            <color indexed="81"/>
            <rFont val="Lucida Console"/>
            <family val="3"/>
          </rPr>
          <t>59069|TE DE REDUCAO EM PVC SOLDAVEL, ROSCA, DE 25 MM - 1/2" - AZU|1|61|8|MATERIAL HIDRAULICO, CANOS, TUBOS, MANGUEIRAS, CONEXOES E ACESS.|MHI|Padrão|4|8|32|Ativo|</t>
        </r>
      </text>
    </comment>
    <comment ref="X615" authorId="0" shapeId="0" xr:uid="{00000000-0006-0000-0000-0000B4020000}">
      <text>
        <r>
          <rPr>
            <sz val="10"/>
            <color indexed="81"/>
            <rFont val="Lucida Console"/>
            <family val="3"/>
          </rPr>
          <t>111524|TORNEIRA EM METAL CROMADO, PARA PIA DE COZINHA BICA MOVEL COM AREJADOR, TIPO PAREDE COM CANOPLA C50. MEDIDA DA ROSCA 1/2 POLEGADAS COM REDUCAO 3/4 POLEGADAS. EM FORMATO PESCOCO DE GANSO|1|61|14|MATERIAL HIDRAULICO, CANOS, TUBOS, MANGUEIRAS, CONEXOES E ACESS.|MHI|Padrão|4|24|96|Ativo|</t>
        </r>
      </text>
    </comment>
    <comment ref="X616" authorId="0" shapeId="0" xr:uid="{00000000-0006-0000-0000-0000B5020000}">
      <text>
        <r>
          <rPr>
            <sz val="10"/>
            <color indexed="81"/>
            <rFont val="Lucida Console"/>
            <family val="3"/>
          </rPr>
          <t>65173|REPARO COMPLETO UNIVERSAL PARA DESCARGA -  CAIXA  ACOPLADA|1|61|15|MATERIAL HIDRAULICO, CANOS, TUBOS, MANGUEIRAS, CONEXOES E ACESS.|MHI|Padrão|4|8|32|Ativo|</t>
        </r>
      </text>
    </comment>
    <comment ref="J617" authorId="1" shapeId="0" xr:uid="{00000000-0006-0000-0000-0000B6020000}">
      <text>
        <r>
          <rPr>
            <b/>
            <sz val="9"/>
            <color indexed="81"/>
            <rFont val="Segoe UI"/>
            <family val="2"/>
          </rPr>
          <t xml:space="preserve">
Planilha do Laércio 06/06/2019.</t>
        </r>
      </text>
    </comment>
    <comment ref="X617" authorId="2" shapeId="0" xr:uid="{00000000-0006-0000-0000-0000B7020000}">
      <text>
        <r>
          <rPr>
            <sz val="9"/>
            <color indexed="81"/>
            <rFont val="Segoe UI"/>
            <family val="2"/>
          </rPr>
          <t>69229|TINTA ACRILICA P/ DEMARCACAO DE SOLO - BALDE C/ 18 LITROS -|1|76|5|EQUIP. E MATERIAIS P/PINTURAS E IMPERMEABILIZACAO|MPI|Personalizado|3|8|24|Ativo|</t>
        </r>
      </text>
    </comment>
    <comment ref="X618" authorId="0" shapeId="0" xr:uid="{00000000-0006-0000-0000-0000B8020000}">
      <text>
        <r>
          <rPr>
            <sz val="10"/>
            <color indexed="81"/>
            <rFont val="Lucida Console"/>
            <family val="3"/>
          </rPr>
          <t>89863|PARAFUSO ZINCO AMARELO, CABECA CHATA PH 4,0 X 25 - CAIXA COM 500 UNIDADES|1|67|3|PARAFUSOS ELEM. VEDACAO UNIAO CONEX . FIXACAO|MSE|Padrão|4|8|32|Ativo|</t>
        </r>
      </text>
    </comment>
    <comment ref="X619" authorId="0" shapeId="0" xr:uid="{00000000-0006-0000-0000-0000B9020000}">
      <text>
        <r>
          <rPr>
            <sz val="10"/>
            <color indexed="81"/>
            <rFont val="Lucida Console"/>
            <family val="3"/>
          </rPr>
          <t>13179|BUCHA DE FIXACAO N° 8 DE PLASTICO|1|67|9|PARAFUSOS ELEM. VEDACAO UNIAO CONEX . FIXACAO|MSE|Padrão|4|591|2364|Ativo|</t>
        </r>
      </text>
    </comment>
    <comment ref="X620" authorId="0" shapeId="0" xr:uid="{00000000-0006-0000-0000-0000BA020000}">
      <text>
        <r>
          <rPr>
            <sz val="10"/>
            <color indexed="81"/>
            <rFont val="Lucida Console"/>
            <family val="3"/>
          </rPr>
          <t>92907|PAPEL SULFITE A4, 210 X 297, 75G, NA COR ROSA - PACOTE COM 500 FOLHAS|1|57|17|MAQ. E EQUIP. P/ IND. GRAFICA COMP. ACESS. E PAPEI|EDU|Padrão|4|325|1300|Ativo|</t>
        </r>
      </text>
    </comment>
    <comment ref="X621" authorId="0" shapeId="0" xr:uid="{00000000-0006-0000-0000-0000BB020000}">
      <text>
        <r>
          <rPr>
            <sz val="10"/>
            <color indexed="81"/>
            <rFont val="Lucida Console"/>
            <family val="3"/>
          </rPr>
          <t>29952|TESOURA EM ACO INOXIDAVEL, COM CABO EM POLIPROPILENO, 18 CM (VARIAÇÃO +/- 3 CM)|1|45|12|MAQ., EQUIP., COMP., ACES., MAT. PARA ESCRIT.E ESCOLAR|EDU|Padrão|4|450|1800|Ativo|</t>
        </r>
      </text>
    </comment>
    <comment ref="X622" authorId="0" shapeId="0" xr:uid="{00000000-0006-0000-0000-0000BC020000}">
      <text>
        <r>
          <rPr>
            <sz val="10"/>
            <color indexed="81"/>
            <rFont val="Lucida Console"/>
            <family val="3"/>
          </rPr>
          <t>91669|SABAO EM PO - EMBALAGEM C/ 01 KG|1|72|9|MAQ.EQUIP.E MATERIAIS P/ HIGIEN.LIMP.POLIM.E LUBR.|ADM|Padrão|4|391|1564|Ativo|</t>
        </r>
      </text>
    </comment>
    <comment ref="X623" authorId="0" shapeId="0" xr:uid="{00000000-0006-0000-0000-0000BD020000}">
      <text>
        <r>
          <rPr>
            <sz val="10"/>
            <color indexed="81"/>
            <rFont val="Lucida Console"/>
            <family val="3"/>
          </rPr>
          <t>12623|CARTOLINA - BRANCA  - 50 X 66 CM - 180 G/M2|1|57|16|MAQ. E EQUIP. P/ IND. GRAFICA COMP. ACESS. E PAPEI|EDU|Padrão|4|3334|13336|Ativo|</t>
        </r>
      </text>
    </comment>
    <comment ref="X624" authorId="0" shapeId="0" xr:uid="{00000000-0006-0000-0000-0000BE020000}">
      <text>
        <r>
          <rPr>
            <sz val="10"/>
            <color indexed="81"/>
            <rFont val="Lucida Console"/>
            <family val="3"/>
          </rPr>
          <t>98703|PERFIL RODAFORRO PVC BRANCO LISO, BARRA COM 6 MT|1|69|3|METAIS,LAMINAD.,PERFILADOS E ARTEFATOS METALICOS|MSE|Padrão|4|51|204|Ativo|</t>
        </r>
      </text>
    </comment>
    <comment ref="X625" authorId="0" shapeId="0" xr:uid="{00000000-0006-0000-0000-0000BF020000}">
      <text>
        <r>
          <rPr>
            <sz val="10"/>
            <color indexed="81"/>
            <rFont val="Lucida Console"/>
            <family val="3"/>
          </rPr>
          <t>13768|CAIXA PARA ARQUIVO MORTO EM POLIONDA|1|45|11|MAQ., EQUIP., COMP., ACES., MAT. PARA ESCRIT.E ESCOLAR|EDU|Padrão|4|580|2320|Ativo|</t>
        </r>
      </text>
    </comment>
    <comment ref="X626" authorId="0" shapeId="0" xr:uid="{00000000-0006-0000-0000-0000C0020000}">
      <text>
        <r>
          <rPr>
            <sz val="10"/>
            <color indexed="81"/>
            <rFont val="Lucida Console"/>
            <family val="3"/>
          </rPr>
          <t>111806|TAMPA P/ CONDULETE DE PVC 3/4" CEGA|1|55|32|EQUIP. MAT. P/ GERACAO, TRANSM. DISTR. RETIF...|MEL|Padrão|4|60|240|Ativo|</t>
        </r>
      </text>
    </comment>
    <comment ref="X627" authorId="0" shapeId="0" xr:uid="{00000000-0006-0000-0000-0000C1020000}">
      <text>
        <r>
          <rPr>
            <sz val="10"/>
            <color indexed="81"/>
            <rFont val="Lucida Console"/>
            <family val="3"/>
          </rPr>
          <t>126060|PARAFUSO DE ZINCO AMARELO, CABECA CHATA PH 6,0 X 50|1|67|18|PARAFUSOS ELEM. VEDACAO UNIAO CONEX . FIXACAO|MSE|Padrão|4|9|36|Ativo|</t>
        </r>
      </text>
    </comment>
    <comment ref="X628" authorId="0" shapeId="0" xr:uid="{00000000-0006-0000-0000-0000C2020000}">
      <text>
        <r>
          <rPr>
            <sz val="10"/>
            <color indexed="81"/>
            <rFont val="Lucida Console"/>
            <family val="3"/>
          </rPr>
          <t>135302|COTOVELO 90° DE REDUCAO DE PVC SOLDAVEL X ROSCA AZUL COM BUCHA DE LATAO 25 MM X 1/2", DE ACORDO COM A NBR 5648. TODAS AS INFORMACOES DEVERAO ESTAR LITOGRAFADAS NA PECA.|1|61|8|MATERIAL HIDRAULICO, CANOS, TUBOS, MANGUEIRAS, CONEXOES E ACESS.|MHI|Padrão|4|19|76|Ativo|</t>
        </r>
      </text>
    </comment>
    <comment ref="X629" authorId="0" shapeId="0" xr:uid="{00000000-0006-0000-0000-0000C3020000}">
      <text>
        <r>
          <rPr>
            <sz val="10"/>
            <color indexed="81"/>
            <rFont val="Lucida Console"/>
            <family val="3"/>
          </rPr>
          <t>81370|CORANTE LIQUIDO PARA FINS ALIMENTICIOS - COR VERMELHA - FRASCO COM 10ML|1|71|33|GENEROS ALIMENTICIOS E BEBIDAS|EDU|Padrão|4|354|1416|Ativo|</t>
        </r>
      </text>
    </comment>
    <comment ref="X630" authorId="0" shapeId="0" xr:uid="{00000000-0006-0000-0000-0000C4020000}">
      <text>
        <r>
          <rPr>
            <sz val="10"/>
            <color indexed="81"/>
            <rFont val="Lucida Console"/>
            <family val="3"/>
          </rPr>
          <t>92908|PAPEL SULFITE A4, 210 X 297, 75G, NA COR AZUL - PACOTE COM 500 FOLHAS|1|57|17|MAQ. E EQUIP. P/ IND. GRAFICA COMP. ACESS. E PAPEI|EDU|Padrão|4|327|1308|Ativo|</t>
        </r>
      </text>
    </comment>
    <comment ref="X631" authorId="0" shapeId="0" xr:uid="{00000000-0006-0000-0000-0000C5020000}">
      <text>
        <r>
          <rPr>
            <sz val="10"/>
            <color indexed="81"/>
            <rFont val="Lucida Console"/>
            <family val="3"/>
          </rPr>
          <t>123146|CIMENTO COLANTE - SACO COM 20 KG (PARA USO INTERNO E EXTERNO)|1|51|4|MAT.E EQUIP. P/ CONSTR.CIVIL E CONSERV. DE VIAS PUBL.|MCO|Padrão|4|267|1068|Ativo|</t>
        </r>
      </text>
    </comment>
    <comment ref="X632" authorId="0" shapeId="0" xr:uid="{00000000-0006-0000-0000-0000C6020000}">
      <text>
        <r>
          <rPr>
            <sz val="10"/>
            <color indexed="81"/>
            <rFont val="Lucida Console"/>
            <family val="3"/>
          </rPr>
          <t>11590|PINCEL ATOMICO PONTA RETANGULAR, COR VERMELHA|1|45|10|MAQ., EQUIP., COMP., ACES., MAT. PARA ESCRIT.E ESCOLAR|EDU|Padrão|4|456|1824|Ativo|</t>
        </r>
      </text>
    </comment>
    <comment ref="X633" authorId="0" shapeId="0" xr:uid="{00000000-0006-0000-0000-0000C7020000}">
      <text>
        <r>
          <rPr>
            <sz val="10"/>
            <color indexed="81"/>
            <rFont val="Lucida Console"/>
            <family val="3"/>
          </rPr>
          <t>111336|TUBO QUADRADO DE METALON 100 X 100 X 2 MM - BARRA COM 06 METROS|1|61|3|MATERIAL HIDRAULICO, CANOS, TUBOS, MANGUEIRAS, CONEXOES E ACESS.|MHI|Padrão|4|30|120|Ativo|</t>
        </r>
      </text>
    </comment>
    <comment ref="J634" authorId="1" shapeId="0" xr:uid="{00000000-0006-0000-0000-0000C8020000}">
      <text>
        <r>
          <rPr>
            <sz val="9"/>
            <color indexed="81"/>
            <rFont val="Segoe UI"/>
            <family val="2"/>
          </rPr>
          <t xml:space="preserve">
Planilha do Laércio 06/06/2019.
</t>
        </r>
      </text>
    </comment>
    <comment ref="X634" authorId="0" shapeId="0" xr:uid="{00000000-0006-0000-0000-0000C9020000}">
      <text>
        <r>
          <rPr>
            <sz val="10"/>
            <color indexed="81"/>
            <rFont val="Lucida Console"/>
            <family val="3"/>
          </rPr>
          <t>23778|SOLVENTE P/ TINTA DE DEMARCACAO VIARIA -BALDE C/ 18 LITROS - TIPO DER 3.09|1|76|16|EQUIP. E MATERIAIS P/PINTURAS E IMPERMEABILIZACAO|MPI|Padrão|4|10|40|Ativo|</t>
        </r>
      </text>
    </comment>
    <comment ref="J635" authorId="2" shapeId="0" xr:uid="{00000000-0006-0000-0000-0000CA020000}">
      <text>
        <r>
          <rPr>
            <b/>
            <sz val="9"/>
            <color indexed="81"/>
            <rFont val="Segoe UI"/>
            <family val="2"/>
          </rPr>
          <t>Marcos:</t>
        </r>
        <r>
          <rPr>
            <sz val="9"/>
            <color indexed="81"/>
            <rFont val="Segoe UI"/>
            <family val="2"/>
          </rPr>
          <t xml:space="preserve">
20 = média de meses recentes.</t>
        </r>
      </text>
    </comment>
    <comment ref="X635" authorId="0" shapeId="0" xr:uid="{00000000-0006-0000-0000-0000CB020000}">
      <text>
        <r>
          <rPr>
            <sz val="10"/>
            <color indexed="81"/>
            <rFont val="Lucida Console"/>
            <family val="3"/>
          </rPr>
          <t>76806|PERFILADO - 38 X 38 MM, PERFURADO,  C/ 6M DE COMPRIMENTO|1|69|2|METAIS,LAMINAD.,PERFILADOS E ARTEFATOS METALICOS|MSE|Padrão|4|20|80|Ativo|</t>
        </r>
      </text>
    </comment>
    <comment ref="X636" authorId="0" shapeId="0" xr:uid="{00000000-0006-0000-0000-0000CC020000}">
      <text>
        <r>
          <rPr>
            <sz val="10"/>
            <color indexed="81"/>
            <rFont val="Lucida Console"/>
            <family val="3"/>
          </rPr>
          <t>136564|CABO UTP 23 AWG X 4 PARES CATEGORIA 6,CM||60|21|COMPUT.SOFT. PROCES. EQUIP. SUPRI. COMP. ACESS. INFORMAT|INF|Padrão|4|1466|5864|Ativo|</t>
        </r>
      </text>
    </comment>
    <comment ref="X637" authorId="0" shapeId="0" xr:uid="{00000000-0006-0000-0000-0000CD020000}">
      <text>
        <r>
          <rPr>
            <sz val="10"/>
            <color indexed="81"/>
            <rFont val="Lucida Console"/>
            <family val="3"/>
          </rPr>
          <t>113611|ASSENTO PARA VASO SANITARIO EM POLIURETANO EXPANDIDO COM TAMPA EM POLIPROPILENO, FIXACAO COM ELEMENTOS DE PLASTICO COM POSSIBILIDADE DE AJUSTE EM TODAS AS DIRECOES|1|51|37|MAT.E EQUIP. P/ CONSTR.CIVIL E CONSERV. DE VIAS PUBL.|MCO|Padrão|4|42|168|Ativo|</t>
        </r>
      </text>
    </comment>
    <comment ref="X638" authorId="2" shapeId="0" xr:uid="{00000000-0006-0000-0000-0000CE020000}">
      <text>
        <r>
          <rPr>
            <sz val="9"/>
            <color indexed="81"/>
            <rFont val="Segoe UI"/>
            <family val="2"/>
          </rPr>
          <t>10412|MARGARINA VEGETAL COM SAL - LIPIDEOS TOTAIS: MINIMO 75% E MAXIMO 85%|1|71|24|GENEROS ALIMENTICIOS E BEBIDAS|EDU|Personalizado|2|86|172|Ativo|</t>
        </r>
      </text>
    </comment>
    <comment ref="X639" authorId="0" shapeId="0" xr:uid="{00000000-0006-0000-0000-0000CF020000}">
      <text>
        <r>
          <rPr>
            <sz val="10"/>
            <color indexed="81"/>
            <rFont val="Lucida Console"/>
            <family val="3"/>
          </rPr>
          <t>15085|PINO P/ TORNEIRA - 1/2"|1|61|15|MATERIAL HIDRAULICO, CANOS, TUBOS, MANGUEIRAS, CONEXOES E ACESS.|MHI|Padrão|4|11|44|Ativo|</t>
        </r>
      </text>
    </comment>
    <comment ref="X640" authorId="0" shapeId="0" xr:uid="{00000000-0006-0000-0000-0000D0020000}">
      <text>
        <r>
          <rPr>
            <sz val="10"/>
            <color indexed="81"/>
            <rFont val="Lucida Console"/>
            <family val="3"/>
          </rPr>
          <t>130024|COADOR DE PAPEL P/ CAFE N° 103 - CAIXA COM 30 UNIDADES|1|52|8|EQUIP.E MAT. P/REFEITORIO, COPA E COZINHA|ADM|Padrão|4|265|1060|Ativo|</t>
        </r>
      </text>
    </comment>
    <comment ref="X641" authorId="0" shapeId="0" xr:uid="{00000000-0006-0000-0000-0000D1020000}">
      <text>
        <r>
          <rPr>
            <sz val="10"/>
            <color indexed="81"/>
            <rFont val="Lucida Console"/>
            <family val="3"/>
          </rPr>
          <t>81371|CORANTE LIQUIDO PARA FINS ALIMENTICIOS - COR AMARELA - FRASCO COM 10ML|1|71|33|GENEROS ALIMENTICIOS E BEBIDAS|EDU|Padrão|4|358|1432|Ativo|</t>
        </r>
      </text>
    </comment>
    <comment ref="X642" authorId="0" shapeId="0" xr:uid="{00000000-0006-0000-0000-0000D2020000}">
      <text>
        <r>
          <rPr>
            <sz val="10"/>
            <color indexed="81"/>
            <rFont val="Lucida Console"/>
            <family val="3"/>
          </rPr>
          <t>16528|GARRAFA TERMICA - 1 LITRO, TAMPA EM FORMATO DE ROSCA|1|73|4|EMBALAG., RECIP., ACESSOR., EQUIP., MATER. P/ACONDICIO|EDU|Padrão|4|79|316|Ativo|</t>
        </r>
      </text>
    </comment>
    <comment ref="X643" authorId="0" shapeId="0" xr:uid="{00000000-0006-0000-0000-0000D3020000}">
      <text>
        <r>
          <rPr>
            <sz val="10"/>
            <color indexed="81"/>
            <rFont val="Lucida Console"/>
            <family val="3"/>
          </rPr>
          <t>132649|CANETA HIDROGRAFICA PRETA PONTA DE 2MM.|1|45|10|MAQ., EQUIP., COMP., ACES., MAT. PARA ESCRIT.E ESCOLAR|EDU|Padrão|4|883|3532|Ativo|</t>
        </r>
      </text>
    </comment>
    <comment ref="X644" authorId="0" shapeId="0" xr:uid="{00000000-0006-0000-0000-0000D4020000}">
      <text>
        <r>
          <rPr>
            <sz val="10"/>
            <color indexed="81"/>
            <rFont val="Lucida Console"/>
            <family val="3"/>
          </rPr>
          <t>10359|LEITE EM PO INTEGRAL INSTANTANEO ENRIQUECIDO|1|71|7|GENEROS ALIMENTICIOS E BEBIDAS|EDU|Padrão|4|166|664|Ativo|</t>
        </r>
      </text>
    </comment>
    <comment ref="X645" authorId="0" shapeId="0" xr:uid="{00000000-0006-0000-0000-0000D5020000}">
      <text>
        <r>
          <rPr>
            <sz val="10"/>
            <color indexed="81"/>
            <rFont val="Lucida Console"/>
            <family val="3"/>
          </rPr>
          <t>59074|BLOCO P/ RECADOS AUTO COLANTE - MED 76 X 102 MM|1|45|11|MAQ., EQUIP., COMP., ACES., MAT. PARA ESCRIT.E ESCOLAR|EDU|Padrão|4|119|476|Ativo|</t>
        </r>
      </text>
    </comment>
    <comment ref="X646" authorId="0" shapeId="0" xr:uid="{00000000-0006-0000-0000-0000D6020000}">
      <text>
        <r>
          <rPr>
            <sz val="10"/>
            <color indexed="81"/>
            <rFont val="Lucida Console"/>
            <family val="3"/>
          </rPr>
          <t>132400|CORANTE LIQUIDO PARA FINS ALIMENTICIOS - COR AZUL - FRASCO COM 10ML.|1|71|33|GENEROS ALIMENTICIOS E BEBIDAS|EDU|Padrão|4|359|1436|Ativo|</t>
        </r>
      </text>
    </comment>
    <comment ref="X647" authorId="0" shapeId="0" xr:uid="{00000000-0006-0000-0000-0000D7020000}">
      <text>
        <r>
          <rPr>
            <sz val="10"/>
            <color indexed="81"/>
            <rFont val="Lucida Console"/>
            <family val="3"/>
          </rPr>
          <t>11509|CANETA P/ RETROPROJETOR - VERMELHA, PONTA 2 MM|1|45|10|MAQ., EQUIP., COMP., ACES., MAT. PARA ESCRIT.E ESCOLAR|EDU|Padrão|4|635|2540|Ativo|</t>
        </r>
      </text>
    </comment>
    <comment ref="L648" authorId="1" shapeId="0" xr:uid="{00000000-0006-0000-0000-0000D8020000}">
      <text>
        <r>
          <rPr>
            <sz val="10"/>
            <color indexed="81"/>
            <rFont val="Lucida Console"/>
            <family val="3"/>
          </rPr>
          <t>_x000D_
Alterado em 01.09.2020_x000D_
Anterior = 1918</t>
        </r>
      </text>
    </comment>
    <comment ref="M648" authorId="1" shapeId="0" xr:uid="{00000000-0006-0000-0000-0000D9020000}">
      <text>
        <r>
          <rPr>
            <sz val="10"/>
            <color indexed="81"/>
            <rFont val="Lucida Console"/>
            <family val="3"/>
          </rPr>
          <t>_x000D_
Alterado em 01.09.2020_x000D_
Anterior = 01.09.2020</t>
        </r>
      </text>
    </comment>
    <comment ref="X648" authorId="1" shapeId="0" xr:uid="{00000000-0006-0000-0000-0000DA020000}">
      <text>
        <r>
          <rPr>
            <sz val="9"/>
            <color indexed="81"/>
            <rFont val="Segoe UI"/>
            <family val="2"/>
          </rPr>
          <t>10719|CAFE TORRADO E MOIDO - PT C/ 500 G - EMBALAGEM TIJOLINHO|1|71|26|GENEROS ALIMENTICIOS E BEBIDAS|EDU|Personalizado|3|3498|10494|Ativo|</t>
        </r>
      </text>
    </comment>
    <comment ref="X649" authorId="0" shapeId="0" xr:uid="{00000000-0006-0000-0000-0000DB020000}">
      <text>
        <r>
          <rPr>
            <sz val="10"/>
            <color indexed="81"/>
            <rFont val="Lucida Console"/>
            <family val="3"/>
          </rPr>
          <t>80300|BATENTE DE GARAPEIRA 0,92 X 2,10 M|1|74|10|MADEIRAS,LAMINADOS,COMPENSADOS E AGLOMERADOS|MCO|Padrão|4|13|52|Ativo|</t>
        </r>
      </text>
    </comment>
    <comment ref="X650" authorId="0" shapeId="0" xr:uid="{00000000-0006-0000-0000-0000DC020000}">
      <text>
        <r>
          <rPr>
            <sz val="10"/>
            <color indexed="81"/>
            <rFont val="Lucida Console"/>
            <family val="3"/>
          </rPr>
          <t>88728|DISJUNTOR NORMA DIN CURVA C PADRAO, BIPOLAR, 32 AMPERES|1|55|26|EQUIP. MAT. P/ GERACAO, TRANSM. DISTR. RETIF...|MEL|Padrão|4|13|52|Ativo|</t>
        </r>
      </text>
    </comment>
    <comment ref="X651" authorId="0" shapeId="0" xr:uid="{00000000-0006-0000-0000-0000DD020000}">
      <text>
        <r>
          <rPr>
            <sz val="10"/>
            <color indexed="81"/>
            <rFont val="Lucida Console"/>
            <family val="3"/>
          </rPr>
          <t>11418|CANETA P/ RETROPROJETOR - PRETA, PONTA 2 MM|1|45|10|MAQ., EQUIP., COMP., ACES., MAT. PARA ESCRIT.E ESCOLAR|EDU|Padrão|4|657|2628|Ativo|</t>
        </r>
      </text>
    </comment>
    <comment ref="X652" authorId="0" shapeId="0" xr:uid="{00000000-0006-0000-0000-0000DE020000}">
      <text>
        <r>
          <rPr>
            <sz val="10"/>
            <color indexed="81"/>
            <rFont val="Lucida Console"/>
            <family val="3"/>
          </rPr>
          <t>80874|TINTA GUACHE, POTE COM 250 ML, AZUL CLARO|1|45|30|MAQ., EQUIP., COMP., ACES., MAT. PARA ESCRIT.E ESCOLAR|EDU|Padrão|4|558|2232|Ativo|</t>
        </r>
      </text>
    </comment>
    <comment ref="J653" authorId="1" shapeId="0" xr:uid="{00000000-0006-0000-0000-0000DF020000}">
      <text>
        <r>
          <rPr>
            <sz val="9"/>
            <color indexed="81"/>
            <rFont val="Segoe UI"/>
            <family val="2"/>
          </rPr>
          <t xml:space="preserve">
Planilha do Laércio 06/06/2019.
</t>
        </r>
      </text>
    </comment>
    <comment ref="X653" authorId="0" shapeId="0" xr:uid="{00000000-0006-0000-0000-0000E0020000}">
      <text>
        <r>
          <rPr>
            <sz val="10"/>
            <color indexed="81"/>
            <rFont val="Lucida Console"/>
            <family val="3"/>
          </rPr>
          <t>12856|TRINCHA PARA PINTURA - 2", COM CERDAS 100% NATURAIS|1|76|11|EQUIP. E MATERIAIS P/PINTURAS E IMPERMEABILIZACAO|MPI|Padrão|4|280|1120|Ativo|</t>
        </r>
      </text>
    </comment>
    <comment ref="X654" authorId="0" shapeId="0" xr:uid="{00000000-0006-0000-0000-0000E1020000}">
      <text>
        <r>
          <rPr>
            <sz val="10"/>
            <color indexed="81"/>
            <rFont val="Lucida Console"/>
            <family val="3"/>
          </rPr>
          <t>24219|CAPACHO DE FIBRA DE COCO - 0,40 X 0,60 M|1|79|6|ART. DOMEST. DECO. GUARNI. DE AMBI.TECI. VEICULOS|ADM|Padrão|4|30|120|Ativo|</t>
        </r>
      </text>
    </comment>
    <comment ref="X655" authorId="0" shapeId="0" xr:uid="{00000000-0006-0000-0000-0000E2020000}">
      <text>
        <r>
          <rPr>
            <sz val="10"/>
            <color indexed="81"/>
            <rFont val="Lucida Console"/>
            <family val="3"/>
          </rPr>
          <t>13063|COLA P/ TUBO PVC - BISNAGA C/ 75 GR|1|61|9|MATERIAL HIDRAULICO, CANOS, TUBOS, MANGUEIRAS, CONEXOES E ACESS.|MHI|Padrão|4|63|252|Ativo|</t>
        </r>
      </text>
    </comment>
    <comment ref="X656" authorId="0" shapeId="0" xr:uid="{00000000-0006-0000-0000-0000E3020000}">
      <text>
        <r>
          <rPr>
            <sz val="10"/>
            <color indexed="81"/>
            <rFont val="Lucida Console"/>
            <family val="3"/>
          </rPr>
          <t>95209|VALVULA EM PVC PARA LAVATORIO 1" SEM LADRAO|1|61|15|MATERIAL HIDRAULICO, CANOS, TUBOS, MANGUEIRAS, CONEXOES E ACESS.|MHI|Padrão|4|16|64|Ativo|</t>
        </r>
      </text>
    </comment>
    <comment ref="X657" authorId="0" shapeId="0" xr:uid="{00000000-0006-0000-0000-0000E4020000}">
      <text>
        <r>
          <rPr>
            <sz val="10"/>
            <color indexed="81"/>
            <rFont val="Lucida Console"/>
            <family val="3"/>
          </rPr>
          <t>54029|ARRUELA LISA 5/16|1|55|32|EQUIP. MAT. P/ GERACAO, TRANSM. DISTR. RETIF...|MEL|Padrão|4|113|452|Ativo|</t>
        </r>
      </text>
    </comment>
    <comment ref="X658" authorId="0" shapeId="0" xr:uid="{00000000-0006-0000-0000-0000E5020000}">
      <text>
        <r>
          <rPr>
            <sz val="10"/>
            <color indexed="81"/>
            <rFont val="Lucida Console"/>
            <family val="3"/>
          </rPr>
          <t>12613|ENVELOPE PARDO TIPO SACO 240 X 340MM- GRAMATURA MINIMA 80 G/M²|1|45|11|MAQ., EQUIP., COMP., ACES., MAT. PARA ESCRIT.E ESCOLAR|EDU|Padrão|4|4367|17468|Ativo|</t>
        </r>
      </text>
    </comment>
    <comment ref="X659" authorId="0" shapeId="0" xr:uid="{00000000-0006-0000-0000-0000E6020000}">
      <text>
        <r>
          <rPr>
            <sz val="10"/>
            <color indexed="81"/>
            <rFont val="Lucida Console"/>
            <family val="3"/>
          </rPr>
          <t>13109|LIXA P/ FERRO E METAIS EM FOLHA DE 225 X 275 MM N° 60|1|83|2|ABRASIVOS|MAN|Padrão|4|17|68|Ativo|</t>
        </r>
      </text>
    </comment>
    <comment ref="X660" authorId="0" shapeId="0" xr:uid="{00000000-0006-0000-0000-0000E7020000}">
      <text>
        <r>
          <rPr>
            <sz val="10"/>
            <color indexed="81"/>
            <rFont val="Lucida Console"/>
            <family val="3"/>
          </rPr>
          <t>53814|FERRO TIPO U DE 3" X 1/8" - BARRA COM 06 METROS|1|51|13|MAT.E EQUIP. P/ CONSTR.CIVIL E CONSERV. DE VIAS PUBL.|MCO|Padrão|4|17|68|Ativo|</t>
        </r>
      </text>
    </comment>
    <comment ref="J661" authorId="1" shapeId="0" xr:uid="{00000000-0006-0000-0000-0000E8020000}">
      <text>
        <r>
          <rPr>
            <sz val="9"/>
            <color indexed="81"/>
            <rFont val="Segoe UI"/>
            <family val="2"/>
          </rPr>
          <t xml:space="preserve">
Planilha do Laércio 06/06/2019.
</t>
        </r>
      </text>
    </comment>
    <comment ref="X661" authorId="0" shapeId="0" xr:uid="{00000000-0006-0000-0000-0000E9020000}">
      <text>
        <r>
          <rPr>
            <sz val="10"/>
            <color indexed="81"/>
            <rFont val="Lucida Console"/>
            <family val="3"/>
          </rPr>
          <t>12857|TRINCHA PARA PINTURA - 3", COM CERDAS 100% NATURAIS|1|76|11|EQUIP. E MATERIAIS P/PINTURAS E IMPERMEABILIZACAO|MPI|Padrão|4|20|80|Ativo|</t>
        </r>
      </text>
    </comment>
    <comment ref="X662" authorId="0" shapeId="0" xr:uid="{00000000-0006-0000-0000-0000EA020000}">
      <text>
        <r>
          <rPr>
            <sz val="10"/>
            <color indexed="81"/>
            <rFont val="Lucida Console"/>
            <family val="3"/>
          </rPr>
          <t>10392|CANETA MARCA TEXTO - AMARELA|1|45|10|MAQ., EQUIP., COMP., ACES., MAT. PARA ESCRIT.E ESCOLAR|EDU|Padrão|4|565|2260|Ativo|</t>
        </r>
      </text>
    </comment>
    <comment ref="X663" authorId="0" shapeId="0" xr:uid="{00000000-0006-0000-0000-0000EB020000}">
      <text>
        <r>
          <rPr>
            <sz val="10"/>
            <color indexed="81"/>
            <rFont val="Lucida Console"/>
            <family val="3"/>
          </rPr>
          <t>78641|TINTA GUACHE - POTE COM 250ML - COR BRANCA|1|45|30|MAQ., EQUIP., COMP., ACES., MAT. PARA ESCRIT.E ESCOLAR|EDU|Padrão|4|528|2112|Ativo|</t>
        </r>
      </text>
    </comment>
    <comment ref="X664" authorId="0" shapeId="0" xr:uid="{00000000-0006-0000-0000-0000EC020000}">
      <text>
        <r>
          <rPr>
            <sz val="10"/>
            <color indexed="81"/>
            <rFont val="Lucida Console"/>
            <family val="3"/>
          </rPr>
          <t>130695|TOALHA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FOLHAS|1|62|26|VEST., ART.P/ TOUC.E HIG. PES. MAQ., EQUIP., MAT.E ACES.|ADM|Padrão|4|266|1064|Ativo|</t>
        </r>
      </text>
    </comment>
    <comment ref="X665" authorId="0" shapeId="0" xr:uid="{00000000-0006-0000-0000-0000ED020000}">
      <text>
        <r>
          <rPr>
            <sz val="10"/>
            <color indexed="81"/>
            <rFont val="Lucida Console"/>
            <family val="3"/>
          </rPr>
          <t>17135|GRAMPO TRILHO P/ PASTA 80 MM|1|45|12|MAQ., EQUIP., COMP., ACES., MAT. PARA ESCRIT.E ESCOLAR|EDU|Padrão|4|610|2440|Ativo|</t>
        </r>
      </text>
    </comment>
    <comment ref="X666" authorId="0" shapeId="0" xr:uid="{00000000-0006-0000-0000-0000EE020000}">
      <text>
        <r>
          <rPr>
            <sz val="10"/>
            <color indexed="81"/>
            <rFont val="Lucida Console"/>
            <family val="3"/>
          </rPr>
          <t>13178|BUCHA DE FIXACAO - N° 06 DE PLASTICO|1|67|9|PARAFUSOS ELEM. VEDACAO UNIAO CONEX . FIXACAO|MSE|Padrão|4|662|2648|Ativo|</t>
        </r>
      </text>
    </comment>
    <comment ref="J667" authorId="1" shapeId="0" xr:uid="{00000000-0006-0000-0000-0000EF020000}">
      <text>
        <r>
          <rPr>
            <b/>
            <sz val="9"/>
            <color indexed="81"/>
            <rFont val="Segoe UI"/>
            <family val="2"/>
          </rPr>
          <t xml:space="preserve">Marcos:
</t>
        </r>
        <r>
          <rPr>
            <sz val="9"/>
            <color indexed="81"/>
            <rFont val="Segoe UI"/>
            <family val="2"/>
          </rPr>
          <t xml:space="preserve">Reduzido para 5 devido ao consumo anterior de 129 ter sido elevado por causa de doação realizada.
</t>
        </r>
      </text>
    </comment>
    <comment ref="X667" authorId="0" shapeId="0" xr:uid="{00000000-0006-0000-0000-0000F0020000}">
      <text>
        <r>
          <rPr>
            <sz val="10"/>
            <color indexed="81"/>
            <rFont val="Lucida Console"/>
            <family val="3"/>
          </rPr>
          <t>129991|ELETRODUTO CORRUGADO EM PEAD (POLIETILENO DE ALTA DENSIDADE) PARA PROTECAO DE CABOS SUBTERRANEOS - DIAMETRO 110MM (4")|1|55|32|EQUIP. MAT. P/ GERACAO, TRANSM. DISTR. RETIF...|MEL|Padrão|4|25|100|Ativo|</t>
        </r>
      </text>
    </comment>
    <comment ref="X668" authorId="0" shapeId="0" xr:uid="{00000000-0006-0000-0000-0000F1020000}">
      <text>
        <r>
          <rPr>
            <sz val="10"/>
            <color indexed="81"/>
            <rFont val="Lucida Console"/>
            <family val="3"/>
          </rPr>
          <t>9413|SACO PLASTICO P/ LIXO  CAP. 100 LITROS, COR PRETA - 75 X 105 CM X 0,14 MM OU 140 MICRAS DE ESPESSURA (0,07 MM POR PAREDE)|1|72|6|MAQ.EQUIP.E MATERIAIS P/ HIGIEN.LIMP.POLIM.E LUBR.|ADM|Padrão|4|1132|4528|Ativo|</t>
        </r>
      </text>
    </comment>
    <comment ref="X669" authorId="0" shapeId="0" xr:uid="{00000000-0006-0000-0000-0000F2020000}">
      <text>
        <r>
          <rPr>
            <sz val="10"/>
            <color indexed="81"/>
            <rFont val="Lucida Console"/>
            <family val="3"/>
          </rPr>
          <t>106697|TINTA GUACHE,  ATOXICA, COR AMARELO-OURO, CONTENDO 250 ML|1|45|30|MAQ., EQUIP., COMP., ACES., MAT. PARA ESCRIT.E ESCOLAR|EDU|Padrão|4|544|2176|Ativo|</t>
        </r>
      </text>
    </comment>
    <comment ref="L670" authorId="1" shapeId="0" xr:uid="{00000000-0006-0000-0000-0000F3020000}">
      <text>
        <r>
          <rPr>
            <sz val="10"/>
            <color indexed="81"/>
            <rFont val="Lucida Console"/>
            <family val="3"/>
          </rPr>
          <t>_x000D_
Alterado em 01.09.2020_x000D_
Anterior = 1834</t>
        </r>
      </text>
    </comment>
    <comment ref="M670" authorId="1" shapeId="0" xr:uid="{00000000-0006-0000-0000-0000F4020000}">
      <text>
        <r>
          <rPr>
            <sz val="10"/>
            <color indexed="81"/>
            <rFont val="Lucida Console"/>
            <family val="3"/>
          </rPr>
          <t>_x000D_
Alterado em 01.09.2020_x000D_
Anterior = 01.09.2020</t>
        </r>
      </text>
    </comment>
    <comment ref="X670" authorId="1" shapeId="0" xr:uid="{00000000-0006-0000-0000-0000F5020000}">
      <text>
        <r>
          <rPr>
            <sz val="10"/>
            <color indexed="81"/>
            <rFont val="Lucida Console"/>
            <family val="3"/>
          </rPr>
          <t>10867|ACUCAR REFINADO AMORFO/MICROCRISTALINO PT C/ 1KG|1|71|20|GENEROS ALIMENTICIOS E BEBIDAS|EDU|Personalizado|3|2776|8328|Ativo|</t>
        </r>
      </text>
    </comment>
    <comment ref="X671" authorId="0" shapeId="0" xr:uid="{00000000-0006-0000-0000-0000F6020000}">
      <text>
        <r>
          <rPr>
            <sz val="10"/>
            <color indexed="81"/>
            <rFont val="Lucida Console"/>
            <family val="3"/>
          </rPr>
          <t>80872|TINTA GUACHE, POTE COM 250 ML, LARANJA|1|45|30|MAQ., EQUIP., COMP., ACES., MAT. PARA ESCRIT.E ESCOLAR|EDU|Padrão|4|542|2168|Ativo|</t>
        </r>
      </text>
    </comment>
    <comment ref="X672" authorId="0" shapeId="0" xr:uid="{00000000-0006-0000-0000-0000F7020000}">
      <text>
        <r>
          <rPr>
            <sz val="10"/>
            <color indexed="81"/>
            <rFont val="Lucida Console"/>
            <family val="3"/>
          </rPr>
          <t>105259|PAPEL ADESIVO P/ ENCADERNACAO (TIPO CONTACT) - 0,50 M DE LARGURA (VARIACAO +/- 0,05M) - TRANSPARENTE - ROLO COM 25 M|1|57|3|MAQ. E EQUIP. P/ IND. GRAFICA COMP. ACESS. E PAPEI|EDU|Padrão|4|408|1632|Ativo|</t>
        </r>
      </text>
    </comment>
    <comment ref="X673" authorId="0" shapeId="0" xr:uid="{00000000-0006-0000-0000-0000F8020000}">
      <text>
        <r>
          <rPr>
            <sz val="10"/>
            <color indexed="81"/>
            <rFont val="Lucida Console"/>
            <family val="3"/>
          </rPr>
          <t>115282|FILME DE POLIETILENO - MED. 500 MM LARGURA X 0,020 MM ESPESSURA X 140 METROS DE COMPRIMENTO|1|73|10|EMBALAG., RECIP., ACESSOR., EQUIP., MATER. P/ACONDICIO|EDU|Padrão|4|37|148|Ativo|</t>
        </r>
      </text>
    </comment>
    <comment ref="X674" authorId="0" shapeId="0" xr:uid="{00000000-0006-0000-0000-0000F9020000}">
      <text>
        <r>
          <rPr>
            <sz val="10"/>
            <color indexed="81"/>
            <rFont val="Lucida Console"/>
            <family val="3"/>
          </rPr>
          <t>132394|FITA ADESIVA COLORIDA, MEDINDO APROXIMADAMENTE 12MM X 10M. COR: AMARELA. COMPOSICAO: FILME POLIPROPILENO COM ADESIVO ACRILICO A BASE D´AGUA.|1|45|14|MAQ., EQUIP., COMP., ACES., MAT. PARA ESCRIT.E ESCOLAR|EDU|Padrão|4|582|2328|Ativo|</t>
        </r>
      </text>
    </comment>
    <comment ref="X675" authorId="0" shapeId="0" xr:uid="{00000000-0006-0000-0000-0000FA020000}">
      <text>
        <r>
          <rPr>
            <sz val="10"/>
            <color indexed="81"/>
            <rFont val="Lucida Console"/>
            <family val="3"/>
          </rPr>
          <t>14012|ABRACADEIRA GALVANIZADA TIPO U DE 3/4"|1|55|46|EQUIP. MAT. P/ GERACAO, TRANSM. DISTR. RETIF...|MEL|Padrão|4|119|476|Ativo|</t>
        </r>
      </text>
    </comment>
    <comment ref="X676" authorId="0" shapeId="0" xr:uid="{00000000-0006-0000-0000-0000FB020000}">
      <text>
        <r>
          <rPr>
            <sz val="10"/>
            <color indexed="81"/>
            <rFont val="Lucida Console"/>
            <family val="3"/>
          </rPr>
          <t>70379|PAPEL SULFITE, GRAMATURA 75G/M2, FORMATO A3, MEDINDO (297X420)MM, COR BRANCA|1|57|17|MAQ. E EQUIP. P/ IND. GRAFICA COMP. ACESS. E PAPEI|EDU|Padrão|4|275|1100|Ativo|</t>
        </r>
      </text>
    </comment>
    <comment ref="X677" authorId="0" shapeId="0" xr:uid="{00000000-0006-0000-0000-0000FC020000}">
      <text>
        <r>
          <rPr>
            <sz val="10"/>
            <color indexed="81"/>
            <rFont val="Lucida Console"/>
            <family val="3"/>
          </rPr>
          <t>54682|BARBANTE DE ALGODAO 4 FIOS - ROLO COM 250 GR|1|45|12|MAQ., EQUIP., COMP., ACES., MAT. PARA ESCRIT.E ESCOLAR|EDU|Padrão|4|394|1576|Ativo|</t>
        </r>
      </text>
    </comment>
    <comment ref="X678" authorId="0" shapeId="0" xr:uid="{00000000-0006-0000-0000-0000FD020000}">
      <text>
        <r>
          <rPr>
            <sz val="10"/>
            <color indexed="81"/>
            <rFont val="Lucida Console"/>
            <family val="3"/>
          </rPr>
          <t>10547|FITA ADESIVA CREPADA  - 19 MM X 50 M|1|45|14|MAQ., EQUIP., COMP., ACES., MAT. PARA ESCRIT.E ESCOLAR|EDU|Padrão|4|1355|5420|Ativo|</t>
        </r>
      </text>
    </comment>
    <comment ref="X679" authorId="0" shapeId="0" xr:uid="{00000000-0006-0000-0000-0000FE020000}">
      <text>
        <r>
          <rPr>
            <sz val="10"/>
            <color indexed="81"/>
            <rFont val="Lucida Console"/>
            <family val="3"/>
          </rPr>
          <t>64626|FERRO CHATO - 1.1/2" X 1/4" - BARRA COM 06 METROS|1|69|8|METAIS,LAMINAD.,PERFILADOS E ARTEFATOS METALICOS|MSE|Padrão|4|125|500|Ativo|</t>
        </r>
      </text>
    </comment>
    <comment ref="X680" authorId="0" shapeId="0" xr:uid="{00000000-0006-0000-0000-0000FF020000}">
      <text>
        <r>
          <rPr>
            <sz val="10"/>
            <color indexed="81"/>
            <rFont val="Lucida Console"/>
            <family val="3"/>
          </rPr>
          <t>78642|TINTA GUACHE - POTE COM 250ML - COR PRETA|1|45|30|MAQ., EQUIP., COMP., ACES., MAT. PARA ESCRIT.E ESCOLAR|EDU|Padrão|4|509|2036|Ativo|</t>
        </r>
      </text>
    </comment>
    <comment ref="X681" authorId="0" shapeId="0" xr:uid="{00000000-0006-0000-0000-000000030000}">
      <text>
        <r>
          <rPr>
            <sz val="10"/>
            <color indexed="81"/>
            <rFont val="Lucida Console"/>
            <family val="3"/>
          </rPr>
          <t>106544|CHUMBADOR CBA  5/16" X 2.1/4"|1|67|9|PARAFUSOS ELEM. VEDACAO UNIAO CONEX . FIXACAO|MSE|Padrão|4|142|568|Ativo|</t>
        </r>
      </text>
    </comment>
    <comment ref="X682" authorId="0" shapeId="0" xr:uid="{00000000-0006-0000-0000-000001030000}">
      <text>
        <r>
          <rPr>
            <sz val="10"/>
            <color indexed="81"/>
            <rFont val="Lucida Console"/>
            <family val="3"/>
          </rPr>
          <t>78646|TINTA GUACHE - POTE COM 250ML - COR VERMELHA|1|45|30|MAQ., EQUIP., COMP., ACES., MAT. PARA ESCRIT.E ESCOLAR|EDU|Padrão|4|576|2304|Ativo|</t>
        </r>
      </text>
    </comment>
    <comment ref="X683" authorId="0" shapeId="0" xr:uid="{00000000-0006-0000-0000-000002030000}">
      <text>
        <r>
          <rPr>
            <sz val="10"/>
            <color indexed="81"/>
            <rFont val="Lucida Console"/>
            <family val="3"/>
          </rPr>
          <t>78643|TINTA GUACHE - POTE COM 250ML - COR VERDE|1|45|30|MAQ., EQUIP., COMP., ACES., MAT. PARA ESCRIT.E ESCOLAR|EDU|Padrão|4|562|2248|Ativo|</t>
        </r>
      </text>
    </comment>
    <comment ref="X684" authorId="0" shapeId="0" xr:uid="{00000000-0006-0000-0000-000003030000}">
      <text>
        <r>
          <rPr>
            <sz val="10"/>
            <color indexed="81"/>
            <rFont val="Lucida Console"/>
            <family val="3"/>
          </rPr>
          <t>132395|FITA ADESIVA COLORIDA, MEDINDO APROXIMADAMENTE 12MM X 10M. COR: AZUL ESCURA. COMPOSICAO: FILME POLIPROPILENO COM ADESIVO ACRILICO A BASE D´AGUA.|1|45|14|MAQ., EQUIP., COMP., ACES., MAT. PARA ESCRIT.E ESCOLAR|EDU|Padrão|4|579|2316|Ativo|</t>
        </r>
      </text>
    </comment>
    <comment ref="X685" authorId="0" shapeId="0" xr:uid="{00000000-0006-0000-0000-000004030000}">
      <text>
        <r>
          <rPr>
            <sz val="10"/>
            <color indexed="81"/>
            <rFont val="Lucida Console"/>
            <family val="3"/>
          </rPr>
          <t>131927|LAPIS PRETO N.2 JUMBO TRIANGULAR, MEDINDO: 175MM (VARIACAO +/- 10MM)|1|45|9|MAQ., EQUIP., COMP., ACES., MAT. PARA ESCRIT.E ESCOLAR|EDU|Padrão|4|691|2764|Ativo|</t>
        </r>
      </text>
    </comment>
    <comment ref="X686" authorId="0" shapeId="0" xr:uid="{00000000-0006-0000-0000-000005030000}">
      <text>
        <r>
          <rPr>
            <sz val="10"/>
            <color indexed="81"/>
            <rFont val="Lucida Console"/>
            <family val="3"/>
          </rPr>
          <t>131926|LAPIS PRETO 6B, MEDINDO 175MM (VARIACAO DE +/-10MM) DE COMPRIMENTO.|1|45|9|MAQ., EQUIP., COMP., ACES., MAT. PARA ESCRIT.E ESCOLAR|EDU|Padrão|4|873|3492|Ativo|</t>
        </r>
      </text>
    </comment>
    <comment ref="X687" authorId="0" shapeId="0" xr:uid="{00000000-0006-0000-0000-000006030000}">
      <text>
        <r>
          <rPr>
            <sz val="10"/>
            <color indexed="81"/>
            <rFont val="Lucida Console"/>
            <family val="3"/>
          </rPr>
          <t>105117|CAMISA DE BRIM, N° 5, CONFECCIONADA EM TECIDO 100% ALGODAO, NA COR AZUL MARINHO|1|62|1|VEST., ART.P/ TOUC.E HIG. PES. MAQ., EQUIP., MAT.E ACES.|ADM|Padrão|4|1|4|Ativo|</t>
        </r>
      </text>
    </comment>
    <comment ref="X688" authorId="0" shapeId="0" xr:uid="{00000000-0006-0000-0000-000007030000}">
      <text>
        <r>
          <rPr>
            <sz val="10"/>
            <color indexed="81"/>
            <rFont val="Lucida Console"/>
            <family val="3"/>
          </rPr>
          <t>105107|CALCA DE BRIM N° 42, CONFECCIONADA EM TECIDO MISTO 67% ALGODAO NA COR AZUL MARINHO|1|62|4|VEST., ART.P/ TOUC.E HIG. PES. MAQ., EQUIP., MAT.E ACES.|ADM|Padrão|4|1|4|Ativo|</t>
        </r>
      </text>
    </comment>
    <comment ref="X689" authorId="0" shapeId="0" xr:uid="{00000000-0006-0000-0000-000008030000}">
      <text>
        <r>
          <rPr>
            <sz val="10"/>
            <color indexed="81"/>
            <rFont val="Lucida Console"/>
            <family val="3"/>
          </rPr>
          <t>114430|PROTETOR SOLAR FPS 30 - LOCAO CREMOSA, COM REPELENTE DE INSETOS (PERNILONGOS, CARAPANAS, BORRACHUDOS, MOSQUITOS, MURICOCAS E OUTROS TIPOS)|1|62|25|VEST., ART.P/ TOUC.E HIG. PES. MAQ., EQUIP., MAT.E ACES.|ADM|Padrão|4|15|60|Ativo|</t>
        </r>
      </text>
    </comment>
    <comment ref="J690" authorId="1" shapeId="0" xr:uid="{00000000-0006-0000-0000-000009030000}">
      <text>
        <r>
          <rPr>
            <b/>
            <sz val="9"/>
            <color indexed="81"/>
            <rFont val="Segoe UI"/>
            <family val="2"/>
          </rPr>
          <t>Marcos 21/05/2019:</t>
        </r>
        <r>
          <rPr>
            <sz val="9"/>
            <color indexed="81"/>
            <rFont val="Segoe UI"/>
            <family val="2"/>
          </rPr>
          <t xml:space="preserve">
Quada de consumo por terceirização com Milclean.</t>
        </r>
      </text>
    </comment>
    <comment ref="X690" authorId="0" shapeId="0" xr:uid="{00000000-0006-0000-0000-00000A030000}">
      <text>
        <r>
          <rPr>
            <sz val="10"/>
            <color indexed="81"/>
            <rFont val="Lucida Console"/>
            <family val="3"/>
          </rPr>
          <t>91868|VASSOURAO DE PIACAVA TIPO PREFEITURA - 40 CM|1|72|5|MAQ.EQUIP.E MATERIAIS P/ HIGIEN.LIMP.POLIM.E LUBR.|ADM|Padrão|4|3|12|Ativo|</t>
        </r>
      </text>
    </comment>
    <comment ref="X691" authorId="0" shapeId="0" xr:uid="{00000000-0006-0000-0000-00000B030000}">
      <text>
        <r>
          <rPr>
            <sz val="9"/>
            <color indexed="81"/>
            <rFont val="Segoe UI"/>
            <family val="2"/>
          </rPr>
          <t>109251|SACO PLASTICO PARA LIXO, COR AZUL, 100 LITROS|1|72|6|MAQ.EQUIP.E MATERIAIS P/ HIGIEN.LIMP.POLIM.E LUBR.|ADM|Padrão|4|67|268|Ativo|</t>
        </r>
      </text>
    </comment>
    <comment ref="J692" authorId="1" shapeId="0" xr:uid="{00000000-0006-0000-0000-00000C030000}">
      <text>
        <r>
          <rPr>
            <b/>
            <sz val="9"/>
            <color indexed="81"/>
            <rFont val="Segoe UI"/>
            <family val="2"/>
          </rPr>
          <t>23/04/2019-Marcos:</t>
        </r>
        <r>
          <rPr>
            <sz val="9"/>
            <color indexed="81"/>
            <rFont val="Segoe UI"/>
            <family val="2"/>
          </rPr>
          <t xml:space="preserve">
A Maria Rita mandou reduzir o consumo mensal. Anteriormente estava 197. Foi informado o consumo do mês de abril/19.
Ajustado o consumo de 50 para 90 em 05/08/2019.
Ajustado o consumo de 90 para 60 em 31/10/2019.
Ajustado o consumo de 60 para 17 em 10/12/2019.
Ajustado o consumo de 17 para 31 em 02/03/2020.
</t>
        </r>
      </text>
    </comment>
    <comment ref="X692" authorId="0" shapeId="0" xr:uid="{00000000-0006-0000-0000-00000D030000}">
      <text>
        <r>
          <rPr>
            <sz val="10"/>
            <color indexed="81"/>
            <rFont val="Lucida Console"/>
            <family val="3"/>
          </rPr>
          <t>110578|SABONETE LIQUIDO PEROLADO, FRASCO COM 1 LITRO|1|72|9|MAQ.EQUIP.E MATERIAIS P/ HIGIEN.LIMP.POLIM.E LUBR.|ADM|Padrão|4|31|124|Suspenso|</t>
        </r>
      </text>
    </comment>
    <comment ref="X693" authorId="0" shapeId="0" xr:uid="{00000000-0006-0000-0000-00000E030000}">
      <text>
        <r>
          <rPr>
            <sz val="10"/>
            <color indexed="81"/>
            <rFont val="Lucida Console"/>
            <family val="3"/>
          </rPr>
          <t>78057|SUPORTE TUBINHO BRANCO, COM PARAFUSO (APOIO DE PRATELEIRA) - EMBALAGEM COM 100 UNIDADES|1|78|2|MOBILIARIO E COFRE|ADM|Padrão|4|2|8|Ativo|</t>
        </r>
      </text>
    </comment>
    <comment ref="X694" authorId="0" shapeId="0" xr:uid="{00000000-0006-0000-0000-00000F030000}">
      <text>
        <r>
          <rPr>
            <sz val="9"/>
            <color indexed="81"/>
            <rFont val="Segoe UI"/>
            <family val="2"/>
          </rPr>
          <t>139767|PASTA SUSPENSA, DE POLIPROPILENO(PP-LINE), COM ESPESSURA 0,30MM, POR PAREDE (PODENDO VARIAR 0,05MM PARA +/-), NA COR AZUL, NO TAMANHO OFICIO(23,5X36,0)CM, HASTE DE POLIESTIRENO(PS), PONTEIRAS DE PLASTICO, PRENDEDORES INTERNOS DE POLIETILENO(PE), MODELO NORMAL, VISOR EM ACETATO E ETIQUETA BRANCA.|1|45|11|MAQ., EQUIP., COMP., ACES., MAT. PARA ESCRIT.E ESCOLAR|EDU|Padrão|4|135|540|Ativo|</t>
        </r>
      </text>
    </comment>
    <comment ref="X695" authorId="0" shapeId="0" xr:uid="{00000000-0006-0000-0000-000010030000}">
      <text>
        <r>
          <rPr>
            <sz val="9"/>
            <color indexed="81"/>
            <rFont val="Segoe UI"/>
            <family val="2"/>
          </rPr>
          <t>15530|PAPEL ALMACO C/ PAUTA|1|45|13|MAQ., EQUIP., COMP., ACES., MAT. PARA ESCRIT.E ESCOLAR|EDU|Padrão|4|649|2596|Ativo|</t>
        </r>
      </text>
    </comment>
    <comment ref="X696" authorId="0" shapeId="0" xr:uid="{00000000-0006-0000-0000-000011030000}">
      <text>
        <r>
          <rPr>
            <sz val="10"/>
            <color indexed="81"/>
            <rFont val="Lucida Console"/>
            <family val="3"/>
          </rPr>
          <t>132290|FITA ADESIVA COLORIDA, MEDINDO APROXIMADAMENTE 12MM X 10M. COR: VERMELHO. COMPOSICAO: FILME POLIPROPILENO COM ADESIVO ACRILICO A BASE D´AGUA|1|45|14|MAQ., EQUIP., COMP., ACES., MAT. PARA ESCRIT.E ESCOLAR|EDU|Padrão|4|571|2284|Ativo|</t>
        </r>
      </text>
    </comment>
    <comment ref="X697" authorId="0" shapeId="0" xr:uid="{00000000-0006-0000-0000-000012030000}">
      <text>
        <r>
          <rPr>
            <sz val="9"/>
            <color indexed="81"/>
            <rFont val="Segoe UI"/>
            <family val="2"/>
          </rPr>
          <t>132299|GIZAO DE CERA REDONDO, ATOXICO, COM 6 CORES. DIMENSOES MINIMAS: 22 MM DE DIAMETRO E 69 MM DE COMPRIMENTO, COM PESO MINIMO DE 185 GRAMAS, COMPOSICAO: A BASE DE CERA, CARGAS MINERAIS INERTES E PIGMENTOS.|1|45|16|MAQ., EQUIP., COMP., ACES., MAT. PARA ESCRIT.E ESCOLAR|EDU|Padrão|4|14|56|Ativo|</t>
        </r>
      </text>
    </comment>
    <comment ref="X698" authorId="0" shapeId="0" xr:uid="{00000000-0006-0000-0000-000013030000}">
      <text>
        <r>
          <rPr>
            <sz val="10"/>
            <color indexed="81"/>
            <rFont val="Lucida Console"/>
            <family val="3"/>
          </rPr>
          <t>103490|FIO TELEFONICO EXTERNO FE - AA - 80|1|59|18|EQUIP.MAT.E ACESS.COMUNIC.CINE FOTO OTICA SOM|INF|Padrão|4|1|4|Ativo|</t>
        </r>
      </text>
    </comment>
    <comment ref="X699" authorId="0" shapeId="0" xr:uid="{00000000-0006-0000-0000-000014030000}">
      <text>
        <r>
          <rPr>
            <sz val="10"/>
            <color indexed="81"/>
            <rFont val="Lucida Console"/>
            <family val="3"/>
          </rPr>
          <t>106131|RELE TERMICO 12 A 18A LRD21 ( SCH )|1|50|2|EQUIP. P/ COND. VENT. PURIF. DE AR, COMPONENTES E ACES.|MAN|Padrão|4|1|4|Ativo|</t>
        </r>
      </text>
    </comment>
    <comment ref="X700" authorId="0" shapeId="0" xr:uid="{00000000-0006-0000-0000-000015030000}">
      <text>
        <r>
          <rPr>
            <sz val="10"/>
            <color indexed="81"/>
            <rFont val="Lucida Console"/>
            <family val="3"/>
          </rPr>
          <t>106129|RELE TERMICO 5.5 A 8A LRD12 ( SCH )|1|50|2|EQUIP. P/ COND. VENT. PURIF. DE AR, COMPONENTES E ACES.|MAN|Padrão|4|1|4|Ativo|</t>
        </r>
      </text>
    </comment>
    <comment ref="X701" authorId="0" shapeId="0" xr:uid="{00000000-0006-0000-0000-000016030000}">
      <text>
        <r>
          <rPr>
            <sz val="9"/>
            <color indexed="81"/>
            <rFont val="Segoe UI"/>
            <family val="2"/>
          </rPr>
          <t>137798|AVENTAL DE SEGURANCA CONFECCIONADO EM RASPA, TIRAS EM RASPA PRESAS NO PESCOCO E NA CINTURA, FIVELAS METALICAS OU VELCRO PARA AJUSTES. OBJETIVO: PROTECAO DO TRONCO DO USUARIO CONTRA AGENTES ABRASIVOS, ESCORIANTES E TERMICOS PROVENIENTES DE OPERACOES DE SOLDAGEM E PROCESSOS SIMILARES.|1|54|4|EQUIP PROT IND, INST MAT P/ SINAL, CONTR, COMB ...|MAN|Padrão|4|2|8|Ativo|</t>
        </r>
      </text>
    </comment>
    <comment ref="X702" authorId="0" shapeId="0" xr:uid="{00000000-0006-0000-0000-000017030000}">
      <text>
        <r>
          <rPr>
            <sz val="9"/>
            <color indexed="81"/>
            <rFont val="Segoe UI"/>
            <family val="2"/>
          </rPr>
          <t>136877|AVENTAL DE SEGURANCA CONFECCIONADO EM TECIDO SINTETICO PLASTIFICADO COM PVC EM AMBAS AS FACES, TIRAS DE AJUSTES NO PESCOCO E NA CINTURA JA FIXADAS NO AVENTAL ATRAVES DE ILHOSES REFORCADOS OU SOLDADAS ELETRONICAMENTE.|1|54|4|EQUIP PROT IND, INST MAT P/ SINAL, CONTR, COMB ...|MAN|Padrão|4|1|4|Ativo|</t>
        </r>
      </text>
    </comment>
    <comment ref="X703" authorId="0" shapeId="0" xr:uid="{00000000-0006-0000-0000-000018030000}">
      <text>
        <r>
          <rPr>
            <sz val="9"/>
            <color indexed="81"/>
            <rFont val="Segoe UI"/>
            <family val="2"/>
          </rPr>
          <t>136855|LUVA DE RASPA CANO MEDIO - LUVA DE SEGURANCA, CONFECCIONADA EM RASPA, REFORCO INTERNO EM RASPA NA PALMA E FACE PALMAR DOS DEDOS, REFORCO EXTERNO EM RASPA ENTRE O POLEGAR E O INDICADOR. CANO MEDIO DE CUMPRIMENTO IGUAL A 15 CM|1|54|4|EQUIP PROT IND, INST MAT P/ SINAL, CONTR, COMB ...|MAN|Padrão|4|2|8|Ativo|</t>
        </r>
      </text>
    </comment>
    <comment ref="X704" authorId="0" shapeId="0" xr:uid="{00000000-0006-0000-0000-000019030000}">
      <text>
        <r>
          <rPr>
            <sz val="10"/>
            <color indexed="81"/>
            <rFont val="Lucida Console"/>
            <family val="3"/>
          </rPr>
          <t>134559|PONTEIRA PLASTICA NA COR PRETA PARA TUBO RETANGULAR 20 MM X 40 MM|1|70|16|FERRAMENTAS MAQ.FERRAMENTAS,ELETR.PECAS E ACESSORI|MAN|Padrão|4|67|268|Ativo|</t>
        </r>
      </text>
    </comment>
    <comment ref="X705" authorId="0" shapeId="0" xr:uid="{00000000-0006-0000-0000-00001A030000}">
      <text>
        <r>
          <rPr>
            <sz val="10"/>
            <color indexed="81"/>
            <rFont val="Lucida Console"/>
            <family val="3"/>
          </rPr>
          <t>19882|BROCA DE WIDIA 3/8"|1|70|31|FERRAMENTAS MAQ.FERRAMENTAS,ELETR.PECAS E ACESSORI|MAN|Padrão|4|3|12|Ativo|</t>
        </r>
      </text>
    </comment>
    <comment ref="A706" authorId="0" shapeId="0" xr:uid="{00000000-0006-0000-0000-00001B030000}">
      <text>
        <r>
          <rPr>
            <sz val="10"/>
            <color indexed="81"/>
            <rFont val="Lucida Console"/>
            <family val="3"/>
          </rPr>
          <t>Mantido o valor anterior</t>
        </r>
      </text>
    </comment>
    <comment ref="X706" authorId="0" shapeId="0" xr:uid="{00000000-0006-0000-0000-00001C030000}">
      <text>
        <r>
          <rPr>
            <sz val="10"/>
            <color indexed="81"/>
            <rFont val="Lucida Console"/>
            <family val="3"/>
          </rPr>
          <t>38930|PORTA ELETRODO DE 500 AMPERES|1|70|33|FERRAMENTAS MAQ.FERRAMENTAS,ELETR.PECAS E ACESSORI|MAN|Padrão|4|2|8|Ativo|</t>
        </r>
      </text>
    </comment>
    <comment ref="X707" authorId="0" shapeId="0" xr:uid="{00000000-0006-0000-0000-00001D030000}">
      <text>
        <r>
          <rPr>
            <sz val="10"/>
            <color indexed="81"/>
            <rFont val="Lucida Console"/>
            <family val="3"/>
          </rPr>
          <t>104911|ARAME PARA SOLDA MIG/MAG COM DIAMETRO DE 0,8 MM.|1|70|45|FERRAMENTAS MAQ.FERRAMENTAS,ELETR.PECAS E ACESSORI|MAN|Padrão|4|2|8|Ativo|</t>
        </r>
      </text>
    </comment>
    <comment ref="X708" authorId="0" shapeId="0" xr:uid="{00000000-0006-0000-0000-00001E030000}">
      <text>
        <r>
          <rPr>
            <sz val="9"/>
            <color indexed="81"/>
            <rFont val="Segoe UI"/>
            <family val="2"/>
          </rPr>
          <t>139545|DISCO DE DESBASTE INDUSTRIAL PARA ACO / ACO INOX, DIMENSOES: Ø 4.1/2" X 1/4" X Ø 7/8", ROTACAO: 12.250 A 13.200 RPM|1|83|4|ABRASIVOS|MAN|Padrão|4|3|12|Ativo|</t>
        </r>
      </text>
    </comment>
    <comment ref="X709" authorId="0" shapeId="0" xr:uid="{00000000-0006-0000-0000-00001F030000}">
      <text>
        <r>
          <rPr>
            <sz val="10"/>
            <color indexed="81"/>
            <rFont val="Lucida Console"/>
            <family val="3"/>
          </rPr>
          <t>64634|DISCO DE LIXA N. 40 - 30 CM DE DIAMETRO - PARA LIXADEIRA DE BANCADA|1|83|10|ABRASIVOS|MAN|Padrão|4|1|4|Ativo|</t>
        </r>
      </text>
    </comment>
    <comment ref="X710" authorId="0" shapeId="0" xr:uid="{00000000-0006-0000-0000-000020030000}">
      <text>
        <r>
          <rPr>
            <sz val="10"/>
            <color indexed="81"/>
            <rFont val="Lucida Console"/>
            <family val="3"/>
          </rPr>
          <t>130632|MASSA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4.7.3|1|51|3|MAT.E EQUIP. P/ CONSTR.CIVIL E CONSERV. DE VIAS PUBL.|MCO|Padrão|4|2|8|Ativo|</t>
        </r>
      </text>
    </comment>
    <comment ref="X711" authorId="0" shapeId="0" xr:uid="{00000000-0006-0000-0000-000021030000}">
      <text>
        <r>
          <rPr>
            <sz val="10"/>
            <color indexed="81"/>
            <rFont val="Lucida Console"/>
            <family val="3"/>
          </rPr>
          <t>14056|PORTA CADEADO DE FERRO ZINCADO DE 3 1/2"|1|51|12|MAT.E EQUIP. P/ CONSTR.CIVIL E CONSERV. DE VIAS PUBL.|MCO|Padrão|4|1|4|Ativo|</t>
        </r>
      </text>
    </comment>
    <comment ref="X712" authorId="0" shapeId="0" xr:uid="{00000000-0006-0000-0000-000022030000}">
      <text>
        <r>
          <rPr>
            <sz val="10"/>
            <color indexed="81"/>
            <rFont val="Lucida Console"/>
            <family val="3"/>
          </rPr>
          <t>118515|PISO HIDRAULICO, ANTIDERRAPANTE|1|51|21|MAT.E EQUIP. P/ CONSTR.CIVIL E CONSERV. DE VIAS PUBL.|MCO|Padrão|4|17|68|Ativo|</t>
        </r>
      </text>
    </comment>
    <comment ref="X713" authorId="0" shapeId="0" xr:uid="{00000000-0006-0000-0000-000023030000}">
      <text>
        <r>
          <rPr>
            <sz val="9"/>
            <color indexed="81"/>
            <rFont val="Segoe UI"/>
            <family val="2"/>
          </rPr>
          <t>139957|PORCELANATO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A)|1|51|21|MAT.E EQUIP. P/ CONSTR.CIVIL E CONSERV. DE VIAS PUBL.|MCO|Padrão|4|266|1064|Ativo|</t>
        </r>
      </text>
    </comment>
    <comment ref="X714" authorId="0" shapeId="0" xr:uid="{00000000-0006-0000-0000-000024030000}">
      <text>
        <r>
          <rPr>
            <sz val="9"/>
            <color indexed="81"/>
            <rFont val="Segoe UI"/>
            <family val="2"/>
          </rPr>
          <t>139958|PORCELANATO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A)|1|51|21|MAT.E EQUIP. P/ CONSTR.CIVIL E CONSERV. DE VIAS PUBL.|MCO|Padrão|4|214|856|Ativo|</t>
        </r>
      </text>
    </comment>
    <comment ref="X715" authorId="0" shapeId="0" xr:uid="{00000000-0006-0000-0000-000025030000}">
      <text>
        <r>
          <rPr>
            <sz val="10"/>
            <color indexed="81"/>
            <rFont val="Lucida Console"/>
            <family val="3"/>
          </rPr>
          <t>26282|CAIXILHO DE FERRO PERFILADO - DE CORRER - 1,20 X 2,00 M|1|51|26|MAT.E EQUIP. P/ CONSTR.CIVIL E CONSERV. DE VIAS PUBL.|MCO|Padrão|4|1|4|Ativo|</t>
        </r>
      </text>
    </comment>
    <comment ref="X716" authorId="0" shapeId="0" xr:uid="{00000000-0006-0000-0000-000026030000}">
      <text>
        <r>
          <rPr>
            <sz val="10"/>
            <color indexed="81"/>
            <rFont val="Lucida Console"/>
            <family val="3"/>
          </rPr>
          <t>34214|CAIXILHO DE FERRO PERFILADO DE CORRER, S/ GRADE - MEDIDAS:|1|51|26|MAT.E EQUIP. P/ CONSTR.CIVIL E CONSERV. DE VIAS PUBL.|MCO|Padrão|4|1|4|Ativo|</t>
        </r>
      </text>
    </comment>
    <comment ref="X717" authorId="0" shapeId="0" xr:uid="{00000000-0006-0000-0000-000027030000}">
      <text>
        <r>
          <rPr>
            <sz val="9"/>
            <color indexed="81"/>
            <rFont val="Segoe UI"/>
            <family val="2"/>
          </rPr>
          <t>140326|ADESIVO SELANTE A BASE DE POLIURETANO, PARA A CONSTRUCAO CIVIL. ADERENCIA A MADEIRA, CONCRETO, ALVENARIA, GESSO, PVC, FERRO E ALUMINIO, ENTRE OUTRAS - TUBO COM, NO MINIMO, 350 GRAMAS.|1|51|33|MAT.E EQUIP. P/ CONSTR.CIVIL E CONSERV. DE VIAS PUBL.|MCO|Padrão|4|45|180|Ativo|</t>
        </r>
      </text>
    </comment>
    <comment ref="X718" authorId="0" shapeId="0" xr:uid="{00000000-0006-0000-0000-000028030000}">
      <text>
        <r>
          <rPr>
            <sz val="10"/>
            <color indexed="81"/>
            <rFont val="Lucida Console"/>
            <family val="3"/>
          </rPr>
          <t>13192|VASO SANITARIO SIFONADO CONVENCIONAL DE LOUÇA PADRAO POPULAR NA COR BRANCA|1|51|35|MAT.E EQUIP. P/ CONSTR.CIVIL E CONSERV. DE VIAS PUBL.|MCO|Padrão|4|3|12|Ativo|</t>
        </r>
      </text>
    </comment>
    <comment ref="X719" authorId="0" shapeId="0" xr:uid="{00000000-0006-0000-0000-000029030000}">
      <text>
        <r>
          <rPr>
            <sz val="9"/>
            <color indexed="81"/>
            <rFont val="Segoe UI"/>
            <family val="2"/>
          </rPr>
          <t>140283|LAVATORIO DE LOUCA COM COLUNA, NA COR BRANCA, DIMENSOES MINIMAS: 41 X 34 CM.|1|51|36|MAT.E EQUIP. P/ CONSTR.CIVIL E CONSERV. DE VIAS PUBL.|MCO|Padrão|4|5|20|Ativo|</t>
        </r>
      </text>
    </comment>
    <comment ref="X720" authorId="0" shapeId="0" xr:uid="{00000000-0006-0000-0000-00002A030000}">
      <text>
        <r>
          <rPr>
            <sz val="10"/>
            <color indexed="81"/>
            <rFont val="Lucida Console"/>
            <family val="3"/>
          </rPr>
          <t>78306|PIA DE ACO INOX COM 02 CUBAS, MEDINDO 2,00 M DE COMP. E LARGURA MINIMA DE 53 CM|1|51|36|MAT.E EQUIP. P/ CONSTR.CIVIL E CONSERV. DE VIAS PUBL.|MCO|Padrão|4|1|4|Ativo|</t>
        </r>
      </text>
    </comment>
    <comment ref="X721" authorId="0" shapeId="0" xr:uid="{00000000-0006-0000-0000-00002B030000}">
      <text>
        <r>
          <rPr>
            <sz val="10"/>
            <color indexed="81"/>
            <rFont val="Lucida Console"/>
            <family val="3"/>
          </rPr>
          <t>78509|TANQUE DE CONCRETO PRE-MOLDADO P/ LAVAGEM DE ROUPAS DE 0,70 X 0,70M|1|51|36|MAT.E EQUIP. P/ CONSTR.CIVIL E CONSERV. DE VIAS PUBL.|MCO|Padrão|4|1|4|Ativo|</t>
        </r>
      </text>
    </comment>
    <comment ref="A722" authorId="0" shapeId="0" xr:uid="{00000000-0006-0000-0000-00002C030000}">
      <text>
        <r>
          <rPr>
            <sz val="10"/>
            <color indexed="81"/>
            <rFont val="Lucida Console"/>
            <family val="3"/>
          </rPr>
          <t>Mantido o valor anterior</t>
        </r>
      </text>
    </comment>
    <comment ref="X722" authorId="0" shapeId="0" xr:uid="{00000000-0006-0000-0000-00002D030000}">
      <text>
        <r>
          <rPr>
            <sz val="10"/>
            <color indexed="81"/>
            <rFont val="Lucida Console"/>
            <family val="3"/>
          </rPr>
          <t>131344|COLA ADESIVO DE MONTAGEM PARA USO INTERNO|1|51|41|MAT.E EQUIP. P/ CONSTR.CIVIL E CONSERV. DE VIAS PUBL.|MCO|Padrão|4|9|36|Ativo|</t>
        </r>
      </text>
    </comment>
    <comment ref="X723" authorId="0" shapeId="0" xr:uid="{00000000-0006-0000-0000-00002E030000}">
      <text>
        <r>
          <rPr>
            <sz val="10"/>
            <color indexed="81"/>
            <rFont val="Lucida Console"/>
            <family val="3"/>
          </rPr>
          <t>105294|GRELHA REDONDA PARA RALO EM INOX, 6" COM DISPOSITIVO DE VEDACAO PARA INSETO|1|51|42|MAT.E EQUIP. P/ CONSTR.CIVIL E CONSERV. DE VIAS PUBL.|MCO|Padrão|4|6|24|Ativo|</t>
        </r>
      </text>
    </comment>
    <comment ref="X724" authorId="0" shapeId="0" xr:uid="{00000000-0006-0000-0000-00002F030000}">
      <text>
        <r>
          <rPr>
            <sz val="10"/>
            <color indexed="81"/>
            <rFont val="Lucida Console"/>
            <family val="3"/>
          </rPr>
          <t>130618|FITA DE BORDA CARVALHO PRATA 35 X 0,45 X 20 M|1|74|2|MADEIRAS,LAMINADOS,COMPENSADOS E AGLOMERADOS|MCO|Padrão|4|1|4|Ativo|</t>
        </r>
      </text>
    </comment>
    <comment ref="X725" authorId="0" shapeId="0" xr:uid="{00000000-0006-0000-0000-000030030000}">
      <text>
        <r>
          <rPr>
            <sz val="10"/>
            <color indexed="81"/>
            <rFont val="Lucida Console"/>
            <family val="3"/>
          </rPr>
          <t>74909|VIGA DE GARAPEIRA BRUTA - 6 CM X 12 CM X 5,00 M COMPRIMENTO|1|74|3|MADEIRAS,LAMINADOS,COMPENSADOS E AGLOMERADOS|MCO|Padrão|4|9|36|Ativo|</t>
        </r>
      </text>
    </comment>
    <comment ref="X726" authorId="0" shapeId="0" xr:uid="{00000000-0006-0000-0000-000031030000}">
      <text>
        <r>
          <rPr>
            <sz val="10"/>
            <color indexed="81"/>
            <rFont val="Lucida Console"/>
            <family val="3"/>
          </rPr>
          <t>101891|DISPOSITIVO DE PROTECAO CONTRA SOBRETENSOES TRANSITORIAS, TENSAO NOMINAL MINIMA 220V, CORRENTE MINIMA DE SURTO 40KA (8/20US) PADRAO IEC (CONF. NORMA ABNT 5410)|1|55|18|EQUIP. MAT. P/ GERACAO, TRANSM. DISTR. RETIF...|MEL|Padrão|4|5|20|Ativo|</t>
        </r>
      </text>
    </comment>
    <comment ref="X727" authorId="0" shapeId="0" xr:uid="{00000000-0006-0000-0000-000032030000}">
      <text>
        <r>
          <rPr>
            <sz val="9"/>
            <color indexed="81"/>
            <rFont val="Segoe UI"/>
            <family val="2"/>
          </rPr>
          <t>140028|CABO (FLEXIVEL), ENCORDOAMENTO CLASSE 5, SECAO 1,5 MM²  COR PRETA, ISOLACAO NAO HALOGENADO 70ºC, 450/750 V  ANTI-CHAMA, CONFORME NBR VIGENTE E CERTIFICACAO COMPULSORIA INMETRO. ROLO COM 100 METROS.CARACTERISTICAS E NORMA TECNICA LITOGRAFADAS NO MATERIAL.|1|55|19|EQUIP. MAT. P/ GERACAO, TRANSM. DISTR. RETIF...|MEL|Padrão|4|234|936|Ativo|</t>
        </r>
      </text>
    </comment>
    <comment ref="X728" authorId="0" shapeId="0" xr:uid="{00000000-0006-0000-0000-000033030000}">
      <text>
        <r>
          <rPr>
            <sz val="9"/>
            <color indexed="81"/>
            <rFont val="Segoe UI"/>
            <family val="2"/>
          </rPr>
          <t>140042|CABO (FLEXIVEL), ENCORDOAMENTO CLASSE 5, SECAO 16,0 MM²  COR PRETA, ISOLACAO NAO HALOGENADO 70ºC, 450/750 V  ANTI-CHAMA, CONFORME NBR VIGENTE E CERTIFICACAO COMPULSORIA INMETRO. CARACTERISTICAS E NORMA TECNICA LITOGRAFADAS NO MATERIAL.|1|55|19|EQUIP. MAT. P/ GERACAO, TRANSM. DISTR. RETIF...|MEL|Padrão|4|112|448|Ativo|</t>
        </r>
      </text>
    </comment>
    <comment ref="X729" authorId="0" shapeId="0" xr:uid="{00000000-0006-0000-0000-000034030000}">
      <text>
        <r>
          <rPr>
            <sz val="9"/>
            <color indexed="81"/>
            <rFont val="Segoe UI"/>
            <family val="2"/>
          </rPr>
          <t>140043|CABO (FLEXIVEL), ENCORDOAMENTO CLASSE 5, SECAO 16,0 MM²  COR VERDE, ISOLACAO NAO HALOGENADO 70ºC, 450/750 V  ANTI-CHAMA, CONFORME NBR VIGENTE E CERTIFICACAO COMPULSORIA INMETRO. CARACTERISTICAS E NORMA TECNICA LITOGRAFADAS NO MATERIAL.|1|55|19|EQUIP. MAT. P/ GERACAO, TRANSM. DISTR. RETIF...|MEL|Padrão|4|39|156|Ativo|</t>
        </r>
      </text>
    </comment>
    <comment ref="X730" authorId="3" shapeId="0" xr:uid="{4AC756DF-F5DF-49C7-90A0-1F40B7B553AB}">
      <text>
        <r>
          <rPr>
            <sz val="10"/>
            <color indexed="81"/>
            <rFont val="Lucida Console"/>
            <family val="3"/>
          </rPr>
          <t>140032|CABO (FLEXIVEL), ENCORDOAMENTO CLASSE 5, SECAO 2,5 MM²  COR  PRETO, ISOLACAO NAO HALOGENADO 70ºC, 450/750 V  ANTI-CHAMA, CONFORME NBR VIGENTE E CERTIFICACAO COMPULSORIA INMETRO. ROLO COM 100 METROS.CARACTERISTICAS E NORMA TECNICA LITOGRAFADAS NO MATERIAL.|1|55|19|EQUIP. MAT. P/ GERACAO, TRANSM. DISTR. RETIF...|MEL|Padrão|4|20|80|Ativo|</t>
        </r>
      </text>
    </comment>
    <comment ref="X731" authorId="3" shapeId="0" xr:uid="{192913BD-095A-4BD8-BDA9-3AC6EFE49C76}">
      <text>
        <r>
          <rPr>
            <sz val="10"/>
            <color indexed="81"/>
            <rFont val="Lucida Console"/>
            <family val="3"/>
          </rPr>
          <t>140030|CABO (FLEXIVEL), ENCORDOAMENTO CLASSE 5, SECAO 2,5 MM²  COR VERDE, ISOLACAO NAO HALOGENADO 70ºC, 450/750 V  ANTI-CHAMA, CONFORME NBR VIGENTE E CERTIFICACAO COMPULSORIA INMETRO. ROLO COM 100 METROS.CARACTERISTICAS E NORMA TECNICA LITOGRAFADAS NO MATERIAL.|1|55|19|EQUIP. MAT. P/ GERACAO, TRANSM. DISTR. RETIF...|MEL|Padrão|4|8|32|Ativo|</t>
        </r>
      </text>
    </comment>
    <comment ref="X732" authorId="3" shapeId="0" xr:uid="{1E4AFBD5-B445-4A07-8AED-DA13E59FFB78}">
      <text>
        <r>
          <rPr>
            <sz val="10"/>
            <color indexed="81"/>
            <rFont val="Lucida Console"/>
            <family val="3"/>
          </rPr>
          <t>140033|CABO (FLEXIVEL), ENCORDOAMENTO CLASSE 5, SECAO 4,00 MM²  COR PRETA, ISOLACAO NAO HALOGENADO 70ºC, 450/750 V  ANTI-CHAMA, CONFORME NBR VIGENTE E CERTIFICACAO COMPULSORIA INMETRO. ROLO COM 100 METROS.CARACTERISTICAS E NORMA TECNICA LITOGRAFADAS NO MATERIAL.|1|55|19|EQUIP. MAT. P/ GERACAO, TRANSM. DISTR. RETIF...|MEL|Padrão|4|40|160|Ativo|</t>
        </r>
      </text>
    </comment>
    <comment ref="X733" authorId="3" shapeId="0" xr:uid="{70CF4CA1-AD97-4D55-A383-531A463D0E78}">
      <text>
        <r>
          <rPr>
            <sz val="10"/>
            <color indexed="81"/>
            <rFont val="Lucida Console"/>
            <family val="3"/>
          </rPr>
          <t>140035|CABO (FLEXIVEL), ENCORDOAMENTO CLASSE 5, SECAO 4,00 MM²  COR VERDE, ISOLACAO NAO HALOGENADO 70ºC, 450/750 V  ANTI-CHAMA, CONFORME NBR VIGENTE E CERTIFICACAO COMPULSORIA INMETRO. ROLO COM 100 METROS.CARACTERISTICAS E NORMA TECNICA LITOGRAFADAS NO MATERIAL.|1|55|19|EQUIP. MAT. P/ GERACAO, TRANSM. DISTR. RETIF...|MEL|Padrão|4|20|80|Ativo|</t>
        </r>
      </text>
    </comment>
    <comment ref="X734" authorId="3" shapeId="0" xr:uid="{6C95F16F-1574-4A75-B329-B89CD0D5F8DA}">
      <text>
        <r>
          <rPr>
            <sz val="10"/>
            <color indexed="81"/>
            <rFont val="Lucida Console"/>
            <family val="3"/>
          </rPr>
          <t>140036|CABO (FLEXIVEL), ENCORDOAMENTO CLASSE 5, SECAO 6,00 MM²  COR PRETA, ISOLACAO NAO HALOGENADO 70ºC, 450/750 V  ANTI-CHAMA, CONFORME NBR VIGENTE E CERTIFICACAO COMPULSORIA INMETRO. ROLO COM 100 METROS.CARACTERISTICAS E NORMA TECNICA LITOGRAFADAS NO MATERIAL.|1|55|19|EQUIP. MAT. P/ GERACAO, TRANSM. DISTR. RETIF...|MEL|Padrão|4|20|80|Ativo|</t>
        </r>
      </text>
    </comment>
    <comment ref="X735" authorId="3" shapeId="0" xr:uid="{956DC007-6E1A-43B0-B596-76407B3A302A}">
      <text>
        <r>
          <rPr>
            <sz val="10"/>
            <color indexed="81"/>
            <rFont val="Lucida Console"/>
            <family val="3"/>
          </rPr>
          <t>140038|CABO (FLEXIVEL), ENCORDOAMENTO CLASSE 5, SECAO 6,00 MM²  COR VERDE, ISOLACAO NAO HALOGENADO 70ºC, 450/750 V  ANTI-CHAMA, CONFORME NBR VIGENTE E CERTIFICACAO COMPULSORIA INMETRO. ROLO COM 100 METROS.CARACTERISTICAS E NORMA TECNICA LITOGRAFADAS NO MATERIAL.|1|55|19|EQUIP. MAT. P/ GERACAO, TRANSM. DISTR. RETIF...|MEL|Padrão|4|10|40|Ativo|</t>
        </r>
      </text>
    </comment>
    <comment ref="X736" authorId="0" shapeId="0" xr:uid="{00000000-0006-0000-0000-00003B030000}">
      <text>
        <r>
          <rPr>
            <sz val="9"/>
            <color indexed="81"/>
            <rFont val="Segoe UI"/>
            <family val="2"/>
          </rPr>
          <t>140049|CABO FLEXIVEL, ENCORDOAMENTO CLASSE 5, SECAO 10,00 MM²  COR AZUL CLARO, ISOLACAO HEPR 90ºC, 0,6/1KV E COBERTURA NAO HALOGENADA,  ANTI-CHAMA CONFORME NBR VIGENTE E CERTIFICACAO COMPULSORIA INMETRO.CARACTERISTICAS E NORMA TECNICA LITOGRAFADAS NO MATERIAL.|1|55|19|EQUIP. MAT. P/ GERACAO, TRANSM. DISTR. RETIF...|MEL|Padrão|4|20|80|Ativo|</t>
        </r>
      </text>
    </comment>
    <comment ref="X737" authorId="0" shapeId="0" xr:uid="{00000000-0006-0000-0000-00003C030000}">
      <text>
        <r>
          <rPr>
            <sz val="9"/>
            <color indexed="81"/>
            <rFont val="Segoe UI"/>
            <family val="2"/>
          </rPr>
          <t>140048|CABO FLEXIVEL, ENCORDOAMENTO CLASSE 5, SECAO 10,00 MM²  COR PRETA, ISOLACAO HEPR 90ºC, 0,6/1KV E COBERTURA NAO HALOGENADA,  ANTI-CHAMA CONFORME NBR VIGENTE E CERTIFICACAO COMPULSORIA INMETRO.CARACTERISTICAS E NORMA TECNICA LITOGRAFADAS NO MATERIAL.|1|55|19|EQUIP. MAT. P/ GERACAO, TRANSM. DISTR. RETIF...|MEL|Padrão|4|128|512|Ativo|</t>
        </r>
      </text>
    </comment>
    <comment ref="X738" authorId="0" shapeId="0" xr:uid="{00000000-0006-0000-0000-00003D030000}">
      <text>
        <r>
          <rPr>
            <sz val="9"/>
            <color indexed="81"/>
            <rFont val="Segoe UI"/>
            <family val="2"/>
          </rPr>
          <t>140050|CABO FLEXIVEL, ENCORDOAMENTO CLASSE 5, SECAO 10,00 MM²  COR VERDE, ISOLACAO HEPR 90ºC, 0,6/1KV E COBERTURA NAO HALOGENADA,  ANTI-CHAMA CONFORME NBR VIGENTE E CERTIFICACAO COMPULSORIA INMETRO.CARACTERISTICAS E NORMA TECNICA LITOGRAFADAS NO MATERIAL.|1|55|19|EQUIP. MAT. P/ GERACAO, TRANSM. DISTR. RETIF...|MEL|Padrão|4|29|116|Ativo|</t>
        </r>
      </text>
    </comment>
    <comment ref="X739" authorId="0" shapeId="0" xr:uid="{00000000-0006-0000-0000-00003E030000}">
      <text>
        <r>
          <rPr>
            <sz val="9"/>
            <color indexed="81"/>
            <rFont val="Segoe UI"/>
            <family val="2"/>
          </rPr>
          <t>140051|CABO FLEXIVEL, ENCORDOAMENTO CLASSE 5, SECAO 16,00 MM²  COR AZUL, ISOLACAO HEPR 90ºC, 0,6/1KV E COBERTURA NAO HALOGENADA,  ANTI-CHAMA CONFORME NBR VIGENTE E CERTIFICACAO COMPULSORIA INMETRO.CARACTERISTICAS E NORMA TECNICA LITOGRAFADAS NO MATERIAL.|1|55|19|EQUIP. MAT. P/ GERACAO, TRANSM. DISTR. RETIF...|MEL|Padrão|4|22|88|Ativo|</t>
        </r>
      </text>
    </comment>
    <comment ref="X740" authorId="0" shapeId="0" xr:uid="{00000000-0006-0000-0000-00003F030000}">
      <text>
        <r>
          <rPr>
            <sz val="9"/>
            <color indexed="81"/>
            <rFont val="Segoe UI"/>
            <family val="2"/>
          </rPr>
          <t>140052|CABO FLEXIVEL, ENCORDOAMENTO CLASSE 5, SECAO 25,00 MM²  COR PRETA, ISOLACAO HEPR 90ºC, 0,6/1KV E COBERTURA NAO HALOGENADA,  ANTI-CHAMA CONFORME NBR VIGENTE E CERTIFICACAO COMPULSORIA INMETRO.CARACTERISTICAS E NORMA TECNICA LITOGRAFADAS NO MATERIAL.|1|55|19|EQUIP. MAT. P/ GERACAO, TRANSM. DISTR. RETIF...|MEL|Padrão|4|99|396|Ativo|</t>
        </r>
      </text>
    </comment>
    <comment ref="X741" authorId="0" shapeId="0" xr:uid="{00000000-0006-0000-0000-000040030000}">
      <text>
        <r>
          <rPr>
            <sz val="9"/>
            <color indexed="81"/>
            <rFont val="Segoe UI"/>
            <family val="2"/>
          </rPr>
          <t>140053|CABO FLEXIVEL, ENCORDOAMENTO CLASSE 5, SECAO 25,00 MM²  COR VERDE, ISOLACAO HEPR 90ºC, 0,6/1KV E COBERTURA NAO HALOGENADA,  ANTI-CHAMA CONFORME NBR VIGENTE E CERTIFICACAO COMPULSORIA INMETRO.CARACTERISTICAS E NORMA TECNICA LITOGRAFADAS NO MATERIAL.|1|55|19|EQUIP. MAT. P/ GERACAO, TRANSM. DISTR. RETIF...|MEL|Padrão|4|2|8|Ativo|</t>
        </r>
      </text>
    </comment>
    <comment ref="X742" authorId="0" shapeId="0" xr:uid="{00000000-0006-0000-0000-000041030000}">
      <text>
        <r>
          <rPr>
            <sz val="9"/>
            <color indexed="81"/>
            <rFont val="Segoe UI"/>
            <family val="2"/>
          </rPr>
          <t>140056|CABO FLEXIVEL, ENCORDOAMENTO CLASSE 5, SECAO 35,00 MM²  COR AZUL CLARO, ISOLACAO HEPR 90ºC, 0,6/1KV E COBERTURA NAO HALOGENADA,  ANTI-CHAMA CONFORME NBR VIGENTE E CERTIFICACAO COMPULSORIA INMETRO.CARACTERISTICAS E NORMA TECNICA LITOGRAFADAS NO MATERIAL.|1|55|19|EQUIP. MAT. P/ GERACAO, TRANSM. DISTR. RETIF...|MEL|Padrão|4|22|88|Ativo|</t>
        </r>
      </text>
    </comment>
    <comment ref="X743" authorId="0" shapeId="0" xr:uid="{00000000-0006-0000-0000-000042030000}">
      <text>
        <r>
          <rPr>
            <sz val="9"/>
            <color indexed="81"/>
            <rFont val="Segoe UI"/>
            <family val="2"/>
          </rPr>
          <t>140055|CABO FLEXIVEL, ENCORDOAMENTO CLASSE 5, SECAO 35,00 MM²  COR PRETA, ISOLACAO HEPR 90ºC, 0,6/1KV E COBERTURA NAO HALOGENADA,  ANTI-CHAMA CONFORME NBR VIGENTE E CERTIFICACAO COMPULSORIA INMETRO.CARACTERISTICAS E NORMA TECNICA LITOGRAFADAS NO MATERIAL.|1|55|19|EQUIP. MAT. P/ GERACAO, TRANSM. DISTR. RETIF...|MEL|Padrão|4|42|168|Ativo|</t>
        </r>
      </text>
    </comment>
    <comment ref="X744" authorId="0" shapeId="0" xr:uid="{00000000-0006-0000-0000-000043030000}">
      <text>
        <r>
          <rPr>
            <sz val="9"/>
            <color indexed="81"/>
            <rFont val="Segoe UI"/>
            <family val="2"/>
          </rPr>
          <t>140054|CABO FLEXIVEL, ENCORDOAMENTO CLASSE 5, SECAO 35,00 MM²  COR VERDE, ISOLACAO HEPR 90ºC, 0,6/1KV E COBERTURA NAO HALOGENADA,  ANTI-CHAMA CONFORME NBR VIGENTE E CERTIFICACAO COMPULSORIA INMETRO.CARACTERISTICAS E NORMA TECNICA LITOGRAFADAS NO MATERIAL.|1|55|19|EQUIP. MAT. P/ GERACAO, TRANSM. DISTR. RETIF...|MEL|Padrão|4|29|116|Ativo|</t>
        </r>
      </text>
    </comment>
    <comment ref="X745" authorId="0" shapeId="0" xr:uid="{00000000-0006-0000-0000-000044030000}">
      <text>
        <r>
          <rPr>
            <sz val="9"/>
            <color indexed="81"/>
            <rFont val="Segoe UI"/>
            <family val="2"/>
          </rPr>
          <t>140057|CABO FLEXIVEL, ENCORDOAMENTO CLASSE 5, SECAO 50,00 MM²  COR PRETA, ISOLACAO HEPR 90ºC, 0,6/1KV E COBERTURA NAO HALOGENADA,  ANTI-CHAMA CONFORME NBR VIGENTE E CERTIFICACAO COMPULSORIA INMETRO.CARACTERISTICAS E NORMA TECNICA LITOGRAFADAS NO MATERIAL.|1|55|19|EQUIP. MAT. P/ GERACAO, TRANSM. DISTR. RETIF...|MEL|Padrão|4|2|8|Ativo|</t>
        </r>
      </text>
    </comment>
    <comment ref="X746" authorId="0" shapeId="0" xr:uid="{00000000-0006-0000-0000-000045030000}">
      <text>
        <r>
          <rPr>
            <sz val="9"/>
            <color indexed="81"/>
            <rFont val="Segoe UI"/>
            <family val="2"/>
          </rPr>
          <t>140126|CABO FLEXIVEL, ENCORDOAMENTO CLASSE 5, SECAO 50,00 MM²  COR VERDE, ISOLACAO HEPR 90ºC, 0,6/1KV E COBERTURA NAO HALOGENADA,  ANTI-CHAMA CONFORME NBR VIGENTE E CERTIFICACAO COMPULSORIA INMETRO.|1|55|19|EQUIP. MAT. P/ GERACAO, TRANSM. DISTR. RETIF...|MEL|Padrão|4|1|4|Ativo|</t>
        </r>
      </text>
    </comment>
    <comment ref="X747" authorId="0" shapeId="0" xr:uid="{00000000-0006-0000-0000-000046030000}">
      <text>
        <r>
          <rPr>
            <sz val="9"/>
            <color indexed="81"/>
            <rFont val="Segoe UI"/>
            <family val="2"/>
          </rPr>
          <t>140058|CABO FLEXIVEL, ENCORDOAMENTO CLASSE 5, SECAO 70,00 MM²  COR AZUL CLARO, ISOLACAO HEPR 90ºC, 0,6/1KV E COBERTURA NAO HALOGENADA,  ANTI-CHAMA CONFORME NBR VIGENTE E CERTIFICACAO COMPULSORIA INMETRO.CARACTERISTICAS E NORMA TECNICA LITOGRAFADAS NO MATERIAL.|1|55|19|EQUIP. MAT. P/ GERACAO, TRANSM. DISTR. RETIF...|MEL|Padrão|4|11|44|Ativo|</t>
        </r>
      </text>
    </comment>
    <comment ref="X748" authorId="0" shapeId="0" xr:uid="{00000000-0006-0000-0000-000047030000}">
      <text>
        <r>
          <rPr>
            <sz val="9"/>
            <color indexed="81"/>
            <rFont val="Segoe UI"/>
            <family val="2"/>
          </rPr>
          <t>140059|CABO FLEXIVEL, ENCORDOAMENTO CLASSE 5, SECAO 70,00 MM²  COR PRETA, ISOLACAO HEPR 90ºC, 0,6/1KV E COBERTURA NAO HALOGENADA,  ANTI-CHAMA CONFORME NBR VIGENTE E CERTIFICACAO COMPULSORIA INMETRO.CARACTERISTICAS E NORMA TECNICA LITOGRAFADAS NO MATERIAL.|1|55|19|EQUIP. MAT. P/ GERACAO, TRANSM. DISTR. RETIF...|MEL|Padrão|4|68|272|Ativo|</t>
        </r>
      </text>
    </comment>
    <comment ref="X749" authorId="0" shapeId="0" xr:uid="{00000000-0006-0000-0000-000048030000}">
      <text>
        <r>
          <rPr>
            <sz val="9"/>
            <color indexed="81"/>
            <rFont val="Segoe UI"/>
            <family val="2"/>
          </rPr>
          <t>140060|CABO FLEXIVEL, ENCORDOAMENTO CLASSE 5, SECAO 95,00 MM²  COR PRETA, ISOLACAO HEPR 90ºC, 0,6/1KV E COBERTURA NAO HALOGENADA,  ANTI-CHAMA CONFORME NBR VIGENTE E CERTIFICACAO COMPULSORIA INMETRO.CARACTERISTICAS E NORMA TECNICA LITOGRAFADAS NO MATERIAL.|1|55|19|EQUIP. MAT. P/ GERACAO, TRANSM. DISTR. RETIF...|MEL|Padrão|4|2|8|Ativo|</t>
        </r>
      </text>
    </comment>
    <comment ref="X750" authorId="0" shapeId="0" xr:uid="{00000000-0006-0000-0000-000049030000}">
      <text>
        <r>
          <rPr>
            <sz val="9"/>
            <color indexed="81"/>
            <rFont val="Segoe UI"/>
            <family val="2"/>
          </rPr>
          <t>140241|CABO MULTIPOLAR FLEXIVEL, ENCORDOAMENTO CLASSE 5, 3 X 1.5 MM² ISOLACAO HEPR ISOL. 0,6/1KV E COBERTURA NAO HALOGENADA, ANTI-CHAMA CONFORME NBR VIGENTE E CERTIFICACAO COMPULSORIA INMETRO. ROLO COM 100 METROS.CARACTERISTICAS E NORMA TECNICA LITOGRAFADAS NO MATERIAL.|1|55|19|EQUIP. MAT. P/ GERACAO, TRANSM. DISTR. RETIF...|MEL|Padrão|4|78|312|Ativo|</t>
        </r>
      </text>
    </comment>
    <comment ref="X751" authorId="0" shapeId="0" xr:uid="{00000000-0006-0000-0000-00004A030000}">
      <text>
        <r>
          <rPr>
            <sz val="9"/>
            <color indexed="81"/>
            <rFont val="Segoe UI"/>
            <family val="2"/>
          </rPr>
          <t>140063|CABO MULTIPOLAR FLEXIVEL, ENCORDOAMENTO CLASSE 5, 3 X 2.5 MM² ISOLACAO HEPR ISOL. 0,6/1KV E COBERTURA NAO HALOGENADA, ANTI-CHAMA CONFORME NBR VIGENTE E CERTIFICACAO COMPULSORIA INMETRO. ROLO COM 100 METROS.CARACTERISTICAS E NORMA TECNICA LITOGRAFADAS NO MATERIAL.|1|55|19|EQUIP. MAT. P/ GERACAO, TRANSM. DISTR. RETIF...|MEL|Padrão|4|209|836|Ativo|</t>
        </r>
      </text>
    </comment>
    <comment ref="X752" authorId="0" shapeId="0" xr:uid="{00000000-0006-0000-0000-00004B030000}">
      <text>
        <r>
          <rPr>
            <sz val="10"/>
            <color indexed="81"/>
            <rFont val="Lucida Console"/>
            <family val="3"/>
          </rPr>
          <t>102819|DISJUNTOR TRIPOLAR IN = 150A, TENSAO MINIMA DE OPERACAO 240V, CURVA C, NBR 60947-2 - CATEGORIA "A"|1|55|26|EQUIP. MAT. P/ GERACAO, TRANSM. DISTR. RETIF...|MEL|Padrão|4|1|4|Ativo|</t>
        </r>
      </text>
    </comment>
    <comment ref="X753" authorId="0" shapeId="0" xr:uid="{00000000-0006-0000-0000-00004C030000}">
      <text>
        <r>
          <rPr>
            <sz val="10"/>
            <color indexed="81"/>
            <rFont val="Lucida Console"/>
            <family val="3"/>
          </rPr>
          <t>110888|DISJUNTOR TRIPOLAR IN = 225 A, TENSAO MINIMA DE OPERACAO 240V|1|55|26|EQUIP. MAT. P/ GERACAO, TRANSM. DISTR. RETIF...|MEL|Padrão|4|1|4|Ativo|</t>
        </r>
      </text>
    </comment>
    <comment ref="X754" authorId="1" shapeId="0" xr:uid="{00000000-0006-0000-0000-00004D030000}">
      <text>
        <r>
          <rPr>
            <sz val="9"/>
            <color indexed="81"/>
            <rFont val="Segoe UI"/>
            <family val="2"/>
          </rPr>
          <t>129962|DISJUNTOR TRIPOLAR IN 300 A, TENSAO MINIMA DE OPERACAO 220V, CURVA C, NBR 60947-2 - CATEGORIA A|1|55|26|EQUIP. MAT. P/ GERACAO, TRANSM. DISTR. RETIF...|MEL|Personalizado|3|1|3|Ativo|</t>
        </r>
      </text>
    </comment>
    <comment ref="X755" authorId="0" shapeId="0" xr:uid="{00000000-0006-0000-0000-00004E030000}">
      <text>
        <r>
          <rPr>
            <sz val="10"/>
            <color indexed="81"/>
            <rFont val="Lucida Console"/>
            <family val="3"/>
          </rPr>
          <t>93486|INTERRUPTOR DIFERENCIAL RESIDUAL TETRAPOLAR ELETROMECANICO NORMA IEC 61008 TENSAO MINIMA 240V CORRENTE NOMINAL 40 AMPERES SENSIBILIDADE 30 MA|1|55|26|EQUIP. MAT. P/ GERACAO, TRANSM. DISTR. RETIF...|MEL|Padrão|4|1|4|Ativo|</t>
        </r>
      </text>
    </comment>
    <comment ref="X756" authorId="0" shapeId="0" xr:uid="{00000000-0006-0000-0000-00004F030000}">
      <text>
        <r>
          <rPr>
            <sz val="10"/>
            <color indexed="81"/>
            <rFont val="Lucida Console"/>
            <family val="3"/>
          </rPr>
          <t>93487|INTERRUPTOR DIFERENCIAL RESIDUAL TETRAPOLAR ELETROMECANICO NORMA IEC 61008 TENSAO MINIMA 240V CORRENTE NOMINAL 63 AMPERES SENSIBILIDADE 30 MA|1|55|26|EQUIP. MAT. P/ GERACAO, TRANSM. DISTR. RETIF...|MEL|Padrão|4|1|4|Ativo|</t>
        </r>
      </text>
    </comment>
    <comment ref="X757" authorId="0" shapeId="0" xr:uid="{00000000-0006-0000-0000-000050030000}">
      <text>
        <r>
          <rPr>
            <sz val="10"/>
            <color indexed="81"/>
            <rFont val="Lucida Console"/>
            <family val="3"/>
          </rPr>
          <t>102822|TRILHO PARA DISJUNTOR TIPO DIN|1|55|26|EQUIP. MAT. P/ GERACAO, TRANSM. DISTR. RETIF...|MEL|Padrão|4|1|4|Ativo|</t>
        </r>
      </text>
    </comment>
    <comment ref="X758" authorId="0" shapeId="0" xr:uid="{00000000-0006-0000-0000-000051030000}">
      <text>
        <r>
          <rPr>
            <sz val="10"/>
            <color indexed="81"/>
            <rFont val="Lucida Console"/>
            <family val="3"/>
          </rPr>
          <t>104665|KIT BARRAMENTO|1|55|27|EQUIP. MAT. P/ GERACAO, TRANSM. DISTR. RETIF...|MEL|Padrão|4|1|4|Ativo|</t>
        </r>
      </text>
    </comment>
    <comment ref="X759" authorId="0" shapeId="0" xr:uid="{00000000-0006-0000-0000-000052030000}">
      <text>
        <r>
          <rPr>
            <sz val="10"/>
            <color indexed="81"/>
            <rFont val="Lucida Console"/>
            <family val="3"/>
          </rPr>
          <t>108398|QUADRO DE DISTRIBUICAO DE EMBUTIR PARA 56 DISJUNTORES|1|55|30|EQUIP. MAT. P/ GERACAO, TRANSM. DISTR. RETIF...|MEL|Padrão|4|1|4|Ativo|</t>
        </r>
      </text>
    </comment>
    <comment ref="X760" authorId="0" shapeId="0" xr:uid="{00000000-0006-0000-0000-000053030000}">
      <text>
        <r>
          <rPr>
            <sz val="10"/>
            <color indexed="81"/>
            <rFont val="Lucida Console"/>
            <family val="3"/>
          </rPr>
          <t>111841|QUADRO DE DISTRIBUICAO DE SOBREPOR TRIFASICO 225 AMPERES PARA 70 DISJUNTORES TIPO DIN|1|55|30|EQUIP. MAT. P/ GERACAO, TRANSM. DISTR. RETIF...|MEL|Padrão|4|1|4|Ativo|</t>
        </r>
      </text>
    </comment>
    <comment ref="X761" authorId="0" shapeId="0" xr:uid="{00000000-0006-0000-0000-000054030000}">
      <text>
        <r>
          <rPr>
            <sz val="10"/>
            <color indexed="81"/>
            <rFont val="Lucida Console"/>
            <family val="3"/>
          </rPr>
          <t>114773|QUADRO DE DISTRIBUICAO PARA 36 DISJUNTORES TIPO DIN DE PVC, DE EMBUTIR|1|55|30|EQUIP. MAT. P/ GERACAO, TRANSM. DISTR. RETIF...|MEL|Padrão|4|1|4|Ativo|</t>
        </r>
      </text>
    </comment>
    <comment ref="X762" authorId="0" shapeId="0" xr:uid="{00000000-0006-0000-0000-000055030000}">
      <text>
        <r>
          <rPr>
            <sz val="10"/>
            <color indexed="81"/>
            <rFont val="Lucida Console"/>
            <family val="3"/>
          </rPr>
          <t>114772|DISTRIBUIDOR GERAL PARA TELEFONIA, COM VENEZIANAS, DE EMBUTIR|1|55|31|EQUIP. MAT. P/ GERACAO, TRANSM. DISTR. RETIF...|MEL|Padrão|4|1|4|Ativo|</t>
        </r>
      </text>
    </comment>
    <comment ref="X763" authorId="0" shapeId="0" xr:uid="{00000000-0006-0000-0000-000056030000}">
      <text>
        <r>
          <rPr>
            <sz val="10"/>
            <color indexed="81"/>
            <rFont val="Lucida Console"/>
            <family val="3"/>
          </rPr>
          <t>128819|CONECTOR DE ALUMINIO PARA CONDULETE MULTIPLO DE 1.1/2"|1|55|34|EQUIP. MAT. P/ GERACAO, TRANSM. DISTR. RETIF...|MEL|Padrão|4|8|32|Ativo|</t>
        </r>
      </text>
    </comment>
    <comment ref="X764" authorId="0" shapeId="0" xr:uid="{00000000-0006-0000-0000-000057030000}">
      <text>
        <r>
          <rPr>
            <sz val="10"/>
            <color indexed="81"/>
            <rFont val="Lucida Console"/>
            <family val="3"/>
          </rPr>
          <t>113242|TERMINAL A COMPRESSAO PARA 1 CABO DE COBRE 50 MM2 TIPO ANEL|1|55|35|EQUIP. MAT. P/ GERACAO, TRANSM. DISTR. RETIF...|MEL|Padrão|4|2|8|Ativo|</t>
        </r>
      </text>
    </comment>
    <comment ref="X765" authorId="0" shapeId="0" xr:uid="{00000000-0006-0000-0000-000058030000}">
      <text>
        <r>
          <rPr>
            <sz val="10"/>
            <color indexed="81"/>
            <rFont val="Lucida Console"/>
            <family val="3"/>
          </rPr>
          <t>103344|TERMINAL A PRESSAO POR ALICATE BITOLA 16,0MM - TIPO ANEL|1|55|35|EQUIP. MAT. P/ GERACAO, TRANSM. DISTR. RETIF...|MEL|Padrão|4|5|20|Ativo|</t>
        </r>
      </text>
    </comment>
    <comment ref="X766" authorId="0" shapeId="0" xr:uid="{00000000-0006-0000-0000-000059030000}">
      <text>
        <r>
          <rPr>
            <sz val="10"/>
            <color indexed="81"/>
            <rFont val="Lucida Console"/>
            <family val="3"/>
          </rPr>
          <t>15673|TERMINAL DE COMPRESSAO TIPO OLHAL P/ CABO DE  COBRE 35MM2|1|55|35|EQUIP. MAT. P/ GERACAO, TRANSM. DISTR. RETIF...|MEL|Padrão|4|3|12|Ativo|</t>
        </r>
      </text>
    </comment>
    <comment ref="A767" authorId="0" shapeId="0" xr:uid="{00000000-0006-0000-0000-00005A030000}">
      <text>
        <r>
          <rPr>
            <sz val="10"/>
            <color indexed="81"/>
            <rFont val="Lucida Console"/>
            <family val="3"/>
          </rPr>
          <t>Mantido o valor anterior</t>
        </r>
      </text>
    </comment>
    <comment ref="X767" authorId="0" shapeId="0" xr:uid="{00000000-0006-0000-0000-00005B030000}">
      <text>
        <r>
          <rPr>
            <sz val="10"/>
            <color indexed="81"/>
            <rFont val="Lucida Console"/>
            <family val="3"/>
          </rPr>
          <t>128304|TRANSFORMADOR (TRAFO/FONTE) - ENTRADA 110/220 VOLTS, SAIDA DE 16 VOLTS, AMPERAGEM 1,5 A.|1|55|39|EQUIP. MAT. P/ GERACAO, TRANSM. DISTR. RETIF...|MEL|Padrão|4|1|4|Ativo|</t>
        </r>
      </text>
    </comment>
    <comment ref="X768" authorId="0" shapeId="0" xr:uid="{00000000-0006-0000-0000-00005C030000}">
      <text>
        <r>
          <rPr>
            <sz val="10"/>
            <color indexed="81"/>
            <rFont val="Lucida Console"/>
            <family val="3"/>
          </rPr>
          <t>31555|HASTE DE ATERRAMENTO DE COBRE - 5/8" X 3,00 METROS|1|55|40|EQUIP. MAT. P/ GERACAO, TRANSM. DISTR. RETIF...|MEL|Padrão|4|1|4|Ativo|</t>
        </r>
      </text>
    </comment>
    <comment ref="X769" authorId="0" shapeId="0" xr:uid="{00000000-0006-0000-0000-00005D030000}">
      <text>
        <r>
          <rPr>
            <sz val="9"/>
            <color indexed="81"/>
            <rFont val="Segoe UI"/>
            <family val="2"/>
          </rPr>
          <t>95228|ABRACADEIRA DE NYLON COMPRIMENTO 200 MM|1|55|46|EQUIP. MAT. P/ GERACAO, TRANSM. DISTR. RETIF...|MEL|Padrão|4|75|300|Ativo|</t>
        </r>
      </text>
    </comment>
    <comment ref="X770" authorId="0" shapeId="0" xr:uid="{00000000-0006-0000-0000-00005E030000}">
      <text>
        <r>
          <rPr>
            <sz val="9"/>
            <color indexed="81"/>
            <rFont val="Segoe UI"/>
            <family val="2"/>
          </rPr>
          <t>95229|ABRACADEIRA DE NYLON COMPRIMENTO 300 MM|1|55|46|EQUIP. MAT. P/ GERACAO, TRANSM. DISTR. RETIF...|MEL|Padrão|4|165|660|Ativo|</t>
        </r>
      </text>
    </comment>
    <comment ref="X771" authorId="0" shapeId="0" xr:uid="{00000000-0006-0000-0000-00005F030000}">
      <text>
        <r>
          <rPr>
            <sz val="9"/>
            <color indexed="81"/>
            <rFont val="Segoe UI"/>
            <family val="2"/>
          </rPr>
          <t>140666|LUMINARIA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LAMPADAS.|1|55|49|EQUIP. MAT. P/ GERACAO, TRANSM. DISTR. RETIF...|MEL|Padrão|4|17|68|Ativo|</t>
        </r>
      </text>
    </comment>
    <comment ref="X772" authorId="0" shapeId="0" xr:uid="{00000000-0006-0000-0000-000060030000}">
      <text>
        <r>
          <rPr>
            <sz val="10"/>
            <color indexed="81"/>
            <rFont val="Lucida Console"/>
            <family val="3"/>
          </rPr>
          <t>121086|OLEO SOLUVEL BIODEGRADAVEL PARA CORTE DE METAIS - GALAO DE 5 LITROS|1|75|5|OLEOS LUBRIF.,GRAXAS,CORTANTES,FLUIDOS HIDRAULICOS|MFR|Padrão|4|1|4|Ativo|</t>
        </r>
      </text>
    </comment>
    <comment ref="X773" authorId="0" shapeId="0" xr:uid="{00000000-0006-0000-0000-000061030000}">
      <text>
        <r>
          <rPr>
            <sz val="10"/>
            <color indexed="81"/>
            <rFont val="Lucida Console"/>
            <family val="3"/>
          </rPr>
          <t>135303|FILTRO COM TAMPA E COPO EM POLIPROPILENO, VAZAO 1200 L/H, SAIDA 1/2", BRANCO COM ROSCA EXTERNA NO COPO E INTERNA NA TAMPA E COM REDUCAO DE 3/4" PARA 1/2" EM LATAO.|1|49|7|EQUIP. P/REFR. PURIF. ADUCAO DE AGUA E TRAT. DE ESGOTO|MHI|Padrão|4|4|16|Ativo|</t>
        </r>
      </text>
    </comment>
    <comment ref="X774" authorId="0" shapeId="0" xr:uid="{00000000-0006-0000-0000-000062030000}">
      <text>
        <r>
          <rPr>
            <sz val="10"/>
            <color indexed="81"/>
            <rFont val="Lucida Console"/>
            <family val="3"/>
          </rPr>
          <t>13561|TUBO DE PVC RIGIDO SOLDAVEL DE 50 MM - 1.1/2" X 06 M|1|61|2|MATERIAL HIDRAULICO, CANOS, TUBOS, MANGUEIRAS, CONEXOES E ACESS.|MHI|Padrão|4|9|36|Ativo|</t>
        </r>
      </text>
    </comment>
    <comment ref="X775" authorId="0" shapeId="0" xr:uid="{00000000-0006-0000-0000-000063030000}">
      <text>
        <r>
          <rPr>
            <sz val="10"/>
            <color indexed="81"/>
            <rFont val="Lucida Console"/>
            <family val="3"/>
          </rPr>
          <t>123710|MANGUEIRA EM PVC TRANCADA, REFORCADA, CRISTAL , ROLO DE 50 M, 1/2 X 1,5 MM, CAMADA INTERNA E EXTERNA EM PVC E CAMADA INTERMEDIARIA DE FIO POLIESTER TRANCADO, COM TERMINAL DE FERRO 3/4" E BICO REGULAVEL DE PRESSAO EM FERRO|1|61|4|MATERIAL HIDRAULICO, CANOS, TUBOS, MANGUEIRAS, CONEXOES E ACESS.|MHI|Padrão|4|6|24|Ativo|</t>
        </r>
      </text>
    </comment>
    <comment ref="X776" authorId="0" shapeId="0" xr:uid="{00000000-0006-0000-0000-000064030000}">
      <text>
        <r>
          <rPr>
            <sz val="10"/>
            <color indexed="81"/>
            <rFont val="Lucida Console"/>
            <family val="3"/>
          </rPr>
          <t>128229|CAP DE PVC MARROM PARA AGUA DE 50 MM  X  1 1/2" - DE ACORDO COM NBR 5648 E A MARCA, MEDIDA E NBR DEVERAO VIR LITOGRAFADA NA PECA|1|61|8|MATERIAL HIDRAULICO, CANOS, TUBOS, MANGUEIRAS, CONEXOES E ACESS.|MHI|Padrão|4|3|12|Ativo|</t>
        </r>
      </text>
    </comment>
    <comment ref="X777" authorId="0" shapeId="0" xr:uid="{00000000-0006-0000-0000-000065030000}">
      <text>
        <r>
          <rPr>
            <sz val="10"/>
            <color indexed="81"/>
            <rFont val="Lucida Console"/>
            <family val="3"/>
          </rPr>
          <t>38534|COTOVELO 90 GRAUS EM PVC RIGIDO SOLDAVEL - 2"|1|61|8|MATERIAL HIDRAULICO, CANOS, TUBOS, MANGUEIRAS, CONEXOES E ACESS.|MHI|Padrão|4|1|4|Ativo|</t>
        </r>
      </text>
    </comment>
    <comment ref="X778" authorId="0" shapeId="0" xr:uid="{00000000-0006-0000-0000-000066030000}">
      <text>
        <r>
          <rPr>
            <sz val="10"/>
            <color indexed="81"/>
            <rFont val="Lucida Console"/>
            <family val="3"/>
          </rPr>
          <t>64635|LUVA DE REDUCAO EM PVC RIGIDO - BRANCA - 150 X 100 MM - 6"|1|61|8|MATERIAL HIDRAULICO, CANOS, TUBOS, MANGUEIRAS, CONEXOES E ACESS.|MHI|Padrão|4|1|4|Ativo|</t>
        </r>
      </text>
    </comment>
    <comment ref="J779" authorId="2" shapeId="0" xr:uid="{00000000-0006-0000-0000-000067030000}">
      <text>
        <r>
          <rPr>
            <b/>
            <sz val="9"/>
            <color indexed="81"/>
            <rFont val="Segoe UI"/>
            <family val="2"/>
          </rPr>
          <t>Marcos:</t>
        </r>
        <r>
          <rPr>
            <sz val="9"/>
            <color indexed="81"/>
            <rFont val="Segoe UI"/>
            <family val="2"/>
          </rPr>
          <t xml:space="preserve">
10 porque houve pico de consumo em mês recente de 18.</t>
        </r>
      </text>
    </comment>
    <comment ref="X779" authorId="0" shapeId="0" xr:uid="{00000000-0006-0000-0000-000068030000}">
      <text>
        <r>
          <rPr>
            <sz val="10"/>
            <color indexed="81"/>
            <rFont val="Lucida Console"/>
            <family val="3"/>
          </rPr>
          <t>13517|TE DE PVC RIGIDO SOLDAVEL P/ ESGOTO DE 2"|1|61|8|MATERIAL HIDRAULICO, CANOS, TUBOS, MANGUEIRAS, CONEXOES E ACESS.|MHI|Padrão|4|9|36|Ativo|</t>
        </r>
      </text>
    </comment>
    <comment ref="X780" authorId="0" shapeId="0" xr:uid="{00000000-0006-0000-0000-000069030000}">
      <text>
        <r>
          <rPr>
            <sz val="10"/>
            <color indexed="81"/>
            <rFont val="Lucida Console"/>
            <family val="3"/>
          </rPr>
          <t>13518|TE DE PVC RIGIDO SOLDAVEL P/ ESGOTO DE 4"|1|61|8|MATERIAL HIDRAULICO, CANOS, TUBOS, MANGUEIRAS, CONEXOES E ACESS.|MHI|Padrão|4|10|40|Ativo|</t>
        </r>
      </text>
    </comment>
    <comment ref="X781" authorId="0" shapeId="0" xr:uid="{00000000-0006-0000-0000-00006A030000}">
      <text>
        <r>
          <rPr>
            <sz val="10"/>
            <color indexed="81"/>
            <rFont val="Lucida Console"/>
            <family val="3"/>
          </rPr>
          <t>64648|TE EM PVC RIGIDO - SOLDAVEL - 90 GRAUS - 150 MM - 6" - PARA|1|61|8|MATERIAL HIDRAULICO, CANOS, TUBOS, MANGUEIRAS, CONEXOES E ACESS.|MHI|Padrão|4|1|4|Ativo|</t>
        </r>
      </text>
    </comment>
    <comment ref="X782" authorId="0" shapeId="0" xr:uid="{00000000-0006-0000-0000-00006B030000}">
      <text>
        <r>
          <rPr>
            <sz val="10"/>
            <color indexed="81"/>
            <rFont val="Lucida Console"/>
            <family val="3"/>
          </rPr>
          <t>103142|CAIXA D'AGUA EM POLIETILENO, COM TAMPA - CAPACIDADE 1.000 LITROS|1|61|13|MATERIAL HIDRAULICO, CANOS, TUBOS, MANGUEIRAS, CONEXOES E ACESS.|MHI|Padrão|4|1|4|Ativo|</t>
        </r>
      </text>
    </comment>
    <comment ref="X783" authorId="0" shapeId="0" xr:uid="{00000000-0006-0000-0000-00006C030000}">
      <text>
        <r>
          <rPr>
            <sz val="9"/>
            <color indexed="81"/>
            <rFont val="Segoe UI"/>
            <family val="2"/>
          </rPr>
          <t>141429|TORNEIRA DE PRESSAO CURTA PARA TANQUE E JARDIM, EM LATAO NATURAL, BITOLA DE ½" COM BUCHA ADAPTAVEL EM LATAO DE ½" PARA ¾". MARCA DEVERA SER LITOGRAFADA NO PRODUTO.|1|61|14|MATERIAL HIDRAULICO, CANOS, TUBOS, MANGUEIRAS, CONEXOES E ACESS.|MHI|Padrão|4|353|1412|Ativo|</t>
        </r>
      </text>
    </comment>
    <comment ref="X784" authorId="0" shapeId="0" xr:uid="{00000000-0006-0000-0000-00006D030000}">
      <text>
        <r>
          <rPr>
            <sz val="10"/>
            <color indexed="81"/>
            <rFont val="Lucida Console"/>
            <family val="3"/>
          </rPr>
          <t>25756|REGISTRO DE GAVETA EM LIGA DE COBRE DE 1.1/2" C/ CANOPLA|1|61|15|MATERIAL HIDRAULICO, CANOS, TUBOS, MANGUEIRAS, CONEXOES E ACESS.|MHI|Padrão|4|6|24|Ativo|</t>
        </r>
      </text>
    </comment>
    <comment ref="X785" authorId="0" shapeId="0" xr:uid="{00000000-0006-0000-0000-00006E030000}">
      <text>
        <r>
          <rPr>
            <sz val="9"/>
            <color indexed="81"/>
            <rFont val="Segoe UI"/>
            <family val="2"/>
          </rPr>
          <t>141430|CONJUNTO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COMPRIMENTO.|1|61|16|MATERIAL HIDRAULICO, CANOS, TUBOS, MANGUEIRAS, CONEXOES E ACESS.|MHI|Padrão|4|88|352|Ativo|</t>
        </r>
      </text>
    </comment>
    <comment ref="X786" authorId="0" shapeId="0" xr:uid="{00000000-0006-0000-0000-00006F030000}">
      <text>
        <r>
          <rPr>
            <sz val="9"/>
            <color indexed="81"/>
            <rFont val="Segoe UI"/>
            <family val="2"/>
          </rPr>
          <t>141679|TINTA ESMALTE SINTETICO BRILHANTE, LINHA PREMIUM, COR AMARELO OURO - GALAO COM 3.600 ML, A BASE DE SOLVENTE|1|76|3|EQUIP. E MATERIAIS P/PINTURAS E IMPERMEABILIZACAO|MPI|Padrão|4|90|360|Ativo|</t>
        </r>
      </text>
    </comment>
    <comment ref="X787" authorId="0" shapeId="0" xr:uid="{00000000-0006-0000-0000-000070030000}">
      <text>
        <r>
          <rPr>
            <sz val="9"/>
            <color indexed="81"/>
            <rFont val="Segoe UI"/>
            <family val="2"/>
          </rPr>
          <t>141680|TINTA ESMALTE SINTETICO BRILHANTE, LINHA PREMIUM, COR AZUL ROYAL - GALAO COM 3.600 ML, A BASE DE SOLVENTE|1|76|3|EQUIP. E MATERIAIS P/PINTURAS E IMPERMEABILIZACAO|MPI|Padrão|4|706|2824|Ativo|</t>
        </r>
      </text>
    </comment>
    <comment ref="X788" authorId="0" shapeId="0" xr:uid="{00000000-0006-0000-0000-000071030000}">
      <text>
        <r>
          <rPr>
            <sz val="9"/>
            <color indexed="81"/>
            <rFont val="Segoe UI"/>
            <family val="2"/>
          </rPr>
          <t>141681|TINTA ESMALTE SINTETICO BRILHANTE, LINHA PREMIUM, COR VERMELHA - GALAO COM 3.600 ML, A BASE DE SOLVENTE|1|76|3|EQUIP. E MATERIAIS P/PINTURAS E IMPERMEABILIZACAO|MPI|Padrão|4|66|264|Ativo|</t>
        </r>
      </text>
    </comment>
    <comment ref="X789" authorId="0" shapeId="0" xr:uid="{00000000-0006-0000-0000-000072030000}">
      <text>
        <r>
          <rPr>
            <sz val="9"/>
            <color indexed="81"/>
            <rFont val="Segoe UI"/>
            <family val="2"/>
          </rPr>
          <t>141268|TINTA ESMALTE SINTETICO BRILHANTE, LINHA PREMIUM. COR BRANCO - GALAO COM 3.600 ML, A BASE DE SOLVENTE|1|76|3|EQUIP. E MATERIAIS P/PINTURAS E IMPERMEABILIZACAO|MPI|Padrão|4|725|2900|Ativo|</t>
        </r>
      </text>
    </comment>
    <comment ref="X790" authorId="0" shapeId="0" xr:uid="{00000000-0006-0000-0000-000073030000}">
      <text>
        <r>
          <rPr>
            <sz val="9"/>
            <color indexed="81"/>
            <rFont val="Segoe UI"/>
            <family val="2"/>
          </rPr>
          <t>141265|TINTA ESMALTE SINTETICO BRILHANTE, LINHA PREMIUM.COR PRETO, GALAO COM 3.600 ML, A BASE DE SOLVENTE|1|76|3|EQUIP. E MATERIAIS P/PINTURAS E IMPERMEABILIZACAO|MPI|Padrão|4|46|184|Ativo|</t>
        </r>
      </text>
    </comment>
    <comment ref="X791" authorId="0" shapeId="0" xr:uid="{00000000-0006-0000-0000-000074030000}">
      <text>
        <r>
          <rPr>
            <sz val="9"/>
            <color indexed="81"/>
            <rFont val="Segoe UI"/>
            <family val="2"/>
          </rPr>
          <t>141266|TINTA ESMALTE SINTETICO BRILHANTE, LINHA PREMIUM.COR VERDE FOLHA, GALAO COM 3.600 ML, A BASE DE SOLVENTE|1|76|3|EQUIP. E MATERIAIS P/PINTURAS E IMPERMEABILIZACAO|MPI|Padrão|4|83|332|Ativo|</t>
        </r>
      </text>
    </comment>
    <comment ref="X792" authorId="0" shapeId="0" xr:uid="{00000000-0006-0000-0000-000075030000}">
      <text>
        <r>
          <rPr>
            <sz val="9"/>
            <color indexed="81"/>
            <rFont val="Segoe UI"/>
            <family val="2"/>
          </rPr>
          <t>141270|VERNIZ SINTETICO MARITIMO BRILHANTE, LINHA PREMIUM, GALAO COM 3,6 LITROS, USO INTERIOR E EXTERIOR, COR TRANSPARENTE , PARA DILUICAO A BASE DE SOLVENTE|1|76|5|EQUIP. E MATERIAIS P/PINTURAS E IMPERMEABILIZACAO|MPI|Padrão|4|15|60|Ativo|</t>
        </r>
      </text>
    </comment>
    <comment ref="X793" authorId="0" shapeId="0" xr:uid="{00000000-0006-0000-0000-000076030000}">
      <text>
        <r>
          <rPr>
            <sz val="9"/>
            <color indexed="81"/>
            <rFont val="Segoe UI"/>
            <family val="2"/>
          </rPr>
          <t>141608|TINTA ACRILICA PISO, LINHA PREMIUM, COR BRANCO - LATA COM 18 LITROS|1|76|9|EQUIP. E MATERIAIS P/PINTURAS E IMPERMEABILIZACAO|MPI|Padrão|4|18|72|Ativo|</t>
        </r>
      </text>
    </comment>
    <comment ref="X794" authorId="0" shapeId="0" xr:uid="{00000000-0006-0000-0000-000077030000}">
      <text>
        <r>
          <rPr>
            <sz val="9"/>
            <color indexed="81"/>
            <rFont val="Segoe UI"/>
            <family val="2"/>
          </rPr>
          <t>141786|TINTA LATEX ACRILICA SEMIBRILHO, LINHA PREMIUM, COR  AMARELO MELAO MADURO - LATA COM 18 LITROS|1|76|10|EQUIP. E MATERIAIS P/PINTURAS E IMPERMEABILIZACAO|MPI|Padrão|4|69|276|Ativo|</t>
        </r>
      </text>
    </comment>
    <comment ref="X795" authorId="0" shapeId="0" xr:uid="{00000000-0006-0000-0000-000078030000}">
      <text>
        <r>
          <rPr>
            <sz val="9"/>
            <color indexed="81"/>
            <rFont val="Segoe UI"/>
            <family val="2"/>
          </rPr>
          <t>141787|TINTA LATEX ACRILICA SEMIBRILHO, LINHA PREMIUM, COR  AZUL BIONICO - LATA COM 18 LITROS|1|76|10|EQUIP. E MATERIAIS P/PINTURAS E IMPERMEABILIZACAO|MPI|Padrão|4|293|1172|Ativo|</t>
        </r>
      </text>
    </comment>
    <comment ref="X796" authorId="0" shapeId="0" xr:uid="{00000000-0006-0000-0000-000079030000}">
      <text>
        <r>
          <rPr>
            <sz val="9"/>
            <color indexed="81"/>
            <rFont val="Segoe UI"/>
            <family val="2"/>
          </rPr>
          <t>141615|TINTA LATEX ACRILICA SEMIBRILHO, LINHA PREMIUM, COR BRANCO - LATA COM 18 LITROS|1|76|10|EQUIP. E MATERIAIS P/PINTURAS E IMPERMEABILIZACAO|MPI|Padrão|4|60|240|Ativo|</t>
        </r>
      </text>
    </comment>
    <comment ref="X797" authorId="0" shapeId="0" xr:uid="{00000000-0006-0000-0000-00007A030000}">
      <text>
        <r>
          <rPr>
            <sz val="9"/>
            <color indexed="81"/>
            <rFont val="Segoe UI"/>
            <family val="2"/>
          </rPr>
          <t>141418|ROLO DE PELE DE CARNEIRO PARA PINTURA DE SUPERFICIES ASPERAS E RUGOSAS, USO COM TINTAS LATEX E ACRILICA COM 19 MM DE ALTURA E LARGURA DE 23 CM, COM CABO|1|76|11|EQUIP. E MATERIAIS P/PINTURAS E IMPERMEABILIZACAO|MPI|Padrão|4|474|1896|Ativo|</t>
        </r>
      </text>
    </comment>
    <comment ref="X798" authorId="0" shapeId="0" xr:uid="{00000000-0006-0000-0000-00007B030000}">
      <text>
        <r>
          <rPr>
            <sz val="9"/>
            <color indexed="81"/>
            <rFont val="Segoe UI"/>
            <family val="2"/>
          </rPr>
          <t>141253|FUNDO PARA GALVANIZADOS, LINHA PREMIUM, NA COR CINZA - GALAO COM 3,600 ML|1|76|13|EQUIP. E MATERIAIS P/PINTURAS E IMPERMEABILIZACAO|MPI|Padrão|4|161|644|Ativo|</t>
        </r>
      </text>
    </comment>
    <comment ref="X799" authorId="0" shapeId="0" xr:uid="{00000000-0006-0000-0000-00007C030000}">
      <text>
        <r>
          <rPr>
            <sz val="10"/>
            <color indexed="81"/>
            <rFont val="Lucida Console"/>
            <family val="3"/>
          </rPr>
          <t>134561|PARAFUSO EM ACO BICROMATIZADO, CABECA CHATA PH , 3,5 X 25 MM - CAIXA COM 500 UNIDADES|1|67|3|PARAFUSOS ELEM. VEDACAO UNIAO CONEX . FIXACAO|MSE|Padrão|4|2|8|Ativo|</t>
        </r>
      </text>
    </comment>
    <comment ref="X800" authorId="0" shapeId="0" xr:uid="{00000000-0006-0000-0000-00007D030000}">
      <text>
        <r>
          <rPr>
            <sz val="10"/>
            <color indexed="81"/>
            <rFont val="Lucida Console"/>
            <family val="3"/>
          </rPr>
          <t>134562|PARAFUSO EM ACO BICROMATIZADO, CABECA CHATA PH 3,5 X 40 - CAIXA COM 500 UNIDADES|1|67|3|PARAFUSOS ELEM. VEDACAO UNIAO CONEX . FIXACAO|MSE|Padrão|4|2|8|Ativo|</t>
        </r>
      </text>
    </comment>
    <comment ref="X801" authorId="0" shapeId="0" xr:uid="{00000000-0006-0000-0000-00007E030000}">
      <text>
        <r>
          <rPr>
            <sz val="10"/>
            <color indexed="81"/>
            <rFont val="Lucida Console"/>
            <family val="3"/>
          </rPr>
          <t>33609|ARAME DE ACO CARBONO GALVANIZADO - BWG N° 10 (3,40 MM)|1|67|14|PARAFUSOS ELEM. VEDACAO UNIAO CONEX . FIXACAO|MSE|Padrão|4|1|4|Ativo|</t>
        </r>
      </text>
    </comment>
    <comment ref="J802" authorId="1" shapeId="0" xr:uid="{00000000-0006-0000-0000-00007F030000}">
      <text>
        <r>
          <rPr>
            <b/>
            <sz val="9"/>
            <color indexed="81"/>
            <rFont val="Segoe UI"/>
            <family val="2"/>
          </rPr>
          <t>Administrador:</t>
        </r>
        <r>
          <rPr>
            <sz val="9"/>
            <color indexed="81"/>
            <rFont val="Segoe UI"/>
            <family val="2"/>
          </rPr>
          <t xml:space="preserve">
Reduzido de 43 para 2 devido a "pendentes" muito maior que o consumo.</t>
        </r>
      </text>
    </comment>
    <comment ref="X802" authorId="0" shapeId="0" xr:uid="{00000000-0006-0000-0000-000080030000}">
      <text>
        <r>
          <rPr>
            <sz val="10"/>
            <color indexed="81"/>
            <rFont val="Lucida Console"/>
            <family val="3"/>
          </rPr>
          <t>126059|PARAFUSO DE ZINCO AMARELO, CABECA CHATA PH 6,0 X 40|1|67|18|PARAFUSOS ELEM. VEDACAO UNIAO CONEX . FIXACAO|MSE|Padrão|4|2|8|Ativo|</t>
        </r>
      </text>
    </comment>
    <comment ref="X803" authorId="0" shapeId="0" xr:uid="{00000000-0006-0000-0000-000081030000}">
      <text>
        <r>
          <rPr>
            <sz val="10"/>
            <color indexed="81"/>
            <rFont val="Lucida Console"/>
            <family val="3"/>
          </rPr>
          <t>116754|PERFIL CADEIRA CHAPA DOBRADA 30 MM X 25 MM - BARRA COM 03 METROS|1|69|2|METAIS,LAMINAD.,PERFILADOS E ARTEFATOS METALICOS|MSE|Padrão|4|10|40|Ativo|</t>
        </r>
      </text>
    </comment>
    <comment ref="X804" authorId="0" shapeId="0" xr:uid="{00000000-0006-0000-0000-000082030000}">
      <text>
        <r>
          <rPr>
            <sz val="10"/>
            <color indexed="81"/>
            <rFont val="Lucida Console"/>
            <family val="3"/>
          </rPr>
          <t>64609|CANTONEIRA DE FERRO - BARRA COM 6 M - 3/4" X 1/8"|1|69|3|METAIS,LAMINAD.,PERFILADOS E ARTEFATOS METALICOS|MSE|Padrão|4|28|112|Ativo|</t>
        </r>
      </text>
    </comment>
    <comment ref="X805" authorId="0" shapeId="0" xr:uid="{00000000-0006-0000-0000-000083030000}">
      <text>
        <r>
          <rPr>
            <sz val="10"/>
            <color indexed="81"/>
            <rFont val="Lucida Console"/>
            <family val="3"/>
          </rPr>
          <t>136674|CAMISA DE BRIM N° 2, CONFECCIONADA EM TECIDO 100% ALGODAO, NA COR AZUL MARINHO, MANGAS LONGAS.||62|1|VEST., ART.P/ TOUC.E HIG. PES. MAQ., EQUIP., MAT.E ACES.|ADM|Padrão|4|0|0|Ativo|</t>
        </r>
      </text>
    </comment>
    <comment ref="X806" authorId="0" shapeId="0" xr:uid="{00000000-0006-0000-0000-000084030000}">
      <text>
        <r>
          <rPr>
            <sz val="10"/>
            <color indexed="81"/>
            <rFont val="Lucida Console"/>
            <family val="3"/>
          </rPr>
          <t>136675|CAMISA DE BRIM N° 3, CONFECCIONADA EM TECIDO 100% ALGODAO, NA COR AZUL MARINHO, MANGAS LONGAS.||62|1|VEST., ART.P/ TOUC.E HIG. PES. MAQ., EQUIP., MAT.E ACES.|ADM|Padrão|4|0|0|Ativo|</t>
        </r>
      </text>
    </comment>
    <comment ref="X807" authorId="0" shapeId="0" xr:uid="{00000000-0006-0000-0000-000085030000}">
      <text>
        <r>
          <rPr>
            <sz val="10"/>
            <color indexed="81"/>
            <rFont val="Lucida Console"/>
            <family val="3"/>
          </rPr>
          <t>105114|CAMISA DE BRIM, N° 2, CONFECCIONADA EM TECIDO 100% ALGODAO, NA COR AZUL MARINHO|1|62|1|VEST., ART.P/ TOUC.E HIG. PES. MAQ., EQUIP., MAT.E ACES.|ADM|Padrão|4|0|0|Ativo|</t>
        </r>
      </text>
    </comment>
    <comment ref="X808" authorId="0" shapeId="0" xr:uid="{00000000-0006-0000-0000-000086030000}">
      <text>
        <r>
          <rPr>
            <sz val="10"/>
            <color indexed="81"/>
            <rFont val="Lucida Console"/>
            <family val="3"/>
          </rPr>
          <t>105118|CAMISA DE BRIM, N° 6, CONFECCIONADA EM TECIDO 100% ALGODAO, NA COR AZUL MARINHO|1|62|1|VEST., ART.P/ TOUC.E HIG. PES. MAQ., EQUIP., MAT.E ACES.|ADM|Padrão|4|0|0|Ativo|</t>
        </r>
      </text>
    </comment>
    <comment ref="X809" authorId="0" shapeId="0" xr:uid="{00000000-0006-0000-0000-000087030000}">
      <text>
        <r>
          <rPr>
            <sz val="10"/>
            <color indexed="81"/>
            <rFont val="Lucida Console"/>
            <family val="3"/>
          </rPr>
          <t>127106|CALCA DE BRIM N° 36, CONFECCIONADA EM TECIDO MISTO 67% ALGODAO NA COR AZUL MARINHO.|1|62|4|VEST., ART.P/ TOUC.E HIG. PES. MAQ., EQUIP., MAT.E ACES.|ADM|Padrão|4|0|0|Ativo|</t>
        </r>
      </text>
    </comment>
    <comment ref="X810" authorId="0" shapeId="0" xr:uid="{00000000-0006-0000-0000-000088030000}">
      <text>
        <r>
          <rPr>
            <sz val="9"/>
            <color indexed="81"/>
            <rFont val="Segoe UI"/>
            <family val="2"/>
          </rPr>
          <t>127105|CALCA DE BRIM N° 38, CONFECCIONADA EM TECIDO MISTO 67% ALGODAO NA COR AZUL MARINHO.|1|62|4|VEST., ART.P/ TOUC.E HIG. PES. MAQ., EQUIP., MAT.E ACES.|ADM|Padrão|4|0|0|Ativo|</t>
        </r>
      </text>
    </comment>
    <comment ref="X811" authorId="0" shapeId="0" xr:uid="{00000000-0006-0000-0000-000089030000}">
      <text>
        <r>
          <rPr>
            <sz val="10"/>
            <color indexed="81"/>
            <rFont val="Lucida Console"/>
            <family val="3"/>
          </rPr>
          <t>105108|CALCA DE BRIM N° 44, CONFECCIONADA EM TECIDO MISTO 67% ALGODAO NA COR AZUL MARINHO|1|62|4|VEST., ART.P/ TOUC.E HIG. PES. MAQ., EQUIP., MAT.E ACES.|ADM|Padrão|4|0|0|Ativo|</t>
        </r>
      </text>
    </comment>
    <comment ref="X812" authorId="0" shapeId="0" xr:uid="{00000000-0006-0000-0000-00008A030000}">
      <text>
        <r>
          <rPr>
            <sz val="10"/>
            <color indexed="81"/>
            <rFont val="Lucida Console"/>
            <family val="3"/>
          </rPr>
          <t>105110|CALCA DE BRIM N° 48, CONFECCIONADA EM TECIDO MISTO 67% ALGODAO NA COR AZUL MARINHO|1|62|4|VEST., ART.P/ TOUC.E HIG. PES. MAQ., EQUIP., MAT.E ACES.|ADM|Padrão|4|0|0|Ativo|</t>
        </r>
      </text>
    </comment>
    <comment ref="X813" authorId="0" shapeId="0" xr:uid="{00000000-0006-0000-0000-00008B030000}">
      <text>
        <r>
          <rPr>
            <sz val="10"/>
            <color indexed="81"/>
            <rFont val="Lucida Console"/>
            <family val="3"/>
          </rPr>
          <t>127107|CALCA DE BRIM N° 50, CONFECCIONADA EM TECIDO MISTO 67% ALGODAO NA COR AZUL MARINHO.|1|62|4|VEST., ART.P/ TOUC.E HIG. PES. MAQ., EQUIP., MAT.E ACES.|ADM|Padrão|4|0|0|Ativo|</t>
        </r>
      </text>
    </comment>
    <comment ref="X814" authorId="0" shapeId="0" xr:uid="{00000000-0006-0000-0000-00008C030000}">
      <text>
        <r>
          <rPr>
            <sz val="10"/>
            <color indexed="81"/>
            <rFont val="Lucida Console"/>
            <family val="3"/>
          </rPr>
          <t>105112|CALCA DE BRIM N° 52, CONFECCIONADA EM TECIDO MISTO 67% ALGODAO NA COR AZUL MARINHO|1|62|4|VEST., ART.P/ TOUC.E HIG. PES. MAQ., EQUIP., MAT.E ACES.|ADM|Padrão|4|0|0|Ativo|</t>
        </r>
      </text>
    </comment>
    <comment ref="X815" authorId="0" shapeId="0" xr:uid="{00000000-0006-0000-0000-00008D030000}">
      <text>
        <r>
          <rPr>
            <sz val="10"/>
            <color indexed="81"/>
            <rFont val="Lucida Console"/>
            <family val="3"/>
          </rPr>
          <t>105704|CALCA DE BRIM N° 56, CONFECCIONADA EM TECIDO MISTO 67% ALGODAO NA COR AZUL MARINHO|1|62|4|VEST., ART.P/ TOUC.E HIG. PES. MAQ., EQUIP., MAT.E ACES.|ADM|Padrão|4||0|Ativo|</t>
        </r>
      </text>
    </comment>
    <comment ref="X816" authorId="0" shapeId="0" xr:uid="{00000000-0006-0000-0000-00008E030000}">
      <text>
        <r>
          <rPr>
            <sz val="10"/>
            <color indexed="81"/>
            <rFont val="Lucida Console"/>
            <family val="3"/>
          </rPr>
          <t>105109|CONFECCAO DE CALCA DE BRIM, N° 46|1|62|12|VEST., ART.P/ TOUC.E HIG. PES. MAQ., EQUIP., MAT.E ACES.|ADM|Padrão|4|0|0|Ativo|</t>
        </r>
      </text>
    </comment>
    <comment ref="X817" authorId="0" shapeId="0" xr:uid="{00000000-0006-0000-0000-00008F030000}">
      <text>
        <r>
          <rPr>
            <sz val="10"/>
            <color indexed="81"/>
            <rFont val="Lucida Console"/>
            <family val="3"/>
          </rPr>
          <t>55836|PONTEIRA DE BORRACHA - DIAMETRO INTERNO 7/8"|1|78|2|MOBILIARIO E COFRE|ADM|Padrão|4|114|456|Ativo|</t>
        </r>
      </text>
    </comment>
    <comment ref="X818" authorId="0" shapeId="0" xr:uid="{00000000-0006-0000-0000-000090030000}">
      <text>
        <r>
          <rPr>
            <sz val="10"/>
            <color indexed="81"/>
            <rFont val="Lucida Console"/>
            <family val="3"/>
          </rPr>
          <t>138528|TAMPO REDONDO PARA MESA, COM 1,10 M (VARIACAO +/- 0,05 M) DE DIAMETRO, EM MDF BRANCO TX 18 MM, ACABAMENTO NAS LATERIAIS COM FITA DE BORDA BRANCA.|1|78|4|MOBILIARIO E COFRE|ADM|Padrão|4|0|0|Ativo|</t>
        </r>
      </text>
    </comment>
    <comment ref="X819" authorId="0" shapeId="0" xr:uid="{00000000-0006-0000-0000-000091030000}">
      <text>
        <r>
          <rPr>
            <sz val="10"/>
            <color indexed="81"/>
            <rFont val="Lucida Console"/>
            <family val="3"/>
          </rPr>
          <t>26504|ENCOSTO EM MADEIRA  EM LAMINADO MELAMINICO 10MM LISO 30 X 16CM - VERDE CLARO|1|78|6|MOBILIARIO E COFRE|ADM|Padrão|4|125|500|Ativo|</t>
        </r>
      </text>
    </comment>
    <comment ref="X820" authorId="0" shapeId="0" xr:uid="{00000000-0006-0000-0000-000092030000}">
      <text>
        <r>
          <rPr>
            <sz val="10"/>
            <color indexed="81"/>
            <rFont val="Lucida Console"/>
            <family val="3"/>
          </rPr>
          <t>138458|CADERNO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FSC/CERFLOR.|1|45|11|MAQ., EQUIP., COMP., ACES., MAT. PARA ESCRIT.E ESCOLAR|EDU|Padrão|4|0|0|Ativo|</t>
        </r>
      </text>
    </comment>
    <comment ref="X821" authorId="0" shapeId="0" xr:uid="{00000000-0006-0000-0000-000093030000}">
      <text>
        <r>
          <rPr>
            <sz val="10"/>
            <color indexed="81"/>
            <rFont val="Lucida Console"/>
            <family val="3"/>
          </rPr>
          <t>138457|CADERNO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FSC/CEFLOR.|1|45|11|MAQ., EQUIP., COMP., ACES., MAT. PARA ESCRIT.E ESCOLAR|EDU|Padrão|4|0|0|Ativo|</t>
        </r>
      </text>
    </comment>
    <comment ref="A822" authorId="0" shapeId="0" xr:uid="{00000000-0006-0000-0000-000094030000}">
      <text>
        <r>
          <rPr>
            <sz val="10"/>
            <color indexed="81"/>
            <rFont val="Lucida Console"/>
            <family val="3"/>
          </rPr>
          <t>Mantido o valor anterior</t>
        </r>
      </text>
    </comment>
    <comment ref="X822" authorId="0" shapeId="0" xr:uid="{00000000-0006-0000-0000-000095030000}">
      <text>
        <r>
          <rPr>
            <sz val="10"/>
            <color indexed="81"/>
            <rFont val="Lucida Console"/>
            <family val="3"/>
          </rPr>
          <t>91208|PASTA PLASTICA EM "L" EM POLIPROPILENO, CRISTAL GROFADO, ANTI REFLEXO, ALTA RESISTENCIA, COM VISOR FRONTAL PARA IDENTIFICACAO DO TRABALHO, TAMANHO A4, ESPESSURA DE 160 MYCRON - PACOTE COM 10 UNIDADES||45|11|MAQ., EQUIP., COMP., ACES., MAT. PARA ESCRIT.E ESCOLAR|EDU|Padrão|4|0|0|Ativo|</t>
        </r>
      </text>
    </comment>
    <comment ref="X823" authorId="0" shapeId="0" xr:uid="{00000000-0006-0000-0000-000096030000}">
      <text>
        <r>
          <rPr>
            <sz val="10"/>
            <color indexed="81"/>
            <rFont val="Lucida Console"/>
            <family val="3"/>
          </rPr>
          <t>98734|BANDEIRA DE SAO JOSE DOS CAMPOS - 1,12 X 1,60 M, , MODELO BORDADO, CONFECCIONADA EM TECIDO 100% POLIESTER|1|58|14|EQUIP. E MAT. P/ RECREACAO, ATLETISMO, DESPORTO...|EDU|Padrão|4|1|4|Ativo|</t>
        </r>
      </text>
    </comment>
    <comment ref="X824" authorId="0" shapeId="0" xr:uid="{00000000-0006-0000-0000-000097030000}">
      <text>
        <r>
          <rPr>
            <sz val="10"/>
            <color indexed="81"/>
            <rFont val="Lucida Console"/>
            <family val="3"/>
          </rPr>
          <t>98732|BANDEIRA DO BRASIL - 1,12 X 1,60 M, MODELO BORDADO, CONFECCIONADA EM TECIDO 100% POLIESTER|1|58|14|EQUIP. E MAT. P/ RECREACAO, ATLETISMO, DESPORTO...|EDU|Padrão|4|1|4|Ativo|</t>
        </r>
      </text>
    </comment>
    <comment ref="X825" authorId="0" shapeId="0" xr:uid="{00000000-0006-0000-0000-000098030000}">
      <text>
        <r>
          <rPr>
            <sz val="10"/>
            <color indexed="81"/>
            <rFont val="Lucida Console"/>
            <family val="3"/>
          </rPr>
          <t>98733|BANDEIRA DO ESTADO DE SAO PAULO - 1,12 X 1,60 M, MODELO BORDADO, CONFECCIONADA EM TECIDO 100% POLIESTER|1|58|14|EQUIP. E MAT. P/ RECREACAO, ATLETISMO, DESPORTO...|EDU|Padrão|4|1|4|Ativo|</t>
        </r>
      </text>
    </comment>
    <comment ref="X826" authorId="0" shapeId="0" xr:uid="{00000000-0006-0000-0000-000099030000}">
      <text>
        <r>
          <rPr>
            <sz val="10"/>
            <color indexed="81"/>
            <rFont val="Lucida Console"/>
            <family val="3"/>
          </rPr>
          <t>38648|CABO CTP-APL - SN - 50/10 PARES|1|59|18|EQUIP.MAT.E ACESS.COMUNIC.CINE FOTO OTICA SOM|INF|Padrão|4|17|68|Ativo|</t>
        </r>
      </text>
    </comment>
    <comment ref="X827" authorId="0" shapeId="0" xr:uid="{00000000-0006-0000-0000-00009A030000}">
      <text>
        <r>
          <rPr>
            <sz val="10"/>
            <color indexed="81"/>
            <rFont val="Lucida Console"/>
            <family val="3"/>
          </rPr>
          <t>119087|TOMADA TELEFONICA PADRAO TELEBRAS DE EMBUTIR, COM SUPORTE E COM CONECTOR RJ-11 E PLACA 4X2", COM PARAFUSOS|1|59|18|EQUIP.MAT.E ACESS.COMUNIC.CINE FOTO OTICA SOM|INF|Padrão|4|1|4|Ativo|</t>
        </r>
      </text>
    </comment>
    <comment ref="X828" authorId="0" shapeId="0" xr:uid="{00000000-0006-0000-0000-00009B030000}">
      <text>
        <r>
          <rPr>
            <sz val="10"/>
            <color indexed="81"/>
            <rFont val="Lucida Console"/>
            <family val="3"/>
          </rPr>
          <t>106130|RELE TERMICO 7 A 10A LRD14 ( SCH )|1|50|2|EQUIP. P/ COND. VENT. PURIF. DE AR, COMPONENTES E ACES.|MAN|Padrão|4|1|4|Ativo|</t>
        </r>
      </text>
    </comment>
    <comment ref="A829" authorId="0" shapeId="0" xr:uid="{00000000-0006-0000-0000-00009C030000}">
      <text>
        <r>
          <rPr>
            <sz val="10"/>
            <color indexed="81"/>
            <rFont val="Lucida Console"/>
            <family val="3"/>
          </rPr>
          <t>Mantido o valor anterior</t>
        </r>
      </text>
    </comment>
    <comment ref="X829" authorId="0" shapeId="0" xr:uid="{00000000-0006-0000-0000-00009D030000}">
      <text>
        <r>
          <rPr>
            <sz val="10"/>
            <color indexed="81"/>
            <rFont val="Lucida Console"/>
            <family val="3"/>
          </rPr>
          <t>105348|BOTINA DE COURO N° 45, C/BICO DE ACO, SOLADO DE BORRACHA|1|54|4|EQUIP PROT IND, INST MAT P/ SINAL, CONTR, COMB ...|MAN|Padrão|4|0|0|Ativo|</t>
        </r>
      </text>
    </comment>
    <comment ref="X830" authorId="0" shapeId="0" xr:uid="{00000000-0006-0000-0000-00009E030000}">
      <text>
        <r>
          <rPr>
            <sz val="10"/>
            <color indexed="81"/>
            <rFont val="Lucida Console"/>
            <family val="3"/>
          </rPr>
          <t>136823|BOTINA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TAM:39|1|54|4|EQUIP PROT IND, INST MAT P/ SINAL, CONTR, COMB ...|MAN|Padrão|4|0|0|Ativo|</t>
        </r>
      </text>
    </comment>
    <comment ref="X831" authorId="0" shapeId="0" xr:uid="{00000000-0006-0000-0000-00009F030000}">
      <text>
        <r>
          <rPr>
            <sz val="10"/>
            <color indexed="81"/>
            <rFont val="Lucida Console"/>
            <family val="3"/>
          </rPr>
          <t>136824|BOTINA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TAM:40|1|54|4|EQUIP PROT IND, INST MAT P/ SINAL, CONTR, COMB ...|MAN|Padrão|4|0|0|Ativo|</t>
        </r>
      </text>
    </comment>
    <comment ref="X832" authorId="0" shapeId="0" xr:uid="{00000000-0006-0000-0000-0000A0030000}">
      <text>
        <r>
          <rPr>
            <sz val="10"/>
            <color indexed="81"/>
            <rFont val="Lucida Console"/>
            <family val="3"/>
          </rPr>
          <t>136825|BOTINA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TAM:41|1|54|4|EQUIP PROT IND, INST MAT P/ SINAL, CONTR, COMB ...|MAN|Padrão|4|0|0|Ativo|</t>
        </r>
      </text>
    </comment>
    <comment ref="X833" authorId="0" shapeId="0" xr:uid="{00000000-0006-0000-0000-0000A1030000}">
      <text>
        <r>
          <rPr>
            <sz val="10"/>
            <color indexed="81"/>
            <rFont val="Lucida Console"/>
            <family val="3"/>
          </rPr>
          <t>136826|BOTINA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TAM:42|1|54|4|EQUIP PROT IND, INST MAT P/ SINAL, CONTR, COMB ...|MAN|Padrão|4|0|0|Ativo|</t>
        </r>
      </text>
    </comment>
    <comment ref="X834" authorId="0" shapeId="0" xr:uid="{00000000-0006-0000-0000-0000A2030000}">
      <text>
        <r>
          <rPr>
            <sz val="10"/>
            <color indexed="81"/>
            <rFont val="Lucida Console"/>
            <family val="3"/>
          </rPr>
          <t>136829|BOTINA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TAM:45|1|54|4|EQUIP PROT IND, INST MAT P/ SINAL, CONTR, COMB ...|MAN|Padrão|4|0|0|Ativo|</t>
        </r>
      </text>
    </comment>
    <comment ref="X835" authorId="0" shapeId="0" xr:uid="{00000000-0006-0000-0000-0000A3030000}">
      <text>
        <r>
          <rPr>
            <sz val="10"/>
            <color indexed="81"/>
            <rFont val="Lucida Console"/>
            <family val="3"/>
          </rPr>
          <t>106914|CALCA DE BRIM, N° 38, CONFECCIONADA EM TECIDO 100% ALGODAO, COM ACABAMENTO ESPECIAL PARA PROTECAO AO ARCO ELETRICO E EXPOSICAO A CHAMAS, NA COR CINZA.|1|54|4|EQUIP PROT IND, INST MAT P/ SINAL, CONTR, COMB ...|MAN|Padrão|4|0|0|Ativo|</t>
        </r>
      </text>
    </comment>
    <comment ref="X836" authorId="0" shapeId="0" xr:uid="{00000000-0006-0000-0000-0000A4030000}">
      <text>
        <r>
          <rPr>
            <sz val="10"/>
            <color indexed="81"/>
            <rFont val="Lucida Console"/>
            <family val="3"/>
          </rPr>
          <t>106916|CALCA DE BRIM, N° 42, CONFECCIONADA EM TECIDO 100% ALGODAO, COM ACABAMENTO ESPECIAL PARA PROTECAO AO ARCO ELETRICO E EXPOSICAO A CHAMAS, NA COR CINZA.|1|54|4|EQUIP PROT IND, INST MAT P/ SINAL, CONTR, COMB ...|MAN|Padrão|4|0|0|Ativo|</t>
        </r>
      </text>
    </comment>
    <comment ref="X837" authorId="0" shapeId="0" xr:uid="{00000000-0006-0000-0000-0000A5030000}">
      <text>
        <r>
          <rPr>
            <sz val="10"/>
            <color indexed="81"/>
            <rFont val="Lucida Console"/>
            <family val="3"/>
          </rPr>
          <t>106917|CALCA DE BRIM, N° 44, CONFECCIONADA EM TECIDO 100% ALGODAO, COM ACABAMENTO ESPECIAL PARA PROTECAO AO ARCO ELETRICO E EXPOSICAO A CHAMAS, NA COR CINZA.|1|54|4|EQUIP PROT IND, INST MAT P/ SINAL, CONTR, COMB ...|MAN|Padrão|4|0|0|Ativo|</t>
        </r>
      </text>
    </comment>
    <comment ref="X838" authorId="0" shapeId="0" xr:uid="{00000000-0006-0000-0000-0000A6030000}">
      <text>
        <r>
          <rPr>
            <sz val="10"/>
            <color indexed="81"/>
            <rFont val="Lucida Console"/>
            <family val="3"/>
          </rPr>
          <t>106918|CALCA DE BRIM, N° 46, CONFECCIONADA EM TECIDO 100% ALGODAO, COM ACABAMENTO ESPECIAL PARA PROTECAO AO ARCO ELETRICO E EXPOSICAO A CHAMAS, NA COR CINZA.|1|54|4|EQUIP PROT IND, INST MAT P/ SINAL, CONTR, COMB ...|MAN|Padrão|4|0|0|Ativo|</t>
        </r>
      </text>
    </comment>
    <comment ref="X839" authorId="0" shapeId="0" xr:uid="{00000000-0006-0000-0000-0000A7030000}">
      <text>
        <r>
          <rPr>
            <sz val="10"/>
            <color indexed="81"/>
            <rFont val="Lucida Console"/>
            <family val="3"/>
          </rPr>
          <t>106919|CALCA DE BRIM, N° 48, CONFECCIONADA EM TECIDO 100% ALGODAO, COM ACABAMENTO ESPECIAL PARA PROTECAO AO ARCO ELETRICO E EXPOSICAO A CHAMAS, NA COR CINZA.|1|54|4|EQUIP PROT IND, INST MAT P/ SINAL, CONTR, COMB ...|MAN|Padrão|4|0|0|Ativo|</t>
        </r>
      </text>
    </comment>
    <comment ref="X840" authorId="0" shapeId="0" xr:uid="{00000000-0006-0000-0000-0000A8030000}">
      <text>
        <r>
          <rPr>
            <sz val="10"/>
            <color indexed="81"/>
            <rFont val="Lucida Console"/>
            <family val="3"/>
          </rPr>
          <t>135013|CALCADO DE SEGURANCA TIPO BOTINA DE COURO, SOLADO DE PU SEM CADARCO Nº 39||54|4|EQUIP PROT IND, INST MAT P/ SINAL, CONTR, COMB ...|MAN|Padrão|4|0|0|Ativo|</t>
        </r>
      </text>
    </comment>
    <comment ref="X841" authorId="0" shapeId="0" xr:uid="{00000000-0006-0000-0000-0000A9030000}">
      <text>
        <r>
          <rPr>
            <sz val="10"/>
            <color indexed="81"/>
            <rFont val="Lucida Console"/>
            <family val="3"/>
          </rPr>
          <t>135014|CALCADO DE SEGURANCA, TIPO BOTINA - Nº 40|1|54|4|EQUIP PROT IND, INST MAT P/ SINAL, CONTR, COMB ...|MAN|Padrão|4|0|0|Ativo|</t>
        </r>
      </text>
    </comment>
    <comment ref="X842" authorId="0" shapeId="0" xr:uid="{00000000-0006-0000-0000-0000AA030000}">
      <text>
        <r>
          <rPr>
            <sz val="10"/>
            <color indexed="81"/>
            <rFont val="Lucida Console"/>
            <family val="3"/>
          </rPr>
          <t>106909|CAMISA DE BRIM, N° 2, CONFECCIONADA EM TECIDO 100% ALGODAO, COM ACABAMENTO ESPECIAL PARA PROTECAO AO ARCO ELETRICO E EXPOSICAO A CHAMAS,  NA COR CINZA.|1|54|4|EQUIP PROT IND, INST MAT P/ SINAL, CONTR, COMB ...|MAN|Padrão|4|0|0|Ativo|</t>
        </r>
      </text>
    </comment>
    <comment ref="X843" authorId="0" shapeId="0" xr:uid="{00000000-0006-0000-0000-0000AB030000}">
      <text>
        <r>
          <rPr>
            <sz val="10"/>
            <color indexed="81"/>
            <rFont val="Lucida Console"/>
            <family val="3"/>
          </rPr>
          <t>106910|CAMISA DE BRIM, N° 3, CONFECCIONADA EM TECIDO 100% ALGODAO, COM ACABAMENTO ESPECIAL PARA PROTECAO AO ARCO ELETRICO E EXPOSICAO A CHAMAS,  NA COR CINZA.|1|54|4|EQUIP PROT IND, INST MAT P/ SINAL, CONTR, COMB ...|MAN|Padrão|4|0|0|Ativo|</t>
        </r>
      </text>
    </comment>
    <comment ref="X844" authorId="0" shapeId="0" xr:uid="{00000000-0006-0000-0000-0000AC030000}">
      <text>
        <r>
          <rPr>
            <sz val="10"/>
            <color indexed="81"/>
            <rFont val="Lucida Console"/>
            <family val="3"/>
          </rPr>
          <t>106911|CAMISA DE BRIM, N° 4, CONFECCIONADA EM TECIDO 100% ALGODAO, COM ACABAMENTO ESPECIAL PARA PROTECAO AO ARCO ELETRICO E EXPOSICAO A CHAMAS,  NA COR CINZA.|1|54|4|EQUIP PROT IND, INST MAT P/ SINAL, CONTR, COMB ...|MAN|Padrão|4|0|0|Ativo|</t>
        </r>
      </text>
    </comment>
    <comment ref="X845" authorId="0" shapeId="0" xr:uid="{00000000-0006-0000-0000-0000AD030000}">
      <text>
        <r>
          <rPr>
            <sz val="10"/>
            <color indexed="81"/>
            <rFont val="Lucida Console"/>
            <family val="3"/>
          </rPr>
          <t>106913|CAMISA DE BRIM, N° 6, CONFECCIONADA EM TECIDO 100% ALGODAO, COM ACABAMENTO ESPECIAL PARA PROTECAO AO ARCO ELETRICO E EXPOSICAO A CHAMAS,  NA COR CINZA.|1|54|4|EQUIP PROT IND, INST MAT P/ SINAL, CONTR, COMB ...|MAN|Padrão|4|0|0|Ativo|</t>
        </r>
      </text>
    </comment>
    <comment ref="X846" authorId="0" shapeId="0" xr:uid="{00000000-0006-0000-0000-0000AE030000}">
      <text>
        <r>
          <rPr>
            <sz val="10"/>
            <color indexed="81"/>
            <rFont val="Lucida Console"/>
            <family val="3"/>
          </rPr>
          <t>136880|CAPA DE CHUVA EM PVC COM CAPUZ - TAM G : CAPA DE CHUVA IMPERMEAVEL NA COR AMARELA, CONFECCIONADA EM TECIDO SINTETICO REVESTIDO DE PVC, COSTURAS ATRAVES DE SOLDA ELETRONICA, MANGAS LONGAS, CAPUZ FIXO, FECHAMENTO FRONTAL|1|54|4|EQUIP PROT IND, INST MAT P/ SINAL, CONTR, COMB ...|MAN|Padrão|4|0|0|Ativo|</t>
        </r>
      </text>
    </comment>
    <comment ref="X847" authorId="0" shapeId="0" xr:uid="{00000000-0006-0000-0000-0000AF030000}">
      <text>
        <r>
          <rPr>
            <sz val="10"/>
            <color indexed="81"/>
            <rFont val="Lucida Console"/>
            <family val="3"/>
          </rPr>
          <t>136860|CAPACETE DE SEGURANCA CLASSE B, TIPO II (ABA FRONTAL), COM SUSPENCAO PLASTICA, TIRA ABSORVENTE DE SUOR E SISTEMA DE REGULAGEM. TIRA JUGULAR EM POLIESTER JA FIXADA AO CAPACETE.|1|54|4|EQUIP PROT IND, INST MAT P/ SINAL, CONTR, COMB ...|MAN|Padrão|4|0|0|Ativo|</t>
        </r>
      </text>
    </comment>
    <comment ref="X848" authorId="0" shapeId="0" xr:uid="{00000000-0006-0000-0000-0000B0030000}">
      <text>
        <r>
          <rPr>
            <sz val="10"/>
            <color indexed="81"/>
            <rFont val="Lucida Console"/>
            <family val="3"/>
          </rPr>
          <t>132799|CAPUZ OU BALACLAVA DE SEGURANCA MODELO ARABE, CONFECCIONADO EM BRIM|1|54|4|EQUIP PROT IND, INST MAT P/ SINAL, CONTR, COMB ...|MAN|Padrão|4|0|0|Ativo|</t>
        </r>
      </text>
    </comment>
    <comment ref="X849" authorId="0" shapeId="0" xr:uid="{00000000-0006-0000-0000-0000B1030000}">
      <text>
        <r>
          <rPr>
            <sz val="10"/>
            <color indexed="81"/>
            <rFont val="Lucida Console"/>
            <family val="3"/>
          </rPr>
          <t>136819|LUVA DE PROTECAO CONFECCIONADA EM VAQUETA, REFORCO ENTRE O POLEGAR E O INDICADOR E REFORCO NA PALMA, AJUSTE COM ELASTICO NO DORSO. COMPRIMENTO TOTAL DA LUVA DE NO MINIMO 23 CM.|1|54|4|EQUIP PROT IND, INST MAT P/ SINAL, CONTR, COMB ...|MAN|Padrão|4|0|0|Ativo|</t>
        </r>
      </text>
    </comment>
    <comment ref="X850" authorId="0" shapeId="0" xr:uid="{00000000-0006-0000-0000-0000B2030000}">
      <text>
        <r>
          <rPr>
            <sz val="10"/>
            <color indexed="81"/>
            <rFont val="Lucida Console"/>
            <family val="3"/>
          </rPr>
          <t>136858|LUVA DE RASPA DORSO EM LONA CANO LONGO - LUVA DE SEGURANCA CONFECCIONADA EM RASPA NA PALMA, TIRA DE REFORCO ENTRE OS DEDOS POLEGAR E INDICADOR, DORSO EM LONA, PUNHO EM MALHA. CANO LONGO DE CUMPRIMENTO SUPERIOR A 20CM.||54|4|EQUIP PROT IND, INST MAT P/ SINAL, CONTR, COMB ...|MAN|Padrão|4|0|0|Ativo|</t>
        </r>
      </text>
    </comment>
    <comment ref="X851" authorId="0" shapeId="0" xr:uid="{00000000-0006-0000-0000-0000B3030000}">
      <text>
        <r>
          <rPr>
            <sz val="10"/>
            <color indexed="81"/>
            <rFont val="Lucida Console"/>
            <family val="3"/>
          </rPr>
          <t>130572|LUVA DE SEGURANCA CONFECCIONADA EM LATEX NITRILICO, SEM FORRO, ACABAMENTO CLORINADO PALMA ANTIDERRAPANTE EM ALTO RELEVO, COMPRIMENTO MINIMO DE 330 MM - TAM. G|1|54|4|EQUIP PROT IND, INST MAT P/ SINAL, CONTR, COMB ...|MAN|Padrão|4|0|0|Ativo|</t>
        </r>
      </text>
    </comment>
    <comment ref="X852" authorId="0" shapeId="0" xr:uid="{00000000-0006-0000-0000-0000B4030000}">
      <text>
        <r>
          <rPr>
            <sz val="10"/>
            <color indexed="81"/>
            <rFont val="Lucida Console"/>
            <family val="3"/>
          </rPr>
          <t>136881|LUVA DE SEGURANCA PARA PROCEDIMENTO NAO CIRURGICO, CONFECCIONADA EM NITRILO (BORRACHA SINTETICA), AMBIDESTRA,  NAO ESTERIL, LIVRE DE PO, PALMA LISA E DEDOS TEXTURIZADOS. CAIXA COM 100 UNIDADES. TAM G|1|54|4|EQUIP PROT IND, INST MAT P/ SINAL, CONTR, COMB ...|MAN|Padrão|4|0|0|Ativo|</t>
        </r>
      </text>
    </comment>
    <comment ref="X853" authorId="0" shapeId="0" xr:uid="{00000000-0006-0000-0000-0000B5030000}">
      <text>
        <r>
          <rPr>
            <sz val="10"/>
            <color indexed="81"/>
            <rFont val="Lucida Console"/>
            <family val="3"/>
          </rPr>
          <t>136853|LUVA PIGMENTADA - LUVA DE PROTECAO CONFECCIONADA EM FIBRAS NATURAIS E/OU FIBRAS SINTETICAS, PIGMENTOS ANTIDERRAPANTES DE PVC NA PALMA E FACE PALMAR DOS DEDOS. TAM 10|1|54|4|EQUIP PROT IND, INST MAT P/ SINAL, CONTR, COMB ...|MAN|Padrão|4|0|0|Ativo|</t>
        </r>
      </text>
    </comment>
    <comment ref="X854" authorId="0" shapeId="0" xr:uid="{00000000-0006-0000-0000-0000B6030000}">
      <text>
        <r>
          <rPr>
            <sz val="10"/>
            <color indexed="81"/>
            <rFont val="Lucida Console"/>
            <family val="3"/>
          </rPr>
          <t>137800|MANGOTE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SIMILARES.|1|54|4|EQUIP PROT IND, INST MAT P/ SINAL, CONTR, COMB ...|MAN|Padrão|4|0|0|Ativo|</t>
        </r>
      </text>
    </comment>
    <comment ref="X855" authorId="0" shapeId="0" xr:uid="{00000000-0006-0000-0000-0000B7030000}">
      <text>
        <r>
          <rPr>
            <sz val="10"/>
            <color indexed="81"/>
            <rFont val="Lucida Console"/>
            <family val="3"/>
          </rPr>
          <t>136876|MASCARA DE SOLDA DE SEGURANCA TIPO ESCURECIMENTO AUTOMATICO|1|54|4|EQUIP PROT IND, INST MAT P/ SINAL, CONTR, COMB ...|MAN|Padrão|4|0|0|Ativo|</t>
        </r>
      </text>
    </comment>
    <comment ref="X856" authorId="0" shapeId="0" xr:uid="{00000000-0006-0000-0000-0000B8030000}">
      <text>
        <r>
          <rPr>
            <sz val="10"/>
            <color indexed="81"/>
            <rFont val="Lucida Console"/>
            <family val="3"/>
          </rPr>
          <t>136854|OCULOS DE SEGURANCA CONTRA IMPACTOS- OCULOS DE SEGURANCA, CONSTITUIDOS DE ARMACAO E VISOR EM UMA UNICA PECA DE POLICARBONATO INCOLOR, COM APOIO NASAL. AS HASTES CONFECCIONADAS EM MATERIAL PLASTICO OU DO MESMO MATERIAL DO VISOR.|1|54|4|EQUIP PROT IND, INST MAT P/ SINAL, CONTR, COMB ...|MAN|Padrão|4|0|0|Ativo|</t>
        </r>
      </text>
    </comment>
    <comment ref="X857" authorId="0" shapeId="0" xr:uid="{00000000-0006-0000-0000-0000B9030000}">
      <text>
        <r>
          <rPr>
            <sz val="10"/>
            <color indexed="81"/>
            <rFont val="Lucida Console"/>
            <family val="3"/>
          </rPr>
          <t>137799|PERNEIRA DE SEGURANCA CONFECCIONADA EM RASPA, FECHAMENTO EM VELCRO. OBJETIVO: PROTECAO DAS PERNAS DO USUARIO CONTRA AGENTES ABRASIVOS, ESCORIANTES E TERMICOS PROVENIENTES DE OPERACOES DE SOLDAGEM E PROCESSOS SIMILARES.|1|54|4|EQUIP PROT IND, INST MAT P/ SINAL, CONTR, COMB ...|MAN|Padrão|4|0|0|Ativo|</t>
        </r>
      </text>
    </comment>
    <comment ref="X858" authorId="0" shapeId="0" xr:uid="{00000000-0006-0000-0000-0000BA030000}">
      <text>
        <r>
          <rPr>
            <sz val="10"/>
            <color indexed="81"/>
            <rFont val="Lucida Console"/>
            <family val="3"/>
          </rPr>
          <t>137053|PROTETOR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SONORA|1|54|4|EQUIP PROT IND, INST MAT P/ SINAL, CONTR, COMB ...|MAN|Padrão|4|0|0|Ativo|</t>
        </r>
      </text>
    </comment>
    <comment ref="X859" authorId="0" shapeId="0" xr:uid="{00000000-0006-0000-0000-0000BB030000}">
      <text>
        <r>
          <rPr>
            <sz val="10"/>
            <color indexed="81"/>
            <rFont val="Lucida Console"/>
            <family val="3"/>
          </rPr>
          <t>137019|PROTETOR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SONORA|1|54|4|EQUIP PROT IND, INST MAT P/ SINAL, CONTR, COMB ...|MAN|Padrão|4|0|0|Ativo|</t>
        </r>
      </text>
    </comment>
    <comment ref="X860" authorId="0" shapeId="0" xr:uid="{00000000-0006-0000-0000-0000BC030000}">
      <text>
        <r>
          <rPr>
            <sz val="10"/>
            <color indexed="81"/>
            <rFont val="Lucida Console"/>
            <family val="3"/>
          </rPr>
          <t>136859|PROTETOR FACIAL INCOLOR TIPO BOLHA|1|54|4|EQUIP PROT IND, INST MAT P/ SINAL, CONTR, COMB ...|MAN|Padrão|4|0|0|Ativo|</t>
        </r>
      </text>
    </comment>
    <comment ref="X861" authorId="0" shapeId="0" xr:uid="{00000000-0006-0000-0000-0000BD030000}">
      <text>
        <r>
          <rPr>
            <sz val="10"/>
            <color indexed="81"/>
            <rFont val="Lucida Console"/>
            <family val="3"/>
          </rPr>
          <t>136818|RESPIRADOR PURIFICADOR DE AR TIPO PECA SEMIFACIAL FILTRANTE PARA PARTICULAS PFF2, COM VALVULA DE EXALACAO, TIRANTES ELASTICOS FIXADOS AO EQUIPAMENTO E MOLDADOR NASAL.|1|54|4|EQUIP PROT IND, INST MAT P/ SINAL, CONTR, COMB ...|MAN|Padrão|4|0|0|Ativo|</t>
        </r>
      </text>
    </comment>
    <comment ref="A862" authorId="0" shapeId="0" xr:uid="{00000000-0006-0000-0000-0000BE030000}">
      <text>
        <r>
          <rPr>
            <sz val="10"/>
            <color indexed="81"/>
            <rFont val="Lucida Console"/>
            <family val="3"/>
          </rPr>
          <t>Mantido o valor anterior</t>
        </r>
      </text>
    </comment>
    <comment ref="X862" authorId="0" shapeId="0" xr:uid="{00000000-0006-0000-0000-0000BF030000}">
      <text>
        <r>
          <rPr>
            <sz val="10"/>
            <color indexed="81"/>
            <rFont val="Lucida Console"/>
            <family val="3"/>
          </rPr>
          <t>66308|ARTICULADOR PARA INFRAVERMELHO COM PARAFUSO|1|54|16|EQUIP PROT IND, INST MAT P/ SINAL, CONTR, COMB ...|MAN|Padrão|4||0|Ativo|</t>
        </r>
      </text>
    </comment>
    <comment ref="A863" authorId="0" shapeId="0" xr:uid="{00000000-0006-0000-0000-0000C0030000}">
      <text>
        <r>
          <rPr>
            <sz val="10"/>
            <color indexed="81"/>
            <rFont val="Lucida Console"/>
            <family val="3"/>
          </rPr>
          <t>Mantido o valor anterior</t>
        </r>
      </text>
    </comment>
    <comment ref="X863" authorId="0" shapeId="0" xr:uid="{00000000-0006-0000-0000-0000C1030000}">
      <text>
        <r>
          <rPr>
            <sz val="10"/>
            <color indexed="81"/>
            <rFont val="Lucida Console"/>
            <family val="3"/>
          </rPr>
          <t>128305|BATERIA DE 12 V E 7 A DO TIPO GELATINOSA|1|54|16|EQUIP PROT IND, INST MAT P/ SINAL, CONTR, COMB ...|MAN|Padrão|4||0|Ativo|</t>
        </r>
      </text>
    </comment>
    <comment ref="X864" authorId="0" shapeId="0" xr:uid="{00000000-0006-0000-0000-0000C2030000}">
      <text>
        <r>
          <rPr>
            <sz val="10"/>
            <color indexed="81"/>
            <rFont val="Lucida Console"/>
            <family val="3"/>
          </rPr>
          <t>105113|CAMISA DE BRIM, N° 1, CONFECCIONADA EM TECIDO 100% ALGODAO, NA COR AZUL MARINHO.|1|54|19|EQUIP PROT IND, INST MAT P/ SINAL, CONTR, COMB ...|MAN|Padrão|4|0|0|Ativo|</t>
        </r>
      </text>
    </comment>
    <comment ref="X865" authorId="0" shapeId="0" xr:uid="{00000000-0006-0000-0000-0000C3030000}">
      <text>
        <r>
          <rPr>
            <sz val="10"/>
            <color indexed="81"/>
            <rFont val="Lucida Console"/>
            <family val="3"/>
          </rPr>
          <t>105709|CONFECCAO DE CAMISA DE BRIM, N° 7|1|54|19|EQUIP PROT IND, INST MAT P/ SINAL, CONTR, COMB ...|MAN|Padrão|4|0|0|Ativo|</t>
        </r>
      </text>
    </comment>
    <comment ref="A866" authorId="0" shapeId="0" xr:uid="{00000000-0006-0000-0000-0000C4030000}">
      <text>
        <r>
          <rPr>
            <sz val="10"/>
            <color indexed="81"/>
            <rFont val="Lucida Console"/>
            <family val="3"/>
          </rPr>
          <t>Mantido o valor anterior</t>
        </r>
      </text>
    </comment>
    <comment ref="X866" authorId="0" shapeId="0" xr:uid="{00000000-0006-0000-0000-0000C5030000}">
      <text>
        <r>
          <rPr>
            <sz val="10"/>
            <color indexed="81"/>
            <rFont val="Lucida Console"/>
            <family val="3"/>
          </rPr>
          <t>102814|MASCARA MOD DOBRAVEL|1|54|19|EQUIP PROT IND, INST MAT P/ SINAL, CONTR, COMB ...|MAN|Padrão|4||0|Ativo|</t>
        </r>
      </text>
    </comment>
    <comment ref="X867" authorId="0" shapeId="0" xr:uid="{00000000-0006-0000-0000-0000C6030000}">
      <text>
        <r>
          <rPr>
            <sz val="10"/>
            <color indexed="81"/>
            <rFont val="Lucida Console"/>
            <family val="3"/>
          </rPr>
          <t>128782|FITA DE BORDO EM PVC, COR BRANCA FOSCA, MEDIDAS 35 X 0,45MM, ROLO COM 300 METROS|1|70|47|FERRAMENTAS MAQ.FERRAMENTAS,ELETR.PECAS E ACESSORI|MAN|Padrão|4||0|Ativo|</t>
        </r>
      </text>
    </comment>
    <comment ref="X868" authorId="0" shapeId="0" xr:uid="{00000000-0006-0000-0000-0000C7030000}">
      <text>
        <r>
          <rPr>
            <sz val="10"/>
            <color indexed="81"/>
            <rFont val="Lucida Console"/>
            <family val="3"/>
          </rPr>
          <t>13101|LIXA P/ FERRO E METAIS EM FOLHA DE 225 X 275 MM N° 36|1|83|2|ABRASIVOS|MAN|Padrão|4|17|68|Ativo|</t>
        </r>
      </text>
    </comment>
    <comment ref="X869" authorId="0" shapeId="0" xr:uid="{00000000-0006-0000-0000-0000C8030000}">
      <text>
        <r>
          <rPr>
            <sz val="10"/>
            <color indexed="81"/>
            <rFont val="Lucida Console"/>
            <family val="3"/>
          </rPr>
          <t>109986|DISCO DE CORTE 14" X 3/16" X 1"||83|4|ABRASIVOS|MAN|Padrão|4|10|40|Ativo|</t>
        </r>
      </text>
    </comment>
    <comment ref="X870" authorId="0" shapeId="0" xr:uid="{00000000-0006-0000-0000-0000C9030000}">
      <text>
        <r>
          <rPr>
            <sz val="10"/>
            <color indexed="81"/>
            <rFont val="Lucida Console"/>
            <family val="3"/>
          </rPr>
          <t>17562|DISCO DE DESBASTE 7" X 1/4" X 7/8"|1|83|8|ABRASIVOS|MAN|Padrão|4|17|68|Ativo|</t>
        </r>
      </text>
    </comment>
    <comment ref="X871" authorId="0" shapeId="0" xr:uid="{00000000-0006-0000-0000-0000CA030000}">
      <text>
        <r>
          <rPr>
            <sz val="10"/>
            <color indexed="81"/>
            <rFont val="Lucida Console"/>
            <family val="3"/>
          </rPr>
          <t>13199|DOBRADICA DE FERRO POLIDO 2.1/2"|1|51|8|MAT.E EQUIP. P/ CONSTR.CIVIL E CONSERV. DE VIAS PUBL.|MCO|Padrão|4|25|100|Ativo|</t>
        </r>
      </text>
    </comment>
    <comment ref="X872" authorId="0" shapeId="0" xr:uid="{00000000-0006-0000-0000-0000CB030000}">
      <text>
        <r>
          <rPr>
            <sz val="10"/>
            <color indexed="81"/>
            <rFont val="Lucida Console"/>
            <family val="3"/>
          </rPr>
          <t>40086|TELHA DE BARRO COZIDO - TIPO ROMANA|1|51|17|MAT.E EQUIP. P/ CONSTR.CIVIL E CONSERV. DE VIAS PUBL.|MCO|Padrão|4|21|84|Ativo|</t>
        </r>
      </text>
    </comment>
    <comment ref="X873" authorId="0" shapeId="0" xr:uid="{00000000-0006-0000-0000-0000CC030000}">
      <text>
        <r>
          <rPr>
            <sz val="10"/>
            <color indexed="81"/>
            <rFont val="Lucida Console"/>
            <family val="3"/>
          </rPr>
          <t>52946|CAIXILHO DE FERRO PERFILADO, BASCULANTE - MEDIDAS: 0,80 X 0,60M||51|26|MAT.E EQUIP. P/ CONSTR.CIVIL E CONSERV. DE VIAS PUBL.|MCO|Padrão|4|6|24|Ativo|</t>
        </r>
      </text>
    </comment>
    <comment ref="X874" authorId="0" shapeId="0" xr:uid="{00000000-0006-0000-0000-0000CD030000}">
      <text>
        <r>
          <rPr>
            <sz val="10"/>
            <color indexed="81"/>
            <rFont val="Lucida Console"/>
            <family val="3"/>
          </rPr>
          <t>78303|PIA DE ACO INOX COM 01 CUBA, MEDINDO 1,50 M DE COMP. E LARGURA MINIMA DE 53 CM|1|51|36|MAT.E EQUIP. P/ CONSTR.CIVIL E CONSERV. DE VIAS PUBL.|MCO|Padrão|4||0|Ativo|</t>
        </r>
      </text>
    </comment>
    <comment ref="X875" authorId="0" shapeId="0" xr:uid="{00000000-0006-0000-0000-0000CE030000}">
      <text>
        <r>
          <rPr>
            <sz val="10"/>
            <color indexed="81"/>
            <rFont val="Lucida Console"/>
            <family val="3"/>
          </rPr>
          <t>76430|PIA DE ACO INOX, 1 CUBA - 2,00 X 0,53M|1|51|36|MAT.E EQUIP. P/ CONSTR.CIVIL E CONSERV. DE VIAS PUBL.|MCO|Padrão|4||0|Ativo|</t>
        </r>
      </text>
    </comment>
    <comment ref="X876" authorId="0" shapeId="0" xr:uid="{00000000-0006-0000-0000-0000CF030000}">
      <text>
        <r>
          <rPr>
            <sz val="10"/>
            <color indexed="81"/>
            <rFont val="Lucida Console"/>
            <family val="3"/>
          </rPr>
          <t>110896|INTERRUPTOR 10A X 250V INTERNO C/ 03 TECLAS PARALELAS C/ PLACA 4 X 2.|1|55|7|EQUIP. MAT. P/ GERACAO, TRANSM. DISTR. RETIF...|MEL|Padrão|4|5|20|Ativo|</t>
        </r>
      </text>
    </comment>
    <comment ref="X877" authorId="0" shapeId="0" xr:uid="{00000000-0006-0000-0000-0000D0030000}">
      <text>
        <r>
          <rPr>
            <sz val="10"/>
            <color indexed="81"/>
            <rFont val="Lucida Console"/>
            <family val="3"/>
          </rPr>
          <t>45637|CHAVE BOIA INFERIOR 15 A (CONTROLE DE NIVEL AUTOMATICO)|1|55|9|EQUIP. MAT. P/ GERACAO, TRANSM. DISTR. RETIF...|MEL|Padrão|4|2|8|Ativo|</t>
        </r>
      </text>
    </comment>
    <comment ref="X878" authorId="0" shapeId="0" xr:uid="{00000000-0006-0000-0000-0000D1030000}">
      <text>
        <r>
          <rPr>
            <sz val="9"/>
            <color indexed="81"/>
            <rFont val="Segoe UI"/>
            <family val="2"/>
          </rPr>
          <t>140047|CABO (FLEXIVEL), ENCORDOAMENTO CLASSE 5, SECAO 120,0 MM²  COR VERDE, ISOLACAO NAO HALOGENADO 70ºC, 450/750 V  ANTI-CHAMA, CONFORME NBR VIGENTE E CERTIFICACAO COMPULSORIA INMETRO. ROLO COM 100 METROS.CARACTERISTICAS E NORMA TECNICA LITOGRAFADAS NO MATERIAL.|1|55|19|EQUIP. MAT. P/ GERACAO, TRANSM. DISTR. RETIF...|MEL|Padrão|4|0|0|Ativo|</t>
        </r>
      </text>
    </comment>
    <comment ref="A879" authorId="0" shapeId="0" xr:uid="{00000000-0006-0000-0000-0000D2030000}">
      <text>
        <r>
          <rPr>
            <sz val="10"/>
            <color indexed="81"/>
            <rFont val="Lucida Console"/>
            <family val="3"/>
          </rPr>
          <t>Mantido o valor anterior</t>
        </r>
      </text>
    </comment>
    <comment ref="X879" authorId="0" shapeId="0" xr:uid="{00000000-0006-0000-0000-0000D3030000}">
      <text>
        <r>
          <rPr>
            <sz val="10"/>
            <color indexed="81"/>
            <rFont val="Lucida Console"/>
            <family val="3"/>
          </rPr>
          <t>114928|CABO 04 VIAS DE CORES DIFERENTES (4 X 60)|1|55|19|EQUIP. MAT. P/ GERACAO, TRANSM. DISTR. RETIF...|MEL|Padrão|4||0|Ativo|</t>
        </r>
      </text>
    </comment>
    <comment ref="X880" authorId="0" shapeId="0" xr:uid="{00000000-0006-0000-0000-0000D4030000}">
      <text>
        <r>
          <rPr>
            <sz val="10"/>
            <color indexed="81"/>
            <rFont val="Lucida Console"/>
            <family val="3"/>
          </rPr>
          <t>110889|CABO DE COBRE FLEXIVEL BITOLA 150 MM²,  0,6/1 KV ISOLACAO DE PVC 70° C, COR PRETA - ANTI-CHAMA|1|55|19|EQUIP. MAT. P/ GERACAO, TRANSM. DISTR. RETIF...|MEL|Padrão|4|0|0|Ativo|</t>
        </r>
      </text>
    </comment>
    <comment ref="X881" authorId="0" shapeId="0" xr:uid="{00000000-0006-0000-0000-0000D5030000}">
      <text>
        <r>
          <rPr>
            <sz val="10"/>
            <color indexed="81"/>
            <rFont val="Lucida Console"/>
            <family val="3"/>
          </rPr>
          <t>123370|CABO DE COBRE FLEXIVEL BITOLA 185 MM2 , ISOLACAO 0,6/1 KV, COR PRETA - ANTICHAMA|1|55|19|EQUIP. MAT. P/ GERACAO, TRANSM. DISTR. RETIF...|MEL|Padrão|4|0|0|Ativo|</t>
        </r>
      </text>
    </comment>
    <comment ref="X882" authorId="0" shapeId="0" xr:uid="{00000000-0006-0000-0000-0000D6030000}">
      <text>
        <r>
          <rPr>
            <sz val="10"/>
            <color indexed="81"/>
            <rFont val="Lucida Console"/>
            <family val="3"/>
          </rPr>
          <t>129960|CABO DE COBRE FLEXIVEL BITOLA 240MM², 750 V, ISOLACAO DE PVC - 70°C - COR AZUL-CLARO|1|55|19|EQUIP. MAT. P/ GERACAO, TRANSM. DISTR. RETIF...|MEL|Padrão|4|5|20|Ativo|</t>
        </r>
      </text>
    </comment>
    <comment ref="X883" authorId="0" shapeId="0" xr:uid="{00000000-0006-0000-0000-0000D7030000}">
      <text>
        <r>
          <rPr>
            <sz val="10"/>
            <color indexed="81"/>
            <rFont val="Lucida Console"/>
            <family val="3"/>
          </rPr>
          <t>123372|CABO DE COBRE FLEXIVEL BITOLA 95 MM2 , ISOLACAO 0,6/1 KV, COR AZUL - ANTICHAMA|1|55|19|EQUIP. MAT. P/ GERACAO, TRANSM. DISTR. RETIF...|MEL|Padrão|4|30|120|Ativo|</t>
        </r>
      </text>
    </comment>
    <comment ref="X884" authorId="0" shapeId="0" xr:uid="{00000000-0006-0000-0000-0000D8030000}">
      <text>
        <r>
          <rPr>
            <sz val="9"/>
            <color indexed="81"/>
            <rFont val="Segoe UI"/>
            <family val="2"/>
          </rPr>
          <t>140061|CABO FLEXIVEL, ENCORDOAMENTO CLASSE 5, SECAO 120,00 MM²  COR PRETA, ISOLACAO HEPR 90ºC, 0,6/1KV E COBERTURA NAO HALOGENADA,  ANTI-CHAMA CONFORME NBR VIGENTE E CERTIFICACAO COMPULSORIA INMETRO.CARACTERISTICAS E NORMA TECNICA LITOGRAFADAS NO MATERIAL.|1|55|19|EQUIP. MAT. P/ GERACAO, TRANSM. DISTR. RETIF...|MEL|Padrão|4|0|0|Ativo|</t>
        </r>
      </text>
    </comment>
    <comment ref="X885" authorId="0" shapeId="0" xr:uid="{00000000-0006-0000-0000-0000D9030000}">
      <text>
        <r>
          <rPr>
            <sz val="9"/>
            <color indexed="81"/>
            <rFont val="Segoe UI"/>
            <family val="2"/>
          </rPr>
          <t>140242|CABO FLEXIVEL, ENCORDOAMENTO CLASSE 5, SECAO 25,00 MM²  COR AZUL CLARO, ISOLACAO HEPR 90ºC, 0,6/1KV E COBERTURA NAO HALOGENADA,  ANTI-CHAMA CONFORME NBR VIGENTE E CERTIFICACAO COMPULSORIA INMETRO.CARACTERISTICAS E NORMA TECNICA LITOGRAFADAS NO MATERIAL.|1|55|19|EQUIP. MAT. P/ GERACAO, TRANSM. DISTR. RETIF...|MEL|Padrão|4|0|0|Ativo|</t>
        </r>
      </text>
    </comment>
    <comment ref="X886" authorId="0" shapeId="0" xr:uid="{00000000-0006-0000-0000-0000DA030000}">
      <text>
        <r>
          <rPr>
            <sz val="9"/>
            <color indexed="81"/>
            <rFont val="Segoe UI"/>
            <family val="2"/>
          </rPr>
          <t>140125|CABO FLEXIVEL, ENCORDOAMENTO CLASSE 5, SECAO 95,00 MM²  COR VERDE, ISOLACAO HEPR 90ºC, 0,6/1KV E COBERTURA NAO HALOGENADA,  ANTI-CHAMA CONFORME NBR VIGENTE E CERTIFICACAO COMPULSORIA INMETRO.|1|55|19|EQUIP. MAT. P/ GERACAO, TRANSM. DISTR. RETIF...|MEL|Padrão|4|0|0|Ativo|</t>
        </r>
      </text>
    </comment>
    <comment ref="X887" authorId="0" shapeId="0" xr:uid="{00000000-0006-0000-0000-0000DB030000}">
      <text>
        <r>
          <rPr>
            <sz val="10"/>
            <color indexed="81"/>
            <rFont val="Lucida Console"/>
            <family val="3"/>
          </rPr>
          <t>88731|DISJUNTOR NORMA DIN CURVA C PADRAO, TRIPOLAR, 10 AMPERES|1|55|26|EQUIP. MAT. P/ GERACAO, TRANSM. DISTR. RETIF...|MEL|Padrão|4||0|Ativo|</t>
        </r>
      </text>
    </comment>
    <comment ref="X888" authorId="0" shapeId="0" xr:uid="{00000000-0006-0000-0000-0000DC030000}">
      <text>
        <r>
          <rPr>
            <sz val="10"/>
            <color indexed="81"/>
            <rFont val="Lucida Console"/>
            <family val="3"/>
          </rPr>
          <t>93488|INTERRUPTOR DIFERENCIAL RESIDUAL TETRAPOLAR ELETROMECANICO NORMA IEC 61008 TENSAO MINIMA 240V CORRENTE NOMINAL 80 AMPERES SENSIBILIDADE 30 MA|1|55|26|EQUIP. MAT. P/ GERACAO, TRANSM. DISTR. RETIF...|MEL|Padrão|4|1|4|Ativo|</t>
        </r>
      </text>
    </comment>
    <comment ref="X889" authorId="0" shapeId="0" xr:uid="{00000000-0006-0000-0000-0000DD030000}">
      <text>
        <r>
          <rPr>
            <sz val="10"/>
            <color indexed="81"/>
            <rFont val="Lucida Console"/>
            <family val="3"/>
          </rPr>
          <t>113238|KIT BARRAMENTO CONTENDO: BARRAMENTO TRIFASICO DE COBRE CHATO ELETROLITICO 250 A|1|55|27|EQUIP. MAT. P/ GERACAO, TRANSM. DISTR. RETIF...|MEL|Padrão|4||0|Ativo|</t>
        </r>
      </text>
    </comment>
    <comment ref="X890" authorId="0" shapeId="0" xr:uid="{00000000-0006-0000-0000-0000DE030000}">
      <text>
        <r>
          <rPr>
            <sz val="10"/>
            <color indexed="81"/>
            <rFont val="Lucida Console"/>
            <family val="3"/>
          </rPr>
          <t>37519|ROLDANA PLASTICA P/ FIXACAO DE FIOS ELETRICOS - 24 X 24 - C|1|55|27|EQUIP. MAT. P/ GERACAO, TRANSM. DISTR. RETIF...|MEL|Padrão|4||0|Ativo|</t>
        </r>
      </text>
    </comment>
    <comment ref="X891" authorId="0" shapeId="0" xr:uid="{00000000-0006-0000-0000-0000DF030000}">
      <text>
        <r>
          <rPr>
            <sz val="10"/>
            <color indexed="81"/>
            <rFont val="Lucida Console"/>
            <family val="3"/>
          </rPr>
          <t>37518|ROLDANA PLASTICA P/ FIXACAO DE FIOS ELETRICOS - 30 X 30 - C|1|55|27|EQUIP. MAT. P/ GERACAO, TRANSM. DISTR. RETIF...|MEL|Padrão|4|5|20|Ativo|</t>
        </r>
      </text>
    </comment>
    <comment ref="X892" authorId="0" shapeId="0" xr:uid="{00000000-0006-0000-0000-0000E0030000}">
      <text>
        <r>
          <rPr>
            <sz val="10"/>
            <color indexed="81"/>
            <rFont val="Lucida Console"/>
            <family val="3"/>
          </rPr>
          <t>114771|DISTRIBUIDOR GERAL PARA TELEFONIA|1|55|31|EQUIP. MAT. P/ GERACAO, TRANSM. DISTR. RETIF...|MEL|Padrão|4|1|4|Ativo|</t>
        </r>
      </text>
    </comment>
    <comment ref="X893" authorId="0" shapeId="0" xr:uid="{00000000-0006-0000-0000-0000E1030000}">
      <text>
        <r>
          <rPr>
            <sz val="10"/>
            <color indexed="81"/>
            <rFont val="Lucida Console"/>
            <family val="3"/>
          </rPr>
          <t>99788|BUCHA C/ARRUELA EM ZAMAK P/ELETRODUTO - DIAMETRO 1 1/2"|1|55|32|EQUIP. MAT. P/ GERACAO, TRANSM. DISTR. RETIF...|MEL|Padrão|4||0|Ativo|</t>
        </r>
      </text>
    </comment>
    <comment ref="X894" authorId="0" shapeId="0" xr:uid="{00000000-0006-0000-0000-0000E2030000}">
      <text>
        <r>
          <rPr>
            <sz val="10"/>
            <color indexed="81"/>
            <rFont val="Lucida Console"/>
            <family val="3"/>
          </rPr>
          <t>31580|LUVA EM ACO CARBONO GALVANIZADO P/ ELETRODUTO 2" - ROSQUEAV|1|55|32|EQUIP. MAT. P/ GERACAO, TRANSM. DISTR. RETIF...|MEL|Padrão|4||0|Ativo|</t>
        </r>
      </text>
    </comment>
    <comment ref="X895" authorId="0" shapeId="0" xr:uid="{00000000-0006-0000-0000-0000E3030000}">
      <text>
        <r>
          <rPr>
            <sz val="10"/>
            <color indexed="81"/>
            <rFont val="Lucida Console"/>
            <family val="3"/>
          </rPr>
          <t>15271|CONECTOR A PRESSAO TIPO SPLIT BOLT-SIMPLES/SIMPLES P/ 2|1|55|34|EQUIP. MAT. P/ GERACAO, TRANSM. DISTR. RETIF...|MEL|Padrão|4|5|20|Ativo|</t>
        </r>
      </text>
    </comment>
    <comment ref="X896" authorId="0" shapeId="0" xr:uid="{00000000-0006-0000-0000-0000E4030000}">
      <text>
        <r>
          <rPr>
            <sz val="10"/>
            <color indexed="81"/>
            <rFont val="Lucida Console"/>
            <family val="3"/>
          </rPr>
          <t>15464|CONECTOR A PRESSAO TIPO SPLIT BOLT-SIMPLES/SIMPLES P/ 2|1|55|34|EQUIP. MAT. P/ GERACAO, TRANSM. DISTR. RETIF...|MEL|Padrão|4|5|20|Ativo|</t>
        </r>
      </text>
    </comment>
    <comment ref="X897" authorId="0" shapeId="0" xr:uid="{00000000-0006-0000-0000-0000E5030000}">
      <text>
        <r>
          <rPr>
            <sz val="10"/>
            <color indexed="81"/>
            <rFont val="Lucida Console"/>
            <family val="3"/>
          </rPr>
          <t>15267|CONECTOR TIPO SPLIT BOLT-SIMPLES/SIMPLES P/ 2 CABOS DE COBRE DE 10MM2|1|55|34|EQUIP. MAT. P/ GERACAO, TRANSM. DISTR. RETIF...|MEL|Padrão|4|17|68|Ativo|</t>
        </r>
      </text>
    </comment>
    <comment ref="X898" authorId="0" shapeId="0" xr:uid="{00000000-0006-0000-0000-0000E6030000}">
      <text>
        <r>
          <rPr>
            <sz val="10"/>
            <color indexed="81"/>
            <rFont val="Lucida Console"/>
            <family val="3"/>
          </rPr>
          <t>77493|CONECTOR TIPO SPLIT BOLT-SIMPLES/SIMPLES P/ 2 CABOS DE COBRE DE 120 MM2|1|55|34|EQUIP. MAT. P/ GERACAO, TRANSM. DISTR. RETIF...|MEL|Padrão|4|2|8|Ativo|</t>
        </r>
      </text>
    </comment>
    <comment ref="X899" authorId="0" shapeId="0" xr:uid="{00000000-0006-0000-0000-0000E7030000}">
      <text>
        <r>
          <rPr>
            <sz val="10"/>
            <color indexed="81"/>
            <rFont val="Lucida Console"/>
            <family val="3"/>
          </rPr>
          <t>15465|CONECTOR TIPO SPLIT BOLT-SIMPLES/SIMPLES P/ 2 CABOS DE COBRE DE 240MM2|1|55|34|EQUIP. MAT. P/ GERACAO, TRANSM. DISTR. RETIF...|MEL|Padrão|4|5|20|Ativo|</t>
        </r>
      </text>
    </comment>
    <comment ref="X900" authorId="0" shapeId="0" xr:uid="{00000000-0006-0000-0000-0000E8030000}">
      <text>
        <r>
          <rPr>
            <sz val="10"/>
            <color indexed="81"/>
            <rFont val="Lucida Console"/>
            <family val="3"/>
          </rPr>
          <t>15469|CONECTOR TIPO SPLIT BOLT-SIMPLES/SIMPLES P/ 2 CABOS DE COBRE DE 50MM2|1|55|34|EQUIP. MAT. P/ GERACAO, TRANSM. DISTR. RETIF...|MEL|Padrão|4|3|12|Ativo|</t>
        </r>
      </text>
    </comment>
    <comment ref="X901" authorId="0" shapeId="0" xr:uid="{00000000-0006-0000-0000-0000E9030000}">
      <text>
        <r>
          <rPr>
            <sz val="10"/>
            <color indexed="81"/>
            <rFont val="Lucida Console"/>
            <family val="3"/>
          </rPr>
          <t>15473|CONECTOR TIPO SPLIT BOLT-SIMPLES/SIMPLES P/ 2 CABOS DE COBRE DE 70MM2|1|55|34|EQUIP. MAT. P/ GERACAO, TRANSM. DISTR. RETIF...|MEL|Padrão|4|5|20|Ativo|</t>
        </r>
      </text>
    </comment>
    <comment ref="X902" authorId="0" shapeId="0" xr:uid="{00000000-0006-0000-0000-0000EA030000}">
      <text>
        <r>
          <rPr>
            <sz val="10"/>
            <color indexed="81"/>
            <rFont val="Lucida Console"/>
            <family val="3"/>
          </rPr>
          <t>15475|CONECTOR TIPO SPLIT BOLT-SIMPLES/SIMPLES P/2 CABOS DE COBRE DE 95 MM2|1|55|34|EQUIP. MAT. P/ GERACAO, TRANSM. DISTR. RETIF...|MEL|Padrão|4|2|8|Ativo|</t>
        </r>
      </text>
    </comment>
    <comment ref="X903" authorId="0" shapeId="0" xr:uid="{00000000-0006-0000-0000-0000EB030000}">
      <text>
        <r>
          <rPr>
            <sz val="10"/>
            <color indexed="81"/>
            <rFont val="Lucida Console"/>
            <family val="3"/>
          </rPr>
          <t>110892|TERMINAL A COMPRESSAO REFORCADO P/ 1 CABO DE COBRE 150MM2 C/ 1 FURO DE FIXACAO|1|55|35|EQUIP. MAT. P/ GERACAO, TRANSM. DISTR. RETIF...|MEL|Padrão|4|0|0|Ativo|</t>
        </r>
      </text>
    </comment>
    <comment ref="X904" authorId="0" shapeId="0" xr:uid="{00000000-0006-0000-0000-0000EC030000}">
      <text>
        <r>
          <rPr>
            <sz val="10"/>
            <color indexed="81"/>
            <rFont val="Lucida Console"/>
            <family val="3"/>
          </rPr>
          <t>110893|TERMINAL A COMPRESSAO REFORCADO P/ 1 CABO DE COBRE 95 MM2 C/ 1 FURO DE FIXACAO|1|55|35|EQUIP. MAT. P/ GERACAO, TRANSM. DISTR. RETIF...|MEL|Padrão|4|0|0|Ativo|</t>
        </r>
      </text>
    </comment>
    <comment ref="X905" authorId="0" shapeId="0" xr:uid="{00000000-0006-0000-0000-0000ED030000}">
      <text>
        <r>
          <rPr>
            <sz val="10"/>
            <color indexed="81"/>
            <rFont val="Lucida Console"/>
            <family val="3"/>
          </rPr>
          <t>15648|TERMINAL A PRESSAO REFORCADO P/ 1 CABO DE COBRE 50MM2 C/ 1|1|55|35|EQUIP. MAT. P/ GERACAO, TRANSM. DISTR. RETIF...|MEL|Padrão|4||0|Ativo|</t>
        </r>
      </text>
    </comment>
    <comment ref="X906" authorId="0" shapeId="0" xr:uid="{00000000-0006-0000-0000-0000EE030000}">
      <text>
        <r>
          <rPr>
            <sz val="10"/>
            <color indexed="81"/>
            <rFont val="Lucida Console"/>
            <family val="3"/>
          </rPr>
          <t>15656|TERMINAL A PRESSAO REFORCADO P/ 1 CABO DE COBRE 95MM2 C/ 1|1|55|35|EQUIP. MAT. P/ GERACAO, TRANSM. DISTR. RETIF...|MEL|Padrão|4|9|36|Ativo|</t>
        </r>
      </text>
    </comment>
    <comment ref="X907" authorId="0" shapeId="0" xr:uid="{00000000-0006-0000-0000-0000EF030000}">
      <text>
        <r>
          <rPr>
            <sz val="10"/>
            <color indexed="81"/>
            <rFont val="Lucida Console"/>
            <family val="3"/>
          </rPr>
          <t>15672|TERMINAL DE COMPRESSAO TIPO OLHAL P/ CABO DE COBRE 240MM2|1|55|35|EQUIP. MAT. P/ GERACAO, TRANSM. DISTR. RETIF...|MEL|Padrão|4|5|20|Ativo|</t>
        </r>
      </text>
    </comment>
    <comment ref="X908" authorId="0" shapeId="0" xr:uid="{00000000-0006-0000-0000-0000F0030000}">
      <text>
        <r>
          <rPr>
            <sz val="10"/>
            <color indexed="81"/>
            <rFont val="Lucida Console"/>
            <family val="3"/>
          </rPr>
          <t>132751|FITA PET VIRGEM (ALTA RESISTENCIA) 16MM X 0,80MM, UTILIZADA EM SELADOR ELETRICO, ROLO COM 20KG  - APROXIMADO. 1180 MTS|1|55|40|EQUIP. MAT. P/ GERACAO, TRANSM. DISTR. RETIF...|MEL|Padrão|4|0|0|Ativo|</t>
        </r>
      </text>
    </comment>
    <comment ref="X909" authorId="0" shapeId="0" xr:uid="{00000000-0006-0000-0000-0000F1030000}">
      <text>
        <r>
          <rPr>
            <sz val="10"/>
            <color indexed="81"/>
            <rFont val="Lucida Console"/>
            <family val="3"/>
          </rPr>
          <t>108697|LUMINARIA TIPO ARANDELA,|1|55|48|EQUIP. MAT. P/ GERACAO, TRANSM. DISTR. RETIF...|MEL|Padrão|4|1|4|Ativo|</t>
        </r>
      </text>
    </comment>
    <comment ref="X910" authorId="0" shapeId="0" xr:uid="{00000000-0006-0000-0000-0000F2030000}">
      <text>
        <r>
          <rPr>
            <sz val="10"/>
            <color indexed="81"/>
            <rFont val="Lucida Console"/>
            <family val="3"/>
          </rPr>
          <t>130614|OLEO LUBRIFICANTE PARA MOTORES 2 TEMPOS, PROPORCAO DE MISTURA DE NO MINIMO 1:50, FRASCO COM 500 ML. DEVERA ESTAR GRAVADO NA EMBALAGEM A PROPORCAO DE DILUICAO DO PRODUTO|1|75|5|OLEOS LUBRIF.,GRAXAS,CORTANTES,FLUIDOS HIDRAULICOS|MFR|Padrão|4|1|4|Ativo|</t>
        </r>
      </text>
    </comment>
    <comment ref="X911" authorId="0" shapeId="0" xr:uid="{00000000-0006-0000-0000-0000F3030000}">
      <text>
        <r>
          <rPr>
            <sz val="10"/>
            <color indexed="81"/>
            <rFont val="Lucida Console"/>
            <family val="3"/>
          </rPr>
          <t>71874|ROLAMENTO - 6201 ZZ|1|89|12|PEC.P/ VEICULO DE USO ESPECIAL E BATERIASROLAMENTO|MFR|Padrão|4|0|0|Ativo|</t>
        </r>
      </text>
    </comment>
    <comment ref="X912" authorId="0" shapeId="0" xr:uid="{00000000-0006-0000-0000-0000F4030000}">
      <text>
        <r>
          <rPr>
            <sz val="10"/>
            <color indexed="81"/>
            <rFont val="Lucida Console"/>
            <family val="3"/>
          </rPr>
          <t>118246|ROLAMENTO 6000 - 2 RS|1|89|12|PEC.P/ VEICULO DE USO ESPECIAL E BATERIASROLAMENTO|MFR|Padrão|4|2|8|Ativo|</t>
        </r>
      </text>
    </comment>
    <comment ref="X913" authorId="0" shapeId="0" xr:uid="{00000000-0006-0000-0000-0000F5030000}">
      <text>
        <r>
          <rPr>
            <sz val="10"/>
            <color indexed="81"/>
            <rFont val="Lucida Console"/>
            <family val="3"/>
          </rPr>
          <t>118244|ROLAMENTO 6301 - ZZ|1|89|12|PEC.P/ VEICULO DE USO ESPECIAL E BATERIASROLAMENTO|MFR|Padrão|4|0|0|Ativo|</t>
        </r>
      </text>
    </comment>
    <comment ref="X914" authorId="0" shapeId="0" xr:uid="{00000000-0006-0000-0000-0000F6030000}">
      <text>
        <r>
          <rPr>
            <sz val="10"/>
            <color indexed="81"/>
            <rFont val="Lucida Console"/>
            <family val="3"/>
          </rPr>
          <t>118245|ROLAMENTO 6302 - ZZ|1|89|12|PEC.P/ VEICULO DE USO ESPECIAL E BATERIASROLAMENTO|MFR|Padrão|4||0|Ativo|</t>
        </r>
      </text>
    </comment>
    <comment ref="X915" authorId="0" shapeId="0" xr:uid="{00000000-0006-0000-0000-0000F7030000}">
      <text>
        <r>
          <rPr>
            <sz val="10"/>
            <color indexed="81"/>
            <rFont val="Lucida Console"/>
            <family val="3"/>
          </rPr>
          <t>27761|TUBO DE PVC RIGIDO SOLDAVEL DE 40 MM - 1.1/2" X 06 M|1|61|2|MATERIAL HIDRAULICO, CANOS, TUBOS, MANGUEIRAS, CONEXOES E ACESS.|MHI|Padrão|4||0|Ativo|</t>
        </r>
      </text>
    </comment>
    <comment ref="X916" authorId="0" shapeId="0" xr:uid="{00000000-0006-0000-0000-0000F8030000}">
      <text>
        <r>
          <rPr>
            <sz val="10"/>
            <color indexed="81"/>
            <rFont val="Lucida Console"/>
            <family val="3"/>
          </rPr>
          <t>28181|ADAPTADOR DE PVC RIGIDO DE 2" SOLDAVEL|1|61|8|MATERIAL HIDRAULICO, CANOS, TUBOS, MANGUEIRAS, CONEXOES E ACESS.|MHI|Padrão|4|5|20|Ativo|</t>
        </r>
      </text>
    </comment>
    <comment ref="X917" authorId="0" shapeId="0" xr:uid="{00000000-0006-0000-0000-0000F9030000}">
      <text>
        <r>
          <rPr>
            <sz val="10"/>
            <color indexed="81"/>
            <rFont val="Lucida Console"/>
            <family val="3"/>
          </rPr>
          <t>102776|CURVA LONGA DE ACO P/ELETRODUTO GALVANIZADO A FOGO, 90º - DIAMETRO 2"|1|61|8|MATERIAL HIDRAULICO, CANOS, TUBOS, MANGUEIRAS, CONEXOES E ACESS.|MHI|Padrão|4|0|0|Ativo|</t>
        </r>
      </text>
    </comment>
    <comment ref="X918" authorId="0" shapeId="0" xr:uid="{00000000-0006-0000-0000-0000FA030000}">
      <text>
        <r>
          <rPr>
            <sz val="10"/>
            <color indexed="81"/>
            <rFont val="Lucida Console"/>
            <family val="3"/>
          </rPr>
          <t>40772|LUVA DE PVC RIGIDO SOLDAVEL DE 1.1/4"|1|61|8|MATERIAL HIDRAULICO, CANOS, TUBOS, MANGUEIRAS, CONEXOES E ACESS.|MHI|Padrão|4||0|Ativo|</t>
        </r>
      </text>
    </comment>
    <comment ref="X919" authorId="0" shapeId="0" xr:uid="{00000000-0006-0000-0000-0000FB030000}">
      <text>
        <r>
          <rPr>
            <sz val="10"/>
            <color indexed="81"/>
            <rFont val="Lucida Console"/>
            <family val="3"/>
          </rPr>
          <t>13102|TE DE REDUCAO EM PVC RIGIDO SOLDAVEL 1" X 3/4"|1|61|8|MATERIAL HIDRAULICO, CANOS, TUBOS, MANGUEIRAS, CONEXOES E ACESS.|MHI|Padrão|4|1|4|Ativo|</t>
        </r>
      </text>
    </comment>
    <comment ref="X920" authorId="0" shapeId="0" xr:uid="{00000000-0006-0000-0000-0000FC030000}">
      <text>
        <r>
          <rPr>
            <sz val="10"/>
            <color indexed="81"/>
            <rFont val="Lucida Console"/>
            <family val="3"/>
          </rPr>
          <t>60830|UNIAO PARA TUBO DE POLIETILENO - 3/4"|1|61|8|MATERIAL HIDRAULICO, CANOS, TUBOS, MANGUEIRAS, CONEXOES E ACESS.|MHI|Padrão|4|5|20|Ativo|</t>
        </r>
      </text>
    </comment>
    <comment ref="X921" authorId="0" shapeId="0" xr:uid="{00000000-0006-0000-0000-0000FD030000}">
      <text>
        <r>
          <rPr>
            <sz val="10"/>
            <color indexed="81"/>
            <rFont val="Lucida Console"/>
            <family val="3"/>
          </rPr>
          <t>126838|PARAFUSO MAQUINA CABECA REDONDA 3/8" X 3/4"|1|67|2|PARAFUSOS ELEM. VEDACAO UNIAO CONEX . FIXACAO|MSE|Padrão|4|11|44|Ativo|</t>
        </r>
      </text>
    </comment>
    <comment ref="X922" authorId="0" shapeId="0" xr:uid="{00000000-0006-0000-0000-0000FE030000}">
      <text>
        <r>
          <rPr>
            <sz val="10"/>
            <color indexed="81"/>
            <rFont val="Lucida Console"/>
            <family val="3"/>
          </rPr>
          <t>13021|GRAMPO ISOLANTE FIX-FIO 1,0 A 2,5 MM2  (TIPO MIGUELAO) - CX|1|67|6|PARAFUSOS ELEM. VEDACAO UNIAO CONEX . FIXACAO|MSE|Padrão|4||0|Ativo|</t>
        </r>
      </text>
    </comment>
    <comment ref="X923" authorId="0" shapeId="0" xr:uid="{00000000-0006-0000-0000-0000FF030000}">
      <text>
        <r>
          <rPr>
            <sz val="10"/>
            <color indexed="81"/>
            <rFont val="Lucida Console"/>
            <family val="3"/>
          </rPr>
          <t>24888|PREGO COMUM DE CABECA CHATA - 10 X 10|1|67|6|PARAFUSOS ELEM. VEDACAO UNIAO CONEX . FIXACAO|MSE|Padrão|4|2|8|Ativo|</t>
        </r>
      </text>
    </comment>
    <comment ref="X924" authorId="0" shapeId="0" xr:uid="{00000000-0006-0000-0000-000000040000}">
      <text>
        <r>
          <rPr>
            <sz val="10"/>
            <color indexed="81"/>
            <rFont val="Lucida Console"/>
            <family val="3"/>
          </rPr>
          <t>18337|PREGO COMUM DE CABECA CHATA - 12 X 12||67|6|PARAFUSOS ELEM. VEDACAO UNIAO CONEX . FIXACAO|MSE|Padrão|4|0|0|Ativo|</t>
        </r>
      </text>
    </comment>
    <comment ref="X925" authorId="0" shapeId="0" xr:uid="{00000000-0006-0000-0000-000001040000}">
      <text>
        <r>
          <rPr>
            <sz val="10"/>
            <color indexed="81"/>
            <rFont val="Lucida Console"/>
            <family val="3"/>
          </rPr>
          <t>49858|PREGO DE ACO C/ CABECA - 12 X 12|1|67|6|PARAFUSOS ELEM. VEDACAO UNIAO CONEX . FIXACAO|MSE|Padrão|4|1|4|Ativo|</t>
        </r>
      </text>
    </comment>
    <comment ref="X926" authorId="0" shapeId="0" xr:uid="{00000000-0006-0000-0000-000002040000}">
      <text>
        <r>
          <rPr>
            <sz val="10"/>
            <color indexed="81"/>
            <rFont val="Lucida Console"/>
            <family val="3"/>
          </rPr>
          <t>123349|PINO F25 - CAIXA COM 5.000 PINOS||67|7|PARAFUSOS ELEM. VEDACAO UNIAO CONEX . FIXACAO|MSE|Padrão|4|3|12|Ativo|</t>
        </r>
      </text>
    </comment>
    <comment ref="X927" authorId="0" shapeId="0" xr:uid="{00000000-0006-0000-0000-000003040000}">
      <text>
        <r>
          <rPr>
            <sz val="10"/>
            <color indexed="81"/>
            <rFont val="Lucida Console"/>
            <family val="3"/>
          </rPr>
          <t>123350|PINO F30 - CAIXA COM 5.000 PINOS|1|67|7|PARAFUSOS ELEM. VEDACAO UNIAO CONEX . FIXACAO|MSE|Padrão|4|0|0|Ativo|</t>
        </r>
      </text>
    </comment>
    <comment ref="X928" authorId="0" shapeId="0" xr:uid="{00000000-0006-0000-0000-000004040000}">
      <text>
        <r>
          <rPr>
            <sz val="10"/>
            <color indexed="81"/>
            <rFont val="Lucida Console"/>
            <family val="3"/>
          </rPr>
          <t>131138|PARAFUSO AUTOBROCANTE, 1/4" X 1", COM CABECA SEXTAVADA FLANGEADA E ARRUELA DE EPDM - CAIXA COM 500 UNIDADES|1|67|16|PARAFUSOS ELEM. VEDACAO UNIAO CONEX . FIXACAO|MSE|Padrão|4|0|0|Ativo|</t>
        </r>
      </text>
    </comment>
    <comment ref="X929" authorId="0" shapeId="0" xr:uid="{00000000-0006-0000-0000-000005040000}">
      <text>
        <r>
          <rPr>
            <sz val="10"/>
            <color indexed="81"/>
            <rFont val="Lucida Console"/>
            <family val="3"/>
          </rPr>
          <t>104655|PARAFUSO (FIXER) BICROMATIZADO.|1|67|17|PARAFUSOS ELEM. VEDACAO UNIAO CONEX . FIXACAO|MSE|Padrão|4||0|Ativo|</t>
        </r>
      </text>
    </comment>
    <comment ref="X930" authorId="0" shapeId="0" xr:uid="{00000000-0006-0000-0000-000006040000}">
      <text>
        <r>
          <rPr>
            <sz val="10"/>
            <color indexed="81"/>
            <rFont val="Lucida Console"/>
            <family val="3"/>
          </rPr>
          <t>123132|PERFIL GUIA INFERIOR - MEDIDAS: 100 CM DE LARGURA TOTAL X 2,5 CM DE ALTURA, CHAPA 16 - BARRA COM 3 METROS|1|69|2|METAIS,LAMINAD.,PERFILADOS E ARTEFATOS METALICOS|MSE|Padrão|4|50|200|Ativo|</t>
        </r>
      </text>
    </comment>
    <comment ref="X931" authorId="0" shapeId="0" xr:uid="{00000000-0006-0000-0000-000007040000}">
      <text>
        <r>
          <rPr>
            <sz val="10"/>
            <color indexed="81"/>
            <rFont val="Lucida Console"/>
            <family val="3"/>
          </rPr>
          <t>123131|PERFIL GUIA SUPERIOR 0,50 M DE ALTURA X 0,50 M DE LARGURA DE CIMA X 0,25 M DE LARGURA DE BAIXO X 0,8 DE BERAL, CHAPA 16 - BARRA COM 3 METROS|1|69|2|METAIS,LAMINAD.,PERFILADOS E ARTEFATOS METALICOS|MSE|Padrão|4|67|268|Ativo|</t>
        </r>
      </text>
    </comment>
    <comment ref="X932" authorId="0" shapeId="0" xr:uid="{00000000-0006-0000-0000-000008040000}">
      <text>
        <r>
          <rPr>
            <sz val="10"/>
            <color indexed="81"/>
            <rFont val="Lucida Console"/>
            <family val="3"/>
          </rPr>
          <t>123133|PERFIL TAMPA GUIA SUPERIOR 0,50 M DE LARGURA COM UMA DOBRA DE 0,10 MM, CHAPA 16 - BARRA COM 3 METROS|1|69|2|METAIS,LAMINAD.,PERFILADOS E ARTEFATOS METALICOS|MSE|Padrão|4|50|200|Ativo|</t>
        </r>
      </text>
    </comment>
    <comment ref="X933" authorId="0" shapeId="0" xr:uid="{00000000-0006-0000-0000-000009040000}">
      <text>
        <r>
          <rPr>
            <sz val="10"/>
            <color indexed="81"/>
            <rFont val="Lucida Console"/>
            <family val="3"/>
          </rPr>
          <t>102723|ELETROCALHA LISA C/TAMPA C/FECHAMENTO POR PARAFUSO, GALVANIZADA, P/ELETROCALHA -  100 X 50MM|1|69|5|METAIS,LAMINAD.,PERFILADOS E ARTEFATOS METALICOS|MSE|Padrão|4||0|Ativo|</t>
        </r>
      </text>
    </comment>
    <comment ref="J934" authorId="2" shapeId="0" xr:uid="{00000000-0006-0000-0000-00000A040000}">
      <text>
        <r>
          <rPr>
            <b/>
            <sz val="9"/>
            <color indexed="81"/>
            <rFont val="Segoe UI"/>
            <family val="2"/>
          </rPr>
          <t>Marcos:</t>
        </r>
        <r>
          <rPr>
            <sz val="9"/>
            <color indexed="81"/>
            <rFont val="Segoe UI"/>
            <family val="2"/>
          </rPr>
          <t xml:space="preserve">
5 = Conforme estimativa de ata em 25/06/2019.</t>
        </r>
      </text>
    </comment>
    <comment ref="X934" authorId="0" shapeId="0" xr:uid="{00000000-0006-0000-0000-00000B040000}">
      <text>
        <r>
          <rPr>
            <sz val="10"/>
            <color indexed="81"/>
            <rFont val="Lucida Console"/>
            <family val="3"/>
          </rPr>
          <t>77786|FERRO "U" PENDURAL, MED. 40 MM DE LARGURA X 7 MM DE ESPESSURA X 40 CM|1|69|8|METAIS,LAMINAD.,PERFILADOS E ARTEFATOS METALICOS|MSE|Padrão|4|5|20|Ativo|</t>
        </r>
      </text>
    </comment>
    <comment ref="X935" authorId="0" shapeId="0" xr:uid="{00000000-0006-0000-0000-00000C040000}">
      <text>
        <r>
          <rPr>
            <sz val="10"/>
            <color indexed="81"/>
            <rFont val="Lucida Console"/>
            <family val="3"/>
          </rPr>
          <t>115060|CHAPA DE ACO INOX, BLANQUE: 430, ESPESSURA: 1,5MM, COMPRIMENTO: 2,00M E LARGURA: 1,20M|1|69|11|METAIS,LAMINAD.,PERFILADOS E ARTEFATOS METALICOS|MSE|Padrão|4|5|20|Ativo|</t>
        </r>
      </text>
    </comment>
    <comment ref="A936" authorId="0" shapeId="0" xr:uid="{00000000-0006-0000-0000-00000D040000}">
      <text>
        <r>
          <rPr>
            <sz val="10"/>
            <color indexed="81"/>
            <rFont val="Lucida Console"/>
            <family val="3"/>
          </rPr>
          <t>Mantido o valor anterior</t>
        </r>
      </text>
    </comment>
    <comment ref="J936" authorId="1" shapeId="0" xr:uid="{00000000-0006-0000-0000-00000E040000}">
      <text>
        <r>
          <rPr>
            <b/>
            <sz val="9"/>
            <color indexed="81"/>
            <rFont val="Segoe UI"/>
            <family val="2"/>
          </rPr>
          <t xml:space="preserve">
Planilha do Laércio 06/06/2019.</t>
        </r>
        <r>
          <rPr>
            <sz val="9"/>
            <color indexed="81"/>
            <rFont val="Segoe UI"/>
            <family val="2"/>
          </rPr>
          <t xml:space="preserve">
</t>
        </r>
      </text>
    </comment>
    <comment ref="X936" authorId="0" shapeId="0" xr:uid="{00000000-0006-0000-0000-00000F040000}">
      <text>
        <r>
          <rPr>
            <sz val="10"/>
            <color indexed="81"/>
            <rFont val="Lucida Console"/>
            <family val="3"/>
          </rPr>
          <t>12818|CORANTE PARA COLORIR TINTA LATEX - VERDE - 50 ML|1|76|6|EQUIP. E MATERIAIS P/PINTURAS E IMPERMEABILIZACAO|MPI|Padrão|4|6|24|Ativo|</t>
        </r>
      </text>
    </comment>
    <comment ref="A937" authorId="0" shapeId="0" xr:uid="{00000000-0006-0000-0000-000010040000}">
      <text>
        <r>
          <rPr>
            <sz val="10"/>
            <color indexed="81"/>
            <rFont val="Lucida Console"/>
            <family val="3"/>
          </rPr>
          <t>Mantido o valor anterior</t>
        </r>
      </text>
    </comment>
    <comment ref="X937" authorId="0" shapeId="0" xr:uid="{00000000-0006-0000-0000-000011040000}">
      <text>
        <r>
          <rPr>
            <sz val="10"/>
            <color indexed="81"/>
            <rFont val="Lucida Console"/>
            <family val="3"/>
          </rPr>
          <t>58792|LIXEIRA COM PEDAL E TAMPA - CAPACIDADE PARA 100 LITROS|1|72|6|MAQ.EQUIP.E MATERIAIS P/ HIGIEN.LIMP.POLIM.E LUBR.|ADM|Padrão|4|3|12|Ativo|</t>
        </r>
      </text>
    </comment>
    <comment ref="A938" authorId="0" shapeId="0" xr:uid="{00000000-0006-0000-0000-000012040000}">
      <text>
        <r>
          <rPr>
            <sz val="10"/>
            <color indexed="81"/>
            <rFont val="Lucida Console"/>
            <family val="3"/>
          </rPr>
          <t>Mantido o valor anterior</t>
        </r>
      </text>
    </comment>
    <comment ref="J938" authorId="1" shapeId="0" xr:uid="{00000000-0006-0000-0000-000013040000}">
      <text>
        <r>
          <rPr>
            <b/>
            <sz val="9"/>
            <color indexed="81"/>
            <rFont val="Segoe UI"/>
            <family val="2"/>
          </rPr>
          <t xml:space="preserve">
Planilha do Laércio 06/06/2019.</t>
        </r>
        <r>
          <rPr>
            <sz val="9"/>
            <color indexed="81"/>
            <rFont val="Segoe UI"/>
            <family val="2"/>
          </rPr>
          <t xml:space="preserve">
</t>
        </r>
      </text>
    </comment>
    <comment ref="X938" authorId="0" shapeId="0" xr:uid="{00000000-0006-0000-0000-000014040000}">
      <text>
        <r>
          <rPr>
            <sz val="10"/>
            <color indexed="81"/>
            <rFont val="Lucida Console"/>
            <family val="3"/>
          </rPr>
          <t>12820|CORANTE PARA COLORIR TINTA LATEX - AMARELO - 50 ML|1|76|6|EQUIP. E MATERIAIS P/PINTURAS E IMPERMEABILIZACAO|MPI|Padrão|4|6|24|Ativo|</t>
        </r>
      </text>
    </comment>
    <comment ref="A939" authorId="0" shapeId="0" xr:uid="{00000000-0006-0000-0000-000015040000}">
      <text>
        <r>
          <rPr>
            <sz val="10"/>
            <color indexed="81"/>
            <rFont val="Lucida Console"/>
            <family val="3"/>
          </rPr>
          <t>Mantido o valor anterior</t>
        </r>
      </text>
    </comment>
    <comment ref="J939" authorId="1" shapeId="0" xr:uid="{00000000-0006-0000-0000-000016040000}">
      <text>
        <r>
          <rPr>
            <b/>
            <sz val="9"/>
            <color indexed="81"/>
            <rFont val="Segoe UI"/>
            <family val="2"/>
          </rPr>
          <t xml:space="preserve">
Planilha do Laércio 06/06/2019.</t>
        </r>
        <r>
          <rPr>
            <sz val="9"/>
            <color indexed="81"/>
            <rFont val="Segoe UI"/>
            <family val="2"/>
          </rPr>
          <t xml:space="preserve">
</t>
        </r>
      </text>
    </comment>
    <comment ref="X939" authorId="0" shapeId="0" xr:uid="{00000000-0006-0000-0000-000017040000}">
      <text>
        <r>
          <rPr>
            <sz val="10"/>
            <color indexed="81"/>
            <rFont val="Lucida Console"/>
            <family val="3"/>
          </rPr>
          <t>12831|CORANTE PARA COLORIR TINTA LATEX - PRETO - 50 ML|1|76|6|EQUIP. E MATERIAIS P/PINTURAS E IMPERMEABILIZACAO|MPI|Padrão|4|4|16|Ativo|</t>
        </r>
      </text>
    </comment>
    <comment ref="A940" authorId="0" shapeId="0" xr:uid="{00000000-0006-0000-0000-000018040000}">
      <text>
        <r>
          <rPr>
            <sz val="10"/>
            <color indexed="81"/>
            <rFont val="Lucida Console"/>
            <family val="3"/>
          </rPr>
          <t>Mantido o valor anterior</t>
        </r>
      </text>
    </comment>
    <comment ref="J940" authorId="1" shapeId="0" xr:uid="{00000000-0006-0000-0000-000019040000}">
      <text>
        <r>
          <rPr>
            <b/>
            <sz val="9"/>
            <color indexed="81"/>
            <rFont val="Segoe UI"/>
            <family val="2"/>
          </rPr>
          <t xml:space="preserve">
Planilha do Laércio 06/06/2019.</t>
        </r>
      </text>
    </comment>
    <comment ref="X940" authorId="0" shapeId="0" xr:uid="{00000000-0006-0000-0000-00001A040000}">
      <text>
        <r>
          <rPr>
            <sz val="10"/>
            <color indexed="81"/>
            <rFont val="Lucida Console"/>
            <family val="3"/>
          </rPr>
          <t>12829|CORANTE PARA COLORIR TINTA LATEX - AZUL ESCURO - 50 ML|1|76|6|EQUIP. E MATERIAIS P/PINTURAS E IMPERMEABILIZACAO|MPI|Padrão|4|6|24|Ativo|</t>
        </r>
      </text>
    </comment>
    <comment ref="A941" authorId="0" shapeId="0" xr:uid="{00000000-0006-0000-0000-00001B040000}">
      <text>
        <r>
          <rPr>
            <sz val="10"/>
            <color indexed="81"/>
            <rFont val="Lucida Console"/>
            <family val="3"/>
          </rPr>
          <t>Mantido o valor anterior</t>
        </r>
      </text>
    </comment>
    <comment ref="X941" authorId="2" shapeId="0" xr:uid="{00000000-0006-0000-0000-00001C040000}">
      <text>
        <r>
          <rPr>
            <sz val="9"/>
            <color indexed="81"/>
            <rFont val="Segoe UI"/>
            <family val="2"/>
          </rPr>
          <t>74081|LIXEIRA COM TAMPA E PEDAL - CAPACIDADE DE 60 LITROS|1|72|6|MAQ.EQUIP.E MATERIAIS P/ HIGIEN.LIMP.POLIM.E LUBR.|ADM|Personalizado|3|5|15|Ativo|</t>
        </r>
      </text>
    </comment>
    <comment ref="A942" authorId="0" shapeId="0" xr:uid="{00000000-0006-0000-0000-00001D040000}">
      <text>
        <r>
          <rPr>
            <sz val="10"/>
            <color indexed="81"/>
            <rFont val="Lucida Console"/>
            <family val="3"/>
          </rPr>
          <t>Mantido o valor anterior</t>
        </r>
      </text>
    </comment>
    <comment ref="X942" authorId="0" shapeId="0" xr:uid="{00000000-0006-0000-0000-00001E040000}">
      <text>
        <r>
          <rPr>
            <sz val="10"/>
            <color indexed="81"/>
            <rFont val="Lucida Console"/>
            <family val="3"/>
          </rPr>
          <t>72174|LIXEIRA DE PLASTICO C/ TAMPA E PEDAL  - 30 LITROS|1|72|6|MAQ.EQUIP.E MATERIAIS P/ HIGIEN.LIMP.POLIM.E LUBR.|ADM|Padrão|4|5|20|Ativo|</t>
        </r>
      </text>
    </comment>
    <comment ref="A943" authorId="0" shapeId="0" xr:uid="{00000000-0006-0000-0000-00001F040000}">
      <text>
        <r>
          <rPr>
            <sz val="10"/>
            <color indexed="81"/>
            <rFont val="Lucida Console"/>
            <family val="3"/>
          </rPr>
          <t>Mantido o valor anterior</t>
        </r>
      </text>
    </comment>
    <comment ref="J943" authorId="1" shapeId="0" xr:uid="{00000000-0006-0000-0000-000020040000}">
      <text>
        <r>
          <rPr>
            <b/>
            <sz val="9"/>
            <color indexed="81"/>
            <rFont val="Segoe UI"/>
            <family val="2"/>
          </rPr>
          <t xml:space="preserve">
Planilha do Laércio 06/06/2019.</t>
        </r>
        <r>
          <rPr>
            <sz val="9"/>
            <color indexed="81"/>
            <rFont val="Segoe UI"/>
            <family val="2"/>
          </rPr>
          <t xml:space="preserve">
</t>
        </r>
      </text>
    </comment>
    <comment ref="X943" authorId="0" shapeId="0" xr:uid="{00000000-0006-0000-0000-000021040000}">
      <text>
        <r>
          <rPr>
            <sz val="10"/>
            <color indexed="81"/>
            <rFont val="Lucida Console"/>
            <family val="3"/>
          </rPr>
          <t>12838|CORANTE PARA COLORIR TINTA LATEX - VERMELHO - 50 ML|1|76|6|EQUIP. E MATERIAIS P/PINTURAS E IMPERMEABILIZACAO|MPI|Padrão|4|6|24|Ativo|</t>
        </r>
      </text>
    </comment>
    <comment ref="A944" authorId="0" shapeId="0" xr:uid="{00000000-0006-0000-0000-000022040000}">
      <text>
        <r>
          <rPr>
            <sz val="10"/>
            <color indexed="81"/>
            <rFont val="Lucida Console"/>
            <family val="3"/>
          </rPr>
          <t>Mantido o valor anterior</t>
        </r>
      </text>
    </comment>
    <comment ref="J944" authorId="1" shapeId="0" xr:uid="{00000000-0006-0000-0000-000023040000}">
      <text>
        <r>
          <rPr>
            <sz val="9"/>
            <color indexed="81"/>
            <rFont val="Segoe UI"/>
            <family val="2"/>
          </rPr>
          <t xml:space="preserve">
Planilha do Laércio 06/06/2019.
</t>
        </r>
      </text>
    </comment>
    <comment ref="X944" authorId="0" shapeId="0" xr:uid="{00000000-0006-0000-0000-000024040000}">
      <text>
        <r>
          <rPr>
            <sz val="10"/>
            <color indexed="81"/>
            <rFont val="Lucida Console"/>
            <family val="3"/>
          </rPr>
          <t>29935|ROLO DE ESPUMA P/ PINTURA - 15 CM C/ CABO|1|76|11|EQUIP. E MATERIAIS P/PINTURAS E IMPERMEABILIZACAO|MPI|Padrão|4|3|12|Ativo|</t>
        </r>
      </text>
    </comment>
    <comment ref="A945" authorId="0" shapeId="0" xr:uid="{00000000-0006-0000-0000-000025040000}">
      <text>
        <r>
          <rPr>
            <sz val="10"/>
            <color indexed="81"/>
            <rFont val="Lucida Console"/>
            <family val="3"/>
          </rPr>
          <t>Mantido o valor anterior</t>
        </r>
      </text>
    </comment>
    <comment ref="J945" authorId="1" shapeId="0" xr:uid="{00000000-0006-0000-0000-000026040000}">
      <text>
        <r>
          <rPr>
            <b/>
            <sz val="9"/>
            <color indexed="81"/>
            <rFont val="Segoe UI"/>
            <family val="2"/>
          </rPr>
          <t xml:space="preserve">
Planilha do Laércio 06/06/2019.</t>
        </r>
      </text>
    </comment>
    <comment ref="X945" authorId="0" shapeId="0" xr:uid="{00000000-0006-0000-0000-000027040000}">
      <text>
        <r>
          <rPr>
            <sz val="10"/>
            <color indexed="81"/>
            <rFont val="Lucida Console"/>
            <family val="3"/>
          </rPr>
          <t>136038|TINTA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EMBALAGEM.|1|76|3|EQUIP. E MATERIAIS P/PINTURAS E IMPERMEABILIZACAO|MPI|Padrão|4|5|20|Ativo|</t>
        </r>
      </text>
    </comment>
    <comment ref="A946" authorId="0" shapeId="0" xr:uid="{00000000-0006-0000-0000-000028040000}">
      <text>
        <r>
          <rPr>
            <sz val="10"/>
            <color indexed="81"/>
            <rFont val="Lucida Console"/>
            <family val="3"/>
          </rPr>
          <t>Mantido o valor anterior</t>
        </r>
      </text>
    </comment>
    <comment ref="J946" authorId="1" shapeId="0" xr:uid="{00000000-0006-0000-0000-000029040000}">
      <text>
        <r>
          <rPr>
            <sz val="9"/>
            <color indexed="81"/>
            <rFont val="Segoe UI"/>
            <family val="2"/>
          </rPr>
          <t xml:space="preserve">
Planilha do Laércio 06/06/2019.
</t>
        </r>
      </text>
    </comment>
    <comment ref="X946" authorId="0" shapeId="0" xr:uid="{00000000-0006-0000-0000-00002A040000}">
      <text>
        <r>
          <rPr>
            <sz val="10"/>
            <color indexed="81"/>
            <rFont val="Lucida Console"/>
            <family val="3"/>
          </rPr>
          <t>64822|TINTA P/ PISO - BRANCA - C/ 18 LT|1|76|9|EQUIP. E MATERIAIS P/PINTURAS E IMPERMEABILIZACAO|MPI|Padrão|4|2|8|Ativo|</t>
        </r>
      </text>
    </comment>
    <comment ref="A947" authorId="0" shapeId="0" xr:uid="{00000000-0006-0000-0000-00002B040000}">
      <text>
        <r>
          <rPr>
            <sz val="10"/>
            <color indexed="81"/>
            <rFont val="Lucida Console"/>
            <family val="3"/>
          </rPr>
          <t>Mantido o valor anterior</t>
        </r>
      </text>
    </comment>
    <comment ref="J947" authorId="1" shapeId="0" xr:uid="{00000000-0006-0000-0000-00002C040000}">
      <text>
        <r>
          <rPr>
            <sz val="9"/>
            <color indexed="81"/>
            <rFont val="Segoe UI"/>
            <family val="2"/>
          </rPr>
          <t xml:space="preserve">
Planilha do Laércio 06/06/2019.
</t>
        </r>
      </text>
    </comment>
    <comment ref="X947" authorId="0" shapeId="0" xr:uid="{00000000-0006-0000-0000-00002D040000}">
      <text>
        <r>
          <rPr>
            <sz val="10"/>
            <color indexed="81"/>
            <rFont val="Lucida Console"/>
            <family val="3"/>
          </rPr>
          <t>32487|TINTA P/ PISO - PRETO - GL C/3.600 ML|1|76|9|EQUIP. E MATERIAIS P/PINTURAS E IMPERMEABILIZACAO|MPI|Padrão|4|2|8|Ativo|</t>
        </r>
      </text>
    </comment>
    <comment ref="A948" authorId="0" shapeId="0" xr:uid="{00000000-0006-0000-0000-00002E040000}">
      <text>
        <r>
          <rPr>
            <sz val="10"/>
            <color indexed="81"/>
            <rFont val="Lucida Console"/>
            <family val="3"/>
          </rPr>
          <t>Mantido o valor anterior</t>
        </r>
      </text>
    </comment>
    <comment ref="X948" authorId="0" shapeId="0" xr:uid="{00000000-0006-0000-0000-00002F040000}">
      <text>
        <r>
          <rPr>
            <sz val="10"/>
            <color indexed="81"/>
            <rFont val="Lucida Console"/>
            <family val="3"/>
          </rPr>
          <t>129959|CABO DE COBRE FLEXIVEL BITOLA 120MM², 750 V, ISOLACAO DE PVC - 70°C - COR VERDE|1|55|19|EQUIP. MAT. P/ GERACAO, TRANSM. DISTR. RETIF...|MEL|Padrão|4|17|68|Ativo|</t>
        </r>
      </text>
    </comment>
    <comment ref="A949" authorId="0" shapeId="0" xr:uid="{00000000-0006-0000-0000-000030040000}">
      <text>
        <r>
          <rPr>
            <sz val="10"/>
            <color indexed="81"/>
            <rFont val="Lucida Console"/>
            <family val="3"/>
          </rPr>
          <t>Mantido o valor anterior</t>
        </r>
      </text>
    </comment>
    <comment ref="X949" authorId="0" shapeId="0" xr:uid="{00000000-0006-0000-0000-000031040000}">
      <text>
        <r>
          <rPr>
            <sz val="10"/>
            <color indexed="81"/>
            <rFont val="Lucida Console"/>
            <family val="3"/>
          </rPr>
          <t>123371|CABO DE COBRE FLEXIVEL BITOLA 120 MM2 , ISOLACAO 0,6/1 KV, COR PRETA - ANTICHAMA|1|55|19|EQUIP. MAT. P/ GERACAO, TRANSM. DISTR. RETIF...|MEL|Padrão|4|33|132|Ativo|</t>
        </r>
      </text>
    </comment>
    <comment ref="A950" authorId="0" shapeId="0" xr:uid="{00000000-0006-0000-0000-000032040000}">
      <text>
        <r>
          <rPr>
            <sz val="10"/>
            <color indexed="81"/>
            <rFont val="Lucida Console"/>
            <family val="3"/>
          </rPr>
          <t>Mantido o valor anterior</t>
        </r>
      </text>
    </comment>
    <comment ref="X950" authorId="0" shapeId="0" xr:uid="{00000000-0006-0000-0000-000033040000}">
      <text>
        <r>
          <rPr>
            <sz val="10"/>
            <color indexed="81"/>
            <rFont val="Lucida Console"/>
            <family val="3"/>
          </rPr>
          <t>77380|LIXEIRA DE PLASTICO COM TAMPA E PEDAL - CAPACIDADE PARA 10 LITROS|1|72|6|MAQ.EQUIP.E MATERIAIS P/ HIGIEN.LIMP.POLIM.E LUBR.|ADM|Padrão|4|15|60|Ativo|</t>
        </r>
      </text>
    </comment>
    <comment ref="A951" authorId="0" shapeId="0" xr:uid="{00000000-0006-0000-0000-000034040000}">
      <text>
        <r>
          <rPr>
            <sz val="10"/>
            <color indexed="81"/>
            <rFont val="Lucida Console"/>
            <family val="3"/>
          </rPr>
          <t>Mantido o valor anterior</t>
        </r>
      </text>
    </comment>
    <comment ref="X951" authorId="0" shapeId="0" xr:uid="{00000000-0006-0000-0000-000035040000}">
      <text>
        <r>
          <rPr>
            <sz val="10"/>
            <color indexed="81"/>
            <rFont val="Lucida Console"/>
            <family val="3"/>
          </rPr>
          <t>17663|LIXA D'AGUA EM FOLHA 225 X 275 MM GRAO 180|1|83|2|ABRASIVOS|MAN|Padrão|4|34|136|Ativo|</t>
        </r>
      </text>
    </comment>
    <comment ref="A952" authorId="0" shapeId="0" xr:uid="{00000000-0006-0000-0000-000036040000}">
      <text>
        <r>
          <rPr>
            <sz val="10"/>
            <color indexed="81"/>
            <rFont val="Lucida Console"/>
            <family val="3"/>
          </rPr>
          <t>Mantido o valor anterior</t>
        </r>
      </text>
    </comment>
    <comment ref="X952" authorId="0" shapeId="0" xr:uid="{00000000-0006-0000-0000-000037040000}">
      <text>
        <r>
          <rPr>
            <sz val="10"/>
            <color indexed="81"/>
            <rFont val="Lucida Console"/>
            <family val="3"/>
          </rPr>
          <t>58647|TELA DE ARAME GALVANIZADO - FIO 10 - MALHA 2.1/2" X 2 METROS DE ALTURA|1|51|30|MAT.E EQUIP. P/ CONSTR.CIVIL E CONSERV. DE VIAS PUBL.|MCO|Padrão|4|8|32|CANCELADO|</t>
        </r>
      </text>
    </comment>
    <comment ref="A953" authorId="0" shapeId="0" xr:uid="{00000000-0006-0000-0000-000038040000}">
      <text>
        <r>
          <rPr>
            <sz val="10"/>
            <color indexed="81"/>
            <rFont val="Lucida Console"/>
            <family val="3"/>
          </rPr>
          <t>Mantido o valor anterior</t>
        </r>
      </text>
    </comment>
    <comment ref="X953" authorId="0" shapeId="0" xr:uid="{00000000-0006-0000-0000-000039040000}">
      <text>
        <r>
          <rPr>
            <sz val="10"/>
            <color indexed="81"/>
            <rFont val="Lucida Console"/>
            <family val="3"/>
          </rPr>
          <t>94627|LIXA PARA PAREDE Nº 80|1|83|2|ABRASIVOS|MAN|Padrão|4|42|168|Ativo|</t>
        </r>
      </text>
    </comment>
    <comment ref="A954" authorId="0" shapeId="0" xr:uid="{00000000-0006-0000-0000-00003A040000}">
      <text>
        <r>
          <rPr>
            <sz val="10"/>
            <color indexed="81"/>
            <rFont val="Lucida Console"/>
            <family val="3"/>
          </rPr>
          <t>Mantido o valor anterior</t>
        </r>
      </text>
    </comment>
    <comment ref="X954" authorId="0" shapeId="0" xr:uid="{00000000-0006-0000-0000-00003B040000}">
      <text>
        <r>
          <rPr>
            <sz val="10"/>
            <color indexed="81"/>
            <rFont val="Lucida Console"/>
            <family val="3"/>
          </rPr>
          <t>120477|LAMPADA A VAPOR METALICO TUBULAR 400W, BASE E-40, 220V, MAXIMA TEMPERATURA NA BASE 250ºC, MAXIMA TEMPERATURA NO BULBO 600ºC|1|55|63|EQUIP. MAT. P/ GERACAO, TRANSM. DISTR. RETIF...|MEL|Padrão|4|7|28|Ativo|</t>
        </r>
      </text>
    </comment>
    <comment ref="A955" authorId="0" shapeId="0" xr:uid="{00000000-0006-0000-0000-00003C040000}">
      <text>
        <r>
          <rPr>
            <sz val="10"/>
            <color indexed="81"/>
            <rFont val="Lucida Console"/>
            <family val="3"/>
          </rPr>
          <t>Mantido o valor anterior</t>
        </r>
      </text>
    </comment>
    <comment ref="X955" authorId="0" shapeId="0" xr:uid="{00000000-0006-0000-0000-00003D040000}">
      <text>
        <r>
          <rPr>
            <sz val="10"/>
            <color indexed="81"/>
            <rFont val="Lucida Console"/>
            <family val="3"/>
          </rPr>
          <t>108441|REATOR PARA LAMPADA DE VAPOR METALICO|1|55|65|EQUIP. MAT. P/ GERACAO, TRANSM. DISTR. RETIF...|MEL|Padrão|4|7|28|Ativo|</t>
        </r>
      </text>
    </comment>
    <comment ref="A956" authorId="0" shapeId="0" xr:uid="{00000000-0006-0000-0000-00003E040000}">
      <text>
        <r>
          <rPr>
            <sz val="10"/>
            <color indexed="81"/>
            <rFont val="Lucida Console"/>
            <family val="3"/>
          </rPr>
          <t>Mantido o valor anterior</t>
        </r>
      </text>
    </comment>
    <comment ref="X956" authorId="0" shapeId="0" xr:uid="{00000000-0006-0000-0000-00003F040000}">
      <text>
        <r>
          <rPr>
            <sz val="10"/>
            <color indexed="81"/>
            <rFont val="Lucida Console"/>
            <family val="3"/>
          </rPr>
          <t>90500|CABO DE COBRE, ISOLACAO PVS 750V COM COBERTURA DE PVC - 2 X 1,5 MM|1|55|19|EQUIP. MAT. P/ GERACAO, TRANSM. DISTR. RETIF...|MEL|Padrão|4|83|332|CANCELADO|</t>
        </r>
      </text>
    </comment>
    <comment ref="A957" authorId="0" shapeId="0" xr:uid="{00000000-0006-0000-0000-000040040000}">
      <text>
        <r>
          <rPr>
            <sz val="10"/>
            <color indexed="81"/>
            <rFont val="Lucida Console"/>
            <family val="3"/>
          </rPr>
          <t>Mantido o valor anterior</t>
        </r>
      </text>
    </comment>
    <comment ref="X957" authorId="0" shapeId="0" xr:uid="{00000000-0006-0000-0000-000041040000}">
      <text>
        <r>
          <rPr>
            <sz val="10"/>
            <color indexed="81"/>
            <rFont val="Lucida Console"/>
            <family val="3"/>
          </rPr>
          <t>110891|CABO DE COBRE FLEXIVEL BITOLA 70 MM²,  0,6/1 KV ISOLACAO DE PVC 70° COR AZUL CLARO - ANTI-CHAMA.|1|55|19|EQUIP. MAT. P/ GERACAO, TRANSM. DISTR. RETIF...|MEL|Padrão|4|25|100|Ativo|</t>
        </r>
      </text>
    </comment>
    <comment ref="A958" authorId="0" shapeId="0" xr:uid="{00000000-0006-0000-0000-000042040000}">
      <text>
        <r>
          <rPr>
            <sz val="10"/>
            <color indexed="81"/>
            <rFont val="Lucida Console"/>
            <family val="3"/>
          </rPr>
          <t>Mantido o valor anterior</t>
        </r>
      </text>
    </comment>
    <comment ref="X958" authorId="0" shapeId="0" xr:uid="{00000000-0006-0000-0000-000043040000}">
      <text>
        <r>
          <rPr>
            <sz val="10"/>
            <color indexed="81"/>
            <rFont val="Lucida Console"/>
            <family val="3"/>
          </rPr>
          <t>88718|DISJUNTOR NORMA DIN CURVA B PADRAO, BIPOLAR, 10 AMPERES|1|55|26|EQUIP. MAT. P/ GERACAO, TRANSM. DISTR. RETIF...|MEL|Padrão|4|10|40|Ativo|</t>
        </r>
      </text>
    </comment>
    <comment ref="A959" authorId="0" shapeId="0" xr:uid="{00000000-0006-0000-0000-000044040000}">
      <text>
        <r>
          <rPr>
            <sz val="10"/>
            <color indexed="81"/>
            <rFont val="Lucida Console"/>
            <family val="3"/>
          </rPr>
          <t>Mantido o valor anterior</t>
        </r>
      </text>
    </comment>
    <comment ref="X959" authorId="0" shapeId="0" xr:uid="{00000000-0006-0000-0000-000045040000}">
      <text>
        <r>
          <rPr>
            <sz val="10"/>
            <color indexed="81"/>
            <rFont val="Lucida Console"/>
            <family val="3"/>
          </rPr>
          <t>133813|REATOR ELETROMAGNETICO DE ALTA PRESSAO PARA LAMPADA A VAPOR DE SODIO E METALICA, 400W, 220V/60HZ|1|55|55|EQUIP. MAT. P/ GERACAO, TRANSM. DISTR. RETIF...|MEL|Padrão|4|5|20|CANCELADO|</t>
        </r>
      </text>
    </comment>
    <comment ref="A960" authorId="0" shapeId="0" xr:uid="{00000000-0006-0000-0000-000046040000}">
      <text>
        <r>
          <rPr>
            <sz val="10"/>
            <color indexed="81"/>
            <rFont val="Lucida Console"/>
            <family val="3"/>
          </rPr>
          <t>Mantido o valor anterior</t>
        </r>
      </text>
    </comment>
    <comment ref="J960" authorId="1" shapeId="0" xr:uid="{00000000-0006-0000-0000-000047040000}">
      <text>
        <r>
          <rPr>
            <sz val="9"/>
            <color indexed="81"/>
            <rFont val="Segoe UI"/>
            <family val="2"/>
          </rPr>
          <t xml:space="preserve">
Planilha do Laércio 06/06/2019.
</t>
        </r>
      </text>
    </comment>
    <comment ref="X960" authorId="0" shapeId="0" xr:uid="{00000000-0006-0000-0000-000048040000}">
      <text>
        <r>
          <rPr>
            <sz val="10"/>
            <color indexed="81"/>
            <rFont val="Lucida Console"/>
            <family val="3"/>
          </rPr>
          <t>135227|TINTA LATEX ACRILICA SEMIBRILHO, PADRAO PREMIUM, COR BRANCO, LATA COM 18 LITROS.|1|76|10|EQUIP. E MATERIAIS P/PINTURAS E IMPERMEABILIZACAO|MPI|Padrão|4|15|60|Ativo|</t>
        </r>
      </text>
    </comment>
    <comment ref="A961" authorId="0" shapeId="0" xr:uid="{00000000-0006-0000-0000-000049040000}">
      <text>
        <r>
          <rPr>
            <sz val="10"/>
            <color indexed="81"/>
            <rFont val="Lucida Console"/>
            <family val="3"/>
          </rPr>
          <t>Mantido o valor anterior</t>
        </r>
      </text>
    </comment>
    <comment ref="X961" authorId="0" shapeId="0" xr:uid="{00000000-0006-0000-0000-00004A040000}">
      <text>
        <r>
          <rPr>
            <sz val="10"/>
            <color indexed="81"/>
            <rFont val="Lucida Console"/>
            <family val="3"/>
          </rPr>
          <t>132230|CABO DE COBRE FLEXIVEL, BITOLA 50MM2, 750 V, ISOLACAO DE PVC 70° C, COR VERDE - ANTI-CHAMA|1|55|19|EQUIP. MAT. P/ GERACAO, TRANSM. DISTR. RETIF...|MEL|Padrão|4|10|40||</t>
        </r>
      </text>
    </comment>
    <comment ref="A962" authorId="0" shapeId="0" xr:uid="{00000000-0006-0000-0000-00004B040000}">
      <text>
        <r>
          <rPr>
            <sz val="10"/>
            <color indexed="81"/>
            <rFont val="Lucida Console"/>
            <family val="3"/>
          </rPr>
          <t>Mantido o valor anterior</t>
        </r>
      </text>
    </comment>
    <comment ref="X962" authorId="0" shapeId="0" xr:uid="{00000000-0006-0000-0000-00004C040000}">
      <text>
        <r>
          <rPr>
            <sz val="10"/>
            <color indexed="81"/>
            <rFont val="Lucida Console"/>
            <family val="3"/>
          </rPr>
          <t>132715|CUMEEIRA ARTICULADA FIBRA SINTETICA CRFS, 1,10 X 06 MM - INFERIOR|1|51|17|MAT.E EQUIP. P/ CONSTR.CIVIL E CONSERV. DE VIAS PUBL.|MCO|Padrão|4|6|24|Ativo|</t>
        </r>
      </text>
    </comment>
    <comment ref="A963" authorId="0" shapeId="0" xr:uid="{00000000-0006-0000-0000-00004D040000}">
      <text>
        <r>
          <rPr>
            <sz val="10"/>
            <color indexed="81"/>
            <rFont val="Lucida Console"/>
            <family val="3"/>
          </rPr>
          <t>Mantido o valor anterior</t>
        </r>
      </text>
    </comment>
    <comment ref="X963" authorId="0" shapeId="0" xr:uid="{00000000-0006-0000-0000-00004E040000}">
      <text>
        <r>
          <rPr>
            <sz val="10"/>
            <color indexed="81"/>
            <rFont val="Lucida Console"/>
            <family val="3"/>
          </rPr>
          <t>115781|REATOR INTERNO A VAPOR METALICO - 70W, 220 V|1|55|64|EQUIP. MAT. P/ GERACAO, TRANSM. DISTR. RETIF...|MEL|Padrão|4|3|12|Ativo|</t>
        </r>
      </text>
    </comment>
    <comment ref="A964" authorId="0" shapeId="0" xr:uid="{00000000-0006-0000-0000-00004F040000}">
      <text>
        <r>
          <rPr>
            <sz val="10"/>
            <color indexed="81"/>
            <rFont val="Lucida Console"/>
            <family val="3"/>
          </rPr>
          <t>Mantido o valor anterior</t>
        </r>
      </text>
    </comment>
    <comment ref="X964" authorId="0" shapeId="0" xr:uid="{00000000-0006-0000-0000-000050040000}">
      <text>
        <r>
          <rPr>
            <sz val="10"/>
            <color indexed="81"/>
            <rFont val="Lucida Console"/>
            <family val="3"/>
          </rPr>
          <t>132231|CABO DE COBRE FLEXIVEL BITOLA 25 MM², 0,6/1 KV ISOLACAO DE PVC 70° C, ANTICHAMA, COR AZUL-CLARO|1|55|19|EQUIP. MAT. P/ GERACAO, TRANSM. DISTR. RETIF...|MEL|Padrão|4|125|500|Ativo|</t>
        </r>
      </text>
    </comment>
    <comment ref="A965" authorId="0" shapeId="0" xr:uid="{00000000-0006-0000-0000-000051040000}">
      <text>
        <r>
          <rPr>
            <sz val="10"/>
            <color indexed="81"/>
            <rFont val="Lucida Console"/>
            <family val="3"/>
          </rPr>
          <t>Mantido o valor anterior</t>
        </r>
      </text>
    </comment>
    <comment ref="X965" authorId="0" shapeId="0" xr:uid="{00000000-0006-0000-0000-000052040000}">
      <text>
        <r>
          <rPr>
            <sz val="10"/>
            <color indexed="81"/>
            <rFont val="Lucida Console"/>
            <family val="3"/>
          </rPr>
          <t>133452|PAPEL MANILHA EM BOBINA, COR ROSA - 60 CM X 250 M (VARIACAO: DE +/- 5 CM NA LARGURA E 10 M NO COMPRIMENTO), 55G/M2 (+/- 05G) - BOBINA COM PESO MINIMO DE 8 KG|1|57|15|MAQ. E EQUIP. P/ IND. GRAFICA COMP. ACESS. E PAPEI|EDU|Padrão|4|100|400|Ativo|</t>
        </r>
      </text>
    </comment>
    <comment ref="A966" authorId="0" shapeId="0" xr:uid="{00000000-0006-0000-0000-000053040000}">
      <text>
        <r>
          <rPr>
            <sz val="10"/>
            <color indexed="81"/>
            <rFont val="Lucida Console"/>
            <family val="3"/>
          </rPr>
          <t>Mantido o valor anterior</t>
        </r>
      </text>
    </comment>
    <comment ref="X966" authorId="0" shapeId="0" xr:uid="{00000000-0006-0000-0000-000054040000}">
      <text>
        <r>
          <rPr>
            <sz val="10"/>
            <color indexed="81"/>
            <rFont val="Lucida Console"/>
            <family val="3"/>
          </rPr>
          <t>35331|LUVA DE RASPA  - CANO MEDIO|1|54|4|EQUIP PROT IND, INST MAT P/ SINAL, CONTR, COMB ...|MAN|Padrão|4|5|20|Ativo|</t>
        </r>
      </text>
    </comment>
    <comment ref="A967" authorId="0" shapeId="0" xr:uid="{00000000-0006-0000-0000-000055040000}">
      <text>
        <r>
          <rPr>
            <sz val="10"/>
            <color indexed="81"/>
            <rFont val="Lucida Console"/>
            <family val="3"/>
          </rPr>
          <t>Mantido o valor anterior</t>
        </r>
      </text>
    </comment>
    <comment ref="X967" authorId="0" shapeId="0" xr:uid="{00000000-0006-0000-0000-000056040000}">
      <text>
        <r>
          <rPr>
            <sz val="10"/>
            <color indexed="81"/>
            <rFont val="Lucida Console"/>
            <family val="3"/>
          </rPr>
          <t>132714|CUMEEIRA ARTICULADA FIBRA SINTETICA CRFS, 1,10 X 06 MM - SUPERIOR|1|51|17|MAT.E EQUIP. P/ CONSTR.CIVIL E CONSERV. DE VIAS PUBL.|MCO|Padrão|4|5|20|Ativo|</t>
        </r>
      </text>
    </comment>
    <comment ref="A968" authorId="0" shapeId="0" xr:uid="{00000000-0006-0000-0000-000057040000}">
      <text>
        <r>
          <rPr>
            <sz val="10"/>
            <color indexed="81"/>
            <rFont val="Lucida Console"/>
            <family val="3"/>
          </rPr>
          <t>Mantido o valor anterior</t>
        </r>
      </text>
    </comment>
    <comment ref="X968" authorId="0" shapeId="0" xr:uid="{00000000-0006-0000-0000-000058040000}">
      <text>
        <r>
          <rPr>
            <sz val="10"/>
            <color indexed="81"/>
            <rFont val="Lucida Console"/>
            <family val="3"/>
          </rPr>
          <t>29435|LAVATORIO DE LOUCA C/ COLUNA - 52 X 42 CM|1|51|36|MAT.E EQUIP. P/ CONSTR.CIVIL E CONSERV. DE VIAS PUBL.|MCO|Padrão|4|2,5|10|Ativo|</t>
        </r>
      </text>
    </comment>
    <comment ref="A969" authorId="0" shapeId="0" xr:uid="{00000000-0006-0000-0000-000059040000}">
      <text>
        <r>
          <rPr>
            <sz val="10"/>
            <color indexed="81"/>
            <rFont val="Lucida Console"/>
            <family val="3"/>
          </rPr>
          <t>Mantido o valor anterior</t>
        </r>
      </text>
    </comment>
    <comment ref="X969" authorId="0" shapeId="0" xr:uid="{00000000-0006-0000-0000-00005A040000}">
      <text>
        <r>
          <rPr>
            <sz val="10"/>
            <color indexed="81"/>
            <rFont val="Lucida Console"/>
            <family val="3"/>
          </rPr>
          <t>121292|LUMINARIA AUTONOMA DE EMERGENCIA COM LEDS, ALIMENTACAO 110/220V|1|55|49|EQUIP. MAT. P/ GERACAO, TRANSM. DISTR. RETIF...|MEL|Padrão|4|5|20|CANCELADO|</t>
        </r>
      </text>
    </comment>
    <comment ref="A970" authorId="0" shapeId="0" xr:uid="{00000000-0006-0000-0000-00005B040000}">
      <text>
        <r>
          <rPr>
            <sz val="10"/>
            <color indexed="81"/>
            <rFont val="Lucida Console"/>
            <family val="3"/>
          </rPr>
          <t>Mantido o valor anterior</t>
        </r>
      </text>
    </comment>
    <comment ref="X970" authorId="0" shapeId="0" xr:uid="{00000000-0006-0000-0000-00005C040000}">
      <text>
        <r>
          <rPr>
            <sz val="10"/>
            <color indexed="81"/>
            <rFont val="Lucida Console"/>
            <family val="3"/>
          </rPr>
          <t>112965|CABO DE COBRE FLEXIVEL BITOLA 70 MM²,|1|55|19|EQUIP. MAT. P/ GERACAO, TRANSM. DISTR. RETIF...|MEL|Padrão|4|100|400|Ativo|</t>
        </r>
      </text>
    </comment>
    <comment ref="A971" authorId="0" shapeId="0" xr:uid="{00000000-0006-0000-0000-00005D040000}">
      <text>
        <r>
          <rPr>
            <sz val="10"/>
            <color indexed="81"/>
            <rFont val="Lucida Console"/>
            <family val="3"/>
          </rPr>
          <t>Mantido o valor anterior</t>
        </r>
      </text>
    </comment>
    <comment ref="L971" authorId="1" shapeId="0" xr:uid="{00000000-0006-0000-0000-00005E040000}">
      <text>
        <r>
          <rPr>
            <sz val="10"/>
            <color indexed="81"/>
            <rFont val="Lucida Console"/>
            <family val="3"/>
          </rPr>
          <t>_x000D_
Alterado em 01.10.2020_x000D_
Anterior = 4</t>
        </r>
      </text>
    </comment>
    <comment ref="M971" authorId="1" shapeId="0" xr:uid="{00000000-0006-0000-0000-00005F040000}">
      <text>
        <r>
          <rPr>
            <sz val="10"/>
            <color indexed="81"/>
            <rFont val="Lucida Console"/>
            <family val="3"/>
          </rPr>
          <t>_x000D_
Alterado em 01.10.2020_x000D_
Anterior = 01.10.2020</t>
        </r>
      </text>
    </comment>
    <comment ref="X971" authorId="0" shapeId="0" xr:uid="{00000000-0006-0000-0000-000060040000}">
      <text>
        <r>
          <rPr>
            <sz val="10"/>
            <color indexed="81"/>
            <rFont val="Lucida Console"/>
            <family val="3"/>
          </rPr>
          <t>88719|DISJUNTOR NORMA DIN CURVA B PADRAO, BIPOLAR, 20 AMPERES|1|55|26|EQUIP. MAT. P/ GERACAO, TRANSM. DISTR. RETIF...|MEL|Padrão|4|9|36|Ativo|</t>
        </r>
      </text>
    </comment>
    <comment ref="A972" authorId="0" shapeId="0" xr:uid="{00000000-0006-0000-0000-000061040000}">
      <text>
        <r>
          <rPr>
            <sz val="10"/>
            <color indexed="81"/>
            <rFont val="Lucida Console"/>
            <family val="3"/>
          </rPr>
          <t>Mantido o valor anterior</t>
        </r>
      </text>
    </comment>
    <comment ref="X972" authorId="0" shapeId="0" xr:uid="{00000000-0006-0000-0000-000062040000}">
      <text>
        <r>
          <rPr>
            <sz val="10"/>
            <color indexed="81"/>
            <rFont val="Lucida Console"/>
            <family val="3"/>
          </rPr>
          <t>119810|LAMPADA A VAPOR DE SODIO TUBULAR 250W, BASE E-40, 220V. MAXIMA TEMPERATURA NA BASE 250ºC, MAXIMA TEMPERATURA NO BULBO 350ºC, FLUXO LUMINOSO (MINIMO) 25.000 LM|1|55|52|EQUIP. MAT. P/ GERACAO, TRANSM. DISTR. RETIF...|MEL|Padrão|4|9|36|Ativo|</t>
        </r>
      </text>
    </comment>
    <comment ref="A973" authorId="0" shapeId="0" xr:uid="{00000000-0006-0000-0000-000063040000}">
      <text>
        <r>
          <rPr>
            <sz val="10"/>
            <color indexed="81"/>
            <rFont val="Lucida Console"/>
            <family val="3"/>
          </rPr>
          <t>Mantido o valor anterior</t>
        </r>
      </text>
    </comment>
    <comment ref="X973" authorId="0" shapeId="0" xr:uid="{00000000-0006-0000-0000-000064040000}">
      <text>
        <r>
          <rPr>
            <sz val="10"/>
            <color indexed="81"/>
            <rFont val="Lucida Console"/>
            <family val="3"/>
          </rPr>
          <t>86030|HOLOFOTE RETANGULAR, COM BASE 27 EM ALUMINIO ESTAMPADO MEDINDO 280 X 300 X 160 MM COM GRADE PROTETORA|1|55|49|EQUIP. MAT. P/ GERACAO, TRANSM. DISTR. RETIF...|MEL|Padrão|4|13|52|Ativo|</t>
        </r>
      </text>
    </comment>
    <comment ref="A974" authorId="0" shapeId="0" xr:uid="{00000000-0006-0000-0000-000065040000}">
      <text>
        <r>
          <rPr>
            <sz val="10"/>
            <color indexed="81"/>
            <rFont val="Lucida Console"/>
            <family val="3"/>
          </rPr>
          <t>Mantido o valor anterior</t>
        </r>
      </text>
    </comment>
    <comment ref="X974" authorId="0" shapeId="0" xr:uid="{00000000-0006-0000-0000-000066040000}">
      <text>
        <r>
          <rPr>
            <sz val="10"/>
            <color indexed="81"/>
            <rFont val="Lucida Console"/>
            <family val="3"/>
          </rPr>
          <t>94013|AVENTAL DE RASPA,  EM COURO.|1|54|19|EQUIP PROT IND, INST MAT P/ SINAL, CONTR, COMB ...|MAN|Padrão|4|2|8|CANCELADO|</t>
        </r>
      </text>
    </comment>
    <comment ref="A975" authorId="0" shapeId="0" xr:uid="{00000000-0006-0000-0000-000067040000}">
      <text>
        <r>
          <rPr>
            <sz val="10"/>
            <color indexed="81"/>
            <rFont val="Lucida Console"/>
            <family val="3"/>
          </rPr>
          <t>Mantido o valor anterior</t>
        </r>
      </text>
    </comment>
    <comment ref="X975" authorId="0" shapeId="0" xr:uid="{00000000-0006-0000-0000-000068040000}">
      <text>
        <r>
          <rPr>
            <sz val="10"/>
            <color indexed="81"/>
            <rFont val="Lucida Console"/>
            <family val="3"/>
          </rPr>
          <t>121214|DISCO DE DESBASTE DE 4 ¹/2  X 1/4 X 7/8 - CONFORME NORMAS DA ABNT|1|83|8|ABRASIVOS|MAN|Padrão|4|20|80|CANCELADO|</t>
        </r>
      </text>
    </comment>
    <comment ref="A976" authorId="0" shapeId="0" xr:uid="{00000000-0006-0000-0000-000069040000}">
      <text>
        <r>
          <rPr>
            <sz val="10"/>
            <color indexed="81"/>
            <rFont val="Lucida Console"/>
            <family val="3"/>
          </rPr>
          <t>Mantido o valor anterior</t>
        </r>
      </text>
    </comment>
    <comment ref="J976" authorId="1" shapeId="0" xr:uid="{00000000-0006-0000-0000-00006A040000}">
      <text>
        <r>
          <rPr>
            <b/>
            <sz val="9"/>
            <color indexed="81"/>
            <rFont val="Segoe UI"/>
            <family val="2"/>
          </rPr>
          <t xml:space="preserve">
Planilha do Laércio 06/06/2019.</t>
        </r>
      </text>
    </comment>
    <comment ref="X976" authorId="0" shapeId="0" xr:uid="{00000000-0006-0000-0000-00006B040000}">
      <text>
        <r>
          <rPr>
            <sz val="10"/>
            <color indexed="81"/>
            <rFont val="Lucida Console"/>
            <family val="3"/>
          </rPr>
          <t>136039|TINTA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EMBALAGEM.|1|76|3|EQUIP. E MATERIAIS P/PINTURAS E IMPERMEABILIZACAO|MPI|Padrão|4|6|24|Ativo|</t>
        </r>
      </text>
    </comment>
    <comment ref="A977" authorId="0" shapeId="0" xr:uid="{00000000-0006-0000-0000-00006C040000}">
      <text>
        <r>
          <rPr>
            <sz val="10"/>
            <color indexed="81"/>
            <rFont val="Lucida Console"/>
            <family val="3"/>
          </rPr>
          <t>Mantido o valor anterior</t>
        </r>
      </text>
    </comment>
    <comment ref="J977" authorId="1" shapeId="0" xr:uid="{00000000-0006-0000-0000-00006D040000}">
      <text>
        <r>
          <rPr>
            <b/>
            <sz val="9"/>
            <color indexed="81"/>
            <rFont val="Segoe UI"/>
            <family val="2"/>
          </rPr>
          <t xml:space="preserve">
Planilha do Laércio 06/06/2019.</t>
        </r>
      </text>
    </comment>
    <comment ref="X977" authorId="0" shapeId="0" xr:uid="{00000000-0006-0000-0000-00006E040000}">
      <text>
        <r>
          <rPr>
            <sz val="10"/>
            <color indexed="81"/>
            <rFont val="Lucida Console"/>
            <family val="3"/>
          </rPr>
          <t>27479|PRIMER ANTICORROSIVO, SECAGEM RAPIDA, COR CINZA, GL C/ 3,6ML|1|76|5|EQUIP. E MATERIAIS P/PINTURAS E IMPERMEABILIZACAO|MPI|Padrão|4|20|80|Ativo|</t>
        </r>
      </text>
    </comment>
    <comment ref="A978" authorId="0" shapeId="0" xr:uid="{00000000-0006-0000-0000-00006F040000}">
      <text>
        <r>
          <rPr>
            <sz val="10"/>
            <color indexed="81"/>
            <rFont val="Lucida Console"/>
            <family val="3"/>
          </rPr>
          <t>Mantido o valor anterior</t>
        </r>
      </text>
    </comment>
    <comment ref="X978" authorId="0" shapeId="0" xr:uid="{00000000-0006-0000-0000-000070040000}">
      <text>
        <r>
          <rPr>
            <sz val="10"/>
            <color indexed="81"/>
            <rFont val="Lucida Console"/>
            <family val="3"/>
          </rPr>
          <t>82916|CORANTE PARA COLORIR TINTA LATEX - VIOLETA - 50 ML|1|76|6|EQUIP. E MATERIAIS P/PINTURAS E IMPERMEABILIZACAO|MPI|Padrão|4|2|8|CANCELADO|</t>
        </r>
      </text>
    </comment>
    <comment ref="A979" authorId="0" shapeId="0" xr:uid="{00000000-0006-0000-0000-000071040000}">
      <text>
        <r>
          <rPr>
            <sz val="10"/>
            <color indexed="81"/>
            <rFont val="Lucida Console"/>
            <family val="3"/>
          </rPr>
          <t>Mantido o valor anterior</t>
        </r>
      </text>
    </comment>
    <comment ref="J979" authorId="1" shapeId="0" xr:uid="{00000000-0006-0000-0000-000072040000}">
      <text>
        <r>
          <rPr>
            <sz val="9"/>
            <color indexed="81"/>
            <rFont val="Segoe UI"/>
            <family val="2"/>
          </rPr>
          <t xml:space="preserve">
Planilha do Laércio 06/06/2019.
</t>
        </r>
      </text>
    </comment>
    <comment ref="X979" authorId="0" shapeId="0" xr:uid="{00000000-0006-0000-0000-000073040000}">
      <text>
        <r>
          <rPr>
            <sz val="10"/>
            <color indexed="81"/>
            <rFont val="Lucida Console"/>
            <family val="3"/>
          </rPr>
          <t>30171|TINTA P/ PISO - VERDE ESCURO - LT C/ 18 L|1|76|9|EQUIP. E MATERIAIS P/PINTURAS E IMPERMEABILIZACAO|MPI|Padrão|4|2|8|Ativo|</t>
        </r>
      </text>
    </comment>
    <comment ref="A980" authorId="0" shapeId="0" xr:uid="{00000000-0006-0000-0000-000074040000}">
      <text>
        <r>
          <rPr>
            <sz val="10"/>
            <color indexed="81"/>
            <rFont val="Lucida Console"/>
            <family val="3"/>
          </rPr>
          <t>Mantido o valor anterior</t>
        </r>
      </text>
    </comment>
    <comment ref="X980" authorId="0" shapeId="0" xr:uid="{00000000-0006-0000-0000-000075040000}">
      <text>
        <r>
          <rPr>
            <sz val="10"/>
            <color indexed="81"/>
            <rFont val="Lucida Console"/>
            <family val="3"/>
          </rPr>
          <t>123373|CABO DE COBRE FLEXIVEL BITOLA 95 MM2 , ISOLACAO 0,6/1 KV, COR PRETA - ANTICHAMA|1|55|19|EQUIP. MAT. P/ GERACAO, TRANSM. DISTR. RETIF...|MEL|Padrão|4|100|400|Ativo|</t>
        </r>
      </text>
    </comment>
    <comment ref="A981" authorId="0" shapeId="0" xr:uid="{00000000-0006-0000-0000-000076040000}">
      <text>
        <r>
          <rPr>
            <sz val="10"/>
            <color indexed="81"/>
            <rFont val="Lucida Console"/>
            <family val="3"/>
          </rPr>
          <t>Mantido o valor anterior</t>
        </r>
      </text>
    </comment>
    <comment ref="X981" authorId="0" shapeId="0" xr:uid="{00000000-0006-0000-0000-000077040000}">
      <text>
        <r>
          <rPr>
            <sz val="10"/>
            <color indexed="81"/>
            <rFont val="Lucida Console"/>
            <family val="3"/>
          </rPr>
          <t>124335|LUMINARIA HERMETICA, 02 LAMPADAS FLUORESCENTES TUBULARES DE 40 W, CORPO DE REFLETOR EM CHAPA DE ACO, TRATADA NA COR BRANCA, DIFUSOR MOLDADO EM FORMA DE "U" EM POLIESTIRENO PLANO MARTELADO, ALOJAMENTO PARA REATOR NO PROPRIO CORPO MEDIDAS: 75 X 204 X 1240 MM (VARIACAO DE +/- 20 MM)|1|55|49|EQUIP. MAT. P/ GERACAO, TRANSM. DISTR. RETIF...|MEL|Padrão|4|15|60|Ativo|</t>
        </r>
      </text>
    </comment>
    <comment ref="A982" authorId="0" shapeId="0" xr:uid="{00000000-0006-0000-0000-000078040000}">
      <text>
        <r>
          <rPr>
            <sz val="10"/>
            <color indexed="81"/>
            <rFont val="Lucida Console"/>
            <family val="3"/>
          </rPr>
          <t>Mantido o valor anterior</t>
        </r>
      </text>
    </comment>
    <comment ref="X982" authorId="0" shapeId="0" xr:uid="{00000000-0006-0000-0000-000079040000}">
      <text>
        <r>
          <rPr>
            <sz val="10"/>
            <color indexed="81"/>
            <rFont val="Lucida Console"/>
            <family val="3"/>
          </rPr>
          <t>86118|REATOR DE PARTIDA RAPIDA ELETRONICO - 2 X 20W  - 110/220V|1|55|55|EQUIP. MAT. P/ GERACAO, TRANSM. DISTR. RETIF...|MEL|Padrão|4|9|36|Ativo|</t>
        </r>
      </text>
    </comment>
    <comment ref="A983" authorId="0" shapeId="0" xr:uid="{00000000-0006-0000-0000-00007A040000}">
      <text>
        <r>
          <rPr>
            <sz val="10"/>
            <color indexed="81"/>
            <rFont val="Lucida Console"/>
            <family val="3"/>
          </rPr>
          <t>Mantido o valor anterior</t>
        </r>
      </text>
    </comment>
    <comment ref="X983" authorId="0" shapeId="0" xr:uid="{00000000-0006-0000-0000-00007B040000}">
      <text>
        <r>
          <rPr>
            <sz val="10"/>
            <color indexed="81"/>
            <rFont val="Lucida Console"/>
            <family val="3"/>
          </rPr>
          <t>85798|DISCO DE DESBASTE DE  FERRO - 4 1/2" X 3/16" X 7/8" - PARA USO EM LIXADEIRA E FABRICADO CONFORME NORMAS ABNT||83|4|ABRASIVOS|MAN|Padrão|4|21|84|Suspenso|</t>
        </r>
      </text>
    </comment>
    <comment ref="A984" authorId="0" shapeId="0" xr:uid="{00000000-0006-0000-0000-00007C040000}">
      <text>
        <r>
          <rPr>
            <sz val="10"/>
            <color indexed="81"/>
            <rFont val="Lucida Console"/>
            <family val="3"/>
          </rPr>
          <t>Mantido o valor anterior</t>
        </r>
      </text>
    </comment>
    <comment ref="X984" authorId="0" shapeId="0" xr:uid="{00000000-0006-0000-0000-00007D040000}">
      <text>
        <r>
          <rPr>
            <sz val="10"/>
            <color indexed="81"/>
            <rFont val="Lucida Console"/>
            <family val="3"/>
          </rPr>
          <t>136910|CABO PP DE COBRE FLEXIVEL COM PRIMEIRA E SEGUNDA CAMADA EM PVC, ISOLACAO DE 750 V,  3 VIAS DE 1,5 MM, SENDO A VIA TERRA NA COR VERDE.||55|19|EQUIP. MAT. P/ GERACAO, TRANSM. DISTR. RETIF...|MEL|Padrão|4|167|668|Ativo|</t>
        </r>
      </text>
    </comment>
    <comment ref="A985" authorId="0" shapeId="0" xr:uid="{00000000-0006-0000-0000-00007E040000}">
      <text>
        <r>
          <rPr>
            <sz val="10"/>
            <color indexed="81"/>
            <rFont val="Lucida Console"/>
            <family val="3"/>
          </rPr>
          <t>Mantido o valor anterior</t>
        </r>
      </text>
    </comment>
    <comment ref="X985" authorId="0" shapeId="0" xr:uid="{00000000-0006-0000-0000-00007F040000}">
      <text>
        <r>
          <rPr>
            <sz val="10"/>
            <color indexed="81"/>
            <rFont val="Lucida Console"/>
            <family val="3"/>
          </rPr>
          <t>101938|LUVA DE VAQUETA - COMPRIMENTO DE 28 CM|1|54|4|EQUIP PROT IND, INST MAT P/ SINAL, CONTR, COMB ...|MAN|Padrão|4|5|20|CANCELADO|</t>
        </r>
      </text>
    </comment>
    <comment ref="A986" authorId="0" shapeId="0" xr:uid="{00000000-0006-0000-0000-000080040000}">
      <text>
        <r>
          <rPr>
            <sz val="10"/>
            <color indexed="81"/>
            <rFont val="Lucida Console"/>
            <family val="3"/>
          </rPr>
          <t>Mantido o valor anterior</t>
        </r>
      </text>
    </comment>
    <comment ref="X986" authorId="0" shapeId="0" xr:uid="{00000000-0006-0000-0000-000081040000}">
      <text>
        <r>
          <rPr>
            <sz val="10"/>
            <color indexed="81"/>
            <rFont val="Lucida Console"/>
            <family val="3"/>
          </rPr>
          <t>118865|FECHADURA DE SOBREPOR PARA GAVETA, COM CILINDRO, 31 MM|1|51|9|MAT.E EQUIP. P/ CONSTR.CIVIL E CONSERV. DE VIAS PUBL.|MCO|Padrão|4|60|240|CANCELADO|</t>
        </r>
      </text>
    </comment>
    <comment ref="A987" authorId="0" shapeId="0" xr:uid="{00000000-0006-0000-0000-000082040000}">
      <text>
        <r>
          <rPr>
            <sz val="10"/>
            <color indexed="81"/>
            <rFont val="Lucida Console"/>
            <family val="3"/>
          </rPr>
          <t>Mantido o valor anterior</t>
        </r>
      </text>
    </comment>
    <comment ref="X987" authorId="0" shapeId="0" xr:uid="{00000000-0006-0000-0000-000083040000}">
      <text>
        <r>
          <rPr>
            <sz val="10"/>
            <color indexed="81"/>
            <rFont val="Lucida Console"/>
            <family val="3"/>
          </rPr>
          <t>108440|HOLOFOTE RETANGULAR COM BASE E-40 EM ALUMINIO|1|55|49|EQUIP. MAT. P/ GERACAO, TRANSM. DISTR. RETIF...|MEL|Padrão|4|10|40|Ativo|</t>
        </r>
      </text>
    </comment>
    <comment ref="A988" authorId="0" shapeId="0" xr:uid="{00000000-0006-0000-0000-000084040000}">
      <text>
        <r>
          <rPr>
            <sz val="10"/>
            <color indexed="81"/>
            <rFont val="Lucida Console"/>
            <family val="3"/>
          </rPr>
          <t>Mantido o valor anterior</t>
        </r>
      </text>
    </comment>
    <comment ref="J988" authorId="1" shapeId="0" xr:uid="{00000000-0006-0000-0000-000085040000}">
      <text>
        <r>
          <rPr>
            <b/>
            <sz val="9"/>
            <color indexed="81"/>
            <rFont val="Segoe UI"/>
            <family val="2"/>
          </rPr>
          <t xml:space="preserve">
Planilha do Laércio 06/06/2019.</t>
        </r>
      </text>
    </comment>
    <comment ref="X988" authorId="0" shapeId="0" xr:uid="{00000000-0006-0000-0000-000086040000}">
      <text>
        <r>
          <rPr>
            <sz val="10"/>
            <color indexed="81"/>
            <rFont val="Lucida Console"/>
            <family val="3"/>
          </rPr>
          <t>136040|TINTA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EMBALAGEM.|1|76|3|EQUIP. E MATERIAIS P/PINTURAS E IMPERMEABILIZACAO|MPI|Padrão|4|10|40|Ativo|</t>
        </r>
      </text>
    </comment>
    <comment ref="A989" authorId="0" shapeId="0" xr:uid="{00000000-0006-0000-0000-000087040000}">
      <text>
        <r>
          <rPr>
            <sz val="10"/>
            <color indexed="81"/>
            <rFont val="Lucida Console"/>
            <family val="3"/>
          </rPr>
          <t>Mantido o valor anterior</t>
        </r>
      </text>
    </comment>
    <comment ref="J989" authorId="1" shapeId="0" xr:uid="{00000000-0006-0000-0000-000088040000}">
      <text>
        <r>
          <rPr>
            <b/>
            <sz val="9"/>
            <color indexed="81"/>
            <rFont val="Segoe UI"/>
            <family val="2"/>
          </rPr>
          <t xml:space="preserve">
Planilha do Laércio 06/06/2019.</t>
        </r>
        <r>
          <rPr>
            <sz val="9"/>
            <color indexed="81"/>
            <rFont val="Segoe UI"/>
            <family val="2"/>
          </rPr>
          <t xml:space="preserve">
</t>
        </r>
      </text>
    </comment>
    <comment ref="X989" authorId="0" shapeId="0" xr:uid="{00000000-0006-0000-0000-000089040000}">
      <text>
        <r>
          <rPr>
            <sz val="10"/>
            <color indexed="81"/>
            <rFont val="Lucida Console"/>
            <family val="3"/>
          </rPr>
          <t>54668|TINTA P/ PISO - AZUL MARINHO - LATA C/ 18 LITROS|1|76|9|EQUIP. E MATERIAIS P/PINTURAS E IMPERMEABILIZACAO|MPI|Padrão|4|5|20|Ativo|</t>
        </r>
      </text>
    </comment>
    <comment ref="A990" authorId="0" shapeId="0" xr:uid="{00000000-0006-0000-0000-00008A040000}">
      <text>
        <r>
          <rPr>
            <sz val="10"/>
            <color indexed="81"/>
            <rFont val="Lucida Console"/>
            <family val="3"/>
          </rPr>
          <t>Mantido o valor anterior</t>
        </r>
      </text>
    </comment>
    <comment ref="J990" authorId="1" shapeId="0" xr:uid="{00000000-0006-0000-0000-00008B040000}">
      <text>
        <r>
          <rPr>
            <sz val="9"/>
            <color indexed="81"/>
            <rFont val="Segoe UI"/>
            <family val="2"/>
          </rPr>
          <t xml:space="preserve">
Planilha do Laércio 06/06/2019.
</t>
        </r>
      </text>
    </comment>
    <comment ref="X990" authorId="0" shapeId="0" xr:uid="{00000000-0006-0000-0000-00008C040000}">
      <text>
        <r>
          <rPr>
            <sz val="10"/>
            <color indexed="81"/>
            <rFont val="Lucida Console"/>
            <family val="3"/>
          </rPr>
          <t>135225|TINTA LATEX ACRILICA SEMIBRILHO, PADRAO PREMIUM, COR AMARELO MELAO MADURO OU SIMILAR, LATA COM 18 LITROS.|1|76|10|EQUIP. E MATERIAIS P/PINTURAS E IMPERMEABILIZACAO|MPI|Padrão|4|10|40|Ativo|</t>
        </r>
      </text>
    </comment>
    <comment ref="A991" authorId="0" shapeId="0" xr:uid="{00000000-0006-0000-0000-00008D040000}">
      <text>
        <r>
          <rPr>
            <sz val="10"/>
            <color indexed="81"/>
            <rFont val="Lucida Console"/>
            <family val="3"/>
          </rPr>
          <t>Mantido o valor anterior</t>
        </r>
      </text>
    </comment>
    <comment ref="X991" authorId="0" shapeId="0" xr:uid="{00000000-0006-0000-0000-00008E040000}">
      <text>
        <r>
          <rPr>
            <sz val="10"/>
            <color indexed="81"/>
            <rFont val="Lucida Console"/>
            <family val="3"/>
          </rPr>
          <t>80384|GRELHA COM PORTA GRELHA, REDONDA EM ALUMINIO 4"|1|51|42|MAT.E EQUIP. P/ CONSTR.CIVIL E CONSERV. DE VIAS PUBL.|MCO|Padrão|4|3|12|CANCELADO|</t>
        </r>
      </text>
    </comment>
    <comment ref="A992" authorId="0" shapeId="0" xr:uid="{00000000-0006-0000-0000-00008F040000}">
      <text>
        <r>
          <rPr>
            <sz val="10"/>
            <color indexed="81"/>
            <rFont val="Lucida Console"/>
            <family val="3"/>
          </rPr>
          <t>Mantido o valor anterior</t>
        </r>
      </text>
    </comment>
    <comment ref="X992" authorId="0" shapeId="0" xr:uid="{00000000-0006-0000-0000-000090040000}">
      <text>
        <r>
          <rPr>
            <sz val="10"/>
            <color indexed="81"/>
            <rFont val="Lucida Console"/>
            <family val="3"/>
          </rPr>
          <t>105491|TINTA ACRILICA LAVAVEL - VERDE CLARO - 18 LITROS|1|76|9|EQUIP. E MATERIAIS P/PINTURAS E IMPERMEABILIZACAO|MPI|Padrão|4|3|12|CANCELADO|</t>
        </r>
      </text>
    </comment>
    <comment ref="A993" authorId="0" shapeId="0" xr:uid="{00000000-0006-0000-0000-000091040000}">
      <text>
        <r>
          <rPr>
            <sz val="10"/>
            <color indexed="81"/>
            <rFont val="Lucida Console"/>
            <family val="3"/>
          </rPr>
          <t>Mantido o valor anterior</t>
        </r>
      </text>
    </comment>
    <comment ref="J993" authorId="1" shapeId="0" xr:uid="{00000000-0006-0000-0000-000092040000}">
      <text>
        <r>
          <rPr>
            <b/>
            <sz val="9"/>
            <color indexed="81"/>
            <rFont val="Segoe UI"/>
            <family val="2"/>
          </rPr>
          <t xml:space="preserve">
Planilha do Laércio 06/06/2019.</t>
        </r>
        <r>
          <rPr>
            <sz val="9"/>
            <color indexed="81"/>
            <rFont val="Segoe UI"/>
            <family val="2"/>
          </rPr>
          <t xml:space="preserve">
</t>
        </r>
      </text>
    </comment>
    <comment ref="X993" authorId="0" shapeId="0" xr:uid="{00000000-0006-0000-0000-000093040000}">
      <text>
        <r>
          <rPr>
            <sz val="10"/>
            <color indexed="81"/>
            <rFont val="Lucida Console"/>
            <family val="3"/>
          </rPr>
          <t>64821|TINTA P/ PISO - AMARELO - LATA COM 18 LITROS|1|76|9|EQUIP. E MATERIAIS P/PINTURAS E IMPERMEABILIZACAO|MPI|Padrão|4|3|12|Ativo|</t>
        </r>
      </text>
    </comment>
    <comment ref="A994" authorId="0" shapeId="0" xr:uid="{00000000-0006-0000-0000-000094040000}">
      <text>
        <r>
          <rPr>
            <sz val="10"/>
            <color indexed="81"/>
            <rFont val="Lucida Console"/>
            <family val="3"/>
          </rPr>
          <t>Mantido o valor anterior</t>
        </r>
      </text>
    </comment>
    <comment ref="J994" authorId="1" shapeId="0" xr:uid="{00000000-0006-0000-0000-000095040000}">
      <text>
        <r>
          <rPr>
            <sz val="9"/>
            <color indexed="81"/>
            <rFont val="Segoe UI"/>
            <family val="2"/>
          </rPr>
          <t xml:space="preserve">
Planilha do Laércio 06/06/2019. = 1
Reajustado para 3 para não faltar  em 05/08/2019
</t>
        </r>
      </text>
    </comment>
    <comment ref="X994" authorId="0" shapeId="0" xr:uid="{00000000-0006-0000-0000-000096040000}">
      <text>
        <r>
          <rPr>
            <sz val="10"/>
            <color indexed="81"/>
            <rFont val="Lucida Console"/>
            <family val="3"/>
          </rPr>
          <t>36011|TINTA P/ PISO - VERMELHO - LT C/ 18 L|1|76|9|EQUIP. E MATERIAIS P/PINTURAS E IMPERMEABILIZACAO|MPI|Padrão|4|3|12|Ativo|</t>
        </r>
      </text>
    </comment>
    <comment ref="A995" authorId="0" shapeId="0" xr:uid="{00000000-0006-0000-0000-000097040000}">
      <text>
        <r>
          <rPr>
            <sz val="10"/>
            <color indexed="81"/>
            <rFont val="Lucida Console"/>
            <family val="3"/>
          </rPr>
          <t>Mantido o valor anterior</t>
        </r>
      </text>
    </comment>
    <comment ref="X995" authorId="0" shapeId="0" xr:uid="{00000000-0006-0000-0000-000098040000}">
      <text>
        <r>
          <rPr>
            <sz val="10"/>
            <color indexed="81"/>
            <rFont val="Lucida Console"/>
            <family val="3"/>
          </rPr>
          <t>12806|AGUARRAZ MINERAL/VEGETAL - 900 ML|1|76|16|EQUIP. E MATERIAIS P/PINTURAS E IMPERMEABILIZACAO|MPI|Padrão|4|3|12|Ativo|</t>
        </r>
      </text>
    </comment>
    <comment ref="A996" authorId="0" shapeId="0" xr:uid="{00000000-0006-0000-0000-000099040000}">
      <text>
        <r>
          <rPr>
            <sz val="10"/>
            <color indexed="81"/>
            <rFont val="Lucida Console"/>
            <family val="3"/>
          </rPr>
          <t>Mantido o valor anterior</t>
        </r>
      </text>
    </comment>
    <comment ref="X996" authorId="0" shapeId="0" xr:uid="{00000000-0006-0000-0000-00009A040000}">
      <text>
        <r>
          <rPr>
            <sz val="10"/>
            <color indexed="81"/>
            <rFont val="Lucida Console"/>
            <family val="3"/>
          </rPr>
          <t>134543|PORCELANATO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A)|1|51|21|MAT.E EQUIP. P/ CONSTR.CIVIL E CONSERV. DE VIAS PUBL.|MCO|Padrão|4|200|800|Ativo|</t>
        </r>
      </text>
    </comment>
    <comment ref="A997" authorId="0" shapeId="0" xr:uid="{00000000-0006-0000-0000-00009B040000}">
      <text>
        <r>
          <rPr>
            <sz val="10"/>
            <color indexed="81"/>
            <rFont val="Lucida Console"/>
            <family val="3"/>
          </rPr>
          <t>Mantido o valor anterior</t>
        </r>
      </text>
    </comment>
    <comment ref="X997" authorId="0" shapeId="0" xr:uid="{00000000-0006-0000-0000-00009C040000}">
      <text>
        <r>
          <rPr>
            <sz val="10"/>
            <color indexed="81"/>
            <rFont val="Lucida Console"/>
            <family val="3"/>
          </rPr>
          <t>95513|CABO FLEXIVEL BITOLA 50 MM², ISOLACAO DE PVC 70° C, 1KV, 750V, ANTICHAMA, COR PRETA|1|55|19|EQUIP. MAT. P/ GERACAO, TRANSM. DISTR. RETIF...|MEL|Padrão|4|134|536|Ativo|</t>
        </r>
      </text>
    </comment>
    <comment ref="A998" authorId="0" shapeId="0" xr:uid="{00000000-0006-0000-0000-00009D040000}">
      <text>
        <r>
          <rPr>
            <sz val="10"/>
            <color indexed="81"/>
            <rFont val="Lucida Console"/>
            <family val="3"/>
          </rPr>
          <t>Mantido o valor anterior</t>
        </r>
      </text>
    </comment>
    <comment ref="X998" authorId="0" shapeId="0" xr:uid="{00000000-0006-0000-0000-00009E040000}">
      <text>
        <r>
          <rPr>
            <sz val="10"/>
            <color indexed="81"/>
            <rFont val="Lucida Console"/>
            <family val="3"/>
          </rPr>
          <t>13059|LAMPADA LUZ MISTA 250W X 230V- BASE E27|1|55|52|EQUIP. MAT. P/ GERACAO, TRANSM. DISTR. RETIF...|MEL|Padrão|4|28|112|Ativo|</t>
        </r>
      </text>
    </comment>
    <comment ref="A999" authorId="0" shapeId="0" xr:uid="{00000000-0006-0000-0000-00009F040000}">
      <text>
        <r>
          <rPr>
            <sz val="10"/>
            <color indexed="81"/>
            <rFont val="Lucida Console"/>
            <family val="3"/>
          </rPr>
          <t>Mantido o valor anterior</t>
        </r>
      </text>
    </comment>
    <comment ref="X999" authorId="0" shapeId="0" xr:uid="{00000000-0006-0000-0000-0000A0040000}">
      <text>
        <r>
          <rPr>
            <sz val="10"/>
            <color indexed="81"/>
            <rFont val="Lucida Console"/>
            <family val="3"/>
          </rPr>
          <t>77992|PAPEL DE SEDA BRANCO CALANDRADO 14 X 14 CM (GUARDANAPO TIPO TV), 100% FIBRAS CELULOSICAS, EM PACOTES COM 500 UNIDADES|1|52|15|EQUIP.E MAT. P/REFEITORIO, COPA E COZINHA|ADM|Padrão|4|158|632|CANCELADO|</t>
        </r>
      </text>
    </comment>
    <comment ref="A1000" authorId="0" shapeId="0" xr:uid="{00000000-0006-0000-0000-0000A1040000}">
      <text>
        <r>
          <rPr>
            <sz val="10"/>
            <color indexed="81"/>
            <rFont val="Lucida Console"/>
            <family val="3"/>
          </rPr>
          <t>Mantido o valor anterior</t>
        </r>
      </text>
    </comment>
    <comment ref="X1000" authorId="0" shapeId="0" xr:uid="{00000000-0006-0000-0000-0000A2040000}">
      <text>
        <r>
          <rPr>
            <sz val="10"/>
            <color indexed="81"/>
            <rFont val="Lucida Console"/>
            <family val="3"/>
          </rPr>
          <t>76781|CABO FLEXIVEL BITOLA 16,0 MM2, 750 VOLTS, ISOLACAO DE PVC 70° C, COR VERDE|1|55|19|EQUIP. MAT. P/ GERACAO, TRANSM. DISTR. RETIF...|MEL|Padrão|4|128|512|Ativo|</t>
        </r>
      </text>
    </comment>
    <comment ref="A1001" authorId="0" shapeId="0" xr:uid="{00000000-0006-0000-0000-0000A3040000}">
      <text>
        <r>
          <rPr>
            <sz val="10"/>
            <color indexed="81"/>
            <rFont val="Lucida Console"/>
            <family val="3"/>
          </rPr>
          <t>Mantido o valor anterior</t>
        </r>
      </text>
    </comment>
    <comment ref="X1001" authorId="0" shapeId="0" xr:uid="{00000000-0006-0000-0000-0000A4040000}">
      <text>
        <r>
          <rPr>
            <sz val="10"/>
            <color indexed="81"/>
            <rFont val="Lucida Console"/>
            <family val="3"/>
          </rPr>
          <t>126076|LAMPADA FLUORESCENTE COMPACTA, BULBO 3U, POTENCIA 20 W, TENSAO DE TRABALHO 220V, 60 HZ, TEMPERATURA DE COR: 6400K (BRANCA LUZ DO DIA) , ROSCA E27, COM SELO PROCEL LETRA A, FATOR DE POTENCIA MINIMO 0,5  VIDA MEDIANA: 6000 HORAS. DIMENSOES: COMPRIMENTO MAXIMO -170 MM, DIAMETRO MAXIMO-50 MM.|1|55|57|EQUIP. MAT. P/ GERACAO, TRANSM. DISTR. RETIF...|MEL|Padrão|4|25|100|Ativo|</t>
        </r>
      </text>
    </comment>
    <comment ref="A1002" authorId="0" shapeId="0" xr:uid="{00000000-0006-0000-0000-0000A5040000}">
      <text>
        <r>
          <rPr>
            <sz val="10"/>
            <color indexed="81"/>
            <rFont val="Lucida Console"/>
            <family val="3"/>
          </rPr>
          <t>Mantido o valor anterior</t>
        </r>
      </text>
    </comment>
    <comment ref="X1002" authorId="0" shapeId="0" xr:uid="{00000000-0006-0000-0000-0000A6040000}">
      <text>
        <r>
          <rPr>
            <sz val="10"/>
            <color indexed="81"/>
            <rFont val="Lucida Console"/>
            <family val="3"/>
          </rPr>
          <t>92906|PAPEL SULFITE A4, 210 X 297, 75G, NA COR VERDE - PACOTE COM 500 FOLHAS|1|57|17|MAQ. E EQUIP. P/ IND. GRAFICA COMP. ACESS. E PAPEI|EDU|Padrão|4|250|1000|CANCELADO|</t>
        </r>
      </text>
    </comment>
    <comment ref="A1003" authorId="0" shapeId="0" xr:uid="{00000000-0006-0000-0000-0000A7040000}">
      <text>
        <r>
          <rPr>
            <sz val="10"/>
            <color indexed="81"/>
            <rFont val="Lucida Console"/>
            <family val="3"/>
          </rPr>
          <t>Mantido o valor anterior</t>
        </r>
      </text>
    </comment>
    <comment ref="X1003" authorId="0" shapeId="0" xr:uid="{00000000-0006-0000-0000-0000A8040000}">
      <text>
        <r>
          <rPr>
            <sz val="10"/>
            <color indexed="81"/>
            <rFont val="Lucida Console"/>
            <family val="3"/>
          </rPr>
          <t>78025|LIXEIRA BASCULANTE, COM TAMPA E ALCA, 59 LITROS|1|72|6|MAQ.EQUIP.E MATERIAIS P/ HIGIEN.LIMP.POLIM.E LUBR.|ADM|Padrão|4|15|60|CANCELADO|</t>
        </r>
      </text>
    </comment>
    <comment ref="A1004" authorId="0" shapeId="0" xr:uid="{00000000-0006-0000-0000-0000A9040000}">
      <text>
        <r>
          <rPr>
            <sz val="10"/>
            <color indexed="81"/>
            <rFont val="Lucida Console"/>
            <family val="3"/>
          </rPr>
          <t>Mantido o valor anterior</t>
        </r>
      </text>
    </comment>
    <comment ref="X1004" authorId="0" shapeId="0" xr:uid="{00000000-0006-0000-0000-0000AA040000}">
      <text>
        <r>
          <rPr>
            <sz val="10"/>
            <color indexed="81"/>
            <rFont val="Lucida Console"/>
            <family val="3"/>
          </rPr>
          <t>103405|PASTA PARA LIMPEZA - 1 KG|1|72|8|MAQ.EQUIP.E MATERIAIS P/ HIGIEN.LIMP.POLIM.E LUBR.|ADM|Padrão|4|10|40|Ativo|</t>
        </r>
      </text>
    </comment>
    <comment ref="A1005" authorId="0" shapeId="0" xr:uid="{00000000-0006-0000-0000-0000AB040000}">
      <text>
        <r>
          <rPr>
            <sz val="10"/>
            <color indexed="81"/>
            <rFont val="Lucida Console"/>
            <family val="3"/>
          </rPr>
          <t>Mantido o valor anterior</t>
        </r>
      </text>
    </comment>
    <comment ref="X1005" authorId="0" shapeId="0" xr:uid="{00000000-0006-0000-0000-0000AC040000}">
      <text>
        <r>
          <rPr>
            <sz val="10"/>
            <color indexed="81"/>
            <rFont val="Lucida Console"/>
            <family val="3"/>
          </rPr>
          <t>12712|SAPONACEO EM PO, 300G|1|72|9|MAQ.EQUIP.E MATERIAIS P/ HIGIEN.LIMP.POLIM.E LUBR.|ADM|Padrão|4|10|40|CANCELADO|</t>
        </r>
      </text>
    </comment>
    <comment ref="A1006" authorId="0" shapeId="0" xr:uid="{00000000-0006-0000-0000-0000AD040000}">
      <text>
        <r>
          <rPr>
            <sz val="10"/>
            <color indexed="81"/>
            <rFont val="Lucida Console"/>
            <family val="3"/>
          </rPr>
          <t>Mantido o valor anterior</t>
        </r>
      </text>
    </comment>
    <comment ref="X1006" authorId="0" shapeId="0" xr:uid="{00000000-0006-0000-0000-0000AE040000}">
      <text>
        <r>
          <rPr>
            <sz val="10"/>
            <color indexed="81"/>
            <rFont val="Lucida Console"/>
            <family val="3"/>
          </rPr>
          <t>40685|CABO FLEXIVEL - 6 MM2 - VERDE|1|55|19|EQUIP. MAT. P/ GERACAO, TRANSM. DISTR. RETIF...|MEL|Padrão|4|250|1000|Ativo|</t>
        </r>
      </text>
    </comment>
    <comment ref="A1007" authorId="0" shapeId="0" xr:uid="{00000000-0006-0000-0000-0000AF040000}">
      <text>
        <r>
          <rPr>
            <sz val="10"/>
            <color indexed="81"/>
            <rFont val="Lucida Console"/>
            <family val="3"/>
          </rPr>
          <t>Mantido o valor anterior</t>
        </r>
      </text>
    </comment>
    <comment ref="X1007" authorId="0" shapeId="0" xr:uid="{00000000-0006-0000-0000-0000B0040000}">
      <text>
        <r>
          <rPr>
            <sz val="10"/>
            <color indexed="81"/>
            <rFont val="Lucida Console"/>
            <family val="3"/>
          </rPr>
          <t>132612|LAMPADA LED BULBO 10W - LAMPADA LED BULBO, BASE E27, POTENCIA 10W, TENSAO 100-240V|1|55|66|EQUIP. MAT. P/ GERACAO, TRANSM. DISTR. RETIF...|MEL|Padrão|4|25|100|CANCELADO|</t>
        </r>
      </text>
    </comment>
    <comment ref="A1008" authorId="0" shapeId="0" xr:uid="{00000000-0006-0000-0000-0000B1040000}">
      <text>
        <r>
          <rPr>
            <sz val="10"/>
            <color indexed="81"/>
            <rFont val="Lucida Console"/>
            <family val="3"/>
          </rPr>
          <t>Mantido o valor anterior</t>
        </r>
      </text>
    </comment>
    <comment ref="J1008" authorId="1" shapeId="0" xr:uid="{00000000-0006-0000-0000-0000B2040000}">
      <text>
        <r>
          <rPr>
            <b/>
            <sz val="9"/>
            <color indexed="81"/>
            <rFont val="Segoe UI"/>
            <family val="2"/>
          </rPr>
          <t xml:space="preserve">
Planilha do Laércio 06/06/2019.</t>
        </r>
        <r>
          <rPr>
            <sz val="9"/>
            <color indexed="81"/>
            <rFont val="Segoe UI"/>
            <family val="2"/>
          </rPr>
          <t xml:space="preserve">
</t>
        </r>
      </text>
    </comment>
    <comment ref="X1008" authorId="0" shapeId="0" xr:uid="{00000000-0006-0000-0000-0000B3040000}">
      <text>
        <r>
          <rPr>
            <sz val="10"/>
            <color indexed="81"/>
            <rFont val="Lucida Console"/>
            <family val="3"/>
          </rPr>
          <t>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EMBALAGEM.|1|76|3|EQUIP. E MATERIAIS P/PINTURAS E IMPERMEABILIZACAO|MPI|Padrão|4|5|20|Ativo|</t>
        </r>
      </text>
    </comment>
    <comment ref="A1009" authorId="0" shapeId="0" xr:uid="{00000000-0006-0000-0000-0000B4040000}">
      <text>
        <r>
          <rPr>
            <sz val="10"/>
            <color indexed="81"/>
            <rFont val="Lucida Console"/>
            <family val="3"/>
          </rPr>
          <t>Mantido o valor anterior</t>
        </r>
      </text>
    </comment>
    <comment ref="X1009" authorId="0" shapeId="0" xr:uid="{00000000-0006-0000-0000-0000B5040000}">
      <text>
        <r>
          <rPr>
            <sz val="10"/>
            <color indexed="81"/>
            <rFont val="Lucida Console"/>
            <family val="3"/>
          </rPr>
          <t>11287|COLCHETE LATONADO N° 08 - CAIXA C/ 72 UNIDADES|1|45|12|MAQ., EQUIP., COMP., ACES., MAT. PARA ESCRIT.E ESCOLAR|EDU|Padrão|4|50|200|Ativo|</t>
        </r>
      </text>
    </comment>
    <comment ref="A1010" authorId="0" shapeId="0" xr:uid="{00000000-0006-0000-0000-0000B6040000}">
      <text>
        <r>
          <rPr>
            <sz val="10"/>
            <color indexed="81"/>
            <rFont val="Lucida Console"/>
            <family val="3"/>
          </rPr>
          <t>Mantido o valor anterior</t>
        </r>
      </text>
    </comment>
    <comment ref="J1010" authorId="1" shapeId="0" xr:uid="{00000000-0006-0000-0000-0000B7040000}">
      <text>
        <r>
          <rPr>
            <b/>
            <sz val="9"/>
            <color indexed="81"/>
            <rFont val="Segoe UI"/>
            <family val="2"/>
          </rPr>
          <t xml:space="preserve">
Planilha do Laércio 06/06/2019.</t>
        </r>
        <r>
          <rPr>
            <sz val="9"/>
            <color indexed="81"/>
            <rFont val="Segoe UI"/>
            <family val="2"/>
          </rPr>
          <t xml:space="preserve">
</t>
        </r>
      </text>
    </comment>
    <comment ref="X1010" authorId="2" shapeId="0" xr:uid="{00000000-0006-0000-0000-0000B8040000}">
      <text>
        <r>
          <rPr>
            <sz val="9"/>
            <color indexed="81"/>
            <rFont val="Segoe UI"/>
            <family val="2"/>
          </rPr>
          <t>135224|TINTA ESMALTE SINTETICO BRILHANTE, PADRAO PREMIUM, COR AZUL ROYAL, GALAO COM 3.600 ML.|1|76|3|EQUIP. E MATERIAIS P/PINTURAS E IMPERMEABILIZACAO|MPI|Personalizado|3|50|150|Ativo|</t>
        </r>
      </text>
    </comment>
    <comment ref="A1011" authorId="0" shapeId="0" xr:uid="{00000000-0006-0000-0000-0000B9040000}">
      <text>
        <r>
          <rPr>
            <sz val="10"/>
            <color indexed="81"/>
            <rFont val="Lucida Console"/>
            <family val="3"/>
          </rPr>
          <t>Mantido o valor anterior</t>
        </r>
      </text>
    </comment>
    <comment ref="X1011" authorId="0" shapeId="0" xr:uid="{00000000-0006-0000-0000-0000BA040000}">
      <text>
        <r>
          <rPr>
            <sz val="10"/>
            <color indexed="81"/>
            <rFont val="Lucida Console"/>
            <family val="3"/>
          </rPr>
          <t>109163|PASTA SUSPENSA, DE POLIPROPILENO(PP-LINE),|1|45|11|MAQ., EQUIP., COMP., ACES., MAT. PARA ESCRIT.E ESCOLAR|EDU|Padrão|4|148|592|Ativo|</t>
        </r>
      </text>
    </comment>
    <comment ref="A1012" authorId="0" shapeId="0" xr:uid="{00000000-0006-0000-0000-0000BB040000}">
      <text>
        <r>
          <rPr>
            <sz val="10"/>
            <color indexed="81"/>
            <rFont val="Lucida Console"/>
            <family val="3"/>
          </rPr>
          <t>Mantido o valor anterior</t>
        </r>
      </text>
    </comment>
    <comment ref="X1012" authorId="0" shapeId="0" xr:uid="{00000000-0006-0000-0000-0000BC040000}">
      <text>
        <r>
          <rPr>
            <sz val="10"/>
            <color indexed="81"/>
            <rFont val="Lucida Console"/>
            <family val="3"/>
          </rPr>
          <t>138547|LUMINARIA HERMETICA PARA 2 LAMPADAS LED/FLUORESCENTES TUBULARES, SOQUETES T5 E T8 - DIMENSOES (A X L X C): 84 X 106 X 1250 MM (VARIACAO: +/- 10 MM).|1|55|49|EQUIP. MAT. P/ GERACAO, TRANSM. DISTR. RETIF...|MEL|Padrão|4|24|96|Ativo|</t>
        </r>
      </text>
    </comment>
    <comment ref="A1013" authorId="0" shapeId="0" xr:uid="{00000000-0006-0000-0000-0000BD040000}">
      <text>
        <r>
          <rPr>
            <sz val="10"/>
            <color indexed="81"/>
            <rFont val="Lucida Console"/>
            <family val="3"/>
          </rPr>
          <t>Mantido o valor anterior</t>
        </r>
      </text>
    </comment>
    <comment ref="X1013" authorId="0" shapeId="0" xr:uid="{00000000-0006-0000-0000-0000BE040000}">
      <text>
        <r>
          <rPr>
            <sz val="10"/>
            <color indexed="81"/>
            <rFont val="Lucida Console"/>
            <family val="3"/>
          </rPr>
          <t>105489|TINTA ACRILICA LAVAVEL - AZUL CLARO - 18 LITROS|1|76|9|EQUIP. E MATERIAIS P/PINTURAS E IMPERMEABILIZACAO|MPI|Padrão|4|12|48|CANCELADO|</t>
        </r>
      </text>
    </comment>
    <comment ref="A1014" authorId="0" shapeId="0" xr:uid="{00000000-0006-0000-0000-0000BF040000}">
      <text>
        <r>
          <rPr>
            <sz val="10"/>
            <color indexed="81"/>
            <rFont val="Lucida Console"/>
            <family val="3"/>
          </rPr>
          <t>Mantido o valor anterior</t>
        </r>
      </text>
    </comment>
    <comment ref="J1014" authorId="1" shapeId="0" xr:uid="{00000000-0006-0000-0000-0000C0040000}">
      <text>
        <r>
          <rPr>
            <sz val="9"/>
            <color indexed="81"/>
            <rFont val="Segoe UI"/>
            <family val="2"/>
          </rPr>
          <t xml:space="preserve">
Planilha do Laércio 06/06/2019.
</t>
        </r>
      </text>
    </comment>
    <comment ref="L1014" authorId="2" shapeId="0" xr:uid="{00000000-0006-0000-0000-0000C1040000}">
      <text>
        <r>
          <rPr>
            <sz val="10"/>
            <color indexed="81"/>
            <rFont val="Lucida Console"/>
            <family val="3"/>
          </rPr>
          <t>_x000D_
Alterado em 01.07.2020_x000D_
Anterior = 7</t>
        </r>
      </text>
    </comment>
    <comment ref="M1014" authorId="2" shapeId="0" xr:uid="{00000000-0006-0000-0000-0000C2040000}">
      <text>
        <r>
          <rPr>
            <sz val="10"/>
            <color indexed="81"/>
            <rFont val="Lucida Console"/>
            <family val="3"/>
          </rPr>
          <t>_x000D_
Alterado em 01.07.2020_x000D_
Anterior = 01.07.2020</t>
        </r>
      </text>
    </comment>
    <comment ref="X1014" authorId="0" shapeId="0" xr:uid="{00000000-0006-0000-0000-0000C3040000}">
      <text>
        <r>
          <rPr>
            <sz val="10"/>
            <color indexed="81"/>
            <rFont val="Lucida Console"/>
            <family val="3"/>
          </rPr>
          <t>135226|TINTA LATEX ACRILICA SEMIBRILHO, PADRAO PREMIUM, COR AZUL BIONICO OU SIMILAR, LATA COM 18 LITROS.|1|76|10|EQUIP. E MATERIAIS P/PINTURAS E IMPERMEABILIZACAO|MPI|Padrão|4|12|48|Ativo|</t>
        </r>
      </text>
    </comment>
    <comment ref="A1015" authorId="0" shapeId="0" xr:uid="{00000000-0006-0000-0000-0000C4040000}">
      <text>
        <r>
          <rPr>
            <sz val="10"/>
            <color indexed="81"/>
            <rFont val="Lucida Console"/>
            <family val="3"/>
          </rPr>
          <t>Mantido o valor anterior</t>
        </r>
      </text>
    </comment>
    <comment ref="X1015" authorId="0" shapeId="0" xr:uid="{00000000-0006-0000-0000-0000C5040000}">
      <text>
        <r>
          <rPr>
            <sz val="10"/>
            <color indexed="81"/>
            <rFont val="Lucida Console"/>
            <family val="3"/>
          </rPr>
          <t>119811|LAMPADA A VAPOR METALICO TUBULAR 250W, BASE E-40, 220V. MAXIMA TEMPERATURA NA BASE 250ºC, MAXIMA TEMPERATURA NO BULBO 550ºC, FLUXO LUMINOSO (MINIMO) 19.000 LM|1|55|52|EQUIP. MAT. P/ GERACAO, TRANSM. DISTR. RETIF...|MEL|Padrão|4|37|148|Ativo|</t>
        </r>
      </text>
    </comment>
    <comment ref="A1016" authorId="0" shapeId="0" xr:uid="{00000000-0006-0000-0000-0000C6040000}">
      <text>
        <r>
          <rPr>
            <sz val="10"/>
            <color indexed="81"/>
            <rFont val="Lucida Console"/>
            <family val="3"/>
          </rPr>
          <t>Mantido o valor anterior</t>
        </r>
      </text>
    </comment>
    <comment ref="X1016" authorId="0" shapeId="0" xr:uid="{00000000-0006-0000-0000-0000C7040000}">
      <text>
        <r>
          <rPr>
            <sz val="10"/>
            <color indexed="81"/>
            <rFont val="Lucida Console"/>
            <family val="3"/>
          </rPr>
          <t>134045|DUCHA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MESES|1|61|16|MATERIAL HIDRAULICO, CANOS, TUBOS, MANGUEIRAS, CONEXOES E ACESS.|MHI|Padrão|4|13|52|Ativo|</t>
        </r>
      </text>
    </comment>
    <comment ref="A1017" authorId="0" shapeId="0" xr:uid="{00000000-0006-0000-0000-0000C8040000}">
      <text>
        <r>
          <rPr>
            <sz val="10"/>
            <color indexed="81"/>
            <rFont val="Lucida Console"/>
            <family val="3"/>
          </rPr>
          <t>Mantido o valor anterior</t>
        </r>
      </text>
    </comment>
    <comment ref="X1017" authorId="0" shapeId="0" xr:uid="{00000000-0006-0000-0000-0000C9040000}">
      <text>
        <r>
          <rPr>
            <sz val="10"/>
            <color indexed="81"/>
            <rFont val="Lucida Console"/>
            <family val="3"/>
          </rPr>
          <t>102702|CABO UTP 24 AWG X 4 PARES CATEGORIA 6, CM|1|60|21|COMPUT.SOFT. PROCES. EQUIP. SUPRI. COMP. ACESS. INFORMAT|INF|Padrão|4|640|2560|CANCELADO|</t>
        </r>
      </text>
    </comment>
    <comment ref="A1018" authorId="0" shapeId="0" xr:uid="{00000000-0006-0000-0000-0000CA040000}">
      <text>
        <r>
          <rPr>
            <sz val="10"/>
            <color indexed="81"/>
            <rFont val="Lucida Console"/>
            <family val="3"/>
          </rPr>
          <t>Mantido o valor anterior</t>
        </r>
      </text>
    </comment>
    <comment ref="X1018" authorId="0" shapeId="0" xr:uid="{00000000-0006-0000-0000-0000CB040000}">
      <text>
        <r>
          <rPr>
            <sz val="10"/>
            <color indexed="81"/>
            <rFont val="Lucida Console"/>
            <family val="3"/>
          </rPr>
          <t>132769|ADESIVO SELANTE PARA VEDACAO/CALAFETACAO  DE CALHAS RUFOS E AFINS,  A BASE DE POLIURETANO - TUBO DE 350 A 400 GRAMAS|1|51|33|MAT.E EQUIP. P/ CONSTR.CIVIL E CONSERV. DE VIAS PUBL.|MCO|Padrão|4|14|56|Ativo|</t>
        </r>
      </text>
    </comment>
    <comment ref="A1019" authorId="0" shapeId="0" xr:uid="{00000000-0006-0000-0000-0000CC040000}">
      <text>
        <r>
          <rPr>
            <sz val="10"/>
            <color indexed="81"/>
            <rFont val="Lucida Console"/>
            <family val="3"/>
          </rPr>
          <t>Mantido o valor anterior</t>
        </r>
      </text>
    </comment>
    <comment ref="X1019" authorId="0" shapeId="0" xr:uid="{00000000-0006-0000-0000-0000CD040000}">
      <text>
        <r>
          <rPr>
            <sz val="10"/>
            <color indexed="81"/>
            <rFont val="Lucida Console"/>
            <family val="3"/>
          </rPr>
          <t>13060|LAMPADA LUZ MISTA 250W X 230V- BASE E40|1|55|52|EQUIP. MAT. P/ GERACAO, TRANSM. DISTR. RETIF...|MEL|Padrão|4|35|140|Ativo|</t>
        </r>
      </text>
    </comment>
    <comment ref="A1020" authorId="0" shapeId="0" xr:uid="{00000000-0006-0000-0000-0000CE040000}">
      <text>
        <r>
          <rPr>
            <sz val="10"/>
            <color indexed="81"/>
            <rFont val="Lucida Console"/>
            <family val="3"/>
          </rPr>
          <t>Mantido o valor anterior</t>
        </r>
      </text>
    </comment>
    <comment ref="X1020" authorId="0" shapeId="0" xr:uid="{00000000-0006-0000-0000-0000CF040000}">
      <text>
        <r>
          <rPr>
            <sz val="10"/>
            <color indexed="81"/>
            <rFont val="Lucida Console"/>
            <family val="3"/>
          </rPr>
          <t>131931|GIZAO DE CERA REDONDO, ATOXICO, COM 6 CORES|1|45|9|MAQ., EQUIP., COMP., ACES., MAT. PARA ESCRIT.E ESCOLAR|EDU|Padrão|4|76|304|Ativo|</t>
        </r>
      </text>
    </comment>
    <comment ref="A1021" authorId="0" shapeId="0" xr:uid="{00000000-0006-0000-0000-0000D0040000}">
      <text>
        <r>
          <rPr>
            <sz val="10"/>
            <color indexed="81"/>
            <rFont val="Lucida Console"/>
            <family val="3"/>
          </rPr>
          <t>Mantido o valor anterior</t>
        </r>
      </text>
    </comment>
    <comment ref="X1021" authorId="0" shapeId="0" xr:uid="{00000000-0006-0000-0000-0000D1040000}">
      <text>
        <r>
          <rPr>
            <sz val="10"/>
            <color indexed="81"/>
            <rFont val="Lucida Console"/>
            <family val="3"/>
          </rPr>
          <t>71190|DOBRADICA DE PRESSAO EM ACO, CURVA, COMPLETA, PARA ARMARIOS|1|51|10|MAT.E EQUIP. P/ CONSTR.CIVIL E CONSERV. DE VIAS PUBL.|MCO|Padrão|4|289|1156|CANCELADO|</t>
        </r>
      </text>
    </comment>
    <comment ref="A1022" authorId="0" shapeId="0" xr:uid="{00000000-0006-0000-0000-0000D2040000}">
      <text>
        <r>
          <rPr>
            <sz val="10"/>
            <color indexed="81"/>
            <rFont val="Lucida Console"/>
            <family val="3"/>
          </rPr>
          <t>Mantido o valor anterior</t>
        </r>
      </text>
    </comment>
    <comment ref="X1022" authorId="0" shapeId="0" xr:uid="{00000000-0006-0000-0000-0000D3040000}">
      <text>
        <r>
          <rPr>
            <sz val="10"/>
            <color indexed="81"/>
            <rFont val="Lucida Console"/>
            <family val="3"/>
          </rPr>
          <t>90502|CABO DE COBRE, ISOLACAO PVS 750V COM COBERTURA DE PVC - 3 X 2,5 MM|1|55|19|EQUIP. MAT. P/ GERACAO, TRANSM. DISTR. RETIF...|MEL|Padrão|4|160|640|CANCELADO|</t>
        </r>
      </text>
    </comment>
    <comment ref="A1023" authorId="0" shapeId="0" xr:uid="{00000000-0006-0000-0000-0000D4040000}">
      <text>
        <r>
          <rPr>
            <sz val="10"/>
            <color indexed="81"/>
            <rFont val="Lucida Console"/>
            <family val="3"/>
          </rPr>
          <t>Mantido o valor anterior</t>
        </r>
      </text>
    </comment>
    <comment ref="X1023" authorId="2" shapeId="0" xr:uid="{00000000-0006-0000-0000-0000D5040000}">
      <text>
        <r>
          <rPr>
            <sz val="9"/>
            <color indexed="81"/>
            <rFont val="Segoe UI"/>
            <family val="2"/>
          </rPr>
          <t>127331|ALCOOL ETILICO HIDRATADO EM GEL 70° INPM - PARA USO DOMESTICO- FRASCO COM NO MINIMO 480 GR|1|72|8|MAQ.EQUIP.E MATERIAIS P/ HIGIEN.LIMP.POLIM.E LUBR.|ADM|Personalizado|3|139|417|Ativo|</t>
        </r>
      </text>
    </comment>
    <comment ref="A1024" authorId="0" shapeId="0" xr:uid="{00000000-0006-0000-0000-0000D6040000}">
      <text>
        <r>
          <rPr>
            <sz val="10"/>
            <color indexed="81"/>
            <rFont val="Lucida Console"/>
            <family val="3"/>
          </rPr>
          <t>Mantido o valor anterior</t>
        </r>
      </text>
    </comment>
    <comment ref="X1024" authorId="0" shapeId="0" xr:uid="{00000000-0006-0000-0000-0000D7040000}">
      <text>
        <r>
          <rPr>
            <sz val="10"/>
            <color indexed="81"/>
            <rFont val="Lucida Console"/>
            <family val="3"/>
          </rPr>
          <t>74124|CABO FLEXIVEL - 1,5MM - PRETO|1|55|19|EQUIP. MAT. P/ GERACAO, TRANSM. DISTR. RETIF...|MEL|Padrão|4|492|1968|Ativo|</t>
        </r>
      </text>
    </comment>
    <comment ref="A1025" authorId="0" shapeId="0" xr:uid="{00000000-0006-0000-0000-0000D8040000}">
      <text>
        <r>
          <rPr>
            <sz val="10"/>
            <color indexed="81"/>
            <rFont val="Lucida Console"/>
            <family val="3"/>
          </rPr>
          <t>Mantido o valor anterior</t>
        </r>
      </text>
    </comment>
    <comment ref="X1025" authorId="0" shapeId="0" xr:uid="{00000000-0006-0000-0000-0000D9040000}">
      <text>
        <r>
          <rPr>
            <sz val="10"/>
            <color indexed="81"/>
            <rFont val="Lucida Console"/>
            <family val="3"/>
          </rPr>
          <t>119627|CABO DE COBRE FLEXIVEL BITOLA 10MM², 6,6/1 KV, ISOLACAO DE PVC 70ºC, COR VERDE - ANTICHAMA - ROLO COM 100 METROS|1|55|19|EQUIP. MAT. P/ GERACAO, TRANSM. DISTR. RETIF...|MEL|Padrão|4|150|600|Ativo|</t>
        </r>
      </text>
    </comment>
    <comment ref="A1026" authorId="0" shapeId="0" xr:uid="{00000000-0006-0000-0000-0000DA040000}">
      <text>
        <r>
          <rPr>
            <sz val="10"/>
            <color indexed="81"/>
            <rFont val="Lucida Console"/>
            <family val="3"/>
          </rPr>
          <t>Mantido o valor anterior</t>
        </r>
      </text>
    </comment>
    <comment ref="X1026" authorId="0" shapeId="0" xr:uid="{00000000-0006-0000-0000-0000DB040000}">
      <text>
        <r>
          <rPr>
            <sz val="10"/>
            <color indexed="81"/>
            <rFont val="Lucida Console"/>
            <family val="3"/>
          </rPr>
          <t>57444|CORANTE PARA COLORIR TINTA LATEX - OCRE - 50 ML|1|76|6|EQUIP. E MATERIAIS P/PINTURAS E IMPERMEABILIZACAO|MPI|Padrão|4|10|40|CANCELADO|</t>
        </r>
      </text>
    </comment>
    <comment ref="A1027" authorId="0" shapeId="0" xr:uid="{00000000-0006-0000-0000-0000DC040000}">
      <text>
        <r>
          <rPr>
            <sz val="10"/>
            <color indexed="81"/>
            <rFont val="Lucida Console"/>
            <family val="3"/>
          </rPr>
          <t>Mantido o valor anterior</t>
        </r>
      </text>
    </comment>
    <comment ref="X1027" authorId="0" shapeId="0" xr:uid="{00000000-0006-0000-0000-0000DD040000}">
      <text>
        <r>
          <rPr>
            <sz val="10"/>
            <color indexed="81"/>
            <rFont val="Lucida Console"/>
            <family val="3"/>
          </rPr>
          <t>31321|CABO FLEXIVEL - 2,5 MM2 - PRETO|1|55|19|EQUIP. MAT. P/ GERACAO, TRANSM. DISTR. RETIF...|MEL|Padrão|4|1884|7536|Ativo|</t>
        </r>
      </text>
    </comment>
    <comment ref="A1028" authorId="0" shapeId="0" xr:uid="{00000000-0006-0000-0000-0000DE040000}">
      <text>
        <r>
          <rPr>
            <sz val="10"/>
            <color indexed="81"/>
            <rFont val="Lucida Console"/>
            <family val="3"/>
          </rPr>
          <t>Mantido o valor anterior</t>
        </r>
      </text>
    </comment>
    <comment ref="X1028" authorId="0" shapeId="0" xr:uid="{00000000-0006-0000-0000-0000DF040000}">
      <text>
        <r>
          <rPr>
            <sz val="10"/>
            <color indexed="81"/>
            <rFont val="Lucida Console"/>
            <family val="3"/>
          </rPr>
          <t>82732|REATOR CHOQUE, EXTERNO, TIPO CANECO ALTO FATOR DE POTENCIA 250 W X 220 V PARA LAMPADAS A VAPOR SODIO DE 4,5 HS X 220 V|1|55|54|EQUIP. MAT. P/ GERACAO, TRANSM. DISTR. RETIF...|MEL|Padrão|4|13|52|Ativo|</t>
        </r>
      </text>
    </comment>
    <comment ref="A1029" authorId="0" shapeId="0" xr:uid="{00000000-0006-0000-0000-0000E0040000}">
      <text>
        <r>
          <rPr>
            <sz val="10"/>
            <color indexed="81"/>
            <rFont val="Lucida Console"/>
            <family val="3"/>
          </rPr>
          <t>Mantido o valor anterior</t>
        </r>
      </text>
    </comment>
    <comment ref="J1029" authorId="1" shapeId="0" xr:uid="{00000000-0006-0000-0000-0000E1040000}">
      <text>
        <r>
          <rPr>
            <sz val="9"/>
            <color indexed="81"/>
            <rFont val="Segoe UI"/>
            <family val="2"/>
          </rPr>
          <t xml:space="preserve">
Planilha do Laércio 06/06/2019.
</t>
        </r>
      </text>
    </comment>
    <comment ref="X1029" authorId="0" shapeId="0" xr:uid="{00000000-0006-0000-0000-0000E2040000}">
      <text>
        <r>
          <rPr>
            <sz val="10"/>
            <color indexed="81"/>
            <rFont val="Lucida Console"/>
            <family val="3"/>
          </rPr>
          <t>24205|ROLO DE LA DE CARNEIRO P/ PINTURA - 23 CM C/ CABO|1|76|11|EQUIP. E MATERIAIS P/PINTURAS E IMPERMEABILIZACAO|MPI|Padrão|4|40|160|Ativo|</t>
        </r>
      </text>
    </comment>
    <comment ref="A1030" authorId="0" shapeId="0" xr:uid="{00000000-0006-0000-0000-0000E3040000}">
      <text>
        <r>
          <rPr>
            <sz val="10"/>
            <color indexed="81"/>
            <rFont val="Lucida Console"/>
            <family val="3"/>
          </rPr>
          <t>Mantido o valor anterior</t>
        </r>
      </text>
    </comment>
    <comment ref="X1030" authorId="0" shapeId="0" xr:uid="{00000000-0006-0000-0000-0000E4040000}">
      <text>
        <r>
          <rPr>
            <sz val="10"/>
            <color indexed="81"/>
            <rFont val="Lucida Console"/>
            <family val="3"/>
          </rPr>
          <t>124980|CABO DE COBRE FLEXIVEL, BITOLA 35,0MM2, 1KV,  ISOLACAO DE PVC 70ºC, COR AZUL CLARO- ANTI-CHAMA|1|55|19|EQUIP. MAT. P/ GERACAO, TRANSM. DISTR. RETIF...|MEL|Padrão|4|59|236|Ativo|</t>
        </r>
      </text>
    </comment>
    <comment ref="A1031" authorId="0" shapeId="0" xr:uid="{00000000-0006-0000-0000-0000E5040000}">
      <text>
        <r>
          <rPr>
            <sz val="10"/>
            <color indexed="81"/>
            <rFont val="Lucida Console"/>
            <family val="3"/>
          </rPr>
          <t>Mantido o valor anterior</t>
        </r>
      </text>
    </comment>
    <comment ref="X1031" authorId="0" shapeId="0" xr:uid="{00000000-0006-0000-0000-0000E6040000}">
      <text>
        <r>
          <rPr>
            <sz val="10"/>
            <color indexed="81"/>
            <rFont val="Lucida Console"/>
            <family val="3"/>
          </rPr>
          <t>124241|ANEL DE VEDACAO EM BORRACHA PARA BACIA SANITARIA - MEDIDA 100MM.|1|61|10|MATERIAL HIDRAULICO, CANOS, TUBOS, MANGUEIRAS, CONEXOES E ACESS.|MHI|Padrão|4|15|60|CANCELADO|</t>
        </r>
      </text>
    </comment>
    <comment ref="A1032" authorId="0" shapeId="0" xr:uid="{00000000-0006-0000-0000-0000E7040000}">
      <text>
        <r>
          <rPr>
            <sz val="10"/>
            <color indexed="81"/>
            <rFont val="Lucida Console"/>
            <family val="3"/>
          </rPr>
          <t>Mantido o valor anterior</t>
        </r>
      </text>
    </comment>
    <comment ref="J1032" authorId="1" shapeId="0" xr:uid="{00000000-0006-0000-0000-0000E8040000}">
      <text>
        <r>
          <rPr>
            <b/>
            <sz val="9"/>
            <color indexed="81"/>
            <rFont val="Segoe UI"/>
            <family val="2"/>
          </rPr>
          <t xml:space="preserve">
Planilha do Laércio 06/06/2019.</t>
        </r>
        <r>
          <rPr>
            <sz val="9"/>
            <color indexed="81"/>
            <rFont val="Segoe UI"/>
            <family val="2"/>
          </rPr>
          <t xml:space="preserve">
</t>
        </r>
      </text>
    </comment>
    <comment ref="X1032" authorId="0" shapeId="0" xr:uid="{00000000-0006-0000-0000-0000E9040000}">
      <text>
        <r>
          <rPr>
            <sz val="10"/>
            <color indexed="81"/>
            <rFont val="Lucida Console"/>
            <family val="3"/>
          </rPr>
          <t>135238|TINTA ESMALTE SINTETICO BRILHANTE, PADRAO PREMIUM, COR BRANCA, GALAO COM 3.600 ML.|1|76|3|EQUIP. E MATERIAIS P/PINTURAS E IMPERMEABILIZACAO|MPI|Padrão|4|61|244|Ativo|</t>
        </r>
      </text>
    </comment>
    <comment ref="A1033" authorId="0" shapeId="0" xr:uid="{00000000-0006-0000-0000-0000EA040000}">
      <text>
        <r>
          <rPr>
            <sz val="10"/>
            <color indexed="81"/>
            <rFont val="Lucida Console"/>
            <family val="3"/>
          </rPr>
          <t>Mantido o valor anterior</t>
        </r>
      </text>
    </comment>
    <comment ref="X1033" authorId="0" shapeId="0" xr:uid="{00000000-0006-0000-0000-0000EB040000}">
      <text>
        <r>
          <rPr>
            <sz val="10"/>
            <color indexed="81"/>
            <rFont val="Lucida Console"/>
            <family val="3"/>
          </rPr>
          <t>136911|CABO PP DE COBRE FLEXIVEL COM PRIMEIRA E SEGUNDA CAMADA EM PVC, ISOLACAO DE 750 V,  3 VIAS DE 2,5 MM, SENDO A VIA TERRA NA COR VERDE.||55|19|EQUIP. MAT. P/ GERACAO, TRANSM. DISTR. RETIF...|MEL|Padrão|4|298|1192|Ativo|</t>
        </r>
      </text>
    </comment>
    <comment ref="A1034" authorId="0" shapeId="0" xr:uid="{00000000-0006-0000-0000-0000EC040000}">
      <text>
        <r>
          <rPr>
            <sz val="10"/>
            <color indexed="81"/>
            <rFont val="Lucida Console"/>
            <family val="3"/>
          </rPr>
          <t>Mantido o valor anterior</t>
        </r>
      </text>
    </comment>
    <comment ref="X1034" authorId="0" shapeId="0" xr:uid="{00000000-0006-0000-0000-0000ED040000}">
      <text>
        <r>
          <rPr>
            <sz val="10"/>
            <color indexed="81"/>
            <rFont val="Lucida Console"/>
            <family val="3"/>
          </rPr>
          <t>110503|CANECA PLASTICA (POLIPROPILENO), CAPACIDADE P/ 330 ML|1|52|6|EQUIP.E MAT. P/REFEITORIO, COPA E COZINHA|ADM|Padrão|4|400|1600|Ativo|</t>
        </r>
      </text>
    </comment>
    <comment ref="A1035" authorId="0" shapeId="0" xr:uid="{00000000-0006-0000-0000-0000EE040000}">
      <text>
        <r>
          <rPr>
            <sz val="10"/>
            <color indexed="81"/>
            <rFont val="Lucida Console"/>
            <family val="3"/>
          </rPr>
          <t>Mantido o valor anterior</t>
        </r>
      </text>
    </comment>
    <comment ref="X1035" authorId="0" shapeId="0" xr:uid="{00000000-0006-0000-0000-0000EF040000}">
      <text>
        <r>
          <rPr>
            <sz val="10"/>
            <color indexed="81"/>
            <rFont val="Lucida Console"/>
            <family val="3"/>
          </rPr>
          <t>65748|CABO FLEXIVEL - 2,5 MM2 - VERDE|1|55|19|EQUIP. MAT. P/ GERACAO, TRANSM. DISTR. RETIF...|MEL|Padrão|4|567|2268|Ativo|</t>
        </r>
      </text>
    </comment>
    <comment ref="A1036" authorId="0" shapeId="0" xr:uid="{00000000-0006-0000-0000-0000F0040000}">
      <text>
        <r>
          <rPr>
            <sz val="10"/>
            <color indexed="81"/>
            <rFont val="Lucida Console"/>
            <family val="3"/>
          </rPr>
          <t>Mantido o valor anterior</t>
        </r>
      </text>
    </comment>
    <comment ref="X1036" authorId="0" shapeId="0" xr:uid="{00000000-0006-0000-0000-0000F1040000}">
      <text>
        <r>
          <rPr>
            <sz val="10"/>
            <color indexed="81"/>
            <rFont val="Lucida Console"/>
            <family val="3"/>
          </rPr>
          <t>13053|LAMPADA FLUORESCENTE LUZ DO DIA 20W - BASE G13 - 230V|1|55|57|EQUIP. MAT. P/ GERACAO, TRANSM. DISTR. RETIF...|MEL|Padrão|4|72|288|CANCELADO|</t>
        </r>
      </text>
    </comment>
    <comment ref="A1037" authorId="0" shapeId="0" xr:uid="{00000000-0006-0000-0000-0000F2040000}">
      <text>
        <r>
          <rPr>
            <sz val="10"/>
            <color indexed="81"/>
            <rFont val="Lucida Console"/>
            <family val="3"/>
          </rPr>
          <t>Mantido o valor anterior</t>
        </r>
      </text>
    </comment>
    <comment ref="X1037" authorId="0" shapeId="0" xr:uid="{00000000-0006-0000-0000-0000F3040000}">
      <text>
        <r>
          <rPr>
            <sz val="10"/>
            <color indexed="81"/>
            <rFont val="Lucida Console"/>
            <family val="3"/>
          </rPr>
          <t>13175|TORNEIRA DE PRESSAO EM LATAO NATURAL CURTA 3/4"P/ TANQUE E|1|61|14|MATERIAL HIDRAULICO, CANOS, TUBOS, MANGUEIRAS, CONEXOES E ACESS.|MHI|Padrão|4|45|180|Ativo|</t>
        </r>
      </text>
    </comment>
    <comment ref="A1038" authorId="0" shapeId="0" xr:uid="{00000000-0006-0000-0000-0000F4040000}">
      <text>
        <r>
          <rPr>
            <sz val="10"/>
            <color indexed="81"/>
            <rFont val="Lucida Console"/>
            <family val="3"/>
          </rPr>
          <t>Mantido o valor anterior</t>
        </r>
      </text>
    </comment>
    <comment ref="X1038" authorId="0" shapeId="0" xr:uid="{00000000-0006-0000-0000-0000F5040000}">
      <text>
        <r>
          <rPr>
            <sz val="10"/>
            <color indexed="81"/>
            <rFont val="Lucida Console"/>
            <family val="3"/>
          </rPr>
          <t>133851|PAPEL KRAFT (PAPEL PARDO) EM BOBINA - 60 CM X 150 M|1|57|2|MAQ. E EQUIP. P/ IND. GRAFICA COMP. ACESS. E PAPEI|EDU|Padrão|4|62|248|CANCELADO|</t>
        </r>
      </text>
    </comment>
    <comment ref="A1039" authorId="0" shapeId="0" xr:uid="{00000000-0006-0000-0000-0000F6040000}">
      <text>
        <r>
          <rPr>
            <sz val="10"/>
            <color indexed="81"/>
            <rFont val="Lucida Console"/>
            <family val="3"/>
          </rPr>
          <t>Mantido o valor anterior</t>
        </r>
      </text>
    </comment>
    <comment ref="X1039" authorId="0" shapeId="0" xr:uid="{00000000-0006-0000-0000-0000F7040000}">
      <text>
        <r>
          <rPr>
            <sz val="10"/>
            <color indexed="81"/>
            <rFont val="Lucida Console"/>
            <family val="3"/>
          </rPr>
          <t>105116|CAMISA DE BRIM, N° 4, CONFECCIONADA EM TECIDO 100% ALGODAO, NA COR AZUL MARINHO|1|62|1|VEST., ART.P/ TOUC.E HIG. PES. MAQ., EQUIP., MAT.E ACES.|ADM|Padrão|4|1|4|Ativo|</t>
        </r>
      </text>
    </comment>
    <comment ref="A1040" authorId="0" shapeId="0" xr:uid="{00000000-0006-0000-0000-0000F8040000}">
      <text>
        <r>
          <rPr>
            <sz val="10"/>
            <color indexed="81"/>
            <rFont val="Lucida Console"/>
            <family val="3"/>
          </rPr>
          <t>Mantido o valor anterior</t>
        </r>
      </text>
    </comment>
    <comment ref="X1040" authorId="0" shapeId="0" xr:uid="{00000000-0006-0000-0000-0000F9040000}">
      <text>
        <r>
          <rPr>
            <sz val="10"/>
            <color indexed="81"/>
            <rFont val="Lucida Console"/>
            <family val="3"/>
          </rPr>
          <t>94617|AVENTAL - TIPO JALECO, EM TECIDO MISTO DE POLIESTER E ALGODAO , C/MANGA CURTA - COR: AZUL CLARO - TAM: G|1|62|4|VEST., ART.P/ TOUC.E HIG. PES. MAQ., EQUIP., MAT.E ACES.|ADM|Padrão|4|1|4|CANCELADO|</t>
        </r>
      </text>
    </comment>
    <comment ref="A1041" authorId="0" shapeId="0" xr:uid="{00000000-0006-0000-0000-0000FA040000}">
      <text>
        <r>
          <rPr>
            <sz val="10"/>
            <color indexed="81"/>
            <rFont val="Lucida Console"/>
            <family val="3"/>
          </rPr>
          <t>Mantido o valor anterior</t>
        </r>
      </text>
    </comment>
    <comment ref="X1041" authorId="0" shapeId="0" xr:uid="{00000000-0006-0000-0000-0000FB040000}">
      <text>
        <r>
          <rPr>
            <sz val="10"/>
            <color indexed="81"/>
            <rFont val="Lucida Console"/>
            <family val="3"/>
          </rPr>
          <t>94618|AVENTAL - TIPO JALECO, EM TECIDO MISTO DE POLIESTER E ALGODAO , C/MANGA CURTA - COR: AZUL CLARO - TAM: GG|1|62|4|VEST., ART.P/ TOUC.E HIG. PES. MAQ., EQUIP., MAT.E ACES.|ADM|Padrão|4|1|4|CANCELADO|</t>
        </r>
      </text>
    </comment>
    <comment ref="A1042" authorId="0" shapeId="0" xr:uid="{00000000-0006-0000-0000-0000FC040000}">
      <text>
        <r>
          <rPr>
            <sz val="10"/>
            <color indexed="81"/>
            <rFont val="Lucida Console"/>
            <family val="3"/>
          </rPr>
          <t>Mantido o valor anterior</t>
        </r>
      </text>
    </comment>
    <comment ref="X1042" authorId="0" shapeId="0" xr:uid="{00000000-0006-0000-0000-0000FD040000}">
      <text>
        <r>
          <rPr>
            <sz val="10"/>
            <color indexed="81"/>
            <rFont val="Lucida Console"/>
            <family val="3"/>
          </rPr>
          <t>94616|AVENTAL - TIPO JALECO, EM TECIDO MISTO DE POLIESTER E ALGODAO , C/MANGA CURTA - COR: AZUL CLARO - TAM: M|1|62|4|VEST., ART.P/ TOUC.E HIG. PES. MAQ., EQUIP., MAT.E ACES.|ADM|Padrão|4|1|4|CANCELADO|</t>
        </r>
      </text>
    </comment>
    <comment ref="A1043" authorId="0" shapeId="0" xr:uid="{00000000-0006-0000-0000-0000FE040000}">
      <text>
        <r>
          <rPr>
            <sz val="10"/>
            <color indexed="81"/>
            <rFont val="Lucida Console"/>
            <family val="3"/>
          </rPr>
          <t>Mantido o valor anterior</t>
        </r>
      </text>
    </comment>
    <comment ref="X1043" authorId="0" shapeId="0" xr:uid="{00000000-0006-0000-0000-0000FF040000}">
      <text>
        <r>
          <rPr>
            <sz val="10"/>
            <color indexed="81"/>
            <rFont val="Lucida Console"/>
            <family val="3"/>
          </rPr>
          <t>94615|AVENTAL - TIPO JALECO, EM TECIDO MISTO DE POLIESTER E ALGODAO , C/MANGA CURTA - COR: AZUL CLARO - TAM: P|1|62|4|VEST., ART.P/ TOUC.E HIG. PES. MAQ., EQUIP., MAT.E ACES.|ADM|Padrão|4|1|4|CANCELADO|</t>
        </r>
      </text>
    </comment>
    <comment ref="A1044" authorId="0" shapeId="0" xr:uid="{00000000-0006-0000-0000-000000050000}">
      <text>
        <r>
          <rPr>
            <sz val="10"/>
            <color indexed="81"/>
            <rFont val="Lucida Console"/>
            <family val="3"/>
          </rPr>
          <t>Mantido o valor anterior</t>
        </r>
      </text>
    </comment>
    <comment ref="X1044" authorId="0" shapeId="0" xr:uid="{00000000-0006-0000-0000-000001050000}">
      <text>
        <r>
          <rPr>
            <sz val="10"/>
            <color indexed="81"/>
            <rFont val="Lucida Console"/>
            <family val="3"/>
          </rPr>
          <t>13975|BALDE PLASTICO - 20 L.|1|72|6|MAQ.EQUIP.E MATERIAIS P/ HIGIEN.LIMP.POLIM.E LUBR.|ADM|Padrão|4|13|52|CANCELADO|</t>
        </r>
      </text>
    </comment>
    <comment ref="A1045" authorId="0" shapeId="0" xr:uid="{00000000-0006-0000-0000-000002050000}">
      <text>
        <r>
          <rPr>
            <sz val="10"/>
            <color indexed="81"/>
            <rFont val="Lucida Console"/>
            <family val="3"/>
          </rPr>
          <t>Mantido o valor anterior</t>
        </r>
      </text>
    </comment>
    <comment ref="X1045" authorId="0" shapeId="0" xr:uid="{00000000-0006-0000-0000-000003050000}">
      <text>
        <r>
          <rPr>
            <sz val="10"/>
            <color indexed="81"/>
            <rFont val="Lucida Console"/>
            <family val="3"/>
          </rPr>
          <t>14199|SABAO DE COCO, PEDACO C/ 200 GR|1|72|9|MAQ.EQUIP.E MATERIAIS P/ HIGIEN.LIMP.POLIM.E LUBR.|ADM|Padrão|4|128|512|Ativo|</t>
        </r>
      </text>
    </comment>
    <comment ref="A1046" authorId="0" shapeId="0" xr:uid="{00000000-0006-0000-0000-000004050000}">
      <text>
        <r>
          <rPr>
            <sz val="10"/>
            <color indexed="81"/>
            <rFont val="Lucida Console"/>
            <family val="3"/>
          </rPr>
          <t>Mantido o valor anterior</t>
        </r>
      </text>
    </comment>
    <comment ref="X1046" authorId="0" shapeId="0" xr:uid="{00000000-0006-0000-0000-000005050000}">
      <text>
        <r>
          <rPr>
            <sz val="10"/>
            <color indexed="81"/>
            <rFont val="Lucida Console"/>
            <family val="3"/>
          </rPr>
          <t>12615|SABAO EM PEDRA C/ 200 GR - COMUM, A BASE DE GLICERINA,SAIS|1|72|9|MAQ.EQUIP.E MATERIAIS P/ HIGIEN.LIMP.POLIM.E LUBR.|ADM|Padrão|4|154|616|Ativo|</t>
        </r>
      </text>
    </comment>
    <comment ref="A1047" authorId="0" shapeId="0" xr:uid="{00000000-0006-0000-0000-000006050000}">
      <text>
        <r>
          <rPr>
            <sz val="10"/>
            <color indexed="81"/>
            <rFont val="Lucida Console"/>
            <family val="3"/>
          </rPr>
          <t>Mantido o valor anterior</t>
        </r>
      </text>
    </comment>
    <comment ref="X1047" authorId="0" shapeId="0" xr:uid="{00000000-0006-0000-0000-000007050000}">
      <text>
        <r>
          <rPr>
            <sz val="10"/>
            <color indexed="81"/>
            <rFont val="Lucida Console"/>
            <family val="3"/>
          </rPr>
          <t>131938|PINCEL PARA PINTURA, CABO EM MADEIRA CURTO, FORMATO CHATO, CERDA BRANCA, TAMANHO 12.|1|45|9|MAQ., EQUIP., COMP., ACES., MAT. PARA ESCRIT.E ESCOLAR|EDU|Padrão|4|438|1752|Ativo|</t>
        </r>
      </text>
    </comment>
    <comment ref="A1048" authorId="0" shapeId="0" xr:uid="{00000000-0006-0000-0000-000008050000}">
      <text>
        <r>
          <rPr>
            <sz val="10"/>
            <color indexed="81"/>
            <rFont val="Lucida Console"/>
            <family val="3"/>
          </rPr>
          <t>Mantido o valor anterior</t>
        </r>
      </text>
    </comment>
    <comment ref="X1048" authorId="0" shapeId="0" xr:uid="{00000000-0006-0000-0000-000009050000}">
      <text>
        <r>
          <rPr>
            <sz val="10"/>
            <color indexed="81"/>
            <rFont val="Lucida Console"/>
            <family val="3"/>
          </rPr>
          <t>131939|PINCEL PARA PINTURA, CABO EM MADEIRA CURTO, FORMATO CHATO, CERDA BRANCA, TAMANHO 16.|1|45|9|MAQ., EQUIP., COMP., ACES., MAT. PARA ESCRIT.E ESCOLAR|EDU|Padrão|4|424|1696|Ativo|</t>
        </r>
      </text>
    </comment>
    <comment ref="A1049" authorId="0" shapeId="0" xr:uid="{00000000-0006-0000-0000-00000A050000}">
      <text>
        <r>
          <rPr>
            <sz val="10"/>
            <color indexed="81"/>
            <rFont val="Lucida Console"/>
            <family val="3"/>
          </rPr>
          <t>Mantido o valor anterior</t>
        </r>
      </text>
    </comment>
    <comment ref="X1049" authorId="0" shapeId="0" xr:uid="{00000000-0006-0000-0000-00000B050000}">
      <text>
        <r>
          <rPr>
            <sz val="10"/>
            <color indexed="81"/>
            <rFont val="Lucida Console"/>
            <family val="3"/>
          </rPr>
          <t>132305|PINCEL PARA PINTURA, CABO EM MADEIRA CURTO, FORMATO CHATO, CERDA BRANCA, TAMANHO 20|1|45|9|MAQ., EQUIP., COMP., ACES., MAT. PARA ESCRIT.E ESCOLAR|EDU|Padrão|4|415|1660|Ativo|</t>
        </r>
      </text>
    </comment>
    <comment ref="A1050" authorId="0" shapeId="0" xr:uid="{00000000-0006-0000-0000-00000C050000}">
      <text>
        <r>
          <rPr>
            <sz val="10"/>
            <color indexed="81"/>
            <rFont val="Lucida Console"/>
            <family val="3"/>
          </rPr>
          <t>Mantido o valor anterior</t>
        </r>
      </text>
    </comment>
    <comment ref="X1050" authorId="0" shapeId="0" xr:uid="{00000000-0006-0000-0000-00000D050000}">
      <text>
        <r>
          <rPr>
            <sz val="10"/>
            <color indexed="81"/>
            <rFont val="Lucida Console"/>
            <family val="3"/>
          </rPr>
          <t>131940|PINCEL PARA PINTURA, CABO EM MADEIRA LONGO, FORMATO CHATO, CERDA BRANCA, TAMANHO 24.|1|45|9|MAQ., EQUIP., COMP., ACES., MAT. PARA ESCRIT.E ESCOLAR|EDU|Padrão|4|7|28|Ativo|</t>
        </r>
      </text>
    </comment>
    <comment ref="A1051" authorId="0" shapeId="0" xr:uid="{00000000-0006-0000-0000-00000E050000}">
      <text>
        <r>
          <rPr>
            <sz val="10"/>
            <color indexed="81"/>
            <rFont val="Lucida Console"/>
            <family val="3"/>
          </rPr>
          <t>Mantido o valor anterior</t>
        </r>
      </text>
    </comment>
    <comment ref="X1051" authorId="0" shapeId="0" xr:uid="{00000000-0006-0000-0000-00000F050000}">
      <text>
        <r>
          <rPr>
            <sz val="10"/>
            <color indexed="81"/>
            <rFont val="Lucida Console"/>
            <family val="3"/>
          </rPr>
          <t>128309|SENSOR PARA AMBIENTE EXTERNO - IMUNE A ANIMAIS DE ATE 30 KG, BLINDAGEM CONTRA EMI/RFI, DOIS PIRO SENSORES INFRAVERMELHO (DUPLO ELEMENTO), COBERTURA COM ANGULO 110º, ALCANCE &gt; 10M, COMPENSACAO AUTOMATICA DE TEMPERATURA, LED LIGADO/DESLIGADO SELECIONAVEL, CONSUMO DE 30 MA, COM 12 VDC.|1|56|1|EQUIP. COMP. MAT. ELETRON. CELULAS E FIBRAS OTICAS|INF|Padrão|4|1|4|CANCELADO|</t>
        </r>
      </text>
    </comment>
    <comment ref="A1052" authorId="0" shapeId="0" xr:uid="{00000000-0006-0000-0000-000010050000}">
      <text>
        <r>
          <rPr>
            <sz val="10"/>
            <color indexed="81"/>
            <rFont val="Lucida Console"/>
            <family val="3"/>
          </rPr>
          <t>Mantido o valor anterior</t>
        </r>
      </text>
    </comment>
    <comment ref="X1052" authorId="0" shapeId="0" xr:uid="{00000000-0006-0000-0000-000011050000}">
      <text>
        <r>
          <rPr>
            <sz val="10"/>
            <color indexed="81"/>
            <rFont val="Lucida Console"/>
            <family val="3"/>
          </rPr>
          <t>88989|BOTINA DE COURO N° 38, C/BICO DE ACO, SOLADO PU|1|54|4|EQUIP PROT IND, INST MAT P/ SINAL, CONTR, COMB ...|MAN|Padrão|4|1|4|CANCELADO|</t>
        </r>
      </text>
    </comment>
    <comment ref="A1053" authorId="0" shapeId="0" xr:uid="{00000000-0006-0000-0000-000012050000}">
      <text>
        <r>
          <rPr>
            <sz val="10"/>
            <color indexed="81"/>
            <rFont val="Lucida Console"/>
            <family val="3"/>
          </rPr>
          <t>Mantido o valor anterior</t>
        </r>
      </text>
    </comment>
    <comment ref="X1053" authorId="0" shapeId="0" xr:uid="{00000000-0006-0000-0000-000013050000}">
      <text>
        <r>
          <rPr>
            <sz val="10"/>
            <color indexed="81"/>
            <rFont val="Lucida Console"/>
            <family val="3"/>
          </rPr>
          <t>88992|BOTINA DE COURO N° 41, C/BICO DE ACO, SOLADO PU|1|54|4|EQUIP PROT IND, INST MAT P/ SINAL, CONTR, COMB ...|MAN|Padrão|4|1|4|CANCELADO|</t>
        </r>
      </text>
    </comment>
    <comment ref="A1054" authorId="0" shapeId="0" xr:uid="{00000000-0006-0000-0000-000014050000}">
      <text>
        <r>
          <rPr>
            <sz val="10"/>
            <color indexed="81"/>
            <rFont val="Lucida Console"/>
            <family val="3"/>
          </rPr>
          <t>Mantido o valor anterior</t>
        </r>
      </text>
    </comment>
    <comment ref="X1054" authorId="0" shapeId="0" xr:uid="{00000000-0006-0000-0000-000015050000}">
      <text>
        <r>
          <rPr>
            <sz val="10"/>
            <color indexed="81"/>
            <rFont val="Lucida Console"/>
            <family val="3"/>
          </rPr>
          <t>88993|BOTINA DE COURO N° 42, C/BICO DE ACO, SOLADO PU|1|54|4|EQUIP PROT IND, INST MAT P/ SINAL, CONTR, COMB ...|MAN|Padrão|4|1|4|CANCELADO|</t>
        </r>
      </text>
    </comment>
    <comment ref="A1055" authorId="0" shapeId="0" xr:uid="{00000000-0006-0000-0000-000016050000}">
      <text>
        <r>
          <rPr>
            <sz val="10"/>
            <color indexed="81"/>
            <rFont val="Lucida Console"/>
            <family val="3"/>
          </rPr>
          <t>Mantido o valor anterior</t>
        </r>
      </text>
    </comment>
    <comment ref="X1055" authorId="0" shapeId="0" xr:uid="{00000000-0006-0000-0000-000017050000}">
      <text>
        <r>
          <rPr>
            <sz val="10"/>
            <color indexed="81"/>
            <rFont val="Lucida Console"/>
            <family val="3"/>
          </rPr>
          <t>89818|LUVA DE RASPA DE COURO, CANO CURTO.|1|54|4|EQUIP PROT IND, INST MAT P/ SINAL, CONTR, COMB ...|MAN|Padrão|4|2|8|CANCELADO|</t>
        </r>
      </text>
    </comment>
    <comment ref="A1056" authorId="0" shapeId="0" xr:uid="{00000000-0006-0000-0000-000018050000}">
      <text>
        <r>
          <rPr>
            <sz val="10"/>
            <color indexed="81"/>
            <rFont val="Lucida Console"/>
            <family val="3"/>
          </rPr>
          <t>Mantido o valor anterior</t>
        </r>
      </text>
    </comment>
    <comment ref="X1056" authorId="0" shapeId="0" xr:uid="{00000000-0006-0000-0000-000019050000}">
      <text>
        <r>
          <rPr>
            <sz val="10"/>
            <color indexed="81"/>
            <rFont val="Lucida Console"/>
            <family val="3"/>
          </rPr>
          <t>106027|LUVA DE RASPA DE COURO, CANO LONGO|1|54|4|EQUIP PROT IND, INST MAT P/ SINAL, CONTR, COMB ...|MAN|Padrão|4|1|4|CANCELADO|</t>
        </r>
      </text>
    </comment>
    <comment ref="A1057" authorId="0" shapeId="0" xr:uid="{00000000-0006-0000-0000-00001A050000}">
      <text>
        <r>
          <rPr>
            <sz val="10"/>
            <color indexed="81"/>
            <rFont val="Lucida Console"/>
            <family val="3"/>
          </rPr>
          <t>Mantido o valor anterior</t>
        </r>
      </text>
    </comment>
    <comment ref="X1057" authorId="0" shapeId="0" xr:uid="{00000000-0006-0000-0000-00001B050000}">
      <text>
        <r>
          <rPr>
            <sz val="10"/>
            <color indexed="81"/>
            <rFont val="Lucida Console"/>
            <family val="3"/>
          </rPr>
          <t>131579|OCULOS DE PROTECAO CONTRA IMPACTOS|1|54|4|EQUIP PROT IND, INST MAT P/ SINAL, CONTR, COMB ...|MAN|Padrão|4|1|4|CANCELADO|</t>
        </r>
      </text>
    </comment>
    <comment ref="A1058" authorId="0" shapeId="0" xr:uid="{00000000-0006-0000-0000-00001C050000}">
      <text>
        <r>
          <rPr>
            <sz val="10"/>
            <color indexed="81"/>
            <rFont val="Lucida Console"/>
            <family val="3"/>
          </rPr>
          <t>Mantido o valor anterior</t>
        </r>
      </text>
    </comment>
    <comment ref="X1058" authorId="0" shapeId="0" xr:uid="{00000000-0006-0000-0000-00001D050000}">
      <text>
        <r>
          <rPr>
            <sz val="10"/>
            <color indexed="81"/>
            <rFont val="Lucida Console"/>
            <family val="3"/>
          </rPr>
          <t>128306|SIRENE- POTENCIA SONORA DE 120 DB, ALIMENTACAO 12V, SUPORTE PARA FIXACAO.|1|54|16|EQUIP PROT IND, INST MAT P/ SINAL, CONTR, COMB ...|MAN|Padrão|4|1|4|CANCELADO|</t>
        </r>
      </text>
    </comment>
    <comment ref="A1059" authorId="0" shapeId="0" xr:uid="{00000000-0006-0000-0000-00001E050000}">
      <text>
        <r>
          <rPr>
            <sz val="10"/>
            <color indexed="81"/>
            <rFont val="Lucida Console"/>
            <family val="3"/>
          </rPr>
          <t>Mantido o valor anterior</t>
        </r>
      </text>
    </comment>
    <comment ref="X1059" authorId="0" shapeId="0" xr:uid="{00000000-0006-0000-0000-00001F050000}">
      <text>
        <r>
          <rPr>
            <sz val="10"/>
            <color indexed="81"/>
            <rFont val="Lucida Console"/>
            <family val="3"/>
          </rPr>
          <t>128302|TECLADO PARA ALARMES- COMPATIBILIDADE COM PLACA CENTRAL DE ALARME ADEMCO VISTA 48, VISOR DE CRISTAL LIQUIDO ALFANUMERICO, TECLAS ILUMINADAS.|1|54|16|EQUIP PROT IND, INST MAT P/ SINAL, CONTR, COMB ...|MAN|Padrão|4|1|4|CANCELADO|</t>
        </r>
      </text>
    </comment>
    <comment ref="A1060" authorId="0" shapeId="0" xr:uid="{00000000-0006-0000-0000-000020050000}">
      <text>
        <r>
          <rPr>
            <sz val="10"/>
            <color indexed="81"/>
            <rFont val="Lucida Console"/>
            <family val="3"/>
          </rPr>
          <t>Mantido o valor anterior</t>
        </r>
      </text>
    </comment>
    <comment ref="X1060" authorId="0" shapeId="0" xr:uid="{00000000-0006-0000-0000-000021050000}">
      <text>
        <r>
          <rPr>
            <sz val="10"/>
            <color indexed="81"/>
            <rFont val="Lucida Console"/>
            <family val="3"/>
          </rPr>
          <t>104625|CALCADO SEM COMPONENTES METALICOS Nº 36|1|54|19|EQUIP PROT IND, INST MAT P/ SINAL, CONTR, COMB ...|MAN|Padrão|4|1|4|CANCELADO|</t>
        </r>
      </text>
    </comment>
    <comment ref="A1061" authorId="0" shapeId="0" xr:uid="{00000000-0006-0000-0000-000022050000}">
      <text>
        <r>
          <rPr>
            <sz val="10"/>
            <color indexed="81"/>
            <rFont val="Lucida Console"/>
            <family val="3"/>
          </rPr>
          <t>Mantido o valor anterior</t>
        </r>
      </text>
    </comment>
    <comment ref="X1061" authorId="0" shapeId="0" xr:uid="{00000000-0006-0000-0000-000023050000}">
      <text>
        <r>
          <rPr>
            <sz val="10"/>
            <color indexed="81"/>
            <rFont val="Lucida Console"/>
            <family val="3"/>
          </rPr>
          <t>104641|CALCADO SEM COMPONENTES METALICOS Nº 41|1|54|19|EQUIP PROT IND, INST MAT P/ SINAL, CONTR, COMB ...|MAN|Padrão|4|1|4|CANCELADO|</t>
        </r>
      </text>
    </comment>
    <comment ref="A1062" authorId="0" shapeId="0" xr:uid="{00000000-0006-0000-0000-000024050000}">
      <text>
        <r>
          <rPr>
            <sz val="10"/>
            <color indexed="81"/>
            <rFont val="Lucida Console"/>
            <family val="3"/>
          </rPr>
          <t>Mantido o valor anterior</t>
        </r>
      </text>
    </comment>
    <comment ref="X1062" authorId="0" shapeId="0" xr:uid="{00000000-0006-0000-0000-000025050000}">
      <text>
        <r>
          <rPr>
            <sz val="10"/>
            <color indexed="81"/>
            <rFont val="Lucida Console"/>
            <family val="3"/>
          </rPr>
          <t>104642|SAPATO DE COURO N° 42, SOLADO DE POLIURETANO BIDENSIDADE,  SEM COMPONENTES METALICOS|1|54|19|EQUIP PROT IND, INST MAT P/ SINAL, CONTR, COMB ...|MAN|Padrão|4|1|4|CANCELADO|</t>
        </r>
      </text>
    </comment>
    <comment ref="A1063" authorId="0" shapeId="0" xr:uid="{00000000-0006-0000-0000-000026050000}">
      <text>
        <r>
          <rPr>
            <sz val="10"/>
            <color indexed="81"/>
            <rFont val="Lucida Console"/>
            <family val="3"/>
          </rPr>
          <t>Mantido o valor anterior</t>
        </r>
      </text>
    </comment>
    <comment ref="X1063" authorId="0" shapeId="0" xr:uid="{00000000-0006-0000-0000-000027050000}">
      <text>
        <r>
          <rPr>
            <sz val="10"/>
            <color indexed="81"/>
            <rFont val="Lucida Console"/>
            <family val="3"/>
          </rPr>
          <t>58117|CAMARA DE AR PARA PNEU 3,25 X 8 - PARA CARRINHO DE MAO, TIPO PERUZ|1|70|38|FERRAMENTAS MAQ.FERRAMENTAS,ELETR.PECAS E ACESSORI|MAN|Padrão|4|9|36|Ativo|</t>
        </r>
      </text>
    </comment>
    <comment ref="A1064" authorId="0" shapeId="0" xr:uid="{00000000-0006-0000-0000-000028050000}">
      <text>
        <r>
          <rPr>
            <sz val="10"/>
            <color indexed="81"/>
            <rFont val="Lucida Console"/>
            <family val="3"/>
          </rPr>
          <t>Mantido o valor anterior</t>
        </r>
      </text>
    </comment>
    <comment ref="X1064" authorId="0" shapeId="0" xr:uid="{00000000-0006-0000-0000-000029050000}">
      <text>
        <r>
          <rPr>
            <sz val="10"/>
            <color indexed="81"/>
            <rFont val="Lucida Console"/>
            <family val="3"/>
          </rPr>
          <t>13225|TRINCO FECHO CHATO 4"|1|51|11|MAT.E EQUIP. P/ CONSTR.CIVIL E CONSERV. DE VIAS PUBL.|MCO|Padrão|4|19|76|CANCELADO|</t>
        </r>
      </text>
    </comment>
    <comment ref="A1065" authorId="0" shapeId="0" xr:uid="{00000000-0006-0000-0000-00002A050000}">
      <text>
        <r>
          <rPr>
            <sz val="10"/>
            <color indexed="81"/>
            <rFont val="Lucida Console"/>
            <family val="3"/>
          </rPr>
          <t>Mantido o valor anterior</t>
        </r>
      </text>
    </comment>
    <comment ref="X1065" authorId="0" shapeId="0" xr:uid="{00000000-0006-0000-0000-00002B050000}">
      <text>
        <r>
          <rPr>
            <sz val="10"/>
            <color indexed="81"/>
            <rFont val="Lucida Console"/>
            <family val="3"/>
          </rPr>
          <t>134542|PORCELANATO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A)|1|51|21|MAT.E EQUIP. P/ CONSTR.CIVIL E CONSERV. DE VIAS PUBL.|MCO|Padrão|4|155|620|Ativo|</t>
        </r>
      </text>
    </comment>
    <comment ref="A1066" authorId="0" shapeId="0" xr:uid="{00000000-0006-0000-0000-00002C050000}">
      <text>
        <r>
          <rPr>
            <sz val="10"/>
            <color indexed="81"/>
            <rFont val="Lucida Console"/>
            <family val="3"/>
          </rPr>
          <t>Mantido o valor anterior</t>
        </r>
      </text>
    </comment>
    <comment ref="X1066" authorId="0" shapeId="0" xr:uid="{00000000-0006-0000-0000-00002D050000}">
      <text>
        <r>
          <rPr>
            <sz val="10"/>
            <color indexed="81"/>
            <rFont val="Lucida Console"/>
            <family val="3"/>
          </rPr>
          <t>119514|GUARNICAO ADESIVA, EM EPDM PRETA, MEDIDA: 11 X 6,4 MM (VARIACAO: +/- 1 MM)|1|51|28|MAT.E EQUIP. P/ CONSTR.CIVIL E CONSERV. DE VIAS PUBL.|MCO|Padrão|4|10|40|CANCELADO|</t>
        </r>
      </text>
    </comment>
    <comment ref="A1067" authorId="0" shapeId="0" xr:uid="{00000000-0006-0000-0000-00002E050000}">
      <text>
        <r>
          <rPr>
            <sz val="10"/>
            <color indexed="81"/>
            <rFont val="Lucida Console"/>
            <family val="3"/>
          </rPr>
          <t>Mantido o valor anterior</t>
        </r>
      </text>
    </comment>
    <comment ref="X1067" authorId="0" shapeId="0" xr:uid="{00000000-0006-0000-0000-00002F050000}">
      <text>
        <r>
          <rPr>
            <sz val="10"/>
            <color indexed="81"/>
            <rFont val="Lucida Console"/>
            <family val="3"/>
          </rPr>
          <t>64819|TELA DE ARAME GALVANIZADO, FIO 10, MALHA C/ 2 1/2", COM 04|1|51|30|MAT.E EQUIP. P/ CONSTR.CIVIL E CONSERV. DE VIAS PUBL.|MCO|Padrão|4|15|60|Ativo|</t>
        </r>
      </text>
    </comment>
    <comment ref="A1068" authorId="0" shapeId="0" xr:uid="{00000000-0006-0000-0000-000030050000}">
      <text>
        <r>
          <rPr>
            <sz val="10"/>
            <color indexed="81"/>
            <rFont val="Lucida Console"/>
            <family val="3"/>
          </rPr>
          <t>Mantido o valor anterior</t>
        </r>
      </text>
    </comment>
    <comment ref="X1068" authorId="0" shapeId="0" xr:uid="{00000000-0006-0000-0000-000031050000}">
      <text>
        <r>
          <rPr>
            <sz val="10"/>
            <color indexed="81"/>
            <rFont val="Lucida Console"/>
            <family val="3"/>
          </rPr>
          <t>104832|DISPENSADOR PARA PAPEL TOALHA INTERFOLHA. DIMENSOES: 320X250X130MM (AXLXP)|1|51|37|MAT.E EQUIP. P/ CONSTR.CIVIL E CONSERV. DE VIAS PUBL.|MCO|Padrão|4|11|44|CANCELADO|</t>
        </r>
      </text>
    </comment>
    <comment ref="A1069" authorId="0" shapeId="0" xr:uid="{00000000-0006-0000-0000-000032050000}">
      <text>
        <r>
          <rPr>
            <sz val="10"/>
            <color indexed="81"/>
            <rFont val="Lucida Console"/>
            <family val="3"/>
          </rPr>
          <t>Mantido o valor anterior</t>
        </r>
      </text>
    </comment>
    <comment ref="X1069" authorId="0" shapeId="0" xr:uid="{00000000-0006-0000-0000-000033050000}">
      <text>
        <r>
          <rPr>
            <sz val="10"/>
            <color indexed="81"/>
            <rFont val="Lucida Console"/>
            <family val="3"/>
          </rPr>
          <t>58977|PORTA PAPEL HIGIENICO - ROLO INDUSTRIAL|1|51|37|MAT.E EQUIP. P/ CONSTR.CIVIL E CONSERV. DE VIAS PUBL.|MCO|Padrão|4|8|32|CANCELADO|</t>
        </r>
      </text>
    </comment>
    <comment ref="A1070" authorId="0" shapeId="0" xr:uid="{00000000-0006-0000-0000-000034050000}">
      <text>
        <r>
          <rPr>
            <sz val="10"/>
            <color indexed="81"/>
            <rFont val="Lucida Console"/>
            <family val="3"/>
          </rPr>
          <t>Mantido o valor anterior</t>
        </r>
      </text>
    </comment>
    <comment ref="X1070" authorId="0" shapeId="0" xr:uid="{00000000-0006-0000-0000-000035050000}">
      <text>
        <r>
          <rPr>
            <sz val="10"/>
            <color indexed="81"/>
            <rFont val="Lucida Console"/>
            <family val="3"/>
          </rPr>
          <t>106631|SABONETEIRA EM ABS NA COR BRANCA|1|51|37|MAT.E EQUIP. P/ CONSTR.CIVIL E CONSERV. DE VIAS PUBL.|MCO|Padrão|4|11|44|CANCELADO|</t>
        </r>
      </text>
    </comment>
    <comment ref="A1071" authorId="0" shapeId="0" xr:uid="{00000000-0006-0000-0000-000036050000}">
      <text>
        <r>
          <rPr>
            <sz val="10"/>
            <color indexed="81"/>
            <rFont val="Lucida Console"/>
            <family val="3"/>
          </rPr>
          <t>Mantido o valor anterior</t>
        </r>
      </text>
    </comment>
    <comment ref="X1071" authorId="0" shapeId="0" xr:uid="{00000000-0006-0000-0000-000037050000}">
      <text>
        <r>
          <rPr>
            <sz val="10"/>
            <color indexed="81"/>
            <rFont val="Lucida Console"/>
            <family val="3"/>
          </rPr>
          <t>98819|PENEIRA DE ARAME - MALHA MEDIA, ARO DE MADEIRA - 55 CM||51|49|MAT.E EQUIP. P/ CONSTR.CIVIL E CONSERV. DE VIAS PUBL.|MCO|Padrão|4|3|12|CANCELADO|</t>
        </r>
      </text>
    </comment>
    <comment ref="A1072" authorId="0" shapeId="0" xr:uid="{00000000-0006-0000-0000-000038050000}">
      <text>
        <r>
          <rPr>
            <sz val="10"/>
            <color indexed="81"/>
            <rFont val="Lucida Console"/>
            <family val="3"/>
          </rPr>
          <t>Mantido o valor anterior</t>
        </r>
      </text>
    </comment>
    <comment ref="X1072" authorId="0" shapeId="0" xr:uid="{00000000-0006-0000-0000-000039050000}">
      <text>
        <r>
          <rPr>
            <sz val="10"/>
            <color indexed="81"/>
            <rFont val="Lucida Console"/>
            <family val="3"/>
          </rPr>
          <t>112160|PLUG MOVEL 2P 90° PADRAO NBR 14136 DE 20A/250V GIGANTE|1|55|7|EQUIP. MAT. P/ GERACAO, TRANSM. DISTR. RETIF...|MEL|Padrão|4|3|12|Ativo|</t>
        </r>
      </text>
    </comment>
    <comment ref="A1073" authorId="0" shapeId="0" xr:uid="{00000000-0006-0000-0000-00003A050000}">
      <text>
        <r>
          <rPr>
            <sz val="10"/>
            <color indexed="81"/>
            <rFont val="Lucida Console"/>
            <family val="3"/>
          </rPr>
          <t>Mantido o valor anterior</t>
        </r>
      </text>
    </comment>
    <comment ref="X1073" authorId="0" shapeId="0" xr:uid="{00000000-0006-0000-0000-00003B050000}">
      <text>
        <r>
          <rPr>
            <sz val="10"/>
            <color indexed="81"/>
            <rFont val="Lucida Console"/>
            <family val="3"/>
          </rPr>
          <t>110890|CABO DE COBRE FLEXIVEL BITOLA  95 MM²,  750 V ISOLACAO DE PVC 70° C, COR VERDE - ANTI-CHAMA.|1|55|19|EQUIP. MAT. P/ GERACAO, TRANSM. DISTR. RETIF...|MEL|Padrão|4|15|60|Ativo|</t>
        </r>
      </text>
    </comment>
    <comment ref="A1074" authorId="0" shapeId="0" xr:uid="{00000000-0006-0000-0000-00003C050000}">
      <text>
        <r>
          <rPr>
            <sz val="10"/>
            <color indexed="81"/>
            <rFont val="Lucida Console"/>
            <family val="3"/>
          </rPr>
          <t>Mantido o valor anterior</t>
        </r>
      </text>
    </comment>
    <comment ref="X1074" authorId="0" shapeId="0" xr:uid="{00000000-0006-0000-0000-00003D050000}">
      <text>
        <r>
          <rPr>
            <sz val="10"/>
            <color indexed="81"/>
            <rFont val="Lucida Console"/>
            <family val="3"/>
          </rPr>
          <t>119628|CABO DE COBRE FLEXIVEL BITOLA 25 MM², 0.6/1 KV, ISOLACAO DE PVC 70ºC, COR VERDE - ANTICHAMA - ROLO COM 100 METROS|1|55|19|EQUIP. MAT. P/ GERACAO, TRANSM. DISTR. RETIF...|MEL|Padrão|4|54|216|Ativo|</t>
        </r>
      </text>
    </comment>
    <comment ref="A1075" authorId="0" shapeId="0" xr:uid="{00000000-0006-0000-0000-00003E050000}">
      <text>
        <r>
          <rPr>
            <sz val="10"/>
            <color indexed="81"/>
            <rFont val="Lucida Console"/>
            <family val="3"/>
          </rPr>
          <t>Mantido o valor anterior</t>
        </r>
      </text>
    </comment>
    <comment ref="X1075" authorId="0" shapeId="0" xr:uid="{00000000-0006-0000-0000-00003F050000}">
      <text>
        <r>
          <rPr>
            <sz val="10"/>
            <color indexed="81"/>
            <rFont val="Lucida Console"/>
            <family val="3"/>
          </rPr>
          <t>108463|CABO DE COBRE FLEXIVEL BITOLA 35 MM²,  0,6/1 KV ISOLACAO DE PVC 70° C, COR PRETA|1|55|19|EQUIP. MAT. P/ GERACAO, TRANSM. DISTR. RETIF...|MEL|Padrão|4|181|724|Ativo|</t>
        </r>
      </text>
    </comment>
    <comment ref="A1076" authorId="0" shapeId="0" xr:uid="{00000000-0006-0000-0000-000040050000}">
      <text>
        <r>
          <rPr>
            <sz val="10"/>
            <color indexed="81"/>
            <rFont val="Lucida Console"/>
            <family val="3"/>
          </rPr>
          <t>Mantido o valor anterior</t>
        </r>
      </text>
    </comment>
    <comment ref="X1076" authorId="0" shapeId="0" xr:uid="{00000000-0006-0000-0000-000041050000}">
      <text>
        <r>
          <rPr>
            <sz val="10"/>
            <color indexed="81"/>
            <rFont val="Lucida Console"/>
            <family val="3"/>
          </rPr>
          <t>101917|CABO DE COBRE FLEXIVEL, BITOLA 10,0 MM2, 1KV, ISOLACAO DE PVC 70º, COR AZUL CLARO|1|55|19|EQUIP. MAT. P/ GERACAO, TRANSM. DISTR. RETIF...|MEL|Padrão|4|100|400|Ativo|</t>
        </r>
      </text>
    </comment>
    <comment ref="A1077" authorId="0" shapeId="0" xr:uid="{00000000-0006-0000-0000-000042050000}">
      <text>
        <r>
          <rPr>
            <sz val="10"/>
            <color indexed="81"/>
            <rFont val="Lucida Console"/>
            <family val="3"/>
          </rPr>
          <t>Mantido o valor anterior</t>
        </r>
      </text>
    </comment>
    <comment ref="X1077" authorId="0" shapeId="0" xr:uid="{00000000-0006-0000-0000-000043050000}">
      <text>
        <r>
          <rPr>
            <sz val="10"/>
            <color indexed="81"/>
            <rFont val="Lucida Console"/>
            <family val="3"/>
          </rPr>
          <t>99810|CABO DE COBRE FLEXIVEL, BITOLA 10,0MM2, 1KV,  ISOLACAO DE PVC 70ºC, COR PRETA|1|55|19|EQUIP. MAT. P/ GERACAO, TRANSM. DISTR. RETIF...|MEL|Padrão|4|595|2380|Ativo|</t>
        </r>
      </text>
    </comment>
    <comment ref="A1078" authorId="0" shapeId="0" xr:uid="{00000000-0006-0000-0000-000044050000}">
      <text>
        <r>
          <rPr>
            <sz val="10"/>
            <color indexed="81"/>
            <rFont val="Lucida Console"/>
            <family val="3"/>
          </rPr>
          <t>Mantido o valor anterior</t>
        </r>
      </text>
    </comment>
    <comment ref="X1078" authorId="0" shapeId="0" xr:uid="{00000000-0006-0000-0000-000045050000}">
      <text>
        <r>
          <rPr>
            <sz val="10"/>
            <color indexed="81"/>
            <rFont val="Lucida Console"/>
            <family val="3"/>
          </rPr>
          <t>102791|CABO DE COBRE FLEXIVEL, BITOLA 35,0MM2, 1KV,  ISOLACAO DE PVC 70ºC, COR VERDE|1|55|19|EQUIP. MAT. P/ GERACAO, TRANSM. DISTR. RETIF...|MEL|Padrão|4|44|176|Ativo|</t>
        </r>
      </text>
    </comment>
    <comment ref="A1079" authorId="0" shapeId="0" xr:uid="{00000000-0006-0000-0000-000046050000}">
      <text>
        <r>
          <rPr>
            <sz val="10"/>
            <color indexed="81"/>
            <rFont val="Lucida Console"/>
            <family val="3"/>
          </rPr>
          <t>Mantido o valor anterior</t>
        </r>
      </text>
    </comment>
    <comment ref="X1079" authorId="0" shapeId="0" xr:uid="{00000000-0006-0000-0000-000047050000}">
      <text>
        <r>
          <rPr>
            <sz val="10"/>
            <color indexed="81"/>
            <rFont val="Lucida Console"/>
            <family val="3"/>
          </rPr>
          <t>64302|CABO FLEXIVEL - 6 MM2 - PRETO|1|55|19|EQUIP. MAT. P/ GERACAO, TRANSM. DISTR. RETIF...|MEL|Padrão|4|1050|4200|Ativo|</t>
        </r>
      </text>
    </comment>
    <comment ref="A1080" authorId="0" shapeId="0" xr:uid="{00000000-0006-0000-0000-000048050000}">
      <text>
        <r>
          <rPr>
            <sz val="10"/>
            <color indexed="81"/>
            <rFont val="Lucida Console"/>
            <family val="3"/>
          </rPr>
          <t>Mantido o valor anterior</t>
        </r>
      </text>
    </comment>
    <comment ref="X1080" authorId="0" shapeId="0" xr:uid="{00000000-0006-0000-0000-000049050000}">
      <text>
        <r>
          <rPr>
            <sz val="10"/>
            <color indexed="81"/>
            <rFont val="Lucida Console"/>
            <family val="3"/>
          </rPr>
          <t>92111|CABO FLEXIVEL 25MM, 1KV - COR PRETO|1|55|19|EQUIP. MAT. P/ GERACAO, TRANSM. DISTR. RETIF...|MEL|Padrão|4|135|540|Ativo|</t>
        </r>
      </text>
    </comment>
    <comment ref="A1081" authorId="0" shapeId="0" xr:uid="{00000000-0006-0000-0000-00004A050000}">
      <text>
        <r>
          <rPr>
            <sz val="10"/>
            <color indexed="81"/>
            <rFont val="Lucida Console"/>
            <family val="3"/>
          </rPr>
          <t>Mantido o valor anterior</t>
        </r>
      </text>
    </comment>
    <comment ref="X1081" authorId="0" shapeId="0" xr:uid="{00000000-0006-0000-0000-00004B050000}">
      <text>
        <r>
          <rPr>
            <sz val="10"/>
            <color indexed="81"/>
            <rFont val="Lucida Console"/>
            <family val="3"/>
          </rPr>
          <t>103251|CABO FLEXIVEL BITOLA 16,0 MM2, 1 KV, ISOLACAO DE PVC 70º,  ANTI-CHAMA. COR AZUL CLARA|1|55|19|EQUIP. MAT. P/ GERACAO, TRANSM. DISTR. RETIF...|MEL|Padrão|4|134|536|Ativo|</t>
        </r>
      </text>
    </comment>
    <comment ref="A1082" authorId="0" shapeId="0" xr:uid="{00000000-0006-0000-0000-00004C050000}">
      <text>
        <r>
          <rPr>
            <sz val="10"/>
            <color indexed="81"/>
            <rFont val="Lucida Console"/>
            <family val="3"/>
          </rPr>
          <t>Mantido o valor anterior</t>
        </r>
      </text>
    </comment>
    <comment ref="X1082" authorId="0" shapeId="0" xr:uid="{00000000-0006-0000-0000-00004D050000}">
      <text>
        <r>
          <rPr>
            <sz val="10"/>
            <color indexed="81"/>
            <rFont val="Lucida Console"/>
            <family val="3"/>
          </rPr>
          <t>76777|CABO FLEXIVEL BITOLA 16,0 MM2, 750 VOLTS, ISOLACAO DE PVC 70° C, COR PRETA|1|55|19|EQUIP. MAT. P/ GERACAO, TRANSM. DISTR. RETIF...|MEL|Padrão|4|470|1880|Ativo|</t>
        </r>
      </text>
    </comment>
    <comment ref="A1083" authorId="0" shapeId="0" xr:uid="{00000000-0006-0000-0000-00004E050000}">
      <text>
        <r>
          <rPr>
            <sz val="10"/>
            <color indexed="81"/>
            <rFont val="Lucida Console"/>
            <family val="3"/>
          </rPr>
          <t>Mantido o valor anterior</t>
        </r>
      </text>
    </comment>
    <comment ref="X1083" authorId="0" shapeId="0" xr:uid="{00000000-0006-0000-0000-00004F050000}">
      <text>
        <r>
          <rPr>
            <sz val="10"/>
            <color indexed="81"/>
            <rFont val="Lucida Console"/>
            <family val="3"/>
          </rPr>
          <t>76776|CABO FLEXIVEL BITOLA 4,0 MM2, 750 VOLTS, ISOLACAO DE PVC 70° C, COR PRETA|1|55|19|EQUIP. MAT. P/ GERACAO, TRANSM. DISTR. RETIF...|MEL|Padrão|4|934|3736|Ativo|</t>
        </r>
      </text>
    </comment>
    <comment ref="A1084" authorId="0" shapeId="0" xr:uid="{00000000-0006-0000-0000-000050050000}">
      <text>
        <r>
          <rPr>
            <sz val="10"/>
            <color indexed="81"/>
            <rFont val="Lucida Console"/>
            <family val="3"/>
          </rPr>
          <t>Mantido o valor anterior</t>
        </r>
      </text>
    </comment>
    <comment ref="X1084" authorId="0" shapeId="0" xr:uid="{00000000-0006-0000-0000-000051050000}">
      <text>
        <r>
          <rPr>
            <sz val="10"/>
            <color indexed="81"/>
            <rFont val="Lucida Console"/>
            <family val="3"/>
          </rPr>
          <t>76780|CABO FLEXIVEL BITOLA 4,0 MM2, 750 VOLTS, ISOLACAO DE PVC 70° C, COR VERDE|1|55|19|EQUIP. MAT. P/ GERACAO, TRANSM. DISTR. RETIF...|MEL|Padrão|4|300|1200|Ativo|</t>
        </r>
      </text>
    </comment>
    <comment ref="A1085" authorId="0" shapeId="0" xr:uid="{00000000-0006-0000-0000-000052050000}">
      <text>
        <r>
          <rPr>
            <sz val="10"/>
            <color indexed="81"/>
            <rFont val="Lucida Console"/>
            <family val="3"/>
          </rPr>
          <t>Mantido o valor anterior</t>
        </r>
      </text>
    </comment>
    <comment ref="X1085" authorId="0" shapeId="0" xr:uid="{00000000-0006-0000-0000-000053050000}">
      <text>
        <r>
          <rPr>
            <sz val="10"/>
            <color indexed="81"/>
            <rFont val="Lucida Console"/>
            <family val="3"/>
          </rPr>
          <t>128817|TAMPA CEGA DE ALUMINIO PARA CONDULETE DE 1.1/2"|1|55|32|EQUIP. MAT. P/ GERACAO, TRANSM. DISTR. RETIF...|MEL|Padrão|4|1|4|Ativo|</t>
        </r>
      </text>
    </comment>
    <comment ref="A1086" authorId="0" shapeId="0" xr:uid="{00000000-0006-0000-0000-000054050000}">
      <text>
        <r>
          <rPr>
            <sz val="10"/>
            <color indexed="81"/>
            <rFont val="Lucida Console"/>
            <family val="3"/>
          </rPr>
          <t>Mantido o valor anterior</t>
        </r>
      </text>
    </comment>
    <comment ref="X1086" authorId="0" shapeId="0" xr:uid="{00000000-0006-0000-0000-000055050000}">
      <text>
        <r>
          <rPr>
            <sz val="10"/>
            <color indexed="81"/>
            <rFont val="Lucida Console"/>
            <family val="3"/>
          </rPr>
          <t>14014|ABRACADEIRA REGULAVEL ROSCA SEM FIM DE 3/4"|1|55|46|EQUIP. MAT. P/ GERACAO, TRANSM. DISTR. RETIF...|MEL|Padrão|4|1|4|CANCELADO|</t>
        </r>
      </text>
    </comment>
    <comment ref="A1087" authorId="0" shapeId="0" xr:uid="{00000000-0006-0000-0000-000056050000}">
      <text>
        <r>
          <rPr>
            <sz val="10"/>
            <color indexed="81"/>
            <rFont val="Lucida Console"/>
            <family val="3"/>
          </rPr>
          <t>Mantido o valor anterior</t>
        </r>
      </text>
    </comment>
    <comment ref="X1087" authorId="0" shapeId="0" xr:uid="{00000000-0006-0000-0000-000057050000}">
      <text>
        <r>
          <rPr>
            <sz val="10"/>
            <color indexed="81"/>
            <rFont val="Lucida Console"/>
            <family val="3"/>
          </rPr>
          <t>133812|REATOR ELETROMAGNETICO DE ALTA PRESSAO PARA LAMPADA A VAPOR DE SODIO E METALICA, 250W, 220V/60HZ, USO INTERNO|1|55|55|EQUIP. MAT. P/ GERACAO, TRANSM. DISTR. RETIF...|MEL|Padrão|4|20|80|Ativo|</t>
        </r>
      </text>
    </comment>
    <comment ref="A1088" authorId="0" shapeId="0" xr:uid="{00000000-0006-0000-0000-000058050000}">
      <text>
        <r>
          <rPr>
            <sz val="10"/>
            <color indexed="81"/>
            <rFont val="Lucida Console"/>
            <family val="3"/>
          </rPr>
          <t>Mantido o valor anterior</t>
        </r>
      </text>
    </comment>
    <comment ref="X1088" authorId="0" shapeId="0" xr:uid="{00000000-0006-0000-0000-000059050000}">
      <text>
        <r>
          <rPr>
            <sz val="10"/>
            <color indexed="81"/>
            <rFont val="Lucida Console"/>
            <family val="3"/>
          </rPr>
          <t>132613|LAMPADA LED BULBO 20W - LAMPADA LED BULBO, BASE E27, POTENCIA 20W, TENSAO 100-240V|1|55|66|EQUIP. MAT. P/ GERACAO, TRANSM. DISTR. RETIF...|MEL|Padrão|4|86|344|CANCELADO|</t>
        </r>
      </text>
    </comment>
    <comment ref="A1089" authorId="0" shapeId="0" xr:uid="{00000000-0006-0000-0000-00005A050000}">
      <text>
        <r>
          <rPr>
            <sz val="10"/>
            <color indexed="81"/>
            <rFont val="Lucida Console"/>
            <family val="3"/>
          </rPr>
          <t>Mantido o valor anterior</t>
        </r>
      </text>
    </comment>
    <comment ref="X1089" authorId="0" shapeId="0" xr:uid="{00000000-0006-0000-0000-00005B050000}">
      <text>
        <r>
          <rPr>
            <sz val="10"/>
            <color indexed="81"/>
            <rFont val="Lucida Console"/>
            <family val="3"/>
          </rPr>
          <t>99796|CURVA LONGA DE ACO P/ELETRODUTO GALVANIZADO A FOGO - DIAMETRO 1 1/2"|1|61|8|MATERIAL HIDRAULICO, CANOS, TUBOS, MANGUEIRAS, CONEXOES E ACESS.|MHI|Padrão|4|1|4|CANCELADO|</t>
        </r>
      </text>
    </comment>
    <comment ref="A1090" authorId="0" shapeId="0" xr:uid="{00000000-0006-0000-0000-00005C050000}">
      <text>
        <r>
          <rPr>
            <sz val="10"/>
            <color indexed="81"/>
            <rFont val="Lucida Console"/>
            <family val="3"/>
          </rPr>
          <t>Mantido o valor anterior</t>
        </r>
      </text>
    </comment>
    <comment ref="X1090" authorId="0" shapeId="0" xr:uid="{00000000-0006-0000-0000-00005D050000}">
      <text>
        <r>
          <rPr>
            <sz val="10"/>
            <color indexed="81"/>
            <rFont val="Lucida Console"/>
            <family val="3"/>
          </rPr>
          <t>15029|ENGATE DE PVC BRANCO FLEXIVEL DE 1/2"- COMP. 40 CM P/|1|61|10|MATERIAL HIDRAULICO, CANOS, TUBOS, MANGUEIRAS, CONEXOES E ACESS.|MHI|Padrão|4|44|176|Ativo|</t>
        </r>
      </text>
    </comment>
    <comment ref="A1091" authorId="0" shapeId="0" xr:uid="{00000000-0006-0000-0000-00005E050000}">
      <text>
        <r>
          <rPr>
            <sz val="10"/>
            <color indexed="81"/>
            <rFont val="Lucida Console"/>
            <family val="3"/>
          </rPr>
          <t>Mantido o valor anterior</t>
        </r>
      </text>
    </comment>
    <comment ref="X1091" authorId="0" shapeId="0" xr:uid="{00000000-0006-0000-0000-00005F050000}">
      <text>
        <r>
          <rPr>
            <sz val="10"/>
            <color indexed="81"/>
            <rFont val="Lucida Console"/>
            <family val="3"/>
          </rPr>
          <t>30658|VALVULA P/ PIA AMERICANA EM PVC CROMADO - 1.1/2"|1|61|15|MATERIAL HIDRAULICO, CANOS, TUBOS, MANGUEIRAS, CONEXOES E ACESS.|MHI|Padrão|4|2|8|CANCELADO|</t>
        </r>
      </text>
    </comment>
    <comment ref="A1092" authorId="0" shapeId="0" xr:uid="{00000000-0006-0000-0000-000060050000}">
      <text>
        <r>
          <rPr>
            <sz val="10"/>
            <color indexed="81"/>
            <rFont val="Lucida Console"/>
            <family val="3"/>
          </rPr>
          <t>Mantido o valor anterior</t>
        </r>
      </text>
    </comment>
    <comment ref="J1092" authorId="1" shapeId="0" xr:uid="{00000000-0006-0000-0000-000061050000}">
      <text>
        <r>
          <rPr>
            <b/>
            <sz val="9"/>
            <color indexed="81"/>
            <rFont val="Segoe UI"/>
            <family val="2"/>
          </rPr>
          <t xml:space="preserve">
Planilha do Laércio 06/06/2019.</t>
        </r>
        <r>
          <rPr>
            <sz val="9"/>
            <color indexed="81"/>
            <rFont val="Segoe UI"/>
            <family val="2"/>
          </rPr>
          <t xml:space="preserve">
</t>
        </r>
      </text>
    </comment>
    <comment ref="X1092" authorId="0" shapeId="0" xr:uid="{00000000-0006-0000-0000-000062050000}">
      <text>
        <r>
          <rPr>
            <sz val="10"/>
            <color indexed="81"/>
            <rFont val="Lucida Console"/>
            <family val="3"/>
          </rPr>
          <t>72052|VERNIZ MARITIMO - GALAO C/ 3,6 LITROS|1|76|5|EQUIP. E MATERIAIS P/PINTURAS E IMPERMEABILIZACAO|MPI|Padrão|4|2|8|Ativo|</t>
        </r>
      </text>
    </comment>
    <comment ref="A1093" authorId="0" shapeId="0" xr:uid="{00000000-0006-0000-0000-000063050000}">
      <text>
        <r>
          <rPr>
            <sz val="10"/>
            <color indexed="81"/>
            <rFont val="Lucida Console"/>
            <family val="3"/>
          </rPr>
          <t>Mantido o valor anterior</t>
        </r>
      </text>
    </comment>
    <comment ref="X1093" authorId="0" shapeId="0" xr:uid="{00000000-0006-0000-0000-000064050000}">
      <text>
        <r>
          <rPr>
            <sz val="10"/>
            <color indexed="81"/>
            <rFont val="Lucida Console"/>
            <family val="3"/>
          </rPr>
          <t>51013|TINTA LATEX ACRILICA FOSCA - PESSEGO - 18 LITROS||76|10|EQUIP. E MATERIAIS P/PINTURAS E IMPERMEABILIZACAO|MPI|Padrão|4|1|4|CANCELADO|</t>
        </r>
      </text>
    </comment>
    <comment ref="A1094" authorId="0" shapeId="0" xr:uid="{00000000-0006-0000-0000-000065050000}">
      <text>
        <r>
          <rPr>
            <sz val="10"/>
            <color indexed="81"/>
            <rFont val="Lucida Console"/>
            <family val="3"/>
          </rPr>
          <t>Mantido o valor anterior</t>
        </r>
      </text>
    </comment>
    <comment ref="X1094" authorId="0" shapeId="0" xr:uid="{00000000-0006-0000-0000-000066050000}">
      <text>
        <r>
          <rPr>
            <sz val="10"/>
            <color indexed="81"/>
            <rFont val="Lucida Console"/>
            <family val="3"/>
          </rPr>
          <t>136676|CAMISA DE BRIM N° 5, CONFECCIONADA EM TECIDO 100% ALGODAO, NA COR AZUL MARINHO, MANGAS LONGAS.||62|1|VEST., ART.P/ TOUC.E HIG. PES. MAQ., EQUIP., MAT.E ACES.|ADM|Padrão|4|0|0|Ativo|</t>
        </r>
      </text>
    </comment>
    <comment ref="A1095" authorId="0" shapeId="0" xr:uid="{00000000-0006-0000-0000-000067050000}">
      <text>
        <r>
          <rPr>
            <sz val="10"/>
            <color indexed="81"/>
            <rFont val="Lucida Console"/>
            <family val="3"/>
          </rPr>
          <t>Mantido o valor anterior</t>
        </r>
      </text>
    </comment>
    <comment ref="X1095" authorId="0" shapeId="0" xr:uid="{00000000-0006-0000-0000-000068050000}">
      <text>
        <r>
          <rPr>
            <sz val="10"/>
            <color indexed="81"/>
            <rFont val="Lucida Console"/>
            <family val="3"/>
          </rPr>
          <t>30772|DESENTUPIDOR DE BACIA SANITARIA, CABO LONGO|1|72|5|MAQ.EQUIP.E MATERIAIS P/ HIGIEN.LIMP.POLIM.E LUBR.|ADM|Padrão|4|5|20|CANCELADO|</t>
        </r>
      </text>
    </comment>
    <comment ref="A1096" authorId="0" shapeId="0" xr:uid="{00000000-0006-0000-0000-000069050000}">
      <text>
        <r>
          <rPr>
            <sz val="10"/>
            <color indexed="81"/>
            <rFont val="Lucida Console"/>
            <family val="3"/>
          </rPr>
          <t>Mantido o valor anterior</t>
        </r>
      </text>
    </comment>
    <comment ref="X1096" authorId="0" shapeId="0" xr:uid="{00000000-0006-0000-0000-00006A050000}">
      <text>
        <r>
          <rPr>
            <sz val="10"/>
            <color indexed="81"/>
            <rFont val="Lucida Console"/>
            <family val="3"/>
          </rPr>
          <t>12675|LAVATINA DE NYLON P/ VASO SANITARIO (VASSOURINHA)|1|72|5|MAQ.EQUIP.E MATERIAIS P/ HIGIEN.LIMP.POLIM.E LUBR.|ADM|Padrão|4|7|28|CANCELADO|</t>
        </r>
      </text>
    </comment>
    <comment ref="A1097" authorId="0" shapeId="0" xr:uid="{00000000-0006-0000-0000-00006B050000}">
      <text>
        <r>
          <rPr>
            <sz val="10"/>
            <color indexed="81"/>
            <rFont val="Lucida Console"/>
            <family val="3"/>
          </rPr>
          <t>Mantido o valor anterior</t>
        </r>
      </text>
    </comment>
    <comment ref="X1097" authorId="0" shapeId="0" xr:uid="{00000000-0006-0000-0000-00006C050000}">
      <text>
        <r>
          <rPr>
            <sz val="10"/>
            <color indexed="81"/>
            <rFont val="Lucida Console"/>
            <family val="3"/>
          </rPr>
          <t>66786|SABONETE LIQUIDO PEROLADO - BOMBONA C/ 05 LITROS|1|72|9|MAQ.EQUIP.E MATERIAIS P/ HIGIEN.LIMP.POLIM.E LUBR.|ADM|Padrão|4|113|452|CANCELADO|</t>
        </r>
      </text>
    </comment>
    <comment ref="A1098" authorId="0" shapeId="0" xr:uid="{00000000-0006-0000-0000-00006D050000}">
      <text>
        <r>
          <rPr>
            <sz val="10"/>
            <color indexed="81"/>
            <rFont val="Lucida Console"/>
            <family val="3"/>
          </rPr>
          <t>Mantido o valor anterior</t>
        </r>
      </text>
    </comment>
    <comment ref="X1098" authorId="0" shapeId="0" xr:uid="{00000000-0006-0000-0000-00006E050000}">
      <text>
        <r>
          <rPr>
            <sz val="10"/>
            <color indexed="81"/>
            <rFont val="Lucida Console"/>
            <family val="3"/>
          </rPr>
          <t>26508|ASSENTO EM MADEIRA  REVESTIDO C/ LAMINADO MELAMINICO 10MM|1|78|6|MOBILIARIO E COFRE|ADM|Padrão|4|128|512|CANCELADO|</t>
        </r>
      </text>
    </comment>
    <comment ref="A1099" authorId="0" shapeId="0" xr:uid="{00000000-0006-0000-0000-00006F050000}">
      <text>
        <r>
          <rPr>
            <sz val="10"/>
            <color indexed="81"/>
            <rFont val="Lucida Console"/>
            <family val="3"/>
          </rPr>
          <t>Mantido o valor anterior</t>
        </r>
      </text>
    </comment>
    <comment ref="X1099" authorId="0" shapeId="0" xr:uid="{00000000-0006-0000-0000-000070050000}">
      <text>
        <r>
          <rPr>
            <sz val="10"/>
            <color indexed="81"/>
            <rFont val="Lucida Console"/>
            <family val="3"/>
          </rPr>
          <t>26503|ENCOSTO EM MADEIRA COMPENSADA MULTILAMINADA, C/ FRENTE E|1|78|6|MOBILIARIO E COFRE|ADM|Padrão|4|125|500|CANCELADO|</t>
        </r>
      </text>
    </comment>
    <comment ref="A1100" authorId="0" shapeId="0" xr:uid="{00000000-0006-0000-0000-000071050000}">
      <text>
        <r>
          <rPr>
            <sz val="10"/>
            <color indexed="81"/>
            <rFont val="Lucida Console"/>
            <family val="3"/>
          </rPr>
          <t>Mantido o valor anterior</t>
        </r>
      </text>
    </comment>
    <comment ref="X1100" authorId="0" shapeId="0" xr:uid="{00000000-0006-0000-0000-000072050000}">
      <text>
        <r>
          <rPr>
            <sz val="10"/>
            <color indexed="81"/>
            <rFont val="Lucida Console"/>
            <family val="3"/>
          </rPr>
          <t>104755|TAMPO PARA CARTEIRA - VERDE CLARO - 400MM X 600MM X 18MM|1|78|6|MOBILIARIO E COFRE|ADM|Padrão|4|109|436|CANCELADO|</t>
        </r>
      </text>
    </comment>
    <comment ref="A1101" authorId="0" shapeId="0" xr:uid="{00000000-0006-0000-0000-000073050000}">
      <text>
        <r>
          <rPr>
            <sz val="10"/>
            <color indexed="81"/>
            <rFont val="Lucida Console"/>
            <family val="3"/>
          </rPr>
          <t>Mantido o valor anterior</t>
        </r>
      </text>
    </comment>
    <comment ref="X1101" authorId="0" shapeId="0" xr:uid="{00000000-0006-0000-0000-000074050000}">
      <text>
        <r>
          <rPr>
            <sz val="10"/>
            <color indexed="81"/>
            <rFont val="Lucida Console"/>
            <family val="3"/>
          </rPr>
          <t>135699|APONTADOR PARA LAPIS Nº 02, COM DEPOSITO.|1|45|9|MAQ., EQUIP., COMP., ACES., MAT. PARA ESCRIT.E ESCOLAR|EDU|Padrão|4|0|0|Ativo|</t>
        </r>
      </text>
    </comment>
    <comment ref="A1102" authorId="0" shapeId="0" xr:uid="{00000000-0006-0000-0000-000075050000}">
      <text>
        <r>
          <rPr>
            <sz val="10"/>
            <color indexed="81"/>
            <rFont val="Lucida Console"/>
            <family val="3"/>
          </rPr>
          <t>Mantido o valor anterior</t>
        </r>
      </text>
    </comment>
    <comment ref="X1102" authorId="0" shapeId="0" xr:uid="{00000000-0006-0000-0000-000076050000}">
      <text>
        <r>
          <rPr>
            <sz val="10"/>
            <color indexed="81"/>
            <rFont val="Lucida Console"/>
            <family val="3"/>
          </rPr>
          <t>133778|BORRACHA BRANCA COMUM (SEM CINTA), MEDIDA: 40MM X 30MM X 10MM.|1|45|9|MAQ., EQUIP., COMP., ACES., MAT. PARA ESCRIT.E ESCOLAR|EDU|Padrão|4||0|CANCELADO|</t>
        </r>
      </text>
    </comment>
    <comment ref="A1103" authorId="0" shapeId="0" xr:uid="{00000000-0006-0000-0000-000077050000}">
      <text>
        <r>
          <rPr>
            <sz val="10"/>
            <color indexed="81"/>
            <rFont val="Lucida Console"/>
            <family val="3"/>
          </rPr>
          <t>Mantido o valor anterior</t>
        </r>
      </text>
    </comment>
    <comment ref="X1103" authorId="0" shapeId="0" xr:uid="{00000000-0006-0000-0000-000078050000}">
      <text>
        <r>
          <rPr>
            <sz val="10"/>
            <color indexed="81"/>
            <rFont val="Lucida Console"/>
            <family val="3"/>
          </rPr>
          <t>133953|CANETA HIDROGRAFICA PONTA FINA/MEDIA, CONJUNTO COM 12  CORES|1|45|9|MAQ., EQUIP., COMP., ACES., MAT. PARA ESCRIT.E ESCOLAR|EDU|Padrão|4||0|CANCELADO|</t>
        </r>
      </text>
    </comment>
    <comment ref="A1104" authorId="0" shapeId="0" xr:uid="{00000000-0006-0000-0000-000079050000}">
      <text>
        <r>
          <rPr>
            <sz val="10"/>
            <color indexed="81"/>
            <rFont val="Lucida Console"/>
            <family val="3"/>
          </rPr>
          <t>Mantido o valor anterior</t>
        </r>
      </text>
    </comment>
    <comment ref="X1104" authorId="0" shapeId="0" xr:uid="{00000000-0006-0000-0000-00007A050000}">
      <text>
        <r>
          <rPr>
            <sz val="10"/>
            <color indexed="81"/>
            <rFont val="Lucida Console"/>
            <family val="3"/>
          </rPr>
          <t>133955|LAPIS DE COR, SEXTAVADO, COM 24 CORES|1|45|9|MAQ., EQUIP., COMP., ACES., MAT. PARA ESCRIT.E ESCOLAR|EDU|Padrão|4||0|CANCELADO|</t>
        </r>
      </text>
    </comment>
    <comment ref="A1105" authorId="0" shapeId="0" xr:uid="{00000000-0006-0000-0000-00007B050000}">
      <text>
        <r>
          <rPr>
            <sz val="10"/>
            <color indexed="81"/>
            <rFont val="Lucida Console"/>
            <family val="3"/>
          </rPr>
          <t>Mantido o valor anterior</t>
        </r>
      </text>
    </comment>
    <comment ref="X1105" authorId="0" shapeId="0" xr:uid="{00000000-0006-0000-0000-00007C050000}">
      <text>
        <r>
          <rPr>
            <sz val="10"/>
            <color indexed="81"/>
            <rFont val="Lucida Console"/>
            <family val="3"/>
          </rPr>
          <t>135700|LAPIS GRAFITE Nº 2, SEXTAVADO, CORPO FEITO EM MADEIRA.|1|45|9|MAQ., EQUIP., COMP., ACES., MAT. PARA ESCRIT.E ESCOLAR|EDU|Padrão|4||0|CANCELADO|</t>
        </r>
      </text>
    </comment>
    <comment ref="A1106" authorId="0" shapeId="0" xr:uid="{00000000-0006-0000-0000-00007D050000}">
      <text>
        <r>
          <rPr>
            <sz val="10"/>
            <color indexed="81"/>
            <rFont val="Lucida Console"/>
            <family val="3"/>
          </rPr>
          <t>Mantido o valor anterior</t>
        </r>
      </text>
    </comment>
    <comment ref="X1106" authorId="0" shapeId="0" xr:uid="{00000000-0006-0000-0000-00007E050000}">
      <text>
        <r>
          <rPr>
            <sz val="10"/>
            <color indexed="81"/>
            <rFont val="Lucida Console"/>
            <family val="3"/>
          </rPr>
          <t>131933|PASTA PLASTICA COM ELASTICO, SEM LOMBADA, MEDINDO 235MM X 350MM|1|45|9|MAQ., EQUIP., COMP., ACES., MAT. PARA ESCRIT.E ESCOLAR|EDU|Padrão|4||0|CANCELADO|</t>
        </r>
      </text>
    </comment>
    <comment ref="A1107" authorId="0" shapeId="0" xr:uid="{00000000-0006-0000-0000-00007F050000}">
      <text>
        <r>
          <rPr>
            <sz val="10"/>
            <color indexed="81"/>
            <rFont val="Lucida Console"/>
            <family val="3"/>
          </rPr>
          <t>Mantido o valor anterior</t>
        </r>
      </text>
    </comment>
    <comment ref="X1107" authorId="0" shapeId="0" xr:uid="{00000000-0006-0000-0000-000080050000}">
      <text>
        <r>
          <rPr>
            <sz val="10"/>
            <color indexed="81"/>
            <rFont val="Lucida Console"/>
            <family val="3"/>
          </rPr>
          <t>133793|REGUA DE 30CM EM POLIESTIRENO. COR: TRANSPARENTE, CRISTAL.|1|45|9|MAQ., EQUIP., COMP., ACES., MAT. PARA ESCRIT.E ESCOLAR|EDU|Padrão|4||0|CANCELADO|</t>
        </r>
      </text>
    </comment>
    <comment ref="A1108" authorId="0" shapeId="0" xr:uid="{00000000-0006-0000-0000-000081050000}">
      <text>
        <r>
          <rPr>
            <sz val="10"/>
            <color indexed="81"/>
            <rFont val="Lucida Console"/>
            <family val="3"/>
          </rPr>
          <t>Mantido o valor anterior</t>
        </r>
      </text>
    </comment>
    <comment ref="X1108" authorId="0" shapeId="0" xr:uid="{00000000-0006-0000-0000-000082050000}">
      <text>
        <r>
          <rPr>
            <sz val="10"/>
            <color indexed="81"/>
            <rFont val="Lucida Console"/>
            <family val="3"/>
          </rPr>
          <t>133956|CANETA ESFEROGRAFICA AZUL, CORPO SEXTAVADO.|1|45|10|MAQ., EQUIP., COMP., ACES., MAT. PARA ESCRIT.E ESCOLAR|EDU|Padrão|4||0|CANCELADO|</t>
        </r>
      </text>
    </comment>
    <comment ref="A1109" authorId="0" shapeId="0" xr:uid="{00000000-0006-0000-0000-000083050000}">
      <text>
        <r>
          <rPr>
            <sz val="10"/>
            <color indexed="81"/>
            <rFont val="Lucida Console"/>
            <family val="3"/>
          </rPr>
          <t>Mantido o valor anterior</t>
        </r>
      </text>
    </comment>
    <comment ref="X1109" authorId="0" shapeId="0" xr:uid="{00000000-0006-0000-0000-000084050000}">
      <text>
        <r>
          <rPr>
            <sz val="10"/>
            <color indexed="81"/>
            <rFont val="Lucida Console"/>
            <family val="3"/>
          </rPr>
          <t>133957|CANETA ESFEROGRAFICA VERMELHA, CORPO SEXTAVADO.|1|45|10|MAQ., EQUIP., COMP., ACES., MAT. PARA ESCRIT.E ESCOLAR|EDU|Padrão|4||0|CANCELADO|</t>
        </r>
      </text>
    </comment>
    <comment ref="A1110" authorId="0" shapeId="0" xr:uid="{00000000-0006-0000-0000-000085050000}">
      <text>
        <r>
          <rPr>
            <sz val="10"/>
            <color indexed="81"/>
            <rFont val="Lucida Console"/>
            <family val="3"/>
          </rPr>
          <t>Mantido o valor anterior</t>
        </r>
      </text>
    </comment>
    <comment ref="X1110" authorId="0" shapeId="0" xr:uid="{00000000-0006-0000-0000-000086050000}">
      <text>
        <r>
          <rPr>
            <sz val="10"/>
            <color indexed="81"/>
            <rFont val="Lucida Console"/>
            <family val="3"/>
          </rPr>
          <t>133779|CADERNO BROCHURA, 96 FOLHAS, CAPA DURA.|1|45|11|MAQ., EQUIP., COMP., ACES., MAT. PARA ESCRIT.E ESCOLAR|EDU|Padrão|4||0|CANCELADO|</t>
        </r>
      </text>
    </comment>
    <comment ref="A1111" authorId="0" shapeId="0" xr:uid="{00000000-0006-0000-0000-000087050000}">
      <text>
        <r>
          <rPr>
            <sz val="10"/>
            <color indexed="81"/>
            <rFont val="Lucida Console"/>
            <family val="3"/>
          </rPr>
          <t>Mantido o valor anterior</t>
        </r>
      </text>
    </comment>
    <comment ref="X1111" authorId="0" shapeId="0" xr:uid="{00000000-0006-0000-0000-000088050000}">
      <text>
        <r>
          <rPr>
            <sz val="10"/>
            <color indexed="81"/>
            <rFont val="Lucida Console"/>
            <family val="3"/>
          </rPr>
          <t>133950|CADERNO DE DESENHO ESPIRAL, 96 FOLHAS, CAPA DURA.|1|45|11|MAQ., EQUIP., COMP., ACES., MAT. PARA ESCRIT.E ESCOLAR|EDU|Padrão|4||0|CANCELADO|</t>
        </r>
      </text>
    </comment>
    <comment ref="A1112" authorId="0" shapeId="0" xr:uid="{00000000-0006-0000-0000-000089050000}">
      <text>
        <r>
          <rPr>
            <sz val="10"/>
            <color indexed="81"/>
            <rFont val="Lucida Console"/>
            <family val="3"/>
          </rPr>
          <t>Mantido o valor anterior</t>
        </r>
      </text>
    </comment>
    <comment ref="X1112" authorId="0" shapeId="0" xr:uid="{00000000-0006-0000-0000-00008A050000}">
      <text>
        <r>
          <rPr>
            <sz val="10"/>
            <color indexed="81"/>
            <rFont val="Lucida Console"/>
            <family val="3"/>
          </rPr>
          <t>133781|CADERNO ESPIRAL CAPA DURA 1/4 96 FLS, CAPA DURA.|1|45|11|MAQ., EQUIP., COMP., ACES., MAT. PARA ESCRIT.E ESCOLAR|EDU|Padrão|4||0|CANCELADO|</t>
        </r>
      </text>
    </comment>
    <comment ref="A1113" authorId="0" shapeId="0" xr:uid="{00000000-0006-0000-0000-00008B050000}">
      <text>
        <r>
          <rPr>
            <sz val="10"/>
            <color indexed="81"/>
            <rFont val="Lucida Console"/>
            <family val="3"/>
          </rPr>
          <t>Mantido o valor anterior</t>
        </r>
      </text>
    </comment>
    <comment ref="X1113" authorId="0" shapeId="0" xr:uid="{00000000-0006-0000-0000-00008C050000}">
      <text>
        <r>
          <rPr>
            <sz val="10"/>
            <color indexed="81"/>
            <rFont val="Lucida Console"/>
            <family val="3"/>
          </rPr>
          <t>133782|CADERNO ESPIRAL UNIVERSITARIO, 200 FOLHAS, CAPA DURA.|1|45|11|MAQ., EQUIP., COMP., ACES., MAT. PARA ESCRIT.E ESCOLAR|EDU|Padrão|4||0|CANCELADO|</t>
        </r>
      </text>
    </comment>
    <comment ref="A1114" authorId="0" shapeId="0" xr:uid="{00000000-0006-0000-0000-00008D050000}">
      <text>
        <r>
          <rPr>
            <sz val="10"/>
            <color indexed="81"/>
            <rFont val="Lucida Console"/>
            <family val="3"/>
          </rPr>
          <t>Mantido o valor anterior</t>
        </r>
      </text>
    </comment>
    <comment ref="X1114" authorId="0" shapeId="0" xr:uid="{00000000-0006-0000-0000-00008E050000}">
      <text>
        <r>
          <rPr>
            <sz val="10"/>
            <color indexed="81"/>
            <rFont val="Lucida Console"/>
            <family val="3"/>
          </rPr>
          <t>133783|CADERNO ESPIRAL UNIVERSITARIO, 96 FOLHAS, CAPA DURA.|1|45|11|MAQ., EQUIP., COMP., ACES., MAT. PARA ESCRIT.E ESCOLAR|EDU|Padrão|4||0|CANCELADO|</t>
        </r>
      </text>
    </comment>
    <comment ref="A1115" authorId="0" shapeId="0" xr:uid="{00000000-0006-0000-0000-00008F050000}">
      <text>
        <r>
          <rPr>
            <sz val="10"/>
            <color indexed="81"/>
            <rFont val="Lucida Console"/>
            <family val="3"/>
          </rPr>
          <t>Mantido o valor anterior</t>
        </r>
      </text>
    </comment>
    <comment ref="X1115" authorId="0" shapeId="0" xr:uid="{00000000-0006-0000-0000-000090050000}">
      <text>
        <r>
          <rPr>
            <sz val="10"/>
            <color indexed="81"/>
            <rFont val="Lucida Console"/>
            <family val="3"/>
          </rPr>
          <t>135704|TESOURA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INMETRO.|1|45|12|MAQ., EQUIP., COMP., ACES., MAT. PARA ESCRIT.E ESCOLAR|EDU|Padrão|4|0|0|Ativo|</t>
        </r>
      </text>
    </comment>
    <comment ref="A1116" authorId="0" shapeId="0" xr:uid="{00000000-0006-0000-0000-000091050000}">
      <text>
        <r>
          <rPr>
            <sz val="10"/>
            <color indexed="81"/>
            <rFont val="Lucida Console"/>
            <family val="3"/>
          </rPr>
          <t>Mantido o valor anterior</t>
        </r>
      </text>
    </comment>
    <comment ref="X1116" authorId="0" shapeId="0" xr:uid="{00000000-0006-0000-0000-000092050000}">
      <text>
        <r>
          <rPr>
            <sz val="10"/>
            <color indexed="81"/>
            <rFont val="Lucida Console"/>
            <family val="3"/>
          </rPr>
          <t>133954|GIZ DE CERA JUMBO, COM NO MINIMO 12 CORES, ATOXICO.|1|45|16|MAQ., EQUIP., COMP., ACES., MAT. PARA ESCRIT.E ESCOLAR|EDU|Padrão|4||0|CANCELADO|</t>
        </r>
      </text>
    </comment>
    <comment ref="A1117" authorId="0" shapeId="0" xr:uid="{00000000-0006-0000-0000-000093050000}">
      <text>
        <r>
          <rPr>
            <sz val="10"/>
            <color indexed="81"/>
            <rFont val="Lucida Console"/>
            <family val="3"/>
          </rPr>
          <t>Mantido o valor anterior</t>
        </r>
      </text>
    </comment>
    <comment ref="X1117" authorId="0" shapeId="0" xr:uid="{00000000-0006-0000-0000-000094050000}">
      <text>
        <r>
          <rPr>
            <sz val="10"/>
            <color indexed="81"/>
            <rFont val="Lucida Console"/>
            <family val="3"/>
          </rPr>
          <t>118660|PLASTICO CRISTAL TRANSPARENTE DE 0,40 MICRONS X 1,40 M LARGURA  X 30 M DE COMPRIMENTO|1|45|29|MAQ., EQUIP., COMP., ACES., MAT. PARA ESCRIT.E ESCOLAR|EDU|Padrão|4||0|Ativo|</t>
        </r>
      </text>
    </comment>
    <comment ref="A1118" authorId="0" shapeId="0" xr:uid="{00000000-0006-0000-0000-000095050000}">
      <text>
        <r>
          <rPr>
            <sz val="10"/>
            <color indexed="81"/>
            <rFont val="Lucida Console"/>
            <family val="3"/>
          </rPr>
          <t>Mantido o valor anterior</t>
        </r>
      </text>
    </comment>
    <comment ref="X1118" authorId="0" shapeId="0" xr:uid="{00000000-0006-0000-0000-000096050000}">
      <text>
        <r>
          <rPr>
            <sz val="10"/>
            <color indexed="81"/>
            <rFont val="Lucida Console"/>
            <family val="3"/>
          </rPr>
          <t>128308|SENSOR INFRAVERMELHO DUPLO|1|56|1|EQUIP. COMP. MAT. ELETRON. CELULAS E FIBRAS OTICAS|INF|Padrão|4|0|0|CANCELADO|</t>
        </r>
      </text>
    </comment>
    <comment ref="A1119" authorId="0" shapeId="0" xr:uid="{00000000-0006-0000-0000-000097050000}">
      <text>
        <r>
          <rPr>
            <sz val="10"/>
            <color indexed="81"/>
            <rFont val="Lucida Console"/>
            <family val="3"/>
          </rPr>
          <t>Mantido o valor anterior</t>
        </r>
      </text>
    </comment>
    <comment ref="X1119" authorId="0" shapeId="0" xr:uid="{00000000-0006-0000-0000-000098050000}">
      <text>
        <r>
          <rPr>
            <sz val="10"/>
            <color indexed="81"/>
            <rFont val="Lucida Console"/>
            <family val="3"/>
          </rPr>
          <t>130157|CABO PARA ALARME (4 VIAS AWG24) - METROS DE CABO COM QUATRO VIAS DE CORES COM NO MINIMO 4X0,50 MM DE DIAMETRO POR FIO (AWG24) SOLIDO.|1|56|9|EQUIP. COMP. MAT. ELETRON. CELULAS E FIBRAS OTICAS|INF|Padrão|4|25|100|CANCELADO|</t>
        </r>
      </text>
    </comment>
    <comment ref="A1120" authorId="0" shapeId="0" xr:uid="{00000000-0006-0000-0000-000099050000}">
      <text>
        <r>
          <rPr>
            <sz val="10"/>
            <color indexed="81"/>
            <rFont val="Lucida Console"/>
            <family val="3"/>
          </rPr>
          <t>Mantido o valor anterior</t>
        </r>
      </text>
    </comment>
    <comment ref="X1120" authorId="0" shapeId="0" xr:uid="{00000000-0006-0000-0000-00009A050000}">
      <text>
        <r>
          <rPr>
            <sz val="10"/>
            <color indexed="81"/>
            <rFont val="Lucida Console"/>
            <family val="3"/>
          </rPr>
          <t>131221|CHAPA DE POLICARBONATO COMPACTO CRISTAL, ESPESSURA DE 5 MM, TAMANHO: 2000 X 1000 MM - VARIACAO DE +/- 20 MM|1|59|35|EQUIP.MAT.E ACESS.COMUNIC.CINE FOTO OTICA SOM|INF|Padrão|4||0|Ativo|</t>
        </r>
      </text>
    </comment>
    <comment ref="A1121" authorId="0" shapeId="0" xr:uid="{00000000-0006-0000-0000-00009B050000}">
      <text>
        <r>
          <rPr>
            <sz val="10"/>
            <color indexed="81"/>
            <rFont val="Lucida Console"/>
            <family val="3"/>
          </rPr>
          <t>Mantido o valor anterior</t>
        </r>
      </text>
    </comment>
    <comment ref="X1121" authorId="0" shapeId="0" xr:uid="{00000000-0006-0000-0000-00009C050000}">
      <text>
        <r>
          <rPr>
            <sz val="10"/>
            <color indexed="81"/>
            <rFont val="Lucida Console"/>
            <family val="3"/>
          </rPr>
          <t>108732|BOTA DE PVC N° 38 - CANO CURTO|1|54|4|EQUIP PROT IND, INST MAT P/ SINAL, CONTR, COMB ...|MAN|Padrão|4|1|4|CANCELADO|</t>
        </r>
      </text>
    </comment>
    <comment ref="A1122" authorId="0" shapeId="0" xr:uid="{00000000-0006-0000-0000-00009D050000}">
      <text>
        <r>
          <rPr>
            <sz val="10"/>
            <color indexed="81"/>
            <rFont val="Lucida Console"/>
            <family val="3"/>
          </rPr>
          <t>Mantido o valor anterior</t>
        </r>
      </text>
    </comment>
    <comment ref="X1122" authorId="0" shapeId="0" xr:uid="{00000000-0006-0000-0000-00009E050000}">
      <text>
        <r>
          <rPr>
            <sz val="10"/>
            <color indexed="81"/>
            <rFont val="Lucida Console"/>
            <family val="3"/>
          </rPr>
          <t>108734|BOTA DE PVC N° 40 - CANO CURTO|1|54|4|EQUIP PROT IND, INST MAT P/ SINAL, CONTR, COMB ...|MAN|Padrão|4|1|4|CANCELADO|</t>
        </r>
      </text>
    </comment>
    <comment ref="A1123" authorId="0" shapeId="0" xr:uid="{00000000-0006-0000-0000-00009F050000}">
      <text>
        <r>
          <rPr>
            <sz val="10"/>
            <color indexed="81"/>
            <rFont val="Lucida Console"/>
            <family val="3"/>
          </rPr>
          <t>Mantido o valor anterior</t>
        </r>
      </text>
    </comment>
    <comment ref="X1123" authorId="0" shapeId="0" xr:uid="{00000000-0006-0000-0000-0000A0050000}">
      <text>
        <r>
          <rPr>
            <sz val="10"/>
            <color indexed="81"/>
            <rFont val="Lucida Console"/>
            <family val="3"/>
          </rPr>
          <t>108735|BOTA DE PVC N° 41 - CANO CURTO|1|54|4|EQUIP PROT IND, INST MAT P/ SINAL, CONTR, COMB ...|MAN|Padrão|4|1|4|CANCELADO|</t>
        </r>
      </text>
    </comment>
    <comment ref="A1124" authorId="0" shapeId="0" xr:uid="{00000000-0006-0000-0000-0000A1050000}">
      <text>
        <r>
          <rPr>
            <sz val="10"/>
            <color indexed="81"/>
            <rFont val="Lucida Console"/>
            <family val="3"/>
          </rPr>
          <t>Mantido o valor anterior</t>
        </r>
      </text>
    </comment>
    <comment ref="X1124" authorId="0" shapeId="0" xr:uid="{00000000-0006-0000-0000-0000A2050000}">
      <text>
        <r>
          <rPr>
            <sz val="10"/>
            <color indexed="81"/>
            <rFont val="Lucida Console"/>
            <family val="3"/>
          </rPr>
          <t>108736|BOTA DE PVC N° 42 - CANO CURTO|1|54|4|EQUIP PROT IND, INST MAT P/ SINAL, CONTR, COMB ...|MAN|Padrão|4|1|4|CANCELADO|</t>
        </r>
      </text>
    </comment>
    <comment ref="A1125" authorId="0" shapeId="0" xr:uid="{00000000-0006-0000-0000-0000A3050000}">
      <text>
        <r>
          <rPr>
            <sz val="10"/>
            <color indexed="81"/>
            <rFont val="Lucida Console"/>
            <family val="3"/>
          </rPr>
          <t>Mantido o valor anterior</t>
        </r>
      </text>
    </comment>
    <comment ref="X1125" authorId="0" shapeId="0" xr:uid="{00000000-0006-0000-0000-0000A4050000}">
      <text>
        <r>
          <rPr>
            <sz val="10"/>
            <color indexed="81"/>
            <rFont val="Lucida Console"/>
            <family val="3"/>
          </rPr>
          <t>136837|BOTA DE PVC, CANO LONGO Nº 36 - BOTA DE SEGURANCA NA COR PRETA, CONFECCIONADA EM PVC, CANO LONGO, IMPERMEAVEL INTEIRO POLIMERICO, PROPRIEDADES ANTIDERRAPANTES.|1|54|4|EQUIP PROT IND, INST MAT P/ SINAL, CONTR, COMB ...|MAN|Padrão|4|0|0|Ativo|</t>
        </r>
      </text>
    </comment>
    <comment ref="A1126" authorId="0" shapeId="0" xr:uid="{00000000-0006-0000-0000-0000A5050000}">
      <text>
        <r>
          <rPr>
            <sz val="10"/>
            <color indexed="81"/>
            <rFont val="Lucida Console"/>
            <family val="3"/>
          </rPr>
          <t>Mantido o valor anterior</t>
        </r>
      </text>
    </comment>
    <comment ref="X1126" authorId="0" shapeId="0" xr:uid="{00000000-0006-0000-0000-0000A6050000}">
      <text>
        <r>
          <rPr>
            <sz val="10"/>
            <color indexed="81"/>
            <rFont val="Lucida Console"/>
            <family val="3"/>
          </rPr>
          <t>136838|BOTA DE PVC, CANO LONGO Nº 37 - BOTA DE SEGURANCA NA COR PRETA, CONFECCIONADA EM PVC, CANO LONGO, IMPERMEAVEL INTEIRO POLIMERICO, PROPRIEDADES ANTIDERRAPANTES.|1|54|4|EQUIP PROT IND, INST MAT P/ SINAL, CONTR, COMB ...|MAN|Padrão|4|0|0|Ativo|</t>
        </r>
      </text>
    </comment>
    <comment ref="A1127" authorId="0" shapeId="0" xr:uid="{00000000-0006-0000-0000-0000A7050000}">
      <text>
        <r>
          <rPr>
            <sz val="10"/>
            <color indexed="81"/>
            <rFont val="Lucida Console"/>
            <family val="3"/>
          </rPr>
          <t>Mantido o valor anterior</t>
        </r>
      </text>
    </comment>
    <comment ref="X1127" authorId="0" shapeId="0" xr:uid="{00000000-0006-0000-0000-0000A8050000}">
      <text>
        <r>
          <rPr>
            <sz val="10"/>
            <color indexed="81"/>
            <rFont val="Lucida Console"/>
            <family val="3"/>
          </rPr>
          <t>136839|BOTA DE PVC, CANO LONGO Nº 38 - BOTA DE SEGURANCA NA COR PRETA, CONFECCIONADA EM PVC, CANO LONGO, IMPERMEAVEL INTEIRO POLIMERICO, PROPRIEDADES ANTIDERRAPANTES.|1|54|4|EQUIP PROT IND, INST MAT P/ SINAL, CONTR, COMB ...|MAN|Padrão|4|0|0|Ativo|</t>
        </r>
      </text>
    </comment>
    <comment ref="A1128" authorId="0" shapeId="0" xr:uid="{00000000-0006-0000-0000-0000A9050000}">
      <text>
        <r>
          <rPr>
            <sz val="10"/>
            <color indexed="81"/>
            <rFont val="Lucida Console"/>
            <family val="3"/>
          </rPr>
          <t>Mantido o valor anterior</t>
        </r>
      </text>
    </comment>
    <comment ref="X1128" authorId="0" shapeId="0" xr:uid="{00000000-0006-0000-0000-0000AA050000}">
      <text>
        <r>
          <rPr>
            <sz val="10"/>
            <color indexed="81"/>
            <rFont val="Lucida Console"/>
            <family val="3"/>
          </rPr>
          <t>136840|BOTA DE PVC, CANO LONGO Nº 39 - BOTA DE SEGURANCA NA COR PRETA, CONFECCIONADA EM PVC, CANO LONGO, IMPERMEAVEL INTEIRO POLIMERICO, PROPRIEDADES ANTIDERRAPANTES.|1|54|4|EQUIP PROT IND, INST MAT P/ SINAL, CONTR, COMB ...|MAN|Padrão|4|0|0|Ativo|</t>
        </r>
      </text>
    </comment>
    <comment ref="A1129" authorId="0" shapeId="0" xr:uid="{00000000-0006-0000-0000-0000AB050000}">
      <text>
        <r>
          <rPr>
            <sz val="10"/>
            <color indexed="81"/>
            <rFont val="Lucida Console"/>
            <family val="3"/>
          </rPr>
          <t>Mantido o valor anterior</t>
        </r>
      </text>
    </comment>
    <comment ref="X1129" authorId="0" shapeId="0" xr:uid="{00000000-0006-0000-0000-0000AC050000}">
      <text>
        <r>
          <rPr>
            <sz val="10"/>
            <color indexed="81"/>
            <rFont val="Lucida Console"/>
            <family val="3"/>
          </rPr>
          <t>136841|BOTA DE PVC, CANO LONGO Nº 40 - BOTA DE SEGURANCA NA COR PRETA, CONFECCIONADA EM PVC, CANO LONGO, IMPERMEAVEL INTEIRO POLIMERICO, PROPRIEDADES ANTIDERRAPANTES.|1|54|4|EQUIP PROT IND, INST MAT P/ SINAL, CONTR, COMB ...|MAN|Padrão|4|0|0|Ativo|</t>
        </r>
      </text>
    </comment>
    <comment ref="A1130" authorId="0" shapeId="0" xr:uid="{00000000-0006-0000-0000-0000AD050000}">
      <text>
        <r>
          <rPr>
            <sz val="10"/>
            <color indexed="81"/>
            <rFont val="Lucida Console"/>
            <family val="3"/>
          </rPr>
          <t>Mantido o valor anterior</t>
        </r>
      </text>
    </comment>
    <comment ref="X1130" authorId="0" shapeId="0" xr:uid="{00000000-0006-0000-0000-0000AE050000}">
      <text>
        <r>
          <rPr>
            <sz val="10"/>
            <color indexed="81"/>
            <rFont val="Lucida Console"/>
            <family val="3"/>
          </rPr>
          <t>136842|BOTA DE PVC, CANO LONGO Nº 41 - BOTA DE SEGURANCA NA COR PRETA, CONFECCIONADA EM PVC, CANO LONGO, IMPERMEAVEL INTEIRO POLIMERICO, PROPRIEDADES ANTIDERRAPANTES.|1|54|4|EQUIP PROT IND, INST MAT P/ SINAL, CONTR, COMB ...|MAN|Padrão|4|0|0|Ativo|</t>
        </r>
      </text>
    </comment>
    <comment ref="A1131" authorId="0" shapeId="0" xr:uid="{00000000-0006-0000-0000-0000AF050000}">
      <text>
        <r>
          <rPr>
            <sz val="10"/>
            <color indexed="81"/>
            <rFont val="Lucida Console"/>
            <family val="3"/>
          </rPr>
          <t>Mantido o valor anterior</t>
        </r>
      </text>
    </comment>
    <comment ref="X1131" authorId="0" shapeId="0" xr:uid="{00000000-0006-0000-0000-0000B0050000}">
      <text>
        <r>
          <rPr>
            <sz val="10"/>
            <color indexed="81"/>
            <rFont val="Lucida Console"/>
            <family val="3"/>
          </rPr>
          <t>136843|BOTA DE PVC, CANO LONGO Nº 42 - BOTA DE SEGURANCA NA COR PRETA, CONFECCIONADA EM PVC, CANO LONGO, IMPERMEAVEL INTEIRO POLIMERICO, PROPRIEDADES ANTIDERRAPANTES.|1|54|4|EQUIP PROT IND, INST MAT P/ SINAL, CONTR, COMB ...|MAN|Padrão|4|0|0|Ativo|</t>
        </r>
      </text>
    </comment>
    <comment ref="A1132" authorId="0" shapeId="0" xr:uid="{00000000-0006-0000-0000-0000B1050000}">
      <text>
        <r>
          <rPr>
            <sz val="10"/>
            <color indexed="81"/>
            <rFont val="Lucida Console"/>
            <family val="3"/>
          </rPr>
          <t>Mantido o valor anterior</t>
        </r>
      </text>
    </comment>
    <comment ref="X1132" authorId="0" shapeId="0" xr:uid="{00000000-0006-0000-0000-0000B2050000}">
      <text>
        <r>
          <rPr>
            <sz val="10"/>
            <color indexed="81"/>
            <rFont val="Lucida Console"/>
            <family val="3"/>
          </rPr>
          <t>136820|BOTINA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TAM:36|1|54|4|EQUIP PROT IND, INST MAT P/ SINAL, CONTR, COMB ...|MAN|Padrão|4|0|0|Ativo|</t>
        </r>
      </text>
    </comment>
    <comment ref="A1133" authorId="0" shapeId="0" xr:uid="{00000000-0006-0000-0000-0000B3050000}">
      <text>
        <r>
          <rPr>
            <sz val="10"/>
            <color indexed="81"/>
            <rFont val="Lucida Console"/>
            <family val="3"/>
          </rPr>
          <t>Mantido o valor anterior</t>
        </r>
      </text>
    </comment>
    <comment ref="X1133" authorId="0" shapeId="0" xr:uid="{00000000-0006-0000-0000-0000B4050000}">
      <text>
        <r>
          <rPr>
            <sz val="10"/>
            <color indexed="81"/>
            <rFont val="Lucida Console"/>
            <family val="3"/>
          </rPr>
          <t>136821|BOTINA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TAM:37|1|54|4|EQUIP PROT IND, INST MAT P/ SINAL, CONTR, COMB ...|MAN|Padrão|4|0|0|Ativo|</t>
        </r>
      </text>
    </comment>
    <comment ref="A1134" authorId="0" shapeId="0" xr:uid="{00000000-0006-0000-0000-0000B5050000}">
      <text>
        <r>
          <rPr>
            <sz val="10"/>
            <color indexed="81"/>
            <rFont val="Lucida Console"/>
            <family val="3"/>
          </rPr>
          <t>Mantido o valor anterior</t>
        </r>
      </text>
    </comment>
    <comment ref="X1134" authorId="0" shapeId="0" xr:uid="{00000000-0006-0000-0000-0000B6050000}">
      <text>
        <r>
          <rPr>
            <sz val="10"/>
            <color indexed="81"/>
            <rFont val="Lucida Console"/>
            <family val="3"/>
          </rPr>
          <t>136822|BOTINA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TAM:38|1|54|4|EQUIP PROT IND, INST MAT P/ SINAL, CONTR, COMB ...|MAN|Padrão|4|0|0|Ativo|</t>
        </r>
      </text>
    </comment>
    <comment ref="A1135" authorId="0" shapeId="0" xr:uid="{00000000-0006-0000-0000-0000B7050000}">
      <text>
        <r>
          <rPr>
            <sz val="10"/>
            <color indexed="81"/>
            <rFont val="Lucida Console"/>
            <family val="3"/>
          </rPr>
          <t>Mantido o valor anterior</t>
        </r>
      </text>
    </comment>
    <comment ref="X1135" authorId="0" shapeId="0" xr:uid="{00000000-0006-0000-0000-0000B8050000}">
      <text>
        <r>
          <rPr>
            <sz val="10"/>
            <color indexed="81"/>
            <rFont val="Lucida Console"/>
            <family val="3"/>
          </rPr>
          <t>135012|CALCADO DE SEGURANCA TIPO BOTINA DE COURO, SOLADO DE PU SEM CADARCO Nº 38||54|4|EQUIP PROT IND, INST MAT P/ SINAL, CONTR, COMB ...|MAN|Padrão|4|0|0|Ativo|</t>
        </r>
      </text>
    </comment>
    <comment ref="A1136" authorId="0" shapeId="0" xr:uid="{00000000-0006-0000-0000-0000B9050000}">
      <text>
        <r>
          <rPr>
            <sz val="10"/>
            <color indexed="81"/>
            <rFont val="Lucida Console"/>
            <family val="3"/>
          </rPr>
          <t>Mantido o valor anterior</t>
        </r>
      </text>
    </comment>
    <comment ref="X1136" authorId="0" shapeId="0" xr:uid="{00000000-0006-0000-0000-0000BA050000}">
      <text>
        <r>
          <rPr>
            <sz val="10"/>
            <color indexed="81"/>
            <rFont val="Lucida Console"/>
            <family val="3"/>
          </rPr>
          <t>135016|CALCADO DE SEGURANCA TIPO BOTINA DE COURO, SOLADO DE PU SEM CADARCO Nº 42||54|4|EQUIP PROT IND, INST MAT P/ SINAL, CONTR, COMB ...|MAN|Padrão|4|0|0|Ativo|</t>
        </r>
      </text>
    </comment>
    <comment ref="A1137" authorId="0" shapeId="0" xr:uid="{00000000-0006-0000-0000-0000BB050000}">
      <text>
        <r>
          <rPr>
            <sz val="10"/>
            <color indexed="81"/>
            <rFont val="Lucida Console"/>
            <family val="3"/>
          </rPr>
          <t>Mantido o valor anterior</t>
        </r>
      </text>
    </comment>
    <comment ref="X1137" authorId="0" shapeId="0" xr:uid="{00000000-0006-0000-0000-0000BC050000}">
      <text>
        <r>
          <rPr>
            <sz val="10"/>
            <color indexed="81"/>
            <rFont val="Lucida Console"/>
            <family val="3"/>
          </rPr>
          <t>105810|CALCADO DE SEGURANCA, N° 45 SEM COMPONENTES METALICOS||54|4|EQUIP PROT IND, INST MAT P/ SINAL, CONTR, COMB ...|MAN|Padrão|4|0|0|CANCELADO|</t>
        </r>
      </text>
    </comment>
    <comment ref="A1138" authorId="0" shapeId="0" xr:uid="{00000000-0006-0000-0000-0000BD050000}">
      <text>
        <r>
          <rPr>
            <sz val="10"/>
            <color indexed="81"/>
            <rFont val="Lucida Console"/>
            <family val="3"/>
          </rPr>
          <t>Mantido o valor anterior</t>
        </r>
      </text>
    </comment>
    <comment ref="X1138" authorId="0" shapeId="0" xr:uid="{00000000-0006-0000-0000-0000BE050000}">
      <text>
        <r>
          <rPr>
            <sz val="10"/>
            <color indexed="81"/>
            <rFont val="Lucida Console"/>
            <family val="3"/>
          </rPr>
          <t>130564|CAPA DE CHUVA NA COR AMARELA, CONFECCIONADA EM PVC LAMINADO COM FORRO DE POLIESTER - TAM. G|1|54|4|EQUIP PROT IND, INST MAT P/ SINAL, CONTR, COMB ...|MAN|Padrão|4||0|Ativo|</t>
        </r>
      </text>
    </comment>
    <comment ref="A1139" authorId="0" shapeId="0" xr:uid="{00000000-0006-0000-0000-0000BF050000}">
      <text>
        <r>
          <rPr>
            <sz val="10"/>
            <color indexed="81"/>
            <rFont val="Lucida Console"/>
            <family val="3"/>
          </rPr>
          <t>Mantido o valor anterior</t>
        </r>
      </text>
    </comment>
    <comment ref="X1139" authorId="0" shapeId="0" xr:uid="{00000000-0006-0000-0000-0000C0050000}">
      <text>
        <r>
          <rPr>
            <sz val="10"/>
            <color indexed="81"/>
            <rFont val="Lucida Console"/>
            <family val="3"/>
          </rPr>
          <t>42681|FILTRO DE LUZ REDONDO P/ MASCARA DE PROTECAO - ESPESS 2MM,|1|54|4|EQUIP PROT IND, INST MAT P/ SINAL, CONTR, COMB ...|MAN|Padrão|4|0|0|Ativo|</t>
        </r>
      </text>
    </comment>
    <comment ref="A1140" authorId="0" shapeId="0" xr:uid="{00000000-0006-0000-0000-0000C1050000}">
      <text>
        <r>
          <rPr>
            <sz val="10"/>
            <color indexed="81"/>
            <rFont val="Lucida Console"/>
            <family val="3"/>
          </rPr>
          <t>Mantido o valor anterior</t>
        </r>
      </text>
    </comment>
    <comment ref="X1140" authorId="0" shapeId="0" xr:uid="{00000000-0006-0000-0000-0000C2050000}">
      <text>
        <r>
          <rPr>
            <sz val="10"/>
            <color indexed="81"/>
            <rFont val="Lucida Console"/>
            <family val="3"/>
          </rPr>
          <t>35238|FILTRO DE LUZ RETANGULAR P/ MASCARA DE PROTECAO, TONALIDADE|1|54|4|EQUIP PROT IND, INST MAT P/ SINAL, CONTR, COMB ...|MAN|Padrão|4|0|0|Ativo|</t>
        </r>
      </text>
    </comment>
    <comment ref="A1141" authorId="0" shapeId="0" xr:uid="{00000000-0006-0000-0000-0000C3050000}">
      <text>
        <r>
          <rPr>
            <sz val="10"/>
            <color indexed="81"/>
            <rFont val="Lucida Console"/>
            <family val="3"/>
          </rPr>
          <t>Mantido o valor anterior</t>
        </r>
      </text>
    </comment>
    <comment ref="X1141" authorId="0" shapeId="0" xr:uid="{00000000-0006-0000-0000-0000C4050000}">
      <text>
        <r>
          <rPr>
            <sz val="10"/>
            <color indexed="81"/>
            <rFont val="Lucida Console"/>
            <family val="3"/>
          </rPr>
          <t>93344|MANGOTE DE RASPA|1|54|4|EQUIP PROT IND, INST MAT P/ SINAL, CONTR, COMB ...|MAN|Padrão|4||0|Ativo|</t>
        </r>
      </text>
    </comment>
    <comment ref="A1142" authorId="0" shapeId="0" xr:uid="{00000000-0006-0000-0000-0000C5050000}">
      <text>
        <r>
          <rPr>
            <sz val="10"/>
            <color indexed="81"/>
            <rFont val="Lucida Console"/>
            <family val="3"/>
          </rPr>
          <t>Mantido o valor anterior</t>
        </r>
      </text>
    </comment>
    <comment ref="X1142" authorId="0" shapeId="0" xr:uid="{00000000-0006-0000-0000-0000C6050000}">
      <text>
        <r>
          <rPr>
            <sz val="10"/>
            <color indexed="81"/>
            <rFont val="Lucida Console"/>
            <family val="3"/>
          </rPr>
          <t>93346|PERNEIRA DE PROTECAO||54|4|EQUIP PROT IND, INST MAT P/ SINAL, CONTR, COMB ...|MAN|Padrão|4|0|0|CANCELADO|</t>
        </r>
      </text>
    </comment>
    <comment ref="A1143" authorId="0" shapeId="0" xr:uid="{00000000-0006-0000-0000-0000C7050000}">
      <text>
        <r>
          <rPr>
            <sz val="10"/>
            <color indexed="81"/>
            <rFont val="Lucida Console"/>
            <family val="3"/>
          </rPr>
          <t>Mantido o valor anterior</t>
        </r>
      </text>
    </comment>
    <comment ref="X1143" authorId="0" shapeId="0" xr:uid="{00000000-0006-0000-0000-0000C8050000}">
      <text>
        <r>
          <rPr>
            <sz val="10"/>
            <color indexed="81"/>
            <rFont val="Lucida Console"/>
            <family val="3"/>
          </rPr>
          <t>130740|RESPIRADOR PURIFICADOR DE AR TIPO PECA SEMIFACIAL FILTRANTE PARA PARTICULAS - PFF2, FORMATO TIPO CONCHA|1|54|4|EQUIP PROT IND, INST MAT P/ SINAL, CONTR, COMB ...|MAN|Padrão|4||0|Ativo|</t>
        </r>
      </text>
    </comment>
    <comment ref="A1144" authorId="0" shapeId="0" xr:uid="{00000000-0006-0000-0000-0000C9050000}">
      <text>
        <r>
          <rPr>
            <sz val="10"/>
            <color indexed="81"/>
            <rFont val="Lucida Console"/>
            <family val="3"/>
          </rPr>
          <t>Mantido o valor anterior</t>
        </r>
      </text>
    </comment>
    <comment ref="X1144" authorId="0" shapeId="0" xr:uid="{00000000-0006-0000-0000-0000CA050000}">
      <text>
        <r>
          <rPr>
            <sz val="10"/>
            <color indexed="81"/>
            <rFont val="Lucida Console"/>
            <family val="3"/>
          </rPr>
          <t>71053|RESPIRADOR SEMI-FACIAL, COM ENCAIXE TIPO ROSCA PARA 02 CARTUCHOS DE FILTROS|1|54|4|EQUIP PROT IND, INST MAT P/ SINAL, CONTR, COMB ...|MAN|Padrão|4|0|0|Ativo|</t>
        </r>
      </text>
    </comment>
    <comment ref="A1145" authorId="0" shapeId="0" xr:uid="{00000000-0006-0000-0000-0000CB050000}">
      <text>
        <r>
          <rPr>
            <sz val="10"/>
            <color indexed="81"/>
            <rFont val="Lucida Console"/>
            <family val="3"/>
          </rPr>
          <t>Mantido o valor anterior</t>
        </r>
      </text>
    </comment>
    <comment ref="X1145" authorId="0" shapeId="0" xr:uid="{00000000-0006-0000-0000-0000CC050000}">
      <text>
        <r>
          <rPr>
            <sz val="10"/>
            <color indexed="81"/>
            <rFont val="Lucida Console"/>
            <family val="3"/>
          </rPr>
          <t>105994|SAPATO DE COURO N° 38, MOD. FEMININO.|1|54|4|EQUIP PROT IND, INST MAT P/ SINAL, CONTR, COMB ...|MAN|Padrão|4|0|0|Ativo|</t>
        </r>
      </text>
    </comment>
    <comment ref="A1146" authorId="0" shapeId="0" xr:uid="{00000000-0006-0000-0000-0000CD050000}">
      <text>
        <r>
          <rPr>
            <sz val="10"/>
            <color indexed="81"/>
            <rFont val="Lucida Console"/>
            <family val="3"/>
          </rPr>
          <t>Mantido o valor anterior</t>
        </r>
      </text>
    </comment>
    <comment ref="X1146" authorId="0" shapeId="0" xr:uid="{00000000-0006-0000-0000-0000CE050000}">
      <text>
        <r>
          <rPr>
            <sz val="10"/>
            <color indexed="81"/>
            <rFont val="Lucida Console"/>
            <family val="3"/>
          </rPr>
          <t>105993|SAPATO DE SEGURANCA N° 37,  MOD. FEMININO.|1|54|4|EQUIP PROT IND, INST MAT P/ SINAL, CONTR, COMB ...|MAN|Padrão|4||0|Ativo|</t>
        </r>
      </text>
    </comment>
    <comment ref="A1147" authorId="0" shapeId="0" xr:uid="{00000000-0006-0000-0000-0000CF050000}">
      <text>
        <r>
          <rPr>
            <sz val="10"/>
            <color indexed="81"/>
            <rFont val="Lucida Console"/>
            <family val="3"/>
          </rPr>
          <t>Mantido o valor anterior</t>
        </r>
      </text>
    </comment>
    <comment ref="X1147" authorId="0" shapeId="0" xr:uid="{00000000-0006-0000-0000-0000D0050000}">
      <text>
        <r>
          <rPr>
            <sz val="10"/>
            <color indexed="81"/>
            <rFont val="Lucida Console"/>
            <family val="3"/>
          </rPr>
          <t>78398|FILTRO QUIMICO PARA  VAPORES ORGANICOS|1|54|9|EQUIP PROT IND, INST MAT P/ SINAL, CONTR, COMB ...|MAN|Padrão|4|0|0|Ativo|</t>
        </r>
      </text>
    </comment>
    <comment ref="A1148" authorId="0" shapeId="0" xr:uid="{00000000-0006-0000-0000-0000D1050000}">
      <text>
        <r>
          <rPr>
            <sz val="10"/>
            <color indexed="81"/>
            <rFont val="Lucida Console"/>
            <family val="3"/>
          </rPr>
          <t>Mantido o valor anterior</t>
        </r>
      </text>
    </comment>
    <comment ref="X1148" authorId="0" shapeId="0" xr:uid="{00000000-0006-0000-0000-0000D2050000}">
      <text>
        <r>
          <rPr>
            <sz val="10"/>
            <color indexed="81"/>
            <rFont val="Lucida Console"/>
            <family val="3"/>
          </rPr>
          <t>128307|BOTAO ALARME PANICO BLOQUEADOR|1|54|16|EQUIP PROT IND, INST MAT P/ SINAL, CONTR, COMB ...|MAN|Padrão|4||0|Ativo|</t>
        </r>
      </text>
    </comment>
    <comment ref="A1149" authorId="0" shapeId="0" xr:uid="{00000000-0006-0000-0000-0000D3050000}">
      <text>
        <r>
          <rPr>
            <sz val="10"/>
            <color indexed="81"/>
            <rFont val="Lucida Console"/>
            <family val="3"/>
          </rPr>
          <t>Mantido o valor anterior</t>
        </r>
      </text>
    </comment>
    <comment ref="X1149" authorId="0" shapeId="0" xr:uid="{00000000-0006-0000-0000-0000D4050000}">
      <text>
        <r>
          <rPr>
            <sz val="10"/>
            <color indexed="81"/>
            <rFont val="Lucida Console"/>
            <family val="3"/>
          </rPr>
          <t>128458|PROTETOR DE LINHA TELEFONICA|1|54|16|EQUIP PROT IND, INST MAT P/ SINAL, CONTR, COMB ...|MAN|Padrão|4|0|0|CANCELADO|</t>
        </r>
      </text>
    </comment>
    <comment ref="A1150" authorId="0" shapeId="0" xr:uid="{00000000-0006-0000-0000-0000D5050000}">
      <text>
        <r>
          <rPr>
            <sz val="10"/>
            <color indexed="81"/>
            <rFont val="Lucida Console"/>
            <family val="3"/>
          </rPr>
          <t>Mantido o valor anterior</t>
        </r>
      </text>
    </comment>
    <comment ref="X1150" authorId="0" shapeId="0" xr:uid="{00000000-0006-0000-0000-0000D6050000}">
      <text>
        <r>
          <rPr>
            <sz val="10"/>
            <color indexed="81"/>
            <rFont val="Lucida Console"/>
            <family val="3"/>
          </rPr>
          <t>69339|PROTETOR DE LINHA, PARA ALARME, TIPO LD|1|54|16|EQUIP PROT IND, INST MAT P/ SINAL, CONTR, COMB ...|MAN|Padrão|4|1|4|CANCELADO|</t>
        </r>
      </text>
    </comment>
    <comment ref="A1151" authorId="0" shapeId="0" xr:uid="{00000000-0006-0000-0000-0000D7050000}">
      <text>
        <r>
          <rPr>
            <sz val="10"/>
            <color indexed="81"/>
            <rFont val="Lucida Console"/>
            <family val="3"/>
          </rPr>
          <t>Mantido o valor anterior</t>
        </r>
      </text>
    </comment>
    <comment ref="X1151" authorId="0" shapeId="0" xr:uid="{00000000-0006-0000-0000-0000D8050000}">
      <text>
        <r>
          <rPr>
            <sz val="10"/>
            <color indexed="81"/>
            <rFont val="Lucida Console"/>
            <family val="3"/>
          </rPr>
          <t>98747|BOTA DE PVC, CANO LONGO - N° 38||54|19|EQUIP PROT IND, INST MAT P/ SINAL, CONTR, COMB ...|MAN|Padrão|4|0|0|Ativo|</t>
        </r>
      </text>
    </comment>
    <comment ref="A1152" authorId="0" shapeId="0" xr:uid="{00000000-0006-0000-0000-0000D9050000}">
      <text>
        <r>
          <rPr>
            <sz val="10"/>
            <color indexed="81"/>
            <rFont val="Lucida Console"/>
            <family val="3"/>
          </rPr>
          <t>Mantido o valor anterior</t>
        </r>
      </text>
    </comment>
    <comment ref="X1152" authorId="0" shapeId="0" xr:uid="{00000000-0006-0000-0000-0000DA050000}">
      <text>
        <r>
          <rPr>
            <sz val="10"/>
            <color indexed="81"/>
            <rFont val="Lucida Console"/>
            <family val="3"/>
          </rPr>
          <t>98748|BOTA DE PVC, CANO LONGO - N° 39||54|19|EQUIP PROT IND, INST MAT P/ SINAL, CONTR, COMB ...|MAN|Padrão|4|0|0|CANCELADO|</t>
        </r>
      </text>
    </comment>
    <comment ref="A1153" authorId="0" shapeId="0" xr:uid="{00000000-0006-0000-0000-0000DB050000}">
      <text>
        <r>
          <rPr>
            <sz val="10"/>
            <color indexed="81"/>
            <rFont val="Lucida Console"/>
            <family val="3"/>
          </rPr>
          <t>Mantido o valor anterior</t>
        </r>
      </text>
    </comment>
    <comment ref="X1153" authorId="0" shapeId="0" xr:uid="{00000000-0006-0000-0000-0000DC050000}">
      <text>
        <r>
          <rPr>
            <sz val="10"/>
            <color indexed="81"/>
            <rFont val="Lucida Console"/>
            <family val="3"/>
          </rPr>
          <t>98749|BOTA DE PVC, CANO LONGO - N° 40||54|19|EQUIP PROT IND, INST MAT P/ SINAL, CONTR, COMB ...|MAN|Padrão|4|0|0|Ativo|</t>
        </r>
      </text>
    </comment>
    <comment ref="A1154" authorId="0" shapeId="0" xr:uid="{00000000-0006-0000-0000-0000DD050000}">
      <text>
        <r>
          <rPr>
            <sz val="10"/>
            <color indexed="81"/>
            <rFont val="Lucida Console"/>
            <family val="3"/>
          </rPr>
          <t>Mantido o valor anterior</t>
        </r>
      </text>
    </comment>
    <comment ref="X1154" authorId="0" shapeId="0" xr:uid="{00000000-0006-0000-0000-0000DE050000}">
      <text>
        <r>
          <rPr>
            <sz val="10"/>
            <color indexed="81"/>
            <rFont val="Lucida Console"/>
            <family val="3"/>
          </rPr>
          <t>98750|BOTA DE PVC, CANO LONGO - N° 41||54|19|EQUIP PROT IND, INST MAT P/ SINAL, CONTR, COMB ...|MAN|Padrão|4|0|0|Ativo|</t>
        </r>
      </text>
    </comment>
    <comment ref="A1155" authorId="0" shapeId="0" xr:uid="{00000000-0006-0000-0000-0000DF050000}">
      <text>
        <r>
          <rPr>
            <sz val="10"/>
            <color indexed="81"/>
            <rFont val="Lucida Console"/>
            <family val="3"/>
          </rPr>
          <t>Mantido o valor anterior</t>
        </r>
      </text>
    </comment>
    <comment ref="X1155" authorId="0" shapeId="0" xr:uid="{00000000-0006-0000-0000-0000E0050000}">
      <text>
        <r>
          <rPr>
            <sz val="10"/>
            <color indexed="81"/>
            <rFont val="Lucida Console"/>
            <family val="3"/>
          </rPr>
          <t>98751|BOTA DE PVC, CANO LONGO - N° 42||54|19|EQUIP PROT IND, INST MAT P/ SINAL, CONTR, COMB ...|MAN|Padrão|4|0|0|Ativo|</t>
        </r>
      </text>
    </comment>
    <comment ref="A1156" authorId="0" shapeId="0" xr:uid="{00000000-0006-0000-0000-0000E1050000}">
      <text>
        <r>
          <rPr>
            <sz val="10"/>
            <color indexed="81"/>
            <rFont val="Lucida Console"/>
            <family val="3"/>
          </rPr>
          <t>Mantido o valor anterior</t>
        </r>
      </text>
    </comment>
    <comment ref="X1156" authorId="0" shapeId="0" xr:uid="{00000000-0006-0000-0000-0000E2050000}">
      <text>
        <r>
          <rPr>
            <sz val="10"/>
            <color indexed="81"/>
            <rFont val="Lucida Console"/>
            <family val="3"/>
          </rPr>
          <t>104626|CALCADO SEM COMPONENTES METALICOS Nº 37||54|19|EQUIP PROT IND, INST MAT P/ SINAL, CONTR, COMB ...|MAN|Padrão|4|0|0|CANCELADO|</t>
        </r>
      </text>
    </comment>
    <comment ref="A1157" authorId="0" shapeId="0" xr:uid="{00000000-0006-0000-0000-0000E3050000}">
      <text>
        <r>
          <rPr>
            <sz val="10"/>
            <color indexed="81"/>
            <rFont val="Lucida Console"/>
            <family val="3"/>
          </rPr>
          <t>Mantido o valor anterior</t>
        </r>
      </text>
    </comment>
    <comment ref="X1157" authorId="0" shapeId="0" xr:uid="{00000000-0006-0000-0000-0000E4050000}">
      <text>
        <r>
          <rPr>
            <sz val="10"/>
            <color indexed="81"/>
            <rFont val="Lucida Console"/>
            <family val="3"/>
          </rPr>
          <t>104627|CALCADO SEM COMPONENTES METALICOS Nº 38||54|19|EQUIP PROT IND, INST MAT P/ SINAL, CONTR, COMB ...|MAN|Padrão|4|0|0|CANCELADO|</t>
        </r>
      </text>
    </comment>
    <comment ref="A1158" authorId="0" shapeId="0" xr:uid="{00000000-0006-0000-0000-0000E5050000}">
      <text>
        <r>
          <rPr>
            <sz val="10"/>
            <color indexed="81"/>
            <rFont val="Lucida Console"/>
            <family val="3"/>
          </rPr>
          <t>Mantido o valor anterior</t>
        </r>
      </text>
    </comment>
    <comment ref="X1158" authorId="0" shapeId="0" xr:uid="{00000000-0006-0000-0000-0000E6050000}">
      <text>
        <r>
          <rPr>
            <sz val="10"/>
            <color indexed="81"/>
            <rFont val="Lucida Console"/>
            <family val="3"/>
          </rPr>
          <t>104639|CALCADO SEM COMPONENTES METALICOS Nº 39|1|54|19|EQUIP PROT IND, INST MAT P/ SINAL, CONTR, COMB ...|MAN|Padrão|4||0|Ativo|</t>
        </r>
      </text>
    </comment>
    <comment ref="A1159" authorId="0" shapeId="0" xr:uid="{00000000-0006-0000-0000-0000E7050000}">
      <text>
        <r>
          <rPr>
            <sz val="10"/>
            <color indexed="81"/>
            <rFont val="Lucida Console"/>
            <family val="3"/>
          </rPr>
          <t>Mantido o valor anterior</t>
        </r>
      </text>
    </comment>
    <comment ref="X1159" authorId="0" shapeId="0" xr:uid="{00000000-0006-0000-0000-0000E8050000}">
      <text>
        <r>
          <rPr>
            <sz val="10"/>
            <color indexed="81"/>
            <rFont val="Lucida Console"/>
            <family val="3"/>
          </rPr>
          <t>104640|CALCADO SEM COMPONENTES METALICOS Nº 40|1|54|19|EQUIP PROT IND, INST MAT P/ SINAL, CONTR, COMB ...|MAN|Padrão|4||0|Ativo|</t>
        </r>
      </text>
    </comment>
    <comment ref="A1160" authorId="0" shapeId="0" xr:uid="{00000000-0006-0000-0000-0000E9050000}">
      <text>
        <r>
          <rPr>
            <sz val="10"/>
            <color indexed="81"/>
            <rFont val="Lucida Console"/>
            <family val="3"/>
          </rPr>
          <t>Mantido o valor anterior</t>
        </r>
      </text>
    </comment>
    <comment ref="X1160" authorId="0" shapeId="0" xr:uid="{00000000-0006-0000-0000-0000EA050000}">
      <text>
        <r>
          <rPr>
            <sz val="10"/>
            <color indexed="81"/>
            <rFont val="Lucida Console"/>
            <family val="3"/>
          </rPr>
          <t>17659|LIXA CINTA DE PANO P/ MADEIRA - 6,00 M X 15 CM - GRAO 60|1|83|3|ABRASIVOS|MAN|Padrão|4||0|Ativo|</t>
        </r>
      </text>
    </comment>
    <comment ref="A1161" authorId="0" shapeId="0" xr:uid="{00000000-0006-0000-0000-0000EB050000}">
      <text>
        <r>
          <rPr>
            <sz val="10"/>
            <color indexed="81"/>
            <rFont val="Lucida Console"/>
            <family val="3"/>
          </rPr>
          <t>Mantido o valor anterior</t>
        </r>
      </text>
    </comment>
    <comment ref="X1161" authorId="0" shapeId="0" xr:uid="{00000000-0006-0000-0000-0000EC050000}">
      <text>
        <r>
          <rPr>
            <sz val="10"/>
            <color indexed="81"/>
            <rFont val="Lucida Console"/>
            <family val="3"/>
          </rPr>
          <t>89855|LIXA CINTA DE PANO P/MADEIRA - 6,90M X 15CM - GRAM. 60|1|83|3|ABRASIVOS|MAN|Padrão|4|0|0|Ativo|</t>
        </r>
      </text>
    </comment>
    <comment ref="A1162" authorId="0" shapeId="0" xr:uid="{00000000-0006-0000-0000-0000ED050000}">
      <text>
        <r>
          <rPr>
            <sz val="10"/>
            <color indexed="81"/>
            <rFont val="Lucida Console"/>
            <family val="3"/>
          </rPr>
          <t>Mantido o valor anterior</t>
        </r>
      </text>
    </comment>
    <comment ref="X1162" authorId="0" shapeId="0" xr:uid="{00000000-0006-0000-0000-0000EE050000}">
      <text>
        <r>
          <rPr>
            <sz val="10"/>
            <color indexed="81"/>
            <rFont val="Lucida Console"/>
            <family val="3"/>
          </rPr>
          <t>64630|LIXA CINTA DE PANO, PARA MADEIRA, GRAU 60 - MED. 1,5 M X 15|1|83|5|ABRASIVOS|MAN|Padrão|4|2|8|Ativo|</t>
        </r>
      </text>
    </comment>
    <comment ref="A1163" authorId="0" shapeId="0" xr:uid="{00000000-0006-0000-0000-0000EF050000}">
      <text>
        <r>
          <rPr>
            <sz val="10"/>
            <color indexed="81"/>
            <rFont val="Lucida Console"/>
            <family val="3"/>
          </rPr>
          <t>Mantido o valor anterior</t>
        </r>
      </text>
    </comment>
    <comment ref="X1163" authorId="0" shapeId="0" xr:uid="{00000000-0006-0000-0000-0000F0050000}">
      <text>
        <r>
          <rPr>
            <sz val="10"/>
            <color indexed="81"/>
            <rFont val="Lucida Console"/>
            <family val="3"/>
          </rPr>
          <t>118864|FECHADURA DE SOBREPOR PARA GAVETA, 22MM|1|51|9|MAT.E EQUIP. P/ CONSTR.CIVIL E CONSERV. DE VIAS PUBL.|MCO|Padrão|4|51|204|CANCELADO|</t>
        </r>
      </text>
    </comment>
    <comment ref="A1164" authorId="0" shapeId="0" xr:uid="{00000000-0006-0000-0000-0000F1050000}">
      <text>
        <r>
          <rPr>
            <sz val="10"/>
            <color indexed="81"/>
            <rFont val="Lucida Console"/>
            <family val="3"/>
          </rPr>
          <t>Mantido o valor anterior</t>
        </r>
      </text>
    </comment>
    <comment ref="X1164" authorId="0" shapeId="0" xr:uid="{00000000-0006-0000-0000-0000F2050000}">
      <text>
        <r>
          <rPr>
            <sz val="10"/>
            <color indexed="81"/>
            <rFont val="Lucida Console"/>
            <family val="3"/>
          </rPr>
          <t>71189|DOBRADICA DE PRESSAO EM ACO, CURVA, COMPLETA, PARA ARMARIOS|1|51|10|MAT.E EQUIP. P/ CONSTR.CIVIL E CONSERV. DE VIAS PUBL.|MCO|Padrão|4||0|Ativo|</t>
        </r>
      </text>
    </comment>
    <comment ref="A1165" authorId="0" shapeId="0" xr:uid="{00000000-0006-0000-0000-0000F3050000}">
      <text>
        <r>
          <rPr>
            <sz val="10"/>
            <color indexed="81"/>
            <rFont val="Lucida Console"/>
            <family val="3"/>
          </rPr>
          <t>Mantido o valor anterior</t>
        </r>
      </text>
    </comment>
    <comment ref="X1165" authorId="0" shapeId="0" xr:uid="{00000000-0006-0000-0000-0000F4050000}">
      <text>
        <r>
          <rPr>
            <sz val="10"/>
            <color indexed="81"/>
            <rFont val="Lucida Console"/>
            <family val="3"/>
          </rPr>
          <t>125260|PISO DE BORRACHA MODELO S, COR : TERRACOTA NA MEDIDA: 270 X 180 X 60 MM.|1|51|21|MAT.E EQUIP. P/ CONSTR.CIVIL E CONSERV. DE VIAS PUBL.|MCO|Padrão|4|27|108|CANCELADO|</t>
        </r>
      </text>
    </comment>
    <comment ref="A1166" authorId="0" shapeId="0" xr:uid="{00000000-0006-0000-0000-0000F5050000}">
      <text>
        <r>
          <rPr>
            <sz val="10"/>
            <color indexed="81"/>
            <rFont val="Lucida Console"/>
            <family val="3"/>
          </rPr>
          <t>Mantido o valor anterior</t>
        </r>
      </text>
    </comment>
    <comment ref="X1166" authorId="0" shapeId="0" xr:uid="{00000000-0006-0000-0000-0000F6050000}">
      <text>
        <r>
          <rPr>
            <sz val="10"/>
            <color indexed="81"/>
            <rFont val="Lucida Console"/>
            <family val="3"/>
          </rPr>
          <t>114255|PISO DE BORRACHA MODELO S, ISENTO DE SUBSTANCIAS TOXICAS COM ABSORCAO DE IMPACTOS ANTI DERRAPANTES, NA MEDIDA 270X180X60MM|1|51|21|MAT.E EQUIP. P/ CONSTR.CIVIL E CONSERV. DE VIAS PUBL.|MCO|Padrão|4|27|108|CANCELADO|</t>
        </r>
      </text>
    </comment>
    <comment ref="A1167" authorId="0" shapeId="0" xr:uid="{00000000-0006-0000-0000-0000F7050000}">
      <text>
        <r>
          <rPr>
            <sz val="10"/>
            <color indexed="81"/>
            <rFont val="Lucida Console"/>
            <family val="3"/>
          </rPr>
          <t>Mantido o valor anterior</t>
        </r>
      </text>
    </comment>
    <comment ref="X1167" authorId="0" shapeId="0" xr:uid="{00000000-0006-0000-0000-0000F8050000}">
      <text>
        <r>
          <rPr>
            <sz val="10"/>
            <color indexed="81"/>
            <rFont val="Lucida Console"/>
            <family val="3"/>
          </rPr>
          <t>13033|CAIXILHO DE FERRO PERFILADO BASCULANTE - MEDIDAS: 0,80 X 0,|1|51|26|MAT.E EQUIP. P/ CONSTR.CIVIL E CONSERV. DE VIAS PUBL.|MCO|Padrão|4|3|12|CANCELADO|</t>
        </r>
      </text>
    </comment>
    <comment ref="A1168" authorId="0" shapeId="0" xr:uid="{00000000-0006-0000-0000-0000F9050000}">
      <text>
        <r>
          <rPr>
            <sz val="10"/>
            <color indexed="81"/>
            <rFont val="Lucida Console"/>
            <family val="3"/>
          </rPr>
          <t>Mantido o valor anterior</t>
        </r>
      </text>
    </comment>
    <comment ref="X1168" authorId="0" shapeId="0" xr:uid="{00000000-0006-0000-0000-0000FA050000}">
      <text>
        <r>
          <rPr>
            <sz val="10"/>
            <color indexed="81"/>
            <rFont val="Lucida Console"/>
            <family val="3"/>
          </rPr>
          <t>26368|CAIXILHO DE FERRO PERFILADO BASCULANTE - MEDIDAS: 1,00 X 1,|1|51|26|MAT.E EQUIP. P/ CONSTR.CIVIL E CONSERV. DE VIAS PUBL.|MCO|Padrão|4|1|4|CANCELADO|</t>
        </r>
      </text>
    </comment>
    <comment ref="A1169" authorId="0" shapeId="0" xr:uid="{00000000-0006-0000-0000-0000FB050000}">
      <text>
        <r>
          <rPr>
            <sz val="10"/>
            <color indexed="81"/>
            <rFont val="Lucida Console"/>
            <family val="3"/>
          </rPr>
          <t>Mantido o valor anterior</t>
        </r>
      </text>
    </comment>
    <comment ref="X1169" authorId="0" shapeId="0" xr:uid="{00000000-0006-0000-0000-0000FC050000}">
      <text>
        <r>
          <rPr>
            <sz val="10"/>
            <color indexed="81"/>
            <rFont val="Lucida Console"/>
            <family val="3"/>
          </rPr>
          <t>75915|RESERVATORIO INTERNO PARA SABONETEIRA EM PLASTICO - CAPACIDADE 800 ML|1|51|37|MAT.E EQUIP. P/ CONSTR.CIVIL E CONSERV. DE VIAS PUBL.|MCO|Padrão|4|8|32|CANCELADO|</t>
        </r>
      </text>
    </comment>
    <comment ref="A1170" authorId="0" shapeId="0" xr:uid="{00000000-0006-0000-0000-0000FD050000}">
      <text>
        <r>
          <rPr>
            <sz val="10"/>
            <color indexed="81"/>
            <rFont val="Lucida Console"/>
            <family val="3"/>
          </rPr>
          <t>Mantido o valor anterior</t>
        </r>
      </text>
    </comment>
    <comment ref="X1170" authorId="0" shapeId="0" xr:uid="{00000000-0006-0000-0000-0000FE050000}">
      <text>
        <r>
          <rPr>
            <sz val="10"/>
            <color indexed="81"/>
            <rFont val="Lucida Console"/>
            <family val="3"/>
          </rPr>
          <t>97965|COLA HOTMELT, BRANCA, GRANULADA - PARA COLADEIRA DE FITA DE BORDO AM 753B - SACO COM 25 KG|1|74|4|MADEIRAS,LAMINADOS,COMPENSADOS E AGLOMERADOS|MCO|Padrão|4|2|8|Ativo|</t>
        </r>
      </text>
    </comment>
    <comment ref="A1171" authorId="0" shapeId="0" xr:uid="{00000000-0006-0000-0000-0000FF050000}">
      <text>
        <r>
          <rPr>
            <sz val="10"/>
            <color indexed="81"/>
            <rFont val="Lucida Console"/>
            <family val="3"/>
          </rPr>
          <t>Mantido o valor anterior</t>
        </r>
      </text>
    </comment>
    <comment ref="X1171" authorId="0" shapeId="0" xr:uid="{00000000-0006-0000-0000-000000060000}">
      <text>
        <r>
          <rPr>
            <sz val="10"/>
            <color indexed="81"/>
            <rFont val="Lucida Console"/>
            <family val="3"/>
          </rPr>
          <t>128389|PROTETOR REDE ELETRICA - PROTECAO CONTRA DESCARGAS ELETRICAS, COMPOSICAO VARISTORES E CENTELHADOR DE GAS, BORNE PARA CONEXAO FIO TERRA, BIVOLT, MONOFASICO 110V OU 220V.|1|55|5|EQUIP. MAT. P/ GERACAO, TRANSM. DISTR. RETIF...|MEL|Padrão|4||0|Ativo|</t>
        </r>
      </text>
    </comment>
    <comment ref="A1172" authorId="0" shapeId="0" xr:uid="{00000000-0006-0000-0000-000001060000}">
      <text>
        <r>
          <rPr>
            <sz val="10"/>
            <color indexed="81"/>
            <rFont val="Lucida Console"/>
            <family val="3"/>
          </rPr>
          <t>Mantido o valor anterior</t>
        </r>
      </text>
    </comment>
    <comment ref="X1172" authorId="0" shapeId="0" xr:uid="{00000000-0006-0000-0000-000002060000}">
      <text>
        <r>
          <rPr>
            <sz val="10"/>
            <color indexed="81"/>
            <rFont val="Lucida Console"/>
            <family val="3"/>
          </rPr>
          <t>68351|SENSOR DE MICROONDAS DE ALARME PARA AREA SEMI ABERTA|1|55|5|EQUIP. MAT. P/ GERACAO, TRANSM. DISTR. RETIF...|MEL|Padrão|4|2|8|CANCELADO|</t>
        </r>
      </text>
    </comment>
    <comment ref="A1173" authorId="0" shapeId="0" xr:uid="{00000000-0006-0000-0000-000003060000}">
      <text>
        <r>
          <rPr>
            <sz val="10"/>
            <color indexed="81"/>
            <rFont val="Lucida Console"/>
            <family val="3"/>
          </rPr>
          <t>Mantido o valor anterior</t>
        </r>
      </text>
    </comment>
    <comment ref="X1173" authorId="0" shapeId="0" xr:uid="{00000000-0006-0000-0000-000004060000}">
      <text>
        <r>
          <rPr>
            <sz val="10"/>
            <color indexed="81"/>
            <rFont val="Lucida Console"/>
            <family val="3"/>
          </rPr>
          <t>127963|CAIXA PARA TELEFONIA TIPO TPF-10 COM TAMPA, PARA USO EXTERNO EM POSTE, COM BLOCO BER 10 PARES, PADRAO ANATEL.|1|55|34|EQUIP. MAT. P/ GERACAO, TRANSM. DISTR. RETIF...|MEL|Padrão|4|0|0|Ativo|</t>
        </r>
      </text>
    </comment>
    <comment ref="A1174" authorId="0" shapeId="0" xr:uid="{00000000-0006-0000-0000-000005060000}">
      <text>
        <r>
          <rPr>
            <sz val="10"/>
            <color indexed="81"/>
            <rFont val="Lucida Console"/>
            <family val="3"/>
          </rPr>
          <t>Mantido o valor anterior</t>
        </r>
      </text>
    </comment>
    <comment ref="X1174" authorId="0" shapeId="0" xr:uid="{00000000-0006-0000-0000-000006060000}">
      <text>
        <r>
          <rPr>
            <sz val="10"/>
            <color indexed="81"/>
            <rFont val="Lucida Console"/>
            <family val="3"/>
          </rPr>
          <t>80650|ABRACADEIRA GALVANIZADA TIPO "D" 1 1/4"|1|55|46|EQUIP. MAT. P/ GERACAO, TRANSM. DISTR. RETIF...|MEL|Padrão|4|0|0|CANCELADO|</t>
        </r>
      </text>
    </comment>
    <comment ref="A1175" authorId="0" shapeId="0" xr:uid="{00000000-0006-0000-0000-000007060000}">
      <text>
        <r>
          <rPr>
            <sz val="10"/>
            <color indexed="81"/>
            <rFont val="Lucida Console"/>
            <family val="3"/>
          </rPr>
          <t>Mantido o valor anterior</t>
        </r>
      </text>
    </comment>
    <comment ref="X1175" authorId="0" shapeId="0" xr:uid="{00000000-0006-0000-0000-000008060000}">
      <text>
        <r>
          <rPr>
            <sz val="10"/>
            <color indexed="81"/>
            <rFont val="Lucida Console"/>
            <family val="3"/>
          </rPr>
          <t>79635|LAMPADA HALOGENA 300W, 220 VOLTS|1|55|57|EQUIP. MAT. P/ GERACAO, TRANSM. DISTR. RETIF...|MEL|Padrão|4|1|4|CANCELADO|</t>
        </r>
      </text>
    </comment>
    <comment ref="A1176" authorId="0" shapeId="0" xr:uid="{00000000-0006-0000-0000-000009060000}">
      <text>
        <r>
          <rPr>
            <sz val="10"/>
            <color indexed="81"/>
            <rFont val="Lucida Console"/>
            <family val="3"/>
          </rPr>
          <t>Mantido o valor anterior</t>
        </r>
      </text>
    </comment>
    <comment ref="X1176" authorId="0" shapeId="0" xr:uid="{00000000-0006-0000-0000-00000A060000}">
      <text>
        <r>
          <rPr>
            <sz val="10"/>
            <color indexed="81"/>
            <rFont val="Lucida Console"/>
            <family val="3"/>
          </rPr>
          <t>119008|MODULO DE EXPANSAO DE 8 ZONAS COM FIO + 2 SAIDAS DE RELES PROGRAMAVEIS DISPONIVEIS PARA CONTROLE DE LUZES, PORTAS, FECHADURAS E PORTOES (COMPATIVEIS COM CENTRAIS ADEMCO VISTA 48 LA.MODELO: 4229)|1|55|62|EQUIP. MAT. P/ GERACAO, TRANSM. DISTR. RETIF...|MEL|Padrão|4|0|0|Ativo|</t>
        </r>
      </text>
    </comment>
    <comment ref="A1177" authorId="0" shapeId="0" xr:uid="{00000000-0006-0000-0000-00000B060000}">
      <text>
        <r>
          <rPr>
            <sz val="10"/>
            <color indexed="81"/>
            <rFont val="Lucida Console"/>
            <family val="3"/>
          </rPr>
          <t>Mantido o valor anterior</t>
        </r>
      </text>
    </comment>
    <comment ref="X1177" authorId="0" shapeId="0" xr:uid="{00000000-0006-0000-0000-00000C060000}">
      <text>
        <r>
          <rPr>
            <sz val="10"/>
            <color indexed="81"/>
            <rFont val="Lucida Console"/>
            <family val="3"/>
          </rPr>
          <t>128301|PLACA CENTRAL PARA ALARMES ADEMCO VISTA 48 PLACA DE MONITORAMENTO LOCAL DO TIPO MICRO-PROCESSADA, COM NO MINIMO 08 PERIMETROS, CARREGADOR DE BATERIA, FORMATO DE COMUNICACAO CONTACT ID.|1|55|62|EQUIP. MAT. P/ GERACAO, TRANSM. DISTR. RETIF...|MEL|Padrão|4|1|4|CANCELADO|</t>
        </r>
      </text>
    </comment>
    <comment ref="A1178" authorId="0" shapeId="0" xr:uid="{00000000-0006-0000-0000-00000D060000}">
      <text>
        <r>
          <rPr>
            <sz val="10"/>
            <color indexed="81"/>
            <rFont val="Lucida Console"/>
            <family val="3"/>
          </rPr>
          <t>Mantido o valor anterior</t>
        </r>
      </text>
    </comment>
    <comment ref="X1178" authorId="0" shapeId="0" xr:uid="{00000000-0006-0000-0000-00000E060000}">
      <text>
        <r>
          <rPr>
            <sz val="10"/>
            <color indexed="81"/>
            <rFont val="Lucida Console"/>
            <family val="3"/>
          </rPr>
          <t>135734|LAMPADA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PROCEL|1|55|66|EQUIP. MAT. P/ GERACAO, TRANSM. DISTR. RETIF...|MEL|Padrão|4|0|0|CANCELADO|</t>
        </r>
      </text>
    </comment>
    <comment ref="A1179" authorId="0" shapeId="0" xr:uid="{00000000-0006-0000-0000-00000F060000}">
      <text>
        <r>
          <rPr>
            <sz val="10"/>
            <color indexed="81"/>
            <rFont val="Lucida Console"/>
            <family val="3"/>
          </rPr>
          <t>Mantido o valor anterior</t>
        </r>
      </text>
    </comment>
    <comment ref="X1179" authorId="0" shapeId="0" xr:uid="{00000000-0006-0000-0000-000010060000}">
      <text>
        <r>
          <rPr>
            <sz val="10"/>
            <color indexed="81"/>
            <rFont val="Lucida Console"/>
            <family val="3"/>
          </rPr>
          <t>36400|ROLAMENTO - 6203 - ZZ|1|89|12|PEC.P/ VEICULO DE USO ESPECIAL E BATERIASROLAMENTO|MFR|Padrão|4||0|Ativo|</t>
        </r>
      </text>
    </comment>
    <comment ref="A1180" authorId="0" shapeId="0" xr:uid="{00000000-0006-0000-0000-000011060000}">
      <text>
        <r>
          <rPr>
            <sz val="10"/>
            <color indexed="81"/>
            <rFont val="Lucida Console"/>
            <family val="3"/>
          </rPr>
          <t>Mantido o valor anterior</t>
        </r>
      </text>
    </comment>
    <comment ref="X1180" authorId="0" shapeId="0" xr:uid="{00000000-0006-0000-0000-000012060000}">
      <text>
        <r>
          <rPr>
            <sz val="10"/>
            <color indexed="81"/>
            <rFont val="Lucida Console"/>
            <family val="3"/>
          </rPr>
          <t>118243|ROLAMENTO 6300 - ZZ|1|89|12|PEC.P/ VEICULO DE USO ESPECIAL E BATERIASROLAMENTO|MFR|Padrão|4||0|Ativo|</t>
        </r>
      </text>
    </comment>
    <comment ref="A1181" authorId="0" shapeId="0" xr:uid="{00000000-0006-0000-0000-000013060000}">
      <text>
        <r>
          <rPr>
            <sz val="10"/>
            <color indexed="81"/>
            <rFont val="Lucida Console"/>
            <family val="3"/>
          </rPr>
          <t>Mantido o valor anterior</t>
        </r>
      </text>
    </comment>
    <comment ref="X1181" authorId="0" shapeId="0" xr:uid="{00000000-0006-0000-0000-000014060000}">
      <text>
        <r>
          <rPr>
            <sz val="10"/>
            <color indexed="81"/>
            <rFont val="Lucida Console"/>
            <family val="3"/>
          </rPr>
          <t>129979|CONECTOR CABO-HASTE 5/8"|1|61|8|MATERIAL HIDRAULICO, CANOS, TUBOS, MANGUEIRAS, CONEXOES E ACESS.|MHI|Padrão|4|1|4|CANCELADO|</t>
        </r>
      </text>
    </comment>
    <comment ref="A1182" authorId="0" shapeId="0" xr:uid="{00000000-0006-0000-0000-000015060000}">
      <text>
        <r>
          <rPr>
            <sz val="10"/>
            <color indexed="81"/>
            <rFont val="Lucida Console"/>
            <family val="3"/>
          </rPr>
          <t>Mantido o valor anterior</t>
        </r>
      </text>
    </comment>
    <comment ref="X1182" authorId="0" shapeId="0" xr:uid="{00000000-0006-0000-0000-000016060000}">
      <text>
        <r>
          <rPr>
            <sz val="10"/>
            <color indexed="81"/>
            <rFont val="Lucida Console"/>
            <family val="3"/>
          </rPr>
          <t>12869|COTOVELO DE REDUCAO EM PVC SOLDAVEL DE 1" X 3/4"|1|61|8|MATERIAL HIDRAULICO, CANOS, TUBOS, MANGUEIRAS, CONEXOES E ACESS.|MHI|Padrão|4|0|0|Ativo|</t>
        </r>
      </text>
    </comment>
    <comment ref="A1183" authorId="0" shapeId="0" xr:uid="{00000000-0006-0000-0000-000017060000}">
      <text>
        <r>
          <rPr>
            <sz val="10"/>
            <color indexed="81"/>
            <rFont val="Lucida Console"/>
            <family val="3"/>
          </rPr>
          <t>Mantido o valor anterior</t>
        </r>
      </text>
    </comment>
    <comment ref="X1183" authorId="0" shapeId="0" xr:uid="{00000000-0006-0000-0000-000018060000}">
      <text>
        <r>
          <rPr>
            <sz val="10"/>
            <color indexed="81"/>
            <rFont val="Lucida Console"/>
            <family val="3"/>
          </rPr>
          <t>29437|COTOVELO GALVANIZADO DE 1, 1/2" X 90°, DE ACO ZINCADO A FOGO - NBR 6323|1|61|8|MATERIAL HIDRAULICO, CANOS, TUBOS, MANGUEIRAS, CONEXOES E ACESS.|MHI|Padrão|4|0|0|Ativo|</t>
        </r>
      </text>
    </comment>
    <comment ref="A1184" authorId="0" shapeId="0" xr:uid="{00000000-0006-0000-0000-000019060000}">
      <text>
        <r>
          <rPr>
            <sz val="10"/>
            <color indexed="81"/>
            <rFont val="Lucida Console"/>
            <family val="3"/>
          </rPr>
          <t>Mantido o valor anterior</t>
        </r>
      </text>
    </comment>
    <comment ref="X1184" authorId="0" shapeId="0" xr:uid="{00000000-0006-0000-0000-00001A060000}">
      <text>
        <r>
          <rPr>
            <sz val="10"/>
            <color indexed="81"/>
            <rFont val="Lucida Console"/>
            <family val="3"/>
          </rPr>
          <t>102234|NIPLE DUPLO DE REDUCAO ROSQUEAVEL 3/4 X 1/2 EM METAL|1|61|8|MATERIAL HIDRAULICO, CANOS, TUBOS, MANGUEIRAS, CONEXOES E ACESS.|MHI|Padrão|4||0|CANCELADO|</t>
        </r>
      </text>
    </comment>
    <comment ref="A1185" authorId="0" shapeId="0" xr:uid="{00000000-0006-0000-0000-00001B060000}">
      <text>
        <r>
          <rPr>
            <sz val="10"/>
            <color indexed="81"/>
            <rFont val="Lucida Console"/>
            <family val="3"/>
          </rPr>
          <t>Mantido o valor anterior</t>
        </r>
      </text>
    </comment>
    <comment ref="J1185" authorId="2" shapeId="0" xr:uid="{00000000-0006-0000-0000-00001C060000}">
      <text>
        <r>
          <rPr>
            <b/>
            <sz val="9"/>
            <color indexed="81"/>
            <rFont val="Segoe UI"/>
            <family val="2"/>
          </rPr>
          <t>Marcos:</t>
        </r>
        <r>
          <rPr>
            <sz val="9"/>
            <color indexed="81"/>
            <rFont val="Segoe UI"/>
            <family val="2"/>
          </rPr>
          <t xml:space="preserve">
Deixar 4 para que o ponto de pedido fique abaixo de 20 que é o estoque atual e não tem consumo.</t>
        </r>
      </text>
    </comment>
    <comment ref="X1185" authorId="0" shapeId="0" xr:uid="{00000000-0006-0000-0000-00001D060000}">
      <text>
        <r>
          <rPr>
            <sz val="10"/>
            <color indexed="81"/>
            <rFont val="Lucida Console"/>
            <family val="3"/>
          </rPr>
          <t>27759|REGISTRO DE GAVETA EM LIGA DE COBRE DE 1.1/4 - S/ CANOPLA|1|61|15|MATERIAL HIDRAULICO, CANOS, TUBOS, MANGUEIRAS, CONEXOES E ACESS.|MHI|Padrão|4|4|16|Ativo|</t>
        </r>
      </text>
    </comment>
    <comment ref="A1186" authorId="0" shapeId="0" xr:uid="{00000000-0006-0000-0000-00001E060000}">
      <text>
        <r>
          <rPr>
            <sz val="10"/>
            <color indexed="81"/>
            <rFont val="Lucida Console"/>
            <family val="3"/>
          </rPr>
          <t>Mantido o valor anterior</t>
        </r>
      </text>
    </comment>
    <comment ref="X1186" authorId="0" shapeId="0" xr:uid="{00000000-0006-0000-0000-00001F060000}">
      <text>
        <r>
          <rPr>
            <sz val="10"/>
            <color indexed="81"/>
            <rFont val="Lucida Console"/>
            <family val="3"/>
          </rPr>
          <t>135239|TINTA ESMALTE SINTETICO BRILHANTE, PADRAO PREMIUM, COR AZUL DEL REY, GALAO COM 3.600 ML.|1|76|3|EQUIP. E MATERIAIS P/PINTURAS E IMPERMEABILIZACAO|MPI|Padrão|4|0|0|CANCELADO|</t>
        </r>
      </text>
    </comment>
    <comment ref="A1187" authorId="0" shapeId="0" xr:uid="{00000000-0006-0000-0000-000020060000}">
      <text>
        <r>
          <rPr>
            <sz val="10"/>
            <color indexed="81"/>
            <rFont val="Lucida Console"/>
            <family val="3"/>
          </rPr>
          <t>Mantido o valor anterior</t>
        </r>
      </text>
    </comment>
    <comment ref="J1187" authorId="2" shapeId="0" xr:uid="{00000000-0006-0000-0000-000021060000}">
      <text>
        <r>
          <rPr>
            <b/>
            <sz val="9"/>
            <color indexed="81"/>
            <rFont val="Segoe UI"/>
            <family val="2"/>
          </rPr>
          <t>Marcos:</t>
        </r>
        <r>
          <rPr>
            <sz val="9"/>
            <color indexed="81"/>
            <rFont val="Segoe UI"/>
            <family val="2"/>
          </rPr>
          <t xml:space="preserve">
25 = Conforme estimativa de ata em 25/06/2019.</t>
        </r>
      </text>
    </comment>
    <comment ref="X1187" authorId="0" shapeId="0" xr:uid="{00000000-0006-0000-0000-000022060000}">
      <text>
        <r>
          <rPr>
            <sz val="10"/>
            <color indexed="81"/>
            <rFont val="Lucida Console"/>
            <family val="3"/>
          </rPr>
          <t>123241|PERFIL CADEIRA DE FERRO, COM 30 CM DE LARGURA X 2,5 DE ALTURA - BARRA COM 3 METROS||69|2|METAIS,LAMINAD.,PERFILADOS E ARTEFATOS METALICOS|MSE|Padrão|4|25|100|Ativo|</t>
        </r>
      </text>
    </comment>
    <comment ref="A1188" authorId="0" shapeId="0" xr:uid="{00000000-0006-0000-0000-000023060000}">
      <text>
        <r>
          <rPr>
            <sz val="10"/>
            <color indexed="81"/>
            <rFont val="Lucida Console"/>
            <family val="3"/>
          </rPr>
          <t>Mantido o valor anterior</t>
        </r>
      </text>
    </comment>
    <comment ref="X1188" authorId="0" shapeId="0" xr:uid="{00000000-0006-0000-0000-000024060000}">
      <text>
        <r>
          <rPr>
            <sz val="10"/>
            <color indexed="81"/>
            <rFont val="Lucida Console"/>
            <family val="3"/>
          </rPr>
          <t>102691|COTOVELO RETO PERFURADO, GALVANIZADO, P/ELETROCALHA - 200 X 50MM|1|69|5|METAIS,LAMINAD.,PERFILADOS E ARTEFATOS METALICOS|MSE|Padrão|4|0|0|Ativo|</t>
        </r>
      </text>
    </comment>
    <comment ref="A1189" authorId="0" shapeId="0" xr:uid="{00000000-0006-0000-0000-000025060000}">
      <text>
        <r>
          <rPr>
            <sz val="10"/>
            <color indexed="81"/>
            <rFont val="Lucida Console"/>
            <family val="3"/>
          </rPr>
          <t>Mantido o valor anterior</t>
        </r>
      </text>
    </comment>
    <comment ref="X1189" authorId="0" shapeId="0" xr:uid="{00000000-0006-0000-0000-000026060000}">
      <text>
        <r>
          <rPr>
            <sz val="10"/>
            <color indexed="81"/>
            <rFont val="Lucida Console"/>
            <family val="3"/>
          </rPr>
          <t>102775|SUSPENSOR P/CABO DE ACO (P/PERFILADO)|1|69|8|METAIS,LAMINAD.,PERFILADOS E ARTEFATOS METALICOS|MSE|Padrão|4|0|0|Ativo|</t>
        </r>
      </text>
    </comment>
    <comment ref="A1190" authorId="0" shapeId="0" xr:uid="{00000000-0006-0000-0000-000027060000}">
      <text>
        <r>
          <rPr>
            <sz val="10"/>
            <color indexed="81"/>
            <rFont val="Lucida Console"/>
            <family val="3"/>
          </rPr>
          <t>Mantido o valor anterior</t>
        </r>
      </text>
    </comment>
    <comment ref="X1190" authorId="0" shapeId="0" xr:uid="{00000000-0006-0000-0000-000028060000}">
      <text>
        <r>
          <rPr>
            <sz val="10"/>
            <color indexed="81"/>
            <rFont val="Lucida Console"/>
            <family val="3"/>
          </rPr>
          <t>12657|FOSFORO P/ ACENDIMENTO, PEQUENO, PACOTE C/ 10 CX DE 40 UN C|1|81|9|ARMAS COMP.EXPLOSIVOS MUNICOES COMP.ACESSORIOS|OUT|Padrão|4|40|160|CANCELADO|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Edmilson Ramos dos Santos Scandola</author>
    <author>Rafael Genaro de Brito</author>
  </authors>
  <commentList>
    <comment ref="A3" authorId="0" shapeId="0" xr:uid="{885AC3DC-2BB1-4F16-B1A5-15A7D90DA206}">
      <text>
        <r>
          <rPr>
            <sz val="10"/>
            <color indexed="81"/>
            <rFont val="Lucida Console"/>
            <family val="3"/>
          </rPr>
          <t xml:space="preserve">Ordenado por: CÓDIGO_x000D_
_x000D_
          1ª Coluna  ==  CÓDIGO_x000D_
</t>
        </r>
      </text>
    </comment>
    <comment ref="F4" authorId="1" shapeId="0" xr:uid="{672A114C-8679-4092-83AA-1306E352F864}">
      <text>
        <r>
          <rPr>
            <sz val="9"/>
            <color indexed="81"/>
            <rFont val="Segoe UI"/>
            <family val="2"/>
          </rPr>
          <t>2278|LINHA DE PEDREIRO - ROLO COM 100 M|RL|70|17||</t>
        </r>
      </text>
    </comment>
    <comment ref="F5" authorId="0" shapeId="0" xr:uid="{35B3D06D-D6C7-4EB1-9570-AE69843A9CBF}">
      <text>
        <r>
          <rPr>
            <sz val="9"/>
            <color indexed="81"/>
            <rFont val="Segoe UI"/>
            <family val="2"/>
          </rPr>
          <t>4689|LUVA DE LATEX PARA PROCEDIMENTOS TAM "M"|PC|20|3||</t>
        </r>
      </text>
    </comment>
    <comment ref="F6" authorId="0" shapeId="0" xr:uid="{9EB0816F-C30F-40FB-B61F-5B4288ABA0AE}">
      <text>
        <r>
          <rPr>
            <sz val="9"/>
            <color indexed="81"/>
            <rFont val="Segoe UI"/>
            <family val="2"/>
          </rPr>
          <t>4690|LUVA DE LATEX PARA PROCEDIMENTOS TAM "G"|PC|20|3||</t>
        </r>
      </text>
    </comment>
    <comment ref="F7" authorId="0" shapeId="0" xr:uid="{5BE29E5F-5516-46EE-9049-74495FFB9992}">
      <text>
        <r>
          <rPr>
            <sz val="9"/>
            <color indexed="81"/>
            <rFont val="Segoe UI"/>
            <family val="2"/>
          </rPr>
          <t>10870|ACUCAR REFINADO AMORFO/MICROCRISTALINO - 5 KG|PT||||</t>
        </r>
      </text>
    </comment>
    <comment ref="F8" authorId="0" shapeId="0" xr:uid="{B9C562FC-2F71-4632-ACD4-55C8E587EE52}">
      <text>
        <r>
          <rPr>
            <sz val="9"/>
            <color indexed="81"/>
            <rFont val="Segoe UI"/>
            <family val="2"/>
          </rPr>
          <t>11287|COLCHETE LATONADO N° 08 - CAIXA C/ 72 UNIDADES|CX|45|12||</t>
        </r>
      </text>
    </comment>
    <comment ref="F9" authorId="0" shapeId="0" xr:uid="{D3512090-8B8E-4363-A184-25E4B20CF3F7}">
      <text>
        <r>
          <rPr>
            <sz val="9"/>
            <color indexed="81"/>
            <rFont val="Segoe UI"/>
            <family val="2"/>
          </rPr>
          <t>11882|CABO DE ACO GALVANIZADO DE 1/4"|M|80|1||</t>
        </r>
      </text>
    </comment>
    <comment ref="F10" authorId="0" shapeId="0" xr:uid="{47BD0B47-4DF3-420C-8F32-916A82605169}">
      <text>
        <r>
          <rPr>
            <sz val="9"/>
            <color indexed="81"/>
            <rFont val="Segoe UI"/>
            <family val="2"/>
          </rPr>
          <t>11956|CABO DE ACO POLIDO COM ALMA DE ACO DE 5/16"|M|80|1||</t>
        </r>
      </text>
    </comment>
    <comment ref="F11" authorId="0" shapeId="0" xr:uid="{07CD7194-3E84-4A7F-96B8-790BEB25393E}">
      <text>
        <r>
          <rPr>
            <sz val="9"/>
            <color indexed="81"/>
            <rFont val="Segoe UI"/>
            <family val="2"/>
          </rPr>
          <t>11980|ENVELOPE BRANCO - CARTA - 114 X 162 MM- GRAMATURA MINIMA 56 G/M²|||||</t>
        </r>
      </text>
    </comment>
    <comment ref="F12" authorId="0" shapeId="0" xr:uid="{3DED7AA6-8090-4ABF-A06A-1F51E24F671C}">
      <text>
        <r>
          <rPr>
            <sz val="9"/>
            <color indexed="81"/>
            <rFont val="Segoe UI"/>
            <family val="2"/>
          </rPr>
          <t>12020|GRAMPO DE ACO DE 1/4" P/ CABO DE ACO|PC|80|1||</t>
        </r>
      </text>
    </comment>
    <comment ref="F13" authorId="0" shapeId="0" xr:uid="{80747F43-B9A7-45AA-A5F7-D9470F12CAD7}">
      <text>
        <r>
          <rPr>
            <sz val="9"/>
            <color indexed="81"/>
            <rFont val="Segoe UI"/>
            <family val="2"/>
          </rPr>
          <t>12610|ENVELOPE PARDO - TIPO SACO 200 X 280MM- GRAMATURA MINIMA 80 G/M²|UN|45|11||</t>
        </r>
      </text>
    </comment>
    <comment ref="F14" authorId="0" shapeId="0" xr:uid="{2E36199C-64AC-43F3-8B7B-74D07AE0151E}">
      <text>
        <r>
          <rPr>
            <sz val="9"/>
            <color indexed="81"/>
            <rFont val="Segoe UI"/>
            <family val="2"/>
          </rPr>
          <t>12615|SABAO EM PEDRA C/ 200 GR - COMUM, A BASE DE GLICERINA,SAIS|PD|72|9||</t>
        </r>
      </text>
    </comment>
    <comment ref="F15" authorId="0" shapeId="0" xr:uid="{F9A90D05-5ACE-484B-9180-1BD5548ABEC6}">
      <text>
        <r>
          <rPr>
            <sz val="9"/>
            <color indexed="81"/>
            <rFont val="Segoe UI"/>
            <family val="2"/>
          </rPr>
          <t>12657|FOSFORO P/ ACENDIMENTO, PEQUENO, PACOTE C/ 10 CX DE 40 UN C|PT|81|9||</t>
        </r>
      </text>
    </comment>
    <comment ref="F16" authorId="0" shapeId="0" xr:uid="{E02E6079-EA7A-474B-8087-5231D666E0C0}">
      <text>
        <r>
          <rPr>
            <sz val="9"/>
            <color indexed="81"/>
            <rFont val="Segoe UI"/>
            <family val="2"/>
          </rPr>
          <t>12673|VASSOURA DE PELO DE 40 CM, COM CABO EM MADEIRA, MEDINDO NO MINIMO: 1,15 M DE COMPRIMENTO X 2,5 CM DE DIAMETRO|PC|72|5||</t>
        </r>
      </text>
    </comment>
    <comment ref="F17" authorId="0" shapeId="0" xr:uid="{2597B951-CF41-4B20-9F92-7DEDEBB15092}">
      <text>
        <r>
          <rPr>
            <sz val="9"/>
            <color indexed="81"/>
            <rFont val="Segoe UI"/>
            <family val="2"/>
          </rPr>
          <t>12675|LAVATINA DE NYLON P/ VASO SANITARIO (VASSOURINHA)|PC|72|5||</t>
        </r>
      </text>
    </comment>
    <comment ref="F18" authorId="0" shapeId="0" xr:uid="{D93E84D0-F65A-4FB1-9E90-4A0F421D3634}">
      <text>
        <r>
          <rPr>
            <sz val="9"/>
            <color indexed="81"/>
            <rFont val="Segoe UI"/>
            <family val="2"/>
          </rPr>
          <t>12708|SABONETE COMUM 90 G|||||</t>
        </r>
      </text>
    </comment>
    <comment ref="F19" authorId="0" shapeId="0" xr:uid="{F6C18383-7088-4382-BB9C-CB4FE8E6DF30}">
      <text>
        <r>
          <rPr>
            <sz val="9"/>
            <color indexed="81"/>
            <rFont val="Segoe UI"/>
            <family val="2"/>
          </rPr>
          <t>12712|SAPONACEO EM PO, 300G|PC|72|9||</t>
        </r>
      </text>
    </comment>
    <comment ref="F20" authorId="0" shapeId="0" xr:uid="{3568B76F-2484-4296-B680-9E1F079D87FA}">
      <text>
        <r>
          <rPr>
            <sz val="9"/>
            <color indexed="81"/>
            <rFont val="Segoe UI"/>
            <family val="2"/>
          </rPr>
          <t>12720|BUCHA DE FIBRA DE COCO - MEDIA - N° 03|PC|72|6||</t>
        </r>
      </text>
    </comment>
    <comment ref="F21" authorId="0" shapeId="0" xr:uid="{0A0A7A2D-EA5D-4190-88BE-E75FC4581005}">
      <text>
        <r>
          <rPr>
            <sz val="9"/>
            <color indexed="81"/>
            <rFont val="Segoe UI"/>
            <family val="2"/>
          </rPr>
          <t>12806|AGUARRAZ MINERAL/VEGETAL - 900 ML|LT|76|16||</t>
        </r>
      </text>
    </comment>
    <comment ref="F22" authorId="0" shapeId="0" xr:uid="{C2ED7F89-6D08-4FA9-BEBF-3BEA6B39AC50}">
      <text>
        <r>
          <rPr>
            <sz val="9"/>
            <color indexed="81"/>
            <rFont val="Segoe UI"/>
            <family val="2"/>
          </rPr>
          <t>12812|BROXA RETANGULAR - 16,5 X 6 CM|PC|76|11||</t>
        </r>
      </text>
    </comment>
    <comment ref="F23" authorId="0" shapeId="0" xr:uid="{AB42D40D-E522-4A1B-8A99-8C526436B95E}">
      <text>
        <r>
          <rPr>
            <sz val="9"/>
            <color indexed="81"/>
            <rFont val="Segoe UI"/>
            <family val="2"/>
          </rPr>
          <t>12818|CORANTE PARA COLORIR TINTA LATEX - VERDE - 50 ML|TB|76|6||</t>
        </r>
      </text>
    </comment>
    <comment ref="F24" authorId="0" shapeId="0" xr:uid="{B8CB1D63-2224-4B7F-BEE3-1861A3B8B12E}">
      <text>
        <r>
          <rPr>
            <sz val="9"/>
            <color indexed="81"/>
            <rFont val="Segoe UI"/>
            <family val="2"/>
          </rPr>
          <t>12820|CORANTE PARA COLORIR TINTA LATEX - AMARELO - 50 ML|TB|76|6||</t>
        </r>
      </text>
    </comment>
    <comment ref="F25" authorId="0" shapeId="0" xr:uid="{B1A061CB-2714-47A8-BA6D-8AEEB006BDAF}">
      <text>
        <r>
          <rPr>
            <sz val="9"/>
            <color indexed="81"/>
            <rFont val="Segoe UI"/>
            <family val="2"/>
          </rPr>
          <t>12829|CORANTE PARA COLORIR TINTA LATEX - AZUL ESCURO - 50 ML|TB|76|6||</t>
        </r>
      </text>
    </comment>
    <comment ref="F26" authorId="0" shapeId="0" xr:uid="{6D22B43B-7E52-4CFA-AB4B-5692B54D41EC}">
      <text>
        <r>
          <rPr>
            <sz val="9"/>
            <color indexed="81"/>
            <rFont val="Segoe UI"/>
            <family val="2"/>
          </rPr>
          <t>12831|CORANTE PARA COLORIR TINTA LATEX - PRETO - 50 ML|TB|76|6||</t>
        </r>
      </text>
    </comment>
    <comment ref="F27" authorId="0" shapeId="0" xr:uid="{8CFBE91C-1C77-4625-B02B-A9714DEE3CF0}">
      <text>
        <r>
          <rPr>
            <sz val="9"/>
            <color indexed="81"/>
            <rFont val="Segoe UI"/>
            <family val="2"/>
          </rPr>
          <t>12838|CORANTE PARA COLORIR TINTA LATEX - VERMELHO - 50 ML|TB|76|6||</t>
        </r>
      </text>
    </comment>
    <comment ref="F28" authorId="0" shapeId="0" xr:uid="{E6F93A93-3445-4B65-8BD0-36D9F1A3A39B}">
      <text>
        <r>
          <rPr>
            <sz val="9"/>
            <color indexed="81"/>
            <rFont val="Segoe UI"/>
            <family val="2"/>
          </rPr>
          <t>12851|PORTA CADEADO DE FERRO ZINCADO DE 1 1/2"|PC|51|12||</t>
        </r>
      </text>
    </comment>
    <comment ref="F29" authorId="0" shapeId="0" xr:uid="{9E425229-5F04-4DDF-9D9C-359C98FF2895}">
      <text>
        <r>
          <rPr>
            <sz val="9"/>
            <color indexed="81"/>
            <rFont val="Segoe UI"/>
            <family val="2"/>
          </rPr>
          <t>12853|TRINCHA PARA PINTURA - 1", COM CERDAS 100% NATURAIS|PC|76|11||</t>
        </r>
      </text>
    </comment>
    <comment ref="F30" authorId="0" shapeId="0" xr:uid="{27AABAAD-9997-4C10-B2E4-741E06C1962D}">
      <text>
        <r>
          <rPr>
            <sz val="9"/>
            <color indexed="81"/>
            <rFont val="Segoe UI"/>
            <family val="2"/>
          </rPr>
          <t>12857|TRINCHA PARA PINTURA - 3", COM CERDAS 100% NATURAIS|PC|76|11||</t>
        </r>
      </text>
    </comment>
    <comment ref="F31" authorId="0" shapeId="0" xr:uid="{2AB341DE-7369-4BF3-8957-0705A9773031}">
      <text>
        <r>
          <rPr>
            <sz val="9"/>
            <color indexed="81"/>
            <rFont val="Segoe UI"/>
            <family val="2"/>
          </rPr>
          <t>12869|COTOVELO DE REDUCAO EM PVC SOLDAVEL DE 1" X 3/4"|PC|61|8||</t>
        </r>
      </text>
    </comment>
    <comment ref="F32" authorId="0" shapeId="0" xr:uid="{05BA9F9B-36A4-4488-83ED-E35C4006DE49}">
      <text>
        <r>
          <rPr>
            <sz val="9"/>
            <color indexed="81"/>
            <rFont val="Segoe UI"/>
            <family val="2"/>
          </rPr>
          <t>12888|COTOVELO 90 GRAUS EM PVC RIGIDO SOLDAVEL DE 20 MM (1/2")|PC|61|8||</t>
        </r>
      </text>
    </comment>
    <comment ref="F33" authorId="0" shapeId="0" xr:uid="{E1CB33CF-2CE8-4B98-8325-947805CFF37B}">
      <text>
        <r>
          <rPr>
            <sz val="9"/>
            <color indexed="81"/>
            <rFont val="Segoe UI"/>
            <family val="2"/>
          </rPr>
          <t>12915|VERNIZ SINTETICO BRILHANTE, GL C/ 3.600 ML|GL|76|5||</t>
        </r>
      </text>
    </comment>
    <comment ref="F34" authorId="0" shapeId="0" xr:uid="{7138E4B1-F635-42BA-89A3-EE656E8D4A9D}">
      <text>
        <r>
          <rPr>
            <sz val="9"/>
            <color indexed="81"/>
            <rFont val="Segoe UI"/>
            <family val="2"/>
          </rPr>
          <t>12925|ESPATULA DE ACO CARBONO COM CABO - N° 08|PC|70|17||</t>
        </r>
      </text>
    </comment>
    <comment ref="F35" authorId="0" shapeId="0" xr:uid="{1367AC7E-A5A4-4A91-892B-72041EC66EDE}">
      <text>
        <r>
          <rPr>
            <sz val="9"/>
            <color indexed="81"/>
            <rFont val="Segoe UI"/>
            <family val="2"/>
          </rPr>
          <t>12934|LAMINA DE SERRA EM ACO RAPIDO 1/2" X 12" 24 DENTES|PC|70|30||</t>
        </r>
      </text>
    </comment>
    <comment ref="F36" authorId="0" shapeId="0" xr:uid="{B4D9747F-C2CA-4E8D-92BA-64798B56DE7A}">
      <text>
        <r>
          <rPr>
            <sz val="9"/>
            <color indexed="81"/>
            <rFont val="Segoe UI"/>
            <family val="2"/>
          </rPr>
          <t>12937|DISJUNTOR TERMOMAGNETICO BIPOLAR UL 40A X 110 / 220V|PC|55|26||</t>
        </r>
      </text>
    </comment>
    <comment ref="F37" authorId="0" shapeId="0" xr:uid="{23F7EB46-D082-4E18-A6A3-E8646AB7C655}">
      <text>
        <r>
          <rPr>
            <sz val="9"/>
            <color indexed="81"/>
            <rFont val="Segoe UI"/>
            <family val="2"/>
          </rPr>
          <t>12944|LUVA DE REDUCAO EM PVC RIGIDO SOLDAVEL DE 3/4" X 1/2"|PC|61|8||</t>
        </r>
      </text>
    </comment>
    <comment ref="F38" authorId="0" shapeId="0" xr:uid="{B8E7B413-3798-4F9F-89C5-CB73A06133D4}">
      <text>
        <r>
          <rPr>
            <sz val="9"/>
            <color indexed="81"/>
            <rFont val="Segoe UI"/>
            <family val="2"/>
          </rPr>
          <t>12953|LUVA DE PVC RIGIDO SOLDAVEL DE 1/2"|PC|61|8||</t>
        </r>
      </text>
    </comment>
    <comment ref="F39" authorId="0" shapeId="0" xr:uid="{6536119A-4AE9-4FD2-8DF4-C99F8D7A27A1}">
      <text>
        <r>
          <rPr>
            <sz val="9"/>
            <color indexed="81"/>
            <rFont val="Segoe UI"/>
            <family val="2"/>
          </rPr>
          <t>12961|NIPLE DUPLO EM PVC RIGIDO ROSQUEAVEL DE 1"|PC|61|8||</t>
        </r>
      </text>
    </comment>
    <comment ref="F40" authorId="0" shapeId="0" xr:uid="{07E87D27-7675-4DF1-B51F-75C375A2AC09}">
      <text>
        <r>
          <rPr>
            <sz val="9"/>
            <color indexed="81"/>
            <rFont val="Segoe UI"/>
            <family val="2"/>
          </rPr>
          <t>12964|NIPLE DUPLO EM PVC RIGIDO ROSQUEAVEL DE 3/4 (25 MM)|PC|61|8||</t>
        </r>
      </text>
    </comment>
    <comment ref="F41" authorId="0" shapeId="0" xr:uid="{E513C902-2053-4433-A0C4-007EDF45F3DD}">
      <text>
        <r>
          <rPr>
            <sz val="9"/>
            <color indexed="81"/>
            <rFont val="Segoe UI"/>
            <family val="2"/>
          </rPr>
          <t>13007|ELETRODUTO FLEXIVEL CORRUGADO DE 1/2" - COR AMARELA|M|55|32||</t>
        </r>
      </text>
    </comment>
    <comment ref="F42" authorId="0" shapeId="0" xr:uid="{D18B070F-1765-471B-A43B-4BCA16250A70}">
      <text>
        <r>
          <rPr>
            <sz val="9"/>
            <color indexed="81"/>
            <rFont val="Segoe UI"/>
            <family val="2"/>
          </rPr>
          <t>13013|LUMINARIA FECHADA TIPO CALHA P/ LAMPADA FLUORESCENTE 1 X 40|PC|55|49||</t>
        </r>
      </text>
    </comment>
    <comment ref="F43" authorId="0" shapeId="0" xr:uid="{D99E4112-EB49-458D-8B60-6BBE18CF49CD}">
      <text>
        <r>
          <rPr>
            <sz val="9"/>
            <color indexed="81"/>
            <rFont val="Segoe UI"/>
            <family val="2"/>
          </rPr>
          <t>13019|CABO DE COBRE ISOLACAO PVS 750V C/ COBERTURA DE PVC 2 X2,5 MM2|||||</t>
        </r>
      </text>
    </comment>
    <comment ref="F44" authorId="0" shapeId="0" xr:uid="{2F889800-F96A-4758-B549-ECDC6231EE98}">
      <text>
        <r>
          <rPr>
            <sz val="9"/>
            <color indexed="81"/>
            <rFont val="Segoe UI"/>
            <family val="2"/>
          </rPr>
          <t>13021|GRAMPO ISOLANTE FIX-FIO 1,0 A 2,5 MM2  (TIPO MIGUELAO) - CX|CX|67|6||</t>
        </r>
      </text>
    </comment>
    <comment ref="F45" authorId="0" shapeId="0" xr:uid="{AD58B452-CD15-4BAC-97B0-D40511AF3AEC}">
      <text>
        <r>
          <rPr>
            <sz val="9"/>
            <color indexed="81"/>
            <rFont val="Segoe UI"/>
            <family val="2"/>
          </rPr>
          <t>13033|CAIXILHO DE FERRO PERFILADO BASCULANTE - MEDIDAS: 0,80 X 0,|PC|51|26||</t>
        </r>
      </text>
    </comment>
    <comment ref="F46" authorId="0" shapeId="0" xr:uid="{A4FA8A5C-27FA-4C68-8EEE-7EEA940AF3E1}">
      <text>
        <r>
          <rPr>
            <sz val="9"/>
            <color indexed="81"/>
            <rFont val="Segoe UI"/>
            <family val="2"/>
          </rPr>
          <t>13053|LAMPADA FLUORESCENTE LUZ DO DIA 20W - BASE G13 - 230V|PC|55|57||</t>
        </r>
      </text>
    </comment>
    <comment ref="F47" authorId="0" shapeId="0" xr:uid="{38D1B3C3-E0BB-418C-ADDA-6E25A9A0B2C6}">
      <text>
        <r>
          <rPr>
            <sz val="9"/>
            <color indexed="81"/>
            <rFont val="Segoe UI"/>
            <family val="2"/>
          </rPr>
          <t>13059|LAMPADA LUZ MISTA 250W X 230V- BASE E27|PC|55|52||</t>
        </r>
      </text>
    </comment>
    <comment ref="F48" authorId="0" shapeId="0" xr:uid="{1765B9C7-6190-438C-B998-69685AE201EC}">
      <text>
        <r>
          <rPr>
            <sz val="9"/>
            <color indexed="81"/>
            <rFont val="Segoe UI"/>
            <family val="2"/>
          </rPr>
          <t>13060|LAMPADA LUZ MISTA 250W X 230V- BASE E40|PC|55|52||</t>
        </r>
      </text>
    </comment>
    <comment ref="F49" authorId="0" shapeId="0" xr:uid="{3B20CB8D-96AC-4119-8638-4AAD4CE8C966}">
      <text>
        <r>
          <rPr>
            <sz val="9"/>
            <color indexed="81"/>
            <rFont val="Segoe UI"/>
            <family val="2"/>
          </rPr>
          <t>13070|BOLSA EM POLIETILENO FLEXIVEL DIAM. 1.1/2" P/ BACIA SANITAR|PC|61|8||</t>
        </r>
      </text>
    </comment>
    <comment ref="F50" authorId="0" shapeId="0" xr:uid="{BF11FA63-55F5-4775-91F1-9AF6B4DE3410}">
      <text>
        <r>
          <rPr>
            <sz val="9"/>
            <color indexed="81"/>
            <rFont val="Segoe UI"/>
            <family val="2"/>
          </rPr>
          <t>13076|PREGO GALV. C/ CABECA P/ FIXACAO DE TELHA DE CIMENTO AMIANT|KG|67|6||</t>
        </r>
      </text>
    </comment>
    <comment ref="F51" authorId="0" shapeId="0" xr:uid="{92F2020E-0D3B-4C1C-90D2-6C930D7DFE75}">
      <text>
        <r>
          <rPr>
            <sz val="9"/>
            <color indexed="81"/>
            <rFont val="Segoe UI"/>
            <family val="2"/>
          </rPr>
          <t>13077|PREGO COMUM S/ CABECA - 15 X 21|KG|67|6||</t>
        </r>
      </text>
    </comment>
    <comment ref="F52" authorId="0" shapeId="0" xr:uid="{8AB5F98E-FC91-4A5B-BB82-5B26EBCBF4AD}">
      <text>
        <r>
          <rPr>
            <sz val="9"/>
            <color indexed="81"/>
            <rFont val="Segoe UI"/>
            <family val="2"/>
          </rPr>
          <t>13078|TE DE PVC RIGIDO SOLDAVEL 1/2"|PC|61|8||</t>
        </r>
      </text>
    </comment>
    <comment ref="F53" authorId="0" shapeId="0" xr:uid="{D1FF5DBA-A123-4D9D-BD16-0C100A6714D1}">
      <text>
        <r>
          <rPr>
            <sz val="9"/>
            <color indexed="81"/>
            <rFont val="Segoe UI"/>
            <family val="2"/>
          </rPr>
          <t>13096|LAVATORIO LOUCA SIMPLES S/ COLUNA PADRAO POPULAR NA COR|PC|51|36||</t>
        </r>
      </text>
    </comment>
    <comment ref="F54" authorId="0" shapeId="0" xr:uid="{538021CC-F169-4565-B927-1861A87B9071}">
      <text>
        <r>
          <rPr>
            <sz val="9"/>
            <color indexed="81"/>
            <rFont val="Segoe UI"/>
            <family val="2"/>
          </rPr>
          <t>13100|TE DE REDUCAO EM PVC RIGIDO SOLDAVEL 3/4" X 1/2"|PC|61|8||</t>
        </r>
      </text>
    </comment>
    <comment ref="F55" authorId="0" shapeId="0" xr:uid="{BDDD6AD3-D559-409E-849C-C7294E42E687}">
      <text>
        <r>
          <rPr>
            <sz val="9"/>
            <color indexed="81"/>
            <rFont val="Segoe UI"/>
            <family val="2"/>
          </rPr>
          <t>13123|REGISTRO DE GAVETA EM LIGA DE COBRE DE 1/2" SEM CANOPLA|PC|61|15||</t>
        </r>
      </text>
    </comment>
    <comment ref="F56" authorId="0" shapeId="0" xr:uid="{464C9CF8-3590-46DE-898A-032D836F4F04}">
      <text>
        <r>
          <rPr>
            <sz val="9"/>
            <color indexed="81"/>
            <rFont val="Segoe UI"/>
            <family val="2"/>
          </rPr>
          <t>13125|REGISTRO DE GAVETA EM LIGA DE COBRE DE 2" SEM CANOPLA|PC|61|15||</t>
        </r>
      </text>
    </comment>
    <comment ref="F57" authorId="0" shapeId="0" xr:uid="{39E2483A-F8C6-439B-93BF-051CEF9FDD48}">
      <text>
        <r>
          <rPr>
            <sz val="9"/>
            <color indexed="81"/>
            <rFont val="Segoe UI"/>
            <family val="2"/>
          </rPr>
          <t>13130|SIFAO DE LUXO (COPO) EM PVC 1" X 1.1/2"- COMPLETO C/ VALVULA P/ LAVATORIO|||||</t>
        </r>
      </text>
    </comment>
    <comment ref="F58" authorId="0" shapeId="0" xr:uid="{8533209C-06AA-452F-B052-23EDBFA88705}">
      <text>
        <r>
          <rPr>
            <sz val="9"/>
            <color indexed="81"/>
            <rFont val="Segoe UI"/>
            <family val="2"/>
          </rPr>
          <t>13152|TORNEIRA BOIA P/ CAIXA D'AGUA C/ CORPO PLASTICO DE 1"|PC|61|14||</t>
        </r>
      </text>
    </comment>
    <comment ref="F59" authorId="0" shapeId="0" xr:uid="{0FEF6730-9BFC-412F-ACDC-EA1CAFD8050F}">
      <text>
        <r>
          <rPr>
            <sz val="9"/>
            <color indexed="81"/>
            <rFont val="Segoe UI"/>
            <family val="2"/>
          </rPr>
          <t>13175|TORNEIRA DE PRESSAO EM LATAO NATURAL CURTA 3/4"P/ TANQUE E|PC|61|14|141429|</t>
        </r>
      </text>
    </comment>
    <comment ref="F60" authorId="0" shapeId="0" xr:uid="{A2B18EBC-EB90-4002-99BA-6C050B380ED0}">
      <text>
        <r>
          <rPr>
            <sz val="9"/>
            <color indexed="81"/>
            <rFont val="Segoe UI"/>
            <family val="2"/>
          </rPr>
          <t>13202|DOBRADICA DE FERRO POLIDO 3.1/2||||136556|</t>
        </r>
      </text>
    </comment>
    <comment ref="F61" authorId="0" shapeId="0" xr:uid="{D86D8F17-6868-4B79-A623-4AE54EC3E284}">
      <text>
        <r>
          <rPr>
            <sz val="9"/>
            <color indexed="81"/>
            <rFont val="Segoe UI"/>
            <family val="2"/>
          </rPr>
          <t>13225|TRINCO FECHO CHATO 4"|PC|51|11||</t>
        </r>
      </text>
    </comment>
    <comment ref="F62" authorId="0" shapeId="0" xr:uid="{D78609AA-3974-4555-A25F-61FE88DC73B5}">
      <text>
        <r>
          <rPr>
            <sz val="9"/>
            <color indexed="81"/>
            <rFont val="Segoe UI"/>
            <family val="2"/>
          </rPr>
          <t>13905|LIMPADOR GERAL DE MULTIPLO USO - LIMPEZA INSTANTANEA|FR|72|10||</t>
        </r>
      </text>
    </comment>
    <comment ref="F63" authorId="0" shapeId="0" xr:uid="{5E5E2D99-05C3-4859-8576-F68F32FF235C}">
      <text>
        <r>
          <rPr>
            <sz val="9"/>
            <color indexed="81"/>
            <rFont val="Segoe UI"/>
            <family val="2"/>
          </rPr>
          <t>13975|BALDE PLASTICO - 20 L.|PC|72|6||</t>
        </r>
      </text>
    </comment>
    <comment ref="F64" authorId="0" shapeId="0" xr:uid="{5CBA8869-E042-4D24-9A6E-87B9D728253F}">
      <text>
        <r>
          <rPr>
            <sz val="9"/>
            <color indexed="81"/>
            <rFont val="Segoe UI"/>
            <family val="2"/>
          </rPr>
          <t>14009|ABRACADEIRA GALVANIZADA TIPO U DE 1"|PC|55|46||</t>
        </r>
      </text>
    </comment>
    <comment ref="F65" authorId="0" shapeId="0" xr:uid="{9D622967-6672-45B9-978D-594FA4684685}">
      <text>
        <r>
          <rPr>
            <sz val="9"/>
            <color indexed="81"/>
            <rFont val="Segoe UI"/>
            <family val="2"/>
          </rPr>
          <t>14010|ABRACADEIRA GALVANIZADA TIPO U DE 1/2"|PC|55|46||</t>
        </r>
      </text>
    </comment>
    <comment ref="F66" authorId="0" shapeId="0" xr:uid="{19FFB47A-6B8B-49FC-B60D-9C0DA64D0599}">
      <text>
        <r>
          <rPr>
            <sz val="9"/>
            <color indexed="81"/>
            <rFont val="Segoe UI"/>
            <family val="2"/>
          </rPr>
          <t>14014|ABRACADEIRA REGULAVEL ROSCA SEM FIM DE 3/4"|PC|55|46||</t>
        </r>
      </text>
    </comment>
    <comment ref="F67" authorId="0" shapeId="0" xr:uid="{6BCF8092-09E7-49BA-A032-C693ADCEA60F}">
      <text>
        <r>
          <rPr>
            <sz val="9"/>
            <color indexed="81"/>
            <rFont val="Segoe UI"/>
            <family val="2"/>
          </rPr>
          <t>14199|SABAO DE COCO, PEDACO C/ 200 GR|PD|72|9||</t>
        </r>
      </text>
    </comment>
    <comment ref="F68" authorId="0" shapeId="0" xr:uid="{82CEA171-A626-4DE5-A177-099EBE4C302F}">
      <text>
        <r>
          <rPr>
            <sz val="9"/>
            <color indexed="81"/>
            <rFont val="Segoe UI"/>
            <family val="2"/>
          </rPr>
          <t>14895|SOQUETE DE BAQUELITE EXTERNO C/ RABICHO E PROTETOR DE BOR|PC|55|27||</t>
        </r>
      </text>
    </comment>
    <comment ref="F69" authorId="0" shapeId="0" xr:uid="{C2DEADC2-78AE-46D0-A92A-DB91A5156C8A}">
      <text>
        <r>
          <rPr>
            <sz val="9"/>
            <color indexed="81"/>
            <rFont val="Segoe UI"/>
            <family val="2"/>
          </rPr>
          <t>15029|ENGATE DE PVC BRANCO FLEXIVEL DE 1/2"- COMP. 40 CM P/LAVATORIO|PC|61|10|138055|</t>
        </r>
      </text>
    </comment>
    <comment ref="F70" authorId="0" shapeId="0" xr:uid="{ECDA2652-E2B8-4996-BD02-F78199941998}">
      <text>
        <r>
          <rPr>
            <sz val="9"/>
            <color indexed="81"/>
            <rFont val="Segoe UI"/>
            <family val="2"/>
          </rPr>
          <t>15128|TUBO DE PVC RIGIDO SOLDAVEL DE 20 MM - 1/2" - BARRA COM 6 METROS|BR|61|2||</t>
        </r>
      </text>
    </comment>
    <comment ref="F71" authorId="0" shapeId="0" xr:uid="{04359C7B-737C-4F3B-BACF-C8683264F9C4}">
      <text>
        <r>
          <rPr>
            <sz val="9"/>
            <color indexed="81"/>
            <rFont val="Segoe UI"/>
            <family val="2"/>
          </rPr>
          <t>15438|FECHADURA DE EMBUTIR S/ TAMBOR - INTERNA|PC|51|9||</t>
        </r>
      </text>
    </comment>
    <comment ref="F72" authorId="0" shapeId="0" xr:uid="{AC56D7A0-BDF4-43A1-BDC7-63615C493BD9}">
      <text>
        <r>
          <rPr>
            <sz val="9"/>
            <color indexed="81"/>
            <rFont val="Segoe UI"/>
            <family val="2"/>
          </rPr>
          <t>15761|COTOVELO 45 GRAUS EM PVC RIGIDO SOLDAVEL 2"|PC|61|8|63277|</t>
        </r>
      </text>
    </comment>
    <comment ref="F73" authorId="0" shapeId="0" xr:uid="{764F2EF3-96E3-46FE-8C78-63283B3FB668}">
      <text>
        <r>
          <rPr>
            <sz val="9"/>
            <color indexed="81"/>
            <rFont val="Segoe UI"/>
            <family val="2"/>
          </rPr>
          <t>15804|TELHA DE BARRO COZIDO - TIPO FRANCESA|PC|51|17||</t>
        </r>
      </text>
    </comment>
    <comment ref="F74" authorId="0" shapeId="0" xr:uid="{1BD219E0-3788-4418-9CFD-EE9C4AC8C12D}">
      <text>
        <r>
          <rPr>
            <sz val="9"/>
            <color indexed="81"/>
            <rFont val="Segoe UI"/>
            <family val="2"/>
          </rPr>
          <t>15840|TINTA ESMALTE SINTETICO BRILHANTE - AMARELO OURO - GALAO COM 3.600 ML|GL|76|3|136037|</t>
        </r>
      </text>
    </comment>
    <comment ref="F75" authorId="0" shapeId="0" xr:uid="{5D20CF4B-7C03-4D94-A6FF-A31DCB544AD0}">
      <text>
        <r>
          <rPr>
            <sz val="9"/>
            <color indexed="81"/>
            <rFont val="Segoe UI"/>
            <family val="2"/>
          </rPr>
          <t>15843|TINTA SMALTE SINTETICO BRILHANTE BRANCO, GALAO C 3.600 ML|GL|76|3|135238|</t>
        </r>
      </text>
    </comment>
    <comment ref="F76" authorId="0" shapeId="0" xr:uid="{40958A6C-31EC-4E38-A978-83CF1E798ACD}">
      <text>
        <r>
          <rPr>
            <sz val="9"/>
            <color indexed="81"/>
            <rFont val="Segoe UI"/>
            <family val="2"/>
          </rPr>
          <t>15845|TINTA ESMALTE SINTETICO BRILHANTE PRETO, GL COM 3.600 ML|GL|76|3|136038|</t>
        </r>
      </text>
    </comment>
    <comment ref="F77" authorId="0" shapeId="0" xr:uid="{FA7F89CD-3814-4F41-8BA3-26C299F4821D}">
      <text>
        <r>
          <rPr>
            <sz val="9"/>
            <color indexed="81"/>
            <rFont val="Segoe UI"/>
            <family val="2"/>
          </rPr>
          <t>15847|TINTA ESMALTE SINTETICO BRILHANTE VERMELHO - GL C/ 3.600 ML|GL|76|3|136039|</t>
        </r>
      </text>
    </comment>
    <comment ref="F78" authorId="0" shapeId="0" xr:uid="{0C010A93-D604-47F8-A457-122AAA1B855D}">
      <text>
        <r>
          <rPr>
            <sz val="9"/>
            <color indexed="81"/>
            <rFont val="Segoe UI"/>
            <family val="2"/>
          </rPr>
          <t>15900|TINTA ESMALTE SINTETICO BRILHANTE - AZUL DEL REY - GALAO C/ 3.600 ML|GL|||135239|</t>
        </r>
      </text>
    </comment>
    <comment ref="F79" authorId="0" shapeId="0" xr:uid="{D33FD9EA-71BB-42AC-842C-34817E60E1BE}">
      <text>
        <r>
          <rPr>
            <sz val="9"/>
            <color indexed="81"/>
            <rFont val="Segoe UI"/>
            <family val="2"/>
          </rPr>
          <t>16300|CHAPA DE MADEIRA COMPENSADA DE VIROLA - MEDIDAS: 2,20 M X 1,60 M X 6 MM|PC|74|9||</t>
        </r>
      </text>
    </comment>
    <comment ref="F80" authorId="0" shapeId="0" xr:uid="{F341BC99-760B-48DB-AD2F-02610DDA5D72}">
      <text>
        <r>
          <rPr>
            <sz val="9"/>
            <color indexed="81"/>
            <rFont val="Segoe UI"/>
            <family val="2"/>
          </rPr>
          <t>16427|FRIGIDEIRA DE ALUMINIO, C/ REVESTIMENTO ANTI-ADERENTE, 26CM, C/ TAMPA|PC|52|7||</t>
        </r>
      </text>
    </comment>
    <comment ref="F81" authorId="0" shapeId="0" xr:uid="{3C099003-6A25-4185-B28B-873F65868063}">
      <text>
        <r>
          <rPr>
            <sz val="9"/>
            <color indexed="81"/>
            <rFont val="Segoe UI"/>
            <family val="2"/>
          </rPr>
          <t>16528|GARRAFA TERMICA - 1 LITRO, TAMPA EM FORMATO DE ROSCA|PC|73|4|89194|</t>
        </r>
      </text>
    </comment>
    <comment ref="F82" authorId="0" shapeId="0" xr:uid="{50364EDA-63A7-487F-A2BB-05D521A018C9}">
      <text>
        <r>
          <rPr>
            <sz val="9"/>
            <color indexed="81"/>
            <rFont val="Segoe UI"/>
            <family val="2"/>
          </rPr>
          <t>16532|GARRAFA TERMICA - 5 LITROS|PC|73|4||</t>
        </r>
      </text>
    </comment>
    <comment ref="F83" authorId="0" shapeId="0" xr:uid="{5BAA17D5-5CFE-426D-A710-3FEA9C89D55A}">
      <text>
        <r>
          <rPr>
            <sz val="9"/>
            <color indexed="81"/>
            <rFont val="Segoe UI"/>
            <family val="2"/>
          </rPr>
          <t>16590|PENEIRA MALHA FINA ARO DE MADEIRA - 70CM|UN|51|49||</t>
        </r>
      </text>
    </comment>
    <comment ref="F84" authorId="0" shapeId="0" xr:uid="{9B9C52FA-C9F8-4CBD-A046-29DBE0A5CFA7}">
      <text>
        <r>
          <rPr>
            <sz val="9"/>
            <color indexed="81"/>
            <rFont val="Segoe UI"/>
            <family val="2"/>
          </rPr>
          <t>16688|PANELA DE PRESSAO 07 LITROS|PC|52|7||</t>
        </r>
      </text>
    </comment>
    <comment ref="F85" authorId="0" shapeId="0" xr:uid="{ADECEB11-420D-4582-BA1E-E315EE965370}">
      <text>
        <r>
          <rPr>
            <sz val="9"/>
            <color indexed="81"/>
            <rFont val="Segoe UI"/>
            <family val="2"/>
          </rPr>
          <t>16691|PANELA DE PRESSAO 12 LITROS|PC|52|7||</t>
        </r>
      </text>
    </comment>
    <comment ref="F86" authorId="0" shapeId="0" xr:uid="{0D4A72C0-2061-41AF-AFE5-3C59A903BD56}">
      <text>
        <r>
          <rPr>
            <sz val="9"/>
            <color indexed="81"/>
            <rFont val="Segoe UI"/>
            <family val="2"/>
          </rPr>
          <t>16692|PANELA DE PRESSAO 20 LITROS|PC|52|7||</t>
        </r>
      </text>
    </comment>
    <comment ref="F87" authorId="0" shapeId="0" xr:uid="{5E06AEF7-F396-4B42-A384-8567C000F760}">
      <text>
        <r>
          <rPr>
            <sz val="9"/>
            <color indexed="81"/>
            <rFont val="Segoe UI"/>
            <family val="2"/>
          </rPr>
          <t>16729|COLHER DE INOX P/ SOBREMESA|UN|52|13||</t>
        </r>
      </text>
    </comment>
    <comment ref="F88" authorId="0" shapeId="0" xr:uid="{D88C35AC-F23E-44A2-9F03-07FD50B82BA6}">
      <text>
        <r>
          <rPr>
            <sz val="9"/>
            <color indexed="81"/>
            <rFont val="Segoe UI"/>
            <family val="2"/>
          </rPr>
          <t>16736|ESCUMADEIRA DE ALUMINIO, MEDIA, NR. 12|PC|52|13||</t>
        </r>
      </text>
    </comment>
    <comment ref="F89" authorId="0" shapeId="0" xr:uid="{2BBE0BB6-ADAF-4C70-A04C-21B66B9589F6}">
      <text>
        <r>
          <rPr>
            <sz val="9"/>
            <color indexed="81"/>
            <rFont val="Segoe UI"/>
            <family val="2"/>
          </rPr>
          <t>16737|ESCUMADEIRA DE ALUMINIO - GRANDE - N.14|PC|52|13||</t>
        </r>
      </text>
    </comment>
    <comment ref="F90" authorId="0" shapeId="0" xr:uid="{EEFE4F15-9A4C-4711-8ED9-5976C518648B}">
      <text>
        <r>
          <rPr>
            <sz val="9"/>
            <color indexed="81"/>
            <rFont val="Segoe UI"/>
            <family val="2"/>
          </rPr>
          <t>16757|COADOR DE PANO P/ CAFE - DIAM. 16 CM|PC|52|8||</t>
        </r>
      </text>
    </comment>
    <comment ref="F91" authorId="0" shapeId="0" xr:uid="{B2E0D836-D761-47BA-92F8-B4A555C7E466}">
      <text>
        <r>
          <rPr>
            <sz val="9"/>
            <color indexed="81"/>
            <rFont val="Segoe UI"/>
            <family val="2"/>
          </rPr>
          <t>16763|BULE DE ALUMINIO - 3 LITROS|PC|52|7||</t>
        </r>
      </text>
    </comment>
    <comment ref="F92" authorId="0" shapeId="0" xr:uid="{3BFF66E6-6D2F-4914-BF47-61740B0F1950}">
      <text>
        <r>
          <rPr>
            <sz val="9"/>
            <color indexed="81"/>
            <rFont val="Segoe UI"/>
            <family val="2"/>
          </rPr>
          <t>16808|GARFO P/ MESA INOX|PC|52|13||</t>
        </r>
      </text>
    </comment>
    <comment ref="F93" authorId="0" shapeId="0" xr:uid="{AA6C7AFB-1764-4871-9CF6-D56FE0E30AF4}">
      <text>
        <r>
          <rPr>
            <sz val="9"/>
            <color indexed="81"/>
            <rFont val="Segoe UI"/>
            <family val="2"/>
          </rPr>
          <t>16813|GARFO P/ SOBREMESA INOX|PC|52|13||</t>
        </r>
      </text>
    </comment>
    <comment ref="F94" authorId="0" shapeId="0" xr:uid="{2F2E10E4-58C0-492D-928E-03CF019F9B3F}">
      <text>
        <r>
          <rPr>
            <sz val="9"/>
            <color indexed="81"/>
            <rFont val="Segoe UI"/>
            <family val="2"/>
          </rPr>
          <t>16827|FACA P/ CARNE E COZINHA - TAMANHO 8"|PC|52|13||</t>
        </r>
      </text>
    </comment>
    <comment ref="F95" authorId="0" shapeId="0" xr:uid="{14D92A1C-FB3D-47D0-88B4-A625F7B4D1A1}">
      <text>
        <r>
          <rPr>
            <sz val="9"/>
            <color indexed="81"/>
            <rFont val="Segoe UI"/>
            <family val="2"/>
          </rPr>
          <t>16835|FACA P/ DESOSSAR|PC|52|13||</t>
        </r>
      </text>
    </comment>
    <comment ref="F96" authorId="0" shapeId="0" xr:uid="{B76E0748-6D9E-4C61-883B-14432B76166A}">
      <text>
        <r>
          <rPr>
            <sz val="9"/>
            <color indexed="81"/>
            <rFont val="Segoe UI"/>
            <family val="2"/>
          </rPr>
          <t>16846|FACA P/ MESA - INOX - 20 CM|PC|52|13||</t>
        </r>
      </text>
    </comment>
    <comment ref="F97" authorId="0" shapeId="0" xr:uid="{E7AF8EC4-6080-4F11-A6F8-30E68BFA3BE7}">
      <text>
        <r>
          <rPr>
            <sz val="9"/>
            <color indexed="81"/>
            <rFont val="Segoe UI"/>
            <family val="2"/>
          </rPr>
          <t>17026|CHALEIRA DE ALUMINIO - 3 LITROS|PC|52|7||</t>
        </r>
      </text>
    </comment>
    <comment ref="F98" authorId="0" shapeId="0" xr:uid="{F1727F2E-6C45-4265-9420-4C42CE8ED4DB}">
      <text>
        <r>
          <rPr>
            <sz val="9"/>
            <color indexed="81"/>
            <rFont val="Segoe UI"/>
            <family val="2"/>
          </rPr>
          <t>17033|COLHER DE INOX P/ SOPA|PC|52|13||</t>
        </r>
      </text>
    </comment>
    <comment ref="F99" authorId="0" shapeId="0" xr:uid="{BC59E86D-F784-4362-9755-9AB744CF16A6}">
      <text>
        <r>
          <rPr>
            <sz val="9"/>
            <color indexed="81"/>
            <rFont val="Segoe UI"/>
            <family val="2"/>
          </rPr>
          <t>17064|CONCHA DE ALUMINIO - DIAMETRO 10 CM|PC|52|13||</t>
        </r>
      </text>
    </comment>
    <comment ref="F100" authorId="0" shapeId="0" xr:uid="{8005E8CC-D86A-44E6-9470-3FB7BF956697}">
      <text>
        <r>
          <rPr>
            <sz val="9"/>
            <color indexed="81"/>
            <rFont val="Segoe UI"/>
            <family val="2"/>
          </rPr>
          <t>17105|ASSADEIRA DE ALUMINIO - MED. APROX. 41 X 29 X 5 CM|PC|52|5||</t>
        </r>
      </text>
    </comment>
    <comment ref="F101" authorId="0" shapeId="0" xr:uid="{D5FFEE39-722B-48A2-8A88-74A8F0AFA2A8}">
      <text>
        <r>
          <rPr>
            <sz val="9"/>
            <color indexed="81"/>
            <rFont val="Segoe UI"/>
            <family val="2"/>
          </rPr>
          <t>17537|TALHADEIRA DE ACO 200 X 19 MM DE 3/4 X 8"|PC|70|17||</t>
        </r>
      </text>
    </comment>
    <comment ref="F102" authorId="0" shapeId="0" xr:uid="{38211DBD-24E2-43B3-AF16-5CE7BFDC5988}">
      <text>
        <r>
          <rPr>
            <sz val="9"/>
            <color indexed="81"/>
            <rFont val="Segoe UI"/>
            <family val="2"/>
          </rPr>
          <t>17659|LIXA CINTA DE PANO P/ MADEIRA - 6,00 M X 15 CM - GRAO 60|PC|83|3||</t>
        </r>
      </text>
    </comment>
    <comment ref="F103" authorId="0" shapeId="0" xr:uid="{4FD07CFC-6ED0-4E4A-BD41-4E229B09B2B0}">
      <text>
        <r>
          <rPr>
            <sz val="9"/>
            <color indexed="81"/>
            <rFont val="Segoe UI"/>
            <family val="2"/>
          </rPr>
          <t>17663|LIXA D'AGUA EM FOLHA 225 X 275 MM GRAO 180|FL|83|2||</t>
        </r>
      </text>
    </comment>
    <comment ref="F104" authorId="0" shapeId="0" xr:uid="{E230C6A9-EB89-46EF-BA64-CE0FACCA03A8}">
      <text>
        <r>
          <rPr>
            <sz val="9"/>
            <color indexed="81"/>
            <rFont val="Segoe UI"/>
            <family val="2"/>
          </rPr>
          <t>17670|PREGO COMUM S/ CABECA - 13 X 15|KG|67|6||</t>
        </r>
      </text>
    </comment>
    <comment ref="F105" authorId="0" shapeId="0" xr:uid="{33069B99-BEEF-4907-9642-B0414E08A9C4}">
      <text>
        <r>
          <rPr>
            <sz val="9"/>
            <color indexed="81"/>
            <rFont val="Segoe UI"/>
            <family val="2"/>
          </rPr>
          <t>18342|PREGO COMUM DE CABECA CHATA - 13 X 15|KG|67|6||</t>
        </r>
      </text>
    </comment>
    <comment ref="F106" authorId="0" shapeId="0" xr:uid="{4D8494BC-1287-4303-A567-D90223137DE0}">
      <text>
        <r>
          <rPr>
            <sz val="9"/>
            <color indexed="81"/>
            <rFont val="Segoe UI"/>
            <family val="2"/>
          </rPr>
          <t>18351|PREGO COMUM DE CABECA CHATA - 16 X 21|KG|67|6||</t>
        </r>
      </text>
    </comment>
    <comment ref="F107" authorId="0" shapeId="0" xr:uid="{9ABD846D-305E-45CA-A071-76ABA82E1031}">
      <text>
        <r>
          <rPr>
            <sz val="9"/>
            <color indexed="81"/>
            <rFont val="Segoe UI"/>
            <family val="2"/>
          </rPr>
          <t>19872|BROCA DE WIDIA 1/8"|PC|70|31||</t>
        </r>
      </text>
    </comment>
    <comment ref="F108" authorId="0" shapeId="0" xr:uid="{DE3D75EF-FC9C-43F7-B992-E13D579DBE32}">
      <text>
        <r>
          <rPr>
            <sz val="9"/>
            <color indexed="81"/>
            <rFont val="Segoe UI"/>
            <family val="2"/>
          </rPr>
          <t>19881|BROCA DE WIDIA 3/16"|PC|70|31||</t>
        </r>
      </text>
    </comment>
    <comment ref="F109" authorId="0" shapeId="0" xr:uid="{93C09FCE-0F59-49DF-908E-E00C1C61CE3F}">
      <text>
        <r>
          <rPr>
            <sz val="9"/>
            <color indexed="81"/>
            <rFont val="Segoe UI"/>
            <family val="2"/>
          </rPr>
          <t>19884|BROCA DE WIDIA 5/32"|PC|70|31||</t>
        </r>
      </text>
    </comment>
    <comment ref="F110" authorId="0" shapeId="0" xr:uid="{2BC22F9A-AAB6-4654-B71D-DE4D6D40F890}">
      <text>
        <r>
          <rPr>
            <sz val="9"/>
            <color indexed="81"/>
            <rFont val="Segoe UI"/>
            <family val="2"/>
          </rPr>
          <t>20169|COPO DE VIDRO AMERICANO - 200 ML|PC|52|6||</t>
        </r>
      </text>
    </comment>
    <comment ref="F111" authorId="0" shapeId="0" xr:uid="{A5777454-2B10-4AD4-9DDB-50786670AEB6}">
      <text>
        <r>
          <rPr>
            <sz val="9"/>
            <color indexed="81"/>
            <rFont val="Segoe UI"/>
            <family val="2"/>
          </rPr>
          <t>20431|RASTELO DE ACO 12 DENTES|PC|70|15||</t>
        </r>
      </text>
    </comment>
    <comment ref="F112" authorId="0" shapeId="0" xr:uid="{AF4B52A8-AC4D-4AF6-9DEC-D2A030B7FAE3}">
      <text>
        <r>
          <rPr>
            <sz val="9"/>
            <color indexed="81"/>
            <rFont val="Segoe UI"/>
            <family val="2"/>
          </rPr>
          <t>20539|PREGO COMUM S/ CABECA - 10 X 10|KG|67|6||</t>
        </r>
      </text>
    </comment>
    <comment ref="F113" authorId="0" shapeId="0" xr:uid="{4C73082B-62DB-4CE6-9785-36E17FD90211}">
      <text>
        <r>
          <rPr>
            <sz val="9"/>
            <color indexed="81"/>
            <rFont val="Segoe UI"/>
            <family val="2"/>
          </rPr>
          <t>20540|PREGO COMUM S/ CABECA - 12 X 12|KG|67|6||</t>
        </r>
      </text>
    </comment>
    <comment ref="F114" authorId="0" shapeId="0" xr:uid="{20F75763-95C2-44E4-B8A0-E81F9B25B320}">
      <text>
        <r>
          <rPr>
            <sz val="9"/>
            <color indexed="81"/>
            <rFont val="Segoe UI"/>
            <family val="2"/>
          </rPr>
          <t>20585|REBITE DE REPUCHO EM ALUMINIO C/ MANDRIL DE ACO 6 X 35 MM|PC|67|7||</t>
        </r>
      </text>
    </comment>
    <comment ref="F115" authorId="0" shapeId="0" xr:uid="{9017E0F4-29C8-447B-92AD-154AC06F2977}">
      <text>
        <r>
          <rPr>
            <sz val="9"/>
            <color indexed="81"/>
            <rFont val="Segoe UI"/>
            <family val="2"/>
          </rPr>
          <t>23424|PAPEL TERMICO P/ FAX  30M X 216MM|BB|57|19||</t>
        </r>
      </text>
    </comment>
    <comment ref="F116" authorId="0" shapeId="0" xr:uid="{EE4C53AC-0D00-47C5-8FEE-D0B56AE92F0B}">
      <text>
        <r>
          <rPr>
            <sz val="9"/>
            <color indexed="81"/>
            <rFont val="Segoe UI"/>
            <family val="2"/>
          </rPr>
          <t>23992|PAPEL CREPOM - RL C/ 48 X 200 CM - PRETO|RL|57|2||</t>
        </r>
      </text>
    </comment>
    <comment ref="F117" authorId="0" shapeId="0" xr:uid="{9E010B2C-C68D-4149-9B23-92F1192317D9}">
      <text>
        <r>
          <rPr>
            <sz val="9"/>
            <color indexed="81"/>
            <rFont val="Segoe UI"/>
            <family val="2"/>
          </rPr>
          <t>24031|DESEMPENADEIRA DE MADEIRA - 12 X 20CM|PC|70|24||</t>
        </r>
      </text>
    </comment>
    <comment ref="F118" authorId="0" shapeId="0" xr:uid="{BB946CC5-8B0E-4DDB-9806-72B798FA5D3D}">
      <text>
        <r>
          <rPr>
            <sz val="9"/>
            <color indexed="81"/>
            <rFont val="Segoe UI"/>
            <family val="2"/>
          </rPr>
          <t>24205|ROLO DE LA DE CARNEIRO P/ PINTURA - 23 CM C/ CABO|PC|76|11|140315|</t>
        </r>
      </text>
    </comment>
    <comment ref="F119" authorId="0" shapeId="0" xr:uid="{A0C7BDBE-C28E-4543-BE2A-BECBDDFA1FD2}">
      <text>
        <r>
          <rPr>
            <sz val="9"/>
            <color indexed="81"/>
            <rFont val="Segoe UI"/>
            <family val="2"/>
          </rPr>
          <t>24542|GARFO P/ COZINHA - 2 DENTES - GRANDE|PC|52|13||</t>
        </r>
      </text>
    </comment>
    <comment ref="F120" authorId="0" shapeId="0" xr:uid="{3ACE3F26-1588-4C0F-B57A-A9222B8DC1D3}">
      <text>
        <r>
          <rPr>
            <sz val="9"/>
            <color indexed="81"/>
            <rFont val="Segoe UI"/>
            <family val="2"/>
          </rPr>
          <t>24890|PREGO COMUM DE CABECA CHATA - 08 X 08|KG|67|6||</t>
        </r>
      </text>
    </comment>
    <comment ref="F121" authorId="0" shapeId="0" xr:uid="{141E2A4E-B806-493E-80A4-05790109C0AE}">
      <text>
        <r>
          <rPr>
            <sz val="9"/>
            <color indexed="81"/>
            <rFont val="Segoe UI"/>
            <family val="2"/>
          </rPr>
          <t>25489|PREGO COMUM S/ CABECA - 13 X 18|KG|67|6||</t>
        </r>
      </text>
    </comment>
    <comment ref="F122" authorId="0" shapeId="0" xr:uid="{6F3EE793-36CD-4A5F-B08A-9BD52E32D24B}">
      <text>
        <r>
          <rPr>
            <sz val="9"/>
            <color indexed="81"/>
            <rFont val="Segoe UI"/>
            <family val="2"/>
          </rPr>
          <t>25519|COLHER EM ACO INOX P/ ARROZ- GRANDE|PC|52|13||</t>
        </r>
      </text>
    </comment>
    <comment ref="F123" authorId="0" shapeId="0" xr:uid="{68AA6C2E-1BCE-4403-B536-B46EE1BD9F16}">
      <text>
        <r>
          <rPr>
            <sz val="9"/>
            <color indexed="81"/>
            <rFont val="Segoe UI"/>
            <family val="2"/>
          </rPr>
          <t>25536|ABRACADEIRA GALVANIZADA TIPO D DE 1/2"|PC|55|46||</t>
        </r>
      </text>
    </comment>
    <comment ref="F124" authorId="0" shapeId="0" xr:uid="{D15B3571-E77A-4978-A9D7-C53E354590B3}">
      <text>
        <r>
          <rPr>
            <sz val="9"/>
            <color indexed="81"/>
            <rFont val="Segoe UI"/>
            <family val="2"/>
          </rPr>
          <t>26368|CAIXILHO DE FERRO PERFILADO BASCULANTE - MEDIDAS: 1,00 X 1,|PC|51|26||</t>
        </r>
      </text>
    </comment>
    <comment ref="F125" authorId="0" shapeId="0" xr:uid="{D56A111A-A609-4484-8080-C1546C6A52C8}">
      <text>
        <r>
          <rPr>
            <sz val="9"/>
            <color indexed="81"/>
            <rFont val="Segoe UI"/>
            <family val="2"/>
          </rPr>
          <t>26503|ENCOSTO EM MADEIRA COMPENSADA MULTILAMINADA, C/ FRENTE E||78|6||</t>
        </r>
      </text>
    </comment>
    <comment ref="F126" authorId="0" shapeId="0" xr:uid="{D2710F4E-BA42-4229-8824-4105D58AACAA}">
      <text>
        <r>
          <rPr>
            <sz val="9"/>
            <color indexed="81"/>
            <rFont val="Segoe UI"/>
            <family val="2"/>
          </rPr>
          <t>26508|ASSENTO EM MADEIRA  REVESTIDO C/ LAMINADO MELAMINICO 10MM||78|6||</t>
        </r>
      </text>
    </comment>
    <comment ref="F127" authorId="0" shapeId="0" xr:uid="{DF949358-E821-4E4F-9D72-C43BE8D6FD4B}">
      <text>
        <r>
          <rPr>
            <sz val="9"/>
            <color indexed="81"/>
            <rFont val="Segoe UI"/>
            <family val="2"/>
          </rPr>
          <t>27479|PRIMER ANTICORROSIVO, SECAGEM RAPIDA, COR CINZA, GL C/ 3,6ML|GL|76|5|141253|</t>
        </r>
      </text>
    </comment>
    <comment ref="F128" authorId="0" shapeId="0" xr:uid="{07336731-A155-443C-88AC-651C3A2612B4}">
      <text>
        <r>
          <rPr>
            <sz val="9"/>
            <color indexed="81"/>
            <rFont val="Segoe UI"/>
            <family val="2"/>
          </rPr>
          <t>27759|REGISTRO DE GAVETA EM LIGA DE COBRE DE 1.1/4 - S/ CANOPLA|PC|61|15||</t>
        </r>
      </text>
    </comment>
    <comment ref="F129" authorId="0" shapeId="0" xr:uid="{75B50617-29C5-4B2A-AA45-88BC0290C3F8}">
      <text>
        <r>
          <rPr>
            <sz val="9"/>
            <color indexed="81"/>
            <rFont val="Segoe UI"/>
            <family val="2"/>
          </rPr>
          <t>28040|PREGO COMUM S/ CABECA - 14 X 21|KG|67|6||</t>
        </r>
      </text>
    </comment>
    <comment ref="F130" authorId="0" shapeId="0" xr:uid="{412ED05B-F7D6-4CDE-BBB2-E6766D9DF346}">
      <text>
        <r>
          <rPr>
            <sz val="9"/>
            <color indexed="81"/>
            <rFont val="Segoe UI"/>
            <family val="2"/>
          </rPr>
          <t>28781|ABRACADEIRA REGULAVEL ROSCA SEM FIM DE 1"|PC|55|46||</t>
        </r>
      </text>
    </comment>
    <comment ref="F131" authorId="0" shapeId="0" xr:uid="{667D4177-E457-49A0-AB43-CBE4B31FCD61}">
      <text>
        <r>
          <rPr>
            <sz val="9"/>
            <color indexed="81"/>
            <rFont val="Segoe UI"/>
            <family val="2"/>
          </rPr>
          <t>28782|ABRACADEIRA REGULAVEL ROSCA SEM FIM DE 1/2"|PC|55|46||</t>
        </r>
      </text>
    </comment>
    <comment ref="F132" authorId="0" shapeId="0" xr:uid="{62EFB494-3E6F-45AA-806B-0175C756182E}">
      <text>
        <r>
          <rPr>
            <sz val="9"/>
            <color indexed="81"/>
            <rFont val="Segoe UI"/>
            <family val="2"/>
          </rPr>
          <t>29288|DISCO DE CORTE 10" X 1/8" X 5/8" (254 X 3,2 X 15,8 MM - DIA|||||</t>
        </r>
      </text>
    </comment>
    <comment ref="F133" authorId="0" shapeId="0" xr:uid="{DF718CC1-CDDC-41EB-AF6C-A108FA4ED9DD}">
      <text>
        <r>
          <rPr>
            <sz val="9"/>
            <color indexed="81"/>
            <rFont val="Segoe UI"/>
            <family val="2"/>
          </rPr>
          <t>29294|BUCHA DE FIXACAO N° 12 - DE NYLON|PC|67|9||</t>
        </r>
      </text>
    </comment>
    <comment ref="F134" authorId="0" shapeId="0" xr:uid="{1665209E-F76F-47B0-9226-886FF62E45F1}">
      <text>
        <r>
          <rPr>
            <sz val="9"/>
            <color indexed="81"/>
            <rFont val="Segoe UI"/>
            <family val="2"/>
          </rPr>
          <t>29435|LAVATORIO DE LOUCA C/ COLUNA - 52 X 42 CM|UN|51|36|140283|</t>
        </r>
      </text>
    </comment>
    <comment ref="F135" authorId="0" shapeId="0" xr:uid="{A720EF23-D3E7-4037-80D9-E15F7946037C}">
      <text>
        <r>
          <rPr>
            <sz val="9"/>
            <color indexed="81"/>
            <rFont val="Segoe UI"/>
            <family val="2"/>
          </rPr>
          <t>29437|COTOVELO GALVANIZADO DE 1, 1/2" X 90°, DE ACO ZINCADO A FOGO - NBR 6323|PC|61|8||</t>
        </r>
      </text>
    </comment>
    <comment ref="F136" authorId="0" shapeId="0" xr:uid="{70C5B388-27CF-4C55-88FF-EF0FCC4EDF80}">
      <text>
        <r>
          <rPr>
            <sz val="9"/>
            <color indexed="81"/>
            <rFont val="Segoe UI"/>
            <family val="2"/>
          </rPr>
          <t>29524|TINTA P/ PISO - AMARELA - GL C/ 3.600 ML|GL|76|9||</t>
        </r>
      </text>
    </comment>
    <comment ref="F137" authorId="0" shapeId="0" xr:uid="{D0C2E23B-9DA6-4219-AEEF-1B963128563A}">
      <text>
        <r>
          <rPr>
            <sz val="9"/>
            <color indexed="81"/>
            <rFont val="Segoe UI"/>
            <family val="2"/>
          </rPr>
          <t>29526|TINTA P/ PISO - BRANCO - GALAO COM 3.600 ML|GL|76|9||</t>
        </r>
      </text>
    </comment>
    <comment ref="F138" authorId="0" shapeId="0" xr:uid="{90D8EFA5-2F5C-487F-9FAE-2291AE41220B}">
      <text>
        <r>
          <rPr>
            <sz val="9"/>
            <color indexed="81"/>
            <rFont val="Segoe UI"/>
            <family val="2"/>
          </rPr>
          <t>29537|COTOVELO DE REDUCAO EM PVC RIGIDO SOLDAVEL DE 3/4" X 1/2"|PC|61|8||</t>
        </r>
      </text>
    </comment>
    <comment ref="F139" authorId="0" shapeId="0" xr:uid="{078855CE-2A56-4340-97A0-707DF5B0D581}">
      <text>
        <r>
          <rPr>
            <sz val="9"/>
            <color indexed="81"/>
            <rFont val="Segoe UI"/>
            <family val="2"/>
          </rPr>
          <t>29829|REGISTRO DE GAVETA DE 2.1/2" - S/ CANOPLA|PC|61|15||</t>
        </r>
      </text>
    </comment>
    <comment ref="F140" authorId="0" shapeId="0" xr:uid="{AECEDB30-0856-4DEF-86CC-C2358D2D88C7}">
      <text>
        <r>
          <rPr>
            <sz val="9"/>
            <color indexed="81"/>
            <rFont val="Segoe UI"/>
            <family val="2"/>
          </rPr>
          <t>29935|ROLO DE ESPUMA P/ PINTURA - 15 CM C/ CABO|PC|76|11||</t>
        </r>
      </text>
    </comment>
    <comment ref="F141" authorId="0" shapeId="0" xr:uid="{6A2BF1E2-1304-4C60-9E50-DA91B92B2951}">
      <text>
        <r>
          <rPr>
            <sz val="9"/>
            <color indexed="81"/>
            <rFont val="Segoe UI"/>
            <family val="2"/>
          </rPr>
          <t>29936|ROLO DE ESPUMA P/ PINTURA - 09 CM C/ CABO|PC|76|11||</t>
        </r>
      </text>
    </comment>
    <comment ref="F142" authorId="0" shapeId="0" xr:uid="{24B5ABE1-9D7F-4AD4-A44C-97D8B72B78CA}">
      <text>
        <r>
          <rPr>
            <sz val="9"/>
            <color indexed="81"/>
            <rFont val="Segoe UI"/>
            <family val="2"/>
          </rPr>
          <t>29960|PAPEL CAMURCA - 60 X 40 CM - ABOBORA|FL|57|15||</t>
        </r>
      </text>
    </comment>
    <comment ref="F143" authorId="0" shapeId="0" xr:uid="{39CFFA3D-4EF7-4604-8DE9-E5902A6C924B}">
      <text>
        <r>
          <rPr>
            <sz val="9"/>
            <color indexed="81"/>
            <rFont val="Segoe UI"/>
            <family val="2"/>
          </rPr>
          <t>30171|TINTA P/ PISO - VERDE ESCURO - LT C/ 18 L|LT|76|9||</t>
        </r>
      </text>
    </comment>
    <comment ref="F144" authorId="0" shapeId="0" xr:uid="{C62597C9-A067-45F5-B6E4-AC69C5462824}">
      <text>
        <r>
          <rPr>
            <sz val="9"/>
            <color indexed="81"/>
            <rFont val="Segoe UI"/>
            <family val="2"/>
          </rPr>
          <t>30658|VALVULA P/ PIA AMERICANA EM PVC CROMADO - 1.1/2"|PC|61|15||</t>
        </r>
      </text>
    </comment>
    <comment ref="F145" authorId="0" shapeId="0" xr:uid="{CC69FEE5-5610-4B3C-B61F-178B5B634755}">
      <text>
        <r>
          <rPr>
            <sz val="9"/>
            <color indexed="81"/>
            <rFont val="Segoe UI"/>
            <family val="2"/>
          </rPr>
          <t>30772|DESENTUPIDOR DE BACIA SANITARIA, CABO LONGO|PC|72|5||</t>
        </r>
      </text>
    </comment>
    <comment ref="F146" authorId="0" shapeId="0" xr:uid="{CE51B060-094C-4341-8138-2850C0822C7E}">
      <text>
        <r>
          <rPr>
            <sz val="9"/>
            <color indexed="81"/>
            <rFont val="Segoe UI"/>
            <family val="2"/>
          </rPr>
          <t>31321|CABO FLEXIVEL - 2,5 MM2 - PRETO|M|55|19|140032|</t>
        </r>
      </text>
    </comment>
    <comment ref="F147" authorId="0" shapeId="0" xr:uid="{82A6EF8A-2678-4EE9-AFD6-8C4715E76B72}">
      <text>
        <r>
          <rPr>
            <sz val="9"/>
            <color indexed="81"/>
            <rFont val="Segoe UI"/>
            <family val="2"/>
          </rPr>
          <t>31427|LEITEIRA DE ALUMINIO 3 L  - C/ TAMPA|PC|52|7||</t>
        </r>
      </text>
    </comment>
    <comment ref="F148" authorId="0" shapeId="0" xr:uid="{F67078FA-7F9D-41B5-90DD-01BC3DBBC511}">
      <text>
        <r>
          <rPr>
            <sz val="9"/>
            <color indexed="81"/>
            <rFont val="Segoe UI"/>
            <family val="2"/>
          </rPr>
          <t>31428|LEITEIRA DE ALUMINIO 5 L - C/ TAMPA|PC|52|7||</t>
        </r>
      </text>
    </comment>
    <comment ref="F149" authorId="0" shapeId="0" xr:uid="{227C6F12-D2C2-4ACC-8FD3-AA3F36A0AE65}">
      <text>
        <r>
          <rPr>
            <sz val="9"/>
            <color indexed="81"/>
            <rFont val="Segoe UI"/>
            <family val="2"/>
          </rPr>
          <t>32487|TINTA P/ PISO - PRETO - GL C/3.600 ML|GL|76|9||</t>
        </r>
      </text>
    </comment>
    <comment ref="F150" authorId="0" shapeId="0" xr:uid="{3FD3D25E-6DEB-4925-9416-0D9FE9020FD5}">
      <text>
        <r>
          <rPr>
            <sz val="9"/>
            <color indexed="81"/>
            <rFont val="Segoe UI"/>
            <family val="2"/>
          </rPr>
          <t>32648|ARAME FARPADO DE ACO GALVANIZADO A FOGO CORDOALHA 1,60 MM|RL|67|14||</t>
        </r>
      </text>
    </comment>
    <comment ref="F151" authorId="0" shapeId="0" xr:uid="{29F4555E-2DA1-43B3-87C4-B2240C4B610F}">
      <text>
        <r>
          <rPr>
            <sz val="9"/>
            <color indexed="81"/>
            <rFont val="Segoe UI"/>
            <family val="2"/>
          </rPr>
          <t>32752|PREGO COMUM S/ CABECA - 8 X 8|KG|67|6||</t>
        </r>
      </text>
    </comment>
    <comment ref="F152" authorId="0" shapeId="0" xr:uid="{808AD5A2-4A0B-45EA-BACD-9457533E256C}">
      <text>
        <r>
          <rPr>
            <sz val="9"/>
            <color indexed="81"/>
            <rFont val="Segoe UI"/>
            <family val="2"/>
          </rPr>
          <t>32759|PREGO COMUM S/ CABECA - 16 X 21|KG|67|6||</t>
        </r>
      </text>
    </comment>
    <comment ref="F153" authorId="0" shapeId="0" xr:uid="{8E8C637E-0AEE-42F5-94E2-BFEA22E472FF}">
      <text>
        <r>
          <rPr>
            <sz val="9"/>
            <color indexed="81"/>
            <rFont val="Segoe UI"/>
            <family val="2"/>
          </rPr>
          <t>32761|PREGO COMUM S/ CABECA - 17 X 21|KG|67|6||</t>
        </r>
      </text>
    </comment>
    <comment ref="F154" authorId="0" shapeId="0" xr:uid="{794D0C07-DEC5-4B37-AB19-E564A5D7F9C0}">
      <text>
        <r>
          <rPr>
            <sz val="9"/>
            <color indexed="81"/>
            <rFont val="Segoe UI"/>
            <family val="2"/>
          </rPr>
          <t>34405|PNEU 185/60 R 14 RADIAL|PC|84|1||</t>
        </r>
      </text>
    </comment>
    <comment ref="F155" authorId="0" shapeId="0" xr:uid="{82AF9BF6-E7F4-485A-9B21-74E887C264B5}">
      <text>
        <r>
          <rPr>
            <sz val="9"/>
            <color indexed="81"/>
            <rFont val="Segoe UI"/>
            <family val="2"/>
          </rPr>
          <t>35227|LUVA DE PVC, 1", RIGIDO SOLDAVEL|PC|61|8|59400|</t>
        </r>
      </text>
    </comment>
    <comment ref="F156" authorId="0" shapeId="0" xr:uid="{817BCB22-FB33-4210-85F0-BA9BE17C6D13}">
      <text>
        <r>
          <rPr>
            <sz val="9"/>
            <color indexed="81"/>
            <rFont val="Segoe UI"/>
            <family val="2"/>
          </rPr>
          <t>35238|FILTRO DE LUZ RETANGULAR P/ MASCARA DE PROTECAO, TONALIDADE|PC|54|4||</t>
        </r>
      </text>
    </comment>
    <comment ref="F157" authorId="0" shapeId="0" xr:uid="{B468D511-1FEB-4D6A-BAD7-EEDC444285C4}">
      <text>
        <r>
          <rPr>
            <sz val="9"/>
            <color indexed="81"/>
            <rFont val="Segoe UI"/>
            <family val="2"/>
          </rPr>
          <t>35331|LUVA DE RASPA  - CANO MEDIO|PR|54|4||</t>
        </r>
      </text>
    </comment>
    <comment ref="F158" authorId="0" shapeId="0" xr:uid="{F3B8C5EB-6C01-4632-88B7-2660EF859467}">
      <text>
        <r>
          <rPr>
            <sz val="9"/>
            <color indexed="81"/>
            <rFont val="Segoe UI"/>
            <family val="2"/>
          </rPr>
          <t>35359|PERNEIRA DE PROTECAO CONFECCIONADA EM RASPA DE COURO VACUM, FECHAMENTO EM VELCRO, COR E ESPESSURA UNIFORME, SEM FIAPOS DE COURO|PR|54|4|137799|</t>
        </r>
      </text>
    </comment>
    <comment ref="F159" authorId="0" shapeId="0" xr:uid="{68DEED69-29F7-473A-8A70-E3F43B7EB30F}">
      <text>
        <r>
          <rPr>
            <sz val="9"/>
            <color indexed="81"/>
            <rFont val="Segoe UI"/>
            <family val="2"/>
          </rPr>
          <t>36011|TINTA P/ PISO - VERMELHO - LT C/ 18 L|LT|76|9||</t>
        </r>
      </text>
    </comment>
    <comment ref="F160" authorId="0" shapeId="0" xr:uid="{3737A4C8-CA12-4084-A6D5-9172AC68DE7B}">
      <text>
        <r>
          <rPr>
            <sz val="9"/>
            <color indexed="81"/>
            <rFont val="Segoe UI"/>
            <family val="2"/>
          </rPr>
          <t>36033|CORDAO DE COBRE PARALELO ISOLACAO 300 V - 2 X 1,5 MM2  - ROLO COM 100 METROS|M|55|19||</t>
        </r>
      </text>
    </comment>
    <comment ref="F161" authorId="0" shapeId="0" xr:uid="{8F0B9638-D0AF-4ABB-8907-65C29827B073}">
      <text>
        <r>
          <rPr>
            <sz val="9"/>
            <color indexed="81"/>
            <rFont val="Segoe UI"/>
            <family val="2"/>
          </rPr>
          <t>36107|CHAPA DE MADEIRA ISOLANTE C/ 12 MM DE ESPESS - MED: 1,22 X 2,44 M|PC|74|9||</t>
        </r>
      </text>
    </comment>
    <comment ref="F162" authorId="0" shapeId="0" xr:uid="{79C294CC-3F34-421B-ADC2-C169BCEBD0D7}">
      <text>
        <r>
          <rPr>
            <sz val="9"/>
            <color indexed="81"/>
            <rFont val="Segoe UI"/>
            <family val="2"/>
          </rPr>
          <t>36400|ROLAMENTO - 6203 - ZZ|PC|89|12||</t>
        </r>
      </text>
    </comment>
    <comment ref="F163" authorId="0" shapeId="0" xr:uid="{E7D571CC-93F3-4286-A913-D4E4D9D816E5}">
      <text>
        <r>
          <rPr>
            <sz val="9"/>
            <color indexed="81"/>
            <rFont val="Segoe UI"/>
            <family val="2"/>
          </rPr>
          <t>37847|DISCO DE CORTE - 12" X 1/8" X 5/8" (300 X 3,2 X 15,9 MM DIA|||||</t>
        </r>
      </text>
    </comment>
    <comment ref="F164" authorId="0" shapeId="0" xr:uid="{BB2426D1-D315-493A-983F-D9F391D626C3}">
      <text>
        <r>
          <rPr>
            <sz val="9"/>
            <color indexed="81"/>
            <rFont val="Segoe UI"/>
            <family val="2"/>
          </rPr>
          <t>38079|ABRACADEIRA TIPO "D" - 1"|PC|55|46||</t>
        </r>
      </text>
    </comment>
    <comment ref="F165" authorId="0" shapeId="0" xr:uid="{9B8E509A-C22D-42AC-8087-DFFFC6134825}">
      <text>
        <r>
          <rPr>
            <sz val="9"/>
            <color indexed="81"/>
            <rFont val="Segoe UI"/>
            <family val="2"/>
          </rPr>
          <t>38648|CABO CTP-APL - SN - 50/10 PARES|M|59|18||</t>
        </r>
      </text>
    </comment>
    <comment ref="F166" authorId="0" shapeId="0" xr:uid="{8D605804-AA51-4F1F-AF0D-7D23BE1882D9}">
      <text>
        <r>
          <rPr>
            <sz val="9"/>
            <color indexed="81"/>
            <rFont val="Segoe UI"/>
            <family val="2"/>
          </rPr>
          <t>39982|PNEU 165/70 R 13, RADIAL PARA EIXO DIRECIONAL E LIVRE, INDICE DE CARGA 78 (CARGA POR PNEU 425 KG), INDICE DE VELOCIDADE T (ATE 190 KM/H), PROFUNDIDADE DOS SULCOS 8,0 MM.|PC|84|1||</t>
        </r>
      </text>
    </comment>
    <comment ref="F167" authorId="0" shapeId="0" xr:uid="{A3E7F7B3-BFCB-45EE-9AE6-C7D11AC68B06}">
      <text>
        <r>
          <rPr>
            <sz val="9"/>
            <color indexed="81"/>
            <rFont val="Segoe UI"/>
            <family val="2"/>
          </rPr>
          <t>40685|CABO FLEXIVEL - 6 MM2 - VERDE|M|55|19|140038|</t>
        </r>
      </text>
    </comment>
    <comment ref="F168" authorId="0" shapeId="0" xr:uid="{BB79427D-D075-4EB8-96C3-CF14372B5996}">
      <text>
        <r>
          <rPr>
            <sz val="9"/>
            <color indexed="81"/>
            <rFont val="Segoe UI"/>
            <family val="2"/>
          </rPr>
          <t>40688|PARAFUSO FRANCES - 2" X 5/16" - C/ PORCA E ARRUELA|PC|67|18||</t>
        </r>
      </text>
    </comment>
    <comment ref="F169" authorId="0" shapeId="0" xr:uid="{A3429703-8988-4995-8B48-1FE4D9FEFEC9}">
      <text>
        <r>
          <rPr>
            <sz val="9"/>
            <color indexed="81"/>
            <rFont val="Segoe UI"/>
            <family val="2"/>
          </rPr>
          <t>40689|PARAFUSO FRANCES - 1.1/2" X 5/16" - C/ PORCA E ARRUELA|PC|67|18||</t>
        </r>
      </text>
    </comment>
    <comment ref="F170" authorId="0" shapeId="0" xr:uid="{2D219AF6-5AE9-4487-94D4-938C328944CA}">
      <text>
        <r>
          <rPr>
            <sz val="9"/>
            <color indexed="81"/>
            <rFont val="Segoe UI"/>
            <family val="2"/>
          </rPr>
          <t>42681|FILTRO DE LUZ REDONDO P/ MASCARA DE PROTECAO - ESPESS 2MM,|PC|54|4||</t>
        </r>
      </text>
    </comment>
    <comment ref="F171" authorId="0" shapeId="0" xr:uid="{DB38C0D6-7240-42A5-8002-287DF017359A}">
      <text>
        <r>
          <rPr>
            <sz val="9"/>
            <color indexed="81"/>
            <rFont val="Segoe UI"/>
            <family val="2"/>
          </rPr>
          <t>43648|ARRUELA GALVANIZADA DE 1/2|PC|55|32||</t>
        </r>
      </text>
    </comment>
    <comment ref="F172" authorId="0" shapeId="0" xr:uid="{BC3AFF03-B988-494D-82F4-8E9D95A3DC7F}">
      <text>
        <r>
          <rPr>
            <sz val="9"/>
            <color indexed="81"/>
            <rFont val="Segoe UI"/>
            <family val="2"/>
          </rPr>
          <t>43794|CHAPA DE MADEIRA CHAPADUR - MED:2,75 X 1,22 M - ESPESSURA:3,2 MM (PODENDO VARIAR +/- 0,2 MM)|PC|74|8||</t>
        </r>
      </text>
    </comment>
    <comment ref="F173" authorId="0" shapeId="0" xr:uid="{D3AF1A55-0C5F-4AE3-8D45-7FB2F7CD8485}">
      <text>
        <r>
          <rPr>
            <sz val="9"/>
            <color indexed="81"/>
            <rFont val="Segoe UI"/>
            <family val="2"/>
          </rPr>
          <t>45067|CORDAO PARALELO - 2 X 4 MM2|M|55|19||</t>
        </r>
      </text>
    </comment>
    <comment ref="F174" authorId="0" shapeId="0" xr:uid="{71DCD9C1-75B6-438D-939E-E53220AD5502}">
      <text>
        <r>
          <rPr>
            <sz val="9"/>
            <color indexed="81"/>
            <rFont val="Segoe UI"/>
            <family val="2"/>
          </rPr>
          <t>45111|PNEU 185 R14, PARA ASFALTO RADIAL SEM CAMARA|PC|84|1||</t>
        </r>
      </text>
    </comment>
    <comment ref="F175" authorId="0" shapeId="0" xr:uid="{FAFCB41F-34E8-49EC-80A2-17B426F420C3}">
      <text>
        <r>
          <rPr>
            <sz val="9"/>
            <color indexed="81"/>
            <rFont val="Segoe UI"/>
            <family val="2"/>
          </rPr>
          <t>45195|RESPIRO P/ ENTRADA DE AR - P/ USO EM ARMARIO|UN|51|11||</t>
        </r>
      </text>
    </comment>
    <comment ref="F176" authorId="0" shapeId="0" xr:uid="{CD394D53-ADCB-480E-AD3B-96C3B974B2A1}">
      <text>
        <r>
          <rPr>
            <sz val="9"/>
            <color indexed="81"/>
            <rFont val="Segoe UI"/>
            <family val="2"/>
          </rPr>
          <t>45651|HASTE GALVANIZADA - 1/4" X 300 MM - P/ FIXACAO DE TELHAS DE|PC|67|1||</t>
        </r>
      </text>
    </comment>
    <comment ref="F177" authorId="0" shapeId="0" xr:uid="{B8B44768-BF6B-4DA2-8254-7BE5D1123B40}">
      <text>
        <r>
          <rPr>
            <sz val="9"/>
            <color indexed="81"/>
            <rFont val="Segoe UI"/>
            <family val="2"/>
          </rPr>
          <t>48178|CHAPA DE LAMINADO MELAMINICO C/ 3,08 X 1,25 M, ESPESSURA 0,8 MM|PC|74|8||</t>
        </r>
      </text>
    </comment>
    <comment ref="F178" authorId="0" shapeId="0" xr:uid="{D39B55ED-F16A-4FBA-9BE9-87E41FBFFB18}">
      <text>
        <r>
          <rPr>
            <sz val="9"/>
            <color indexed="81"/>
            <rFont val="Segoe UI"/>
            <family val="2"/>
          </rPr>
          <t>48714|DISCO DE LIXA N° 60 - 7" E FURO 7/8"|PC|83|10||</t>
        </r>
      </text>
    </comment>
    <comment ref="F179" authorId="0" shapeId="0" xr:uid="{D89A2C89-2C7E-43D8-84BB-D13D40FF3D74}">
      <text>
        <r>
          <rPr>
            <sz val="9"/>
            <color indexed="81"/>
            <rFont val="Segoe UI"/>
            <family val="2"/>
          </rPr>
          <t>49099|PREGO COMUM DE CABECA CHATA - 6 X 6|KG|67|6||</t>
        </r>
      </text>
    </comment>
    <comment ref="F180" authorId="0" shapeId="0" xr:uid="{197B2FFF-B95A-4AC5-980E-02B695488B86}">
      <text>
        <r>
          <rPr>
            <sz val="9"/>
            <color indexed="81"/>
            <rFont val="Segoe UI"/>
            <family val="2"/>
          </rPr>
          <t>49184|ESCORREDOR P/ ARROZ (LAVA ARROZ) EM ALUMINIO - 35 CM DIAME|PC|52|8||</t>
        </r>
      </text>
    </comment>
    <comment ref="F181" authorId="0" shapeId="0" xr:uid="{8757EE41-8E54-4A4D-8253-51C0E23FE497}">
      <text>
        <r>
          <rPr>
            <sz val="9"/>
            <color indexed="81"/>
            <rFont val="Segoe UI"/>
            <family val="2"/>
          </rPr>
          <t>49188|CACAROLA DE ALUMINIO FUNDIDO(BATIDO) - C/ DUAS ALCAS E TAMP|PC|52|7||</t>
        </r>
      </text>
    </comment>
    <comment ref="F182" authorId="0" shapeId="0" xr:uid="{A4F79FC6-942A-4FE6-A4A3-3A53756CD4C7}">
      <text>
        <r>
          <rPr>
            <sz val="9"/>
            <color indexed="81"/>
            <rFont val="Segoe UI"/>
            <family val="2"/>
          </rPr>
          <t>49864|GARRAFAO TERMICO C/ TORNEIRA - CAPACIDADE P/ 09 LITROS|PC|73|4||</t>
        </r>
      </text>
    </comment>
    <comment ref="F183" authorId="0" shapeId="0" xr:uid="{00ED100F-BA9D-496E-BE41-7DEFE7C5AC52}">
      <text>
        <r>
          <rPr>
            <sz val="9"/>
            <color indexed="81"/>
            <rFont val="Segoe UI"/>
            <family val="2"/>
          </rPr>
          <t>49866|LAMPADA FLUORESCENTE - 32W / 220V|PC|55|57||</t>
        </r>
      </text>
    </comment>
    <comment ref="F184" authorId="0" shapeId="0" xr:uid="{3EAAA840-BB3B-4C64-ADE3-9C4246936EB9}">
      <text>
        <r>
          <rPr>
            <sz val="9"/>
            <color indexed="81"/>
            <rFont val="Segoe UI"/>
            <family val="2"/>
          </rPr>
          <t>49867|REATOR ELETRONICO 2 X 32 P/ LAMPADA FLUORESCENTE 32W / 220V|PC|55|55||</t>
        </r>
      </text>
    </comment>
    <comment ref="F185" authorId="0" shapeId="0" xr:uid="{29E57078-93CF-4620-9A7B-6283C6338A91}">
      <text>
        <r>
          <rPr>
            <sz val="9"/>
            <color indexed="81"/>
            <rFont val="Segoe UI"/>
            <family val="2"/>
          </rPr>
          <t>49984|CACAROLA DE ALUMINIO C/ ALCAS LATERAIS E C/ TAMPA - CAPACID|PC|52|7||</t>
        </r>
      </text>
    </comment>
    <comment ref="F186" authorId="0" shapeId="0" xr:uid="{77CFD7C0-C707-4A04-8D18-D66E68EFCFEF}">
      <text>
        <r>
          <rPr>
            <sz val="9"/>
            <color indexed="81"/>
            <rFont val="Segoe UI"/>
            <family val="2"/>
          </rPr>
          <t>49988|CACAROLA DE ALUMINIO C/ ALCAS LATERAIS E C/ TAMPA - CAPACID|PC|52|7||</t>
        </r>
      </text>
    </comment>
    <comment ref="F187" authorId="0" shapeId="0" xr:uid="{BE48D650-7E4C-4260-8BAD-74DA6F1840EC}">
      <text>
        <r>
          <rPr>
            <sz val="9"/>
            <color indexed="81"/>
            <rFont val="Segoe UI"/>
            <family val="2"/>
          </rPr>
          <t>50294|NIPLE DUPLO EM PVC RIGIDO ROSQUEAVEL DE 1/2"|PC|61|8||</t>
        </r>
      </text>
    </comment>
    <comment ref="F188" authorId="0" shapeId="0" xr:uid="{5D3955A9-F62C-43EE-A8B9-234331514F95}">
      <text>
        <r>
          <rPr>
            <sz val="9"/>
            <color indexed="81"/>
            <rFont val="Segoe UI"/>
            <family val="2"/>
          </rPr>
          <t>50476|TELHA DE BARRO COZIDO - TIPO PAULISTINHA|PC|51|17||</t>
        </r>
      </text>
    </comment>
    <comment ref="F189" authorId="0" shapeId="0" xr:uid="{716294BB-E622-48C2-A61B-9D6D9987466A}">
      <text>
        <r>
          <rPr>
            <sz val="9"/>
            <color indexed="81"/>
            <rFont val="Segoe UI"/>
            <family val="2"/>
          </rPr>
          <t>51013|TINTA LATEX ACRILICA FOSCA - PESSEGO - 18 LITROS|LT|76|10||</t>
        </r>
      </text>
    </comment>
    <comment ref="F190" authorId="0" shapeId="0" xr:uid="{C660A1D3-C67F-484F-B231-DB8B90FD94F3}">
      <text>
        <r>
          <rPr>
            <sz val="9"/>
            <color indexed="81"/>
            <rFont val="Segoe UI"/>
            <family val="2"/>
          </rPr>
          <t>51223|LUMINARIA FECHADA TIPO CALHA - P/ LAMPADA FLUORESCENTE - 1|PC|55|49||</t>
        </r>
      </text>
    </comment>
    <comment ref="F191" authorId="0" shapeId="0" xr:uid="{268F21FC-4EB5-495E-9241-4AEFCDEE8A12}">
      <text>
        <r>
          <rPr>
            <sz val="9"/>
            <color indexed="81"/>
            <rFont val="Segoe UI"/>
            <family val="2"/>
          </rPr>
          <t>51337|BATENTE DE GARAPEIRA 0,62 X 2,10 M|PC|74|10||</t>
        </r>
      </text>
    </comment>
    <comment ref="F192" authorId="0" shapeId="0" xr:uid="{D5F0EC21-5052-4532-ADB2-7EEFA4A2C2C9}">
      <text>
        <r>
          <rPr>
            <sz val="9"/>
            <color indexed="81"/>
            <rFont val="Segoe UI"/>
            <family val="2"/>
          </rPr>
          <t>52995|TE DE REDUCAO SOLDAVEL 4" X 2"|PC|61|8||</t>
        </r>
      </text>
    </comment>
    <comment ref="F193" authorId="0" shapeId="0" xr:uid="{99D83561-3C41-4276-8FE6-700C40BFEF5A}">
      <text>
        <r>
          <rPr>
            <sz val="9"/>
            <color indexed="81"/>
            <rFont val="Segoe UI"/>
            <family val="2"/>
          </rPr>
          <t>53016|BATENTE DE GARAPEIRA 0,72 X 2,10 M|JG|74|10||</t>
        </r>
      </text>
    </comment>
    <comment ref="F194" authorId="0" shapeId="0" xr:uid="{4F1C023E-87D8-4F0A-9356-DF68C2F7C8E6}">
      <text>
        <r>
          <rPr>
            <sz val="9"/>
            <color indexed="81"/>
            <rFont val="Segoe UI"/>
            <family val="2"/>
          </rPr>
          <t>53810|PREGO COMUM S/ CABECA 15 X 15|KG|67|6||</t>
        </r>
      </text>
    </comment>
    <comment ref="F195" authorId="0" shapeId="0" xr:uid="{2B4EC069-B3C4-44B7-9950-680C731B4181}">
      <text>
        <r>
          <rPr>
            <sz val="9"/>
            <color indexed="81"/>
            <rFont val="Segoe UI"/>
            <family val="2"/>
          </rPr>
          <t>53928|MOURAO DE CONCRETO ARMADO CURVO - 2,45 X 0,45 M PARA ALAMBRADO|PC|51|30||</t>
        </r>
      </text>
    </comment>
    <comment ref="F196" authorId="0" shapeId="0" xr:uid="{E2BB2D3C-F04A-4F14-9F08-0E350C746E1B}">
      <text>
        <r>
          <rPr>
            <sz val="9"/>
            <color indexed="81"/>
            <rFont val="Segoe UI"/>
            <family val="2"/>
          </rPr>
          <t>54668|TINTA P/ PISO - AZUL MARINHO - LATA C/ 18 LITROS|LT|76|9||</t>
        </r>
      </text>
    </comment>
    <comment ref="F197" authorId="0" shapeId="0" xr:uid="{A7C8F883-9792-439E-8A9C-9DDB472F2F83}">
      <text>
        <r>
          <rPr>
            <sz val="9"/>
            <color indexed="81"/>
            <rFont val="Segoe UI"/>
            <family val="2"/>
          </rPr>
          <t>54969|TE DE PVC SOLDAVEL P/ ESGOTO 1.1/2" ( 40 MM )|PC|61|8||</t>
        </r>
      </text>
    </comment>
    <comment ref="F198" authorId="0" shapeId="0" xr:uid="{0D84018D-C8E4-4621-8B2C-FBA5202EE98D}">
      <text>
        <r>
          <rPr>
            <sz val="9"/>
            <color indexed="81"/>
            <rFont val="Segoe UI"/>
            <family val="2"/>
          </rPr>
          <t>57444|CORANTE PARA COLORIR TINTA LATEX - OCRE - 50 ML|TB|76|6||</t>
        </r>
      </text>
    </comment>
    <comment ref="F199" authorId="0" shapeId="0" xr:uid="{41F81C1F-121F-4246-91D3-B70E78301A46}">
      <text>
        <r>
          <rPr>
            <sz val="9"/>
            <color indexed="81"/>
            <rFont val="Segoe UI"/>
            <family val="2"/>
          </rPr>
          <t>57895|PUXADOR PARA PORTA - TIPO CONCHA CROMADO|PC|51|11||</t>
        </r>
      </text>
    </comment>
    <comment ref="F200" authorId="0" shapeId="0" xr:uid="{4698D2CA-6FFC-4E54-80BF-F1FCA3AA5C8F}">
      <text>
        <r>
          <rPr>
            <sz val="9"/>
            <color indexed="81"/>
            <rFont val="Segoe UI"/>
            <family val="2"/>
          </rPr>
          <t>58116|PNEU 325 X 8 COM 02 LONAS - PARA CARRINHO DE MAO, TIPO PERU|PC|70|38||</t>
        </r>
      </text>
    </comment>
    <comment ref="F201" authorId="0" shapeId="0" xr:uid="{FDDB58F1-C4C9-4E43-B5B2-219F2CA8AFEE}">
      <text>
        <r>
          <rPr>
            <sz val="9"/>
            <color indexed="81"/>
            <rFont val="Segoe UI"/>
            <family val="2"/>
          </rPr>
          <t>58117|CAMARA DE AR PARA PNEU 3,25 X 8 - PARA CARRINHO DE MAO, TIPO PERUZ|PC|70|38||</t>
        </r>
      </text>
    </comment>
    <comment ref="F202" authorId="0" shapeId="0" xr:uid="{7ADBC405-3BC8-435E-9585-75CD4C9B3007}">
      <text>
        <r>
          <rPr>
            <sz val="9"/>
            <color indexed="81"/>
            <rFont val="Segoe UI"/>
            <family val="2"/>
          </rPr>
          <t>58647|TELA DE ARAME GALVANIZADO - FIO 10 - MALHA 2.1/2" X 2 METROS DE ALTURA|M|51|30|64044|</t>
        </r>
      </text>
    </comment>
    <comment ref="F203" authorId="0" shapeId="0" xr:uid="{DBC748F0-D806-459B-A1BB-937F36B46F34}">
      <text>
        <r>
          <rPr>
            <sz val="9"/>
            <color indexed="81"/>
            <rFont val="Segoe UI"/>
            <family val="2"/>
          </rPr>
          <t>58792|LIXEIRA COM PEDAL E TAMPA - CAPACIDADE PARA 100 LITROS|UN|72|6||</t>
        </r>
      </text>
    </comment>
    <comment ref="F204" authorId="0" shapeId="0" xr:uid="{3327EB1A-5660-4C18-BDE4-7B4F95D625D1}">
      <text>
        <r>
          <rPr>
            <sz val="9"/>
            <color indexed="81"/>
            <rFont val="Segoe UI"/>
            <family val="2"/>
          </rPr>
          <t>58977|PORTA PAPEL HIGIENICO - ROLO INDUSTRIAL|PC|51|37||</t>
        </r>
      </text>
    </comment>
    <comment ref="F205" authorId="0" shapeId="0" xr:uid="{455B15BC-7B18-4298-95C3-3827CD2FC19F}">
      <text>
        <r>
          <rPr>
            <sz val="9"/>
            <color indexed="81"/>
            <rFont val="Segoe UI"/>
            <family val="2"/>
          </rPr>
          <t>58989|MISTURA PARA O PREPARO DE BOLO FORMIGUEIRO|||||</t>
        </r>
      </text>
    </comment>
    <comment ref="F206" authorId="0" shapeId="0" xr:uid="{C87CE20A-9FE4-4EC3-8003-FF229309885E}">
      <text>
        <r>
          <rPr>
            <sz val="9"/>
            <color indexed="81"/>
            <rFont val="Segoe UI"/>
            <family val="2"/>
          </rPr>
          <t>60108|FACA DE CORTE DE LEGUMES COM CABO DE POLIETILENO OU POLIPROPILENO BRANCO -|UN|52|13||</t>
        </r>
      </text>
    </comment>
    <comment ref="F207" authorId="0" shapeId="0" xr:uid="{18C7DAA5-254E-4E20-BA36-91222029F8FE}">
      <text>
        <r>
          <rPr>
            <sz val="9"/>
            <color indexed="81"/>
            <rFont val="Segoe UI"/>
            <family val="2"/>
          </rPr>
          <t>60110|RALADOR DE LEGUMES EM INOX|UN|52|10||</t>
        </r>
      </text>
    </comment>
    <comment ref="F208" authorId="0" shapeId="0" xr:uid="{C6CAD66E-BFAE-4384-B117-A5AAEE8A90FC}">
      <text>
        <r>
          <rPr>
            <sz val="9"/>
            <color indexed="81"/>
            <rFont val="Segoe UI"/>
            <family val="2"/>
          </rPr>
          <t>60854|CONDULETE "LL" 2|PC|55|32||</t>
        </r>
      </text>
    </comment>
    <comment ref="F209" authorId="0" shapeId="0" xr:uid="{5D00356B-5BCE-47FA-BE21-4365A8ECE317}">
      <text>
        <r>
          <rPr>
            <sz val="9"/>
            <color indexed="81"/>
            <rFont val="Segoe UI"/>
            <family val="2"/>
          </rPr>
          <t>61167|TINTA ESMALTE SINTETICO BRILHANTE VERDE COLONIAL - GALAO CO|GL|76|3||</t>
        </r>
      </text>
    </comment>
    <comment ref="F210" authorId="0" shapeId="0" xr:uid="{FD5C4D9E-8B97-4531-971B-AD81D5427AD5}">
      <text>
        <r>
          <rPr>
            <sz val="9"/>
            <color indexed="81"/>
            <rFont val="Segoe UI"/>
            <family val="2"/>
          </rPr>
          <t>62365|BACIA DE PLASTICO - CAPACIDADE P/ 32 LITROS|PC|52|8||</t>
        </r>
      </text>
    </comment>
    <comment ref="F211" authorId="0" shapeId="0" xr:uid="{FB11F847-EAAC-49D5-AE48-0D06834541B7}">
      <text>
        <r>
          <rPr>
            <sz val="9"/>
            <color indexed="81"/>
            <rFont val="Segoe UI"/>
            <family val="2"/>
          </rPr>
          <t>62625|REATOR ELETRONICO SERIE 2 X 40 W - 127V / 220 V - ALTO FATO|||||</t>
        </r>
      </text>
    </comment>
    <comment ref="F212" authorId="0" shapeId="0" xr:uid="{86B5A066-07CD-43AE-930A-514615992685}">
      <text>
        <r>
          <rPr>
            <sz val="9"/>
            <color indexed="81"/>
            <rFont val="Segoe UI"/>
            <family val="2"/>
          </rPr>
          <t>63383|PRATO DE POLIPROPILENO AZUL ESCURO,C/BORDA,3 CM ALT X 22CM|UN|52|9||</t>
        </r>
      </text>
    </comment>
    <comment ref="F213" authorId="0" shapeId="0" xr:uid="{CF828288-E6E5-4E58-98BA-4A7E3765AC8F}">
      <text>
        <r>
          <rPr>
            <sz val="9"/>
            <color indexed="81"/>
            <rFont val="Segoe UI"/>
            <family val="2"/>
          </rPr>
          <t>63384|TIGELA (POLIPROPILENO) - CAP 350 ML. 6CM DE ALT X 11 CM DIA|PC|52|5||</t>
        </r>
      </text>
    </comment>
    <comment ref="F214" authorId="0" shapeId="0" xr:uid="{7D20199E-31F0-4CBB-990F-3648EDAF8139}">
      <text>
        <r>
          <rPr>
            <sz val="9"/>
            <color indexed="81"/>
            <rFont val="Segoe UI"/>
            <family val="2"/>
          </rPr>
          <t>64302|CABO FLEXIVEL - 6 MM2 - PRETO|M|55|19|140036|</t>
        </r>
      </text>
    </comment>
    <comment ref="F215" authorId="0" shapeId="0" xr:uid="{4B31192F-EF2C-4177-A304-E2760B0F4AB2}">
      <text>
        <r>
          <rPr>
            <sz val="9"/>
            <color indexed="81"/>
            <rFont val="Segoe UI"/>
            <family val="2"/>
          </rPr>
          <t>64460|PORCA SEXTAVADA DE ACO DE 5/16"|PC|67|4||</t>
        </r>
      </text>
    </comment>
    <comment ref="F216" authorId="0" shapeId="0" xr:uid="{7AE823D8-1A62-4723-9742-8E9228D1594D}">
      <text>
        <r>
          <rPr>
            <sz val="9"/>
            <color indexed="81"/>
            <rFont val="Segoe UI"/>
            <family val="2"/>
          </rPr>
          <t>64461|PORCA SEXTAVADA DE ACO DE 3/8"|PC|67|4||</t>
        </r>
      </text>
    </comment>
    <comment ref="F217" authorId="0" shapeId="0" xr:uid="{002CDBBF-A91E-4ED2-9E1A-B17C8F98DF11}">
      <text>
        <r>
          <rPr>
            <sz val="9"/>
            <color indexed="81"/>
            <rFont val="Segoe UI"/>
            <family val="2"/>
          </rPr>
          <t>64463|PORCA SEXTAVADA DE ACO DE 1/2"|PC|67|4||</t>
        </r>
      </text>
    </comment>
    <comment ref="F218" authorId="0" shapeId="0" xr:uid="{F0DE090C-A6A5-4B69-BA45-0ADD7FED34BA}">
      <text>
        <r>
          <rPr>
            <sz val="9"/>
            <color indexed="81"/>
            <rFont val="Segoe UI"/>
            <family val="2"/>
          </rPr>
          <t>64606|BARRA/FIO REDONDO PARA CONSTRUCAO, DE ACO CA50 - 5/8" - BARRA COM 12 METROS|BR|69|8||</t>
        </r>
      </text>
    </comment>
    <comment ref="F219" authorId="0" shapeId="0" xr:uid="{F3229C79-BEB0-44FF-AFB3-6716337DA395}">
      <text>
        <r>
          <rPr>
            <sz val="9"/>
            <color indexed="81"/>
            <rFont val="Segoe UI"/>
            <family val="2"/>
          </rPr>
          <t>64608|CANTONEIRA DE FERRO - BARRA COM 6 M - 1/4" X 1"|BR|69|3||</t>
        </r>
      </text>
    </comment>
    <comment ref="F220" authorId="0" shapeId="0" xr:uid="{41BE0424-D791-4FA8-9383-F3D80DED3E19}">
      <text>
        <r>
          <rPr>
            <sz val="9"/>
            <color indexed="81"/>
            <rFont val="Segoe UI"/>
            <family val="2"/>
          </rPr>
          <t>64630|LIXA CINTA DE PANO, PARA MADEIRA, GRAU 60 - MED. 1,5 M X 15CM|PC|83|5||</t>
        </r>
      </text>
    </comment>
    <comment ref="F221" authorId="0" shapeId="0" xr:uid="{C0BEAF83-89FE-4501-8EFA-AB1328682760}">
      <text>
        <r>
          <rPr>
            <sz val="9"/>
            <color indexed="81"/>
            <rFont val="Segoe UI"/>
            <family val="2"/>
          </rPr>
          <t>64631|LIXA CINTA DE PANO, PARA MADEIRA, GRAU 80 - MED. 1,5 M X 15|PC|83|5||</t>
        </r>
      </text>
    </comment>
    <comment ref="F222" authorId="0" shapeId="0" xr:uid="{A7CB2821-119F-453C-8D52-88C315F60282}">
      <text>
        <r>
          <rPr>
            <sz val="9"/>
            <color indexed="81"/>
            <rFont val="Segoe UI"/>
            <family val="2"/>
          </rPr>
          <t>64633|DISCO DE LIXA N. 50 - 7" E FURO 7/8" - PARA LIXADEIRA MANUA|PC|83|10||</t>
        </r>
      </text>
    </comment>
    <comment ref="F223" authorId="0" shapeId="0" xr:uid="{435F4CF0-8711-4AB3-8F08-A64D4A0D86FF}">
      <text>
        <r>
          <rPr>
            <sz val="9"/>
            <color indexed="81"/>
            <rFont val="Segoe UI"/>
            <family val="2"/>
          </rPr>
          <t>64818|SIFAO COPO, EM PVC RIGIDO, 1 1/2 X 2" - PARA PIA AMERICANA|PC|61|11||</t>
        </r>
      </text>
    </comment>
    <comment ref="F224" authorId="0" shapeId="0" xr:uid="{73E77F91-3ED2-4C3B-B72D-682EA0382D23}">
      <text>
        <r>
          <rPr>
            <sz val="9"/>
            <color indexed="81"/>
            <rFont val="Segoe UI"/>
            <family val="2"/>
          </rPr>
          <t>64819|TELA DE ARAME GALVANIZADO, FIO 10, MALHA C/ 2 1/2", COM 04|M|51|30|54680|</t>
        </r>
      </text>
    </comment>
    <comment ref="F225" authorId="0" shapeId="0" xr:uid="{75AD1290-7EDE-40E0-9BEB-388941B0098C}">
      <text>
        <r>
          <rPr>
            <sz val="9"/>
            <color indexed="81"/>
            <rFont val="Segoe UI"/>
            <family val="2"/>
          </rPr>
          <t>64820|TELHA DE BARRO COZIDO, TIPO PLANA, CAPA E CANAL|PC|51|17||</t>
        </r>
      </text>
    </comment>
    <comment ref="F226" authorId="0" shapeId="0" xr:uid="{C22D567D-FAA6-4869-8D2F-E6872FD4D32B}">
      <text>
        <r>
          <rPr>
            <sz val="9"/>
            <color indexed="81"/>
            <rFont val="Segoe UI"/>
            <family val="2"/>
          </rPr>
          <t>64821|TINTA P/ PISO - AMARELO - LATA COM 18 LITROS|LT|76|9||</t>
        </r>
      </text>
    </comment>
    <comment ref="F227" authorId="0" shapeId="0" xr:uid="{4D074794-621D-433B-B871-C327B61557A4}">
      <text>
        <r>
          <rPr>
            <sz val="9"/>
            <color indexed="81"/>
            <rFont val="Segoe UI"/>
            <family val="2"/>
          </rPr>
          <t>64822|TINTA P/ PISO - BRANCA - C/ 18 LT|LT|76|9|141608|</t>
        </r>
      </text>
    </comment>
    <comment ref="F228" authorId="0" shapeId="0" xr:uid="{58A46C1C-F721-4374-8CA7-70647E700D2F}">
      <text>
        <r>
          <rPr>
            <sz val="9"/>
            <color indexed="81"/>
            <rFont val="Segoe UI"/>
            <family val="2"/>
          </rPr>
          <t>65609|CUMEEIRA ARTICULADA PARA TELHA KALHETAO 90 - INFERIOR|PC|51|17||</t>
        </r>
      </text>
    </comment>
    <comment ref="F229" authorId="0" shapeId="0" xr:uid="{AB986A95-4088-48DF-832A-C5E05CB70D9D}">
      <text>
        <r>
          <rPr>
            <sz val="9"/>
            <color indexed="81"/>
            <rFont val="Segoe UI"/>
            <family val="2"/>
          </rPr>
          <t>65610|CUMEEIRA ARTICULADA PARA TELHA CALHETAO 90 - SUPERIOR|PC|51|17||</t>
        </r>
      </text>
    </comment>
    <comment ref="F230" authorId="0" shapeId="0" xr:uid="{A346E514-D7AD-41E3-BFF3-57C4522AEF47}">
      <text>
        <r>
          <rPr>
            <sz val="9"/>
            <color indexed="81"/>
            <rFont val="Segoe UI"/>
            <family val="2"/>
          </rPr>
          <t>65748|CABO FLEXIVEL - 2,5 MM2 - VERDE|M|55|19|140030|</t>
        </r>
      </text>
    </comment>
    <comment ref="F231" authorId="0" shapeId="0" xr:uid="{81934ACB-E7A5-41EA-8C65-6C952801E165}">
      <text>
        <r>
          <rPr>
            <sz val="9"/>
            <color indexed="81"/>
            <rFont val="Segoe UI"/>
            <family val="2"/>
          </rPr>
          <t>66786|SABONETE LIQUIDO PEROLADO - BOMBONA C/ 05 LITROS|BN|72|9||</t>
        </r>
      </text>
    </comment>
    <comment ref="F232" authorId="0" shapeId="0" xr:uid="{84D9ECC3-A1DC-4A09-81A5-679D7D9EFB3C}">
      <text>
        <r>
          <rPr>
            <sz val="9"/>
            <color indexed="81"/>
            <rFont val="Segoe UI"/>
            <family val="2"/>
          </rPr>
          <t>67862|TAMPO REDONDO, PARA MESA, C/ 1,10 M DE DIAMETRO, EM COMPENSADO DE 18 MM,|PC|78|6||</t>
        </r>
      </text>
    </comment>
    <comment ref="F233" authorId="0" shapeId="0" xr:uid="{5116E843-3158-4AA1-AC73-76C93E76000A}">
      <text>
        <r>
          <rPr>
            <sz val="9"/>
            <color indexed="81"/>
            <rFont val="Segoe UI"/>
            <family val="2"/>
          </rPr>
          <t>67892|VIGA "U", CHAPA DOBRAGA ENRIJECIDA - 100 X 50 X 2,25 X 6.0|PC|69|5||</t>
        </r>
      </text>
    </comment>
    <comment ref="F234" authorId="0" shapeId="0" xr:uid="{6F43F985-7C0F-46D1-A9CB-1E3F0AEE9A9C}">
      <text>
        <r>
          <rPr>
            <sz val="9"/>
            <color indexed="81"/>
            <rFont val="Segoe UI"/>
            <family val="2"/>
          </rPr>
          <t>68351|SENSOR DE MICROONDAS DE ALARME PARA AREA SEMI ABERTA|PC|55|5||</t>
        </r>
      </text>
    </comment>
    <comment ref="F235" authorId="0" shapeId="0" xr:uid="{0A85E314-94EF-4AD2-9F81-A45B3B3F1079}">
      <text>
        <r>
          <rPr>
            <sz val="9"/>
            <color indexed="81"/>
            <rFont val="Segoe UI"/>
            <family val="2"/>
          </rPr>
          <t>69339|PROTETOR DE LINHA, PARA ALARME, TIPO LD|PC|54|16||</t>
        </r>
      </text>
    </comment>
    <comment ref="F236" authorId="0" shapeId="0" xr:uid="{7F09E0E9-F58F-46BE-9A45-08341824B7B2}">
      <text>
        <r>
          <rPr>
            <sz val="9"/>
            <color indexed="81"/>
            <rFont val="Segoe UI"/>
            <family val="2"/>
          </rPr>
          <t>71053|RESPIRADOR SEMI-FACIAL, COM ENCAIXE TIPO ROSCA PARA 02 CARTUCHOS DE FILTROS|PC|54|4||</t>
        </r>
      </text>
    </comment>
    <comment ref="F237" authorId="0" shapeId="0" xr:uid="{635539AC-D5BB-46F1-A599-EEFFC9C58511}">
      <text>
        <r>
          <rPr>
            <sz val="9"/>
            <color indexed="81"/>
            <rFont val="Segoe UI"/>
            <family val="2"/>
          </rPr>
          <t>71189|DOBRADICA DE PRESSAO EM ACO, CURVA, COMPLETA, PARA ARMARIOS|UN|51|10||</t>
        </r>
      </text>
    </comment>
    <comment ref="F238" authorId="0" shapeId="0" xr:uid="{C0887FCC-867A-4665-B119-64327818A1F2}">
      <text>
        <r>
          <rPr>
            <sz val="9"/>
            <color indexed="81"/>
            <rFont val="Segoe UI"/>
            <family val="2"/>
          </rPr>
          <t>71190|DOBRADICA DE PRESSAO EM ACO, CURVA, COMPLETA, PARA ARMARIOS|PC|51|10|136553|</t>
        </r>
      </text>
    </comment>
    <comment ref="F239" authorId="0" shapeId="0" xr:uid="{73EABA31-6223-4FDA-93CF-CF17CCE02D26}">
      <text>
        <r>
          <rPr>
            <sz val="9"/>
            <color indexed="81"/>
            <rFont val="Segoe UI"/>
            <family val="2"/>
          </rPr>
          <t>72052|VERNIZ MARITIMO - GALAO C/ 3,6 LITROS|GL|76|5|141270|</t>
        </r>
      </text>
    </comment>
    <comment ref="F240" authorId="0" shapeId="0" xr:uid="{26EFA924-89B1-4FFC-9A31-9214FC59C7E8}">
      <text>
        <r>
          <rPr>
            <sz val="9"/>
            <color indexed="81"/>
            <rFont val="Segoe UI"/>
            <family val="2"/>
          </rPr>
          <t>72174|LIXEIRA DE PLASTICO C/ TAMPA E PEDAL  - 30 LITROS|UN|72|6||</t>
        </r>
      </text>
    </comment>
    <comment ref="F241" authorId="0" shapeId="0" xr:uid="{6CD0C938-0BB3-4C32-81A3-924323D9AC7F}">
      <text>
        <r>
          <rPr>
            <sz val="9"/>
            <color indexed="81"/>
            <rFont val="Segoe UI"/>
            <family val="2"/>
          </rPr>
          <t>73020|ROLO DE ESPUMA P/ PINTURA - 23 CM C/ CABO|PC|76|11||</t>
        </r>
      </text>
    </comment>
    <comment ref="F242" authorId="0" shapeId="0" xr:uid="{FFF71469-8B8A-4DF3-83E9-402B800AB5B8}">
      <text>
        <r>
          <rPr>
            <sz val="9"/>
            <color indexed="81"/>
            <rFont val="Segoe UI"/>
            <family val="2"/>
          </rPr>
          <t>74081|LIXEIRA COM TAMPA E PEDAL - CAPACIDADE DE 60 LITROS|PC|72|6||</t>
        </r>
      </text>
    </comment>
    <comment ref="F243" authorId="0" shapeId="0" xr:uid="{A3685652-0433-4F18-9D6A-35B75E88C2F4}">
      <text>
        <r>
          <rPr>
            <sz val="9"/>
            <color indexed="81"/>
            <rFont val="Segoe UI"/>
            <family val="2"/>
          </rPr>
          <t>74124|CABO FLEXIVEL - 1,5MM - PRETO|M|55|19|140028|</t>
        </r>
      </text>
    </comment>
    <comment ref="F244" authorId="0" shapeId="0" xr:uid="{D1BEE4B7-C327-46B5-9F51-9EBD5461F63E}">
      <text>
        <r>
          <rPr>
            <sz val="9"/>
            <color indexed="81"/>
            <rFont val="Segoe UI"/>
            <family val="2"/>
          </rPr>
          <t>74491|CORREDICA BASE PARA GAVETA 450 MM|PR|78|2||</t>
        </r>
      </text>
    </comment>
    <comment ref="F245" authorId="0" shapeId="0" xr:uid="{61A7ACE6-F283-48DA-9469-AB2B92F1CAF2}">
      <text>
        <r>
          <rPr>
            <sz val="9"/>
            <color indexed="81"/>
            <rFont val="Segoe UI"/>
            <family val="2"/>
          </rPr>
          <t>74492|CORREDICA BASE PARA GAVETA 350 MM|PR|78|2||</t>
        </r>
      </text>
    </comment>
    <comment ref="F246" authorId="0" shapeId="0" xr:uid="{5172C587-B906-4892-A220-EEFC0426EA39}">
      <text>
        <r>
          <rPr>
            <sz val="9"/>
            <color indexed="81"/>
            <rFont val="Segoe UI"/>
            <family val="2"/>
          </rPr>
          <t>75027|ALGODAO HIDROFILO EM FLOCOS - PT COM 100 GRAMAS|PT|65|26||</t>
        </r>
      </text>
    </comment>
    <comment ref="F247" authorId="0" shapeId="0" xr:uid="{90B7DFD8-1FAA-475B-BDF7-682C554AF68F}">
      <text>
        <r>
          <rPr>
            <sz val="9"/>
            <color indexed="81"/>
            <rFont val="Segoe UI"/>
            <family val="2"/>
          </rPr>
          <t>75915|RESERVATORIO INTERNO PARA SABONETEIRA EM PLASTICO - CAPACIDADE 800 ML|PC|51|37||</t>
        </r>
      </text>
    </comment>
    <comment ref="F248" authorId="0" shapeId="0" xr:uid="{DBFF0326-E5A4-4590-ABF2-791C03A21011}">
      <text>
        <r>
          <rPr>
            <sz val="9"/>
            <color indexed="81"/>
            <rFont val="Segoe UI"/>
            <family val="2"/>
          </rPr>
          <t>76217|CHAPA DE ACO INOXIDAVEL 304 - A 240 - MED. 0,40 MM X 1240 MM X 3500 MM|KG|69|1||</t>
        </r>
      </text>
    </comment>
    <comment ref="F249" authorId="0" shapeId="0" xr:uid="{6104658E-D105-4F79-B7A6-635AE60EF2B2}">
      <text>
        <r>
          <rPr>
            <sz val="9"/>
            <color indexed="81"/>
            <rFont val="Segoe UI"/>
            <family val="2"/>
          </rPr>
          <t>76776|CABO FLEXIVEL BITOLA 4,0 MM2, 750 VOLTS, ISOLACAO DE PVC 70° C, COR PRETA|M|55|19|140033|</t>
        </r>
      </text>
    </comment>
    <comment ref="F250" authorId="0" shapeId="0" xr:uid="{9F2B30B0-EC6D-4476-B565-B0F57CFE90BD}">
      <text>
        <r>
          <rPr>
            <sz val="9"/>
            <color indexed="81"/>
            <rFont val="Segoe UI"/>
            <family val="2"/>
          </rPr>
          <t>76777|CABO FLEXIVEL BITOLA 16,0 MM2, 750 VOLTS, ISOLACAO DE PVC 70° C, COR PRETA|M|55|19|140042|</t>
        </r>
      </text>
    </comment>
    <comment ref="F251" authorId="0" shapeId="0" xr:uid="{6E39BFDB-FA49-44FE-82F6-F3C06331A33C}">
      <text>
        <r>
          <rPr>
            <sz val="9"/>
            <color indexed="81"/>
            <rFont val="Segoe UI"/>
            <family val="2"/>
          </rPr>
          <t>76780|CABO FLEXIVEL BITOLA 4,0 MM2, 750 VOLTS, ISOLACAO DE PVC 70° C, COR VERDE|M|55|19|140035|</t>
        </r>
      </text>
    </comment>
    <comment ref="F252" authorId="0" shapeId="0" xr:uid="{265BCE3C-6F28-4939-96F5-12EE968D5A62}">
      <text>
        <r>
          <rPr>
            <sz val="9"/>
            <color indexed="81"/>
            <rFont val="Segoe UI"/>
            <family val="2"/>
          </rPr>
          <t>76781|CABO FLEXIVEL BITOLA 16,0 MM2, 750 VOLTS, ISOLACAO DE PVC 70° C, COR VERDE|M|55|19|140043|</t>
        </r>
      </text>
    </comment>
    <comment ref="F253" authorId="0" shapeId="0" xr:uid="{1B680C4A-A0B6-4D87-A175-4C7D226A9EB0}">
      <text>
        <r>
          <rPr>
            <sz val="9"/>
            <color indexed="81"/>
            <rFont val="Segoe UI"/>
            <family val="2"/>
          </rPr>
          <t>77380|LIXEIRA DE PLASTICO COM TAMPA E PEDAL - CAPACIDADE PARA 10 LITROS|PC|72|6||</t>
        </r>
      </text>
    </comment>
    <comment ref="F254" authorId="0" shapeId="0" xr:uid="{774B8443-10AE-4ADF-A0B9-38A993D72EFB}">
      <text>
        <r>
          <rPr>
            <sz val="9"/>
            <color indexed="81"/>
            <rFont val="Segoe UI"/>
            <family val="2"/>
          </rPr>
          <t>77553|VIGA DE GARAPEIRA BRUTA - 6 CM X 12 CM X 3,50 M COMPRIMENTO|PC|74|3||</t>
        </r>
      </text>
    </comment>
    <comment ref="F255" authorId="0" shapeId="0" xr:uid="{EB4787BE-5DBE-4604-8A75-D3721D9E8C47}">
      <text>
        <r>
          <rPr>
            <sz val="9"/>
            <color indexed="81"/>
            <rFont val="Segoe UI"/>
            <family val="2"/>
          </rPr>
          <t>77555|VIGA DE GARAPEIRA BRUTA - 6 X 16 X 3,50 M COMPRIMENTO|PC|74|3||</t>
        </r>
      </text>
    </comment>
    <comment ref="F256" authorId="0" shapeId="0" xr:uid="{728A42E3-6B32-4FBD-ACC0-D119A0426913}">
      <text>
        <r>
          <rPr>
            <sz val="9"/>
            <color indexed="81"/>
            <rFont val="Segoe UI"/>
            <family val="2"/>
          </rPr>
          <t>77822|RODO DE ALUMINIO DE 40 CM C/ CABO DE ALUMINIO MED. 1,30 M - BORRACHA UNICA E SUBSTITUIVEL (VARIACAO +/-05 CM DO CABO)|PC|72|5||</t>
        </r>
      </text>
    </comment>
    <comment ref="F257" authorId="0" shapeId="0" xr:uid="{56A335F0-1D8C-4587-A57F-F0D74AE68FF3}">
      <text>
        <r>
          <rPr>
            <sz val="9"/>
            <color indexed="81"/>
            <rFont val="Segoe UI"/>
            <family val="2"/>
          </rPr>
          <t>77992|PAPEL DE SEDA BRANCO CALANDRADO 14 X 14 CM (GUARDANAPO TIPO TV), 100% FIBRAS CELULOSICAS, EM PACOTES COM 500 UNIDADES|PT|52|15||</t>
        </r>
      </text>
    </comment>
    <comment ref="F258" authorId="0" shapeId="0" xr:uid="{0189D928-88B4-409C-B757-DC821AD7B396}">
      <text>
        <r>
          <rPr>
            <sz val="9"/>
            <color indexed="81"/>
            <rFont val="Segoe UI"/>
            <family val="2"/>
          </rPr>
          <t>78025|LIXEIRA BASCULANTE, COM TAMPA E ALCA, 59 LITROS|PC|72|6|74081|</t>
        </r>
      </text>
    </comment>
    <comment ref="F259" authorId="0" shapeId="0" xr:uid="{2339A07C-9217-4616-A9E0-2772F3BC4A1A}">
      <text>
        <r>
          <rPr>
            <sz val="9"/>
            <color indexed="81"/>
            <rFont val="Segoe UI"/>
            <family val="2"/>
          </rPr>
          <t>78027|COLHER EM POLIETILENO, MEDINDO ENTRE 60 E 65 CM DE COMPRIMENTO|PC|52|13||</t>
        </r>
      </text>
    </comment>
    <comment ref="F260" authorId="0" shapeId="0" xr:uid="{FD29E42C-F7EE-4FF1-BBC5-2B6F66BA9D6E}">
      <text>
        <r>
          <rPr>
            <sz val="9"/>
            <color indexed="81"/>
            <rFont val="Segoe UI"/>
            <family val="2"/>
          </rPr>
          <t>78043|GRAMPO ROSEIRA Nº 10|PC|45|12||</t>
        </r>
      </text>
    </comment>
    <comment ref="F261" authorId="0" shapeId="0" xr:uid="{9FBB5029-DD67-42C9-A8EA-3A084C7EF600}">
      <text>
        <r>
          <rPr>
            <sz val="9"/>
            <color indexed="81"/>
            <rFont val="Segoe UI"/>
            <family val="2"/>
          </rPr>
          <t>78304|PIA DE ACO INOX COM 01 CUBA, MEDINDO 1,20 M DE COMP. E LARGURA MINIMA DE 53 CM|PC|51|36||</t>
        </r>
      </text>
    </comment>
    <comment ref="F262" authorId="0" shapeId="0" xr:uid="{F8007D90-39E6-4A1C-A091-A3BF7497A439}">
      <text>
        <r>
          <rPr>
            <sz val="9"/>
            <color indexed="81"/>
            <rFont val="Segoe UI"/>
            <family val="2"/>
          </rPr>
          <t>78398|FILTRO QUIMICO PARA  VAPORES ORGANICOS|PC|54|9||</t>
        </r>
      </text>
    </comment>
    <comment ref="F263" authorId="0" shapeId="0" xr:uid="{109131CB-3BEC-40C1-B471-390AA611182A}">
      <text>
        <r>
          <rPr>
            <sz val="9"/>
            <color indexed="81"/>
            <rFont val="Segoe UI"/>
            <family val="2"/>
          </rPr>
          <t>79118|PA DE CALDEIRAO EM POLIETILENO, SEM FUROS - MED. 1,5 CM X 9 CM X 75 CM|PC|52|13||</t>
        </r>
      </text>
    </comment>
    <comment ref="F264" authorId="0" shapeId="0" xr:uid="{2E953DC4-78B3-4069-961C-3678ABADDF14}">
      <text>
        <r>
          <rPr>
            <sz val="9"/>
            <color indexed="81"/>
            <rFont val="Segoe UI"/>
            <family val="2"/>
          </rPr>
          <t>79635|LAMPADA HALOGENA 300W, 220 VOLTS|PC|55|57||</t>
        </r>
      </text>
    </comment>
    <comment ref="F265" authorId="0" shapeId="0" xr:uid="{5FD1C12E-7DC5-4F67-85DF-0C52B74150EC}">
      <text>
        <r>
          <rPr>
            <sz val="9"/>
            <color indexed="81"/>
            <rFont val="Segoe UI"/>
            <family val="2"/>
          </rPr>
          <t>80297|TELA ONDULADA FIO 14, MALHA 3/4 - MED. 10 X 1,74 M|PC|51|30||</t>
        </r>
      </text>
    </comment>
    <comment ref="F266" authorId="0" shapeId="0" xr:uid="{4D4DF032-3B12-4932-8698-F68DB1C89F61}">
      <text>
        <r>
          <rPr>
            <sz val="9"/>
            <color indexed="81"/>
            <rFont val="Segoe UI"/>
            <family val="2"/>
          </rPr>
          <t>80349|PNEU 225/75 R15, RADIAL PARA EIXO DIRECIONAL E LIVRE, INDICE DE CARGA 105 (CARGA POR PNEU 925 KG), INDICE DE VELOCIDADE S (ATE 180 KM POR/H), PROFUNDIDADE DOS SULCOS 11,0 MM.|PC|84|1||</t>
        </r>
      </text>
    </comment>
    <comment ref="F267" authorId="0" shapeId="0" xr:uid="{437B9B5A-DEDD-42AE-BD31-B19F59A73B49}">
      <text>
        <r>
          <rPr>
            <sz val="9"/>
            <color indexed="81"/>
            <rFont val="Segoe UI"/>
            <family val="2"/>
          </rPr>
          <t>80384|GRELHA COM PORTA GRELHA, REDONDA EM ALUMINIO 4"|||||</t>
        </r>
      </text>
    </comment>
    <comment ref="F268" authorId="0" shapeId="0" xr:uid="{4A86AB78-11C1-4D6B-9874-7638C3958E80}">
      <text>
        <r>
          <rPr>
            <sz val="9"/>
            <color indexed="81"/>
            <rFont val="Segoe UI"/>
            <family val="2"/>
          </rPr>
          <t>80388|CORREDICA BASE PARA GAVETA DE 30 CM|PR|78|2||</t>
        </r>
      </text>
    </comment>
    <comment ref="F269" authorId="0" shapeId="0" xr:uid="{B2517186-5526-473A-A48E-11DA30597139}">
      <text>
        <r>
          <rPr>
            <sz val="9"/>
            <color indexed="81"/>
            <rFont val="Segoe UI"/>
            <family val="2"/>
          </rPr>
          <t>80391|SIFAO SANFONADO (CORRUGADO) DUPLO - UNIVERSAL|PC|61|11||</t>
        </r>
      </text>
    </comment>
    <comment ref="F270" authorId="0" shapeId="0" xr:uid="{997D1EED-3708-44B3-A73C-4C8FCCB1A55A}">
      <text>
        <r>
          <rPr>
            <sz val="9"/>
            <color indexed="81"/>
            <rFont val="Segoe UI"/>
            <family val="2"/>
          </rPr>
          <t>80575|TABUA PARA CARNE, EM POLIPROPILENO, INQUEBRAVEL, DE FACIL HIGIENIZACAO E QUE NAO PERMITA A PROLIFERACAO DE FUNGOS, BACTERIAS E ODORES - ESPESSURA 1,5 CM - MEDIDAS: 25 X 37CM (PODERA TER VARIACAO DE +/- 5 CM)|PC|52|10||</t>
        </r>
      </text>
    </comment>
    <comment ref="F271" authorId="0" shapeId="0" xr:uid="{8AE3EE5B-53EA-41E5-8B62-EEDBAE532206}">
      <text>
        <r>
          <rPr>
            <sz val="9"/>
            <color indexed="81"/>
            <rFont val="Segoe UI"/>
            <family val="2"/>
          </rPr>
          <t>80650|ABRACADEIRA GALVANIZADA TIPO "D" 1 1/4"|PC|55|46||</t>
        </r>
      </text>
    </comment>
    <comment ref="F272" authorId="0" shapeId="0" xr:uid="{EA064579-A4EC-48BB-92D1-41ECE82503A1}">
      <text>
        <r>
          <rPr>
            <sz val="9"/>
            <color indexed="81"/>
            <rFont val="Segoe UI"/>
            <family val="2"/>
          </rPr>
          <t>80749|PINO TRIFASICO DE SEGURANCA 2 P + T - 30 A X 250 W|PC|55|37||</t>
        </r>
      </text>
    </comment>
    <comment ref="F273" authorId="0" shapeId="0" xr:uid="{0A5EE2E6-6636-45C5-8333-761569313369}">
      <text>
        <r>
          <rPr>
            <sz val="9"/>
            <color indexed="81"/>
            <rFont val="Segoe UI"/>
            <family val="2"/>
          </rPr>
          <t>81509|PISO CERAMICO ANTI-DERRAPANTE, PEI 5, TRAFEGO ALTO, MEDIDA APROX. 354 X 354 MM|M2|51|21||</t>
        </r>
      </text>
    </comment>
    <comment ref="F274" authorId="0" shapeId="0" xr:uid="{A3F4D90D-EFE7-4F38-A62B-29C7BEB6B360}">
      <text>
        <r>
          <rPr>
            <sz val="9"/>
            <color indexed="81"/>
            <rFont val="Segoe UI"/>
            <family val="2"/>
          </rPr>
          <t>81566|REPARO P/ VALVULA DE DESCARGA - MARCA HYDRA-MAX|JG|61|15|115805|</t>
        </r>
      </text>
    </comment>
    <comment ref="F275" authorId="0" shapeId="0" xr:uid="{6A453A72-2B89-4287-9133-C4D8160D3537}">
      <text>
        <r>
          <rPr>
            <sz val="9"/>
            <color indexed="81"/>
            <rFont val="Segoe UI"/>
            <family val="2"/>
          </rPr>
          <t>82732|REATOR CHOQUE, EXTERNO, TIPO CANECO ALTO FATOR DE POTENCIA 250 W X 220 V PARA LAMPADAS A VAPOR SODIO DE 4,5 HS X 220 V|PC|55|54||</t>
        </r>
      </text>
    </comment>
    <comment ref="F276" authorId="0" shapeId="0" xr:uid="{D957F5F6-182E-476C-A348-6D5561BFBC81}">
      <text>
        <r>
          <rPr>
            <sz val="9"/>
            <color indexed="81"/>
            <rFont val="Segoe UI"/>
            <family val="2"/>
          </rPr>
          <t>82829|PEGADOR DE MACARRAO EM ACO INOX, COMPRIMENTO APROXIMADO DE 20 CM|PC|52|13||</t>
        </r>
      </text>
    </comment>
    <comment ref="F277" authorId="0" shapeId="0" xr:uid="{968E652C-17E8-4FD1-AA17-17B845AD9384}">
      <text>
        <r>
          <rPr>
            <sz val="9"/>
            <color indexed="81"/>
            <rFont val="Segoe UI"/>
            <family val="2"/>
          </rPr>
          <t>82916|CORANTE PARA COLORIR TINTA LATEX - VIOLETA - 50 ML|TB|76|6||</t>
        </r>
      </text>
    </comment>
    <comment ref="F278" authorId="0" shapeId="0" xr:uid="{33A1474C-5A1D-48B0-AFA8-FD9CBAA40F34}">
      <text>
        <r>
          <rPr>
            <sz val="9"/>
            <color indexed="81"/>
            <rFont val="Segoe UI"/>
            <family val="2"/>
          </rPr>
          <t>83788|TAMPA PARA CONDULETE 3/4" PARA 1 CONDUTOR RJ|PC|55|32||</t>
        </r>
      </text>
    </comment>
    <comment ref="F279" authorId="0" shapeId="0" xr:uid="{90C16395-193A-439B-9FA4-033A04BF05CC}">
      <text>
        <r>
          <rPr>
            <sz val="9"/>
            <color indexed="81"/>
            <rFont val="Segoe UI"/>
            <family val="2"/>
          </rPr>
          <t>85798|DISCO DE DESBASTE DE  FERRO - 4 1/2" X 3/16" X 7/8" - PARA USO EM LIXADEIRA E FABRICADO CONFORME NORMAS ABNT|PC|83|4|139545|</t>
        </r>
      </text>
    </comment>
    <comment ref="F280" authorId="0" shapeId="0" xr:uid="{47EB0B27-9EF4-4614-81F0-7CBCEC3449B8}">
      <text>
        <r>
          <rPr>
            <sz val="9"/>
            <color indexed="81"/>
            <rFont val="Segoe UI"/>
            <family val="2"/>
          </rPr>
          <t>86030|HOLOFOTE RETANGULAR, COM BASE 27 EM ALUMINIO ESTAMPADO MEDINDO 280 X 300 X 160 MM COM GRADE PROTETORA|PC|55|49||</t>
        </r>
      </text>
    </comment>
    <comment ref="F281" authorId="0" shapeId="0" xr:uid="{D040B4E4-3FA7-4CA7-8BEF-09B528879F95}">
      <text>
        <r>
          <rPr>
            <sz val="9"/>
            <color indexed="81"/>
            <rFont val="Segoe UI"/>
            <family val="2"/>
          </rPr>
          <t>86118|REATOR DE PARTIDA RAPIDA ELETRONICO - 2 X 20W  - 110/220V|PC|55|55||</t>
        </r>
      </text>
    </comment>
    <comment ref="F282" authorId="0" shapeId="0" xr:uid="{76DBFF46-904E-42BD-8B6C-114CF5ACDF88}">
      <text>
        <r>
          <rPr>
            <sz val="9"/>
            <color indexed="81"/>
            <rFont val="Segoe UI"/>
            <family val="2"/>
          </rPr>
          <t>86891|PONTEIRA REDONDA DE BORRACHA,  EXTERNA DE 5/8"|PC|78|2||</t>
        </r>
      </text>
    </comment>
    <comment ref="F283" authorId="0" shapeId="0" xr:uid="{C5D9536F-8779-456F-97EE-CE0EB8FF368C}">
      <text>
        <r>
          <rPr>
            <sz val="9"/>
            <color indexed="81"/>
            <rFont val="Segoe UI"/>
            <family val="2"/>
          </rPr>
          <t>87157|PASTILHA CERAMICA TELADA, 10 X 10 CM, COR VERDE|M2|51|19||</t>
        </r>
      </text>
    </comment>
    <comment ref="F284" authorId="0" shapeId="0" xr:uid="{95482058-30DE-40D9-BEFD-E3934F9DF00C}">
      <text>
        <r>
          <rPr>
            <sz val="9"/>
            <color indexed="81"/>
            <rFont val="Segoe UI"/>
            <family val="2"/>
          </rPr>
          <t>87160|PASTILHA CERAMICA 10 X 10 CM TELADO COR VERMELHA|M2|51|19||</t>
        </r>
      </text>
    </comment>
    <comment ref="F285" authorId="0" shapeId="0" xr:uid="{B74EAEC1-81CD-4A6D-B61A-A367DE9DBE7B}">
      <text>
        <r>
          <rPr>
            <sz val="9"/>
            <color indexed="81"/>
            <rFont val="Segoe UI"/>
            <family val="2"/>
          </rPr>
          <t>87465|PANO DE FLANELA 30 X 60CM - BRANCA|UN|72|7||</t>
        </r>
      </text>
    </comment>
    <comment ref="F286" authorId="0" shapeId="0" xr:uid="{99276761-A08B-4C04-8466-9BB32A464570}">
      <text>
        <r>
          <rPr>
            <sz val="9"/>
            <color indexed="81"/>
            <rFont val="Segoe UI"/>
            <family val="2"/>
          </rPr>
          <t>88083|PNEU 225/70 R15, 08 LONAS|PC|84|1||</t>
        </r>
      </text>
    </comment>
    <comment ref="F287" authorId="0" shapeId="0" xr:uid="{D761DBAA-D9BE-40E2-A1E3-892388896186}">
      <text>
        <r>
          <rPr>
            <sz val="9"/>
            <color indexed="81"/>
            <rFont val="Segoe UI"/>
            <family val="2"/>
          </rPr>
          <t>88084|PNEU 205/75 - R 16, 08 LONAS, LISO|PC|84|2||</t>
        </r>
      </text>
    </comment>
    <comment ref="F288" authorId="0" shapeId="0" xr:uid="{7F7E6ECD-70EC-4272-82D9-D63315F63933}">
      <text>
        <r>
          <rPr>
            <sz val="9"/>
            <color indexed="81"/>
            <rFont val="Segoe UI"/>
            <family val="2"/>
          </rPr>
          <t>88718|DISJUNTOR NORMA DIN CURVA B PADRAO, BIPOLAR, 10 AMPERES|PC|55|26||</t>
        </r>
      </text>
    </comment>
    <comment ref="F289" authorId="0" shapeId="0" xr:uid="{0903439C-8B41-4BC7-84AA-E5A274A9D0A8}">
      <text>
        <r>
          <rPr>
            <sz val="9"/>
            <color indexed="81"/>
            <rFont val="Segoe UI"/>
            <family val="2"/>
          </rPr>
          <t>88719|DISJUNTOR NORMA DIN CURVA B PADRAO, BIPOLAR, 20 AMPERES|PC|55|26||</t>
        </r>
      </text>
    </comment>
    <comment ref="F290" authorId="0" shapeId="0" xr:uid="{9B402178-06A1-4FD3-8F0E-2C6219E52989}">
      <text>
        <r>
          <rPr>
            <sz val="9"/>
            <color indexed="81"/>
            <rFont val="Segoe UI"/>
            <family val="2"/>
          </rPr>
          <t>88741|DISJUNTOR NORMA DIN CURVA C PADRAO, BIPOLAR, 80 AMPERES|PC|55|26||</t>
        </r>
      </text>
    </comment>
    <comment ref="F291" authorId="0" shapeId="0" xr:uid="{AB48758A-7B9F-40E8-BD32-8F13AACC4290}">
      <text>
        <r>
          <rPr>
            <sz val="9"/>
            <color indexed="81"/>
            <rFont val="Segoe UI"/>
            <family val="2"/>
          </rPr>
          <t>88742|DISJUNTOR NORMA DIN CURVA C PADRAO, BIPOLAR, 100 AMPERES|PC|55|26||</t>
        </r>
      </text>
    </comment>
    <comment ref="F292" authorId="0" shapeId="0" xr:uid="{DA6312DE-21B2-4C10-99CA-6B2F0607DA49}">
      <text>
        <r>
          <rPr>
            <sz val="9"/>
            <color indexed="81"/>
            <rFont val="Segoe UI"/>
            <family val="2"/>
          </rPr>
          <t>88989|BOTINA DE COURO N° 38, C/BICO DE ACO, SOLADO PU|PR|54|4||</t>
        </r>
      </text>
    </comment>
    <comment ref="F293" authorId="0" shapeId="0" xr:uid="{A2469381-6934-4034-885F-38389482BDB6}">
      <text>
        <r>
          <rPr>
            <sz val="9"/>
            <color indexed="81"/>
            <rFont val="Segoe UI"/>
            <family val="2"/>
          </rPr>
          <t>88992|BOTINA DE COURO N° 41, C/BICO DE ACO, SOLADO PU|PR|54|4||</t>
        </r>
      </text>
    </comment>
    <comment ref="F294" authorId="0" shapeId="0" xr:uid="{20F39B11-8384-43B5-AA6D-18356649E0D9}">
      <text>
        <r>
          <rPr>
            <sz val="9"/>
            <color indexed="81"/>
            <rFont val="Segoe UI"/>
            <family val="2"/>
          </rPr>
          <t>88993|BOTINA DE COURO N° 42, C/BICO DE ACO, SOLADO PU|PR|54|4||</t>
        </r>
      </text>
    </comment>
    <comment ref="F295" authorId="0" shapeId="0" xr:uid="{2DD12DC9-69B5-4777-85B1-3FC1D41CC8C0}">
      <text>
        <r>
          <rPr>
            <sz val="9"/>
            <color indexed="81"/>
            <rFont val="Segoe UI"/>
            <family val="2"/>
          </rPr>
          <t>89818|LUVA DE PROTECAO,  CONFECCIONADA EM RASPA DE COURO,  DORSO EM LONA, PUNHO IGUAL A 7 CM.|PR|54|4||</t>
        </r>
      </text>
    </comment>
    <comment ref="F296" authorId="0" shapeId="0" xr:uid="{664787A0-134B-45D6-B9D5-E22D0AD5C9C7}">
      <text>
        <r>
          <rPr>
            <sz val="9"/>
            <color indexed="81"/>
            <rFont val="Segoe UI"/>
            <family val="2"/>
          </rPr>
          <t>89855|LIXA CINTA DE PANO P/MADEIRA - 6,90M X 15CM - GRAM. 60|PC|83|3||</t>
        </r>
      </text>
    </comment>
    <comment ref="F297" authorId="0" shapeId="0" xr:uid="{61C23832-6377-4321-A252-FD7AC4587425}">
      <text>
        <r>
          <rPr>
            <sz val="9"/>
            <color indexed="81"/>
            <rFont val="Segoe UI"/>
            <family val="2"/>
          </rPr>
          <t>89860|LIXA CINTA DE PANO P/MADEIRA - 610 X 100MM - GRAM. 80|PC|83|3||</t>
        </r>
      </text>
    </comment>
    <comment ref="F298" authorId="0" shapeId="0" xr:uid="{08CE9A54-6EF5-4E29-BC37-061E01B3395B}">
      <text>
        <r>
          <rPr>
            <sz val="9"/>
            <color indexed="81"/>
            <rFont val="Segoe UI"/>
            <family val="2"/>
          </rPr>
          <t>89866|PARAFUSO ZINCO AMARELO, CABECA CHATA - PH 2,5 X 16 -  CAIXA COM 1.000 UNIDADES|CX|67|3||</t>
        </r>
      </text>
    </comment>
    <comment ref="F299" authorId="0" shapeId="0" xr:uid="{69976D16-4E4E-4CB4-82A1-EACC989E4975}">
      <text>
        <r>
          <rPr>
            <sz val="9"/>
            <color indexed="81"/>
            <rFont val="Segoe UI"/>
            <family val="2"/>
          </rPr>
          <t>90232|TINTA LATEX ACRILICO FOSCA TERRACOTA - LATA COM 18 LITROS|LT|76|10||</t>
        </r>
      </text>
    </comment>
    <comment ref="F300" authorId="0" shapeId="0" xr:uid="{2A2044E0-7443-42B9-AFA8-530CCBE9ABEB}">
      <text>
        <r>
          <rPr>
            <sz val="9"/>
            <color indexed="81"/>
            <rFont val="Segoe UI"/>
            <family val="2"/>
          </rPr>
          <t>90469|TINTA ESMALTE SINTETICO BRILHANTE, COR VERDE FOLHA - GALAO COM 3,600 ML|GL|76|3|136040|</t>
        </r>
      </text>
    </comment>
    <comment ref="F301" authorId="0" shapeId="0" xr:uid="{6DDC5FF2-0E71-4768-9427-E9B43FC1EAC8}">
      <text>
        <r>
          <rPr>
            <sz val="9"/>
            <color indexed="81"/>
            <rFont val="Segoe UI"/>
            <family val="2"/>
          </rPr>
          <t>90470|TINTA ESMALTE SINTETICO BRILHANTE, COR VERDE LIMAO - GALAO COM 3,600 ML|GL|76|3||</t>
        </r>
      </text>
    </comment>
    <comment ref="F302" authorId="0" shapeId="0" xr:uid="{F39794E7-71C0-4711-A729-DD3788E3726E}">
      <text>
        <r>
          <rPr>
            <sz val="9"/>
            <color indexed="81"/>
            <rFont val="Segoe UI"/>
            <family val="2"/>
          </rPr>
          <t>90500|CABO DE COBRE, ISOLACAO PVS 750V COM COBERTURA DE PVC - 2 X 1,5 MM|M|55|19|136910|</t>
        </r>
      </text>
    </comment>
    <comment ref="F303" authorId="0" shapeId="0" xr:uid="{57B58D67-53D4-4E42-A423-9A300C7BF3F5}">
      <text>
        <r>
          <rPr>
            <sz val="9"/>
            <color indexed="81"/>
            <rFont val="Segoe UI"/>
            <family val="2"/>
          </rPr>
          <t>90502|CABO DE COBRE, ISOLACAO PVS 750V COM COBERTURA DE PVC - 3 X 2,5 MM|M|55|19|136911|</t>
        </r>
      </text>
    </comment>
    <comment ref="F304" authorId="0" shapeId="0" xr:uid="{7C9A10EB-4E95-4AAC-8590-1FBD8BC93EE1}">
      <text>
        <r>
          <rPr>
            <sz val="9"/>
            <color indexed="81"/>
            <rFont val="Segoe UI"/>
            <family val="2"/>
          </rPr>
          <t>90827|MASSA CORRIDA A OLEO PARA NIVELAR MADEIRA - GALAO COM 3.600 ML|GL|51|3||</t>
        </r>
      </text>
    </comment>
    <comment ref="F305" authorId="0" shapeId="0" xr:uid="{BFFA2265-591E-4825-83FA-DA3F1F2F1B70}">
      <text>
        <r>
          <rPr>
            <sz val="9"/>
            <color indexed="81"/>
            <rFont val="Segoe UI"/>
            <family val="2"/>
          </rPr>
          <t>90884|TINTA LATEX ACRILICA FOSCA - COR AZUL REAL - LATA COM 18 LITROS|LT|76|10||</t>
        </r>
      </text>
    </comment>
    <comment ref="F306" authorId="0" shapeId="0" xr:uid="{6B95C630-D013-4BA4-AA1A-A6D8BA3AD9FE}">
      <text>
        <r>
          <rPr>
            <sz val="9"/>
            <color indexed="81"/>
            <rFont val="Segoe UI"/>
            <family val="2"/>
          </rPr>
          <t>91811|VASSOURA DE PIACAVA N° 05|PC|72|5||</t>
        </r>
      </text>
    </comment>
    <comment ref="F307" authorId="0" shapeId="0" xr:uid="{80E41CCF-07D8-4F45-A195-27C7A69071ED}">
      <text>
        <r>
          <rPr>
            <sz val="9"/>
            <color indexed="81"/>
            <rFont val="Segoe UI"/>
            <family val="2"/>
          </rPr>
          <t>91868|VASSOURAO DE PIACAVA TIPO PREFEITURA - 40 CM|PC|72|5||</t>
        </r>
      </text>
    </comment>
    <comment ref="F308" authorId="0" shapeId="0" xr:uid="{9E7D55DE-39E5-42ED-A431-61A6C80024AD}">
      <text>
        <r>
          <rPr>
            <sz val="9"/>
            <color indexed="81"/>
            <rFont val="Segoe UI"/>
            <family val="2"/>
          </rPr>
          <t>92111|CABO FLEXIVEL 25MM, 1KV - COR PRETO|M|55|19|140052|</t>
        </r>
      </text>
    </comment>
    <comment ref="F309" authorId="0" shapeId="0" xr:uid="{70C7D487-18DA-48F8-A470-0A23000962E3}">
      <text>
        <r>
          <rPr>
            <sz val="9"/>
            <color indexed="81"/>
            <rFont val="Segoe UI"/>
            <family val="2"/>
          </rPr>
          <t>92906|PAPEL SULFITE A4, 210 X 297, 75G, NA COR VERDE - PACOTE COM 500 FOLHAS|PT|57|17||</t>
        </r>
      </text>
    </comment>
    <comment ref="F310" authorId="0" shapeId="0" xr:uid="{A111F4A5-1B73-4423-9D08-663536B54ED4}">
      <text>
        <r>
          <rPr>
            <sz val="9"/>
            <color indexed="81"/>
            <rFont val="Segoe UI"/>
            <family val="2"/>
          </rPr>
          <t>93333|PAPEL DE SEDA - 48 X 60 CM - VERDE CLARO|FL|57|2||</t>
        </r>
      </text>
    </comment>
    <comment ref="F311" authorId="0" shapeId="0" xr:uid="{05740D28-81A6-42F3-8C2A-72EFC00555FB}">
      <text>
        <r>
          <rPr>
            <sz val="9"/>
            <color indexed="81"/>
            <rFont val="Segoe UI"/>
            <family val="2"/>
          </rPr>
          <t>93344|MANGOTE DE RASPA|PR|54|4||</t>
        </r>
      </text>
    </comment>
    <comment ref="F312" authorId="0" shapeId="0" xr:uid="{F7004890-BECE-468F-8B95-C2669322EC22}">
      <text>
        <r>
          <rPr>
            <sz val="9"/>
            <color indexed="81"/>
            <rFont val="Segoe UI"/>
            <family val="2"/>
          </rPr>
          <t>93346|PERNEIRA DE PROTECAO|PR|54|4|137799|</t>
        </r>
      </text>
    </comment>
    <comment ref="F313" authorId="0" shapeId="0" xr:uid="{53A886E3-12C2-4B88-807A-20D9015DEBD1}">
      <text>
        <r>
          <rPr>
            <sz val="9"/>
            <color indexed="81"/>
            <rFont val="Segoe UI"/>
            <family val="2"/>
          </rPr>
          <t>94013|AVENTAL DE RASPA,  EM COURO.|PC|54|19||</t>
        </r>
      </text>
    </comment>
    <comment ref="F314" authorId="0" shapeId="0" xr:uid="{C87A34C2-E32F-4158-AC88-0A8122F31944}">
      <text>
        <r>
          <rPr>
            <sz val="9"/>
            <color indexed="81"/>
            <rFont val="Segoe UI"/>
            <family val="2"/>
          </rPr>
          <t>94615|AVENTAL - TIPO JALECO, EM TECIDO MISTO DE POLIESTER E ALGODAO , C/MANGA CURTA - COR: AZUL CLARO - TAM: P|PC|62|4||</t>
        </r>
      </text>
    </comment>
    <comment ref="F315" authorId="0" shapeId="0" xr:uid="{18C450B9-F722-4953-92C2-8B1EAE9BF0DB}">
      <text>
        <r>
          <rPr>
            <sz val="9"/>
            <color indexed="81"/>
            <rFont val="Segoe UI"/>
            <family val="2"/>
          </rPr>
          <t>94616|AVENTAL - TIPO JALECO, EM TECIDO MISTO DE POLIESTER E ALGODAO , C/MANGA CURTA - COR: AZUL CLARO - TAM: M|PC|62|4||</t>
        </r>
      </text>
    </comment>
    <comment ref="F316" authorId="0" shapeId="0" xr:uid="{E3474CD0-9D79-45DC-BF1E-8CA6F8CF5E7A}">
      <text>
        <r>
          <rPr>
            <sz val="9"/>
            <color indexed="81"/>
            <rFont val="Segoe UI"/>
            <family val="2"/>
          </rPr>
          <t>94617|AVENTAL - TIPO JALECO, EM TECIDO MISTO DE POLIESTER E ALGODAO , C/MANGA CURTA - COR: AZUL CLARO - TAM: G|PC|62|4||</t>
        </r>
      </text>
    </comment>
    <comment ref="F317" authorId="0" shapeId="0" xr:uid="{96958E59-A9D0-427B-823F-F6C67CE288D6}">
      <text>
        <r>
          <rPr>
            <sz val="9"/>
            <color indexed="81"/>
            <rFont val="Segoe UI"/>
            <family val="2"/>
          </rPr>
          <t>94618|AVENTAL - TIPO JALECO, EM TECIDO MISTO DE POLIESTER E ALGODAO , C/MANGA CURTA - COR: AZUL CLARO - TAM: GG|PC|62|4||</t>
        </r>
      </text>
    </comment>
    <comment ref="F318" authorId="0" shapeId="0" xr:uid="{3FD25E7E-F2CE-419E-BF32-1B8B9C81F7B7}">
      <text>
        <r>
          <rPr>
            <sz val="9"/>
            <color indexed="81"/>
            <rFont val="Segoe UI"/>
            <family val="2"/>
          </rPr>
          <t>94627|LIXA PARA PAREDE Nº 80|FL|83|2||</t>
        </r>
      </text>
    </comment>
    <comment ref="F319" authorId="0" shapeId="0" xr:uid="{3B71E436-4512-44FF-B1FA-A569F4CF1643}">
      <text>
        <r>
          <rPr>
            <sz val="9"/>
            <color indexed="81"/>
            <rFont val="Segoe UI"/>
            <family val="2"/>
          </rPr>
          <t>94787|HASTE GALVANIZADA - 5/16" X 150 MM - P/ FIXACAO DE TELHAS DE FIBROCIMENTO - C/ PORCA, ARRUELA DE ALUMINIO E PLASTICA|PC|67|1||</t>
        </r>
      </text>
    </comment>
    <comment ref="F320" authorId="0" shapeId="0" xr:uid="{08075B0E-74BD-4722-88D1-CF48C274A237}">
      <text>
        <r>
          <rPr>
            <sz val="9"/>
            <color indexed="81"/>
            <rFont val="Segoe UI"/>
            <family val="2"/>
          </rPr>
          <t>95513|CABO FLEXIVEL BITOLA 50 MM², ISOLACAO DE PVC 70° C, 1KV, 750V, ANTICHAMA, COR PRETA|M|55|19|140057|</t>
        </r>
      </text>
    </comment>
    <comment ref="F321" authorId="0" shapeId="0" xr:uid="{0D5E4F48-32D4-44DD-9753-FB658BEF0BF5}">
      <text>
        <r>
          <rPr>
            <sz val="9"/>
            <color indexed="81"/>
            <rFont val="Segoe UI"/>
            <family val="2"/>
          </rPr>
          <t>95970|ROLAMENTO 32216, FABRICACAO NACIONAL, PARA USO EM PLAY GROUND|PC|67|13||</t>
        </r>
      </text>
    </comment>
    <comment ref="F322" authorId="0" shapeId="0" xr:uid="{6ED56976-EE24-4B3F-B12E-878F7368013F}">
      <text>
        <r>
          <rPr>
            <sz val="9"/>
            <color indexed="81"/>
            <rFont val="Segoe UI"/>
            <family val="2"/>
          </rPr>
          <t>97965|COLA HOTMELT, BRANCA, GRANULADA - PARA COLADEIRA DE FITA DE BORDO AM 753B - SACO COM 25 KG|SO|74|4||</t>
        </r>
      </text>
    </comment>
    <comment ref="F323" authorId="0" shapeId="0" xr:uid="{0D3D119A-4EAD-4C3A-8FDB-5A0683B7D44A}">
      <text>
        <r>
          <rPr>
            <sz val="9"/>
            <color indexed="81"/>
            <rFont val="Segoe UI"/>
            <family val="2"/>
          </rPr>
          <t>98360|FITA DE BORDA EM PVC TEXTURIZADA, 35MM - ROLO COM 50 MTS|RL|70|47||</t>
        </r>
      </text>
    </comment>
    <comment ref="F324" authorId="0" shapeId="0" xr:uid="{EB326BD4-5505-49F2-966F-C0B31B597D3F}">
      <text>
        <r>
          <rPr>
            <sz val="9"/>
            <color indexed="81"/>
            <rFont val="Segoe UI"/>
            <family val="2"/>
          </rPr>
          <t>98747|BOTA DE PVC, CANO LONGO - N° 38|PR|54|19||</t>
        </r>
      </text>
    </comment>
    <comment ref="F325" authorId="0" shapeId="0" xr:uid="{D64C7228-8597-4169-A85C-4BB153904323}">
      <text>
        <r>
          <rPr>
            <sz val="9"/>
            <color indexed="81"/>
            <rFont val="Segoe UI"/>
            <family val="2"/>
          </rPr>
          <t>98748|BOTA DE PVC, CANO LONGO - N° 39|PR|54|19||</t>
        </r>
      </text>
    </comment>
    <comment ref="F326" authorId="0" shapeId="0" xr:uid="{81482CFC-A066-4DEC-A189-CBD72E14CC22}">
      <text>
        <r>
          <rPr>
            <sz val="9"/>
            <color indexed="81"/>
            <rFont val="Segoe UI"/>
            <family val="2"/>
          </rPr>
          <t>98749|BOTA DE PVC, CANO LONGO - N° 40|PR|54|19||</t>
        </r>
      </text>
    </comment>
    <comment ref="F327" authorId="0" shapeId="0" xr:uid="{D6394FD9-0805-44F9-AD3E-3D1573FBB810}">
      <text>
        <r>
          <rPr>
            <sz val="9"/>
            <color indexed="81"/>
            <rFont val="Segoe UI"/>
            <family val="2"/>
          </rPr>
          <t>98750|BOTA DE PVC, CANO LONGO - N° 41|PR|54|19||</t>
        </r>
      </text>
    </comment>
    <comment ref="F328" authorId="0" shapeId="0" xr:uid="{F4DA990D-22C0-4272-BA28-E1764360D668}">
      <text>
        <r>
          <rPr>
            <sz val="9"/>
            <color indexed="81"/>
            <rFont val="Segoe UI"/>
            <family val="2"/>
          </rPr>
          <t>98751|BOTA DE PVC, CANO LONGO - N° 42|PR|54|19||</t>
        </r>
      </text>
    </comment>
    <comment ref="F329" authorId="0" shapeId="0" xr:uid="{3AC462E5-4903-4BA6-B072-506E1888AC81}">
      <text>
        <r>
          <rPr>
            <sz val="9"/>
            <color indexed="81"/>
            <rFont val="Segoe UI"/>
            <family val="2"/>
          </rPr>
          <t>98819|PENEIRA DE ARAME - MALHA MEDIA, ARO DE MADEIRA - 55 CM|PC|51|49||</t>
        </r>
      </text>
    </comment>
    <comment ref="F330" authorId="0" shapeId="0" xr:uid="{9AC99320-0FC1-4E42-B2BE-0CD0F96652A0}">
      <text>
        <r>
          <rPr>
            <sz val="9"/>
            <color indexed="81"/>
            <rFont val="Segoe UI"/>
            <family val="2"/>
          </rPr>
          <t>99790|CONDULETE EM LIGA DE ALUMINIO FUNDIDO TIPO "LL" - DIAMETRO 1 1/2" - S/VEDACAO|PC|55|32||</t>
        </r>
      </text>
    </comment>
    <comment ref="F331" authorId="0" shapeId="0" xr:uid="{201B7E2C-312C-4693-BB0E-C4664AC89A43}">
      <text>
        <r>
          <rPr>
            <sz val="9"/>
            <color indexed="81"/>
            <rFont val="Segoe UI"/>
            <family val="2"/>
          </rPr>
          <t>99796|CURVA LONGA DE ACO P/ELETRODUTO GALVANIZADO A FOGO - DIAMETRO 1 1/2"|PC|61|8||</t>
        </r>
      </text>
    </comment>
    <comment ref="F332" authorId="0" shapeId="0" xr:uid="{CA67A397-CED0-466C-85E1-84A1D1D67F3D}">
      <text>
        <r>
          <rPr>
            <sz val="9"/>
            <color indexed="81"/>
            <rFont val="Segoe UI"/>
            <family val="2"/>
          </rPr>
          <t>99810|CABO DE COBRE FLEXIVEL, BITOLA 10,0MM2, 1KV,  ISOLACAO DE PVC 70ºC, COR PRETA|M|55|19|140048|</t>
        </r>
      </text>
    </comment>
    <comment ref="F333" authorId="0" shapeId="0" xr:uid="{8F2DD0A5-B581-4D64-8C84-EAA54D8F2AD7}">
      <text>
        <r>
          <rPr>
            <sz val="9"/>
            <color indexed="81"/>
            <rFont val="Segoe UI"/>
            <family val="2"/>
          </rPr>
          <t>100383|FIO DE NYLON DE 3,0MM, QUADRADO, USO EM ROCADEIRA LATERAL STIHL FS 220 - PESO APROXIMADO: ROLO C/2 KG|RL|80|7||</t>
        </r>
      </text>
    </comment>
    <comment ref="F334" authorId="0" shapeId="0" xr:uid="{7D545E95-20CF-4118-9710-A88DE59C6238}">
      <text>
        <r>
          <rPr>
            <sz val="9"/>
            <color indexed="81"/>
            <rFont val="Segoe UI"/>
            <family val="2"/>
          </rPr>
          <t>101917|CABO DE COBRE FLEXIVEL, BITOLA 10,0 MM2, 1KV, ISOLACAO DE PVC 70º, COR AZUL CLARO|M|55|19|140049|</t>
        </r>
      </text>
    </comment>
    <comment ref="F335" authorId="0" shapeId="0" xr:uid="{25DD508A-FA29-43A2-9EB0-41D2CFE4291A}">
      <text>
        <r>
          <rPr>
            <sz val="9"/>
            <color indexed="81"/>
            <rFont val="Segoe UI"/>
            <family val="2"/>
          </rPr>
          <t>101938|LUVA DE VAQUETA - COMPRIMENTO DE 28 CM|PR|54|4||</t>
        </r>
      </text>
    </comment>
    <comment ref="F336" authorId="0" shapeId="0" xr:uid="{F8D209E7-5299-474A-A312-77017CF51ABD}">
      <text>
        <r>
          <rPr>
            <sz val="9"/>
            <color indexed="81"/>
            <rFont val="Segoe UI"/>
            <family val="2"/>
          </rPr>
          <t>102234|NIPLE DUPLO DE REDUCAO ROSQUEAVEL 3/4 X 1/2 EM METAL|PC|61|8|135304|</t>
        </r>
      </text>
    </comment>
    <comment ref="F337" authorId="0" shapeId="0" xr:uid="{09B6948B-4F7C-464A-AF89-C45EDE3A6AA5}">
      <text>
        <r>
          <rPr>
            <sz val="9"/>
            <color indexed="81"/>
            <rFont val="Segoe UI"/>
            <family val="2"/>
          </rPr>
          <t>102443|TAMPO EM COMPENSADO DE 18MM REVESTIDO EM LAMINADO MELAMINICO, ACABAMENTO EM PERFIL DE PVC - 0,73 X 0,42 X 0,40M ()VARIACAO DE +/- 5CM)|PC|78|6||</t>
        </r>
      </text>
    </comment>
    <comment ref="F338" authorId="0" shapeId="0" xr:uid="{DE465B0B-E3F6-4580-BD93-A99DC6DD32EF}">
      <text>
        <r>
          <rPr>
            <sz val="9"/>
            <color indexed="81"/>
            <rFont val="Segoe UI"/>
            <family val="2"/>
          </rPr>
          <t>102634|T HORIZONTAL 90° P/ELETROCALHA 200X50|PC|69|5||</t>
        </r>
      </text>
    </comment>
    <comment ref="F339" authorId="0" shapeId="0" xr:uid="{6382A507-F453-49CD-BE56-63288AC9A882}">
      <text>
        <r>
          <rPr>
            <sz val="9"/>
            <color indexed="81"/>
            <rFont val="Segoe UI"/>
            <family val="2"/>
          </rPr>
          <t>102684|TERMINAL GALVANIZADO P/ELETROCALHA - LARGURA 300MM X ALTURA 50MM|PC|69|5||</t>
        </r>
      </text>
    </comment>
    <comment ref="F340" authorId="0" shapeId="0" xr:uid="{01EAC231-55E4-492F-BD84-63384ADC6563}">
      <text>
        <r>
          <rPr>
            <sz val="9"/>
            <color indexed="81"/>
            <rFont val="Segoe UI"/>
            <family val="2"/>
          </rPr>
          <t>102685|GOTEJADOR GALVANIZADO P/ELETROCALHA - LARGURA 300MM X ALTURA 50MM|PC|69|5||</t>
        </r>
      </text>
    </comment>
    <comment ref="F341" authorId="0" shapeId="0" xr:uid="{344B2580-557C-4CC5-B6AA-11C6E3352430}">
      <text>
        <r>
          <rPr>
            <sz val="9"/>
            <color indexed="81"/>
            <rFont val="Segoe UI"/>
            <family val="2"/>
          </rPr>
          <t>102686|DESVIO A DIREITA, GALVANIZADO P/ELETROCALHA - LARGURA 300MM X ALTURA 50MM|PC|69|5||</t>
        </r>
      </text>
    </comment>
    <comment ref="F342" authorId="0" shapeId="0" xr:uid="{B7E6E93D-7B2A-4643-8AC0-0F563785971C}">
      <text>
        <r>
          <rPr>
            <sz val="9"/>
            <color indexed="81"/>
            <rFont val="Segoe UI"/>
            <family val="2"/>
          </rPr>
          <t>102687|DESVIO A ESQUERDA, GALVANIZADO P/ELETROCALHA - LARGURA 300MM X ALTURA 50MM|PC|69|5||</t>
        </r>
      </text>
    </comment>
    <comment ref="F343" authorId="0" shapeId="0" xr:uid="{9B06B5C8-A5F8-4D52-8A31-283ECDBEAD85}">
      <text>
        <r>
          <rPr>
            <sz val="9"/>
            <color indexed="81"/>
            <rFont val="Segoe UI"/>
            <family val="2"/>
          </rPr>
          <t>102688|CURVA DE INVERSAO PERFURADA, P/ELETROCALHA - LARGURA 300MM X ALTURA 50MM|PC|69|5||</t>
        </r>
      </text>
    </comment>
    <comment ref="F344" authorId="0" shapeId="0" xr:uid="{EDCA1C5A-D6B2-4604-9997-3143F445986E}">
      <text>
        <r>
          <rPr>
            <sz val="9"/>
            <color indexed="81"/>
            <rFont val="Segoe UI"/>
            <family val="2"/>
          </rPr>
          <t>102691|COTOVELO RETO PERFURADO, GALVANIZADO, P/ELETROCALHA - 200 X 50MM|PC|69|5||</t>
        </r>
      </text>
    </comment>
    <comment ref="F345" authorId="0" shapeId="0" xr:uid="{A75F430F-4570-45F6-9CD1-7BEC0D9CE224}">
      <text>
        <r>
          <rPr>
            <sz val="9"/>
            <color indexed="81"/>
            <rFont val="Segoe UI"/>
            <family val="2"/>
          </rPr>
          <t>102692|CRUZETA 90º, PERFURADA, GALVANIZADA, P/ELETROCALHA - 200 X 50MM|PC|69|5||</t>
        </r>
      </text>
    </comment>
    <comment ref="F346" authorId="0" shapeId="0" xr:uid="{66800F7B-A434-4072-A293-6B0C1DE8653C}">
      <text>
        <r>
          <rPr>
            <sz val="9"/>
            <color indexed="81"/>
            <rFont val="Segoe UI"/>
            <family val="2"/>
          </rPr>
          <t>102693|T VERTICAL DESCIDA LATERAL, PERFURADA, GALVANIZADO, PARA ELETROCALHA - 200 X 50MM|PC|69|8||</t>
        </r>
      </text>
    </comment>
    <comment ref="F347" authorId="0" shapeId="0" xr:uid="{6058028B-4DD0-4D27-933D-510936A0ADC7}">
      <text>
        <r>
          <rPr>
            <sz val="9"/>
            <color indexed="81"/>
            <rFont val="Segoe UI"/>
            <family val="2"/>
          </rPr>
          <t>102695|DESVIO A DIREITA, PERFURADO, GALVANIZADO P/ELETROCALHA - LARGURA 200MM X ALTURA 50MM|PC|69|5||</t>
        </r>
      </text>
    </comment>
    <comment ref="F348" authorId="0" shapeId="0" xr:uid="{B1C1515B-0EBA-4D3F-B2B0-5C0E17C42ECD}">
      <text>
        <r>
          <rPr>
            <sz val="9"/>
            <color indexed="81"/>
            <rFont val="Segoe UI"/>
            <family val="2"/>
          </rPr>
          <t>102696|DESVIO A ESQUERDA, PERFURADO, GALVANIZADO P/ELETROCALHA - LARGURA 200MM X ALTURA 50MM|PC|69|5||</t>
        </r>
      </text>
    </comment>
    <comment ref="F349" authorId="0" shapeId="0" xr:uid="{41133A89-8D1B-4D4E-8C90-314B3EFF7E9D}">
      <text>
        <r>
          <rPr>
            <sz val="9"/>
            <color indexed="81"/>
            <rFont val="Segoe UI"/>
            <family val="2"/>
          </rPr>
          <t>102697|GANCHO HORIZONTAL, GALVANIZADO P/ELETROCALHA - LARGURA 210MM X ALTURA 70MM|PC|69|8||</t>
        </r>
      </text>
    </comment>
    <comment ref="F350" authorId="0" shapeId="0" xr:uid="{78901150-B993-47AD-BCA9-B44C28278298}">
      <text>
        <r>
          <rPr>
            <sz val="9"/>
            <color indexed="81"/>
            <rFont val="Segoe UI"/>
            <family val="2"/>
          </rPr>
          <t>102698|SUPORTE ANGULAR, GALVANIZADO, P/ELETROCALHA -  210 X 50MM|PC|69|5||</t>
        </r>
      </text>
    </comment>
    <comment ref="F351" authorId="0" shapeId="0" xr:uid="{44A84E41-C427-4349-9359-20CA23C4A37B}">
      <text>
        <r>
          <rPr>
            <sz val="9"/>
            <color indexed="81"/>
            <rFont val="Segoe UI"/>
            <family val="2"/>
          </rPr>
          <t>102699|GANCHO VERTICAL, GALVANIZADO, P/ELETROCALHA -  210 X 70MM|PC|69|18||</t>
        </r>
      </text>
    </comment>
    <comment ref="F352" authorId="0" shapeId="0" xr:uid="{9E497DC0-B390-41C8-A987-322B91100C22}">
      <text>
        <r>
          <rPr>
            <sz val="9"/>
            <color indexed="81"/>
            <rFont val="Segoe UI"/>
            <family val="2"/>
          </rPr>
          <t>102702|CABO UTP 24 AWG X 4 PARES CATEGORIA 6, CM|M|60|21|136564|</t>
        </r>
      </text>
    </comment>
    <comment ref="F353" authorId="0" shapeId="0" xr:uid="{D27878B6-A954-4282-91AC-363257509E6C}">
      <text>
        <r>
          <rPr>
            <sz val="9"/>
            <color indexed="81"/>
            <rFont val="Segoe UI"/>
            <family val="2"/>
          </rPr>
          <t>102726|TERMINAL GALVANIZADO P/ELETROCALHA - LARGURA 100MM X ALTURA 50MM|PC|69|5||</t>
        </r>
      </text>
    </comment>
    <comment ref="F354" authorId="0" shapeId="0" xr:uid="{DEDDE1C3-6E36-46A7-BCED-3972B317EFE4}">
      <text>
        <r>
          <rPr>
            <sz val="9"/>
            <color indexed="81"/>
            <rFont val="Segoe UI"/>
            <family val="2"/>
          </rPr>
          <t>102775|SUSPENSOR P/CABO DE ACO (P/PERFILADO)|PC|69|8||</t>
        </r>
      </text>
    </comment>
    <comment ref="F355" authorId="0" shapeId="0" xr:uid="{4D39A52B-86F9-4852-874F-554B695CD90B}">
      <text>
        <r>
          <rPr>
            <sz val="9"/>
            <color indexed="81"/>
            <rFont val="Segoe UI"/>
            <family val="2"/>
          </rPr>
          <t>102777|CONDULETE EM LIGA DE ALUMINIO FUNDIDO, TIPO "C",  Ø2", S/VEDACAO|PC|55|32||</t>
        </r>
      </text>
    </comment>
    <comment ref="F356" authorId="0" shapeId="0" xr:uid="{623B9962-7C2C-4ADD-AE4A-3AF3D271AF72}">
      <text>
        <r>
          <rPr>
            <sz val="9"/>
            <color indexed="81"/>
            <rFont val="Segoe UI"/>
            <family val="2"/>
          </rPr>
          <t>102782|GOTEJADOR GALVANIZADO P/ELETROCALHA - LARGURA 200MM X ALTURA 50MM|PC|69|5||</t>
        </r>
      </text>
    </comment>
    <comment ref="F357" authorId="0" shapeId="0" xr:uid="{8E1F78A5-0739-4E9C-B33E-925BF85F0B06}">
      <text>
        <r>
          <rPr>
            <sz val="9"/>
            <color indexed="81"/>
            <rFont val="Segoe UI"/>
            <family val="2"/>
          </rPr>
          <t>102791|CABO DE COBRE FLEXIVEL, BITOLA 35,0MM2, 1KV,  ISOLACAO DE PVC 70ºC, COR VERDE|M|55|19|140054|</t>
        </r>
      </text>
    </comment>
    <comment ref="F358" authorId="0" shapeId="0" xr:uid="{E5BA1823-BB6D-4038-BCDD-9FBE33D321F5}">
      <text>
        <r>
          <rPr>
            <sz val="9"/>
            <color indexed="81"/>
            <rFont val="Segoe UI"/>
            <family val="2"/>
          </rPr>
          <t>103251|CABO FLEXIVEL BITOLA 16,0 MM2, 1 KV, ISOLACAO DE PVC 70º,  ANTI-CHAMA. COR AZUL CLARA|M|55|19|140051|</t>
        </r>
      </text>
    </comment>
    <comment ref="F359" authorId="0" shapeId="0" xr:uid="{DE717951-4E12-4F53-9ED7-FA5D70680244}">
      <text>
        <r>
          <rPr>
            <sz val="9"/>
            <color indexed="81"/>
            <rFont val="Segoe UI"/>
            <family val="2"/>
          </rPr>
          <t>103298|LUMINARIA DE SOBREPOR ALETADA, 2 LAMPADAS TUBULARES DE 32W|PC|55|49||</t>
        </r>
      </text>
    </comment>
    <comment ref="F360" authorId="0" shapeId="0" xr:uid="{B2E3062E-A409-4E69-A424-80931BA832D7}">
      <text>
        <r>
          <rPr>
            <sz val="9"/>
            <color indexed="81"/>
            <rFont val="Segoe UI"/>
            <family val="2"/>
          </rPr>
          <t>103299|LUMINARIA DE SOBREPOR HERMETICA, 2 LAMPADAS TUBULARES DE 32W|PC|55|49||</t>
        </r>
      </text>
    </comment>
    <comment ref="F361" authorId="0" shapeId="0" xr:uid="{9CB131C1-510E-4EA3-A51B-FA9031B57420}">
      <text>
        <r>
          <rPr>
            <sz val="9"/>
            <color indexed="81"/>
            <rFont val="Segoe UI"/>
            <family val="2"/>
          </rPr>
          <t>103405|PASTA PARA LIMPEZA - 1 KG|PO|72|8|138352|</t>
        </r>
      </text>
    </comment>
    <comment ref="F362" authorId="0" shapeId="0" xr:uid="{A94ECFE4-5744-409B-897C-83F2C731DA72}">
      <text>
        <r>
          <rPr>
            <sz val="9"/>
            <color indexed="81"/>
            <rFont val="Segoe UI"/>
            <family val="2"/>
          </rPr>
          <t>103444|PINO T-50 - P/PINADEIRA|CX|70|13||</t>
        </r>
      </text>
    </comment>
    <comment ref="F363" authorId="0" shapeId="0" xr:uid="{ED21161B-73A4-4B27-A448-C929DEF91EDA}">
      <text>
        <r>
          <rPr>
            <sz val="9"/>
            <color indexed="81"/>
            <rFont val="Segoe UI"/>
            <family val="2"/>
          </rPr>
          <t>103490|FIO TELEFONICO EXTERNO FE - AA - 80|RL|59|18||</t>
        </r>
      </text>
    </comment>
    <comment ref="F364" authorId="0" shapeId="0" xr:uid="{A082A28B-9A72-46BC-A10A-285B4D134A8F}">
      <text>
        <r>
          <rPr>
            <sz val="9"/>
            <color indexed="81"/>
            <rFont val="Segoe UI"/>
            <family val="2"/>
          </rPr>
          <t>104625|CALCADO SEM COMPONENTES METALICOS Nº 36|PR|54|19||</t>
        </r>
      </text>
    </comment>
    <comment ref="F365" authorId="0" shapeId="0" xr:uid="{0DBD0B1C-3479-4C4D-A6AE-BDD2B42E274C}">
      <text>
        <r>
          <rPr>
            <sz val="9"/>
            <color indexed="81"/>
            <rFont val="Segoe UI"/>
            <family val="2"/>
          </rPr>
          <t>104626|CALCADO SEM COMPONENTES METALICOS Nº 37|PR|54|19||</t>
        </r>
      </text>
    </comment>
    <comment ref="F366" authorId="0" shapeId="0" xr:uid="{FC3AEC54-F959-4CCB-9C7E-F10BFC5B35F2}">
      <text>
        <r>
          <rPr>
            <sz val="9"/>
            <color indexed="81"/>
            <rFont val="Segoe UI"/>
            <family val="2"/>
          </rPr>
          <t>104627|CALCADO SEM COMPONENTES METALICOS Nº 38|PR|54|19||</t>
        </r>
      </text>
    </comment>
    <comment ref="F367" authorId="0" shapeId="0" xr:uid="{6FDB2B50-7271-4649-9C04-221E1F8675BE}">
      <text>
        <r>
          <rPr>
            <sz val="9"/>
            <color indexed="81"/>
            <rFont val="Segoe UI"/>
            <family val="2"/>
          </rPr>
          <t>104639|CALCADO SEM COMPONENTES METALICOS Nº 39|PR|54|19||</t>
        </r>
      </text>
    </comment>
    <comment ref="F368" authorId="0" shapeId="0" xr:uid="{5A14D9B8-5265-4AFC-AC02-7081F93E5247}">
      <text>
        <r>
          <rPr>
            <sz val="9"/>
            <color indexed="81"/>
            <rFont val="Segoe UI"/>
            <family val="2"/>
          </rPr>
          <t>104640|CALCADO SEM COMPONENTES METALICOS Nº 40|PR|54|19||</t>
        </r>
      </text>
    </comment>
    <comment ref="F369" authorId="0" shapeId="0" xr:uid="{9D291305-9A88-4FFA-BC7E-C45B089EC5E1}">
      <text>
        <r>
          <rPr>
            <sz val="9"/>
            <color indexed="81"/>
            <rFont val="Segoe UI"/>
            <family val="2"/>
          </rPr>
          <t>104641|CALCADO SEM COMPONENTES METALICOS Nº 41|PR|54|19||</t>
        </r>
      </text>
    </comment>
    <comment ref="F370" authorId="0" shapeId="0" xr:uid="{F6D40248-C926-476B-B121-9D2912744E68}">
      <text>
        <r>
          <rPr>
            <sz val="9"/>
            <color indexed="81"/>
            <rFont val="Segoe UI"/>
            <family val="2"/>
          </rPr>
          <t>104642|SAPATO DE COURO N° 42, SOLADO DE POLIURETANO BIDENSIDADE,  SEM COMPONENTES METALICOS|PR|54|19||</t>
        </r>
      </text>
    </comment>
    <comment ref="F371" authorId="0" shapeId="0" xr:uid="{DD1D31CA-B959-461C-8AEC-AF07D03FBF8F}">
      <text>
        <r>
          <rPr>
            <sz val="9"/>
            <color indexed="81"/>
            <rFont val="Segoe UI"/>
            <family val="2"/>
          </rPr>
          <t>104755|TAMPO PARA CARTEIRA - VERDE CLARO - 400MM X 600MM X 18MM||78|6||</t>
        </r>
      </text>
    </comment>
    <comment ref="F372" authorId="0" shapeId="0" xr:uid="{5653F8CA-EC8E-4060-816A-91BBF3A79F8C}">
      <text>
        <r>
          <rPr>
            <sz val="9"/>
            <color indexed="81"/>
            <rFont val="Segoe UI"/>
            <family val="2"/>
          </rPr>
          <t>104832|DISPENSADOR PARA PAPEL TOALHA INTERFOLHA. DIMENSOES: 320X250X130MM (AXLXP)|UN|51|37||</t>
        </r>
      </text>
    </comment>
    <comment ref="F373" authorId="0" shapeId="0" xr:uid="{D879D4D0-3B5E-42EB-A655-1EB9CB8CB380}">
      <text>
        <r>
          <rPr>
            <sz val="9"/>
            <color indexed="81"/>
            <rFont val="Segoe UI"/>
            <family val="2"/>
          </rPr>
          <t>105109|CALCA DE BRIM N° 46, CONFECCIONADA EM TECIDO MISTO 67% ALGODAO NA COR AZUL MARINHO.|PC|62|12||</t>
        </r>
      </text>
    </comment>
    <comment ref="F374" authorId="0" shapeId="0" xr:uid="{AC80108A-A64F-4C40-B670-66EE42C58200}">
      <text>
        <r>
          <rPr>
            <sz val="9"/>
            <color indexed="81"/>
            <rFont val="Segoe UI"/>
            <family val="2"/>
          </rPr>
          <t>105116|CAMISA DE BRIM, N° 4, CONFECCIONADA EM TECIDO 100% ALGODAO, NA COR AZUL MARINHO|PC|62|1||</t>
        </r>
      </text>
    </comment>
    <comment ref="F375" authorId="0" shapeId="0" xr:uid="{DE05C0BA-5124-4EBF-88C2-2ECB4EE0F477}">
      <text>
        <r>
          <rPr>
            <sz val="9"/>
            <color indexed="81"/>
            <rFont val="Segoe UI"/>
            <family val="2"/>
          </rPr>
          <t>105117|CAMISA DE BRIM, N° 5, CONFECCIONADA EM TECIDO 100% ALGODAO, NA COR AZUL MARINHO|PC|62|1||</t>
        </r>
      </text>
    </comment>
    <comment ref="F376" authorId="0" shapeId="0" xr:uid="{BD8865C9-23F2-4893-B03F-59973B6E2EE6}">
      <text>
        <r>
          <rPr>
            <sz val="9"/>
            <color indexed="81"/>
            <rFont val="Segoe UI"/>
            <family val="2"/>
          </rPr>
          <t>105128|TINTA ACRÍLICA BRANCA||||135227|</t>
        </r>
      </text>
    </comment>
    <comment ref="F377" authorId="0" shapeId="0" xr:uid="{19912975-8995-4F10-93DC-C80BCFB982EB}">
      <text>
        <r>
          <rPr>
            <sz val="9"/>
            <color indexed="81"/>
            <rFont val="Segoe UI"/>
            <family val="2"/>
          </rPr>
          <t>105180|REVESTIMENTO CERAMICO PARA PISOS - 41 X 41 CM - PEI 4 - COR PALHA|M2|51|21||</t>
        </r>
      </text>
    </comment>
    <comment ref="F378" authorId="0" shapeId="0" xr:uid="{F1CDC6B3-D646-45B5-90D7-A9FA8F05ECC9}">
      <text>
        <r>
          <rPr>
            <sz val="9"/>
            <color indexed="81"/>
            <rFont val="Segoe UI"/>
            <family val="2"/>
          </rPr>
          <t>105419|SUPORTE PARA CONDULETE|PC|55|32||</t>
        </r>
      </text>
    </comment>
    <comment ref="F379" authorId="0" shapeId="0" xr:uid="{ABC793B8-36EA-4E4F-B1F1-700B133C7B79}">
      <text>
        <r>
          <rPr>
            <sz val="9"/>
            <color indexed="81"/>
            <rFont val="Segoe UI"/>
            <family val="2"/>
          </rPr>
          <t>105489|TINTA ACRILICA LAVAVEL - AZUL CLARO - 18 LITROS|LT|76|9||</t>
        </r>
      </text>
    </comment>
    <comment ref="F380" authorId="0" shapeId="0" xr:uid="{3FCE9DE4-9DDB-4790-B673-6B1F794BBA90}">
      <text>
        <r>
          <rPr>
            <sz val="9"/>
            <color indexed="81"/>
            <rFont val="Segoe UI"/>
            <family val="2"/>
          </rPr>
          <t>105491|TINTA ACRILICA, A BASE DE AGUA, LAVAVEL, SEM CHEIRO (APOS 3 HORAS APLICACAO), PARA USO INTERNO, COR VERDE CLARO, ACABAMENTO ACETINADO, LATA COM 18 LITROS, RENDIMENTO ENTRE 225 A 275 M2/DEMAO|LT|76|9||</t>
        </r>
      </text>
    </comment>
    <comment ref="F381" authorId="0" shapeId="0" xr:uid="{DB4E81C5-51EE-4E19-B77F-AC58CCA0CF93}">
      <text>
        <r>
          <rPr>
            <sz val="9"/>
            <color indexed="81"/>
            <rFont val="Segoe UI"/>
            <family val="2"/>
          </rPr>
          <t>105492|TINTA ACRILICA, A BASE DE AGUA, LAVAVEL, SEM CHEIRO (APOS 3 HORAS APLICACAO), PARA USO INTERNO, COR AMARELO CLARO, ACABAMENTO ACETINADO, LATA COM 18 LITROS, RENDIMENTO ENTRE 225 A 275 M2/DEMAO|LT|76|9||</t>
        </r>
      </text>
    </comment>
    <comment ref="F382" authorId="0" shapeId="0" xr:uid="{0F1DF2D7-6903-4653-86A4-A15DA5DA6385}">
      <text>
        <r>
          <rPr>
            <sz val="9"/>
            <color indexed="81"/>
            <rFont val="Segoe UI"/>
            <family val="2"/>
          </rPr>
          <t>105493|TINTA ACRILICA LAVAVEL. - BEGE - 18 LITROS|LT|76|9||</t>
        </r>
      </text>
    </comment>
    <comment ref="F383" authorId="0" shapeId="0" xr:uid="{076C06EB-665B-410C-ABB0-A4B7ABE08BFE}">
      <text>
        <r>
          <rPr>
            <sz val="9"/>
            <color indexed="81"/>
            <rFont val="Segoe UI"/>
            <family val="2"/>
          </rPr>
          <t>105810|CALCADO DE SEGURANCA, N° 45 SEM COMPONENTES METALICOS|PR|54|4||</t>
        </r>
      </text>
    </comment>
    <comment ref="F384" authorId="0" shapeId="0" xr:uid="{B5BEBD81-BB6A-4F2A-B559-984FB5F15B19}">
      <text>
        <r>
          <rPr>
            <sz val="9"/>
            <color indexed="81"/>
            <rFont val="Segoe UI"/>
            <family val="2"/>
          </rPr>
          <t>105993|SAPATO DE SEGURANCA N° 37,  MOD. FEMININO.|PR|54|4||</t>
        </r>
      </text>
    </comment>
    <comment ref="F385" authorId="0" shapeId="0" xr:uid="{3C8F1BFE-7068-4B57-AF42-92BDBCC3E765}">
      <text>
        <r>
          <rPr>
            <sz val="9"/>
            <color indexed="81"/>
            <rFont val="Segoe UI"/>
            <family val="2"/>
          </rPr>
          <t>105994|SAPATO DE COURO N° 38, MOD. FEMININO.|PR|54|4||</t>
        </r>
      </text>
    </comment>
    <comment ref="F386" authorId="0" shapeId="0" xr:uid="{C688AFF8-5BC3-41FD-80C9-6746D7008FD8}">
      <text>
        <r>
          <rPr>
            <sz val="9"/>
            <color indexed="81"/>
            <rFont val="Segoe UI"/>
            <family val="2"/>
          </rPr>
          <t>106027|LUVA DE RASPA DE COURO, CANO LONGO|PR|54|4|136858|</t>
        </r>
      </text>
    </comment>
    <comment ref="F387" authorId="0" shapeId="0" xr:uid="{E57F57C9-8675-43D1-BE09-5DE4EF75E8AF}">
      <text>
        <r>
          <rPr>
            <sz val="9"/>
            <color indexed="81"/>
            <rFont val="Segoe UI"/>
            <family val="2"/>
          </rPr>
          <t>106039|ESCORREDOR DE PRATO EM INOX|PC|52|8||</t>
        </r>
      </text>
    </comment>
    <comment ref="F388" authorId="0" shapeId="0" xr:uid="{58B41E91-C9ED-48FD-8F99-07A93F4E2646}">
      <text>
        <r>
          <rPr>
            <sz val="9"/>
            <color indexed="81"/>
            <rFont val="Segoe UI"/>
            <family val="2"/>
          </rPr>
          <t>106128|CONTATOR LC1 D18M7|PC|50|2|142982|</t>
        </r>
      </text>
    </comment>
    <comment ref="F389" authorId="0" shapeId="0" xr:uid="{1DAAC32C-3EB8-46E7-8BE1-89864C6773F0}">
      <text>
        <r>
          <rPr>
            <sz val="9"/>
            <color indexed="81"/>
            <rFont val="Segoe UI"/>
            <family val="2"/>
          </rPr>
          <t>106631|SABONETEIRA EM ABS NA COR BRANCA|UN|51|37||</t>
        </r>
      </text>
    </comment>
    <comment ref="F390" authorId="0" shapeId="0" xr:uid="{8958039A-8F4B-46ED-BB72-891F6CF18F3D}">
      <text>
        <r>
          <rPr>
            <sz val="9"/>
            <color indexed="81"/>
            <rFont val="Segoe UI"/>
            <family val="2"/>
          </rPr>
          <t>106765|LIXA PARA LIXADEIRA DE CINTA|PC|83|3||</t>
        </r>
      </text>
    </comment>
    <comment ref="F391" authorId="0" shapeId="0" xr:uid="{785E9534-6D55-47F0-8C49-BAF58C332925}">
      <text>
        <r>
          <rPr>
            <sz val="9"/>
            <color indexed="81"/>
            <rFont val="Segoe UI"/>
            <family val="2"/>
          </rPr>
          <t>107736|SUPORTE EM ACRILICO E TAMPA EM INOX, PARA AFIXAR NA PAREDE, PARA ARMAZENAR COPOS CAFE 50ML|UN|52|10||</t>
        </r>
      </text>
    </comment>
    <comment ref="F392" authorId="0" shapeId="0" xr:uid="{05594C70-86FF-4C0C-8150-E09456C2B7E1}">
      <text>
        <r>
          <rPr>
            <sz val="9"/>
            <color indexed="81"/>
            <rFont val="Segoe UI"/>
            <family val="2"/>
          </rPr>
          <t>107737|SUPORTE EM ACRILICO E TAMPA EM INOX, PARA FIXAR NA PAREDE, PARA ARMAZENAR COPOS AGUA 200ML|UN|52|10||</t>
        </r>
      </text>
    </comment>
    <comment ref="F393" authorId="0" shapeId="0" xr:uid="{E87C3159-E4A0-4040-AFF8-1BC617057BEF}">
      <text>
        <r>
          <rPr>
            <sz val="9"/>
            <color indexed="81"/>
            <rFont val="Segoe UI"/>
            <family val="2"/>
          </rPr>
          <t>107909|QUEROSENE - GARRAFA PLASTICA COM MINIMO DE 900 ML|GF|72|14||</t>
        </r>
      </text>
    </comment>
    <comment ref="F394" authorId="0" shapeId="0" xr:uid="{27995B0D-05C3-4485-8CE9-8443D96C5AAC}">
      <text>
        <r>
          <rPr>
            <sz val="9"/>
            <color indexed="81"/>
            <rFont val="Segoe UI"/>
            <family val="2"/>
          </rPr>
          <t>107925|PUXADOR EXTERNO PARA ARMARIO|UN|51|11||</t>
        </r>
      </text>
    </comment>
    <comment ref="F395" authorId="0" shapeId="0" xr:uid="{EF67915B-8480-4574-A655-2D78F8123F88}">
      <text>
        <r>
          <rPr>
            <sz val="9"/>
            <color indexed="81"/>
            <rFont val="Segoe UI"/>
            <family val="2"/>
          </rPr>
          <t>108046|VASSOURA PARA GRAMA  REGULAVEL 22 PALHETAS ACHATADAS  COM CABO|PC|70|15||</t>
        </r>
      </text>
    </comment>
    <comment ref="F396" authorId="0" shapeId="0" xr:uid="{FC2EFBDE-9A69-45D0-9249-ADDAC45800E8}">
      <text>
        <r>
          <rPr>
            <sz val="9"/>
            <color indexed="81"/>
            <rFont val="Segoe UI"/>
            <family val="2"/>
          </rPr>
          <t>108440|HOLOFOTE RETANGULAR COM BASE E-40 EM ALUMINIO|UN|55|49||</t>
        </r>
      </text>
    </comment>
    <comment ref="F397" authorId="0" shapeId="0" xr:uid="{8B98D6DF-9BA0-4922-8460-AC01B07A3DE5}">
      <text>
        <r>
          <rPr>
            <sz val="9"/>
            <color indexed="81"/>
            <rFont val="Segoe UI"/>
            <family val="2"/>
          </rPr>
          <t>108441|REATOR PARA LAMPADA DE VAPOR METALICO|PC|55|65||</t>
        </r>
      </text>
    </comment>
    <comment ref="F398" authorId="0" shapeId="0" xr:uid="{B036B72B-6224-4797-9916-12DDC0402869}">
      <text>
        <r>
          <rPr>
            <sz val="9"/>
            <color indexed="81"/>
            <rFont val="Segoe UI"/>
            <family val="2"/>
          </rPr>
          <t>108463|CABO DE COBRE FLEXIVEL BITOLA 35 MM²,  0,6/1 KV ISOLACAO DE PVC 70° C, COR PRETA|M|55|19|140055|</t>
        </r>
      </text>
    </comment>
    <comment ref="F399" authorId="0" shapeId="0" xr:uid="{A4B8F3F9-CCCC-4CFB-9F5C-6D78C7083291}">
      <text>
        <r>
          <rPr>
            <sz val="9"/>
            <color indexed="81"/>
            <rFont val="Segoe UI"/>
            <family val="2"/>
          </rPr>
          <t>108732|BOTA DE PVC N° 38 - CANO CURTO|PR|54|4|98747|</t>
        </r>
      </text>
    </comment>
    <comment ref="F400" authorId="0" shapeId="0" xr:uid="{543C4B69-7784-4075-9819-57235A6BA94C}">
      <text>
        <r>
          <rPr>
            <sz val="9"/>
            <color indexed="81"/>
            <rFont val="Segoe UI"/>
            <family val="2"/>
          </rPr>
          <t>108734|BOTA DE PVC N° 40 - CANO CURTO|PR|54|4|98749|</t>
        </r>
      </text>
    </comment>
    <comment ref="F401" authorId="0" shapeId="0" xr:uid="{704349AC-48A3-4559-A305-EEF531D64B57}">
      <text>
        <r>
          <rPr>
            <sz val="9"/>
            <color indexed="81"/>
            <rFont val="Segoe UI"/>
            <family val="2"/>
          </rPr>
          <t>108735|BOTA DE PVC N° 41 - CANO CURTO|PR|54|4|98750|</t>
        </r>
      </text>
    </comment>
    <comment ref="F402" authorId="0" shapeId="0" xr:uid="{96EAFBFB-6F98-4189-9937-D9E233254CF3}">
      <text>
        <r>
          <rPr>
            <sz val="9"/>
            <color indexed="81"/>
            <rFont val="Segoe UI"/>
            <family val="2"/>
          </rPr>
          <t>108736|BOTA DE PVC N° 42 - CANO CURTO|PR|54|4|98751|</t>
        </r>
      </text>
    </comment>
    <comment ref="F403" authorId="0" shapeId="0" xr:uid="{CE4D8031-1123-41AB-92EE-A6B0144F8BED}">
      <text>
        <r>
          <rPr>
            <sz val="9"/>
            <color indexed="81"/>
            <rFont val="Segoe UI"/>
            <family val="2"/>
          </rPr>
          <t>109163|PASTA SUSPENSA, DE POLIPROPILENO(PP-LINE), COM ESPESSURA 0,55MM, NA COR AZUL, NO TAMANHO OFICIO(23,5X36,0)CM, HASTE DE POLIESTIRENO(PS), PONTEIRAS DE PLASTICO, PRENDEDORES INTERNOS DE POLIETILENO(PE), MODELO NORMAL, VISOR EM ACETATO E ETIQUETA BRANCA. COM HASTES DE SUSTENTACAO SOLDADA A PASTA|UN|45|11|139767|</t>
        </r>
      </text>
    </comment>
    <comment ref="F404" authorId="0" shapeId="0" xr:uid="{5D411C6F-D480-4B50-822B-24D760190EBA}">
      <text>
        <r>
          <rPr>
            <sz val="9"/>
            <color indexed="81"/>
            <rFont val="Segoe UI"/>
            <family val="2"/>
          </rPr>
          <t>109251|SACO PLASTICO PARA LIXO, COR AZUL, CAPACIDADE DE VOLUME DE 15 LITROS, NAS MEDIDAS 39 CM DE LARG X 58 CM DE ALT X 0,06 MM OU 60 MICRAS DE ESPESSURA (0,03 MM POR PAREDE) - PACOTE COM 100 UNIDADES|UN|72|6||</t>
        </r>
      </text>
    </comment>
    <comment ref="F405" authorId="0" shapeId="0" xr:uid="{AC1AE3E7-18CF-4EDD-962E-2251EC2940D4}">
      <text>
        <r>
          <rPr>
            <sz val="9"/>
            <color indexed="81"/>
            <rFont val="Segoe UI"/>
            <family val="2"/>
          </rPr>
          <t>110216|GUIA DE CONCRETO PRE MOLDADA FINA, PADRAO PMRJ. MEDIDAS: 10CM (ESPESSURA TOPO) X 12CM (ESPESSURA BASE) X 30CM (ALTURA) X 1M (COMPRIMENTO).|M|51|4||</t>
        </r>
      </text>
    </comment>
    <comment ref="F406" authorId="0" shapeId="0" xr:uid="{C26E18C6-FB62-4DEE-9165-7A891877A277}">
      <text>
        <r>
          <rPr>
            <sz val="9"/>
            <color indexed="81"/>
            <rFont val="Segoe UI"/>
            <family val="2"/>
          </rPr>
          <t>110503|CANECA PLASTICA (POLIPROPILENO), CAPACIDADE P/ 330 ML|PC|52|6||</t>
        </r>
      </text>
    </comment>
    <comment ref="F407" authorId="0" shapeId="0" xr:uid="{DAE1C447-C9B5-4317-87EB-8852195E5975}">
      <text>
        <r>
          <rPr>
            <sz val="9"/>
            <color indexed="81"/>
            <rFont val="Segoe UI"/>
            <family val="2"/>
          </rPr>
          <t>110890|CABO DE COBRE FLEXIVEL BITOLA  95 MM²,  750 V ISOLACAO DE PVC 70° C, COR VERDE - ANTI-CHAMA.|M|55|19|140125|</t>
        </r>
      </text>
    </comment>
    <comment ref="F408" authorId="0" shapeId="0" xr:uid="{6339CE4E-C92B-4250-879A-E7CE6EA19F28}">
      <text>
        <r>
          <rPr>
            <sz val="9"/>
            <color indexed="81"/>
            <rFont val="Segoe UI"/>
            <family val="2"/>
          </rPr>
          <t>110891|CABO DE COBRE FLEXIVEL BITOLA 70 MM²,  0,6/1 KV ISOLACAO DE PVC 70° COR AZUL CLARO - ANTI-CHAMA.|M|55|19|140058|</t>
        </r>
      </text>
    </comment>
    <comment ref="F409" authorId="0" shapeId="0" xr:uid="{9C163786-8680-4F08-8935-4CF1E0FDC841}">
      <text>
        <r>
          <rPr>
            <sz val="9"/>
            <color indexed="81"/>
            <rFont val="Segoe UI"/>
            <family val="2"/>
          </rPr>
          <t>111756|RODIZIO GIRATORIO DE 1" 1/2 PARA CARRINHO|UN|67|13||</t>
        </r>
      </text>
    </comment>
    <comment ref="F410" authorId="0" shapeId="0" xr:uid="{162C27DD-6B04-427D-89E9-AF55052C041E}">
      <text>
        <r>
          <rPr>
            <sz val="9"/>
            <color indexed="81"/>
            <rFont val="Segoe UI"/>
            <family val="2"/>
          </rPr>
          <t>112064|CARRINHO DE MAO 150 KG ( 60 LITROS)  TOTALMENTE GALVANIZADO|UN|70|38||</t>
        </r>
      </text>
    </comment>
    <comment ref="F411" authorId="0" shapeId="0" xr:uid="{F4130D8A-3044-4F4D-A0C6-E788DAEA3E18}">
      <text>
        <r>
          <rPr>
            <sz val="9"/>
            <color indexed="81"/>
            <rFont val="Segoe UI"/>
            <family val="2"/>
          </rPr>
          <t>112160|PLUG MOVEL 2P 90° PADRAO NBR 14136 DE 20A/250V GIGANTE|UN|55|7||</t>
        </r>
      </text>
    </comment>
    <comment ref="F412" authorId="0" shapeId="0" xr:uid="{7DA2FC90-C7AB-4161-80E4-57954A8528E9}">
      <text>
        <r>
          <rPr>
            <sz val="9"/>
            <color indexed="81"/>
            <rFont val="Segoe UI"/>
            <family val="2"/>
          </rPr>
          <t>112164|PINO ADAPTADOR PARA TOMADA 2P+T UNIVERSAL PARA TOMADA 2P+T 10A PADRAO NBR 14136|UN|55|37||</t>
        </r>
      </text>
    </comment>
    <comment ref="F413" authorId="0" shapeId="0" xr:uid="{41891FDB-FAB6-4522-AC30-F0F3E0FC14FC}">
      <text>
        <r>
          <rPr>
            <sz val="9"/>
            <color indexed="81"/>
            <rFont val="Segoe UI"/>
            <family val="2"/>
          </rPr>
          <t>112330|ELETRODO P/ SOLDA 2,5 MM E 6013|KG|70|33|133371|</t>
        </r>
      </text>
    </comment>
    <comment ref="F414" authorId="0" shapeId="0" xr:uid="{C14DD00A-423D-49FF-9B36-45857EAFF6A2}">
      <text>
        <r>
          <rPr>
            <sz val="9"/>
            <color indexed="81"/>
            <rFont val="Segoe UI"/>
            <family val="2"/>
          </rPr>
          <t>112965|CABO DE COBRE FLEXIVEL BITOLA 70 MM²,  0,6/1 KV ISOLACAO DE PVC 70° C, COR PRETO - ANTI-CHAMA|M|55|19|140059|</t>
        </r>
      </text>
    </comment>
    <comment ref="F415" authorId="0" shapeId="0" xr:uid="{B3ACD23F-448E-4195-A28E-8A2F7C69C520}">
      <text>
        <r>
          <rPr>
            <sz val="9"/>
            <color indexed="81"/>
            <rFont val="Segoe UI"/>
            <family val="2"/>
          </rPr>
          <t>113097|TABUA DE GARAPEIRA BRUTA - MEDIDAS: 2,5 CM X 30 CM X 5,00 M|PC|74|2||</t>
        </r>
      </text>
    </comment>
    <comment ref="F416" authorId="0" shapeId="0" xr:uid="{59A47248-282F-40F4-B39C-A273BFED27AF}">
      <text>
        <r>
          <rPr>
            <sz val="9"/>
            <color indexed="81"/>
            <rFont val="Segoe UI"/>
            <family val="2"/>
          </rPr>
          <t>113180|TORNEIRA BICO DE GANSO COM 18 CM DE COMPRIMENTO, TIPO MESA|||||</t>
        </r>
      </text>
    </comment>
    <comment ref="F417" authorId="0" shapeId="0" xr:uid="{117E3C00-1693-4E7B-A8E2-3184DF6E3391}">
      <text>
        <r>
          <rPr>
            <sz val="9"/>
            <color indexed="81"/>
            <rFont val="Segoe UI"/>
            <family val="2"/>
          </rPr>
          <t>113207|PISO CARRARA. COR: BRANCO. MEDINDO: A: 44,4 X 44,4CM. SERIE MAMORE CARRARA. PORCELLANATO ESMALTADO.|M2|51|21||</t>
        </r>
      </text>
    </comment>
    <comment ref="F418" authorId="0" shapeId="0" xr:uid="{F7690A50-7E8C-4935-9216-C0123D30152A}">
      <text>
        <r>
          <rPr>
            <sz val="9"/>
            <color indexed="81"/>
            <rFont val="Segoe UI"/>
            <family val="2"/>
          </rPr>
          <t>114255|PISO DE BORRACHA MODELO S, ISENTO DE SUBSTANCIAS TOXICAS COM ABSORCAO DE IMPACTOS ANTI DERRAPANTES, NA MEDIDA 270X180X60MM|M2|51|21||</t>
        </r>
      </text>
    </comment>
    <comment ref="F419" authorId="0" shapeId="0" xr:uid="{EC6EA78F-0F5C-44A6-9831-F0C7BB0C7632}">
      <text>
        <r>
          <rPr>
            <sz val="9"/>
            <color indexed="81"/>
            <rFont val="Segoe UI"/>
            <family val="2"/>
          </rPr>
          <t>115135|CUMEEIRA DE FIBROCIMENTO ONDA DA MEDIDA 0,50 CM X 15°|PC|51|17||</t>
        </r>
      </text>
    </comment>
    <comment ref="F420" authorId="0" shapeId="0" xr:uid="{212144EF-4EDF-4DE8-AF55-E37F96607436}">
      <text>
        <r>
          <rPr>
            <sz val="9"/>
            <color indexed="81"/>
            <rFont val="Segoe UI"/>
            <family val="2"/>
          </rPr>
          <t>115146|CONDULETE EM LIGA DE ALUMINIO FUNDIDO TIPO "LR"  - 3/4|PC|55|32||</t>
        </r>
      </text>
    </comment>
    <comment ref="F421" authorId="0" shapeId="0" xr:uid="{28AA838A-4EA3-404A-842A-7D9F3CA79B96}">
      <text>
        <r>
          <rPr>
            <sz val="9"/>
            <color indexed="81"/>
            <rFont val="Segoe UI"/>
            <family val="2"/>
          </rPr>
          <t>115149|CONDULETE EM LIGA DE ALUMINIO FUNDIDO TIPO "E"  - 1|PC|55|32||</t>
        </r>
      </text>
    </comment>
    <comment ref="F422" authorId="0" shapeId="0" xr:uid="{8186E70E-81F9-4FFB-80E4-FA00F8077758}">
      <text>
        <r>
          <rPr>
            <sz val="9"/>
            <color indexed="81"/>
            <rFont val="Segoe UI"/>
            <family val="2"/>
          </rPr>
          <t>115151|CONDULETE EM LIGA DE ALUMINIO FUNDIDO TIPO "LL" -  3/4|PC|55|32||</t>
        </r>
      </text>
    </comment>
    <comment ref="F423" authorId="0" shapeId="0" xr:uid="{4256A646-9F7B-4E7D-BC01-B3855FF46FD1}">
      <text>
        <r>
          <rPr>
            <sz val="9"/>
            <color indexed="81"/>
            <rFont val="Segoe UI"/>
            <family val="2"/>
          </rPr>
          <t>115152|CONDULETE EM LIGA DE ALUMINIO FUNDIDO TIPO "T"  - 1|PC|55|32||</t>
        </r>
      </text>
    </comment>
    <comment ref="F424" authorId="0" shapeId="0" xr:uid="{4EF9EA5B-3C3C-466D-89A7-72956CB10947}">
      <text>
        <r>
          <rPr>
            <sz val="9"/>
            <color indexed="81"/>
            <rFont val="Segoe UI"/>
            <family val="2"/>
          </rPr>
          <t>115154|CONDULETE EM LIGA DE ALUMINIO FUNDIDO TIPO "X"  - 3/4|PC|55|32||</t>
        </r>
      </text>
    </comment>
    <comment ref="F425" authorId="0" shapeId="0" xr:uid="{249490C3-9DCB-46F4-8AE5-F44F2D7E7C76}">
      <text>
        <r>
          <rPr>
            <sz val="9"/>
            <color indexed="81"/>
            <rFont val="Segoe UI"/>
            <family val="2"/>
          </rPr>
          <t>115214|TELHA DE FIBROCIMENTO ONDA NA MEDIDA 0,50 CM X 3,70 M X 0,60 CM X 6 MM DE ESPESSURA|PC|51|17||</t>
        </r>
      </text>
    </comment>
    <comment ref="F426" authorId="0" shapeId="0" xr:uid="{E09E6713-B5E8-4B5A-AABD-656B55D02630}">
      <text>
        <r>
          <rPr>
            <sz val="9"/>
            <color indexed="81"/>
            <rFont val="Segoe UI"/>
            <family val="2"/>
          </rPr>
          <t>115737|PEDRA MINEIRA 30 X30 CM|M2|51|20||</t>
        </r>
      </text>
    </comment>
    <comment ref="F427" authorId="0" shapeId="0" xr:uid="{4445ED9D-7F7A-4AD5-9671-9351663FF1FD}">
      <text>
        <r>
          <rPr>
            <sz val="9"/>
            <color indexed="81"/>
            <rFont val="Segoe UI"/>
            <family val="2"/>
          </rPr>
          <t>115781|REATOR INTERNO A VAPOR METALICO - 70W, 220 V|UN|55|64||</t>
        </r>
      </text>
    </comment>
    <comment ref="F428" authorId="0" shapeId="0" xr:uid="{94B876EB-C4D1-4DBB-8F02-CC172FD13271}">
      <text>
        <r>
          <rPr>
            <sz val="9"/>
            <color indexed="81"/>
            <rFont val="Segoe UI"/>
            <family val="2"/>
          </rPr>
          <t>116771|CHAPA EM MDF, BRANCO, 02 FACES 2,75 X 1,83 X 25 MM|CH|69|1||</t>
        </r>
      </text>
    </comment>
    <comment ref="F429" authorId="0" shapeId="0" xr:uid="{A1BCFB5D-9518-4F44-A071-31F5E1207B1F}">
      <text>
        <r>
          <rPr>
            <sz val="9"/>
            <color indexed="81"/>
            <rFont val="Segoe UI"/>
            <family val="2"/>
          </rPr>
          <t>118243|ROLAMENTO 6300 - ZZ|PC|89|12||</t>
        </r>
      </text>
    </comment>
    <comment ref="F430" authorId="0" shapeId="0" xr:uid="{B2797AC4-5817-4D2A-AB74-775C8F08A153}">
      <text>
        <r>
          <rPr>
            <sz val="9"/>
            <color indexed="81"/>
            <rFont val="Segoe UI"/>
            <family val="2"/>
          </rPr>
          <t>118248|PISO CERAMICO ANTI-DERRAPANTE PEI-5 MEDINDO 52 X 52CM - COR:|M2|51|21||</t>
        </r>
      </text>
    </comment>
    <comment ref="F431" authorId="0" shapeId="0" xr:uid="{3B06E9EB-5A59-4215-9B9F-A6665E5FD977}">
      <text>
        <r>
          <rPr>
            <sz val="9"/>
            <color indexed="81"/>
            <rFont val="Segoe UI"/>
            <family val="2"/>
          </rPr>
          <t>118578|PISO HIDRAULICO, ANTIDERRAPANTE, COR PRETO|M2|51|21||</t>
        </r>
      </text>
    </comment>
    <comment ref="F432" authorId="0" shapeId="0" xr:uid="{6106026D-0B72-49BA-8479-50E0C4A2FDC1}">
      <text>
        <r>
          <rPr>
            <sz val="9"/>
            <color indexed="81"/>
            <rFont val="Segoe UI"/>
            <family val="2"/>
          </rPr>
          <t>118580|PISO HIDRAULICO, ANTIDERRAPANTE, COR VERMELHO|M2|51|21||</t>
        </r>
      </text>
    </comment>
    <comment ref="F433" authorId="0" shapeId="0" xr:uid="{9AC5BB5F-376F-49FF-8391-D177690759DE}">
      <text>
        <r>
          <rPr>
            <sz val="9"/>
            <color indexed="81"/>
            <rFont val="Segoe UI"/>
            <family val="2"/>
          </rPr>
          <t>118660|PLASTICO CRISTAL TRANSPARENTE DE 0,40 MICRONS X 1,40 M LARGURA  X 30 M DE COMPRIMENTO|||||</t>
        </r>
      </text>
    </comment>
    <comment ref="F434" authorId="0" shapeId="0" xr:uid="{9A4D77C1-FF42-4957-B0F0-1D5A617F5410}">
      <text>
        <r>
          <rPr>
            <sz val="9"/>
            <color indexed="81"/>
            <rFont val="Segoe UI"/>
            <family val="2"/>
          </rPr>
          <t>118779|CONDULETE DE ALUMINIO TIPO E 11/2´´ SEM ROSCA|PC|55|32||</t>
        </r>
      </text>
    </comment>
    <comment ref="F435" authorId="0" shapeId="0" xr:uid="{7A6273E8-8B20-4059-9D37-7101C5CEEC41}">
      <text>
        <r>
          <rPr>
            <sz val="9"/>
            <color indexed="81"/>
            <rFont val="Segoe UI"/>
            <family val="2"/>
          </rPr>
          <t>118843|PRATO RASO|PC|52|9||</t>
        </r>
      </text>
    </comment>
    <comment ref="F436" authorId="0" shapeId="0" xr:uid="{33161992-AD2E-49CF-9538-6C5C3E334731}">
      <text>
        <r>
          <rPr>
            <sz val="9"/>
            <color indexed="81"/>
            <rFont val="Segoe UI"/>
            <family val="2"/>
          </rPr>
          <t>118864|FECHADURA DE SOBREPOR PARA GAVETA, 22MM|PC|51|9|136554|</t>
        </r>
      </text>
    </comment>
    <comment ref="F437" authorId="0" shapeId="0" xr:uid="{B588591F-62B4-43A2-B277-F6BDD1905D81}">
      <text>
        <r>
          <rPr>
            <sz val="9"/>
            <color indexed="81"/>
            <rFont val="Segoe UI"/>
            <family val="2"/>
          </rPr>
          <t>118865|FECHADURA DE SOBREPOR PARA GAVETA, COM CILINDRO, 31 MM|PC|51|9|136555|</t>
        </r>
      </text>
    </comment>
    <comment ref="F438" authorId="0" shapeId="0" xr:uid="{E41FFABC-8E6E-4483-A14A-235AAE7CB3E5}">
      <text>
        <r>
          <rPr>
            <sz val="9"/>
            <color indexed="81"/>
            <rFont val="Segoe UI"/>
            <family val="2"/>
          </rPr>
          <t>118993|REVESTIMENTO CERAMICO - MEDIDA: A 32,5 X 57 CM - COR: SPECTRO LAVANDA|M2|51|21||</t>
        </r>
      </text>
    </comment>
    <comment ref="F439" authorId="0" shapeId="0" xr:uid="{67F5A2F3-E0C7-4184-9F67-8101A56CF545}">
      <text>
        <r>
          <rPr>
            <sz val="9"/>
            <color indexed="81"/>
            <rFont val="Segoe UI"/>
            <family val="2"/>
          </rPr>
          <t>118994|REVESTIMENTO CERAMICO - MEDIDA: A 32,5 X 57 CM - COR: SPECTRO OLIVA|M2|51|21||</t>
        </r>
      </text>
    </comment>
    <comment ref="F440" authorId="0" shapeId="0" xr:uid="{3D2C4498-F29C-40B1-9414-AA3A312F25E8}">
      <text>
        <r>
          <rPr>
            <sz val="9"/>
            <color indexed="81"/>
            <rFont val="Segoe UI"/>
            <family val="2"/>
          </rPr>
          <t>119008|MODULO DE EXPANSAO DE 8 ZONAS COM FIO + 2 SAIDAS DE RELES PROGRAMAVEIS DISPONIVEIS PARA CONTROLE DE LUZES, PORTAS, FECHADURAS E PORTOES (COMPATIVEIS COM CENTRAIS ADEMCO VISTA 48 LA.MODELO: 4229)|UN|55|62||</t>
        </r>
      </text>
    </comment>
    <comment ref="F441" authorId="0" shapeId="0" xr:uid="{A6A7C2CB-8337-431C-A731-B9123C7925A5}">
      <text>
        <r>
          <rPr>
            <sz val="9"/>
            <color indexed="81"/>
            <rFont val="Segoe UI"/>
            <family val="2"/>
          </rPr>
          <t>119087|TOMADA TELEFONICA PADRAO TELEBRAS DE EMBUTIR, COM SUPORTE E COM CONECTOR RJ-11 E PLACA 4X2", COM PARAFUSOS|PC|59|18||</t>
        </r>
      </text>
    </comment>
    <comment ref="F442" authorId="0" shapeId="0" xr:uid="{CF8F739A-01B9-47C8-BA01-7A2443D9CC29}">
      <text>
        <r>
          <rPr>
            <sz val="9"/>
            <color indexed="81"/>
            <rFont val="Segoe UI"/>
            <family val="2"/>
          </rPr>
          <t>119182|TOMADA PADRAO  DE SOBREPOR|UN|55|37|136083|</t>
        </r>
      </text>
    </comment>
    <comment ref="F443" authorId="0" shapeId="0" xr:uid="{E1243F5E-BD63-49D7-8BF8-E5E45C9B5CD0}">
      <text>
        <r>
          <rPr>
            <sz val="9"/>
            <color indexed="81"/>
            <rFont val="Segoe UI"/>
            <family val="2"/>
          </rPr>
          <t>119183|PINO ADAPTADOR REVERSO DE TOMADA|UN|55|37||</t>
        </r>
      </text>
    </comment>
    <comment ref="F444" authorId="0" shapeId="0" xr:uid="{EDFD8066-E0B5-4A67-900D-2F939B619C38}">
      <text>
        <r>
          <rPr>
            <sz val="9"/>
            <color indexed="81"/>
            <rFont val="Segoe UI"/>
            <family val="2"/>
          </rPr>
          <t>119514|GUARNICAO ADESIVA, EM EPDM PRETA, MEDIDA: 11 X 6,4 MM (VARIACAO: +/- 1 MM)|M|51|28||</t>
        </r>
      </text>
    </comment>
    <comment ref="F445" authorId="0" shapeId="0" xr:uid="{FE639B97-181C-4FB4-9ACA-0535D22F623C}">
      <text>
        <r>
          <rPr>
            <sz val="9"/>
            <color indexed="81"/>
            <rFont val="Segoe UI"/>
            <family val="2"/>
          </rPr>
          <t>119626|PASTILHA CERAMICA 10 X 10 CM TELADO, COR BOUDOUX|M2|51|19||</t>
        </r>
      </text>
    </comment>
    <comment ref="F446" authorId="0" shapeId="0" xr:uid="{3DED4101-8ED3-4302-A3D5-905EBA78BCDE}">
      <text>
        <r>
          <rPr>
            <sz val="9"/>
            <color indexed="81"/>
            <rFont val="Segoe UI"/>
            <family val="2"/>
          </rPr>
          <t>119627|CABO DE COBRE FLEXIVEL BITOLA 10MM², 6,6/1 KV, ISOLACAO DE PVC 70ºC, COR VERDE - ANTICHAMA - ROLO COM 100 METROS|M|55|19|140050|</t>
        </r>
      </text>
    </comment>
    <comment ref="F447" authorId="0" shapeId="0" xr:uid="{881414C1-07A7-4033-AD74-38236777B72B}">
      <text>
        <r>
          <rPr>
            <sz val="9"/>
            <color indexed="81"/>
            <rFont val="Segoe UI"/>
            <family val="2"/>
          </rPr>
          <t>119628|CABO DE COBRE FLEXIVEL BITOLA 25 MM², 0.6/1 KV, ISOLACAO DE PVC 70ºC, COR VERDE - ANTICHAMA - ROLO COM 100 METROS|M|55|19|140053|</t>
        </r>
      </text>
    </comment>
    <comment ref="F448" authorId="0" shapeId="0" xr:uid="{BA98EF7E-37FD-4B2C-B7E8-83821E531D67}">
      <text>
        <r>
          <rPr>
            <sz val="9"/>
            <color indexed="81"/>
            <rFont val="Segoe UI"/>
            <family val="2"/>
          </rPr>
          <t>119793|PASTILHA CERAMICA TELADO MEDINDO 10 X 10 CM - COR AZUL CEU|M2|51|19||</t>
        </r>
      </text>
    </comment>
    <comment ref="F449" authorId="0" shapeId="0" xr:uid="{8BCF7957-CD75-4320-BA62-55D38552834D}">
      <text>
        <r>
          <rPr>
            <sz val="9"/>
            <color indexed="81"/>
            <rFont val="Segoe UI"/>
            <family val="2"/>
          </rPr>
          <t>119794|PASTILHA CERAMICA TELADO MEDINDO 10 X 10 CM - COR CREMA|M2|51|19||</t>
        </r>
      </text>
    </comment>
    <comment ref="F450" authorId="0" shapeId="0" xr:uid="{2544F06B-6F2B-4116-B0B7-04C5CD5D9F13}">
      <text>
        <r>
          <rPr>
            <sz val="9"/>
            <color indexed="81"/>
            <rFont val="Segoe UI"/>
            <family val="2"/>
          </rPr>
          <t>119795|PASTILHA CERAMICA TELADO MEDINDO 10 X 10 CM - COR CATANO CLARO|M2|51|19||</t>
        </r>
      </text>
    </comment>
    <comment ref="F451" authorId="0" shapeId="0" xr:uid="{9C6F2005-D11F-43A6-BD2F-BDC7DDBCAEB5}">
      <text>
        <r>
          <rPr>
            <sz val="9"/>
            <color indexed="81"/>
            <rFont val="Segoe UI"/>
            <family val="2"/>
          </rPr>
          <t>119796|PASTILHA CERAMICA MEDINDO 10 X 10 CM - COR CATANO MEDIO|M2|51|19||</t>
        </r>
      </text>
    </comment>
    <comment ref="F452" authorId="0" shapeId="0" xr:uid="{1CBFF1F4-6BDB-4170-87F9-689AA9CFD6A0}">
      <text>
        <r>
          <rPr>
            <sz val="9"/>
            <color indexed="81"/>
            <rFont val="Segoe UI"/>
            <family val="2"/>
          </rPr>
          <t>119798|PASTILHA CERAMICA TELADO MEDINDO 10 X 10 CM - COR LARANJA|M2|51|19||</t>
        </r>
      </text>
    </comment>
    <comment ref="F453" authorId="0" shapeId="0" xr:uid="{15F0598F-9CA5-4433-A7C8-F3D65308D86E}">
      <text>
        <r>
          <rPr>
            <sz val="9"/>
            <color indexed="81"/>
            <rFont val="Segoe UI"/>
            <family val="2"/>
          </rPr>
          <t>119810|LAMPADA A VAPOR DE SODIO TUBULAR 250W, BASE E-40, 220V. MAXIMA TEMPERATURA NA BASE 250ºC, MAXIMA TEMPERATURA NO BULBO 350ºC, FLUXO LUMINOSO (MINIMO) 25.000 LM|PC|55|52||</t>
        </r>
      </text>
    </comment>
    <comment ref="F454" authorId="0" shapeId="0" xr:uid="{E431E6B9-B0FC-4439-BE4D-AF20BEE5C4A6}">
      <text>
        <r>
          <rPr>
            <sz val="9"/>
            <color indexed="81"/>
            <rFont val="Segoe UI"/>
            <family val="2"/>
          </rPr>
          <t>119811|LAMPADA A VAPOR METALICO TUBULAR 250W, BASE E-40, 220V. MAXIMA TEMPERATURA NA BASE 250ºC, MAXIMA TEMPERATURA NO BULBO 550ºC, FLUXO LUMINOSO (MINIMO) 19.000 LM|PC|55|52||</t>
        </r>
      </text>
    </comment>
    <comment ref="F455" authorId="0" shapeId="0" xr:uid="{3CDA370F-7ED2-4F07-A253-D2956FAC9D15}">
      <text>
        <r>
          <rPr>
            <sz val="9"/>
            <color indexed="81"/>
            <rFont val="Segoe UI"/>
            <family val="2"/>
          </rPr>
          <t>120217|PNEU 205/55 R16|PC|84|1||</t>
        </r>
      </text>
    </comment>
    <comment ref="F456" authorId="0" shapeId="0" xr:uid="{65FE6CB0-4787-45FA-B855-A04F1D6C3951}">
      <text>
        <r>
          <rPr>
            <sz val="9"/>
            <color indexed="81"/>
            <rFont val="Segoe UI"/>
            <family val="2"/>
          </rPr>
          <t>120477|LAMPADA A VAPOR METALICO TUBULAR 400W, BASE E-40, 220V, MAXIMA TEMPERATURA NA BASE 250ºC, MAXIMA TEMPERATURA NO BULBO 600ºC|PC|55|63||</t>
        </r>
      </text>
    </comment>
    <comment ref="F457" authorId="0" shapeId="0" xr:uid="{323544CB-D0AB-4DBB-9809-038F5F0A0E46}">
      <text>
        <r>
          <rPr>
            <sz val="9"/>
            <color indexed="81"/>
            <rFont val="Segoe UI"/>
            <family val="2"/>
          </rPr>
          <t>121214|DISCO DE DESBASTE DE 4 ¹/2  X 1/4 X 7/8 - CONFORME NORMAS DA ABNT|UN|83|8||</t>
        </r>
      </text>
    </comment>
    <comment ref="F458" authorId="0" shapeId="0" xr:uid="{85E25A7D-C7A5-45A1-828E-8DE1EED6A20B}">
      <text>
        <r>
          <rPr>
            <sz val="9"/>
            <color indexed="81"/>
            <rFont val="Segoe UI"/>
            <family val="2"/>
          </rPr>
          <t>121292|LUMINARIA AUTONOMA DE EMERGENCIA COM LEDS, ALIMENTACAO 110/220V|UN|55|49|136898|</t>
        </r>
      </text>
    </comment>
    <comment ref="F459" authorId="0" shapeId="0" xr:uid="{D12030FA-17A2-4937-B45F-FFCFECC547B1}">
      <text>
        <r>
          <rPr>
            <sz val="9"/>
            <color indexed="81"/>
            <rFont val="Segoe UI"/>
            <family val="2"/>
          </rPr>
          <t>122153|CRUZETA E ACO GALVANIZADO AO FOGO|PC|55|46||</t>
        </r>
      </text>
    </comment>
    <comment ref="F460" authorId="0" shapeId="0" xr:uid="{E766F6D7-99FA-4050-BA4B-AC9C13CD4DEC}">
      <text>
        <r>
          <rPr>
            <sz val="9"/>
            <color indexed="81"/>
            <rFont val="Segoe UI"/>
            <family val="2"/>
          </rPr>
          <t>122154|LAMPADA  DE VAPOR METALICO OVOIDE 400W|UN|55|63||</t>
        </r>
      </text>
    </comment>
    <comment ref="F461" authorId="0" shapeId="0" xr:uid="{0791412D-9F3F-4249-9A27-FCC3F6F73566}">
      <text>
        <r>
          <rPr>
            <sz val="9"/>
            <color indexed="81"/>
            <rFont val="Segoe UI"/>
            <family val="2"/>
          </rPr>
          <t>122545|PNEU 275/80R22,5 - 16 LONAS, RADIAL PARA EIXO TRATIVO, PISO MISTO (ASFALTO/TERRA),CAPACIDADE DE CARGA SIMPLES/DUPLO (KG) 3250/3000, CODIGO DE VELOCIDADE "K", PROFUNDIDADE DOS SULCOS MINIMO 26,0 MM|PC|84|2||</t>
        </r>
      </text>
    </comment>
    <comment ref="F462" authorId="0" shapeId="0" xr:uid="{68A861EC-7383-41C9-B049-BE094C7920DA}">
      <text>
        <r>
          <rPr>
            <sz val="9"/>
            <color indexed="81"/>
            <rFont val="Segoe UI"/>
            <family val="2"/>
          </rPr>
          <t>123146|CIMENTO COLANTE - SACO COM 20 KG (PARA USO INTERNO E EXTERNO)|SO|51|4||</t>
        </r>
      </text>
    </comment>
    <comment ref="F463" authorId="0" shapeId="0" xr:uid="{263DF1EF-FAF2-4324-B5D7-9549A5FEC2C9}">
      <text>
        <r>
          <rPr>
            <sz val="9"/>
            <color indexed="81"/>
            <rFont val="Segoe UI"/>
            <family val="2"/>
          </rPr>
          <t>123241|PERFIL CADEIRA DE FERRO, COM 30 CM DE LARGURA X 2,5 DE ALTURA - BARRA COM 3 METROS|BR|69|2||</t>
        </r>
      </text>
    </comment>
    <comment ref="F464" authorId="0" shapeId="0" xr:uid="{7BF76203-35C9-40DB-85F8-1A733F9FFB0D}">
      <text>
        <r>
          <rPr>
            <sz val="9"/>
            <color indexed="81"/>
            <rFont val="Segoe UI"/>
            <family val="2"/>
          </rPr>
          <t>123347|PINO F15 - CAIXA COM 5.000 PINOS|CX|67|7||</t>
        </r>
      </text>
    </comment>
    <comment ref="F465" authorId="0" shapeId="0" xr:uid="{3773F69E-9898-4D7F-A918-D863E790FC26}">
      <text>
        <r>
          <rPr>
            <sz val="9"/>
            <color indexed="81"/>
            <rFont val="Segoe UI"/>
            <family val="2"/>
          </rPr>
          <t>123348|PINO F20 - CAIXA COM 5.000 PINOS|CX|67|7||</t>
        </r>
      </text>
    </comment>
    <comment ref="F466" authorId="0" shapeId="0" xr:uid="{5C9E75F4-82BE-4D07-959A-C6FEC91ABA9B}">
      <text>
        <r>
          <rPr>
            <sz val="9"/>
            <color indexed="81"/>
            <rFont val="Segoe UI"/>
            <family val="2"/>
          </rPr>
          <t>123351|PINO F35 - CAIXA COM 5.000 PINOS|CX|67|7||</t>
        </r>
      </text>
    </comment>
    <comment ref="F467" authorId="0" shapeId="0" xr:uid="{1EC4D9A9-A386-490F-B83C-2F691D300635}">
      <text>
        <r>
          <rPr>
            <sz val="9"/>
            <color indexed="81"/>
            <rFont val="Segoe UI"/>
            <family val="2"/>
          </rPr>
          <t>123352|PINO F40 - CAIXA COM 5.000 PINOS|CX|67|7||</t>
        </r>
      </text>
    </comment>
    <comment ref="F468" authorId="0" shapeId="0" xr:uid="{066C4303-518F-4231-A74D-4166A49E5DFB}">
      <text>
        <r>
          <rPr>
            <sz val="9"/>
            <color indexed="81"/>
            <rFont val="Segoe UI"/>
            <family val="2"/>
          </rPr>
          <t>123353|PINO F45 - CAIXA COM 5.000 PINOS|CX|67|7||</t>
        </r>
      </text>
    </comment>
    <comment ref="F469" authorId="0" shapeId="0" xr:uid="{B1CBA6AD-5EB6-462E-AE0E-E2A2432F857C}">
      <text>
        <r>
          <rPr>
            <sz val="9"/>
            <color indexed="81"/>
            <rFont val="Segoe UI"/>
            <family val="2"/>
          </rPr>
          <t>123371|CABO DE COBRE FLEXIVEL BITOLA 120 MM2 , ISOLACAO 0,6/1 KV, COR PRETA - ANTICHAMA|M|55|19|140061|</t>
        </r>
      </text>
    </comment>
    <comment ref="F470" authorId="0" shapeId="0" xr:uid="{2E0355A6-9BA5-4BA4-A919-371CAA4B3223}">
      <text>
        <r>
          <rPr>
            <sz val="9"/>
            <color indexed="81"/>
            <rFont val="Segoe UI"/>
            <family val="2"/>
          </rPr>
          <t>123373|CABO DE COBRE FLEXIVEL BITOLA 95 MM2 , ISOLACAO 0,6/1 KV, COR PRETA - ANTICHAMA|M|55|19|140060|</t>
        </r>
      </text>
    </comment>
    <comment ref="F471" authorId="0" shapeId="0" xr:uid="{D7ADD4EF-7787-4292-9123-5AB656D4DE17}">
      <text>
        <r>
          <rPr>
            <sz val="9"/>
            <color indexed="81"/>
            <rFont val="Segoe UI"/>
            <family val="2"/>
          </rPr>
          <t>124241|ANEL DE VEDACAO EM BORRACHA PARA BACIA SANITARIA - MEDIDA 100MM|UN|61|10|138054|</t>
        </r>
      </text>
    </comment>
    <comment ref="F472" authorId="0" shapeId="0" xr:uid="{11C1BFE4-1EFF-4D32-8BE0-3D1DE1EA5127}">
      <text>
        <r>
          <rPr>
            <sz val="9"/>
            <color indexed="81"/>
            <rFont val="Segoe UI"/>
            <family val="2"/>
          </rPr>
          <t>124335|LUMINARIA HERMETICA, 02 LAMPADAS FLUORESCENTES TUBULARES DE 40 W, CORPO DE REFLETOR EM CHAPA DE ACO, TRATADA NA COR BRANCA, DIFUSOR MOLDADO EM FORMA DE "U" EM POLIESTIRENO PLANO MARTELADO, ALOJAMENTO PARA REATOR NO PROPRIO CORPO MEDIDAS: 75 X 204 X 1240 MM (VARIACAO DE +/- 20 MM)|PC|55|49|138547|</t>
        </r>
      </text>
    </comment>
    <comment ref="F473" authorId="0" shapeId="0" xr:uid="{38F5ED01-E8C6-4725-81D8-4CE17F288C13}">
      <text>
        <r>
          <rPr>
            <sz val="9"/>
            <color indexed="81"/>
            <rFont val="Segoe UI"/>
            <family val="2"/>
          </rPr>
          <t>124980|CABO DE COBRE FLEXIVEL, BITOLA 35,0MM2, 1KV,  ISOLACAO DE PVC 70ºC, COR AZUL CLARO- ANTI-CHAMA|M|55|19|140056|</t>
        </r>
      </text>
    </comment>
    <comment ref="F474" authorId="0" shapeId="0" xr:uid="{08749762-F4C7-4595-9A81-C1E77C253D15}">
      <text>
        <r>
          <rPr>
            <sz val="9"/>
            <color indexed="81"/>
            <rFont val="Segoe UI"/>
            <family val="2"/>
          </rPr>
          <t>125260|PISO DE BORRACHA MODELO S, COR : TERRACOTA NA MEDIDA: 270 X 180 X 60 MM.|M2|51|21||</t>
        </r>
      </text>
    </comment>
    <comment ref="F475" authorId="0" shapeId="0" xr:uid="{293F1445-BD80-4BA6-9DBA-ECD575A6AB67}">
      <text>
        <r>
          <rPr>
            <sz val="9"/>
            <color indexed="81"/>
            <rFont val="Segoe UI"/>
            <family val="2"/>
          </rPr>
          <t>125443|LAMPADA VAPOR METALICO, PADRAO HQI, 70 W - 220 V|UN|55|63||</t>
        </r>
      </text>
    </comment>
    <comment ref="F476" authorId="0" shapeId="0" xr:uid="{593FDC48-E938-481F-8466-8C8B0632DB09}">
      <text>
        <r>
          <rPr>
            <sz val="9"/>
            <color indexed="81"/>
            <rFont val="Segoe UI"/>
            <family val="2"/>
          </rPr>
          <t>125576|PNEU 700/12, 14 LONAS, PNEUMATICO - PARA EMPILHADEIRA|UN|84|7||</t>
        </r>
      </text>
    </comment>
    <comment ref="F477" authorId="0" shapeId="0" xr:uid="{A39E86ED-3F91-469A-8D84-2C5202451039}">
      <text>
        <r>
          <rPr>
            <sz val="9"/>
            <color indexed="81"/>
            <rFont val="Segoe UI"/>
            <family val="2"/>
          </rPr>
          <t>126076|LAMPADA FLUORESCENTE COMPACTA, BULBO 3U, POTENCIA 20 W, TENSAO DE TRABALHO 220V, 60 HZ, TEMPERATURA DE COR: 6400K (BRANCA LUZ DO DIA) , ROSCA E27, COM SELO PROCEL LETRA A, FATOR DE POTENCIA MINIMO 0,5  VIDA MEDIANA: 6000 HORAS. DIMENSOES: COMPRIMENTO MAXIMO -170 MM, DIAMETRO MAXIMO-50 MM.|UN|55|57||</t>
        </r>
      </text>
    </comment>
    <comment ref="F478" authorId="0" shapeId="0" xr:uid="{6BF58906-4C79-4961-9348-50C93F4DE74B}">
      <text>
        <r>
          <rPr>
            <sz val="9"/>
            <color indexed="81"/>
            <rFont val="Segoe UI"/>
            <family val="2"/>
          </rPr>
          <t>126078|TOMADA MODULAR 2P+T 20 A/250V NBR 14136 COM SUPORTE E PLACA 4X2" DE UM POSTO.|UN|55|37||</t>
        </r>
      </text>
    </comment>
    <comment ref="F479" authorId="0" shapeId="0" xr:uid="{9179008F-BE66-47F1-8C69-FFB7A5173811}">
      <text>
        <r>
          <rPr>
            <sz val="9"/>
            <color indexed="81"/>
            <rFont val="Segoe UI"/>
            <family val="2"/>
          </rPr>
          <t>126079|INTERRUPTOR MODULAR SIMPLES 10 A/250V COM SUPORTE E PLACA 4X2" DE UM POSTO.|UN|55|26||</t>
        </r>
      </text>
    </comment>
    <comment ref="F480" authorId="0" shapeId="0" xr:uid="{484FBA4F-09F2-4859-8383-56C87972F5CE}">
      <text>
        <r>
          <rPr>
            <sz val="9"/>
            <color indexed="81"/>
            <rFont val="Segoe UI"/>
            <family val="2"/>
          </rPr>
          <t>126080|INTERRUPTOR MODULAR PARALELO MONOPOLAR 10 A/250V COM SUPORTE E PLACA 4X2" DE UM POSTO.|UN|55|26||</t>
        </r>
      </text>
    </comment>
    <comment ref="F481" authorId="0" shapeId="0" xr:uid="{E158DA0C-F87C-4E74-91AE-ADD2DEC5C5EF}">
      <text>
        <r>
          <rPr>
            <sz val="9"/>
            <color indexed="81"/>
            <rFont val="Segoe UI"/>
            <family val="2"/>
          </rPr>
          <t>126081|INTERRUPTOR MODULAR PARALELO BIPOLAR 10 A/250V COM SUPORTE E PLACA 4X2" DE UM POSTO.|UN|55|26||</t>
        </r>
      </text>
    </comment>
    <comment ref="F482" authorId="0" shapeId="0" xr:uid="{ECF1E2D3-718B-422E-8CE5-A74AD842FD1E}">
      <text>
        <r>
          <rPr>
            <sz val="9"/>
            <color indexed="81"/>
            <rFont val="Segoe UI"/>
            <family val="2"/>
          </rPr>
          <t>126127|INTERRUPTOR MODULAR BIPOLAR 10A/250V COM SUPORTE E PLACA 4X2", COMPATIVEL COM A MARCA ILUS.|UN|55|26||</t>
        </r>
      </text>
    </comment>
    <comment ref="F483" authorId="0" shapeId="0" xr:uid="{FB4EEC19-952A-4F5E-91D9-C6C56A5CAE4F}">
      <text>
        <r>
          <rPr>
            <sz val="9"/>
            <color indexed="81"/>
            <rFont val="Segoe UI"/>
            <family val="2"/>
          </rPr>
          <t>126343|REVESTIMENTO CERAMICO PARA PISOS - 45 X 45 CM, NA COR PALHA.|M2|51|21||</t>
        </r>
      </text>
    </comment>
    <comment ref="F484" authorId="0" shapeId="0" xr:uid="{3AE0ABAA-3BD1-4A8B-B7A6-EFBAB48A20C7}">
      <text>
        <r>
          <rPr>
            <sz val="9"/>
            <color indexed="81"/>
            <rFont val="Segoe UI"/>
            <family val="2"/>
          </rPr>
          <t>126344|REVESTIMENTO CERAMICO PARA PISOS - 45 X 45 CM, NA COR MARFIM.|M2|51|21||</t>
        </r>
      </text>
    </comment>
    <comment ref="F485" authorId="0" shapeId="0" xr:uid="{287D20DC-CBB3-42B0-84EB-A5C1AC5CFBD1}">
      <text>
        <r>
          <rPr>
            <sz val="9"/>
            <color indexed="81"/>
            <rFont val="Segoe UI"/>
            <family val="2"/>
          </rPr>
          <t>127331|ALCOOL ETILICO HIDRATADO EM GEL 70° INPM - PARA USO DOMESTICO- FRASCO COM NO MINIMO 480 GR|FR|72|8||</t>
        </r>
      </text>
    </comment>
    <comment ref="F486" authorId="0" shapeId="0" xr:uid="{94B18B4E-5DA6-40D6-9C23-5371BF177581}">
      <text>
        <r>
          <rPr>
            <sz val="9"/>
            <color indexed="81"/>
            <rFont val="Segoe UI"/>
            <family val="2"/>
          </rPr>
          <t>127963|CAIXA PARA TELEFONIA TIPO TPF-10 COM TAMPA, PARA USO EXTERNO EM POSTE, COM BLOCO BER 10 PARES, PADRAO ANATEL.|PC|55|34||</t>
        </r>
      </text>
    </comment>
    <comment ref="F487" authorId="0" shapeId="0" xr:uid="{F929DB96-2199-4F74-A8FA-098E47B66C37}">
      <text>
        <r>
          <rPr>
            <sz val="9"/>
            <color indexed="81"/>
            <rFont val="Segoe UI"/>
            <family val="2"/>
          </rPr>
          <t>128301|PLACA CENTRAL PARA ALARMES ADEMCO VISTA 48 PLACA DE MONITORAMENTO LOCAL DO TIPO MICRO-PROCESSADA, COM NO MINIMO 08 PERIMETROS, CARREGADOR DE BATERIA, FORMATO DE COMUNICACAO CONTACT ID.|PC|55|62||</t>
        </r>
      </text>
    </comment>
    <comment ref="F488" authorId="0" shapeId="0" xr:uid="{1CCE7503-A0AD-4077-B8F3-0C68673D1142}">
      <text>
        <r>
          <rPr>
            <sz val="9"/>
            <color indexed="81"/>
            <rFont val="Segoe UI"/>
            <family val="2"/>
          </rPr>
          <t>128302|TECLADO PARA ALARMES- COMPATIBILIDADE COM PLACA CENTRAL DE ALARME ADEMCO VISTA 48, VISOR DE CRISTAL LIQUIDO ALFANUMERICO, TECLAS ILUMINADAS.|PC|54|16||</t>
        </r>
      </text>
    </comment>
    <comment ref="F489" authorId="0" shapeId="0" xr:uid="{2977A73A-979C-48FF-9029-DB99E9763C3A}">
      <text>
        <r>
          <rPr>
            <sz val="9"/>
            <color indexed="81"/>
            <rFont val="Segoe UI"/>
            <family val="2"/>
          </rPr>
          <t>128306|SIRENE- POTENCIA SONORA DE 120 DB, ALIMENTACAO 12V, SUPORTE PARA FIXACAO.|PC|54|16||</t>
        </r>
      </text>
    </comment>
    <comment ref="F490" authorId="0" shapeId="0" xr:uid="{3AD3965F-9C44-426C-B183-BD53D7D7B450}">
      <text>
        <r>
          <rPr>
            <sz val="9"/>
            <color indexed="81"/>
            <rFont val="Segoe UI"/>
            <family val="2"/>
          </rPr>
          <t>128307|BOTAO ALARME PANICO BLOQUEADOR|PC|54|16||</t>
        </r>
      </text>
    </comment>
    <comment ref="F491" authorId="0" shapeId="0" xr:uid="{E3533489-A395-4705-A53C-6DA9408A0F91}">
      <text>
        <r>
          <rPr>
            <sz val="9"/>
            <color indexed="81"/>
            <rFont val="Segoe UI"/>
            <family val="2"/>
          </rPr>
          <t>128308|SENSOR INFRAVERMELHO DUPLO|PC|56|1||</t>
        </r>
      </text>
    </comment>
    <comment ref="F492" authorId="0" shapeId="0" xr:uid="{A1C3C63B-BAF5-415B-9440-1BE2413F6499}">
      <text>
        <r>
          <rPr>
            <sz val="9"/>
            <color indexed="81"/>
            <rFont val="Segoe UI"/>
            <family val="2"/>
          </rPr>
          <t>128309|SENSOR PARA AMBIENTE EXTERNO - IMUNE A ANIMAIS DE ATE 30 KG, BLINDAGEM CONTRA EMI/RFI, DOIS PIRO SENSORES INFRAVERMELHO (DUPLO ELEMENTO), COBERTURA COM ANGULO 110º, ALCANCE &gt; 10M, COMPENSACAO AUTOMATICA DE TEMPERATURA, LED LIGADO/DESLIGADO SELECIONAVEL, CONSUMO DE 30 MA, COM 12 VDC.|PC|56|1||</t>
        </r>
      </text>
    </comment>
    <comment ref="F493" authorId="0" shapeId="0" xr:uid="{5C143275-7A3B-4378-85FD-0957BDB63D68}">
      <text>
        <r>
          <rPr>
            <sz val="9"/>
            <color indexed="81"/>
            <rFont val="Segoe UI"/>
            <family val="2"/>
          </rPr>
          <t>128389|PROTETOR REDE ELETRICA - PROTECAO CONTRA DESCARGAS ELETRICAS, COMPOSICAO VARISTORES E CENTELHADOR DE GAS, BORNE PARA CONEXAO FIO TERRA, BIVOLT, MONOFASICO 110V OU 220V.|PC|55|5||</t>
        </r>
      </text>
    </comment>
    <comment ref="F494" authorId="0" shapeId="0" xr:uid="{EE4A5B20-3B57-4E88-8C9A-B3C006795C32}">
      <text>
        <r>
          <rPr>
            <sz val="9"/>
            <color indexed="81"/>
            <rFont val="Segoe UI"/>
            <family val="2"/>
          </rPr>
          <t>128392|FITA DE BORDO EM PVC TEXTURIZADA, COR BRANCA, MEDIDAS 45 X 0,45MM, ROLO COM 300 METROS|RL|70|47||</t>
        </r>
      </text>
    </comment>
    <comment ref="F495" authorId="0" shapeId="0" xr:uid="{05118373-3A85-4EA2-9BFB-32F58BD8297C}">
      <text>
        <r>
          <rPr>
            <sz val="9"/>
            <color indexed="81"/>
            <rFont val="Segoe UI"/>
            <family val="2"/>
          </rPr>
          <t>128458|PROTETOR DE LINHA TELEFONICA|UN|54|16||</t>
        </r>
      </text>
    </comment>
    <comment ref="F496" authorId="0" shapeId="0" xr:uid="{543410A6-D097-43DB-B856-096F455AC32A}">
      <text>
        <r>
          <rPr>
            <sz val="9"/>
            <color indexed="81"/>
            <rFont val="Segoe UI"/>
            <family val="2"/>
          </rPr>
          <t>128817|TAMPA CEGA DE ALUMINIO PARA CONDULETE DE 1.1/2"|UN|55|32||</t>
        </r>
      </text>
    </comment>
    <comment ref="F497" authorId="0" shapeId="0" xr:uid="{F55B5816-66CC-4099-AE00-7E2C99BCC447}">
      <text>
        <r>
          <rPr>
            <sz val="9"/>
            <color indexed="81"/>
            <rFont val="Segoe UI"/>
            <family val="2"/>
          </rPr>
          <t>128832|PNEU 28 X 9 - 15 (7,0) MACICO PARA EMPILHADEIRA|UN|84|5||</t>
        </r>
      </text>
    </comment>
    <comment ref="F498" authorId="0" shapeId="0" xr:uid="{04356D55-9BD4-4047-B8FC-F05C7489A343}">
      <text>
        <r>
          <rPr>
            <sz val="9"/>
            <color indexed="81"/>
            <rFont val="Segoe UI"/>
            <family val="2"/>
          </rPr>
          <t>129959|CABO DE COBRE FLEXIVEL BITOLA 120MM², 750 V, ISOLACAO DE PVC - 70°C - COR VERDE|M|55|19|140047|</t>
        </r>
      </text>
    </comment>
    <comment ref="F499" authorId="0" shapeId="0" xr:uid="{783B4B84-CD1B-4C88-9E3A-174F4ADC068F}">
      <text>
        <r>
          <rPr>
            <sz val="9"/>
            <color indexed="81"/>
            <rFont val="Segoe UI"/>
            <family val="2"/>
          </rPr>
          <t>129979|CONECTOR CABO-HASTE 5/8"|UN|61|8||</t>
        </r>
      </text>
    </comment>
    <comment ref="F500" authorId="0" shapeId="0" xr:uid="{9CE1DF71-EBE8-4FD5-AD3E-CEBB836FC825}">
      <text>
        <r>
          <rPr>
            <sz val="9"/>
            <color indexed="81"/>
            <rFont val="Segoe UI"/>
            <family val="2"/>
          </rPr>
          <t>130157|CABO PARA ALARME (4 VIAS AWG24) - METROS DE CABO COM QUATRO VIAS DE CORES COM NO MINIMO 4X0,50 MM DE DIAMETRO POR FIO (AWG24) SOLIDO.|M|56|9||</t>
        </r>
      </text>
    </comment>
    <comment ref="F501" authorId="0" shapeId="0" xr:uid="{22B6861B-7C46-4450-9544-2F19C1D61220}">
      <text>
        <r>
          <rPr>
            <sz val="9"/>
            <color indexed="81"/>
            <rFont val="Segoe UI"/>
            <family val="2"/>
          </rPr>
          <t>130564|CAPA DE CHUVA NA COR AMARELA, CONFECCIONADA EM PVC LAMINADO COM FORRO DE POLIESTER - TAM. G|UN|54|4||</t>
        </r>
      </text>
    </comment>
    <comment ref="F502" authorId="0" shapeId="0" xr:uid="{174892DD-9CC7-415B-AFF4-99D626C2DE99}">
      <text>
        <r>
          <rPr>
            <sz val="9"/>
            <color indexed="81"/>
            <rFont val="Segoe UI"/>
            <family val="2"/>
          </rPr>
          <t>130614|OLEO LUBRIFICANTE PARA MOTORES 2 TEMPOS, PROPORCAO DE MISTURA DE NO MINIMO 1:50, FRASCO COM 500 ML. DEVERA ESTAR GRAVADO NA EMBALAGEM A PROPORCAO DE DILUICAO DO PRODUTO|FR|75|5||</t>
        </r>
      </text>
    </comment>
    <comment ref="F503" authorId="0" shapeId="0" xr:uid="{6B873530-50FD-438E-BD88-7EA61DD6CE10}">
      <text>
        <r>
          <rPr>
            <sz val="9"/>
            <color indexed="81"/>
            <rFont val="Segoe UI"/>
            <family val="2"/>
          </rPr>
          <t>130740|RESPIRADOR PURIFICADOR DE AR TIPO PECA SEMIFACIAL FILTRANTE PARA PARTICULAS - PFF2, FORMATO TIPO CONCHA|PC|54|4||</t>
        </r>
      </text>
    </comment>
    <comment ref="F504" authorId="0" shapeId="0" xr:uid="{260FB7FD-6C82-443D-93FE-89E7A2E8926A}">
      <text>
        <r>
          <rPr>
            <sz val="9"/>
            <color indexed="81"/>
            <rFont val="Segoe UI"/>
            <family val="2"/>
          </rPr>
          <t>131195|TUBO DE FERRO METALON REDONDO, DIAMETRO EXTERNO 21 MM, ESPESSURA DE 2 MM - BARRA C/ 6 M|BR|61|3||</t>
        </r>
      </text>
    </comment>
    <comment ref="F505" authorId="0" shapeId="0" xr:uid="{B841ABE2-F16E-4EC9-804C-75CFD703DCE8}">
      <text>
        <r>
          <rPr>
            <sz val="9"/>
            <color indexed="81"/>
            <rFont val="Segoe UI"/>
            <family val="2"/>
          </rPr>
          <t>131221|CHAPA DE POLICARBONATO COMPACTO CRISTAL, ESPESSURA DE 5 MM, TAMANHO: 2000 X 1000 MM - VARIACAO DE +/- 20 MM|CH|59|35||</t>
        </r>
      </text>
    </comment>
    <comment ref="F506" authorId="0" shapeId="0" xr:uid="{FC9C248D-126D-4F46-BB6B-39D3646829EF}">
      <text>
        <r>
          <rPr>
            <sz val="9"/>
            <color indexed="81"/>
            <rFont val="Segoe UI"/>
            <family val="2"/>
          </rPr>
          <t>131579|OCULOS DE PROTECAO CONTRA IMPACTOS|UN|54|4||</t>
        </r>
      </text>
    </comment>
    <comment ref="F507" authorId="0" shapeId="0" xr:uid="{CCECED52-E0E6-4050-9628-219BD64D4C41}">
      <text>
        <r>
          <rPr>
            <sz val="9"/>
            <color indexed="81"/>
            <rFont val="Segoe UI"/>
            <family val="2"/>
          </rPr>
          <t>131931|GIZAO DE CERA REDONDO, ATOXICO, COM 6 CORES|UN|45|9|132299|</t>
        </r>
      </text>
    </comment>
    <comment ref="F508" authorId="0" shapeId="0" xr:uid="{AFCE481E-1B9D-4665-A743-3DE3333C5637}">
      <text>
        <r>
          <rPr>
            <sz val="9"/>
            <color indexed="81"/>
            <rFont val="Segoe UI"/>
            <family val="2"/>
          </rPr>
          <t>131933|PASTA PLASTICA COM ELASTICO, SEM LOMBADA, MEDINDO 235MM X 350MM|UN|45|9|138465|</t>
        </r>
      </text>
    </comment>
    <comment ref="F509" authorId="0" shapeId="0" xr:uid="{B292E061-9A40-4A23-AC5D-093BBFB6BDAB}">
      <text>
        <r>
          <rPr>
            <sz val="9"/>
            <color indexed="81"/>
            <rFont val="Segoe UI"/>
            <family val="2"/>
          </rPr>
          <t>131938|PINCEL PARA PINTURA, CABO EM MADEIRA CURTO, FORMATO CHATO, CERDA BRANCA, TAMANHO 12.|UN|45|9|139141|</t>
        </r>
      </text>
    </comment>
    <comment ref="F510" authorId="0" shapeId="0" xr:uid="{E28A369B-91C2-46C5-A352-B184C0476A4D}">
      <text>
        <r>
          <rPr>
            <sz val="9"/>
            <color indexed="81"/>
            <rFont val="Segoe UI"/>
            <family val="2"/>
          </rPr>
          <t>131939|PINCEL PARA PINTURA, CABO EM MADEIRA CURTO, FORMATO CHATO, CERDA BRANCA, TAMANHO 16.|UN|45|9|139142|</t>
        </r>
      </text>
    </comment>
    <comment ref="F511" authorId="0" shapeId="0" xr:uid="{288BED20-2BF6-4519-902D-D203E2CA0BC3}">
      <text>
        <r>
          <rPr>
            <sz val="9"/>
            <color indexed="81"/>
            <rFont val="Segoe UI"/>
            <family val="2"/>
          </rPr>
          <t>131940|PINCEL PARA PINTURA, CABO EM MADEIRA LONGO, FORMATO CHATO, CERDA BRANCA, TAMANHO 24.|UN|45|9|139144|</t>
        </r>
      </text>
    </comment>
    <comment ref="F512" authorId="0" shapeId="0" xr:uid="{7D21E951-331E-4916-B15F-560321A23C3A}">
      <text>
        <r>
          <rPr>
            <sz val="9"/>
            <color indexed="81"/>
            <rFont val="Segoe UI"/>
            <family val="2"/>
          </rPr>
          <t>131942|MINIDICIONÁRIO||||135701|</t>
        </r>
      </text>
    </comment>
    <comment ref="F513" authorId="0" shapeId="0" xr:uid="{2061F266-AAB7-4C35-9B31-BAD4EA45BBA6}">
      <text>
        <r>
          <rPr>
            <sz val="9"/>
            <color indexed="81"/>
            <rFont val="Segoe UI"/>
            <family val="2"/>
          </rPr>
          <t>132230|CABO DE COBRE FLEXIVEL, BITOLA 50MM2, 750 V, ISOLACAO DE PVC 70° C, COR VERDE - ANTI-CHAMA|M|55|19|140126|</t>
        </r>
      </text>
    </comment>
    <comment ref="F514" authorId="0" shapeId="0" xr:uid="{EE5A8BD3-1F0F-4C26-B35B-572BCFA10DAA}">
      <text>
        <r>
          <rPr>
            <sz val="9"/>
            <color indexed="81"/>
            <rFont val="Segoe UI"/>
            <family val="2"/>
          </rPr>
          <t>132231|CABO DE COBRE FLEXIVEL BITOLA 25 MM², 0,6/1 KV ISOLACAO DE PVC 70° C, ANTICHAMA, COR AZUL-CLARO   ** NAO UTILIZAR - VIDE COD. 140242 **|M|55|19|140242|</t>
        </r>
      </text>
    </comment>
    <comment ref="F515" authorId="0" shapeId="0" xr:uid="{778BDC1C-CC09-4774-869F-144B65CD4812}">
      <text>
        <r>
          <rPr>
            <sz val="9"/>
            <color indexed="81"/>
            <rFont val="Segoe UI"/>
            <family val="2"/>
          </rPr>
          <t>132305|PINCEL PARA PINTURA, CABO EM MADEIRA CURTO, FORMATO CHATO, CERDA BRANCA, TAMANHO 20|UN|45|9|139143|</t>
        </r>
      </text>
    </comment>
    <comment ref="F516" authorId="0" shapeId="0" xr:uid="{E5AA2A54-CD80-4F46-ABA7-F109FCC7A414}">
      <text>
        <r>
          <rPr>
            <sz val="9"/>
            <color indexed="81"/>
            <rFont val="Segoe UI"/>
            <family val="2"/>
          </rPr>
          <t>132447|REVESTIMENTO CERAMICO PARA PISOS - 45 X 45 CM, PODENDO VARIAR +/- 2 CM,  4 MM DE ESPESSURA, PODENDO VARIAR +/- 1 MM,  DE PEI 4 - NA COR BRANCA.|M2|51|21||</t>
        </r>
      </text>
    </comment>
    <comment ref="F517" authorId="0" shapeId="0" xr:uid="{589DA10A-53BA-4B53-9534-53D509278491}">
      <text>
        <r>
          <rPr>
            <sz val="9"/>
            <color indexed="81"/>
            <rFont val="Segoe UI"/>
            <family val="2"/>
          </rPr>
          <t>132612|LAMPADA LED BULBO 10W - LAMPADA LED BULBO, BASE E27, POTENCIA 10W, TENSAO 100-240V|UN|55|66|136895|</t>
        </r>
      </text>
    </comment>
    <comment ref="F518" authorId="0" shapeId="0" xr:uid="{BA8221DD-8351-4729-9A37-C9EEA4E2CB66}">
      <text>
        <r>
          <rPr>
            <sz val="9"/>
            <color indexed="81"/>
            <rFont val="Segoe UI"/>
            <family val="2"/>
          </rPr>
          <t>132613|LAMPADA LED BULBO 20W - LAMPADA LED BULBO, BASE E27, POTENCIA 20W, TENSAO 100-240V|UN|55|66|136896|</t>
        </r>
      </text>
    </comment>
    <comment ref="F519" authorId="0" shapeId="0" xr:uid="{FBEF5B26-306D-4899-AA76-7FCFA775EF90}">
      <text>
        <r>
          <rPr>
            <sz val="9"/>
            <color indexed="81"/>
            <rFont val="Segoe UI"/>
            <family val="2"/>
          </rPr>
          <t>132713|ESTICADOR EM FERRO GALVANIZADO PARA CABO DE ACO DE ATE 5/16"|PC|80|12||</t>
        </r>
      </text>
    </comment>
    <comment ref="F520" authorId="0" shapeId="0" xr:uid="{6DCEA01A-ADEA-43FD-8F2D-F01149A4F871}">
      <text>
        <r>
          <rPr>
            <sz val="9"/>
            <color indexed="81"/>
            <rFont val="Segoe UI"/>
            <family val="2"/>
          </rPr>
          <t>132714|CUMEEIRA ARTICULADA FIBRA SINTETICA CRFS, 1,10 X 06 MM - SUPERIOR|PC|51|17||</t>
        </r>
      </text>
    </comment>
    <comment ref="F521" authorId="0" shapeId="0" xr:uid="{DC95602F-9989-45AA-AB95-8BEE9A3332AC}">
      <text>
        <r>
          <rPr>
            <sz val="9"/>
            <color indexed="81"/>
            <rFont val="Segoe UI"/>
            <family val="2"/>
          </rPr>
          <t>132715|CUMEEIRA ARTICULADA FIBRA SINTETICA CRFS, 1,10 X 06 MM - INFERIOR|PC|51|17||</t>
        </r>
      </text>
    </comment>
    <comment ref="F522" authorId="0" shapeId="0" xr:uid="{6F8E7F4F-8068-4559-A9A8-C8FD16604DD3}">
      <text>
        <r>
          <rPr>
            <sz val="9"/>
            <color indexed="81"/>
            <rFont val="Segoe UI"/>
            <family val="2"/>
          </rPr>
          <t>132769|ADESIVO SELANTE PARA VEDACAO/CALAFETACAO  DE CALHAS RUFOS E AFINS,  A BASE DE POLIURETANO - TUBO DE 350 A 400 GRAMAS|TB|51|33|140326|</t>
        </r>
      </text>
    </comment>
    <comment ref="F523" authorId="0" shapeId="0" xr:uid="{9329DE36-7284-4B2A-8EE6-EE0634A994D1}">
      <text>
        <r>
          <rPr>
            <sz val="9"/>
            <color indexed="81"/>
            <rFont val="Segoe UI"/>
            <family val="2"/>
          </rPr>
          <t>133042|TELHA TRAPEZOIDAL 5000MM COMPRIMENTO X 1056MM LARGURA X 38 MM ALTURA|UN|51|17||</t>
        </r>
      </text>
    </comment>
    <comment ref="F524" authorId="0" shapeId="0" xr:uid="{572E8975-CD0E-40F0-A689-2D8413682355}">
      <text>
        <r>
          <rPr>
            <sz val="9"/>
            <color indexed="81"/>
            <rFont val="Segoe UI"/>
            <family val="2"/>
          </rPr>
          <t>133043|CUMEEIRA PARA TELHA TRAPEZOIDAL, MODELO L38|UN|51|17||</t>
        </r>
      </text>
    </comment>
    <comment ref="F525" authorId="0" shapeId="0" xr:uid="{D6B1D98C-F864-4266-90BD-B1BD3F3EA41D}">
      <text>
        <r>
          <rPr>
            <sz val="9"/>
            <color indexed="81"/>
            <rFont val="Segoe UI"/>
            <family val="2"/>
          </rPr>
          <t>133452|PAPEL MANILHA EM BOBINA, COR ROSA - 60 CM X 250 M (VARIACAO: DE +/- 5 CM NA LARGURA E 10 M NO COMPRIMENTO), 55G/M2 (+/- 05G) - BOBINA COM PESO MINIMO DE 8 KG|BB|57|15||</t>
        </r>
      </text>
    </comment>
    <comment ref="F526" authorId="0" shapeId="0" xr:uid="{03915043-1F2C-4C68-863D-E5E2FE0C0C8F}">
      <text>
        <r>
          <rPr>
            <sz val="9"/>
            <color indexed="81"/>
            <rFont val="Segoe UI"/>
            <family val="2"/>
          </rPr>
          <t>133777|APONTADOR PARA LÁPIS Nº 2||||135699|</t>
        </r>
      </text>
    </comment>
    <comment ref="F527" authorId="0" shapeId="0" xr:uid="{FF85A587-997C-4938-84BA-CBF1E4CF970E}">
      <text>
        <r>
          <rPr>
            <sz val="9"/>
            <color indexed="81"/>
            <rFont val="Segoe UI"/>
            <family val="2"/>
          </rPr>
          <t>133778|BORRACHA BRANCA COMUM (SEM CINTA), MEDIDA: 40MM X 30MM X 10MM.|UN|45|9|138451|</t>
        </r>
      </text>
    </comment>
    <comment ref="F528" authorId="0" shapeId="0" xr:uid="{3F820E6B-EAFF-43BD-9786-F9A8D7BA00EC}">
      <text>
        <r>
          <rPr>
            <sz val="9"/>
            <color indexed="81"/>
            <rFont val="Segoe UI"/>
            <family val="2"/>
          </rPr>
          <t>133779|CADERNO BROCHURA, 96 FOLHAS, CAPA DURA.|UN|45|11|138453|</t>
        </r>
      </text>
    </comment>
    <comment ref="F529" authorId="0" shapeId="0" xr:uid="{5E1BDF8F-B61B-4BFB-89C6-732828FEAE7E}">
      <text>
        <r>
          <rPr>
            <sz val="9"/>
            <color indexed="81"/>
            <rFont val="Segoe UI"/>
            <family val="2"/>
          </rPr>
          <t>133781|CADERNO ESPIRAL CAPA DURA 1/4 96 FLS, CAPA DURA.|UN|45|11|138456|</t>
        </r>
      </text>
    </comment>
    <comment ref="F530" authorId="0" shapeId="0" xr:uid="{661283C7-085F-4BB1-89B0-CF4AF6789D45}">
      <text>
        <r>
          <rPr>
            <sz val="9"/>
            <color indexed="81"/>
            <rFont val="Segoe UI"/>
            <family val="2"/>
          </rPr>
          <t>133782|CADERNO ESPIRAL UNIVERSITARIO, 200 FOLHAS, CAPA DURA.|UN|45|11|138457|</t>
        </r>
      </text>
    </comment>
    <comment ref="F531" authorId="0" shapeId="0" xr:uid="{695B3D0D-7CF4-4313-89C7-901949AD9481}">
      <text>
        <r>
          <rPr>
            <sz val="9"/>
            <color indexed="81"/>
            <rFont val="Segoe UI"/>
            <family val="2"/>
          </rPr>
          <t>133783|CADERNO ESPIRAL UNIVERSITARIO, 96 FOLHAS, CAPA DURA.|UN|45|11|138458|</t>
        </r>
      </text>
    </comment>
    <comment ref="F532" authorId="0" shapeId="0" xr:uid="{A3824002-5D26-424E-9FB3-0CFC2E21749A}">
      <text>
        <r>
          <rPr>
            <sz val="9"/>
            <color indexed="81"/>
            <rFont val="Segoe UI"/>
            <family val="2"/>
          </rPr>
          <t>133787|COLA BRANCA 90G||||136408|</t>
        </r>
      </text>
    </comment>
    <comment ref="F533" authorId="0" shapeId="0" xr:uid="{704B8E7A-D1FC-48C6-8997-705624328661}">
      <text>
        <r>
          <rPr>
            <sz val="9"/>
            <color indexed="81"/>
            <rFont val="Segoe UI"/>
            <family val="2"/>
          </rPr>
          <t>133793|REGUA DE 30CM EM POLIESTIRENO. COR: TRANSPARENTE, CRISTAL.|UN|45|9|135703|</t>
        </r>
      </text>
    </comment>
    <comment ref="F534" authorId="0" shapeId="0" xr:uid="{06C98442-5039-4AE5-95AC-D40904CB8BE4}">
      <text>
        <r>
          <rPr>
            <sz val="9"/>
            <color indexed="81"/>
            <rFont val="Segoe UI"/>
            <family val="2"/>
          </rPr>
          <t>133794|TESOURA ESCOLAR||||135704|</t>
        </r>
      </text>
    </comment>
    <comment ref="F535" authorId="0" shapeId="0" xr:uid="{8257664B-DF65-4400-8DE9-CC1DEA134249}">
      <text>
        <r>
          <rPr>
            <sz val="9"/>
            <color indexed="81"/>
            <rFont val="Segoe UI"/>
            <family val="2"/>
          </rPr>
          <t>133812|REATOR ELETROMAGNETICO DE ALTA PRESSAO PARA LAMPADA A VAPOR DE SODIO E METALICA, 250W, 220V/60HZ, USO INTERNO|UN|55|55||</t>
        </r>
      </text>
    </comment>
    <comment ref="F536" authorId="0" shapeId="0" xr:uid="{E2762287-27FA-47A2-A571-412E02CC4AFE}">
      <text>
        <r>
          <rPr>
            <sz val="9"/>
            <color indexed="81"/>
            <rFont val="Segoe UI"/>
            <family val="2"/>
          </rPr>
          <t>133813|REATOR ELETROMAGNETICO DE ALTA PRESSAO PARA LAMPADA A VAPOR DE SODIO E METALICA, 400W, 220V/60HZ|UN|55|55||</t>
        </r>
      </text>
    </comment>
    <comment ref="F537" authorId="0" shapeId="0" xr:uid="{C3F89D03-16A4-4DF4-994C-43079DAA971E}">
      <text>
        <r>
          <rPr>
            <sz val="9"/>
            <color indexed="81"/>
            <rFont val="Segoe UI"/>
            <family val="2"/>
          </rPr>
          <t>133851|PAPEL KRAFT (PAPEL PARDO) EM BOBINA - 60 CM X 150 M|BB|57|2|136941|</t>
        </r>
      </text>
    </comment>
    <comment ref="F538" authorId="0" shapeId="0" xr:uid="{9AB41BC8-D1AF-4BF8-9202-90E19895066B}">
      <text>
        <r>
          <rPr>
            <sz val="9"/>
            <color indexed="81"/>
            <rFont val="Segoe UI"/>
            <family val="2"/>
          </rPr>
          <t>133950|CADERNO DE DESENHO ESPIRAL, 96 FOLHAS, CAPA DURA.|UN|45|11|138454|</t>
        </r>
      </text>
    </comment>
    <comment ref="F539" authorId="0" shapeId="0" xr:uid="{B5001A2E-BC08-4BB4-9CF6-4189900231F4}">
      <text>
        <r>
          <rPr>
            <sz val="9"/>
            <color indexed="81"/>
            <rFont val="Segoe UI"/>
            <family val="2"/>
          </rPr>
          <t>133953|CANETA HIDROGRAFICA PONTA FINA/MEDIA, CONJUNTO COM 12  CORES|CJ|45|9|138461|</t>
        </r>
      </text>
    </comment>
    <comment ref="F540" authorId="0" shapeId="0" xr:uid="{BCAD4399-8A87-4DA5-9D68-49F6A3615605}">
      <text>
        <r>
          <rPr>
            <sz val="9"/>
            <color indexed="81"/>
            <rFont val="Segoe UI"/>
            <family val="2"/>
          </rPr>
          <t>133954|GIZ DE CERA JUMBO, COM NO MINIMO 12 CORES, ATOXICO.|CX|45|16|138462|</t>
        </r>
      </text>
    </comment>
    <comment ref="F541" authorId="0" shapeId="0" xr:uid="{9C20D794-29F5-4B95-9753-9EC08752304B}">
      <text>
        <r>
          <rPr>
            <sz val="9"/>
            <color indexed="81"/>
            <rFont val="Segoe UI"/>
            <family val="2"/>
          </rPr>
          <t>133955|LAPIS DE COR, SEXTAVADO, COM 24 CORES|CX|45|9|138463|</t>
        </r>
      </text>
    </comment>
    <comment ref="F542" authorId="0" shapeId="0" xr:uid="{2BB723B2-8AF1-4432-98CE-84F5D21D4B2E}">
      <text>
        <r>
          <rPr>
            <sz val="9"/>
            <color indexed="81"/>
            <rFont val="Segoe UI"/>
            <family val="2"/>
          </rPr>
          <t>133956|CANETA ESFEROGRAFICA AZUL, CORPO SEXTAVADO.|UN|45|10|138459|</t>
        </r>
      </text>
    </comment>
    <comment ref="F543" authorId="0" shapeId="0" xr:uid="{1A21701F-D527-441E-ADD5-ECB9D67D96E1}">
      <text>
        <r>
          <rPr>
            <sz val="9"/>
            <color indexed="81"/>
            <rFont val="Segoe UI"/>
            <family val="2"/>
          </rPr>
          <t>133957|CANETA ESFEROGRAFICA VERMELHA, CORPO SEXTAVADO.|UN|45|10|138460|</t>
        </r>
      </text>
    </comment>
    <comment ref="F544" authorId="0" shapeId="0" xr:uid="{D7B256B6-5BAE-4656-8A54-BC13B4E787F1}">
      <text>
        <r>
          <rPr>
            <sz val="9"/>
            <color indexed="81"/>
            <rFont val="Segoe UI"/>
            <family val="2"/>
          </rPr>
          <t>134045|DUCHA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MESES|UN|61|16|141430|</t>
        </r>
      </text>
    </comment>
    <comment ref="F545" authorId="0" shapeId="0" xr:uid="{818CA10E-EF48-49C0-BC1A-98240C544256}">
      <text>
        <r>
          <rPr>
            <sz val="9"/>
            <color indexed="81"/>
            <rFont val="Segoe UI"/>
            <family val="2"/>
          </rPr>
          <t>134542|PORCELANATO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A)|M2|51|21|139957|</t>
        </r>
      </text>
    </comment>
    <comment ref="F546" authorId="0" shapeId="0" xr:uid="{286EBEAE-36D7-4B46-A9F0-9B17CB478459}">
      <text>
        <r>
          <rPr>
            <sz val="9"/>
            <color indexed="81"/>
            <rFont val="Segoe UI"/>
            <family val="2"/>
          </rPr>
          <t>134543|PORCELANATO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A)|M2|51|21|139958|</t>
        </r>
      </text>
    </comment>
    <comment ref="F547" authorId="0" shapeId="0" xr:uid="{A1D00A9E-6F30-4207-A362-31EBBBF19E15}">
      <text>
        <r>
          <rPr>
            <sz val="9"/>
            <color indexed="81"/>
            <rFont val="Segoe UI"/>
            <family val="2"/>
          </rPr>
          <t>135012|CALCADO DE SEGURANCA, TIPO BOTINA - Nº 38|PR|54|4||</t>
        </r>
      </text>
    </comment>
    <comment ref="F548" authorId="0" shapeId="0" xr:uid="{2690BF15-7B82-4992-BB7C-08A441E01CC4}">
      <text>
        <r>
          <rPr>
            <sz val="9"/>
            <color indexed="81"/>
            <rFont val="Segoe UI"/>
            <family val="2"/>
          </rPr>
          <t>135016|CALCADO DE SEGURANCA, TIPO BOTINA - Nº 42|PR|54|4||</t>
        </r>
      </text>
    </comment>
    <comment ref="F549" authorId="0" shapeId="0" xr:uid="{FFCD161B-08D8-4ADB-9F2C-00CE90CC21BA}">
      <text>
        <r>
          <rPr>
            <sz val="9"/>
            <color indexed="81"/>
            <rFont val="Segoe UI"/>
            <family val="2"/>
          </rPr>
          <t>135023|OCULOS CONTRA IMPACTOS DE SOBREPOSICAO|UN|54|4||</t>
        </r>
      </text>
    </comment>
    <comment ref="F550" authorId="0" shapeId="0" xr:uid="{FDD5AB87-6743-471C-B32B-2B4ED002249C}">
      <text>
        <r>
          <rPr>
            <sz val="9"/>
            <color indexed="81"/>
            <rFont val="Segoe UI"/>
            <family val="2"/>
          </rPr>
          <t>135224|TINTA ESMALTE SINTETICO BRILHANTE, PADRAO PREMIUM, COR AZUL ROYAL, GALAO COM 3.600 ML.|GL|76|3|141680|</t>
        </r>
      </text>
    </comment>
    <comment ref="F551" authorId="0" shapeId="0" xr:uid="{18BB484C-1C74-4A3C-912C-FFA2C1E9F5B9}">
      <text>
        <r>
          <rPr>
            <sz val="9"/>
            <color indexed="81"/>
            <rFont val="Segoe UI"/>
            <family val="2"/>
          </rPr>
          <t>135225|TINTA LATEX ACRILICA SEMIBRILHO, PADRAO PREMIUM, COR AMARELO MELAO MADURO OU SIMILAR, LATA COM 18 LITROS.|LT|76|10|141786|</t>
        </r>
      </text>
    </comment>
    <comment ref="F552" authorId="0" shapeId="0" xr:uid="{FACD512F-B0CB-4062-AF08-BA39E7327EB5}">
      <text>
        <r>
          <rPr>
            <sz val="9"/>
            <color indexed="81"/>
            <rFont val="Segoe UI"/>
            <family val="2"/>
          </rPr>
          <t>135226|TINTA LATEX ACRILICA SEMIBRILHO, PADRAO PREMIUM, COR AZUL BIONICO OU SIMILAR, LATA COM 18 LITROS.|LT|76|10|141787|</t>
        </r>
      </text>
    </comment>
    <comment ref="F553" authorId="0" shapeId="0" xr:uid="{A3EADD85-6266-490A-8290-0B381BB1DEB4}">
      <text>
        <r>
          <rPr>
            <sz val="9"/>
            <color indexed="81"/>
            <rFont val="Segoe UI"/>
            <family val="2"/>
          </rPr>
          <t>135227|TINTA LATEX ACRILICA SEMIBRILHO, PADRAO PREMIUM, COR BRANCO, LATA COM 18 LITROS.|LT|76|10|141615|</t>
        </r>
      </text>
    </comment>
    <comment ref="F554" authorId="0" shapeId="0" xr:uid="{4E26DF3E-ED9D-4496-87F7-083D9E209A0A}">
      <text>
        <r>
          <rPr>
            <sz val="9"/>
            <color indexed="81"/>
            <rFont val="Segoe UI"/>
            <family val="2"/>
          </rPr>
          <t>135238|TINTA ESMALTE SINTETICO BRILHANTE, PADRAO PREMIUM, COR BRANCA, GALAO COM 3.600 ML.|GL|76|3|141268|</t>
        </r>
      </text>
    </comment>
    <comment ref="F555" authorId="0" shapeId="0" xr:uid="{E47D8067-DAD2-4F25-A7DD-42CA7EC1B6B5}">
      <text>
        <r>
          <rPr>
            <sz val="9"/>
            <color indexed="81"/>
            <rFont val="Segoe UI"/>
            <family val="2"/>
          </rPr>
          <t>135239|TINTA ESMALTE SINTETICO BRILHANTE, PADRAO PREMIUM, COR AZUL DEL REY, GALAO COM 3.600 ML.|GL|76|3||</t>
        </r>
      </text>
    </comment>
    <comment ref="F556" authorId="0" shapeId="0" xr:uid="{2D80328F-EC13-4546-9546-F698B3BC19EB}">
      <text>
        <r>
          <rPr>
            <sz val="9"/>
            <color indexed="81"/>
            <rFont val="Segoe UI"/>
            <family val="2"/>
          </rPr>
          <t>135699|APONTADOR PARA LAPIS Nº 02, COM DEPOSITO.|UN|45|9|138450|</t>
        </r>
      </text>
    </comment>
    <comment ref="F557" authorId="0" shapeId="0" xr:uid="{218549B9-3798-4899-BAA3-52831F2CB52C}">
      <text>
        <r>
          <rPr>
            <sz val="9"/>
            <color indexed="81"/>
            <rFont val="Segoe UI"/>
            <family val="2"/>
          </rPr>
          <t>135700|LAPIS GRAFITE Nº 2, SEXTAVADO, CORPO FEITO EM MADEIRA.|UN|45|9|138464|</t>
        </r>
      </text>
    </comment>
    <comment ref="F558" authorId="0" shapeId="0" xr:uid="{BE2E58E0-86B4-4EBF-BB69-8551E08AFD4D}">
      <text>
        <r>
          <rPr>
            <sz val="9"/>
            <color indexed="81"/>
            <rFont val="Segoe UI"/>
            <family val="2"/>
          </rPr>
          <t>135704|TESOURA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INMETRO.|UN|45|12|138471|</t>
        </r>
      </text>
    </comment>
    <comment ref="F559" authorId="0" shapeId="0" xr:uid="{4C5F3942-75F8-4AFB-9576-7E2F1B290058}">
      <text>
        <r>
          <rPr>
            <sz val="9"/>
            <color indexed="81"/>
            <rFont val="Segoe UI"/>
            <family val="2"/>
          </rPr>
          <t>135734|LAMPADA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PROCEL|UN|55|66|135088|</t>
        </r>
      </text>
    </comment>
    <comment ref="F560" authorId="0" shapeId="0" xr:uid="{46CF7D94-177A-4F91-AB25-CACFF39DFC35}">
      <text>
        <r>
          <rPr>
            <sz val="9"/>
            <color indexed="81"/>
            <rFont val="Segoe UI"/>
            <family val="2"/>
          </rPr>
          <t>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EMBALAGEM.|GL|76|3|141679|</t>
        </r>
      </text>
    </comment>
    <comment ref="F561" authorId="0" shapeId="0" xr:uid="{E689BE18-C529-45A5-81F0-F4859FB1CC9F}">
      <text>
        <r>
          <rPr>
            <sz val="9"/>
            <color indexed="81"/>
            <rFont val="Segoe UI"/>
            <family val="2"/>
          </rPr>
          <t>136038|TINTA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EMBALAGEM.|GL|76|3|141265|</t>
        </r>
      </text>
    </comment>
    <comment ref="F562" authorId="0" shapeId="0" xr:uid="{73CD6967-979B-4FBA-A135-A42E9D8C05EF}">
      <text>
        <r>
          <rPr>
            <sz val="9"/>
            <color indexed="81"/>
            <rFont val="Segoe UI"/>
            <family val="2"/>
          </rPr>
          <t>136039|TINTA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EMBALAGEM.|GL|76|3|141681|</t>
        </r>
      </text>
    </comment>
    <comment ref="F563" authorId="0" shapeId="0" xr:uid="{E4AC7E7B-3DCD-4F75-9A44-05ADF582DCF0}">
      <text>
        <r>
          <rPr>
            <sz val="9"/>
            <color indexed="81"/>
            <rFont val="Segoe UI"/>
            <family val="2"/>
          </rPr>
          <t>136040|TINTA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EMBALAGEM.|GL|76|3|141266|</t>
        </r>
      </text>
    </comment>
    <comment ref="F564" authorId="0" shapeId="0" xr:uid="{D28AB00F-F7BC-458C-8A03-5EC346654ABB}">
      <text>
        <r>
          <rPr>
            <sz val="9"/>
            <color indexed="81"/>
            <rFont val="Segoe UI"/>
            <family val="2"/>
          </rPr>
          <t>136676|CAMISA DE BRIM N° 5, CONFECCIONADA EM TECIDO 100% ALGODAO, NA COR AZUL MARINHO, MANGAS LONGAS.|PC|62|1||</t>
        </r>
      </text>
    </comment>
    <comment ref="F565" authorId="0" shapeId="0" xr:uid="{C6CBEC45-BAE1-4AF3-B385-9BF3101E8FEB}">
      <text>
        <r>
          <rPr>
            <sz val="9"/>
            <color indexed="81"/>
            <rFont val="Segoe UI"/>
            <family val="2"/>
          </rPr>
          <t>136820|BOTINA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TAM:36|PR|54|4||</t>
        </r>
      </text>
    </comment>
    <comment ref="F566" authorId="0" shapeId="0" xr:uid="{9FBA2ADA-05CC-430D-BB1B-DD3E1095F85F}">
      <text>
        <r>
          <rPr>
            <sz val="9"/>
            <color indexed="81"/>
            <rFont val="Segoe UI"/>
            <family val="2"/>
          </rPr>
          <t>136821|BOTINA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TAM:37|PR|54|4||</t>
        </r>
      </text>
    </comment>
    <comment ref="F567" authorId="0" shapeId="0" xr:uid="{EBEAEBB4-8539-49DE-81FB-3784806A1E43}">
      <text>
        <r>
          <rPr>
            <sz val="9"/>
            <color indexed="81"/>
            <rFont val="Segoe UI"/>
            <family val="2"/>
          </rPr>
          <t>136822|BOTINA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TAM:38|PR|54|4||</t>
        </r>
      </text>
    </comment>
    <comment ref="F568" authorId="0" shapeId="0" xr:uid="{8FC5A305-95DC-47DE-A3B8-6055EC3BB522}">
      <text>
        <r>
          <rPr>
            <sz val="9"/>
            <color indexed="81"/>
            <rFont val="Segoe UI"/>
            <family val="2"/>
          </rPr>
          <t>136837|BOTA DE PVC, CANO LONGO Nº 36 - BOTA DE SEGURANCA NA COR PRETA, CONFECCIONADA EM PVC, CANO LONGO, IMPERMEAVEL INTEIRO POLIMERICO, PROPRIEDADES ANTIDERRAPANTES.|PR|54|4||</t>
        </r>
      </text>
    </comment>
    <comment ref="F569" authorId="0" shapeId="0" xr:uid="{0BCE73A5-E5E7-45F9-9B0C-6FB1173F744D}">
      <text>
        <r>
          <rPr>
            <sz val="9"/>
            <color indexed="81"/>
            <rFont val="Segoe UI"/>
            <family val="2"/>
          </rPr>
          <t>136838|BOTA DE PVC, CANO LONGO Nº 37 - BOTA DE SEGURANCA NA COR PRETA, CONFECCIONADA EM PVC, CANO LONGO, IMPERMEAVEL INTEIRO POLIMERICO, PROPRIEDADES ANTIDERRAPANTES.|PR|54|4||</t>
        </r>
      </text>
    </comment>
    <comment ref="F570" authorId="0" shapeId="0" xr:uid="{802E24D0-D59B-4040-A761-EB0EF7F61D6B}">
      <text>
        <r>
          <rPr>
            <sz val="9"/>
            <color indexed="81"/>
            <rFont val="Segoe UI"/>
            <family val="2"/>
          </rPr>
          <t>136839|BOTA DE PVC, CANO LONGO Nº 38 - BOTA DE SEGURANCA NA COR PRETA, CONFECCIONADA EM PVC, CANO LONGO, IMPERMEAVEL INTEIRO POLIMERICO, PROPRIEDADES ANTIDERRAPANTES.|PR|54|4||</t>
        </r>
      </text>
    </comment>
    <comment ref="F571" authorId="0" shapeId="0" xr:uid="{1E2D1022-D3EF-47F0-91C2-EB3B68A461BE}">
      <text>
        <r>
          <rPr>
            <sz val="9"/>
            <color indexed="81"/>
            <rFont val="Segoe UI"/>
            <family val="2"/>
          </rPr>
          <t>136840|BOTA DE PVC, CANO LONGO Nº 39 - BOTA DE SEGURANCA NA COR PRETA, CONFECCIONADA EM PVC, CANO LONGO, IMPERMEAVEL INTEIRO POLIMERICO, PROPRIEDADES ANTIDERRAPANTES.|PR|54|4||</t>
        </r>
      </text>
    </comment>
    <comment ref="F572" authorId="0" shapeId="0" xr:uid="{7C9A2188-8E8C-4B1E-B619-A8D61CE37419}">
      <text>
        <r>
          <rPr>
            <sz val="9"/>
            <color indexed="81"/>
            <rFont val="Segoe UI"/>
            <family val="2"/>
          </rPr>
          <t>136841|BOTA DE PVC, CANO LONGO Nº 40 - BOTA DE SEGURANCA NA COR PRETA, CONFECCIONADA EM PVC, CANO LONGO, IMPERMEAVEL INTEIRO POLIMERICO, PROPRIEDADES ANTIDERRAPANTES.|PR|54|4||</t>
        </r>
      </text>
    </comment>
    <comment ref="F573" authorId="0" shapeId="0" xr:uid="{56D5696D-F602-4DD5-9A47-AE1FCFC45C31}">
      <text>
        <r>
          <rPr>
            <sz val="9"/>
            <color indexed="81"/>
            <rFont val="Segoe UI"/>
            <family val="2"/>
          </rPr>
          <t>136842|BOTA DE PVC, CANO LONGO Nº 41 - BOTA DE SEGURANCA NA COR PRETA, CONFECCIONADA EM PVC, CANO LONGO, IMPERMEAVEL INTEIRO POLIMERICO, PROPRIEDADES ANTIDERRAPANTES.|PR|54|4||</t>
        </r>
      </text>
    </comment>
    <comment ref="F574" authorId="0" shapeId="0" xr:uid="{CFB7477C-B8FD-48EE-9BA8-94096F6A3E6B}">
      <text>
        <r>
          <rPr>
            <sz val="9"/>
            <color indexed="81"/>
            <rFont val="Segoe UI"/>
            <family val="2"/>
          </rPr>
          <t>136843|BOTA DE PVC, CANO LONGO Nº 42 - BOTA DE SEGURANCA NA COR PRETA, CONFECCIONADA EM PVC, CANO LONGO, IMPERMEAVEL INTEIRO POLIMERICO, PROPRIEDADES ANTIDERRAPANTES.|PR|54|4||</t>
        </r>
      </text>
    </comment>
    <comment ref="F575" authorId="0" shapeId="0" xr:uid="{DE7DE4C0-C56B-40B8-BBDB-C980E1114901}">
      <text>
        <r>
          <rPr>
            <sz val="9"/>
            <color indexed="81"/>
            <rFont val="Segoe UI"/>
            <family val="2"/>
          </rPr>
          <t>136910|CABO PP DE COBRE FLEXIVEL COM PRIMEIRA E SEGUNDA CAMADA EM PVC, ISOLACAO DE 500 V,  3 VIAS DE 1,5 MM, SENDO A VIA TERRA NA COR VERDE.     ** NAO UTILIZAR - VIDE COD. 140241 **|M|55|19|140241|</t>
        </r>
      </text>
    </comment>
    <comment ref="F576" authorId="0" shapeId="0" xr:uid="{EC2DE375-6048-41FA-B624-9EC6ED47F430}">
      <text>
        <r>
          <rPr>
            <sz val="9"/>
            <color indexed="81"/>
            <rFont val="Segoe UI"/>
            <family val="2"/>
          </rPr>
          <t>136911|CABO PP DE COBRE FLEXIVEL COM PRIMEIRA E SEGUNDA CAMADA EM PVC, ISOLACAO DE 500 V,  3 VIAS DE 2,5 MM, SENDO A VIA TERRA NA COR VERDE.     ** NAO UTILIZAR - VIDE COD. 140063 **|M|55|19|140063|</t>
        </r>
      </text>
    </comment>
    <comment ref="F577" authorId="0" shapeId="0" xr:uid="{2575901C-C06D-4BF0-8E4D-607F05A5CAE4}">
      <text>
        <r>
          <rPr>
            <sz val="9"/>
            <color indexed="81"/>
            <rFont val="Segoe UI"/>
            <family val="2"/>
          </rPr>
          <t>138547|LUMINARIA HERMETICA PARA 2 LAMPADAS LED/FLUORESCENTES TUBULARES, SOQUETES T5 E T8 - DIMENSOES (A X L X C): 84 X 106 X 1250 MM (VARIACAO: +/- 10 MM).|UN|55|49|140666|</t>
        </r>
      </text>
    </comment>
    <comment ref="F578" authorId="0" shapeId="0" xr:uid="{0C769E1B-CFA1-421C-AC38-A01D20F8411F}">
      <text>
        <r>
          <rPr>
            <sz val="9"/>
            <color indexed="81"/>
            <rFont val="Segoe UI"/>
            <family val="2"/>
          </rPr>
          <t>140315|ROLO PARA PINTURA 23 CM, CONFECCIONADO EM LA DE CARNEIRO 100% NATURAL COM ALTURA MINIMA DE 30 MM, CABO TIPO GARFO-GAIOLA PRODUZIDO EM ACO ZINCADO COM PUNHO E BUCHA DE POLIETILENO OU SIMILAR|UN|76|11|141418|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500-000001000000}">
      <text>
        <r>
          <rPr>
            <sz val="10"/>
            <color indexed="81"/>
            <rFont val="Lucida Console"/>
            <family val="3"/>
          </rPr>
          <t xml:space="preserve">Ordenado por: Referência_x000D_
_x000D_
          1ª Coluna  ==  Referência_x000D_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A2" authorId="0" shapeId="0" xr:uid="{00000000-0006-0000-0700-000001000000}">
      <text>
        <r>
          <rPr>
            <sz val="9"/>
            <color indexed="81"/>
            <rFont val="Segoe UI"/>
            <family val="2"/>
          </rPr>
          <t xml:space="preserve">Ordenado por: SETOR, CÓDIGO_x000D_
_x000D_
          1ª Coluna  ==  SETOR_x000D_
          2ª Coluna  ==  CÓDIGO_x000D_
</t>
        </r>
      </text>
    </comment>
  </commentList>
</comments>
</file>

<file path=xl/sharedStrings.xml><?xml version="1.0" encoding="utf-8"?>
<sst xmlns="http://schemas.openxmlformats.org/spreadsheetml/2006/main" count="11014" uniqueCount="1839">
  <si>
    <t>CÓDIGO</t>
  </si>
  <si>
    <t>DESCRIÇÃO</t>
  </si>
  <si>
    <t>PONTOPED</t>
  </si>
  <si>
    <t>VERNIZ MARITIMO - GALAO C/ 3,6 LITROS</t>
  </si>
  <si>
    <t>CORANTE PARA COLORIR TINTA LATEX - VIOLETA - 50 ML</t>
  </si>
  <si>
    <t>CORANTE PARA COLORIR TINTA LATEX - VERDE - 50 ML</t>
  </si>
  <si>
    <t>CORANTE PARA COLORIR TINTA LATEX - AZUL ESCURO - 50 ML</t>
  </si>
  <si>
    <t>CORANTE PARA COLORIR TINTA LATEX - PRETO - 50 ML</t>
  </si>
  <si>
    <t>CORANTE PARA COLORIR TINTA LATEX - VERMELHO - 50 ML</t>
  </si>
  <si>
    <t>CORANTE PARA COLORIR TINTA LATEX - OCRE - 50 ML</t>
  </si>
  <si>
    <t>TINTA P/ PISO - VERDE ESCURO - LT C/ 18 L</t>
  </si>
  <si>
    <t>TINTA P/ PISO - AZUL MARINHO - LATA C/ 18 LITROS</t>
  </si>
  <si>
    <t>AGUARRAZ MINERAL/VEGETAL - 900 ML</t>
  </si>
  <si>
    <t>THINNER PARA PINTURA AUTOMOTIVA E MOVEIS LATA COM 05 LITROS</t>
  </si>
  <si>
    <t>RELE FOTOELETRICO COM BASE 220 V - 1000 W - TIPO NF</t>
  </si>
  <si>
    <t>PLUG MOVEL 2P 90° PADRAO NBR 14136 DE 20A/250V GIGANTE</t>
  </si>
  <si>
    <t>PLUG MOVEL 2P + T 90° PADRAO NBR 14136 DE 20A/250V GIGANTE</t>
  </si>
  <si>
    <t>PLUG MOVEL 2P + T 90° PADRAO NBR 14136 DE 10A/250V GIGANTE</t>
  </si>
  <si>
    <t xml:space="preserve">CHAVE DE NIVEL TIPO BOIA </t>
  </si>
  <si>
    <t>SOQUETE DE PORCELANA E-27 P/ LAMPADA INCANDESCENTE</t>
  </si>
  <si>
    <t>CAIXA DE PASSAGEM RETANGULAR 2 X 4 - EM PVC</t>
  </si>
  <si>
    <t>ELETRODUTO FLEXIVEL CORRUGADO DE 2"</t>
  </si>
  <si>
    <t xml:space="preserve">TAMPA P/ CONDULETE DE PVC 3/4" CEGA </t>
  </si>
  <si>
    <t>TAMPAO DE PVC PARA CONDULETE DE 3/4"</t>
  </si>
  <si>
    <t>TAMPAO DE PVC PARA CONDULETE DE 1.1/2"</t>
  </si>
  <si>
    <t>CONDULETE EM LIGA DE ALUMINIO FUNDIDO</t>
  </si>
  <si>
    <t xml:space="preserve">CONDULETE EM LIGA DE ALUMINIO </t>
  </si>
  <si>
    <t>CONECTOR DE ALUMINIO PARA CONDULETE MULTIPLO DE 3/4"</t>
  </si>
  <si>
    <t>CONECTOR DE ALUMINIO PARA CONDULETE MULTIPLO DE 1.1/2"</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</si>
  <si>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</si>
  <si>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</si>
  <si>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</si>
  <si>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</si>
  <si>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</si>
  <si>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ABRACADEIRA GALVANIZADA TIPO D DE 3/4"</t>
  </si>
  <si>
    <t>ABRACADEIRA GALVANIZADA TIPO D  - 1.1/2"</t>
  </si>
  <si>
    <t>ABRACADEIRA GALVANIZADA TIPO "D" 1 1/4"</t>
  </si>
  <si>
    <t>CHUVEIRO ELETRICO AUTOMATICO - CORPO EM PLASTICO 220V/5400W</t>
  </si>
  <si>
    <t>CORRETIVO LIQUIDO A BASE DE AGUA - FR C/ 18 ML</t>
  </si>
  <si>
    <t>ELASTICO - EMBALAGEM COM 100GR</t>
  </si>
  <si>
    <t>COLCHETE LATONADO N° 08 - CAIXA C/ 72 UNIDADES</t>
  </si>
  <si>
    <t>GRAMPO 26/6 P/ GRAMPEADOR CX C/ 5000 UNIDADES</t>
  </si>
  <si>
    <t>GRAMPEADOR GRANDE, TAMANHO 26/6</t>
  </si>
  <si>
    <t>PAPEL ESPELHO - 65 X 50 CM - ROSA</t>
  </si>
  <si>
    <t>PAPEL LAMINADO - 50 X 60 CM - PRATA</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</si>
  <si>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</si>
  <si>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</si>
  <si>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</si>
  <si>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</si>
  <si>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</si>
  <si>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PAPEL CREPOM - RL C/ 48 X 200 CM - AMARELO OURO</t>
  </si>
  <si>
    <t>PAPEL CREPOM - RL C/ 48 X 200 CM - LARANJA</t>
  </si>
  <si>
    <t>PAPEL CREPOM - RL C/ 48 X 200 CM - ROSA</t>
  </si>
  <si>
    <t>PAPEL CREPOM - RL C/ 48 X 200 CM - VERMELHO</t>
  </si>
  <si>
    <t>PAPEL CREPOM - RL C/ 48 X 200 CM - AZUL ESCURO</t>
  </si>
  <si>
    <t>PAPEL CREPOM - RL C/ 48 X 200 CM - VERDE ESCURO</t>
  </si>
  <si>
    <t>PAPEL LAMINADO - 50 X 60 CM - DOURADO - AS MEDIDAS PODERAO VARIAR +/- 5 CM</t>
  </si>
  <si>
    <t>PAPEL LAMINADO - 50 X 60 CM - VERDE</t>
  </si>
  <si>
    <t>PAPEL LAMINADO - 50 X 60 CM - AZUL</t>
  </si>
  <si>
    <t>PAPEL LAMINADO - 50 X 60 CM - VERMELHO</t>
  </si>
  <si>
    <t>PAPEL KRAFT 80G/M2 - 66 CM X 96 CM (PAPEL PARDO)</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</si>
  <si>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</si>
  <si>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</si>
  <si>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</si>
  <si>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</si>
  <si>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</si>
  <si>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</si>
  <si>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 xml:space="preserve">PAPEL KRAFT (PAPEL PARDO) EM BOBINA - 60 CM X 150 M </t>
  </si>
  <si>
    <t>PAPEL SULFITE COATED HP 914 MM X 45 M GRAMATURA 90G/M² PARA PLOTER, HP DESIGNJET SERIE 4000</t>
  </si>
  <si>
    <t>PAPEL CAMURCA - 60 X 40 CM - BRANCO</t>
  </si>
  <si>
    <t>PAPEL CAMURCA - 60 X 40 CM - PRETO</t>
  </si>
  <si>
    <t>PAPEL CAMURCA - 60 X 40 CM - VERMELHO</t>
  </si>
  <si>
    <t>PAPEL CAMURCA - 60 X 40 CM - MARROM</t>
  </si>
  <si>
    <t>PAPEL CAMURCA - 60 X 40 - ROSA - AS MEDIDAS PODERAO VARIAR +/- 5 CM</t>
  </si>
  <si>
    <t>PAPEL CAMURCA - 60 X 40CM - AMARELO</t>
  </si>
  <si>
    <t>PAPEL CAMURCA - 60 X 40 CM - AZUL CLARO</t>
  </si>
  <si>
    <t>PAPEL MANILHA EM BOBINA, COR ROSA - 60 CM X 250 M (VARIACAO: DE +/- 5 CM NA LARGURA E 10 M NO COMPRIMENTO), 55G/M2 (+/- 05G) - BOBINA COM PESO MINIMO DE 8 KG</t>
  </si>
  <si>
    <t xml:space="preserve">CARTOLINA DUPLA FACE / COLOR SET AMARELA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</si>
  <si>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</si>
  <si>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</si>
  <si>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</si>
  <si>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</si>
  <si>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VERMELHA - 48 X 66 CM</t>
  </si>
  <si>
    <t>PAPEL CARTAO - 50 X 70 CM - VERMELHO (MEDIDAS PODERAO VARIAR +/- 5CM)</t>
  </si>
  <si>
    <t>PAPEL CARTAO - 50 X 70 CM - LARANJA (MEDIDAS PODERAO VARIAR +/- 5CM)</t>
  </si>
  <si>
    <t>CARTOLINA - BRANCA  - 50 X 66 CM - 180 G/M2</t>
  </si>
  <si>
    <t>CARTOLINA - AMARELA - 50 X 66 CM - 180 G/M2</t>
  </si>
  <si>
    <t>CARTOLINA - AZUL CLARO - 50 X 66 CM - 180 G/M2</t>
  </si>
  <si>
    <t>CARTOLINA - ROSA - 50 X 66 CM - 180 G/M2</t>
  </si>
  <si>
    <t>PAPEL CARTAO - 50 X 70 CM - AMARELO (MEDIDAS PODERAO VARIAR +/- 5CM)</t>
  </si>
  <si>
    <t>PAPEL CARTAO - 50 X 70 CM - AZUL ESCURO (MEDIDAS PODERAO VARIAR +/- 5CM)</t>
  </si>
  <si>
    <t>PAPEL CARTAO - 50 X 70 CM - VERDE ESCURO (MEDIDAS PODERAO VARIAR +/- 5CM)</t>
  </si>
  <si>
    <t>CARTOLINA - VERDE CLARO - 50 X 66 CM - GRAMATURA 180G/M2</t>
  </si>
  <si>
    <t xml:space="preserve">CARTOLINA DUPLA FACE / COLOR SET AZUL ESCURO - 48 X 66 CM </t>
  </si>
  <si>
    <t>CARTOLINA DUPLA FACE / COLOR SET VERDE ESCURO - 48 X 66 CM</t>
  </si>
  <si>
    <t>PAPEL SULFITE - 66 X 96 CM  120 G/M2 - BRANCO</t>
  </si>
  <si>
    <t>PAPEL CRIATIVO FLUORESCENTE, TIPO LUMIPAPER, 5 CORES</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</si>
  <si>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</si>
  <si>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PAPEL MONOLUCIDO - 120 G/M2 660 X 960 MM  - PACOTE C/ 250</t>
  </si>
  <si>
    <t>PERFIL RODAFORRO PVC BRANCO LISO, BARRA COM 6 MT</t>
  </si>
  <si>
    <t>PERFIL TIPO EMENDA PVC BRANCO LISO, BARRA COM 6 MT</t>
  </si>
  <si>
    <t>ALCOOL GEL A 70%, FRASCO C/ 1.000 ML, VALVULA "TIPO PUMP", COM HIDRATANTE ALOE VERA</t>
  </si>
  <si>
    <t>INTERRUPTOR 10A X 250V INTERNO DE 03 TECLAS C/ PLACA</t>
  </si>
  <si>
    <t>INTERRUPTOR 10A X 250V INTERNO C/ 01 TECLA PARALELA COM PLACA 4 X 2.</t>
  </si>
  <si>
    <t>INTERRUPTOR 10A X 250V INTERNO C/ 03 TECLAS PARALELAS C/ PLACA 4 X 2.</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</si>
  <si>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</si>
  <si>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</si>
  <si>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CABO FLEXIVEL - 6 MM2 - PRETO</t>
  </si>
  <si>
    <t>CABO FLEXIVEL BITOLA 16,0 MM2, 750 VOLTS, ISOLACAO DE PVC 70° C, COR PRETA</t>
  </si>
  <si>
    <t>CABO FLEXIVEL BITOLA 4,0 MM2, 750 VOLTS, ISOLACAO DE PVC 70° C, COR VERDE</t>
  </si>
  <si>
    <t>CABO FLEXIVEL BITOLA 16,0 MM2, 1 KV, ISOLACAO DE PVC 70º,  ANTI-CHAMA. COR AZUL CLARA</t>
  </si>
  <si>
    <t>CABO DE COBRE FLEXIVEL BITOLA 35 MM²,  0,6/1 KV ISOLACAO DE PVC 70° C, COR PRETA</t>
  </si>
  <si>
    <t>CABO DE COBRE FLEXIVEL BITOLA 70 MM²,</t>
  </si>
  <si>
    <t>CABO DE COBRE FLEXIVEL BITOLA 95 MM2 , ISOLACAO 0,6/1 KV, COR AZUL - ANTICHAMA</t>
  </si>
  <si>
    <t>CABO DE COBRE FLEXIVEL, BITOLA 35,0MM2, 1KV,  ISOLACAO DE PVC 70ºC, COR AZUL CLARO- ANTI-CHAMA</t>
  </si>
  <si>
    <t>CABO DE COBRE FLEXIVEL BITOLA 120MM², 750 V, ISOLACAO DE PVC - 70°C - COR VERDE</t>
  </si>
  <si>
    <t>CABO DE COBRE FLEXIVEL BITOLA 25 MM², 0,6/1 KV ISOLACAO DE PVC 70° C, ANTICHAMA, COR AZUL-CLARO</t>
  </si>
  <si>
    <t>CABO DE COBRE FLEXIVEL, BITOLA 10,0MM2, 1KV,  ISOLACAO DE PVC 70ºC, COR PRETA</t>
  </si>
  <si>
    <t>CABO DE COBRE FLEXIVEL BITOLA 10MM², 6,6/1 KV, ISOLACAO DE PVC 70ºC, COR VERDE - ANTICHAMA - ROLO COM 100 METROS</t>
  </si>
  <si>
    <t>CABO FLEXIVEL - 2,5 MM2 - PRETO</t>
  </si>
  <si>
    <t>CABO FLEXIVEL - 6 MM2 - VERDE</t>
  </si>
  <si>
    <t>CABO FLEXIVEL - 2,5 MM2 - VERDE</t>
  </si>
  <si>
    <t>CABO FLEXIVEL - 1,5MM - PRETO</t>
  </si>
  <si>
    <t>CABO FLEXIVEL BITOLA 4,0 MM2, 750 VOLTS, ISOLACAO DE PVC 70° C, COR PRETA</t>
  </si>
  <si>
    <t>CABO FLEXIVEL BITOLA 16,0 MM2, 750 VOLTS, ISOLACAO DE PVC 70° C, COR VERDE</t>
  </si>
  <si>
    <t>CABO DE COBRE, ISOLACAO PVS 750V COM COBERTURA DE PVC - 3 X 2,5 MM</t>
  </si>
  <si>
    <t>CABO FLEXIVEL 25MM, 1KV - COR PRETO</t>
  </si>
  <si>
    <t>CABO FLEXIVEL BITOLA 50 MM², ISOLACAO DE PVC 70° C, 1KV, 750V, ANTICHAMA, COR PRETA</t>
  </si>
  <si>
    <t>CABO DE COBRE FLEXIVEL, BITOLA 10,0 MM2, 1KV, ISOLACAO DE PVC 70º, COR AZUL CLARO</t>
  </si>
  <si>
    <t>CABO DE COBRE FLEXIVEL, BITOLA 35,0MM2, 1KV,  ISOLACAO DE PVC 70ºC, COR VERDE</t>
  </si>
  <si>
    <t>CABO DE COBRE FLEXIVEL BITOLA 240 MM2 ISOLACAO 0,6/1KV , TEMPERATURA 70° C, COR PRETA - ANTICHAMA</t>
  </si>
  <si>
    <t>CABO DE COBRE FLEXIVEL BITOLA 25 MM², 0.6/1 KV, ISOLACAO DE PVC 70ºC, COR VERDE - ANTICHAMA - ROLO COM 100 METROS</t>
  </si>
  <si>
    <t xml:space="preserve">CABO DE COBRE FLEXIVEL BITOLA 120 MM2 , ISOLACAO 0,6/1 KV, COR PRETA - ANTICHAMA </t>
  </si>
  <si>
    <t xml:space="preserve">CABO DE COBRE FLEXIVEL BITOLA 95 MM2 , ISOLACAO 0,6/1 KV, COR PRETA - ANTICHAMA </t>
  </si>
  <si>
    <t>CABO DE COBRE FLEXIVEL BITOLA 240MM², 750 V, ISOLACAO DE PVC - 70°C - COR AZUL-CLARO</t>
  </si>
  <si>
    <t>CABO DE COBRE FLEXIVEL, BITOLA 50MM2, 750 V, ISOLACAO DE PVC 70° C, COR VERDE - ANTI-CHAMA</t>
  </si>
  <si>
    <t>ELETRODUTO FLEXIVEL CORRUGADO DE 1.1/2"</t>
  </si>
  <si>
    <t>ELETRODUTO CORRUGADO EM PEAD (POLIETILENO DE ALTA DENSIDADE) PARA PROTECAO DE CABOS SUBTERRANEOS - DIAMETRO 110MM (4")</t>
  </si>
  <si>
    <t>TOMADA 2P+T DE 20A/250V DE EMBUTIR COM ESPELHO PARA CAIXA 4X2, PADRAO NBR 14136</t>
  </si>
  <si>
    <t>TOMADA COM 2 TOMADAS 2P+T DE 20A/250V DE EMBUTIR COM ESPELHO PARA CAIXA 4X2, PADRAO NBR 14136</t>
  </si>
  <si>
    <t xml:space="preserve">TOMADA 2P+T DE 20A/250V DE SOBREPOR COM CAIXA, PADRAO NBR 14136 </t>
  </si>
  <si>
    <t>TOMADA 2P + T DE 10/250V DE EMBUTIR COM ESPELHO PARA CAIXA 4X2, PADRAO NBR 14136</t>
  </si>
  <si>
    <t xml:space="preserve">INTERRUPTOR 10A/250V COM 2 TECLAS PARALELAS </t>
  </si>
  <si>
    <t xml:space="preserve">TOMADA PADRAO  DE SOBREPOR </t>
  </si>
  <si>
    <t>SAPATA INTERNA 38 X 38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</si>
  <si>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</si>
  <si>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DOBRADICA DE FERRO POLIDO 2.1/2"</t>
  </si>
  <si>
    <t>GONZO COM ABAS N. 3 (65MM)</t>
  </si>
  <si>
    <t>FECHADURA DE EMBUTIR C/ TAMBOR - EXTERNA</t>
  </si>
  <si>
    <t>FECHADURA DE SOBREPOR PARA GAVETA, COM CILINDRO, 31 MM</t>
  </si>
  <si>
    <t>DOBRADICA DE PRESSAO EM ACO, CURVA, COMPLETA, PARA ARMARIOS</t>
  </si>
  <si>
    <t>TRAVA DE SEGURANCA, CHAVE TETRA, P/ PORTAS</t>
  </si>
  <si>
    <t>TRINCHA PARA PINTURA - 3", COM CERDAS 100% NATURAIS</t>
  </si>
  <si>
    <t>ROLO DE LA DE CARNEIRO P/ PINTURA - 9 CM C/ CABO</t>
  </si>
  <si>
    <t>ROLO DE ESPUMA P/ PINTURA - 15 CM C/ CABO</t>
  </si>
  <si>
    <t>BROXA RETANGULAR - 16,5 X 6 CM</t>
  </si>
  <si>
    <t>LIXA D'AGUA EM FOLHA 225 X 275 MM GRAO 150</t>
  </si>
  <si>
    <t>LIXA D'AGUA EM FOLHA 225 X 275 MM GRAO 320</t>
  </si>
  <si>
    <t>LIXA DE PAPEL P/ MADEIRA EM FOLHA DE 225 X 275 MM - N°100</t>
  </si>
  <si>
    <t>LIXA D'AGUA EM FOLHA 225 X 275 MM GRAO 220</t>
  </si>
  <si>
    <t>LIXA D'AGUA EM FOLHA 225 X 275 MM GRAO 100</t>
  </si>
  <si>
    <t>LIXA D'AGUA EM FOLHA 225 X 275 MM GRAO 120</t>
  </si>
  <si>
    <t>LIXA P/ FERRO E METAIS EM FOLHA DE 225 X 275 MM - N.º 220</t>
  </si>
  <si>
    <t>LIXA P/ FERRO E METAIS EM FOLHA DE 200 X 275 MM - Nº 120</t>
  </si>
  <si>
    <t>LIXA DE PAPEL P/ MADEIRA EM FOLHA DE 225 X 275 MM - N° 80</t>
  </si>
  <si>
    <t>LIXA DE PAPEL P/ MADEIRA EM FOLHA DE 225 X 275 MM - N° 120</t>
  </si>
  <si>
    <t>LIXA PARA PAREDE - 120</t>
  </si>
  <si>
    <t>LIXA PARA PAREDE Nº 80</t>
  </si>
  <si>
    <t>DISCO DE CORTE 4 1/2" DE DIAMETRO EXTERNO, 01 MM DE ESPESSURA E 7/8" DE DIAMETRO DE FURO</t>
  </si>
  <si>
    <t>DISCO DE CORTE 9" X 1/8" X 7/8"</t>
  </si>
  <si>
    <t>DISCO DE DESBASTE DE 4 ¹/2  X 1/4 X 7/8 - CONFORME NORMAS DA ABNT</t>
  </si>
  <si>
    <t>PRIMER ANTICORROSIVO, SECAGEM RAPIDA, COR CINZA, GL C/ 3,6ML</t>
  </si>
  <si>
    <t>TINTA P/ PISO - VERMELHO - LT C/ 18 L</t>
  </si>
  <si>
    <t>TINTA P/ PISO - BRANCA - C/ 18 LT</t>
  </si>
  <si>
    <t>TINTA ACRILICA LAVAVEL - AZUL CLARO - 18 LITROS</t>
  </si>
  <si>
    <t>TINTA LATEX PVA BRANCO, LATA COM 18 LITROS</t>
  </si>
  <si>
    <t>SELADOR ACRILICO - LATA COM 18 LITROS</t>
  </si>
  <si>
    <t xml:space="preserve">LEITE EM PO INTEGRAL INSTANTANEO ENRIQUECIDO </t>
  </si>
  <si>
    <t>TINTA ACRILICA P/ DEMARCACAO DE SOLO - BALDE C/ 18 L - PRETA - PADRAO DER 3.09</t>
  </si>
  <si>
    <t>TINTA ACRILICA P/ DEMARCACAO DE SOLO - BALDE C/ 18 LITROS -</t>
  </si>
  <si>
    <t>TINTA ACRILICA P/ DEMARCACAO DO SOLO - BALDE COM 18 LITROS - AMARELA</t>
  </si>
  <si>
    <t>TINTA ACRILICA P/ DEMARCACAO DE SOLO - BALDE C/ 18 L - VERMELHA - PADRAO DER 3.09</t>
  </si>
  <si>
    <t>SOLVENTE P/ TINTA DE DEMARCACAO VIARIA -BALDE C/ 18 LITROS - TIPO DER 3.09</t>
  </si>
  <si>
    <t>PLASTICO OLEADO, TIPO FLANELADO - NAS CORES AZUL CLARO E BR</t>
  </si>
  <si>
    <t>PROTETOR SOLAR FPS 30 - LOCAO CREMOSA, COM REPELENTE DE INSETOS (PERNILONGOS, CARAPANAS, BORRACHUDOS, MOSQUITOS, MURICOCAS E OUTROS TIPOS)</t>
  </si>
  <si>
    <t>TOUCA DE PROTECAO PARA CABELOS, TIPO COZINHEIRA, EM MATERIAL DESCARTAVEL (TNT) SANFONADA</t>
  </si>
  <si>
    <t>PAPEL HIGIENICO BRANCO, ROLO COM 300 METROS, FOLHA SIMPLES, MASSA UNIFORME, SEM CONTER FUROS, EXTRA LUXO, FIBRA 100% CELULOSICAS, ROLO MEDINDO 10 CM X 300 M. EMBALADOS EM FARDOS COM PLASTICO RESISTENTE CONTENDO 8 ROLOS</t>
  </si>
  <si>
    <t>PA DE LIXO, CORPO EM POLIPROPILENO, CABO LONGO</t>
  </si>
  <si>
    <t>LAVATINA DE NYLON P/ VASO SANITARIO (VASSOURINHA)</t>
  </si>
  <si>
    <t>DESENTUPIDOR DE BACIA SANITARIA, CABO LONGO</t>
  </si>
  <si>
    <t xml:space="preserve">VASSOURA DE PIACAVA N° 05 </t>
  </si>
  <si>
    <t>LA DE ACO - EMBALAGEM C/ 08 ESPONJAS.</t>
  </si>
  <si>
    <t>CESTO DE PLASTICO P/ LIXO, 6 LITROS - FECHADO</t>
  </si>
  <si>
    <t>ESPONJA DE NYLON DUPLA FACE, LISO E ABRASIVA - MED: 110 X 75 X 20 MM</t>
  </si>
  <si>
    <t xml:space="preserve">PALHA DE ACO Nº 01 - PACOTE COM 25  A 30 GRAMAS  </t>
  </si>
  <si>
    <t>BALDE PLASTICO - 20 L.</t>
  </si>
  <si>
    <t>LIXEIRA BASCULANTE, COM TAMPA E ALCA, 59 LITROS</t>
  </si>
  <si>
    <t>ESTOPA BRANCA - PACOTE C/ 500 GR, NA EMBALAGEM DEVERA CONTER MARCA DO FABRICANTE</t>
  </si>
  <si>
    <t>FOSFORO P/ ACENDIMENTO, PEQUENO, PACOTE C/ 10 CX DE 40 UN C</t>
  </si>
  <si>
    <t>PAPEL CELOFANE - 90 X 100 CM - AMARELO</t>
  </si>
  <si>
    <t>PAPEL CELOFANE - 90 X 100 CM - VERDE</t>
  </si>
  <si>
    <t>PAPEL CELOFANE - 90 X 100 CM - VERMELHO</t>
  </si>
  <si>
    <t>PAPEL CELOFANE - 90 X 100 CM - AZUL</t>
  </si>
  <si>
    <t>PORTA PAPEL HIGIENICO - ROLO INDUSTRIAL</t>
  </si>
  <si>
    <t>DISPENSADOR PARA PAPEL TOALHA INTERFOLHA. DIMENSOES: 320X250X130MM (AXLXP)</t>
  </si>
  <si>
    <t>PAPEL HIGIENICO 30 M X 10 CM, CLASSE 01, FOLHA DUPLA, GOFRADO, COR BRANCA, NEUTRO, MATERIA PRIMA 100% FIBRAS NATURAIS</t>
  </si>
  <si>
    <t>LAMPADA LED TUBULAR T8.</t>
  </si>
  <si>
    <t>CONECTOR RJ-45 MACHO, PARA CABO UTP CATEGORIA 5E</t>
  </si>
  <si>
    <t>SACO PLASTICO P/ LIXO  CAP. 100 LITROS, COR PRETA - 75 X 105 CM X 0,14 MM OU 140 MICRAS DE ESPESSURA (0,07 MM POR PAREDE)</t>
  </si>
  <si>
    <t>COPO PLASTICO DESCARTAVEL - 50 ML - PT C/ 100 UNID (CAFE)</t>
  </si>
  <si>
    <t>COPO PLASTICO DESCARTAVEL - 180 ML - PT C/ 100 UN (AGUA)</t>
  </si>
  <si>
    <t>COADOR DE PAPEL P/ CAFE N° 103 - CAIXA COM 30 UNIDADES</t>
  </si>
  <si>
    <t>PANO P/ COPA ATOALHADO</t>
  </si>
  <si>
    <t>GUARDANAPO DE PAPEL 23 X 22 CM</t>
  </si>
  <si>
    <t>TELA DE ARAME GALVANIZADO, FIO 10, MALHA C/ 2 1/2", COM 04</t>
  </si>
  <si>
    <t>TELA ONDULADA FIO 14, MALHA 3/4 - MED. 10 X 2,00 M</t>
  </si>
  <si>
    <t>CANECA PLASTICA (POLIPROPILENO), CAPACIDADE P/ 330 ML</t>
  </si>
  <si>
    <t>VIGA DE GARAPEIRA BRUTA - 6 CM X 12 CM X 5,00 M COMPRIMENTO</t>
  </si>
  <si>
    <t>VIGA DE GARAPEIRA BRUTA - 6 X 12 CM X 4,50 M COMPRIMENTO</t>
  </si>
  <si>
    <t>VIGA DE GARAPEIRA BRUTA - 6 CM X 12 CM X 5,50 M COMPRIMENTO</t>
  </si>
  <si>
    <t>VIGA DE GARAPEIRA BRUTA - 0,06 X 0,16 X 5,00 M COMPRIMENTO</t>
  </si>
  <si>
    <t>VIGA DE GARAPEIRA BRUTA - 60MM X 160MM X 6,00 M COMPRIMENTO</t>
  </si>
  <si>
    <t>VIGA DE GARAPEIRA BRUTA - 60MM X 160MM X 6,50 M COMPRIMENTO</t>
  </si>
  <si>
    <t>VIGA DE GARAPEIRA BRUTA - 60MM X 160MM X 7,00 M COMPRIMENTO</t>
  </si>
  <si>
    <t>PONTALETE DE CEDRINHO 3" X 3" - COM 03 METROS DE COMPRIMENT</t>
  </si>
  <si>
    <t>CHAPA DE MADEIRA RESINADA C/ 2,20 X 1,10 M ESP. 10,0 MM</t>
  </si>
  <si>
    <t>CHAPA DE MADEIRA RESINADA C/ 2,20 X 1,10 M ESP. 15,0 MM</t>
  </si>
  <si>
    <t>BATENTE DE GARAPEIRA 0,92 X 2,10 M</t>
  </si>
  <si>
    <t>TINTA ESMALTE SINTETICO BRILHANTE, PADRAO PREMIUM, COR AZUL ROYAL, GALAO COM 3.600 ML.</t>
  </si>
  <si>
    <t>TINTA ESMALTE SINTETICO BRILHANTE, PADRAO PREMIUM, COR BRANCA, GALAO COM 3.600 ML.</t>
  </si>
  <si>
    <t>TINTA ESMALTE SINTETICO BRILHANTE, PADRAO PREMIUM, COR AZUL DEL REY, GALAO COM 3.600 ML.</t>
  </si>
  <si>
    <t>CORANTE PARA COLORIR TINTA LATEX - AMARELO - 50 ML</t>
  </si>
  <si>
    <t>TINTA ACRILICA LAVAVEL - VERDE CLARO - 18 LITROS</t>
  </si>
  <si>
    <t>TINTA P/ PISO - PRETO - GL C/3.600 ML</t>
  </si>
  <si>
    <t>TINTA P/ PISO - AMARELO - LATA COM 18 LITROS</t>
  </si>
  <si>
    <t>TINTA LATEX ACRILICA SEMIBRILHO, PADRAO PREMIUM, COR AZUL BIONICO OU SIMILAR, LATA COM 18 LITROS.</t>
  </si>
  <si>
    <t>TINTA LATEX ACRILICA SEMIBRILHO, PADRAO PREMIUM, COR AMARELO MELAO MADURO OU SIMILAR, LATA COM 18 LITROS.</t>
  </si>
  <si>
    <t>TINTA LATEX ACRILICA SEMIBRILHO, PADRAO PREMIUM, COR BRANCO, LATA COM 18 LITROS.</t>
  </si>
  <si>
    <t>ROLO DE ESPUMA PARA PINTURA - 4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</si>
  <si>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</si>
  <si>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</si>
  <si>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</si>
  <si>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</si>
  <si>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</si>
  <si>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</si>
  <si>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REVESTIMENTO CERAMICO, BRANCO BRILHANTE, 32 X 56 CM (VARIACAO +/- 2 CM).</t>
  </si>
  <si>
    <t>PISO HIDRAULICO, ANTIDERRAPANTE</t>
  </si>
  <si>
    <t>PISO HIDRAULICO, ANTIDERRAPANTE, COR CINZA.</t>
  </si>
  <si>
    <t>BLOCO DE CONCRETO - 15 X 20 X 40 CM</t>
  </si>
  <si>
    <t>BLOCO DE CONCRETO - 10 X 20 X 40 CM</t>
  </si>
  <si>
    <t xml:space="preserve">TUBO DE PVC RIGIDO SOLDAVEL 2" X 06 M (P/ESGOTO) </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</si>
  <si>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</si>
  <si>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</si>
  <si>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</si>
  <si>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</si>
  <si>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CANTONEIRA EM ALUMINIO - 10 MM DE VAO - BR C/ 3 METROS  (P/</t>
  </si>
  <si>
    <t>CANTONEIRA DE FERRO - 1.1/2" X 1/8" BARRA COM 06 MET</t>
  </si>
  <si>
    <t>CANTONEIRA DE FERRO 2" X 1/8" - BARRA COM 06 METROS</t>
  </si>
  <si>
    <t>CANTONEIRA DE FERRO - BARRA COM 6 M - 1" X 1/8"</t>
  </si>
  <si>
    <t>CANTONEIRA DE FERRO - BARRA COM 6 M - 3/4" X 1/8"</t>
  </si>
  <si>
    <t>CANTONEIRA EM ACO PARA FIXACAO DE BALS MEDINDO 47 MM X 20 MM X 25 MM COM 3 FUROS</t>
  </si>
  <si>
    <t>BARRA/FIO REDONDO DE ACO CA 50 P/CONSTRUCAO NBR 7480 - 5/16</t>
  </si>
  <si>
    <t>BARRA/FIO REDONDO PARA CONSTRUCAO, DE ACO CA50 - 1/4"</t>
  </si>
  <si>
    <t>BARRA/FIO REDONDO PARA CONSTRUCAO, DE ACO CA50 - 3/16" - BARRA COM 12 METROS</t>
  </si>
  <si>
    <t>FERRO CHATO - 1" X 1/4" - BARRA COM 06 METROS</t>
  </si>
  <si>
    <t>FERRO REDONDO - 1/2" - MECANICO - BARRA COM 06 METROS</t>
  </si>
  <si>
    <t>FERRO REDONDO 3/8" MECANICO, BARRA C/ 06 METROS</t>
  </si>
  <si>
    <t>FERRO CHATO 1 1/2" X 1/8" BARRA C/ 06 METROS</t>
  </si>
  <si>
    <t>FERRO CHATO 3/4" X 1/8" BARRA C/ 06 METROS</t>
  </si>
  <si>
    <t>PAPEL P/ REPROGRAFIA - 210 X 297 MM - A4 - GRAMATURA 75</t>
  </si>
  <si>
    <t xml:space="preserve">MARGARINA VEGETAL COM SAL - LIPIDEOS TOTAIS: MINIMO 75% E MAXIMO 85% </t>
  </si>
  <si>
    <t>CHA DE ERVA MATE TOSTADO - CAIXA COM 250 GR</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</si>
  <si>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</si>
  <si>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REJUNTE BRANCO - SACO COM 01 KG</t>
  </si>
  <si>
    <t>REJUNTE CINZA CLARO - SC C/ 01 KG</t>
  </si>
  <si>
    <t>REJUNTE BEGE - SACO COM 01 KG</t>
  </si>
  <si>
    <t>LAVATORIO DE LOUCA C/ COLUNA - 52 X 42 CM</t>
  </si>
  <si>
    <t>COTOVELO 90 GRAUS EM PVC - RIGIDO SOLDAVEL - 6"- (150 MM) -</t>
  </si>
  <si>
    <t>COTOVELO 45 GRAUS EM PVC - RIGIDO SOLDAVEL - 6"- (150 MM) -</t>
  </si>
  <si>
    <t>TUBO DESCARGA PONTA AZUL - 18</t>
  </si>
  <si>
    <t>CANO DE ALUMINIO P/ CHUVEIRO - 40 CM</t>
  </si>
  <si>
    <t>LUVA DE REDUCAO EM PVC RIGIDO SOLDAVEL DE 32 X 25 MM - 1" X</t>
  </si>
  <si>
    <t>ADAPTADOR DE PVC RIGIDO SOLDAVEL C/ FLANGE SEXTAVADA FIXO P/ CAIXA D'AGUA - 32 MM X 1"</t>
  </si>
  <si>
    <t>ADAPTADOR DE PVC RIGIDO SOLDAVEL C/ FLANGE SEXTAVADA FIXO - 50 MM X 1 1/2"</t>
  </si>
  <si>
    <t>ADAPTADOR DE PVC RIGIDO SOLDAVEL C/ FLANGE SEXTAVADA FIXO - 25 MM X 3/4"</t>
  </si>
  <si>
    <t>COTOVELO 90 GRAUS EM PVC RIGIDO SOLDAVEL DE 4" (ESGOTO)</t>
  </si>
  <si>
    <t>COTOVELO 45 GRAUS EM PVC RIGIDO SOLDAVEL 2"</t>
  </si>
  <si>
    <t>COTOVELO EM PVC AZUL-COLA E ROSCA DE 3/4"</t>
  </si>
  <si>
    <t xml:space="preserve">LUVA DE PVC, 1", RIGIDO SOLDAVEL </t>
  </si>
  <si>
    <t>TE DE REDUCAO EM PVC SOLDAVEL, ROSCA, DE 25 MM - 1/2" - AZU</t>
  </si>
  <si>
    <t>TUBO DE PVC BRANCO PARA ESGOTO, DE 150 MM - 6" X 06 M</t>
  </si>
  <si>
    <t>TE EM PVC RIGIDO SOLDAVEL ROSCA AZUL - 3/4"</t>
  </si>
  <si>
    <t>TE DE REDUCAO EM PVC RIGIDO - SOLDAVEL - 150 X 100 MM - 6"</t>
  </si>
  <si>
    <t>COTOVELO 45°, EM PVC SOLDAVEL PARA AGUA, MARROM, 2" (50 MM), DE ACORDO COM A NBR 5648. TODAS AS INFORMACOES DEVERAO ESTAR LITOGRAFADAS NA PECA.</t>
  </si>
  <si>
    <t>NIPLE DUPLO DE REDUCAO ROSQUEAVEL 3/4 X 1/2 EM LATAO</t>
  </si>
  <si>
    <t>COTOVELO 90 GRAUS EM PVC RIGIDO SOLDAVEL DE 32 MM (1")</t>
  </si>
  <si>
    <t>ADAPTADOR EM PVC RIGIDO SOLDAVEL DE 1"</t>
  </si>
  <si>
    <t>LUVA DE REDUCAO EM PVC RIGIDO - MARROM - SOLDAVEL - 1.1/2"</t>
  </si>
  <si>
    <t>LUVA DESLIZANTE EM PVC COM ANEL - MARROM - 1 1/2"</t>
  </si>
  <si>
    <t>BUCHA DE REDUCAO EM PVC RIGIDO SOLDAVEL DE 4" X 2" - ESGOTO".</t>
  </si>
  <si>
    <t>LUVA DE REDUCAO DE ESGOTO 2" X 1.1/2</t>
  </si>
  <si>
    <t>COTOVELO 45° DE PVC - 1" PARA AGUA, DE ACORDO COM A NORMA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</si>
  <si>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</si>
  <si>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</si>
  <si>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ELEMENTO FILTRANTE DE MICRO-FIBRA DE PP</t>
  </si>
  <si>
    <t>ENGATE DE PVC BRANCO FLEXIVEL DE 1/2"- COMP. 40 CM P/</t>
  </si>
  <si>
    <t>ANEL DE VEDACAO EM BORRACHA PARA BACIA SANITARIA - MEDIDA 100MM.</t>
  </si>
  <si>
    <t>CAIXA SIFONADA REDONDA EM PVC RIGIDO DE 100 X 150 X 50 MM (4" X 6" X 2")</t>
  </si>
  <si>
    <t>CAIXA DE DESCARGA COM CORPO PLASTICO (ACOMPANHA ENGATE E</t>
  </si>
  <si>
    <t>GRELHA P/RALO EM INOX, 100MM (4")</t>
  </si>
  <si>
    <t>ESPUDE BRANCO DE BORRACHA DE 1.1/2" PARA BACIAS CONVENCIONAIS DE 2"</t>
  </si>
  <si>
    <t>CAIXA SIFONADA REDONDA EM PVC RIGIDO DE 100 X 100 X 50 MM - 4" X 4"X 2"</t>
  </si>
  <si>
    <t>CAIXA D'AGUA EM POLIETILENO, COM TAMPA - CAPACIDADE 1.000 LITROS</t>
  </si>
  <si>
    <t>CANOPLA COMPLETA P/ VALVULA DE DESCARGA</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</si>
  <si>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</si>
  <si>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</si>
  <si>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VALVULA EM PVC PARA LAVATORIO 1" SEM LADRAO</t>
  </si>
  <si>
    <t>REGISTRO DE PRESSAO 3/4" COM CANOPLA</t>
  </si>
  <si>
    <t>REPARO P/ VALVULA DE DESCARGA 1 1/2" (MARCA DOCOL)</t>
  </si>
  <si>
    <t>VALVULA P/ PIA AMERICANA EM PVC CROMADO - 1.1/2"</t>
  </si>
  <si>
    <t>REPARO P/ VALVULA DE DESCARGA 1 1/4" (MARCA DOCOL)</t>
  </si>
  <si>
    <t>CONJUNTO DE CRUZETA, MOLA E PARAFUSO PARA VALVULA DE DESCARGA</t>
  </si>
  <si>
    <t>REPARO P/ VALVULA DE DESCARGA - MARCA HYDRA-MAX</t>
  </si>
  <si>
    <t>REPARO ACIONADOR PARA VALVULA DE DESCARGA HYDRA LUXO - REF. 4336004</t>
  </si>
  <si>
    <t>REGISTRO TIPO ESFERA, MATERIAL PVC, DIAMETRO 3/4"</t>
  </si>
  <si>
    <t>REGISTRO DE GAVETA EM LIGA DE COBRE DE 3/4" C/ CANOPLA</t>
  </si>
  <si>
    <t>REGISTRO DE GAVETA EM LIGA DE COBRE DE 1.1/2" C/ CANOPLA</t>
  </si>
  <si>
    <t>VALVULA AMERICANA 3 1/2" X 1 1/2" EM INOX</t>
  </si>
  <si>
    <t>REPARO PARA VALVULA HYDRA LUXO - REF. 4686924</t>
  </si>
  <si>
    <t>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t>
  </si>
  <si>
    <t>FIO DE NYLON DE 3,0MM, QUADRADO, USO EM ROCADEIRA LATERAL STIHL FS 220 - PESO APROXIMADO: ROLO C/2 KG</t>
  </si>
  <si>
    <t>ENCOSTO EM MADEIRA  EM LAMINADO MELAMINICO 10MM LISO 30 X 16CM - VERDE CLARO</t>
  </si>
  <si>
    <t>ASSENTO EM MADEIRA  REVESTIDO C/ LAMINADO MELAMINICO 10 MM</t>
  </si>
  <si>
    <t>INSETICIDA AEROSOL A BASE DE AGUA FR C/ 300 ML</t>
  </si>
  <si>
    <t>ACUCAR REFINADO AMORFO/MICROCRISTALINO PT C/ 1KG</t>
  </si>
  <si>
    <t>TUBO DE FERRO GALVANIZADO DN (DIAMETRO NOMINAL) 3/4" - DIAMETRO EXTERNO BASICO 26,9MM ESPESSURA DA PAREDE DE 3,00MM, CLASSE P - ABNT NBR 5580/02 - BARRA C/6 MT</t>
  </si>
  <si>
    <t>TUBO DE FERRO TIPO METALON, 40 X 20 X 1,5 MM, BARRA COM 6 M</t>
  </si>
  <si>
    <t>TUBO DE FERRO METALON - 50 X 50 X 1,5MM - BARRA COM 6 METRO</t>
  </si>
  <si>
    <t>TUBO DE FERRO GALVANIZADO DN (DIAMETRO NOMINAL) 2" - DIAMETRO EXTERNO BASICO 59,6 MM ESPESSURA DA PAREDE DE 3,75MM, CLASSE M - ABNT NBR 5580/02 - BARRA C/6 MT</t>
  </si>
  <si>
    <t>TUBO DE FERRO GALVANIZADO DN (DIAMETRO NOMINAL) 1.1/2" - DIAMETRO EXTERNO BASICO 48,3MM</t>
  </si>
  <si>
    <t>TUBO DE FERRO GALVANIZADO DN (DIAMETRO NOMINAL) 1.1/4"</t>
  </si>
  <si>
    <t>TUBO QUADRADO DE METALON 20MM X 20MM X 1,5MM - BARRA COM 06</t>
  </si>
  <si>
    <t xml:space="preserve">CONTATOR LC1 D18M7  </t>
  </si>
  <si>
    <t>DISJUNTOR NORMA DIN CURVA B PADRAO, BIPOLAR, 10 AMPERES</t>
  </si>
  <si>
    <t>DISJUNTOR NORMA DIN CURVA B PADRAO, BIPOLAR, 20 AMPERES</t>
  </si>
  <si>
    <t>DISJUNTOR NORMA DIN CURVA C PADRAO, BIPOLAR, 63 AMPERES</t>
  </si>
  <si>
    <t>DISJUNTOR NORMA DIN CURVA C PADRAO, BIPOLAR, 32 AMPERES</t>
  </si>
  <si>
    <t>DISJUNTOR NORMA DIN CURVA C PADRAO, BIPOLAR, 50 AMPERES</t>
  </si>
  <si>
    <t>DISJUNTOR NORMA DIN CURVA C PADRAO, TRIPOLAR, 50 AMPERES</t>
  </si>
  <si>
    <t>DISJUNTOR NORMA DIN CURVA C PADRAO, TRIPOLAR, 63 AMPERES</t>
  </si>
  <si>
    <t>DISJUNTOR NORMA DIN CURVA C PADRAO, TRIPOLAR, 80 AMPERES</t>
  </si>
  <si>
    <t>DISJUNTOR NORMA DIN CURVA C PADRAO, TRIPOLAR, 100 AMPERES</t>
  </si>
  <si>
    <t>DISJUNTOR NORMA DIN CURVA C PADRAO, TRIPOLAR, 125 AMPERES</t>
  </si>
  <si>
    <t>DISJUNTOR TRIPOLAR IN = 150A, TENSAO MINIMA DE OPERACAO 240V, CURVA C, NBR 60947-2 - CATEGORIA "A"</t>
  </si>
  <si>
    <t>DISJUNTOR TRIPOLAR IN = 125A, TENSAO MINIMA DE OPERACAO 240V, CURVA C, NBR 60947-2 - CATEGORIA "A"</t>
  </si>
  <si>
    <t>DISJUNTOR TRIPOLAR IN = 225 A, TENSAO MINIMA DE OPERACAO 240V</t>
  </si>
  <si>
    <t>DISJUNTOR TRIPOLAR IN 350 A, TENSAO MINIMA DE OPERACAO 220 V, CURVA C, NBR 60947-2, CATEGORIA A</t>
  </si>
  <si>
    <t>DISJUNTOR NORMA DIN CURVA C PADRAO, BIPOLAR, 10 AMPERES</t>
  </si>
  <si>
    <t>DISJUNTOR NORMA DIN CURVA C PADRAO, BIPOLAR, 20 AMPERES</t>
  </si>
  <si>
    <t>DISJUNTOR NORMA DIN CURVA C PADRAO, BIPOLAR, 40 AMPERES</t>
  </si>
  <si>
    <t>DISJUNTOR NORMA DIN CURVA C PADRAO, TRIPOLAR, 20 AMPERES</t>
  </si>
  <si>
    <t>DISJUNTOR NORMA DIN CURVA C PADRAO, TRIPOLAR, 32 AMPERES</t>
  </si>
  <si>
    <t>DISJUNTOR NORMA DIN CURVA C PADRAO, TRIPOLAR, 40 AMPERES</t>
  </si>
  <si>
    <t>DISJUNTOR NORMA DIN, CURVA C PADRAO, BIPOLAR - 25 AMPERES</t>
  </si>
  <si>
    <t>DISTRIBUIDOR GERAL PARA TELEFONIA, COM VENEZIANAS, DE EMBUTIR</t>
  </si>
  <si>
    <t>LUMINARIA FECHADA TIPO CALHA P/ LAMPADA FLUORESCENTE 2 X 40</t>
  </si>
  <si>
    <t xml:space="preserve">LUMINARIA AUTONOMA DE EMERGENCIA COM LEDS, ALIMENTACAO 110/220V </t>
  </si>
  <si>
    <t>LAMPADA LUZ MISTA 250W X 230V- BASE E27</t>
  </si>
  <si>
    <t>LAMPADA LUZ MISTA 250W X 230V- BASE E40</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</si>
  <si>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</si>
  <si>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</si>
  <si>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REATOR CHOQUE, EXTERNO, TIPO CANECO ALTO FATOR DE POTENCIA 250 W X 220 V PARA LAMPADAS A VAPOR SODIO DE 4,5 HS X 220 V</t>
  </si>
  <si>
    <t>REATOR DE PARTIDA RAPIDA ELETRONICO - 2 X 20W  - 110/220V</t>
  </si>
  <si>
    <t>REATOR ELETROMAGNETICO DE ALTA PRESSAO PARA LAMPADA A VAPOR DE SODIO E METALICA, 250W, 220V/60HZ, USO INTERNO</t>
  </si>
  <si>
    <t>LAMPADA FLUORESCENTE LUZ DO DIA 20W - BASE G13 - 230V</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</si>
  <si>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</si>
  <si>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LAMPADA A VAPOR METALICO TUBULAR 400W, BASE E-40, 220V, MAXIMA TEMPERATURA NA BASE 250ºC, MAXIMA TEMPERATURA NO BULBO 600ºC</t>
  </si>
  <si>
    <t>REATOR INTERNO A VAPOR METALICO - 70W, 220 V</t>
  </si>
  <si>
    <t>REATOR PARA LAMPADA DE VAPOR METALICO</t>
  </si>
  <si>
    <t>PASTA PARA LIMPEZA DE ALUMINIO, POTE COM 500 GRAMAS</t>
  </si>
  <si>
    <t>ALCOOL ETILICO HIDRATADO EM GEL 70° INPM - PARA USO DOMESTICO- FRASCO COM NO MINIMO 480 GR</t>
  </si>
  <si>
    <t>SABAO EM PEDRA C/ 200 GR - COMUM, A BASE DE GLICERINA,SAIS</t>
  </si>
  <si>
    <t>SABONETE LIQUIDO PEROLADO - BOMBONA C/ 05 LITROS</t>
  </si>
  <si>
    <t>SABAO DE COCO, PEDACO C/ 200 GR</t>
  </si>
  <si>
    <t xml:space="preserve">SAPONACEO EM PO, 300G </t>
  </si>
  <si>
    <t>SABAO EM PO - EMBALAGEM C/ 01 KG</t>
  </si>
  <si>
    <t>LIMPADOR GERAL DE MULTIPLO USO - LIMPEZA INSTANTANEA</t>
  </si>
  <si>
    <t>DETERGENTE LIQUIDO,  NEUTRO - INCOLOR - FRASCO C/500ML</t>
  </si>
  <si>
    <t>AREIA MEDIA LAVADA(GRANULAMETRIA 0,6 A 2,4 MM), CONFORME ABNT. O MATERIAL ENTREGUE DEVERA ESTAR APTO A ENSAIOS DE PENEIRAMENTO, CONFORME TABELA 2 - LIMITES DA DISTRIBUICAO GRANULOMETRICA DO AGREGADO MIUDO (ABNT 7211/2005).EQUIVALENCIA APROXIMADA EM TONELADAS: 1,30 A 1,50</t>
  </si>
  <si>
    <t>FOLHA DE PORTA EM IMBUIA - MED: 0,72 X 2,10 M</t>
  </si>
  <si>
    <t>FOLHA DE PORTA TIPO MEXICANA - MED.: 0,82 X 2,10 M</t>
  </si>
  <si>
    <t>FITA DE BORDA CARVALHO MALVA OU SIMILAR, MEDINDO: 22 MM X 0,45 MM X 20 M.</t>
  </si>
  <si>
    <t>SARRAFO DE CEDRINHO DE 1ª, 25 X 100 M/M, BRUTO DE 4,00 M COMPRIMENTO</t>
  </si>
  <si>
    <t>TABUA DE CAMBARA DE 1ª, 25 X 300 MM, BRUTA</t>
  </si>
  <si>
    <t>CHAPA DE MADEIRA COMPENSADA NAVAL C/ 2,20 X 1,60 M ESP.</t>
  </si>
  <si>
    <t>CHAPA DE MADEIRA COMPENSADO LAMINADO DE VIROLA - MEDIDAS: 2,20 M X 1,60 M X 15 MM</t>
  </si>
  <si>
    <t>FOLHA DE PORTA EM IMBUIA - MED: 0,82 X 2,10 M</t>
  </si>
  <si>
    <t>FOLHA DE PORTA TIPO MEXICANA - MED.: 0,92 X 2,10 M</t>
  </si>
  <si>
    <t>FITA DE BORDA EM PVC TEXTURIZADA, 22MM - ROLO COM 300 MTS</t>
  </si>
  <si>
    <t>CHAPA DE LAMINADO MELAMINICO  PARA LOUSA LISA QUADRICULADA (5X5CM) DE FUNDO BRANCO ACABAMENTO BRILHANTE C/ 3,08 X 1,25 M ESP =1,0MM. COR PADRAO: BRANCOLINE</t>
  </si>
  <si>
    <t>GARRAFA TERMICA - 1 LITRO, TAMPA EM FORMATO DE ROSCA</t>
  </si>
  <si>
    <t>LENCOL DESCARTAVEL 70 CM X 50 MT</t>
  </si>
  <si>
    <t xml:space="preserve">TINTA A BASE DE AGUA PARA USO EM CARIMBO AUTO ENTINTADO - FRASCO COM  30 ML -  COR PRETA </t>
  </si>
  <si>
    <t xml:space="preserve">PASTA MOLHA DEDO </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</si>
  <si>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</si>
  <si>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</si>
  <si>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</si>
  <si>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</si>
  <si>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GIZAO DE CERA REDONDO, ATOXICO, COM 6 CORES</t>
  </si>
  <si>
    <t>PASTA PLASTICA COM ELASTICO, SEM LOMBADA, MEDINDO 235MM X 350MM</t>
  </si>
  <si>
    <t>PASTA EM PLASTICO PP CORRUGADO, COM ABAS E ELASTICO REVESTIDO DE TECIDO COM TERMINAIS DE PLASTICO MEDINDO 180MM X 245MM X 20MM</t>
  </si>
  <si>
    <t xml:space="preserve">PINCEL PARA PINTURA, CABO EM MADEIRA CURTO, FORMATO BROXA REDONDO, CERDA GRIS, TAMANHO 4. </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</si>
  <si>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</si>
  <si>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</si>
  <si>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</si>
  <si>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PINCEL PARA PINTURA, CABO EM MADEIRA CURTO, FORMATO CHATO, CERDA BRANCA, TAMANHO 20</t>
  </si>
  <si>
    <t>APONTADOR PARA LAPIS Nº 02, COM DEPOSITO.</t>
  </si>
  <si>
    <t>BORRACHA BRANCA COMUM (SEM CINTA), MEDIDA: 40MM X 30MM X 10MM.</t>
  </si>
  <si>
    <t xml:space="preserve">REGUA DE 30CM EM POLIESTIRENO. COR: TRANSPARENTE, CRISTAL. </t>
  </si>
  <si>
    <t>CANETA HIDROGRAFICA PONTA FINA/MEDIA, CONJUNTO COM 12  CORES</t>
  </si>
  <si>
    <t>LAPIS DE COR, SEXTAVADO, COM 24 CORES</t>
  </si>
  <si>
    <t>LAPIS DE COR JUMBO, MODELO TRIANGULAR, EM 12 CORES.</t>
  </si>
  <si>
    <t>LAPIS GRAFITE Nº 2, SEXTAVADO, CORPO FEITO EM MADEIRA.</t>
  </si>
  <si>
    <t>CANETA MARCA TEXTO - AMARELA</t>
  </si>
  <si>
    <t>CANETA P/ RETROPROJETOR - PRETA, PONTA 2 MM</t>
  </si>
  <si>
    <t>CANETA P/ RETROPROJETOR - VERMELHA, PONTA 2 MM</t>
  </si>
  <si>
    <t>PINCEL ATOMICO PONTA RETANGULAR, COR VERMELHA</t>
  </si>
  <si>
    <t>PINCEL ATOMICO PONTA RETANGULAR 5 X 8 MM, CHANFRADA - COR PRETA</t>
  </si>
  <si>
    <t>CANETA HIDROGRAFICA JUMBO COM 12 CORES, PONTA GROSSA, TINTA LAVAVEL</t>
  </si>
  <si>
    <t>CANETA HIDROGRAFICA JUMBO PRETA, PONTA GROSSA, TINTA LAVAVEL.</t>
  </si>
  <si>
    <t xml:space="preserve">CANETA HIDROGRAFICA PRETA PONTA DE 2MM. </t>
  </si>
  <si>
    <t>MARCADOR DE QUADRO BRANCO, PONTA DE 04 MM (MINIMO) REDONDA DE ACRILICO OU POLISTER. COR INTENSA E FACIL DE APAGAR. A MARCA DEVERA SER LITOGRAFADA NO PRODUTO. COR: AZUL</t>
  </si>
  <si>
    <t>MARCADOR DE QUADRO BRANCO, PONTA DE 04 MM (MINIMO) REDONDA DE ACRILICO OU POLISTER. COR INTENSA E FACIL DE APAGAR. A MARCA DEVERA SER LITOGRAFADA NO PRODUTO. COR: PRETO</t>
  </si>
  <si>
    <t>CANETA ESFEROGRAFICA AZUL, CORPO SEXTAVADO.</t>
  </si>
  <si>
    <t>CANETA ESFEROGRAFICA VERMELHA, CORPO SEXTAVADO.</t>
  </si>
  <si>
    <t>ENVELOPE PARDO TIPO SACO - 162 X 229MM - GRAMATURA MINIMA 80 G/M²</t>
  </si>
  <si>
    <t>LIVRO P/ REGISTRO DE CORRESPONDENCIA - 100 FOLHAS - CAPA DURA - MED. 160 X 220 MM</t>
  </si>
  <si>
    <t>ENVELOPE PARDO TIPO SACO 240 X 340MM- GRAMATURA MINIMA 80 G/M²</t>
  </si>
  <si>
    <t>ENVELOPE PARDO TIPO SACO 310  X 410 MM- GRAMATURA MINIMA 80 G/M²</t>
  </si>
  <si>
    <t>PASTA DE CARTOLINA PLASTIFICADA MOD. C/ FERRAGEM - PRETA -</t>
  </si>
  <si>
    <t>CAIXA PARA ARQUIVO MORTO EM POLIONDA</t>
  </si>
  <si>
    <t>ENVELOPE BRANCO - OFICIO - 114 X 229 MM- GRAMATURA MINIMA 63 G/M²</t>
  </si>
  <si>
    <t>BLOCO P/ RECADOS AUTO COLANTE - MED 76 X 102 MM</t>
  </si>
  <si>
    <t>BLOCO P/ RECADOS AUTO COLANTE - MED. 38 X 51</t>
  </si>
  <si>
    <t>CAPA EM POLIPROPILENO, TAMANHO A4, 0,30 MM DE ESPESSURA, TRANSPARENTE</t>
  </si>
  <si>
    <t>CAPA EM POLIPROPILENO, TAMANHO A4, 0,30 MM DE ESPESSURA, PRETO</t>
  </si>
  <si>
    <t>SACO PLASTICO - GROSSO - 4 FUROS - TAMANHO OFICIO</t>
  </si>
  <si>
    <t>ENVELOPE OURO TIPO SACO 80 X 115 MM- GRAMATURA MINIMA 80 G/M²</t>
  </si>
  <si>
    <t xml:space="preserve">PASTA SUSPENSA, DE POLIPROPILENO(PP-LINE), </t>
  </si>
  <si>
    <t>LIVRO DE ATA, CAPA DURA, COM 50 FOLHAS - MEDIDA: 206 X 300 MM (VARIACAO +/- 6 MM)</t>
  </si>
  <si>
    <t>LIVRO DE ATA, CAPA DURA, COM 100 FOLHAS - MEDIDA: 206 X 300 MM (VARIACAO +/- 6 MM)</t>
  </si>
  <si>
    <t>CADERNO BROCHURA, 96 FOLHAS, CAPA DURA.</t>
  </si>
  <si>
    <t>CADERNO ESPIRAL CAPA DURA 1/4 96 FLS, CAPA DURA.</t>
  </si>
  <si>
    <t>CADERNO ESPIRAL UNIVERSITARIO, 200 FOLHAS, CAPA DURA.</t>
  </si>
  <si>
    <t>CADERNO ESPIRAL UNIVERSITARIO, 96 FOLHAS, CAPA DURA.</t>
  </si>
  <si>
    <t>CADERNO DE DESENHO ESPIRAL, 96 FOLHAS, CAPA DURA.</t>
  </si>
  <si>
    <t>EXTRATOR DE GRAMPOS - TIPO ESPATULA</t>
  </si>
  <si>
    <t>CLIPS 30 MM DE COMPRIMENTO - CX C/ 100 UN</t>
  </si>
  <si>
    <t>GRAMPO P/ PAPEL N°1 TIPO TRANCADO - CX COM 12 UNID</t>
  </si>
  <si>
    <t>PERFURADOR P/ PAPEL - 2 FUROS - MEDIO</t>
  </si>
  <si>
    <t>GRAMPO TRILHO P/ PASTA 80 MM</t>
  </si>
  <si>
    <t>TESOURA EM ACO INOXIDAVEL, COM CABO EM POLIPROPILENO, 18 CM (VARIAÇÃO +/- 3 CM)</t>
  </si>
  <si>
    <t>BARBANTE DE ALGODAO 4 FIOS - ROLO COM 250 GR</t>
  </si>
  <si>
    <t>FITA ADESIVA CREPADA  - 19 MM X 50 M</t>
  </si>
  <si>
    <t>ETIQUETA ADESIVA - 36 X 102 MM - FOLHA C/ 24 UNIDADES - TIPO FORMULARIO CONTINUO</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</si>
  <si>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</si>
  <si>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</si>
  <si>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</si>
  <si>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</si>
  <si>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</si>
  <si>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COLA BRANCA , FRASCO COM 1 KG - COMPOSICAO RESINA DE PVA, LAVAVEL, CERTIFICADA PELO INMETRO</t>
  </si>
  <si>
    <t>ESTILETE DE METAL C/ LAMINA ESTREITA</t>
  </si>
  <si>
    <t>LAPIS DE COR AQUARELAVEL, CAIXA COM 12 CORES, TINTAS ATOXICAS, SOLUVEIS EM AGUA. DIMENSAO DA CAIXA: 215MM X 95MM X 13MM (VARIACAO +/- 10MM). PRODUTO COM CERTIFICACAO DO INMETRO</t>
  </si>
  <si>
    <t>ESQUADRO DE 45° - COR: TRANSPARENTE.</t>
  </si>
  <si>
    <t>ESQUADRO DE 60° - COR: TRANSPARENTE.</t>
  </si>
  <si>
    <t>TRANSFERIDOR DE 180° - COR: TRANSPARENTE</t>
  </si>
  <si>
    <t>GIZ DE CERA JUMBO, COM NO MINIMO 12 CORES, ATOXICO.</t>
  </si>
  <si>
    <t>APAGADOR PARA QUADRO BRANCO - NAO MAGNETICO</t>
  </si>
  <si>
    <t>GIZ DE CORES DIVERSAS, ANTIALERGICO, CAIXA COM 50 UNIDADES</t>
  </si>
  <si>
    <t>PLASTICO BOLHA - MEDIDA 1,20 M LARGURA</t>
  </si>
  <si>
    <t>PLASTICO CRISTAL TRANSPARENTE DE 0,40 MICRONS X 1,40 M LARGURA  X 30 M DE COMPRIMENTO</t>
  </si>
  <si>
    <t>TINTA GUACHE - POTE COM 250ML - COR BRANCA</t>
  </si>
  <si>
    <t>TINTA GUACHE - POTE COM 250ML - COR PRETA</t>
  </si>
  <si>
    <t>TINTA GUACHE - POTE COM 250ML - COR VERDE</t>
  </si>
  <si>
    <t>TINTA GUACHE - POTE COM 250ML - COR VERMELHA</t>
  </si>
  <si>
    <t>TINTA GUACHE, POTE COM 250 ML, LARANJA</t>
  </si>
  <si>
    <t>TINTA GUACHE, POTE COM 250 ML, AZUL CLARO</t>
  </si>
  <si>
    <t>TINTA GUACHE,  ATOXICA, COR AMARELO-OURO, CONTENDO 250 ML</t>
  </si>
  <si>
    <t>FILTRO COM TAMPA E COPO EM POLIPROPILENO, VAZAO 1200 L/H, SAIDA 1/2", BRANCO COM ROSCA EXTERNA NO COPO E INTERNA NA TAMPA E COM REDUCAO DE 3/4" PARA 1/2" EM LATAO.</t>
  </si>
  <si>
    <t>VELA(REFIL), PARA FILTRO MOD. AP 055</t>
  </si>
  <si>
    <t>RELE TERMICO 5.5 A 8A LRD12 ( SCH )</t>
  </si>
  <si>
    <t>RELE TERMICO 7 A 10A LRD14 ( SCH )</t>
  </si>
  <si>
    <t>RELE TERMICO 12 A 18A LRD21 ( SCH )</t>
  </si>
  <si>
    <t xml:space="preserve">CONTROLADOR ROTATIVO DE VELOCIDADE COM CHAVE PARA VENTILADORES </t>
  </si>
  <si>
    <t>CAL HIDRATADA - SACO COM 20 KG</t>
  </si>
  <si>
    <t>MASSA CORRIDA PVA - LATA C/ 18 LITROS</t>
  </si>
  <si>
    <t>CIMENTO COMUM CPII-32 - SACO C/ 50KG - O MATERIAL DEVERA SER ENTREGUE EM LOTE PALETIZADO PROTEGIDO COM FILME PLASTICO.</t>
  </si>
  <si>
    <t>GESSO ESTUQUE, EMBALAGEM C/ 01 KG</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</si>
  <si>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</si>
  <si>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CIMENTO COLANTE - SACO COM 20 KG (PARA USO INTERNO E EXTERNO)</t>
  </si>
  <si>
    <t>TIJOLO COMUM DE BARRO MEDINDO 20 X 9 X 4 CM</t>
  </si>
  <si>
    <t>PISO DE CONCRETO, TIPO INTERTRAVADO RETANGULAR, COR NATURAL, DIMENSOES: 200 X 100MM, ESPESSURA: 60MM, RESISTENCIA DE 35MPA</t>
  </si>
  <si>
    <t>DOBRADICA DE FERRO POLIDO 1.1/2"</t>
  </si>
  <si>
    <t>MACANETA ALAVANCA CROMADA P/ PORTA DE MADEIRA</t>
  </si>
  <si>
    <t>GONZO COM CHUMBADOR N. 3 (65MM)</t>
  </si>
  <si>
    <t>TARJETA CROMADA 3"</t>
  </si>
  <si>
    <t>TRINCO FECHO CHATO 4"</t>
  </si>
  <si>
    <t>TARJETA CROMADA 2"</t>
  </si>
  <si>
    <t>PUXADOR EXTERNO PARA ARMARIO, COM 2 PARAFUSOS - TIPO ALCA - MEDIDA: 14,5 CM X 2,5 CM</t>
  </si>
  <si>
    <t>FECHO CHATO COM PORTA CADEADO ZINCADO 5" REFORCADO, COM PARAFUSOS, MATERIAL DO FECHO:  ACO CARBONO, MEDIDA: 127MM.</t>
  </si>
  <si>
    <t>PORTA CADEADO DE FERRO ZINCADO DE 1 1/2"</t>
  </si>
  <si>
    <t>CADEADO DE LATAO - 30 MM</t>
  </si>
  <si>
    <t>CADEADO DE LATAO - 50 MM</t>
  </si>
  <si>
    <t>PORTA CADEADO DE FERRO ZINCADO DE 3 1/2"</t>
  </si>
  <si>
    <t>CADEADO DE LATAO - 40 MM</t>
  </si>
  <si>
    <t>PORTA CADEADO DE FERRO ZINCADO 2"</t>
  </si>
  <si>
    <t>FERRO CHATO 1 X 1/ 8" BARRA C/ 06 METROS</t>
  </si>
  <si>
    <t>FERRO TIPO U DE 2" X 1/8</t>
  </si>
  <si>
    <t>FERRO TIPO U DE 3" X 1/8" - BARRA COM 06 METROS</t>
  </si>
  <si>
    <t>FERRO REDONDO DE 5/8" - BARRA COM 06 METROS (FERRO MECANICO</t>
  </si>
  <si>
    <t>FERRO CHATO 1/2" X 1/4" - BARRA C/ 06 METROS</t>
  </si>
  <si>
    <t>FERRO TIPO U DE 6" X 1/8" - BARRA COM 06 METROS</t>
  </si>
  <si>
    <t>TELHA DE BARRO COZIDO - TIPO ROMANA</t>
  </si>
  <si>
    <t>CUMEEIRA DE BARRO COZIDO</t>
  </si>
  <si>
    <t>TELHA DE FIBROCIMENTO - 0,90 X 8,20 M - TIPO CANALETE</t>
  </si>
  <si>
    <t>TELHA EM CIMENTO REFORCADO</t>
  </si>
  <si>
    <t>TELHA EM CIMENTO REFORCADO COM FIO SINTETICO(CRFS)</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</si>
  <si>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</si>
  <si>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</si>
  <si>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CUMEEIRA ARTICULADA FIBRA SINTETICA CRFS, 1,10 X 06 MM - SUPERIOR</t>
  </si>
  <si>
    <t>CUMEEIRA ARTICULADA FIBRA SINTETICA CRFS, 1,10 X 06 MM - INFERIOR</t>
  </si>
  <si>
    <t>PISO DE BORRACHA MODELO S, ISENTO DE SUBSTANCIAS TOXICAS COM ABSORCAO DE IMPACTOS ANTI DERRAPANTES, NA MEDIDA 270X180X60MM</t>
  </si>
  <si>
    <t>PISO DE BORRACHA MODELO I, ISENTO DE SUBSTANCIAS TOXICAS COM ABSORCAO DE IMPACTOS ANTI DERRAPANTES, NA MEDIDA 335 X255 X20 MM</t>
  </si>
  <si>
    <t>PISO DE BORRACHA MODELO S, COR : TERRACOTA NA MEDIDA: 270 X 180 X 60 MM.</t>
  </si>
  <si>
    <t>PISO DE BORRACHA MODELO I, COR: AMARELO, NA MEDIDA 335 X 255 X 20 MM.</t>
  </si>
  <si>
    <t>FORRO EM PVC BRANCO LISO, REGUA DE 6M DE COMPRIMENTO, 20CM DE LARGURA - 10MM DE ESPESSURA (ESPESSURA COM TOLERANCIA DE +/- 2MM)</t>
  </si>
  <si>
    <t>ISOPOR PARA FORRO, COM APLICACAO DE MASSA ACRILICA (IMPERMEAVEL), COR BRANCO, DIMENSAO: 625 X 1250 X 20 MM - VARIACAO: +/- 10 MM</t>
  </si>
  <si>
    <t>CAIXILHO DE FERRO PERFILADO BASCULANTE - MEDIDAS: 0,80 X 0,</t>
  </si>
  <si>
    <t>CAIXILHO DE FERRO PERFILADO - DE CORRER - 1,20 X 2,00 M</t>
  </si>
  <si>
    <t>CAIXILHO DE FERRO PERFILADO BASCULANTE - MEDIDAS: 1,00 X 1,</t>
  </si>
  <si>
    <t>CAIXILHO DE FERRO PERFILADO DE CORRER, S/ GRADE - MEDIDAS:</t>
  </si>
  <si>
    <t>ALAVANCA EM FERRO  PARA VITRO, TAMANHO PADRAO</t>
  </si>
  <si>
    <t>VITRO DE CORRER EM ALUMINIO COM VIDROS E GRADE EM ALUMINIO FOSCO MEDINDO: 2,00 X 1,20M</t>
  </si>
  <si>
    <t>VITRO DE CORRER EM ALUMINIO COM VIDROS E GRADE EM ALUMINIO FOSCO MEDINDO: 1,50 X 1,20M</t>
  </si>
  <si>
    <t>FOLHA DE PORTA - EM IMBUIA - 0,92 X 2,10 M</t>
  </si>
  <si>
    <t>FOLHA DE PORTA DE IMBUIA - MED. 1,02 X 2,10 M</t>
  </si>
  <si>
    <t>GUARNICAO ADESIVA, EM EPDM PRETA, MEDIDA: 11 X 6,4 MM (VARIACAO: +/- 1 MM)</t>
  </si>
  <si>
    <t>TELA DE ARAME GALVANIZADO - FIO 10 - MALHA 2.1/2" X 2 METROS DE ALTURA</t>
  </si>
  <si>
    <t>TELA EM ACO INOX 304, MALHA 14, DIAMETRO DO FIO 0,25 MM, LARGURA 1.200 MM (PODENDO VARIAR +/- 50 MM) - ROLO COM 30 METROS.</t>
  </si>
  <si>
    <t>ADESIVO P/ CHAPISCO, CONCRETO E ARGAMASSA - BALDE C/18 LITROS</t>
  </si>
  <si>
    <t>MASSA PARA CALAFETAR A BASE DE POLIBUTENO EM FILETES - CAIX</t>
  </si>
  <si>
    <t>MANTA ASFALTICA, AUTO ADESIVA - MEDIDAS: 10CM DE LARGURA X 10 M DE COMPRIMENTO</t>
  </si>
  <si>
    <t>ADESIVO SELANTE PARA VEDACAO/CALAFETACAO  DE CALHAS RUFOS E AFINS,  A BASE DE POLIURETANO - TUBO DE 350 A 400 GRAMAS</t>
  </si>
  <si>
    <t>VASO SANITARIO SIFONADO CONVENCIONAL DE LOUÇA PADRAO POPULAR NA COR BRANCA</t>
  </si>
  <si>
    <t>VASO SANITARIO INFANTIL, NA COR BRANCA, MATERIAL EM LOUCA NAS DIMENSOE: 30 X 31 X 41,5 CM (ALTURA/LARGURA/COMPRIMENTO)  MEDIDAS PODENDO VARIAR EM + / - 03 CM</t>
  </si>
  <si>
    <t>PIA DE ACO INOX, 1 CUBA - 2,00 X 0,53M</t>
  </si>
  <si>
    <t>PIA DE ACO INOX COM 01 CUBA, MEDINDO 1,50 M DE COMP. E LARGURA MINIMA DE 53 CM</t>
  </si>
  <si>
    <t>PIA DE ACO INOX COM 02 CUBAS, MEDINDO 2,00 M DE COMP. E LARGURA MINIMA DE 53 CM</t>
  </si>
  <si>
    <t>TANQUE DE CONCRETO PRE-MOLDADO P/ LAVAGEM DE ROUPAS DE 0,70 X 0,70M</t>
  </si>
  <si>
    <t>LAVATORIO SUSPENSO INFANTIL, NA COR BRANCA, MATERAL EM LOUCA NAS DIMENSOES: 38 X 28 CM (COMPRIMENTO/LARGURA). MEDIDAS PODENDO VARIAR EM + / - 03 CM.</t>
  </si>
  <si>
    <t>TAMPO E ASSENTO P/ VASO SANITARIO ( INFANTIL )</t>
  </si>
  <si>
    <t xml:space="preserve">RESERVATORIO INTERNO PARA SABONETEIRA EM PLASTICO - CAPACIDADE 800 ML </t>
  </si>
  <si>
    <t>SABONETEIRA EM ABS NA COR BRANCA</t>
  </si>
  <si>
    <t>ASSENTO PARA VASO SANITARIO EM POLIURETANO EXPANDIDO COM TAMPA EM POLIPROPILENO, FIXACAO COM ELEMENTOS DE PLASTICO COM POSSIBILIDADE DE AJUSTE EM TODAS AS DIRECOES</t>
  </si>
  <si>
    <t>COLA ADESIVO DE MONTAGEM PARA USO INTERNO</t>
  </si>
  <si>
    <t>GRELHA COM PORTA GRELHA, REDONDA EM ALUMINIO 4"</t>
  </si>
  <si>
    <t>GRELHA REDONDA PARA RALO EM INOX, 6" COM DISPOSITIVO DE VEDACAO PARA INSETO</t>
  </si>
  <si>
    <t>BOBINA DE SACO PLASTICO PICOTADO PARA EMBALAGEM - MED. 35 X 45 CM</t>
  </si>
  <si>
    <t>PAPEL DE SEDA BRANCO CALANDRADO 14 X 14 CM (GUARDANAPO TIPO TV), 100% FIBRAS CELULOSICAS, EM PACOTES COM 500 UNIDADES</t>
  </si>
  <si>
    <t>FILTRO DE LUZ RETANGULAR P/ MASCARA DE PROTECAO, TONALIDADE</t>
  </si>
  <si>
    <t>LUVA DE RASPA  - CANO MEDIO</t>
  </si>
  <si>
    <t>PERNEIRA DE RASPA DE COURO   ****** USAR O CODIGO 93346 ******</t>
  </si>
  <si>
    <t>FILTRO DE LUZ REDONDO P/ MASCARA DE PROTECAO - ESPESS 2MM,</t>
  </si>
  <si>
    <t>RESPIRADOR SEMI-FACIAL, COM ENCAIXE TIPO ROSCA PARA 02 CARTUCHOS DE FILTROS</t>
  </si>
  <si>
    <t>LUVA DE LATEX PARA PROCEDIMENTO, TAM. M.</t>
  </si>
  <si>
    <t>LUVA DE LATEX PARA PROCEDIMENTO, TAM. G.</t>
  </si>
  <si>
    <t xml:space="preserve">BOTINA DE COURO N° 38, C/BICO DE ACO, SOLADO PU  </t>
  </si>
  <si>
    <t>BOTINA DE COURO N° 41, C/BICO DE ACO, SOLADO PU</t>
  </si>
  <si>
    <t>BOTINA DE COURO N° 42, C/BICO DE ACO, SOLADO PU</t>
  </si>
  <si>
    <t xml:space="preserve">LUVA DE RASPA DE COURO, CANO CURTO.  </t>
  </si>
  <si>
    <t xml:space="preserve">MANGOTE DE RASPA </t>
  </si>
  <si>
    <t>LUVA DE LATEX - TAMANHO M.</t>
  </si>
  <si>
    <t>LUVA DE VAQUETA - COMPRIMENTO DE 28 CM</t>
  </si>
  <si>
    <t>BOTINA DE COURO N° 45, C/BICO DE ACO, SOLADO DE BORRACHA</t>
  </si>
  <si>
    <t>SAPATO DE SEGURANCA N° 37,  MOD. FEMININO.</t>
  </si>
  <si>
    <t>SAPATO DE COURO N° 38, MOD. FEMININO.</t>
  </si>
  <si>
    <t>LUVA DE RASPA DE COURO, CANO LONGO</t>
  </si>
  <si>
    <t>BOTA DE PVC N° 38 - CANO CURTO</t>
  </si>
  <si>
    <t>BOTA DE PVC N° 40 - CANO CURTO</t>
  </si>
  <si>
    <t>BOTA DE PVC N° 41 - CANO CURTO</t>
  </si>
  <si>
    <t>BOTA DE PVC N° 42 - CANO CURTO</t>
  </si>
  <si>
    <t>CAPA DE CHUVA NA COR AMARELA, CONFECCIONADA EM PVC LAMINADO COM FORRO DE POLIESTER - TAM. G</t>
  </si>
  <si>
    <t>RESPIRADOR PURIFICADOR DE AR TIPO PECA SEMIFACIAL FILTRANTE PARA PARTICULAS - PFF2, FORMATO TIPO CONCHA</t>
  </si>
  <si>
    <t>OCULOS DE PROTECAO CONTRA IMPACTOS</t>
  </si>
  <si>
    <t xml:space="preserve">FITA PLASTICA P/ ISOLAMENTO DE TRAFEGO PRETA/AMARELA - ROLO COM 100 M </t>
  </si>
  <si>
    <t xml:space="preserve">FILTRO QUIMICO PARA  VAPORES ORGANICOS </t>
  </si>
  <si>
    <t>ARTICULADOR PARA INFRAVERMELHO COM PARAFUSO</t>
  </si>
  <si>
    <t>PROTETOR DE LINHA, PARA ALARME, TIPO LD</t>
  </si>
  <si>
    <t>TECLADO PARA ALARMES- COMPATIBILIDADE COM PLACA CENTRAL DE ALARME ADEMCO VISTA 48, VISOR DE CRISTAL LIQUIDO ALFANUMERICO, TECLAS ILUMINADAS.</t>
  </si>
  <si>
    <t>BATERIA DE 12 V E 7 A DO TIPO GELATINOSA</t>
  </si>
  <si>
    <t>SIRENE- POTENCIA SONORA DE 120 DB, ALIMENTACAO 12V, SUPORTE PARA FIXACAO.</t>
  </si>
  <si>
    <t>BOTAO ALARME PANICO BLOQUEADOR</t>
  </si>
  <si>
    <t>PROTETOR DE LINHA TELEFONICA</t>
  </si>
  <si>
    <t>DISPOSITIVO DE PROTECAO CONTRA SOBRETENSOES TRANSITORIAS, TENSAO NOMINAL MINIMA 220V, CORRENTE MINIMA DE SURTO 40KA (8/20US) PADRAO IEC (CONF. NORMA ABNT 5410)</t>
  </si>
  <si>
    <t xml:space="preserve">AVENTAL DE RASPA,  EM COURO. </t>
  </si>
  <si>
    <t>LUVA DE LATEX - TAMANHO G</t>
  </si>
  <si>
    <t xml:space="preserve">MASCARA MOD DOBRAVEL </t>
  </si>
  <si>
    <t>CALCADO SEM COMPONENTES METALICOS Nº 36</t>
  </si>
  <si>
    <t>CALCADO SEM COMPONENTES METALICOS Nº 39</t>
  </si>
  <si>
    <t>CALCADO SEM COMPONENTES METALICOS Nº 40</t>
  </si>
  <si>
    <t>CALCADO SEM COMPONENTES METALICOS Nº 41</t>
  </si>
  <si>
    <t>SAPATO DE COURO N° 42, SOLADO DE POLIURETANO BIDENSIDADE,  SEM COMPONENTES METALICOS</t>
  </si>
  <si>
    <t>CAMISA DE BRIM, N° 1, CONFECCIONADA EM TECIDO 100% ALGODAO, NA COR AZUL MARINHO.</t>
  </si>
  <si>
    <t>CONFECCAO DE CAMISA DE BRIM, N° 7</t>
  </si>
  <si>
    <t>CONFECCAO DE CALCA DE BRIM, N° 46</t>
  </si>
  <si>
    <t>SENSOR DE MICROONDAS DE ALARME PARA AREA SEMI ABERTA</t>
  </si>
  <si>
    <t>PROTETOR REDE ELETRICA - PROTECAO CONTRA DESCARGAS ELETRICAS, COMPOSICAO VARISTORES E CENTELHADOR DE GAS, BORNE PARA CONEXAO FIO TERRA, BIVOLT, MONOFASICO 110V OU 220V.</t>
  </si>
  <si>
    <t>INTERRUPTOR 10A X 250V INTERNO C/ 02 TECLAS C/ PLACA</t>
  </si>
  <si>
    <t>INTERRUPTOR 10A X 250V INTERNO C/PLACA-  01 TECLA</t>
  </si>
  <si>
    <t>CHAVE BOIA INFERIOR 15 A (CONTROLE DE NIVEL AUTOMATICO)</t>
  </si>
  <si>
    <t>PILHA PALITO AAA - ALCALINA</t>
  </si>
  <si>
    <t>CABO DE COBRE, ISOLACAO PVS 750V COM COBERTURA DE PVC - 2 X 1,5 MM</t>
  </si>
  <si>
    <t>CABO DE COBRE FLEXIVEL BITOLA 150 MM²,  0,6/1 KV ISOLACAO DE PVC 70° C, COR PRETA - ANTI-CHAMA</t>
  </si>
  <si>
    <t>CABO DE COBRE FLEXIVEL BITOLA  95 MM²,  750 V ISOLACAO DE PVC 70° C, COR VERDE - ANTI-CHAMA.</t>
  </si>
  <si>
    <t>CABO DE COBRE FLEXIVEL BITOLA 70 MM²,  0,6/1 KV ISOLACAO DE PVC 70° COR AZUL CLARO - ANTI-CHAMA.</t>
  </si>
  <si>
    <t>CABO 04 VIAS DE CORES DIFERENTES (4 X 60)</t>
  </si>
  <si>
    <t xml:space="preserve">CABO DE COBRE FLEXIVEL BITOLA 185 MM2 , ISOLACAO 0,6/1 KV, COR PRETA - ANTICHAMA </t>
  </si>
  <si>
    <t>CABO DE COBRE FLEXIVEL, BITOLA 50MM2, 0,6/1 KV, ISOLACAO DE PVC 70° C, COR AZUL CLARO - ANTI-CHAMA</t>
  </si>
  <si>
    <t>DISJUNTOR NORMA DIN CURVA C PADRAO, TRIPOLAR, 10 AMPERES</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</si>
  <si>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</si>
  <si>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</si>
  <si>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</si>
  <si>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TRILHO PARA DISJUNTOR TIPO DIN</t>
  </si>
  <si>
    <t>INTERRUPTOR DIFERENCIAL RESIDUAL BIPOLAR</t>
  </si>
  <si>
    <t>DISJUNTOR TRIPOLAR IN 300 A, TENSAO MINIMA DE OPERACAO 220V, CURVA C, NBR 60947-2 - CATEGORIA A</t>
  </si>
  <si>
    <t>ROLDANA PLASTICA P/ FIXACAO DE FIOS ELETRICOS - 30 X 30 - C</t>
  </si>
  <si>
    <t>ROLDANA PLASTICA P/ FIXACAO DE FIOS ELETRICOS - 24 X 24 - C</t>
  </si>
  <si>
    <t>KIT BARRAMENTO</t>
  </si>
  <si>
    <t xml:space="preserve">KIT BARRAMENTO CONTENDO: BARRAMENTO TRIFASICO DE COBRE CHATO ELETROLITICO 250 A  </t>
  </si>
  <si>
    <t>SOQUETE PARA BASE G13</t>
  </si>
  <si>
    <t>QUADRO DE DISTRIBUICAO DE EMBUTIR PARA 56 DISJUNTORES</t>
  </si>
  <si>
    <t>QUADRO DE DISTRIBUICAO DE SOBREPOR TRIFASICO 225 AMPERES PARA 70 DISJUNTORES TIPO DIN</t>
  </si>
  <si>
    <t>QUADRO DE DISTRIBUICAO PARA 36 DISJUNTORES TIPO DIN DE PVC, DE EMBUTIR</t>
  </si>
  <si>
    <t>CAIXA DE PASSAGEM EM CHAPA METALICA DE SOBREPOR</t>
  </si>
  <si>
    <t>DISTRIBUIDOR GERAL PARA TELEFONIA</t>
  </si>
  <si>
    <t>CAIXA PLASTICA DE SOBREPOR COM TAMPA - MEDIDAS: 23 X 17 X 90 CM</t>
  </si>
  <si>
    <t>ELETRODUTO FLEXIVEL CORRUGADO DE 3/4" - COR AMARELA</t>
  </si>
  <si>
    <t>CURVA 90 GRAUS DE ACO CARBONO GALVANIZADO P/ ELETRODUTO</t>
  </si>
  <si>
    <t>LUVA EM ACO CARBONO GALVANIZADO P/ ELETRODUTO 2" - ROSQUEAV</t>
  </si>
  <si>
    <t>VERGALHAO ROSQUEADO DE 1/4" X 3 METROS</t>
  </si>
  <si>
    <t>ARRUELA LISA 5/16</t>
  </si>
  <si>
    <t>ARRUELA LISA 1/4"</t>
  </si>
  <si>
    <t>ELETRODUTO DE FERRO GALVANIZADO - 3/4"</t>
  </si>
  <si>
    <t>BUCHA C/ARRUELA EM ZAMAK P/ELETRODUTO - DIAMETRO 1 1/2"</t>
  </si>
  <si>
    <t xml:space="preserve">ELETRODUTO GALVANIZADO A FOGO - LEVE  1" </t>
  </si>
  <si>
    <t>ELETRODUTO CORRUGADO 1" - COR: AMARELA</t>
  </si>
  <si>
    <t>TAMPA CEGA DE ALUMINIO PARA CONDULETE DE 1.1/2"</t>
  </si>
  <si>
    <t>CONECTOR TIPO SPLIT BOLT-SIMPLES/SIMPLES P/ 2 CABOS DE COBRE DE 10MM2</t>
  </si>
  <si>
    <t>CONECTOR A PRESSAO TIPO SPLIT BOLT-SIMPLES/SIMPLES P/ 2</t>
  </si>
  <si>
    <t>CONECTOR TIPO SPLIT BOLT-SIMPLES/SIMPLES P/ 2 CABOS DE COBRE DE 16MM2</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</si>
  <si>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</si>
  <si>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</si>
  <si>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</si>
  <si>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</si>
  <si>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</si>
  <si>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</si>
  <si>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CONECTOR TIPO SPLIT BOLT-SIMPLES/SIMPLES P/ 2 CABOS DE COBRE DE 120 MM2</t>
  </si>
  <si>
    <t>CAIXA PARA TELEFONIA TIPO TPF-10 COM TAMPA, PARA USO EXTERNO EM POSTE, COM BLOCO BER 10 PARES, PADRAO ANATEL.</t>
  </si>
  <si>
    <t>TERMINAL A PRESSAO REFORCADO P/ 1 CABO DE COBRE 50MM2 C/ 1</t>
  </si>
  <si>
    <t>TERMINAL A PRESSAO REFORCADO P/ 1 CABO DE COBRE 95MM2 C/ 1</t>
  </si>
  <si>
    <t>TERMINAL A PRESSAO POR ALICATE BITOLA 16,0MM - TIPO ANEL</t>
  </si>
  <si>
    <t>TERMINAL A COMPRESSAO REFORCADO P/ 1 CABO DE COBRE 150MM2 C/ 1 FURO DE FIXACAO</t>
  </si>
  <si>
    <t>TERMINAL A COMPRESSAO REFORCADO P/ 1 CABO DE COBRE 95 MM2 C/ 1 FURO DE FIXACAO</t>
  </si>
  <si>
    <t>TERMINAL A COMPRESSAO PARA 1 CABO DE COBRE 25 MM2 COM 1 FURO DE FIXACAO</t>
  </si>
  <si>
    <t>TERMINAL A COMPRESSAO PARA 1 CABO DE COBRE 50 MM2 TIPO ANEL</t>
  </si>
  <si>
    <t>TOMADA MOVEL 2P+T NBR 14136 DE 20A/250V</t>
  </si>
  <si>
    <t>TOMADA MOVEL PADRAO NBR 14136 2 +T  DE 10A/250V</t>
  </si>
  <si>
    <t>TOMADA PADRAO NBR 14136 COM 2 TOMADAS 2P + T DE 10A/250V DE EMBUTIR COM ESPELHO COR BRANCA PARA CAIXA 4X2.</t>
  </si>
  <si>
    <t>TOMADA PADRAO NBR 14136 2P + T DE 10A/250V DE SOBREPOR COM CAIXA COR BRANCA.</t>
  </si>
  <si>
    <t>TRANSFORMADOR (TRAFO/FONTE) - ENTRADA 110/220 VOLTS, SAIDA DE 16 VOLTS, AMPERAGEM 1,5 A.</t>
  </si>
  <si>
    <t>FITA ISOLANTE 19 MM X 10 M DE AUTO FUSAO (ALTA TENSAO) -</t>
  </si>
  <si>
    <t>FITA ISOLANTE 19 MM X 20 M</t>
  </si>
  <si>
    <t>HASTE DE ATERRAMENTO DE COBRE - 5/8" X 3,00 METROS</t>
  </si>
  <si>
    <t>FITA PET VIRGEM (ALTA RESISTENCIA) 16MM X 0,80MM, UTILIZADA EM SELADOR ELETRICO, ROLO COM 20KG  - APROXIMADO. 1180 MTS</t>
  </si>
  <si>
    <t>ABRACADEIRA GALVANIZADA TIPO U DE 3/4"</t>
  </si>
  <si>
    <t>ABRACADEIRA REGULAVEL ROSCA SEM FIM DE 3/4"</t>
  </si>
  <si>
    <t>LUMINARIA TIPO ARANDELA,</t>
  </si>
  <si>
    <t>LUMINARIA FECHADA TIPO CALHA - P/ LAMPADA FLUORESCENTE - 2 X 20 W, CALHA COM SOQUETE DE PRESSAO E SUPORTE PARA FIXACAO TIPO PE DE GALINHA</t>
  </si>
  <si>
    <t>HOLOFOTE RETANGULAR, COM BASE 27 EM ALUMINIO ESTAMPADO MEDINDO 280 X 300 X 160 MM COM GRADE PROTETORA</t>
  </si>
  <si>
    <t xml:space="preserve">HOLOFOTE RETANGULAR COM BASE E-40 EM ALUMINIO </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</si>
  <si>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</si>
  <si>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REATOR ELETRONICO SERIE 2 X 40 W - 127V / 220 V - ALTO FATO</t>
  </si>
  <si>
    <t>REATOR ELETROMAGNETICO DE ALTA PRESSAO PARA LAMPADA A VAPOR DE SODIO E METALICA, 400W, 220V/60HZ</t>
  </si>
  <si>
    <t>LAMPADA HALOGENA 300W, 220 VOLTS</t>
  </si>
  <si>
    <t>MODULO DE EXPANSAO DE 8 ZONAS COM FIO + 2 SAIDAS DE RELES PROGRAMAVEIS DISPONIVEIS PARA CONTROLE DE LUZES, PORTAS, FECHADURAS E PORTOES (COMPATIVEIS COM CENTRAIS ADEMCO VISTA 48 LA.MODELO: 4229)</t>
  </si>
  <si>
    <t xml:space="preserve">PLACA CENTRAL PARA ALARMES ADEMCO VISTA 48 PLACA DE MONITORAMENTO LOCAL DO TIPO MICRO-PROCESSADA, COM NO MINIMO 08 PERIMETROS, CARREGADOR DE BATERIA, FORMATO DE COMUNICACAO CONTACT ID. </t>
  </si>
  <si>
    <t>LAMPADA LED BULBO 10W - LAMPADA LED BULBO, BASE E27, POTENCIA 10W, TENSAO 100-240V</t>
  </si>
  <si>
    <t>LAMPADA LED BULBO 20W - LAMPADA LED BULBO, BASE E27, POTENCIA 20W, TENSAO 100-240V</t>
  </si>
  <si>
    <t>SENSOR INFRAVERMELHO DUPLO</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</si>
  <si>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</si>
  <si>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CABO PARA ALARME (4 VIAS AWG24) - METROS DE CABO COM QUATRO VIAS DE CORES COM NO MINIMO 4X0,50 MM DE DIAMETRO POR FIO (AWG24) SOLIDO.</t>
  </si>
  <si>
    <t xml:space="preserve">PAPEL ADESIVO P/ ENCADERNACAO (TIPO CONTACT) - 0,50 M DE LARGURA (VARIACAO +/- 0,05M) - TRANSPARENTE - ROLO COM 25 M </t>
  </si>
  <si>
    <t>ESPIRAL N. 12 (12 MM) DE PVC - PACOTE COM 100 UNIDADES</t>
  </si>
  <si>
    <t>ESPIRAL 9 MM DE PVC - PACOTE COM 100 UNIDADES.</t>
  </si>
  <si>
    <t>ESPIRAL 25 MM DE PVC - PACOTE COM NO MINIMO 45 UNIDADES.</t>
  </si>
  <si>
    <t>PAPEL SULFITE, GRAMATURA 75G/M2, FORMATO A3, MEDINDO (297X420)MM, COR BRANCA</t>
  </si>
  <si>
    <t>PAPEL SULFITE A4, 210 X 297, 75G, NA COR VERDE - PACOTE COM 500 FOLHAS</t>
  </si>
  <si>
    <t>PAPEL SULFITE A4, 210 X 297, 75G, NA COR ROSA - PACOTE COM 500 FOLHAS</t>
  </si>
  <si>
    <t>PAPEL SULFITE A4, 210 X 297, 75G, NA COR AZUL - PACOTE COM 500 FOLHAS</t>
  </si>
  <si>
    <t>PAPEL P/ REPROGRAFIA 210 X 297 MM - AMARELO GR 75GR</t>
  </si>
  <si>
    <t>BALDINHO DE PRAIA EM PLASTICO - COLORIDO, ATOXICO, COM ACES</t>
  </si>
  <si>
    <t>BANDEIRA DO BRASIL - 1,12 X 1,60 M, MODELO BORDADO, CONFECCIONADA EM TECIDO 100% POLIESTER</t>
  </si>
  <si>
    <t>BANDEIRA DO ESTADO DE SAO PAULO - 1,12 X 1,60 M, MODELO BORDADO, CONFECCIONADA EM TECIDO 100% POLIESTER</t>
  </si>
  <si>
    <t>BANDEIRA DE SAO JOSE DOS CAMPOS - 1,12 X 1,60 M, , MODELO BORDADO, CONFECCIONADA EM TECIDO 100% POLIESTER</t>
  </si>
  <si>
    <t>CABO CTP-APL - SN - 50/10 PARES</t>
  </si>
  <si>
    <t>FIO TELEFONICO EXTERNO FE - AA - 80</t>
  </si>
  <si>
    <t>TOMADA TELEFONICA PADRAO TELEBRAS DE EMBUTIR, COM SUPORTE E COM CONECTOR RJ-11 E PLACA 4X2", COM PARAFUSOS</t>
  </si>
  <si>
    <t>CHAPA DE POLICARBONATO COMPACTO CRISTAL, ESPESSURA DE 5 MM, TAMANHO: 2000 X 1000 MM - VARIACAO DE +/- 20 MM</t>
  </si>
  <si>
    <t>CABO UTP 24 AWG X 4 PARES CATEGORIA 6, CM</t>
  </si>
  <si>
    <t>CONECTOR RJ-45 FEMEA, PARA CABO UTP CATEGORIA 6</t>
  </si>
  <si>
    <t>TUBO DE PVC RIGIDO SOLDAVEL DE 40 MM - 1.1/2" X 06 M</t>
  </si>
  <si>
    <t>TUBO DE POLIETILENO DE 1" - (PONTA VERMELHA)</t>
  </si>
  <si>
    <t>TUBO DE POLIETILENO DE 3/4" -  (PONTA VERMELHA)</t>
  </si>
  <si>
    <t>TUBO DE FERRO GALVANIZADO 4" BR C/ 6 M</t>
  </si>
  <si>
    <t>TUBO DE FERRO METALON - 40 X 40 X 1,5MM - BARRA COM 6 METRO</t>
  </si>
  <si>
    <t xml:space="preserve">TUBO DE FERRO GALVANIZADO DN (DIAMETRO NOMINAL) 1" </t>
  </si>
  <si>
    <t>TUBO DE FERRO GALVANIZADO DN (DIAMETRO NOMINAL) 1/2"</t>
  </si>
  <si>
    <t>TUBO QUADRADO DE METALON 100 X 100 X 2 MM - BARRA COM 06 METROS</t>
  </si>
  <si>
    <t>TUBO DE FERRO GALVANIZADO DN (DIAMETRO NOMINAL) 3´´ - DIAMETRO EXTERNO BASICO MINIMO 87,9MM E MAXIMO 89,4MM, ESPESSURA DA PAREDE DE 4MM, CLASSE M - ABNT NBR 5580/02 - BARRA COM 6 METROS.</t>
  </si>
  <si>
    <t>MANGUEIRA EM PVC TRANCADA, REFORCADA, CRISTAL , ROLO DE 50 M, 1/2 X 1,5 MM, CAMADA INTERNA E EXTERNA EM PVC E CAMADA INTERMEDIARIA DE FIO POLIESTER TRANCADO, COM TERMINAL DE FERRO 3/4" E BICO REGULAVEL DE PRESSAO EM FERRO</t>
  </si>
  <si>
    <t>ADAPTADOR DE PVC SOLDAVEL 1.1/2"</t>
  </si>
  <si>
    <t>ADAPTADOR DE PVC SOLDAVEL 3/4"</t>
  </si>
  <si>
    <t>COTOVELO DE REDUCAO EM PVC SOLDAVEL DE 1" X 3/4"</t>
  </si>
  <si>
    <t>COTOVELO 90° GRAUS EM PVC RIGIDO SOLDAVEL DE 2" (ESGOTO)</t>
  </si>
  <si>
    <t>COTOVELO 90 GRAUS EM PVC RIGIDO SOLDAVEL - 1.1/2"</t>
  </si>
  <si>
    <t>COTOVELO 90 GRAUS EM PVC RIGIDO SOLDAVEL DE 3/4"</t>
  </si>
  <si>
    <t>LUVA DE PVC RIGIDO SOLDAVEL DE 2"</t>
  </si>
  <si>
    <t>LUVA DE PVC RIGIDO SOLDAVEL DE 1.1/2"</t>
  </si>
  <si>
    <t>LUVA DE PVC RIGIDO SOLDAVEL DE 3/4"</t>
  </si>
  <si>
    <t>TE DE REDUCAO PVC RIGIDO SOLDAVEL 1.1/2 X 3/4"</t>
  </si>
  <si>
    <t>TE EM PVC RIGIDO SOLDAVEL 3/4"</t>
  </si>
  <si>
    <t>TE DE PVC SOLDAVEL - 1.1/2"</t>
  </si>
  <si>
    <t>TE DE REDUCAO EM PVC RIGIDO SOLDAVEL 1" X 3/4"</t>
  </si>
  <si>
    <t>TE DE PVC RIGIDO SOLDAVEL P/ ESGOTO DE 2"</t>
  </si>
  <si>
    <t>TE DE PVC RIGIDO SOLDAVEL P/ ESGOTO DE 4"</t>
  </si>
  <si>
    <t>PLUG EM PVC RIGIDO ROSCAVEL DE 3/4"</t>
  </si>
  <si>
    <t>PLUG EM PVC RIGIDO ROSCAVEL DE 1/2"</t>
  </si>
  <si>
    <t>ADAPTADOR DE PVC RIGIDO DE 2" SOLDAVEL</t>
  </si>
  <si>
    <t>UNIAO PVC COLA DE 1.1/2"</t>
  </si>
  <si>
    <t>UNIAO PVC COLA DE 1.1/4"</t>
  </si>
  <si>
    <t>UNIAO PVC COLA DE 1"</t>
  </si>
  <si>
    <t>COTOVELO GALVANIZADO DE 1, 1/2" X 90°, DE ACO ZINCADO A FOGO - NBR 6323</t>
  </si>
  <si>
    <t>COTOVELO 90 GRAUS EM PVC RIGIDO SOLDAVEL - 2"</t>
  </si>
  <si>
    <t>LUVA DE PVC RIGIDO SOLDAVEL DE 1.1/4"</t>
  </si>
  <si>
    <t>LUVA DE REDUCAO EM PVC RIGIDO SOLDAVEL DE 2" X 1 1/2"</t>
  </si>
  <si>
    <t>LUVA DE REDUCAO EM PVC DE 1.1/2" X 1.1/4"</t>
  </si>
  <si>
    <t>JUNCAO INTERNA "T" 38 X 38 MM</t>
  </si>
  <si>
    <t>JUNCAO INTERNA "L"  38 X 38 MM</t>
  </si>
  <si>
    <t>JUNCAO INTERNA "I" - 38 X 38 MM</t>
  </si>
  <si>
    <t>UNIAO PARA TUBO DE POLIETILENO - 3/4"</t>
  </si>
  <si>
    <t>LUVA DE PVC SOLDAVEL / ROSQUEAVEL AZUL - 3/4"</t>
  </si>
  <si>
    <t>LUVA DE REDUCAO EM PVC RIGIDO - BRANCA - 150 X 100 MM - 6"</t>
  </si>
  <si>
    <t>TE EM PVC RIGIDO - SOLDAVEL - 90 GRAUS - 150 MM - 6" - PARA</t>
  </si>
  <si>
    <t>LUVA DESLIZANTE EM PVC COM ANEL - MARROM - 3/4"</t>
  </si>
  <si>
    <t>CAP EM PVC DE 3/4 PARA AGUA MARROM</t>
  </si>
  <si>
    <t>CAP EM PVC DE 1 PARA AGUA MARROM</t>
  </si>
  <si>
    <t>BUCHA DE REDUCAO EM LATAO 3/4 X 1/2</t>
  </si>
  <si>
    <t>JOELHO 45° DE PVC SOLDAVEL PARA AGUA, MARROM, 25 MM</t>
  </si>
  <si>
    <t>CURVA LONGA DE ACO P/ELETRODUTO GALVANIZADO A FOGO - DIAMETRO 1 1/2"</t>
  </si>
  <si>
    <t>NIPLE DUPLO DE REDUCAO ROSQUEAVEL 3/4 X 1/2 EM METAL</t>
  </si>
  <si>
    <t>CURVA LONGA DE ACO P/ELETRODUTO GALVANIZADO A FOGO, 90º - DIAMETRO 2"</t>
  </si>
  <si>
    <t>TUBO DE PVC SOLDAVEL, 10" 250MM X 6M PARA ESGOTO NA COR BRANCA</t>
  </si>
  <si>
    <t>CAP DE PVC MARROM PARA AGUA DE 50 MM  X  1 1/2" - DE ACORDO COM NBR 5648 E A MARCA, MEDIDA E NBR DEVERAO VIR LITOGRAFADA NA PECA</t>
  </si>
  <si>
    <t>CONECTOR CABO-HASTE 5/8"</t>
  </si>
  <si>
    <t>COLA P/ TUBO PVC - BISNAGA C/ 75 GR</t>
  </si>
  <si>
    <t>FITA DE TEFLON P/ VEDACAO HIDRAULICA (VEDA ROSCA) - 18 MM X</t>
  </si>
  <si>
    <t>SILICONE PARA VEDACAO - TUBO COM NO MINIMO 280G</t>
  </si>
  <si>
    <t>RALO SIFONADO EM PVC DE 100 X 40 MM (1 1/2")</t>
  </si>
  <si>
    <t>SIFAO SANFONADO UNIVERSAL</t>
  </si>
  <si>
    <t>TORNEIRA DE PRESSAO EM LATAO CROMADO 1/2" P/ LAVATORIO</t>
  </si>
  <si>
    <t>TORNEIRA DE PRESSAO EM LATAO CROMADO 1/2" X 18 CM - P/ PIA - SEM ADAPTADOR</t>
  </si>
  <si>
    <t>TORNEIRA DE PRESSAO EM LATAO NATURAL CURTA 3/4"P/ TANQUE E</t>
  </si>
  <si>
    <t>TORNEIRA EM METAL CROMADO, PARA PIA DE COZINHA BICA MOVEL COM AREJADOR, TIPO PAREDE COM CANOPLA C50. MEDIDA DA ROSCA 1/2 POLEGADAS COM REDUCAO 3/4 POLEGADAS. EM FORMATO PESCOCO DE GANSO</t>
  </si>
  <si>
    <t>TORNEIRA BICO DE GANSO COM 18 CM DE COMPRIMENTO, TIPO MESA</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</si>
  <si>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</si>
  <si>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REGISTRO DE PRESSAO 3/4" SEM CANOPLA</t>
  </si>
  <si>
    <t>REGISTRO DE GAVETA EM LIGA DE COBRE DE 3/4" S/ CANOPLA</t>
  </si>
  <si>
    <t>PINO P/TORNEIRA DE 3/4"</t>
  </si>
  <si>
    <t>PINO P/ TORNEIRA - 1/2"</t>
  </si>
  <si>
    <t>REGISTRO DE GAVETA EM LIGA DE COBRE DE 1.1/4 - S/ CANOPLA</t>
  </si>
  <si>
    <t>REGISTRO DE GAVETA EM LIGA DE COBRE DE 1.1/2"- S/ CANOPLA</t>
  </si>
  <si>
    <t>REGISTRO DE GAVETA EM LIGA DE COBRE - 1" - S/ CANOPLA</t>
  </si>
  <si>
    <t>REPARO COMPLETO UNIVERSAL PARA DESCARGA -  CAIXA  ACOPLADA</t>
  </si>
  <si>
    <t>REPARO P/ VALVULA DE DESCARGA - MARCA LORENZETTI - P-20</t>
  </si>
  <si>
    <t>REPARO P/ VALVULA DE DESCARGA - MARCA LORENZETTI - P-21</t>
  </si>
  <si>
    <t>REPARO P/ VALVULA DE DESCARGA - MARCA LORENZETTI - P-41</t>
  </si>
  <si>
    <t>VALVULA DE DESCARGA, EM LATAO, COM DIAMETRO NOMINAL DE 40 MM (1 1/2")</t>
  </si>
  <si>
    <t>CAMISA DE BRIM, N° 2, CONFECCIONADA EM TECIDO 100% ALGODAO, NA COR AZUL MARINHO</t>
  </si>
  <si>
    <t>CAMISA DE BRIM, N° 3, CONFECCIONADA EM TECIDO 100% ALGODAO, NA COR AZUL MARINHO</t>
  </si>
  <si>
    <t>CAMISA DE BRIM, N° 4, CONFECCIONADA EM TECIDO 100% ALGODAO, NA COR AZUL MARINHO</t>
  </si>
  <si>
    <t>CAMISA DE BRIM, N° 5, CONFECCIONADA EM TECIDO 100% ALGODAO, NA COR AZUL MARINHO</t>
  </si>
  <si>
    <t>CAMISA DE BRIM, N° 6, CONFECCIONADA EM TECIDO 100% ALGODAO, NA COR AZUL MARINHO</t>
  </si>
  <si>
    <t>AVENTAL - TIPO JALECO, EM TECIDO MISTO DE POLIESTER E ALGODAO , C/MANGA CURTA - COR: AZUL CLARO - TAM: P</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</si>
  <si>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</si>
  <si>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</si>
  <si>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</si>
  <si>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CALCA DE BRIM N° 40, CONFECCIONADA EM TECIDO MISTO 67% ALGODAO NA COR AZUL MARINHO</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</si>
  <si>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</si>
  <si>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</si>
  <si>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</si>
  <si>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</si>
  <si>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CALCA DE BRIM N° 56, CONFECCIONADA EM TECIDO MISTO 67% ALGODAO NA COR AZUL MARINHO</t>
  </si>
  <si>
    <t xml:space="preserve">CALCA DE BRIM N° 36, CONFECCIONADA EM TECIDO MISTO 67% ALGODAO NA COR AZUL MARINHO.   </t>
  </si>
  <si>
    <t xml:space="preserve">CALCA DE BRIM N° 50, CONFECCIONADA EM TECIDO MISTO 67% ALGODAO NA COR AZUL MARINHO.   </t>
  </si>
  <si>
    <t>SAPATILHA DESCARTAVEL (TIPO PRO PE) DE COR BRANCA, CONFECCIONADA EM TECIDO NAO TECIDO, 30 G DE GRAMATURA, COM ELASTICO A VOLTA, CONTENDO NA EMBALAGEM DADOS DE IDENTIFICACAO E PROCEDENCIA</t>
  </si>
  <si>
    <t>PROTETOR DE CABELO TIPO REDE EM NYLON PRETA</t>
  </si>
  <si>
    <t>PARAFUSO GALVANIZADO P/ FIXACAO DE TELHAS MODULADAS - 5/16 X 110 MM</t>
  </si>
  <si>
    <t>PARAFUSO GALVANIZADO P/ FIXACAO DE TELHAS MODULADAS - 8 X 1</t>
  </si>
  <si>
    <t>PARAFUSO CABECA REDONDA P/ FIXACAO DE VASO SANITARIO - 4,5</t>
  </si>
  <si>
    <t>HASTE GALVANIZADA - 1/4" X 350 MM - P/ FIXACAO DE TELHA DE</t>
  </si>
  <si>
    <t>PARAFUSO MAQUINA CABECA REDONDA 3/8" X 3/4"</t>
  </si>
  <si>
    <t>PARAFUSO ZINCO AMARELO, CABECA CHATA PH 4,0 X 25 - CAIXA COM 500 UNIDADES</t>
  </si>
  <si>
    <t>PARAFUSO ZINCO AMARELO, CABECA CHATA PH 4,0 X 30 - CAIXA COM 500 UNIDADES</t>
  </si>
  <si>
    <t>PARAFUSO  ZINCO AMARELO, CABECA CHATA - PH 4,0 X 50 - CAIXA COM 500 UNIDADES</t>
  </si>
  <si>
    <t>PARAFUSO ZINCO AMARELO, CABECA CHATA PH  6,0 X 70 - CAIXA COM  100 UNIDADES</t>
  </si>
  <si>
    <t>PARAFUSO ZINCO AMARELO, CABECA CHATA PH 4,5 X 40 - CAIXA COM 500 UNIDADES</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</si>
  <si>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</si>
  <si>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</si>
  <si>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</si>
  <si>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</si>
  <si>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</si>
  <si>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CONJUNTO DE VEDACAO PLASTICA P/ TELHA 6 MM</t>
  </si>
  <si>
    <t>ARRUELA LISA DE ACO DE 3/8"</t>
  </si>
  <si>
    <t>ARRUELA LISA DE ACO DE 3/16"</t>
  </si>
  <si>
    <t>ELETRODUTO DE ACO CARBONO GALVANIZADO A FOGO - DIAMETRO 1 1/2" - BARRA COM 3 M</t>
  </si>
  <si>
    <t>GRAMPO ISOLANTE FIX-FIO 1,0 A 2,5 MM2  (TIPO MIGUELAO) - CX</t>
  </si>
  <si>
    <t>PREGO COMUM DE CABECA CHATA - 19 X 36</t>
  </si>
  <si>
    <t>PREGO COMUM DE CABECA CHATA - 15 X 15</t>
  </si>
  <si>
    <t>PREGO COMUM DE CABECA CHATA - 17 X 21</t>
  </si>
  <si>
    <t>PREGO COMUM DE CABECA CHATA - 18 X 27</t>
  </si>
  <si>
    <t>PREGO COMUM DE CABECA CHATA - 18 X 30</t>
  </si>
  <si>
    <t>PREGO COMUM DE CABECA CHATA - 22 X 48</t>
  </si>
  <si>
    <t>PREGO COMUM DE CABECA CHATA - 10 X 10</t>
  </si>
  <si>
    <t>PREGO DE ACO C/ CABECA - 15 X 15</t>
  </si>
  <si>
    <t>PREGO DE ACO C/ CABECA - 12 X 12</t>
  </si>
  <si>
    <t>REBITE DE REPUCHO EM ALUMINIO C/ MANDRIL DE ACO 4 X 12 MM</t>
  </si>
  <si>
    <t>REBITE DE REPUCHO EM ALUMINIO C/ MANDRIL DE ACO 4 X 16 MM</t>
  </si>
  <si>
    <t>REBITE DE REPUCHO EM ALUMINIO C/ MANDRIL DE ACO 4,76 X 25MM</t>
  </si>
  <si>
    <t>REBITE DE REPUCHO EM ALUMINIO C/ MANDRIL DE ACO 6 X 25 MM</t>
  </si>
  <si>
    <t>REBITE DE REPUCHO EM ALUMINIO C/ MANDRIL DE ACO 6 X 30 MM</t>
  </si>
  <si>
    <t>PINO F30 - CAIXA COM 5.000 PINOS</t>
  </si>
  <si>
    <t>BUCHA DE FIXACAO - N° 06 DE PLASTICO</t>
  </si>
  <si>
    <t>BUCHA DE FIXACAO N° 8 DE PLASTICO</t>
  </si>
  <si>
    <t>BUCHA DE FIXACAO N° 10 - DE NYLON</t>
  </si>
  <si>
    <t xml:space="preserve">CHUMBADOR CBA  5/16" X 2.1/4" </t>
  </si>
  <si>
    <t xml:space="preserve">CHUMBADOR CBA   5/16"  X  3.1/4" </t>
  </si>
  <si>
    <t>BUCHA PARA GESSO ACARTONADO (DRYWALL)</t>
  </si>
  <si>
    <t xml:space="preserve">BUCHA DE FIXACAO UNIVERSAL Nº 8 DE NYLON PARA BASES OCAS E MACICAS </t>
  </si>
  <si>
    <t xml:space="preserve">BUCHA DE FIXACAO UNIVERSAL Nº 10 DE NYLON PARA BASES OCAS E MACICAS </t>
  </si>
  <si>
    <t>RODIZIO GIRATORIO DE 2" - P/CARRINHO COM PLACA</t>
  </si>
  <si>
    <t>ARAME DE ACO CARBONO GALVANIZADO - BWG N° 10 (3,40 MM)</t>
  </si>
  <si>
    <t>ARAME DE ACO CARBONO GALVANIZADO - BWG N° 16 (1,65 MM)</t>
  </si>
  <si>
    <t>ARAME DE ACO CARBONO RECOZIDO (LISO) - BWG N° 18 (1,24 MM)</t>
  </si>
  <si>
    <t>PARAFUSO EM ACO BICROMATIZADO, CABECA CHATA - 3,5 X 16 MM - CABECA COM ENCAIXE PARA CHAVE PHILLIPS</t>
  </si>
  <si>
    <t>PARAFUSO SEXTAVADO - 1/2" X 3.1/2" - COM PORCA</t>
  </si>
  <si>
    <t>PARAFUSO AUTOBROCANTE, 1/4" X 1", COM CABECA SEXTAVADA FLANGEADA E ARRUELA DE EPDM - CAIXA COM 500 UNIDADES</t>
  </si>
  <si>
    <t>PARAFUSO (FIXER) BICROMATIZADO.</t>
  </si>
  <si>
    <t>PARAFUSO FRANCES - 1/2" X 8" - COM PORCA E ARRUELA</t>
  </si>
  <si>
    <t>PARAFUSO CABECA FRANCESA 3/16 X 2" COM ARRUELA E PORCA</t>
  </si>
  <si>
    <t>PARAFUSO DE ZINCO AMARELO, CABECA CHATA PH 6,0 X 40</t>
  </si>
  <si>
    <t xml:space="preserve">PARAFUSO DE ZINCO AMARELO, CABECA CHATA PH 6,0 X 50 </t>
  </si>
  <si>
    <t>PARAFUSO FRANCES - 1.1/2" X 1/4" - COM PORCA E ARRUELA</t>
  </si>
  <si>
    <t>CHAPA DE ACO CARBONO GALVANIZADO ZINCADO N°22 ESP=0,80 MM -</t>
  </si>
  <si>
    <t>CHAPA DE ACO CARBONO GALVANIZADO ZINCADO N. 24 - ESP = 0,64</t>
  </si>
  <si>
    <t>CHAPA EM MDF, CRU - MED. 2,75 M X 1,83 M X 09 MM</t>
  </si>
  <si>
    <t>CHAPA EM MDF, BRANCO, 02 FACES - MED. 2,75 M X 1,83 M X 15 MM</t>
  </si>
  <si>
    <t>CHAPA EM MDF CARVALHO 2 FACES, MEDINDO 2,75 X 1,83 M X 15 MM DE ESPESSURA</t>
  </si>
  <si>
    <t xml:space="preserve">CHAPA EM MDF ULTRA TX, BRANCO, DUAS FACES COM PROTECAO CONTRA UMIDADE E CUPIM. MEDINDO: 2,75M X 1,83M X 18MM. </t>
  </si>
  <si>
    <t>ROLDANA 2.1/2" COM CAIXA EM "V"</t>
  </si>
  <si>
    <t>PERFILADO - 38 X 38 MM, PERFURADO,  C/ 6M DE COMPRIMENTO</t>
  </si>
  <si>
    <t>BARRA DE FERRO TEE 1 X 1/8 - BARRA COM 06 METROS</t>
  </si>
  <si>
    <t>PERFIL CADEIRA DE FERRO, MEDINDO 50 MM X 25 MM, BARRA COM 3 METROS.</t>
  </si>
  <si>
    <t>PERFIL TEE, CHAPA DOBRADA, 25 MM X 25 MM - BARRA COM 03 METROS</t>
  </si>
  <si>
    <t>PERFIL CADEIRA CHAPA DOBRADA 30 MM X 25 MM - BARRA COM 03 METROS</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</si>
  <si>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</si>
  <si>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</si>
  <si>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</si>
  <si>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BARRA CHATA DE ALUMINIO 3/4" X 1/8" - BARRA COM 06 METROS</t>
  </si>
  <si>
    <t>ELETROCALHA PERFURADA C/TAMPA C/FECHAMENTO POR PRESSAO, GALVANIZADA - LARGURA 200 X 50MM</t>
  </si>
  <si>
    <t>COTOVELO RETO PERFURADO, GALVANIZADO, P/ELETROCALHA - 200 X 50MM</t>
  </si>
  <si>
    <t>EMENDA INTERNA PERFURA, GALVANIZADA, P/ELETROCALHA - 200 X 50MM</t>
  </si>
  <si>
    <t>ELETROCALHA LISA C/TAMPA C/FECHAMENTO POR PARAFUSO, GALVANIZADA, P/ELETROCALHA -  100 X 50MM</t>
  </si>
  <si>
    <t>BARRA/FIO REDONDO DE ACO CA 50 P/CONSTRUCAO NBR 7480 - 3/8"</t>
  </si>
  <si>
    <t>FERRO CHATO - 1.1/2" X 1/4" - BARRA COM 06 METROS</t>
  </si>
  <si>
    <t>FERRO "U" PENDURAL, MED. 40 MM DE LARGURA X 7 MM DE ESPESSURA X 40 CM</t>
  </si>
  <si>
    <t>GANCHO CURTO PARA PERFILADO</t>
  </si>
  <si>
    <t>SUSPENSOR P/CABO DE ACO (P/PERFILADO)</t>
  </si>
  <si>
    <t>CHAPA DE ACO INOX, BLANQUE: 430, ESPESSURA: 1,5MM, COMPRIMENTO: 2,00M E LARGURA: 1,20M</t>
  </si>
  <si>
    <t>TUBO QUADRADO DE METALON - 1" X 1" X 1,5 MM - BARRA COM 06</t>
  </si>
  <si>
    <t>PONTEIRA PLASTICA INTERNA NA COR PRETA PARA TUBO QUADRADO DE 1"</t>
  </si>
  <si>
    <t>PONTEIRA PLASTICA NA COR PRETA PARA TUBO RETANGULAR 20 MM X 40 MM</t>
  </si>
  <si>
    <t>WIDIA PARA CORTAR PISOS E AZULEJOS</t>
  </si>
  <si>
    <t>DISCO DE CORTE PARA POLICORTE - MED. 10" DIAMETRO EXTERNO -</t>
  </si>
  <si>
    <t>LAMINA DE SERRA EM ACO RAPIDO BI-METAL 1/2" X 12", 18 DPP (DENTES POR POLEGADA), ESPESSURA DE NO MINIMO 0,6 MM</t>
  </si>
  <si>
    <t>BROCA DE WIDIA 1/4"</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</si>
  <si>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</si>
  <si>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</si>
  <si>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</si>
  <si>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</si>
  <si>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</si>
  <si>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</si>
  <si>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</si>
  <si>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</si>
  <si>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</si>
  <si>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BROCA DE ACO RAPIDO HELICOIDAL DE 1/4" C/ HASTE CILINDRICA</t>
  </si>
  <si>
    <t>PORTA ELETRODO DE 500 AMPERES</t>
  </si>
  <si>
    <t xml:space="preserve">ELETRODO REVESTIDO PARA SOLDA 2,5 MM - NORMA AWS E-6013 </t>
  </si>
  <si>
    <t>PNEU 325 X 8 COM 02 LONAS - PARA CARRINHO DE MAO, TIPO PERU</t>
  </si>
  <si>
    <t>CAMARA DE AR PARA PNEU 3,25 X 8 - PARA CARRINHO DE MAO, TIPO PERUZ</t>
  </si>
  <si>
    <t xml:space="preserve">CARRINHO DE MAO 150 KG ( 60 LITROS)  TOTALMENTE GALVANIZADO  </t>
  </si>
  <si>
    <t>ARAME PARA SOLDA MIG/MAG COM DIAMETRO DE 0,8 MM.</t>
  </si>
  <si>
    <t>FITA DE BORDO EM PVC, COR BRANCA FOSCA, MEDIDAS 35 X 0,45MM, ROLO COM 300 METROS</t>
  </si>
  <si>
    <t>CAFE TORRADO E MOIDO - PT C/ 500 G - EMBALAGEM TIJOLINHO</t>
  </si>
  <si>
    <t>CORANTE LIQUIDO PARA FINS ALIMENTICIOS - COR VERMELHA - FRASCO COM 10ML</t>
  </si>
  <si>
    <t>CORANTE LIQUIDO PARA FINS ALIMENTICIOS - COR AMARELA - FRASCO COM 10ML</t>
  </si>
  <si>
    <t>CORANTE LIQUIDO PARA FINS ALIMENTICIOS - COR AZUL - FRASCO COM 10ML.</t>
  </si>
  <si>
    <t>VASSOURA DE PELO DE 40 CM, COM CABO EM MADEIRA, MEDINDO NO MINIMO: 1,15 M DE COMPRIMENTO X 2,5 CM DE DIAMETRO</t>
  </si>
  <si>
    <t>RODO DE ALUMINIO DE 40 CM C/ CABO DE ALUMINIO MED. 1,30 M - BORRACHA UNICA E SUBSTITUIVEL (VARIACAO +/-05 CM DO CABO)</t>
  </si>
  <si>
    <t>RODO DE ALUMINIO DE 60 CM C/ CABO DE ALUMINIO MEDINDO APROXIMADAMENTE 1,30 M  - BORRACHA UNICA E SUBSTITUIVEL</t>
  </si>
  <si>
    <t>REFIL DE BORRACHA PARA RODO DE ALUMINIO DE 60 CM</t>
  </si>
  <si>
    <t>REFIL DE BORRACHA PARA RODO DE ALUMINIO DE 40 CM</t>
  </si>
  <si>
    <t>VASSOURAO DE PIACAVA TIPO PREFEITURA - 40 CM</t>
  </si>
  <si>
    <t>SACO PLASTICO P/ LIXO - 50 L - 63 X 80 CM X 0,12 MM OU 120 MICRAS DE ESPESSURA (0,06 MM POR PAREDE)</t>
  </si>
  <si>
    <t>SACO PLASTICO P/ LIXO - 15 L, COR PRETA.</t>
  </si>
  <si>
    <t>PANO DE FLANELA 30 X 60CM - BRANCA</t>
  </si>
  <si>
    <t>PASTA PARA LIMPEZA - 1 KG</t>
  </si>
  <si>
    <t>SABONETE LIQUIDO PEROLADO, FRASCO COM 1 LITRO</t>
  </si>
  <si>
    <t>AGUA SANITARIA - FRASCO C/ 1 L.</t>
  </si>
  <si>
    <t>DESINFETANTE, MULTIUSO, ANTIBACTERICIDA, PERFUME LAVANDA, GALAO COM 5 LITROS</t>
  </si>
  <si>
    <t>OLEO DESENGRIPANTE - 300 ML</t>
  </si>
  <si>
    <t>SACO PLASTICO TRANSPARENTE, MEDINDO 15 X 30 CM - PACOTE COM 05 KG - AS MEDIDAS PODERAO VARIAR +/- 2 CM</t>
  </si>
  <si>
    <t>SACOLA PLASTICA P/ EMBALAGEM  - LEITOSA - 40 X 50 CM - ALÇA CAMISETA</t>
  </si>
  <si>
    <t>FILME DE POLIETILENO - MED. 500 MM LARGURA X 0,020 MM ESPESSURA X 140 METROS DE COMPRIMENTO</t>
  </si>
  <si>
    <t>FITA DE BORDA CARVALHO PRATA 35 X 0,45 X 20 M</t>
  </si>
  <si>
    <t>VIGA DE GARAPEIRA BRUTA - MEDIDAS: 06 CM X 16 CM X 5,50 M</t>
  </si>
  <si>
    <t>VIGA DE GARAPEIRA BRUTA - MEDIDAS: 06 CM X 16 CM X 4,00 M</t>
  </si>
  <si>
    <t>VIGA DE GARAPEIRA BRUTA - MEDIDAS: 06 CM X 16 CM X 4,50 M</t>
  </si>
  <si>
    <t>COLA P/ MADEIRA - 1 LITRO</t>
  </si>
  <si>
    <t>COLA DE CONTATO P/ LAMINADO MELAMINICO - 2,8 KG</t>
  </si>
  <si>
    <t>COLA HOTMELT, BRANCA, GRANULADA - PARA COLADEIRA DE FITA DE BORDO AM 753B - SACO COM 25 KG</t>
  </si>
  <si>
    <t>CHAPA EM MDF ALTO BRILHO - MEDIDAS: 2,75 X 1,86 M X 15 MM DE ESPESSURA</t>
  </si>
  <si>
    <t>CHAPA EM MDF ALTO BRILHO - MEDIDAS: 2,75 X 1,86 M X 06 MM DE ESPESSURA</t>
  </si>
  <si>
    <t>OLEO SOLUVEL BIODEGRADAVEL PARA CORTE DE METAIS - GALAO DE 5 LITROS</t>
  </si>
  <si>
    <t>OLEO LUBRIFICANTE PARA MOTORES 2 TEMPOS, PROPORCAO DE MISTURA DE NO MINIMO 1:50, FRASCO COM 500 ML. DEVERA ESTAR GRAVADO NA EMBALAGEM A PROPORCAO DE DILUICAO DO PRODUTO</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</si>
  <si>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</si>
  <si>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</si>
  <si>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</si>
  <si>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</si>
  <si>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MASSA PLASTICA A BASE DE RECURSOS POLIESTERES - LATA C/ 700 GR</t>
  </si>
  <si>
    <t>TINTA BETUMINOSA PARA IMPERMEABILIZACAO DE ALVENARIA - LATA</t>
  </si>
  <si>
    <t>TEXTURA ACRILICA GRAFIATO HIDROREPELENTE NA COR BRANCA - BARRICA COM 25 KG.</t>
  </si>
  <si>
    <t>TRINCHA PARA PINTURA - 1", COM CERDAS 100% NATURAIS</t>
  </si>
  <si>
    <t>TRINCHA PARA PINTURA - 2", COM CERDAS 100% NATURAIS</t>
  </si>
  <si>
    <t>ROLO DE LA DE CARNEIRO P/ PINTURA - 23 CM C/ CABO</t>
  </si>
  <si>
    <t>SELADORA PARA MADEIRA GALAO DE 3,6 LITROS</t>
  </si>
  <si>
    <t>PONTEIRA DE BORRACHA - DIAMETRO INTERNO 7/8"</t>
  </si>
  <si>
    <t>CORREDICA TELESCOPICA, PARA GAVETA, FZ 405 MM - 45 KG</t>
  </si>
  <si>
    <t>SUPORTE TUBINHO BRANCO, COM PARAFUSO (APOIO DE PRATELEIRA) - EMBALAGEM COM 100 UNIDADES</t>
  </si>
  <si>
    <t>SAPATA LATERAL 16 MM</t>
  </si>
  <si>
    <t>PE CONICO EM FERRO CROMADO DE 15 CM</t>
  </si>
  <si>
    <t>CORREDICA TELESCOPICA ZINCADA PARA GAVETA FZ 500 MM - COM CAPACIDADE PARA 35 KG</t>
  </si>
  <si>
    <t>ENCOSTO EM MADEIRA COMPENSADA MULTILAMINADA, C/ FRENTE E</t>
  </si>
  <si>
    <t>ASSENTO EM MADEIRA  REVESTIDO C/ LAMINADO MELAMINICO 10MM</t>
  </si>
  <si>
    <t>TAMPO PARA CARTEIRA - VERDE CLARO - 400MM X 600MM X 18MM</t>
  </si>
  <si>
    <t>LONA PLASTICA - 4 X 100M - PRETA</t>
  </si>
  <si>
    <t>CAPACHO DE FIBRA DE COCO - 0,40 X 0,60 M</t>
  </si>
  <si>
    <t>GUARNICAO PARA POLICARBONATO, REFERENCIA "GUA-030", CONFECCIONADA EM EPDM - MEDIDAS: 12,0 X 6,5 X  4,8 X 2,5 MM (VARIACAO: 0,5 MM)</t>
  </si>
  <si>
    <t>LIXA P/ FERRO E METAIS EM FOLHA DE 225 X 275 MM N° 36</t>
  </si>
  <si>
    <t>LIXA P/ FERRO E METAIS EM FOLHA DE 225 X 275 MM N° 60</t>
  </si>
  <si>
    <t>LIXA D'AGUA EM FOLHA 225 X 275 MM GRAO 180</t>
  </si>
  <si>
    <t>LIXA PARA PAREDE - 60</t>
  </si>
  <si>
    <t>LIXA CINTA DE PANO P/ MADEIRA - 6,00 M X 15 CM - GRAO 60</t>
  </si>
  <si>
    <t>LIXA CINTA DE PANO P/ MADEIRA - MEDIDAS: 610 X 75 MM GRAMAT</t>
  </si>
  <si>
    <t>LIXA CINTA DE PANO P/ MADEIRA - MEDIDAS: 610 X 75 MM / GRAM</t>
  </si>
  <si>
    <t>LIXA CINTA DE PANO P/MADEIRA - 6,90M X 15CM - GRAM. 60</t>
  </si>
  <si>
    <t>DISCO DE CORTE 10" X 1/8" X 5/8" (254 X 3,2 X 15,8 MM - DIA</t>
  </si>
  <si>
    <t>DISCO DE CORTE - 12" X 1/8" X 5/8" (300 X 3,2 X 15,9 MM DIA</t>
  </si>
  <si>
    <t>DISCO DIAMANTADO (SECO) - DIAMETRO EXTERNO 110 MM E FURO 20</t>
  </si>
  <si>
    <t>DISCO DE CORTE 7" X 1/8" X 7/8" (DIAM.EXT X ESPESSURA X DIAM. FURO)</t>
  </si>
  <si>
    <t>DISCO DE CORTE 4 1/2" DE DIAMETRO EXTERNO, 1/8 MM DE ESPESSURA E 7/8" DE DIAMETRO DE FURO</t>
  </si>
  <si>
    <t>LIXA CINTA DE PANO, PARA MADEIRA, GRAU 60 - MED. 1,5 M X 15</t>
  </si>
  <si>
    <t>DISCO DE DESBASTE 7" X 1/4" X 7/8"</t>
  </si>
  <si>
    <t>DISCO DE LIXA N. 40 - 30 CM DE DIAMETRO - PARA LIXADEIRA DE BANCADA</t>
  </si>
  <si>
    <t>AGUA DESTILADA PARA BATERIA - FRASCO C/ 1 LITRO</t>
  </si>
  <si>
    <t>ROLAMENTO - 6202 - ZZ</t>
  </si>
  <si>
    <t>ROLAMENTO - 6203 - ZZ</t>
  </si>
  <si>
    <t>ROLAMENTO - 6201 ZZ</t>
  </si>
  <si>
    <t xml:space="preserve">ROLAMENTO 6300 - ZZ </t>
  </si>
  <si>
    <t>ROLAMENTO 6301 - ZZ</t>
  </si>
  <si>
    <t>ROLAMENTO 6302 - ZZ</t>
  </si>
  <si>
    <t>ROLAMENTO 6000 - 2 RS</t>
  </si>
  <si>
    <t>MENSAL</t>
  </si>
  <si>
    <t>QTDMÊS</t>
  </si>
  <si>
    <t>FIM</t>
  </si>
  <si>
    <t>CONSUMO_ANUAL</t>
  </si>
  <si>
    <t>SITUAÇÃO</t>
  </si>
  <si>
    <t>Referência</t>
  </si>
  <si>
    <t>Valor</t>
  </si>
  <si>
    <t>Observações</t>
  </si>
  <si>
    <t>Ativo</t>
  </si>
  <si>
    <t>CANCELADO</t>
  </si>
  <si>
    <t>Suspenso</t>
  </si>
  <si>
    <t>ITENS PARA EXCLUIR DO ESTOQUE</t>
  </si>
  <si>
    <t>UN</t>
  </si>
  <si>
    <t>GRUPO</t>
  </si>
  <si>
    <t>SUBGR</t>
  </si>
  <si>
    <t>SETOR</t>
  </si>
  <si>
    <t>CABO DE ACO GALVANIZADO DE 1/4"</t>
  </si>
  <si>
    <t>M</t>
  </si>
  <si>
    <t>CABO DE ACO POLIDO COM ALMA DE ACO DE 5/16"</t>
  </si>
  <si>
    <t>GRAMPO DE ACO DE 1/4" P/ CABO DE ACO</t>
  </si>
  <si>
    <t>PC</t>
  </si>
  <si>
    <t>BUCHA DE FIBRA DE COCO - MEDIA - N° 03</t>
  </si>
  <si>
    <t>COTOVELO 90 GRAUS EM PVC RIGIDO SOLDAVEL DE 20 MM (1/2")</t>
  </si>
  <si>
    <t>VERNIZ SINTETICO BRILHANTE, GL C/ 3.600 ML</t>
  </si>
  <si>
    <t>GL</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</si>
  <si>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</si>
  <si>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</si>
  <si>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</si>
  <si>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</si>
  <si>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</si>
  <si>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</si>
  <si>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</si>
  <si>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</si>
  <si>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</si>
  <si>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</si>
  <si>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</si>
  <si>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</si>
  <si>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</si>
  <si>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</si>
  <si>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</si>
  <si>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</si>
  <si>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</si>
  <si>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TORNEIRA BOIA P/ CAIXA D'AGUA C/ CORPO PLASTICO DE 1"</t>
  </si>
  <si>
    <t>ABRACADEIRA GALVANIZADA TIPO U DE 1"</t>
  </si>
  <si>
    <t>ABRACADEIRA GALVANIZADA TIPO U DE 1/2"</t>
  </si>
  <si>
    <t>SOQUETE DE BAQUELITE EXTERNO C/ RABICHO E PROTETOR DE BOR</t>
  </si>
  <si>
    <t>TUBO DE PVC RIGIDO SOLDAVEL DE 20 MM - 1/2" - BARRA COM 6 METROS</t>
  </si>
  <si>
    <t>BR</t>
  </si>
  <si>
    <t>FECHADURA DE EMBUTIR S/ TAMBOR - INTERNA</t>
  </si>
  <si>
    <t>FL</t>
  </si>
  <si>
    <t>TELHA DE BARRO COZIDO - TIPO FRANCESA</t>
  </si>
  <si>
    <t>CHAPA DE MADEIRA COMPENSADA DE VIROLA - MEDIDAS: 2,20 M X 1,60 M X 6 MM</t>
  </si>
  <si>
    <t>FRIGIDEIRA DE ALUMINIO, C/ REVESTIMENTO ANTI-ADERENTE, 26CM, C/ TAMPA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</si>
  <si>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</si>
  <si>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</si>
  <si>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</si>
  <si>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</si>
  <si>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</si>
  <si>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</si>
  <si>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</si>
  <si>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</si>
  <si>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</si>
  <si>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</si>
  <si>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</si>
  <si>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</si>
  <si>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</si>
  <si>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</si>
  <si>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</si>
  <si>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</si>
  <si>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</si>
  <si>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</si>
  <si>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</si>
  <si>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</si>
  <si>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</si>
  <si>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</si>
  <si>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</si>
  <si>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</si>
  <si>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</si>
  <si>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</si>
  <si>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</si>
  <si>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</si>
  <si>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</si>
  <si>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</si>
  <si>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</si>
  <si>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</si>
  <si>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</si>
  <si>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</si>
  <si>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RL</t>
  </si>
  <si>
    <t>DESEMPENADEIRA DE MADEIRA - 12 X 20CM</t>
  </si>
  <si>
    <t>GARFO P/ COZINHA - 2 DENTES - GRANDE</t>
  </si>
  <si>
    <t>PREGO COMUM DE CABECA CHATA - 08 X 08</t>
  </si>
  <si>
    <t>PREGO COMUM S/ CABECA - 13 X 18</t>
  </si>
  <si>
    <t>COLHER EM ACO INOX P/ ARROZ- GRANDE</t>
  </si>
  <si>
    <t>ABRACADEIRA GALVANIZADA TIPO D DE 1/2"</t>
  </si>
  <si>
    <t>PREGO COMUM S/ CABECA - 14 X 21</t>
  </si>
  <si>
    <t>ABRACADEIRA REGULAVEL ROSCA SEM FIM DE 1"</t>
  </si>
  <si>
    <t>ABRACADEIRA REGULAVEL ROSCA SEM FIM DE 1/2"</t>
  </si>
  <si>
    <t>BUCHA DE FIXACAO N° 12 - DE NYLON</t>
  </si>
  <si>
    <t>TINTA P/ PISO - AMARELA - GL C/ 3.600 ML</t>
  </si>
  <si>
    <t>TINTA P/ PISO - BRANCO - GALAO COM 3.600 ML</t>
  </si>
  <si>
    <t>COTOVELO DE REDUCAO EM PVC RIGIDO SOLDAVEL DE 3/4" X 1/2"</t>
  </si>
  <si>
    <t>REGISTRO DE GAVETA DE 2.1/2" - S/ CANOPLA</t>
  </si>
  <si>
    <t>ROLO DE ESPUMA P/ PINTURA - 09 CM C/ CABO</t>
  </si>
  <si>
    <t>PAPEL CAMURCA - 60 X 40 CM - ABOBORA</t>
  </si>
  <si>
    <t>LEITEIRA DE ALUMINIO 3 L  - C/ TAMPA</t>
  </si>
  <si>
    <t>LEITEIRA DE ALUMINIO 5 L - C/ TAMPA</t>
  </si>
  <si>
    <t>BLOCO DE CONCRETO - 20 X 20 X 40 CM</t>
  </si>
  <si>
    <t>ARAME FARPADO DE ACO GALVANIZADO A FOGO CORDOALHA 1,60 MM</t>
  </si>
  <si>
    <t>PREGO COMUM S/ CABECA - 8 X 8</t>
  </si>
  <si>
    <t>PREGO COMUM S/ CABECA - 16 X 21</t>
  </si>
  <si>
    <t>PREGO COMUM S/ CABECA - 17 X 21</t>
  </si>
  <si>
    <t>PNEU 185/60 R 14 RADIAL</t>
  </si>
  <si>
    <t>CORDAO DE COBRE PARALELO ISOLACAO 300 V - 2 X 1,5 MM2  - ROLO COM 100 METROS</t>
  </si>
  <si>
    <t>CHAPA DE MADEIRA ISOLANTE C/ 12 MM DE ESPESS - MED: 1,22 X 2,44 M</t>
  </si>
  <si>
    <t>ABRACADEIRA TIPO "D" - 1"</t>
  </si>
  <si>
    <t>PNEU 165/70 R 13, RADIAL PARA EIXO DIRECIONAL E LIVRE, INDICE DE CARGA 78 (CARGA POR PNEU 425 KG), INDICE DE VELOCIDADE T (ATE 190 KM/H), PROFUNDIDADE DOS SULCOS 8,0 MM.</t>
  </si>
  <si>
    <t>PARAFUSO FRANCES - 2" X 5/16" - C/ PORCA E ARRUELA</t>
  </si>
  <si>
    <t>PARAFUSO FRANCES - 1.1/2" X 5/16" - C/ PORCA E ARRUELA</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</si>
  <si>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</si>
  <si>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</si>
  <si>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</si>
  <si>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</si>
  <si>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</si>
  <si>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</si>
  <si>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</si>
  <si>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</si>
  <si>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</si>
  <si>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</si>
  <si>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</si>
  <si>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</si>
  <si>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</si>
  <si>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</si>
  <si>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</si>
  <si>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</si>
  <si>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</si>
  <si>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LT</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</si>
  <si>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</si>
  <si>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</si>
  <si>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</si>
  <si>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</si>
  <si>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</si>
  <si>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</si>
  <si>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</si>
  <si>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 xml:space="preserve">TE DE PVC SOLDAVEL P/ ESGOTO 1.1/2" ( 40 MM )  </t>
  </si>
  <si>
    <t>PUXADOR PARA PORTA - TIPO CONCHA CROMADO</t>
  </si>
  <si>
    <t>FACA DE CORTE DE LEGUMES COM CABO DE POLIETILENO OU POLIPROPILENO BRANCO -</t>
  </si>
  <si>
    <t>RALADOR DE LEGUMES EM INOX</t>
  </si>
  <si>
    <t>CONDULETE "LL" 2</t>
  </si>
  <si>
    <t>TINTA ESMALTE SINTETICO BRILHANTE VERDE COLONIAL - GALAO CO</t>
  </si>
  <si>
    <t>BACIA DE PLASTICO - CAPACIDADE P/ 32 LITROS</t>
  </si>
  <si>
    <t>PRATO DE POLIPROPILENO AZUL ESCURO,C/BORDA,3 CM ALT X 22CM</t>
  </si>
  <si>
    <t>TIGELA (POLIPROPILENO) - CAP 350 ML. 6CM DE ALT X 11 CM DIA</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</si>
  <si>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</si>
  <si>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</si>
  <si>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</si>
  <si>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</si>
  <si>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</si>
  <si>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80 - MED. 1,5 M X 15</t>
  </si>
  <si>
    <t>DISCO DE LIXA N. 50 - 7" E FURO 7/8" - PARA LIXADEIRA MANUA</t>
  </si>
  <si>
    <t>SIFAO COPO, EM PVC RIGIDO, 1 1/2 X 2" - PARA PIA AMERICANA</t>
  </si>
  <si>
    <t>TELHA DE BARRO COZIDO, TIPO PLANA, CAPA E CANAL</t>
  </si>
  <si>
    <t>CUMEEIRA ARTICULADA PARA TELHA KALHETAO 90 - INFERIOR</t>
  </si>
  <si>
    <t>CUMEEIRA ARTICULADA PARA TELHA CALHETAO 90 - SUPERIOR</t>
  </si>
  <si>
    <t>TAMPO REDONDO, PARA MESA, C/ 1,10 M DE DIAMETRO, EM COMPENSADO DE 18 MM,</t>
  </si>
  <si>
    <t>VIGA "U", CHAPA DOBRAGA ENRIJECIDA - 100 X 50 X 2,25 X 6.0</t>
  </si>
  <si>
    <t>ROLO DE ESPUMA P/ PINTURA - 23 CM C/ CABO</t>
  </si>
  <si>
    <t>CORREDICA BASE PARA GAVETA 450 MM</t>
  </si>
  <si>
    <t>PR</t>
  </si>
  <si>
    <t>CORREDICA BASE PARA GAVETA 350 MM</t>
  </si>
  <si>
    <t>ALGODAO HIDROFILO EM FLOCOS - PT COM 100 GRAMAS</t>
  </si>
  <si>
    <t>PT</t>
  </si>
  <si>
    <t>VIGA DE GARAPEIRA BRUTA - 6 CM X 12 CM X 3,50 M COMPRIMENTO</t>
  </si>
  <si>
    <t>VIGA DE GARAPEIRA BRUTA - 6 X 16 X 3,50 M COMPRIMENTO</t>
  </si>
  <si>
    <t>COLHER EM POLIETILENO, MEDINDO ENTRE 60 E 65 CM DE COMPRIMENTO</t>
  </si>
  <si>
    <t>GRAMPO ROSEIRA Nº 10</t>
  </si>
  <si>
    <t>PIA DE ACO INOX COM 01 CUBA, MEDINDO 1,20 M DE COMP. E LARGURA MINIMA DE 53 CM</t>
  </si>
  <si>
    <t>PA DE CALDEIRAO EM POLIETILENO, SEM FUROS - MED. 1,5 CM X 9 CM X 75 CM</t>
  </si>
  <si>
    <t>TELA ONDULADA FIO 14, MALHA 3/4 - MED. 10 X 1,74 M</t>
  </si>
  <si>
    <t>PNEU 225/75 R15, RADIAL PARA EIXO DIRECIONAL E LIVRE, INDICE DE CARGA 105 (CARGA POR PNEU 925 KG), INDICE DE VELOCIDADE S (ATE 180 KM POR/H), PROFUNDIDADE DOS SULCOS 11,0 MM.</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</si>
  <si>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</si>
  <si>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</si>
  <si>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</si>
  <si>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PINO TRIFASICO DE SEGURANCA 2 P + T - 30 A X 250 W</t>
  </si>
  <si>
    <t>PISO CERAMICO ANTI-DERRAPANTE, PEI 5, TRAFEGO ALTO, MEDIDA APROX. 354 X 354 MM</t>
  </si>
  <si>
    <t>M2</t>
  </si>
  <si>
    <t>PEGADOR DE MACARRAO EM ACO INOX, COMPRIMENTO APROXIMADO DE 20 CM</t>
  </si>
  <si>
    <t>TAMPA PARA CONDULETE 3/4" PARA 1 CONDUTOR RJ</t>
  </si>
  <si>
    <t>PONTEIRA REDONDA DE BORRACHA,  EXTERNA DE 5/8"</t>
  </si>
  <si>
    <t>PASTILHA CERAMICA TELADA, 10 X 10 CM, COR VERDE</t>
  </si>
  <si>
    <t>PASTILHA CERAMICA 10 X 10 CM TELADO COR VERMELHA</t>
  </si>
  <si>
    <t>PNEU 225/70 R15, 08 LONAS</t>
  </si>
  <si>
    <t>PNEU 205/75 - R 16, 08 LONAS, LISO</t>
  </si>
  <si>
    <t>DISJUNTOR NORMA DIN CURVA C PADRAO, BIPOLAR, 80 AMPERES</t>
  </si>
  <si>
    <t>DISJUNTOR NORMA DIN CURVA C PADRAO, BIPOLAR, 100 AMPERES</t>
  </si>
  <si>
    <t>LIXA CINTA DE PANO P/MADEIRA - 610 X 100MM - GRAM. 80</t>
  </si>
  <si>
    <t>PARAFUSO ZINCO AMARELO, CABECA CHATA - PH 2,5 X 16 -  CAIXA COM 1.000 UNIDADES</t>
  </si>
  <si>
    <t>CX</t>
  </si>
  <si>
    <t>TINTA LATEX ACRILICO FOSCA TERRACOTA - LATA COM 18 LITROS</t>
  </si>
  <si>
    <t>TINTA ESMALTE SINTETICO BRILHANTE, COR VERDE LIMAO - GALAO COM 3,600 ML</t>
  </si>
  <si>
    <t>MASSA CORRIDA A OLEO PARA NIVELAR MADEIRA - GALAO COM 3.600 ML</t>
  </si>
  <si>
    <t>TINTA LATEX ACRILICA FOSCA - COR AZUL REAL - LATA COM 18 LITROS</t>
  </si>
  <si>
    <t>PAPEL DE SEDA - 48 X 60 CM - VERDE CLARO</t>
  </si>
  <si>
    <t>HASTE GALVANIZADA - 5/16" X 150 MM - P/ FIXACAO DE TELHAS DE FIBROCIMENTO - C/ PORCA, ARRUELA DE ALUMINIO E PLASTICA</t>
  </si>
  <si>
    <t>ROLAMENTO 32216, FABRICACAO NACIONAL, PARA USO EM PLAY GROUND</t>
  </si>
  <si>
    <t>FITA DE BORDA EM PVC TEXTURIZADA, 35MM - ROLO COM 50 MTS</t>
  </si>
  <si>
    <t>CONDULETE EM LIGA DE ALUMINIO FUNDIDO TIPO "LL" - DIAMETRO 1 1/2" - S/VEDACAO</t>
  </si>
  <si>
    <t>TAMPO EM COMPENSADO DE 18MM REVESTIDO EM LAMINADO MELAMINICO, ACABAMENTO EM PERFIL DE PVC - 0,73 X 0,42 X 0,40M ()VARIACAO DE +/- 5CM)</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</si>
  <si>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</si>
  <si>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</si>
  <si>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</si>
  <si>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</si>
  <si>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</si>
  <si>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</si>
  <si>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</si>
  <si>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</si>
  <si>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</si>
  <si>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</si>
  <si>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</si>
  <si>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</si>
  <si>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TERMINAL GALVANIZADO P/ELETROCALHA - LARGURA 100MM X ALTURA 50MM</t>
  </si>
  <si>
    <t>CONDULETE EM LIGA DE ALUMINIO FUNDIDO, TIPO "C",  Ø2", S/VEDACAO</t>
  </si>
  <si>
    <t>GOTEJADOR GALVANIZADO P/ELETROCALHA - LARGURA 200MM X ALTURA 50MM</t>
  </si>
  <si>
    <t>LUMINARIA DE SOBREPOR ALETADA, 2 LAMPADAS TUBULARES DE 32W</t>
  </si>
  <si>
    <t>LUMINARIA DE SOBREPOR HERMETICA, 2 LAMPADAS TUBULARES DE 32W</t>
  </si>
  <si>
    <t>PINO T-50 - P/PINADEIRA</t>
  </si>
  <si>
    <t>REVESTIMENTO CERAMICO PARA PISOS - 41 X 41 CM - PEI 4 - COR PALHA</t>
  </si>
  <si>
    <t>SUPORTE PARA CONDULETE</t>
  </si>
  <si>
    <t>TINTA ACRILICA LAVAVEL. - BEGE - 18 LITROS</t>
  </si>
  <si>
    <t>ESCORREDOR DE PRATO EM INOX</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</si>
  <si>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</si>
  <si>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</si>
  <si>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</si>
  <si>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</si>
  <si>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</si>
  <si>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</si>
  <si>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GUIA DE CONCRETO PRE MOLDADA FINA, PADRAO PMRJ. MEDIDAS: 10CM (ESPESSURA TOPO) X 12CM (ESPESSURA BASE) X 30CM (ALTURA) X 1M (COMPRIMENTO). </t>
  </si>
  <si>
    <t xml:space="preserve">RODIZIO GIRATORIO DE 1" 1/2 PARA CARRINHO </t>
  </si>
  <si>
    <t>PINO ADAPTADOR PARA TOMADA 2P+T UNIVERSAL PARA TOMADA 2P+T 10A PADRAO NBR 14136</t>
  </si>
  <si>
    <t>TABUA DE GARAPEIRA BRUTA - MEDIDAS: 2,5 CM X 30 CM X 5,00 M</t>
  </si>
  <si>
    <t>PISO CARRARA. COR: BRANCO. MEDINDO: A: 44,4 X 44,4CM. SERIE MAMORE CARRARA. PORCELLANATO ESMALTADO.</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</si>
  <si>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</si>
  <si>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</si>
  <si>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</si>
  <si>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</si>
  <si>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</si>
  <si>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</si>
  <si>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</si>
  <si>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</si>
  <si>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CHAPA EM MDF, BRANCO, 02 FACES 2,75 X 1,83 X 25 MM</t>
  </si>
  <si>
    <t>CH</t>
  </si>
  <si>
    <t xml:space="preserve">PISO CERAMICO ANTI-DERRAPANTE PEI-5 MEDINDO 52 X 52CM - COR: </t>
  </si>
  <si>
    <t>PISO HIDRAULICO, ANTIDERRAPANTE, COR PRETO</t>
  </si>
  <si>
    <t>PISO HIDRAULICO, ANTIDERRAPANTE, COR VERMELHO</t>
  </si>
  <si>
    <t>CONDULETE DE ALUMINIO TIPO E 11/2´´ SEM ROSCA</t>
  </si>
  <si>
    <t>PRATO RASO</t>
  </si>
  <si>
    <t>FECHADURA DE SOBREPOR PARA GAVETA, 22MM</t>
  </si>
  <si>
    <t>REVESTIMENTO CERAMICO - MEDIDA: A 32,5 X 57 CM - COR: SPECTRO LAVANDA</t>
  </si>
  <si>
    <t>REVESTIMENTO CERAMICO - MEDIDA: A 32,5 X 57 CM - COR: SPECTRO OLIVA</t>
  </si>
  <si>
    <t>PINO ADAPTADOR REVERSO DE TOMADA</t>
  </si>
  <si>
    <t>PASTILHA CERAMICA 10 X 10 CM TELADO, COR BOUDOUX</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</si>
  <si>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</si>
  <si>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</si>
  <si>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</si>
  <si>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</si>
  <si>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</si>
  <si>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PNEU 205/55 R16</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</si>
  <si>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</si>
  <si>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</si>
  <si>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</si>
  <si>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PINO F15 - CAIXA COM 5.000 PINOS</t>
  </si>
  <si>
    <t>PINO F20 - CAIXA COM 5.000 PINOS</t>
  </si>
  <si>
    <t>PINO F35 - CAIXA COM 5.000 PINOS</t>
  </si>
  <si>
    <t>PINO F40 - CAIXA COM 5.000 PINOS</t>
  </si>
  <si>
    <t>PINO F45 - CAIXA COM 5.000 PINOS</t>
  </si>
  <si>
    <t>LAMPADA VAPOR METALICO, PADRAO HQI, 70 W - 220 V</t>
  </si>
  <si>
    <t>PNEU 700/12, 14 LONAS, PNEUMATICO - PARA EMPILHADEIRA</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</si>
  <si>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</si>
  <si>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</si>
  <si>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</si>
  <si>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</si>
  <si>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</si>
  <si>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</si>
  <si>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</si>
  <si>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FITA DE BORDO EM PVC TEXTURIZADA, COR BRANCA, MEDIDAS 45 X 0,45MM, ROLO COM 300 METROS</t>
  </si>
  <si>
    <t xml:space="preserve">PNEU 28 X 9 - 15 (7,0) MACICO PARA EMPILHADEIRA </t>
  </si>
  <si>
    <t>TUBO DE FERRO METALON REDONDO, DIAMETRO EXTERNO 21 MM, ESPESSURA DE 2 MM - BARRA C/ 6 M</t>
  </si>
  <si>
    <t>REVESTIMENTO CERAMICO PARA PISOS - 45 X 45 CM, PODENDO VARIAR +/- 2 CM,  4 MM DE ESPESSURA, PODENDO VARIAR +/- 1 MM,  DE PEI 4 - NA COR BRANCA.</t>
  </si>
  <si>
    <t>ESTICADOR EM FERRO GALVANIZADO PARA CABO DE ACO DE ATE 5/16"</t>
  </si>
  <si>
    <t>TELHA TRAPEZOIDAL 5000MM COMPRIMENTO X 1056MM LARGURA X 38 MM ALTURA</t>
  </si>
  <si>
    <t xml:space="preserve">CUMEEIRA PARA TELHA TRAPEZOIDAL, MODELO L38 </t>
  </si>
  <si>
    <t>SABONETE COMUM 90 G</t>
  </si>
  <si>
    <t>Quantidade de mêses padrão</t>
  </si>
  <si>
    <t>PANO DE CHAO, MEDIDAS: 45 X 75 CM (VARIACAO +/- 5 CM), 100% ALGODAO, ALVEJADO, PESO MINIMO DE 130 GRAMAS.</t>
  </si>
  <si>
    <t>MINIDICIONARIO DE LINGUA PORTUGUESA - COM MAIS DE 30 MIL VERBETES, COM DIVISAO SILABICA, ATUALIZADO COM A NOVA ORTOGRAFIA, ORIGEM NACIONAL - ACABAMENTO BROCHURA.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</si>
  <si>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</si>
  <si>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COLA BRANCA LIQUIDA LAVAVEL. MINIMO 90 G, COM BICO APLICADOR ECONOMICO, COMPOSICAO: RESINA DE PVA. PRODUTO DEVERA ESTAR DE ACORDO COM A NORMA DE SEGURANCA DE ARTIGOS ESCOLARES. PRODUTO CERTIFICADO PELO INMETRO E COM CODIGO DE BARRAS NO PRODUTO.</t>
  </si>
  <si>
    <t>DOBRADICA PARA PORTA EM ACO ZINCADO, MEDIDAS 3.1/2" X 2.1/4", ESPESSURA MINIMA DE 1,5 MM</t>
  </si>
  <si>
    <t>PUXADOR PARA MOVEL EM ABS, BOLA GRANDE, COM PARAFUSO 3,50 X 30 MM, CABECA FLANGE, COR:</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</si>
  <si>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</si>
  <si>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LIXEIRA COM PEDAL E TAMPA - CAPACIDADE PARA 100 LITROS</t>
  </si>
  <si>
    <t>LIXEIRA DE PLASTICO C/ TAMPA E PEDAL  - 30 LITROS</t>
  </si>
  <si>
    <t>LIXEIRA COM TAMPA E PEDAL - CAPACIDADE DE 60 LITROS</t>
  </si>
  <si>
    <t>LIXEIRA DE PLASTICO COM TAMPA E PEDAL - CAPACIDADE PARA 10 LITROS</t>
  </si>
  <si>
    <t>Descrição</t>
  </si>
  <si>
    <t>Item ativo em ata ou vai entrar em uma</t>
  </si>
  <si>
    <t>Suspensão temporária de compra</t>
  </si>
  <si>
    <t>Compra cancelada</t>
  </si>
  <si>
    <t>TRANSF</t>
  </si>
  <si>
    <t>CABO DE COBRE ISOLACAO PVS 750V C/ COBERTURA DE PVC 2 X2,5 MM2</t>
  </si>
  <si>
    <t>TINTA ACRILICA, A BASE DE AGUA, LAVAVEL, SEM CHEIRO (APOS 3 HORAS APLICACAO), PARA USO INTERNO, COR AMARELO CLARO, ACABAMENTO ACETINADO, LATA COM 18 LITROS, RENDIMENTO ENTRE 225 A 275 M2/DEMAO</t>
  </si>
  <si>
    <t>Padrão</t>
  </si>
  <si>
    <t>Informar quantidade personalizada</t>
  </si>
  <si>
    <t>Informar quantidade padrão</t>
  </si>
  <si>
    <t>TIPO</t>
  </si>
  <si>
    <t>SUBGRUPO</t>
  </si>
  <si>
    <t>ESTRUTURA</t>
  </si>
  <si>
    <t>1</t>
  </si>
  <si>
    <t>CÁLCULO</t>
  </si>
  <si>
    <t>Quantidade de meses</t>
  </si>
  <si>
    <t>Código</t>
  </si>
  <si>
    <t>Personalizado</t>
  </si>
  <si>
    <t>Excluir?</t>
  </si>
  <si>
    <t>SERVICOS TECNICOS-ADMINISTRATIVOS</t>
  </si>
  <si>
    <t>ADM</t>
  </si>
  <si>
    <t>INFORMATICA - EQUIPAMENTOS E MATERIAIS</t>
  </si>
  <si>
    <t>MATERIAIS DE CONSUMO HOSPITALAR</t>
  </si>
  <si>
    <t>MAQ., EQUIP., COMP., ACES., MAT. PARA ESCRIT.E ESCOLAR</t>
  </si>
  <si>
    <t>EDU</t>
  </si>
  <si>
    <t>MAQ.EQUIP.E MAT.P/ CULTURA ANIMAL E VEGETAL</t>
  </si>
  <si>
    <t>EQUIP. P/REFR. PURIF. ADUCAO DE AGUA E TRAT. DE ESGOTO</t>
  </si>
  <si>
    <t>EQUIP. P/ COND. VENT. PURIF. DE AR, COMPONENTES E ACES.</t>
  </si>
  <si>
    <t>MAT.E EQUIP. P/ CONSTR.CIVIL E CONSERV. DE VIAS PUBL.</t>
  </si>
  <si>
    <t>MAN</t>
  </si>
  <si>
    <t>EQUIP.E MAT. P/REFEITORIO, COPA E COZINHA</t>
  </si>
  <si>
    <t>EQUIP PROT IND, INST MAT P/ SINAL, CONTR, COMB ...</t>
  </si>
  <si>
    <t>EQUIP. MAT. P/ GERACAO, TRANSM. DISTR. RETIF...</t>
  </si>
  <si>
    <t>EQUIP. COMP. MAT. ELETRON. CELULAS E FIBRAS OTICAS</t>
  </si>
  <si>
    <t>MAQ. E EQUIP. P/ IND. GRAFICA COMP. ACESS. E PAPEI</t>
  </si>
  <si>
    <t>EQUIP. E MAT. P/ RECREACAO, ATLETISMO, DESPORTO...</t>
  </si>
  <si>
    <t>EQUIP.MAT.E ACESS.COMUNIC.CINE FOTO OTICA SOM</t>
  </si>
  <si>
    <t>COMPUT.SOFT. PROCES. EQUIP. SUPRI. COMP. ACESS. INFORMAT</t>
  </si>
  <si>
    <t>MATERIAL HIDRAULICO, CANOS, TUBOS, MANGUEIRAS, CONEXOES E ACESS.</t>
  </si>
  <si>
    <t>VEST., ART.P/ TOUC.E HIG. PES. MAQ., EQUIP., MAT.E ACES.</t>
  </si>
  <si>
    <t>EQUIPAMENTO MEDICO HOSPITALAR, ODONTOLOGICO E VETERINARIO</t>
  </si>
  <si>
    <t>MEDICAMENTOS</t>
  </si>
  <si>
    <t>MATER., INSTRUM., COMPON. MEDICO HOSPITALAR, ODON....</t>
  </si>
  <si>
    <t>ESTRUTURAS E ANDAIMES PRE FABRICADOS</t>
  </si>
  <si>
    <t>PARAFUSOS ELEM. VEDACAO UNIAO CONEX . FIXACAO</t>
  </si>
  <si>
    <t>METAIS,LAMINAD.,PERFILADOS E ARTEFATOS METALICOS</t>
  </si>
  <si>
    <t>FERRAMENTAS MAQ.FERRAMENTAS,ELETR.PECAS E ACESSORI</t>
  </si>
  <si>
    <t>GENEROS ALIMENTICIOS E BEBIDAS</t>
  </si>
  <si>
    <t>MAQ.EQUIP.E MATERIAIS P/ HIGIEN.LIMP.POLIM.E LUBR.</t>
  </si>
  <si>
    <t>EMBALAG., RECIP., ACESSOR., EQUIP., MATER. P/ACONDICIO</t>
  </si>
  <si>
    <t>MADEIRAS,LAMINADOS,COMPENSADOS E AGLOMERADOS</t>
  </si>
  <si>
    <t>EQUIP. E MATERIAIS P/PINTURAS E IMPERMEABILIZACAO</t>
  </si>
  <si>
    <t>MOBILIARIO E COFRE</t>
  </si>
  <si>
    <t>ART. DOMEST. DECO. GUARNI. DE AMBI.TECI. VEICULOS</t>
  </si>
  <si>
    <t>CABOS CORRENTES CORDAS ESTICADORES E ART. BORRACHA</t>
  </si>
  <si>
    <t>ARMAS COMP.EXPLOSIVOS MUNICOES COMP.ACESSORIOS</t>
  </si>
  <si>
    <t>ABRASIVOS</t>
  </si>
  <si>
    <t>PECAS E CONSERTOS DE VEICULOS LEVES E PES E UTILIT</t>
  </si>
  <si>
    <t>PEC.P/ VEICULO DE USO ESPECIAL E BATERIASROLAMENTO</t>
  </si>
  <si>
    <t>MAQ.TERRAP.TRATOR PNEU(01/50)TRATOR ESTEIRA(51/99)</t>
  </si>
  <si>
    <t>LIVROS, JORNAIS, REVISTAS, PERIODICOS, MAPAS E PUBLICA</t>
  </si>
  <si>
    <t>COMBUST.,LUBRIF.,OLEOS,GRAXAS,GAS</t>
  </si>
  <si>
    <t>VEIC.TRANSP.DE CARGAS E PASSAG.-COMP.EQUIP.E ACES.</t>
  </si>
  <si>
    <t>ASSISTENCIA TECNICA E MANUTENCAO</t>
  </si>
  <si>
    <t>SERV DE GRAFICA,COPIAS,REPRODU,FOTOCINEMATOG,VIDEO</t>
  </si>
  <si>
    <t>Administrativo</t>
  </si>
  <si>
    <t>Educação</t>
  </si>
  <si>
    <t>Manutenção</t>
  </si>
  <si>
    <t>INF</t>
  </si>
  <si>
    <t>Informática</t>
  </si>
  <si>
    <t>DGRUPO</t>
  </si>
  <si>
    <t>Saúde</t>
  </si>
  <si>
    <t>SAU</t>
  </si>
  <si>
    <t>MSE</t>
  </si>
  <si>
    <t>Manutenção - Serralheria</t>
  </si>
  <si>
    <t>MEL</t>
  </si>
  <si>
    <t>Manutenção - Elétrica</t>
  </si>
  <si>
    <t>MHI</t>
  </si>
  <si>
    <t>Manutenção - Hidráulica</t>
  </si>
  <si>
    <t>MMA</t>
  </si>
  <si>
    <t>Manutenção - Marcenaria</t>
  </si>
  <si>
    <t>OUT</t>
  </si>
  <si>
    <t>Outros</t>
  </si>
  <si>
    <t>MPI</t>
  </si>
  <si>
    <t>Manutenção - Pintura</t>
  </si>
  <si>
    <t>Manutenção - Construção e Alvenaria</t>
  </si>
  <si>
    <t>MCO</t>
  </si>
  <si>
    <t>MFR</t>
  </si>
  <si>
    <t>Manutenção - Frota</t>
  </si>
  <si>
    <t>SALDO</t>
  </si>
  <si>
    <t>T HORIZONTAL 90° P/ELETROCALHA 200X50</t>
  </si>
  <si>
    <t>PREGO COMUM DE CABECA CHATA - 12 X 12</t>
  </si>
  <si>
    <t>CaminhoPadrãoDasPlanilhasDeCompraNaRede</t>
  </si>
  <si>
    <t>G:\Suprimentos\Compras\3 Planilhas Compras Estoque</t>
  </si>
  <si>
    <t>Caminho padrão na rede. Mudar somente se necessário.</t>
  </si>
  <si>
    <t>DIFER</t>
  </si>
  <si>
    <t>CAIXILHO DE FERRO PERFILADO, BASCULANTE - MEDIDAS: 0,80 X 0,60M</t>
  </si>
  <si>
    <t>BN</t>
  </si>
  <si>
    <t xml:space="preserve">VASSOURA PARA GRAMA  REGULAVEL 22 PALHETAS ACHATADAS  COM CABO </t>
  </si>
  <si>
    <t>TINTA LATEX ACRILICA FOSCA - PESSEGO - 18 LITROS</t>
  </si>
  <si>
    <t>PORTA GRELHA REDONDA, EM PVC, 100MM (4"), ALTURA MINIMA DE 20 MM</t>
  </si>
  <si>
    <t>PENEIRA DE ARAME - MALHA MEDIA, ARO DE MADEIRA - 55 CM</t>
  </si>
  <si>
    <t>PERNEIRA DE PROTECAO</t>
  </si>
  <si>
    <t>CALCADO DE SEGURANCA, N° 45 SEM COMPONENTES METALICOS</t>
  </si>
  <si>
    <t>CALCADO DE SEGURANCA TIPO BOTINA DE COURO, SOLADO DE PU SEM CADARCO Nº 38</t>
  </si>
  <si>
    <t>CALCADO DE SEGURANCA TIPO BOTINA DE COURO, SOLADO DE PU SEM CADARCO Nº 39</t>
  </si>
  <si>
    <t>CALCADO DE SEGURANCA TIPO BOTINA DE COURO, SOLADO DE PU SEM CADARCO Nº 42</t>
  </si>
  <si>
    <t xml:space="preserve">BOTA DE PVC, CANO LONGO - N° 38 </t>
  </si>
  <si>
    <t>BOTA DE PVC, CANO LONGO - N° 39</t>
  </si>
  <si>
    <t xml:space="preserve">BOTA DE PVC, CANO LONGO - N° 40 </t>
  </si>
  <si>
    <t>BOTA DE PVC, CANO LONGO - N° 41</t>
  </si>
  <si>
    <t xml:space="preserve">BOTA DE PVC, CANO LONGO - N° 42  </t>
  </si>
  <si>
    <t>CALCADO SEM COMPONENTES METALICOS Nº 37</t>
  </si>
  <si>
    <t>CALCADO SEM COMPONENTES METALICOS Nº 38</t>
  </si>
  <si>
    <t>CAMISA DE BRIM N° 2, CONFECCIONADA EM TECIDO 100% ALGODAO, NA COR AZUL MARINHO, MANGAS LONGAS.</t>
  </si>
  <si>
    <t>CAMISA DE BRIM N° 3, CONFECCIONADA EM TECIDO 100% ALGODAO, NA COR AZUL MARINHO, MANGAS LONGAS.</t>
  </si>
  <si>
    <t>CAMISA DE BRIM N° 5, CONFECCIONADA EM TECIDO 100% ALGODAO, NA COR AZUL MARINHO, MANGAS LONGAS.</t>
  </si>
  <si>
    <t>PERFIL CADEIRA DE FERRO, COM 30 CM DE LARGURA X 2,5 DE ALTURA - BARRA COM 3 METROS</t>
  </si>
  <si>
    <t>LINHA DE PEDREIRO - ROLO COM 100 M</t>
  </si>
  <si>
    <t>ATA</t>
  </si>
  <si>
    <t/>
  </si>
  <si>
    <t>170/18</t>
  </si>
  <si>
    <t>228/18</t>
  </si>
  <si>
    <t>114/18</t>
  </si>
  <si>
    <t>76/19</t>
  </si>
  <si>
    <t>190/18</t>
  </si>
  <si>
    <t>2/19</t>
  </si>
  <si>
    <t>93/19</t>
  </si>
  <si>
    <t>61/18 | Aguardando!</t>
  </si>
  <si>
    <t>34/18 | Aguardando!</t>
  </si>
  <si>
    <t>47/19</t>
  </si>
  <si>
    <t>1/19</t>
  </si>
  <si>
    <t>164/18</t>
  </si>
  <si>
    <t>186/18</t>
  </si>
  <si>
    <t>112/19</t>
  </si>
  <si>
    <t>187/18</t>
  </si>
  <si>
    <t>117/18</t>
  </si>
  <si>
    <t>13/19</t>
  </si>
  <si>
    <t>58/18 | Inativo!</t>
  </si>
  <si>
    <t>27/19</t>
  </si>
  <si>
    <t>DestaqueDeLinhaAtiva_Ponto_Ped</t>
  </si>
  <si>
    <t>Destacar linha em foco na planilha Ponto_Ped</t>
  </si>
  <si>
    <t>FATOR</t>
  </si>
  <si>
    <t>US_NOME</t>
  </si>
  <si>
    <t>US_DATH</t>
  </si>
  <si>
    <t>LUVA DE PROTECAO,  CONFECCIONADA EM RASPA DE COURO,  DORSO EM LONA, PUNHO IGUAL A 7 CM.</t>
  </si>
  <si>
    <t>marcos.pereira</t>
  </si>
  <si>
    <t>TINTA ACRILICA, A BASE DE AGUA, LAVAVEL, SEM CHEIRO (APOS 3 HORAS APLICACAO), PARA USO INTERNO, COR VERDE CLARO, ACABAMENTO ACETINADO, LATA COM 18 LITROS, RENDIMENTO ENTRE 225 A 275 M2/DEMAO</t>
  </si>
  <si>
    <t>ESPATULA DE ACO CARBONO COM CABO - N° 08</t>
  </si>
  <si>
    <t>DISCO DE DESBASTE DE  FERRO - 4 1/2" X 3/16" X 7/8" - PARA USO EM LIXADEIRA E FABRICADO CONFORME NORMAS ABNT</t>
  </si>
  <si>
    <t>126/19</t>
  </si>
  <si>
    <t>130/19</t>
  </si>
  <si>
    <t>129/19</t>
  </si>
  <si>
    <t>34/18 | Suspenso!</t>
  </si>
  <si>
    <t>107/18 | Aguardando!</t>
  </si>
  <si>
    <t xml:space="preserve">LUVA DE RASPA DORSO EM LONA CANO LONGO - LUVA DE SEGURANCA CONFECCIONADA EM RASPA NA PALMA, TIRA DE REFORCO ENTRE OS DEDOS POLEGAR E INDICADOR, DORSO EM LONA, PUNHO EM MALHA. CANO LONGO DE CUMPRIMENTO SUPERIOR A 20CM. </t>
  </si>
  <si>
    <t>PAPEL KRAFT MONOLUCIDO EM BOBINA, COR PARDA, MEDIDAS MINIMAS: 55 CM X 130 M, GRAMATURA MINIMA: 80G/M², PESO MINIMO DA BOBINA: 5,7 KG. PRODUZIDO EM FIBRAS CELULOSICAS VIRGENS NATURAIS, PURO, LISO, SEM APARAS.</t>
  </si>
  <si>
    <t>CamposAOcultarNaExportaçãoDaPontoPed</t>
  </si>
  <si>
    <t>Campos que serão ocultados na exportação da planilha Ponto_Ped para envio.</t>
  </si>
  <si>
    <t>NOVA ESTIMATIVA MENSAL</t>
  </si>
  <si>
    <t>OLEOS LUBRIF.,GRAXAS,CORTANTES,FLUIDOS HIDRAULICOS</t>
  </si>
  <si>
    <t>DISCO DE CORTE 14" X 3/16" X 1"</t>
  </si>
  <si>
    <t>CABO UTP 23 AWG X 4 PARES CATEGORIA 6,CM</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</si>
  <si>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</si>
  <si>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</si>
  <si>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</si>
  <si>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NÃO</t>
  </si>
  <si>
    <t>10/17 | Aguardando!</t>
  </si>
  <si>
    <t>78/18 | Suspenso!</t>
  </si>
  <si>
    <t>191/17 | Aguardando!</t>
  </si>
  <si>
    <t>PASTA PLASTICA EM "L" EM POLIPROPILENO, CRISTAL GROFADO, ANTI REFLEXO, ALTA RESISTENCIA, COM VISOR FRONTAL PARA IDENTIFICACAO DO TRABALHO, TAMANHO A4, ESPESSURA DE 160 MYCRON - PACOTE COM 10 UNIDADES</t>
  </si>
  <si>
    <t>10/17 | Suspenso!</t>
  </si>
  <si>
    <t>151/19</t>
  </si>
  <si>
    <t>58/18 | Suspenso!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</si>
  <si>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</si>
  <si>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</si>
  <si>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DE PRESSAO EM ACO, CURVA, COMPLETA, PARA ARMARIOS - 35 MM, FABRICADA EM ACO ZINCADO, ABERTURA COM ANGULO DE 110°, COM PARAFUSOS E COM MOLA, SEM AMORTECEDOR.</t>
  </si>
  <si>
    <t>0/-2000 | Suspenso!</t>
  </si>
  <si>
    <t>156/19</t>
  </si>
  <si>
    <t>PINO F25 - CAIXA COM 5.000 PINOS</t>
  </si>
  <si>
    <t>PONTEIRA BIT PH2 DUPLA, IMANTADA, COMPRIMENTO DE 110 MM, EM ACO CROMO VANADIO</t>
  </si>
  <si>
    <t>CABO PP DE COBRE FLEXIVEL COM PRIMEIRA E SEGUNDA CAMADA EM PVC, ISOLACAO DE 750 V,  3 VIAS DE 1,5 MM, SENDO A VIA TERRA NA COR VERDE.</t>
  </si>
  <si>
    <t>CABO PP DE COBRE FLEXIVEL COM PRIMEIRA E SEGUNDA CAMADA EM PVC, ISOLACAO DE 750 V,  3 VIAS DE 2,5 MM, SENDO A VIA TERRA NA COR VERDE.</t>
  </si>
  <si>
    <t>ManterColunasUS</t>
  </si>
  <si>
    <t>Mantém as colunas US_NOME e US_DATH visíveis até fechar a planilha</t>
  </si>
  <si>
    <t>SIFAO DE LUXO (COPO) EM PVC 1" X 1.1/2"- COMPLETO C/ VALVULA P/ LAVATORIO</t>
  </si>
  <si>
    <t>TB</t>
  </si>
  <si>
    <t>1'</t>
  </si>
  <si>
    <t>PICO</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</si>
  <si>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</si>
  <si>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</si>
  <si>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CÁLC_4M</t>
  </si>
  <si>
    <t>228/18 | Aguardando!</t>
  </si>
  <si>
    <t>CHAPA DE ACO INOXIDAVEL 304 - A 240 - MED. 0,40 MM X 1240 MM X 3500 MM</t>
  </si>
  <si>
    <t>192/19</t>
  </si>
  <si>
    <t>SABAO DESENGRAXANTE, INDICADO PARA DESENGORDURAR E DESENGRAXAR, COM COMPONENTES ABRASIVOS PARA FACILITAR A LIMPEZA - POTE COM 1 KG.</t>
  </si>
  <si>
    <t>PASTILHA CERAMICA, COR VERDE AGUA, MEDINDO 10 X 10 CM.</t>
  </si>
  <si>
    <t>GUARNICAO PARA PORTA 0,92 X 2,10 M</t>
  </si>
  <si>
    <t>61/18 | Suspenso!</t>
  </si>
  <si>
    <t>199/19</t>
  </si>
  <si>
    <t>TELA DE ARAME GALVANIZADO - FIO 10 - MALHA 2.1/2" X 2 M DE ALTURA</t>
  </si>
  <si>
    <t>TELA DE ARAME GALVANIZADO - FIO 10 - MALHA 2.1/2" X 4 METROS DE ALTURA</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</si>
  <si>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</si>
  <si>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</si>
  <si>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</si>
  <si>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</si>
  <si>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</si>
  <si>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</si>
  <si>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</si>
  <si>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</si>
  <si>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</si>
  <si>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PERNEIRA DE SEGURANCA CONFECCIONADA EM RASPA, FECHAMENTO EM VELCRO. OBJETIVO: PROTECAO DAS PERNAS DO USUARIO CONTRA AGENTES ABRASIVOS, ESCORIANTES E TERMICOS PROVENIENTES DE OPERACOES DE SOLDAGEM E PROCESSOS SIMILARES.</t>
  </si>
  <si>
    <t>PD</t>
  </si>
  <si>
    <t>MISTURA PARA O PREPARO DE BOLO FORMIGUEIRO</t>
  </si>
  <si>
    <t>10/17 | Inativo!</t>
  </si>
  <si>
    <t>CUMEEIRA DE FIBRA SINTETICA 30 GRAUS PARA TELHA ONDULADA ESP. 06 MM</t>
  </si>
  <si>
    <t>CUMEEIRA DE FIBRA SINTETICA 10 GRAUS PARA TELHA ONDULADA ES</t>
  </si>
  <si>
    <t>REGUA DE 30 CM EM POLIESTIRENO. COR: TRANSPARENTE, CRISTAL.</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</si>
  <si>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</si>
  <si>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 xml:space="preserve">BORRACHA BRANCA COMUM NUMERO 20 (SEM CINTA), CONFECCIONADA EM MATERIAL NATURAL E MACIO, ATOXICA. APLICAVEL PARA QUALQUER SUPERFICIE E GRADUACAO DE GRAFITE. MEDIDA: 40MM X 30MM X 10MM (VARIACAO +/- 2MM). PRODUTO CERTIFICADO PELO INMETRO. </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</si>
  <si>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</si>
  <si>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</si>
  <si>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</si>
  <si>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 xml:space="preserve">PASTA PLASTICA COM ELASTICO, SEM LOMBADA, MEDINDO 235 MM X 335 MM (VARIACAO DE +/- 2 MM). ATOXICA. ELASTICO DE BORRACHA REVESTIDO COM TECIDO TRANSPASSADO E TERMINAL PLASTICO, DE BOA QUALIDADE. COR: TRANSPARENTE/ CRISTAL. </t>
  </si>
  <si>
    <t xml:space="preserve">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</si>
  <si>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 xml:space="preserve">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</si>
  <si>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</si>
  <si>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</si>
  <si>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</si>
  <si>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</si>
  <si>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</si>
  <si>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</si>
  <si>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</si>
  <si>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LUMINARIA HERMETICA PARA 2 LAMPADAS LED/FLUORESCENTES TUBULARES, SOQUETES T5 E T8 - DIMENSOES (A X L X C): 84 X 106 X 1250 MM (VARIACAO: +/- 10 MM).</t>
  </si>
  <si>
    <t>UNIAO DE PVC COLA -  25 MM</t>
  </si>
  <si>
    <t>SAPATA REGULAVEL PARA MOVEIS, COM BUCHA 1/4 X 25 MM</t>
  </si>
  <si>
    <t>TAMPO REDONDO PARA MESA, COM 1,10 M (VARIACAO +/- 0,05 M) DE DIAMETRO, EM MDF BRANCO TX 18 MM, ACABAMENTO NAS LATERIAIS COM FITA DE BORDA BRANCA.</t>
  </si>
  <si>
    <t>DISCO DE CORTE 14" X 1/8" X 1" DE ACORDO COM AS NORMAS DA ABNT</t>
  </si>
  <si>
    <t>DOBRADICA DE FERRO POLIDO 3.1/2</t>
  </si>
  <si>
    <t>ENGATE DE PVC BRANCO FLEXIVEL DE 1/2"- COMP. 40 CM P/LAVATORIO</t>
  </si>
  <si>
    <t>TINTA ESMALTE SINTETICO BRILHANTE - AMARELO OURO - GALAO COM 3.600 ML</t>
  </si>
  <si>
    <t>TINTA SMALTE SINTETICO BRILHANTE BRANCO, GALAO C 3.600 ML</t>
  </si>
  <si>
    <t>TINTA ESMALTE SINTETICO BRILHANTE PRETO, GL COM 3.600 ML</t>
  </si>
  <si>
    <t>TINTA ESMALTE SINTETICO BRILHANTE VERMELHO - GL C/ 3.600 ML</t>
  </si>
  <si>
    <t>TINTA ESMALTE SINTETICO BRILHANTE - AZUL DEL REY - GALAO C/ 3.600 ML</t>
  </si>
  <si>
    <t>PERNEIRA DE PROTECAO CONFECCIONADA EM RASPA DE COURO VACUM, FECHAMENTO EM VELCRO, COR E ESPESSURA UNIFORME, SEM FIAPOS DE COURO</t>
  </si>
  <si>
    <t>TINTA ESMALTE SINTETICO BRILHANTE, COR VERDE FOLHA - GALAO COM 3,600 ML</t>
  </si>
  <si>
    <t>PO</t>
  </si>
  <si>
    <t>TINTA ACRÍLICA BRANCA</t>
  </si>
  <si>
    <t xml:space="preserve">ELETRODO P/ SOLDA 2,5 MM E 6013  </t>
  </si>
  <si>
    <t>ANEL DE VEDACAO EM BORRACHA PARA BACIA SANITARIA - MEDIDA 100MM</t>
  </si>
  <si>
    <t>MINIDICIONÁRIO</t>
  </si>
  <si>
    <t>APONTADOR PARA LÁPIS Nº 2</t>
  </si>
  <si>
    <t>COLA BRANCA 90G</t>
  </si>
  <si>
    <t>TESOURA ESCOLAR</t>
  </si>
  <si>
    <t>CJ</t>
  </si>
  <si>
    <t>PlanilhaPrincipal</t>
  </si>
  <si>
    <t>ABA#</t>
  </si>
  <si>
    <t>Ponto_Ped</t>
  </si>
  <si>
    <t>CIMENTO COLA AC3 - SACO C/20 KG</t>
  </si>
  <si>
    <t>priscila.miranda</t>
  </si>
  <si>
    <t>LUVA DE SEGURANCA PARA PROCEDIMENTO NAO CIRURGICO, CONFECCIONADA EM NITRILO (BORRACHA SINTETICA), AMBIDESTRA,  NAO ESTERIL, LIVRE DE PO, PALMA LISA E DEDOS TEXTURIZADOS. CAIXA COM 100 UNIDADES. TAM G</t>
  </si>
  <si>
    <t>LUVA DE PROTECAO CONFECCIONADA EM VAQUETA, REFORCO ENTRE O POLEGAR E O INDICADOR E REFORCO NA PALMA, AJUSTE COM ELASTICO NO DORSO. COMPRIMENTO TOTAL DA LUVA DE NO MINIMO 23 CM.</t>
  </si>
  <si>
    <t>LUVA PIGMENTADA - LUVA DE PROTECAO CONFECCIONADA EM FIBRAS NATURAIS E/OU FIBRAS SINTETICAS, PIGMENTOS ANTIDERRAPANTES DE PVC NA PALMA E FACE PALMAR DOS DEDOS. TAM 10</t>
  </si>
  <si>
    <t>PROTETOR FACIAL INCOLOR TIPO BOLHA</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</si>
  <si>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</si>
  <si>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</si>
  <si>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AUMENTO DE CONSUMO</t>
  </si>
  <si>
    <t>ACUCAR REFINADO AMORFO/MICROCRISTALINO - 5 KG</t>
  </si>
  <si>
    <t>9/20</t>
  </si>
  <si>
    <t>292/19</t>
  </si>
  <si>
    <t>/-2000 | Aguardando!</t>
  </si>
  <si>
    <t>/-2000 | Suspenso!</t>
  </si>
  <si>
    <t>2/19 | Aguardando!</t>
  </si>
  <si>
    <t xml:space="preserve">RESPIRADOR PURIFICADOR DE AR TIPO PECA SEMIFACIAL FILTRANTE PARA PARTICULAS PFF2, COM VALVULA DE EXALACAO, TIRANTES ELASTICOS FIXADOS AO EQUIPAMENTO E MOLDADOR NASAL. </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</si>
  <si>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</si>
  <si>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15/20</t>
  </si>
  <si>
    <t>14/20</t>
  </si>
  <si>
    <t>LUVA DE SEGURANCA CONFECCIONADA EM LATEX NITRILICO, SEM FORRO, ACABAMENTO CLORINADO PALMA ANTIDERRAPANTE EM ALTO RELEVO, COMPRIMENTO MINIMO DE 330 MM - TAM. G</t>
  </si>
  <si>
    <t>CAPUZ OU BALACLAVA DE SEGURANCA MODELO ARABE, CONFECCIONADO EM BRIM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</si>
  <si>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</si>
  <si>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</si>
  <si>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</si>
  <si>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</si>
  <si>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</si>
  <si>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</si>
  <si>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</si>
  <si>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</si>
  <si>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</si>
  <si>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</si>
  <si>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</si>
  <si>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</si>
  <si>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</si>
  <si>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</si>
  <si>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</si>
  <si>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OCULOS DE SEGURANCA CONTRA IMPACTOS- OCULOS DE SEGURANCA, CONSTITUIDOS DE ARMACAO E VISOR EM UMA UNICA PECA DE POLICARBONATO INCOLOR, COM APOIO NASAL. AS HASTES CONFECCIONADAS EM MATERIAL PLASTICO OU DO MESMO MATERIAL DO VISOR.</t>
  </si>
  <si>
    <t xml:space="preserve">CAPACETE DE SEGURANCA CLASSE B, TIPO II (ABA FRONTAL), COM SUSPENCAO PLASTICA, TIRA ABSORVENTE DE SUOR E SISTEMA DE REGULAGEM. TIRA JUGULAR EM POLIESTER JA FIXADA AO CAPACETE.  </t>
  </si>
  <si>
    <t>CAPA DE CHUVA EM PVC COM CAPUZ - TAM G : CAPA DE CHUVA IMPERMEAVEL NA COR AMARELA, CONFECCIONADA EM TECIDO SINTETICO REVESTIDO DE PVC, COSTURAS ATRAVES DE SOLDA ELETRONICA, MANGAS LONGAS, CAPUZ FIXO, FECHAMENTO FRONTAL</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</si>
  <si>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</si>
  <si>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17/20</t>
  </si>
  <si>
    <t>16/19 | Aguardando!</t>
  </si>
  <si>
    <t>ENVELOPE PARDO - TIPO SACO 200 X 280MM- GRAMATURA MINIMA 80 G/M²</t>
  </si>
  <si>
    <t>ENVELOPE BRANCO - CARTA - 114 X 162 MM- GRAMATURA MINIMA 56 G/M²</t>
  </si>
  <si>
    <t>131/19 | Aguardando!</t>
  </si>
  <si>
    <t>192/19 !Bloq</t>
  </si>
  <si>
    <t>LocalNaRedeDaItensEmAta</t>
  </si>
  <si>
    <t>G:\Suprimentos\Compras\1 Estimativas de ATA 14-08-17</t>
  </si>
  <si>
    <t>Local onde a planilha de itens em ata estará guardada.</t>
  </si>
  <si>
    <t>IGUAL ATA</t>
  </si>
  <si>
    <t>ERA IGUAL ATA</t>
  </si>
  <si>
    <t>sim</t>
  </si>
  <si>
    <t>SO</t>
  </si>
  <si>
    <t>47/19 | Aguardando!</t>
  </si>
  <si>
    <t>70/19 | Aguardando!</t>
  </si>
  <si>
    <t>204/18 | Suspenso!</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</si>
  <si>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</si>
  <si>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</si>
  <si>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</si>
  <si>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</si>
  <si>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PLASTICO A3 PARA PLASTIFICACAO - POLASEAL 0,05 MM- 303 X 426 - CAIXA COM 100 UNIDADES</t>
  </si>
  <si>
    <t>PORCA SEXTAVADA DE ACO DE 1/4"</t>
  </si>
  <si>
    <t>ATA MENSAL</t>
  </si>
  <si>
    <t>PROJETOR/REFLETOR LED COM DRIVER INCORPORADO, VIDA UTIL MIMINA DE 50.000 HS, IRC MINIMO 70, FLUXO LUMINOSO MINIMO 18.000 LM, EFICIENCIA ENERGETICA MINIMA DE 112,5 LM/W, TEMPERATURA DE COR 5000 A 6500 K, POTENCIA MAXIMA 160W, 220V/60HZ</t>
  </si>
  <si>
    <t>LUMINARIA HIGH BAY, COM DRIVER INCORPORADO, VIDA UTIL MIMINA DE 50.000 HS, IRC MINIMO 70%, FLUXO LUMINOSO MINIMO DE 18.000 LM, EFICIENCIA ENERGETICA MINIMA DE 100LM/W, TEMPERATURA DE COR 5000 A 6500 K, POTENCIA MAXIMA 200W, TENSAO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</si>
  <si>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</si>
  <si>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</si>
  <si>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 xml:space="preserve"> </t>
  </si>
  <si>
    <t>87/20</t>
  </si>
  <si>
    <t>99/20</t>
  </si>
  <si>
    <t>100/19 | Aguardando!</t>
  </si>
  <si>
    <t>CALCADO DE SEGURANCA, TIPO BOTINA - Nº 40</t>
  </si>
  <si>
    <t xml:space="preserve">MASCARA DE SOLDA DE SEGURANCA TIPO ESCURECIMENTO AUTOMATICO </t>
  </si>
  <si>
    <t>Mudar Mensal</t>
  </si>
  <si>
    <t>Mudar Em</t>
  </si>
  <si>
    <t>DGRUPO,SETOR,TIPO,QTDMÊS,Mudar Mensal,Mudar Em,PONTOPED,SITUAÇÃO,DIFER,US_NOME,US_DATH,FIM</t>
  </si>
  <si>
    <t>111/20</t>
  </si>
  <si>
    <t>143/20</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</si>
  <si>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</si>
  <si>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CABO DE COBRE FLEXIVEL BITOLA 70 MM²,  0,6/1 KV ISOLACAO DE PVC 70° C, COR PRETO - ANTI-CHAMA</t>
  </si>
  <si>
    <t>LIXA CINTA DE PANO, PARA MADEIRA, GRAU 60 - MED. 1,5 M X 15CM</t>
  </si>
  <si>
    <t>CABO DE COBRE FLEXIVEL BITOLA 25 MM², 0,6/1 KV ISOLACAO DE PVC 70° C, ANTICHAMA, COR AZUL-CLARO   ** NAO UTILIZAR - VIDE COD. 140242 **</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</si>
  <si>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</si>
  <si>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</si>
  <si>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FR</t>
  </si>
  <si>
    <t>LUVA DE LATEX PARA PROCEDIMENTOS TAM "M"</t>
  </si>
  <si>
    <t>LUVA DE LATEX PARA PROCEDIMENTOS TAM "G"</t>
  </si>
  <si>
    <t>CALCADO DE SEGURANCA, TIPO BOTINA - Nº 38</t>
  </si>
  <si>
    <t>CALCADO DE SEGURANCA, TIPO BOTINA - Nº 42</t>
  </si>
  <si>
    <t>OCULOS CONTRA IMPACTOS DE SOBREPOSICAO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</si>
  <si>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</si>
  <si>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ROLO PARA PINTURA 23 CM, CONFECCIONADO EM LA DE CARNEIRO 100% NATURAL COM ALTURA MINIMA DE 30 MM, CABO TIPO GARFO-GAIOLA PRODUZIDO EM ACO ZINCADO COM PUNHO E BUCHA DE POLIETILENO OU SIMILAR</t>
  </si>
  <si>
    <t>105/20 | Suspenso!</t>
  </si>
  <si>
    <t>93/21</t>
  </si>
  <si>
    <t>224/20</t>
  </si>
  <si>
    <t>254/20</t>
  </si>
  <si>
    <t>105/20 | Aguardando!</t>
  </si>
  <si>
    <t>216/20</t>
  </si>
  <si>
    <t>308/20</t>
  </si>
  <si>
    <t>183/20</t>
  </si>
  <si>
    <t>159/20</t>
  </si>
  <si>
    <t>156/20</t>
  </si>
  <si>
    <t>292/19 | Aguardando!</t>
  </si>
  <si>
    <t>166/20</t>
  </si>
  <si>
    <t>58/21</t>
  </si>
  <si>
    <t>104/20 | Suspenso!</t>
  </si>
  <si>
    <t>194/20</t>
  </si>
  <si>
    <t>17/20 | Aguardando!</t>
  </si>
  <si>
    <t>/-2000 | Suspenso Impróspero!</t>
  </si>
  <si>
    <t>175/17 | Suspenso!</t>
  </si>
  <si>
    <t>233/19 | Suspenso!</t>
  </si>
  <si>
    <t>87/20 | Aguardando Impróspero!</t>
  </si>
  <si>
    <t>206/20</t>
  </si>
  <si>
    <t>126/19 | Suspenso Impróspero!</t>
  </si>
  <si>
    <t>39/21</t>
  </si>
  <si>
    <t>87/20 | Aguardando!</t>
  </si>
  <si>
    <t>191/20</t>
  </si>
  <si>
    <t>155/19 | Aguardando!</t>
  </si>
  <si>
    <t>233/19 | Aguardando!</t>
  </si>
  <si>
    <t>9/20 | Suspenso!</t>
  </si>
  <si>
    <t>75/21</t>
  </si>
  <si>
    <t>145/21</t>
  </si>
  <si>
    <t>109/17 | Aguardando Impróspero!</t>
  </si>
  <si>
    <t>186/18 | Inativo Impróspero!</t>
  </si>
  <si>
    <t>39/20 | Aguardando!</t>
  </si>
  <si>
    <t>292/19 | Aguardando Impróspero!</t>
  </si>
  <si>
    <t>174/20</t>
  </si>
  <si>
    <t>293/20</t>
  </si>
  <si>
    <t>101/20 | Aguardando!</t>
  </si>
  <si>
    <t>198/19 | Suspenso!</t>
  </si>
  <si>
    <t>237/20</t>
  </si>
  <si>
    <t>16/20 | Suspenso!</t>
  </si>
  <si>
    <t>121/20 | Suspenso!</t>
  </si>
  <si>
    <t>211/20</t>
  </si>
  <si>
    <t>86/20 | Aguardando Impróspero!</t>
  </si>
  <si>
    <t>155/19 | Suspenso!</t>
  </si>
  <si>
    <t>55/20 | Aguardando!</t>
  </si>
  <si>
    <t>105/21</t>
  </si>
  <si>
    <t>104/20 | Aguardando!</t>
  </si>
  <si>
    <t>296/20</t>
  </si>
  <si>
    <t>16/19 | Aguardando Impróspero!</t>
  </si>
  <si>
    <t>115/20 | Aguardando!</t>
  </si>
  <si>
    <t>230/18 | Aguardando Impróspero!</t>
  </si>
  <si>
    <t>147/20 | Suspenso!</t>
  </si>
  <si>
    <t>126/19 | Suspenso!</t>
  </si>
  <si>
    <t>70/19 | Suspenso Impróspero!</t>
  </si>
  <si>
    <t>90/21</t>
  </si>
  <si>
    <t>88/20 | Suspenso!</t>
  </si>
  <si>
    <t>76/19 | Aguardando Impróspero!</t>
  </si>
  <si>
    <t>181/20</t>
  </si>
  <si>
    <t>16/20 | Aguardando!</t>
  </si>
  <si>
    <t>131/21</t>
  </si>
  <si>
    <t>228/20</t>
  </si>
  <si>
    <t>2/21 | Aguardando!</t>
  </si>
  <si>
    <t>204/18 | Suspenso Impróspero!</t>
  </si>
  <si>
    <t>143/21</t>
  </si>
  <si>
    <t>289/20</t>
  </si>
  <si>
    <t>234/19 | Suspenso Impróspero!</t>
  </si>
  <si>
    <t>275/20</t>
  </si>
  <si>
    <t>87/20 | Suspenso!</t>
  </si>
  <si>
    <t>304/20</t>
  </si>
  <si>
    <t>31/21</t>
  </si>
  <si>
    <t>47/19 | Suspenso!</t>
  </si>
  <si>
    <t>169/17 | Suspenso Impróspero!</t>
  </si>
  <si>
    <t>199/19 | Suspenso Impróspero!</t>
  </si>
  <si>
    <t>35/21</t>
  </si>
  <si>
    <t>154/19 | Aguardando Impróspero!</t>
  </si>
  <si>
    <t>217/20</t>
  </si>
  <si>
    <t>111/20 | Suspenso!</t>
  </si>
  <si>
    <t>16/19 | Suspenso Impróspero!</t>
  </si>
  <si>
    <t>281/20</t>
  </si>
  <si>
    <t>64/20 | Suspenso!</t>
  </si>
  <si>
    <t>176/20</t>
  </si>
  <si>
    <t>220/19 | Suspenso Impróspero!</t>
  </si>
  <si>
    <t>258/20</t>
  </si>
  <si>
    <t>257/19 | Aguardando!</t>
  </si>
  <si>
    <t>99/20 | Suspenso Impróspero!</t>
  </si>
  <si>
    <t>178/20</t>
  </si>
  <si>
    <t>54/20 | Aguardando Impróspero!</t>
  </si>
  <si>
    <t>161/21</t>
  </si>
  <si>
    <t>114/18 | Suspenso!</t>
  </si>
  <si>
    <t>14/20 | Aguardando!</t>
  </si>
  <si>
    <t>10/17 | Suspenso Impróspero!</t>
  </si>
  <si>
    <t>285/20</t>
  </si>
  <si>
    <t>64/20 | Aguardando!</t>
  </si>
  <si>
    <t>268/20</t>
  </si>
  <si>
    <t>1/21</t>
  </si>
  <si>
    <t>158/20</t>
  </si>
  <si>
    <t>274/20</t>
  </si>
  <si>
    <t>81/21</t>
  </si>
  <si>
    <t>16/21</t>
  </si>
  <si>
    <t>137/21</t>
  </si>
  <si>
    <t>85/21</t>
  </si>
  <si>
    <t>33/20 | Aguardando!</t>
  </si>
  <si>
    <t>51/20 | Aguardando!</t>
  </si>
  <si>
    <t>236/19 | Aguardando!</t>
  </si>
  <si>
    <t>145/19 | Aguardando!</t>
  </si>
  <si>
    <t>78/21</t>
  </si>
  <si>
    <t>202/20</t>
  </si>
  <si>
    <t>86/20 | Aguardando!</t>
  </si>
  <si>
    <t>130/19 | Aguardando Impróspero!</t>
  </si>
  <si>
    <t>143/20 | Aguardando!</t>
  </si>
  <si>
    <t>8/20 | Aguardando!</t>
  </si>
  <si>
    <t>33/21</t>
  </si>
  <si>
    <t>151/19 | Suspenso!</t>
  </si>
  <si>
    <t>151/19 | Aguardando!</t>
  </si>
  <si>
    <t>/-2000 | ATA!</t>
  </si>
  <si>
    <t>194/17 | Aguardando Impróspero!</t>
  </si>
  <si>
    <t>79/21</t>
  </si>
  <si>
    <t>/-2000 | Aguardando Impróspero!</t>
  </si>
  <si>
    <t xml:space="preserve">ABRACADEIRA DE NYLON COMPRIMENTO 200 MM </t>
  </si>
  <si>
    <t>ABRACADEIRA DE NYLON COMPRIMENTO 300 MM</t>
  </si>
  <si>
    <t xml:space="preserve">ADESIVO SELANTE A BASE DE POLIURETANO, PARA A CONSTRUCAO CIVIL. ADERENCIA A MADEIRA, CONCRETO, ALVENARIA, GESSO, PVC, FERRO E ALUMINIO, ENTRE OUTRAS - TUBO COM, NO MINIMO, 350 GRAMAS. </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</si>
  <si>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</si>
  <si>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AVENTAL DE SEGURANCA CONFECCIONADO EM TECIDO SINTETICO PLASTIFICADO COM PVC EM AMBAS AS FACES, TIRAS DE AJUSTES NO PESCOCO E NA CINTURA JA FIXADAS NO AVENTAL ATRAVES DE ILHOSES REFORCADOS OU SOLDADAS ELETRONICAMENTE.</t>
  </si>
  <si>
    <t>8/21</t>
  </si>
  <si>
    <t>CABO (FLEXIVEL), ENCORDOAMENTO CLASSE 5, SECAO 1,5 MM²  COR PRETA, ISOLACAO NAO HALOGENADO 70ºC, 450/750 V  ANTI-CHAMA, CONFORME NBR VIGENTE E CERTIFICACAO COMPULSORIA INMETRO. ROLO COM 100 METROS.CARACTERISTICAS E NORMA TECNICA LITOGRAFADAS NO MATERIAL.</t>
  </si>
  <si>
    <t>61/21</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</si>
  <si>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</si>
  <si>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</si>
  <si>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</si>
  <si>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</si>
  <si>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</si>
  <si>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</si>
  <si>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</si>
  <si>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</si>
  <si>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</si>
  <si>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</si>
  <si>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</si>
  <si>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</si>
  <si>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</si>
  <si>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</si>
  <si>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</si>
  <si>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</si>
  <si>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</si>
  <si>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</si>
  <si>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</si>
  <si>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</si>
  <si>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</si>
  <si>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50,00 MM²  COR VERDE, ISOLACAO HEPR 90ºC, 0,6/1KV E COBERTURA NAO HALOGENADA,  ANTI-CHAMA CONFORME NBR VIGENTE E CERTIFICACAO COMPULSORIA INMETRO.</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</si>
  <si>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</si>
  <si>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</si>
  <si>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</si>
  <si>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95,00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</si>
  <si>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</si>
  <si>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</si>
  <si>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 xml:space="preserve">CALCA DE BRIM N° 38, CONFECCIONADA EM TECIDO MISTO 67% ALGODAO NA COR AZUL MARINHO.   </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</si>
  <si>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</si>
  <si>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DISCO DE DESBASTE INDUSTRIAL PARA ACO / ACO INOX, DIMENSOES: Ø 4.1/2" X 1/4" X Ø 7/8", ROTACAO: 12.250 A 13.200 RPM</t>
  </si>
  <si>
    <t>FUNDO PARA GALVANIZADOS, LINHA PREMIUM, NA COR CINZA - GALAO COM 3,600 ML</t>
  </si>
  <si>
    <t>GIZAO DE CERA REDONDO, ATOXICO, COM 6 CORES. DIMENSOES MINIMAS: 22 MM DE DIAMETRO E 69 MM DE COMPRIMENTO, COM PESO MINIMO DE 185 GRAMAS, COMPOSICAO: A BASE DE CERA, CARGAS MINERAIS INERTES E PIGMENTOS.</t>
  </si>
  <si>
    <t>LAVATORIO DE LOUCA COM COLUNA, NA COR BRANCA, DIMENSOES MINIMAS: 41 X 34 CM.</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</si>
  <si>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</si>
  <si>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LUVA DE RASPA CANO MEDIO - LUVA DE SEGURANCA, CONFECCIONADA EM RASPA, REFORCO INTERNO EM RASPA NA PALMA E FACE PALMAR DOS DEDOS, REFORCO EXTERNO EM RASPA ENTRE O POLEGAR E O INDICADOR. CANO MEDIO DE CUMPRIMENTO IGUAL A 15 CM</t>
  </si>
  <si>
    <t>PAPEL ALMACO C/ PAUTA</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</si>
  <si>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</si>
  <si>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</si>
  <si>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</si>
  <si>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ROLO DE PELE DE CARNEIRO PARA PINTURA DE SUPERFICIES ASPERAS E RUGOSAS, USO COM TINTAS LATEX E ACRILICA COM 19 MM DE ALTURA E LARGURA DE 23 CM, COM CABO</t>
  </si>
  <si>
    <t>SACO PLASTICO PARA LIXO, COR AZUL, 100 LITROS</t>
  </si>
  <si>
    <t>TINTA ACRILICA PISO,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</si>
  <si>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</si>
  <si>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</si>
  <si>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</si>
  <si>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ESMALTE SINTETICO BRILHANTE, LINHA PREMIUM. COR BRANCO - GALAO COM 3.600 ML, A BASE DE SOLVENTE</t>
  </si>
  <si>
    <t>TINTA ESMALTE SINTETICO BRILHANTE, LINHA PREMIUM.COR PRETO, GALAO COM 3.600 ML, A BASE DE SOLVENTE</t>
  </si>
  <si>
    <t>TINTA ESMALTE SINTETICO BRILHANTE, LINHA PREMIUM.COR VERDE FOLHA, GALAO COM 3.600 ML, A BASE DE SOLVENTE</t>
  </si>
  <si>
    <t>TINTA LATEX ACRILICA SEMIBRILHO, LINHA PREMIUM, COR  AMARELO MELAO MADURO - LATA COM 18 LITROS</t>
  </si>
  <si>
    <t>TINTA LATEX ACRILICA SEMIBRILHO, LINHA PREMIUM, COR  AZUL BIONICO - LATA COM 18 LITROS</t>
  </si>
  <si>
    <t>TINTA LATEX ACRILICA SEMIBRILHO, LINHA PREMIUM, COR BRANCO - LATA COM 18 LITROS</t>
  </si>
  <si>
    <t>TORNEIRA DE PRESSAO CURTA PARA TANQUE E JARDIM, EM LATAO NATURAL, BITOLA DE ½" COM BUCHA ADAPTAVEL EM LATAO DE ½" PARA ¾". MARCA DEVERA SER LITOGRAFADA NO PRODUTO.</t>
  </si>
  <si>
    <t>VERNIZ SINTETICO MARITIMO BRILHANTE, LINHA PREMIUM, GALAO COM 3,6 LITROS, USO INTERIOR E EXTERIOR, COR TRANSPARENTE , PARA DILUICAO A BASE DE SOLVENTE</t>
  </si>
  <si>
    <t>rafael.brito</t>
  </si>
  <si>
    <t xml:space="preserve">CALCA DE BRIM N° 46, CONFECCIONADA EM TECIDO MISTO 67% ALGODAO NA COR AZUL MARINHO.   </t>
  </si>
  <si>
    <t>SACO PLASTICO PARA LIXO, COR AZUL, CAPACIDADE DE VOLUME DE 15 LITROS, NAS MEDIDAS 39 CM DE LARG X 58 CM DE ALT X 0,06 MM OU 60 MICRAS DE ESPESSURA (0,03 MM POR PAREDE) - PACOTE COM 100 UNIDADES</t>
  </si>
  <si>
    <t>edmilson.scandola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</si>
</sst>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
    <numFmt numFmtId="165" formatCode="#,##0\ %;[Red]#,##0\ \ %;;@"/>
    <numFmt numFmtId="166" formatCode="#,##0;[Red]#,##0"/>
    <numFmt numFmtId="167" formatCode="dd/mm/yyyy\ hh:mm;@"/>
    <numFmt numFmtId="168" formatCode="dd\.mm\.yyyy\ \ \-\ hh:mm;;;@"/>
    <numFmt numFmtId="169" formatCode="#,##0_;;;@"/>
    <numFmt numFmtId="170" formatCode="dd\.mm\.yy"/>
  </numFmts>
  <fonts count="29" x14ac:knownFonts="1">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10"/>
      <color indexed="81"/>
      <name val="Segoe UI"/>
      <family val="2"/>
    </font>
    <font>
      <sz val="10"/>
      <color indexed="81"/>
      <name val="Segoe UI"/>
      <family val="2"/>
    </font>
    <font>
      <b/>
      <sz val="14"/>
      <color theme="1"/>
      <name val="Calibri"/>
      <family val="2"/>
      <scheme val="minor"/>
    </font>
    <font>
      <b/>
      <sz val="16"/>
      <color theme="1"/>
      <name val="Calibri"/>
      <family val="2"/>
      <scheme val="minor"/>
    </font>
    <font>
      <sz val="14"/>
      <color theme="1"/>
      <name val="Calibri"/>
      <family val="2"/>
      <scheme val="minor"/>
    </font>
    <font>
      <i/>
      <sz val="12"/>
      <color theme="1"/>
      <name val="Calibri"/>
      <family val="2"/>
      <scheme val="minor"/>
    </font>
    <font>
      <sz val="9"/>
      <color indexed="81"/>
      <name val="Segoe UI"/>
      <family val="2"/>
    </font>
    <font>
      <sz val="22"/>
      <color theme="1"/>
      <name val="Calibri"/>
      <family val="2"/>
      <scheme val="minor"/>
    </font>
    <font>
      <b/>
      <sz val="12"/>
      <color rgb="FF990000"/>
      <name val="Calibri"/>
      <family val="2"/>
      <scheme val="minor"/>
    </font>
    <font>
      <b/>
      <sz val="20"/>
      <color theme="1"/>
      <name val="Calibri"/>
      <family val="2"/>
      <scheme val="minor"/>
    </font>
    <font>
      <b/>
      <sz val="9"/>
      <color indexed="81"/>
      <name val="Segoe UI"/>
      <family val="2"/>
    </font>
    <font>
      <b/>
      <sz val="12"/>
      <color rgb="FFFF0000"/>
      <name val="Calibri"/>
      <family val="2"/>
      <scheme val="minor"/>
    </font>
    <font>
      <sz val="12"/>
      <name val="Calibri"/>
      <family val="2"/>
      <scheme val="minor"/>
    </font>
    <font>
      <b/>
      <sz val="12"/>
      <color rgb="FF1111DF"/>
      <name val="Calibri"/>
      <family val="2"/>
      <scheme val="minor"/>
    </font>
    <font>
      <sz val="12"/>
      <color rgb="FF990000"/>
      <name val="Calibri"/>
      <family val="2"/>
      <scheme val="minor"/>
    </font>
    <font>
      <b/>
      <sz val="14"/>
      <color rgb="FFC00000"/>
      <name val="Calibri"/>
      <family val="2"/>
      <scheme val="minor"/>
    </font>
    <font>
      <b/>
      <i/>
      <sz val="28"/>
      <color theme="1"/>
      <name val="Calibri"/>
      <family val="2"/>
      <scheme val="minor"/>
    </font>
    <font>
      <b/>
      <sz val="12"/>
      <color rgb="FF1111DF"/>
      <name val="Calibri"/>
      <family val="2"/>
      <scheme val="minor"/>
    </font>
    <font>
      <b/>
      <sz val="12"/>
      <color rgb="FF1111DF"/>
      <name val="Calibri"/>
      <family val="2"/>
      <scheme val="minor"/>
    </font>
    <font>
      <b/>
      <sz val="12"/>
      <color theme="7" tint="-0.24994659260841701"/>
      <name val="Calibri"/>
      <family val="2"/>
      <scheme val="minor"/>
    </font>
    <font>
      <i/>
      <sz val="11"/>
      <color rgb="FF1111DF"/>
      <name val="Eras Demi ITC"/>
      <family val="2"/>
    </font>
    <font>
      <sz val="10"/>
      <color indexed="81"/>
      <name val="Lucida Console"/>
      <family val="3"/>
    </font>
    <font>
      <u/>
      <sz val="11"/>
      <color theme="10"/>
      <name val="Calibri"/>
      <family val="2"/>
      <scheme val="minor"/>
    </font>
    <font>
      <b/>
      <sz val="12"/>
      <color rgb="FF008E40"/>
      <name val="Calibri"/>
      <family val="2"/>
    </font>
    <font>
      <sz val="8"/>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4">
    <border>
      <left/>
      <right/>
      <top/>
      <bottom/>
      <diagonal/>
    </border>
    <border>
      <left style="thin">
        <color indexed="64"/>
      </left>
      <right style="thin">
        <color indexed="64"/>
      </right>
      <top/>
      <bottom style="thin">
        <color indexed="64"/>
      </bottom>
      <diagonal/>
    </border>
    <border>
      <left style="medium">
        <color indexed="64"/>
      </left>
      <right/>
      <top/>
      <bottom/>
      <diagonal/>
    </border>
    <border>
      <left/>
      <right/>
      <top/>
      <bottom style="thin">
        <color indexed="64"/>
      </bottom>
      <diagonal/>
    </border>
  </borders>
  <cellStyleXfs count="2">
    <xf numFmtId="0" fontId="0" fillId="0" borderId="0"/>
    <xf numFmtId="0" fontId="26" fillId="0" borderId="0" applyNumberFormat="0" applyFill="0" applyBorder="0" applyAlignment="0" applyProtection="0"/>
  </cellStyleXfs>
  <cellXfs count="95">
    <xf numFmtId="0" fontId="0" fillId="0" borderId="0" xfId="0"/>
    <xf numFmtId="3" fontId="0" fillId="0" borderId="0" xfId="0" applyNumberFormat="1" applyAlignment="1">
      <alignment horizontal="right" vertical="top" indent="1"/>
    </xf>
    <xf numFmtId="49" fontId="1" fillId="2" borderId="1" xfId="0" applyNumberFormat="1" applyFont="1" applyFill="1" applyBorder="1" applyAlignment="1">
      <alignment horizontal="left" vertical="top" indent="1"/>
    </xf>
    <xf numFmtId="49" fontId="0" fillId="0" borderId="0" xfId="0" applyNumberFormat="1" applyAlignment="1">
      <alignment horizontal="left" vertical="top" indent="1"/>
    </xf>
    <xf numFmtId="3" fontId="1" fillId="2" borderId="1" xfId="0" applyNumberFormat="1" applyFont="1" applyFill="1" applyBorder="1" applyAlignment="1">
      <alignment horizontal="center" vertical="top"/>
    </xf>
    <xf numFmtId="3" fontId="2" fillId="2" borderId="1" xfId="0" applyNumberFormat="1" applyFont="1" applyFill="1" applyBorder="1" applyAlignment="1">
      <alignment horizontal="center" vertical="top"/>
    </xf>
    <xf numFmtId="3" fontId="2" fillId="0" borderId="0" xfId="0" applyNumberFormat="1" applyFont="1" applyAlignment="1">
      <alignment horizontal="right" vertical="top" indent="1"/>
    </xf>
    <xf numFmtId="3" fontId="3" fillId="0" borderId="0" xfId="0" applyNumberFormat="1" applyFont="1" applyAlignment="1" applyProtection="1">
      <alignment horizontal="right" vertical="top" indent="1"/>
      <protection locked="0"/>
    </xf>
    <xf numFmtId="1" fontId="3" fillId="0" borderId="0" xfId="0" applyNumberFormat="1" applyFont="1" applyAlignment="1" applyProtection="1">
      <alignment horizontal="center" vertical="top"/>
      <protection locked="0"/>
    </xf>
    <xf numFmtId="0" fontId="0" fillId="0" borderId="0" xfId="0" applyAlignment="1">
      <alignment horizontal="center"/>
    </xf>
    <xf numFmtId="0" fontId="1" fillId="2" borderId="1" xfId="0" applyFont="1" applyFill="1" applyBorder="1" applyAlignment="1">
      <alignment horizontal="center" vertical="top"/>
    </xf>
    <xf numFmtId="0" fontId="0" fillId="0" borderId="0" xfId="0" applyAlignment="1">
      <alignment horizontal="center" vertical="top"/>
    </xf>
    <xf numFmtId="0" fontId="0" fillId="0" borderId="0" xfId="0" applyAlignment="1">
      <alignment horizontal="left" vertical="top" indent="1"/>
    </xf>
    <xf numFmtId="1" fontId="0" fillId="0" borderId="0" xfId="0" applyNumberFormat="1" applyAlignment="1">
      <alignment horizontal="right" vertical="top" indent="1"/>
    </xf>
    <xf numFmtId="0" fontId="7" fillId="0" borderId="0" xfId="0" applyFont="1" applyAlignment="1">
      <alignment horizontal="left" vertical="top" indent="1"/>
    </xf>
    <xf numFmtId="0" fontId="6" fillId="0" borderId="0" xfId="0" applyFont="1" applyAlignment="1">
      <alignment horizontal="left" vertical="top" indent="1"/>
    </xf>
    <xf numFmtId="0" fontId="7" fillId="0" borderId="0" xfId="0" applyFont="1" applyAlignment="1">
      <alignment horizontal="center" vertical="top"/>
    </xf>
    <xf numFmtId="0" fontId="8" fillId="0" borderId="0" xfId="0" applyFont="1" applyAlignment="1">
      <alignment horizontal="left" vertical="top" indent="1"/>
    </xf>
    <xf numFmtId="49" fontId="11" fillId="0" borderId="0" xfId="0" applyNumberFormat="1" applyFont="1" applyAlignment="1">
      <alignment horizontal="center" vertical="center"/>
    </xf>
    <xf numFmtId="49" fontId="1" fillId="0" borderId="0" xfId="0" applyNumberFormat="1" applyFont="1" applyAlignment="1">
      <alignment horizontal="center"/>
    </xf>
    <xf numFmtId="49" fontId="0" fillId="0" borderId="0" xfId="0" applyNumberFormat="1" applyAlignment="1">
      <alignment horizontal="left" indent="1"/>
    </xf>
    <xf numFmtId="49" fontId="1" fillId="0" borderId="0" xfId="0" applyNumberFormat="1" applyFont="1" applyAlignment="1">
      <alignment horizontal="left" vertical="top" indent="1"/>
    </xf>
    <xf numFmtId="3" fontId="1" fillId="0" borderId="1" xfId="0" applyNumberFormat="1" applyFont="1" applyFill="1" applyBorder="1" applyAlignment="1">
      <alignment horizontal="right" vertical="top" indent="1"/>
    </xf>
    <xf numFmtId="0" fontId="1" fillId="0" borderId="1" xfId="0" applyFont="1" applyFill="1" applyBorder="1" applyAlignment="1">
      <alignment horizontal="center" vertical="top" wrapText="1"/>
    </xf>
    <xf numFmtId="49" fontId="1" fillId="0" borderId="1" xfId="0" applyNumberFormat="1" applyFont="1" applyFill="1" applyBorder="1" applyAlignment="1">
      <alignment horizontal="center" vertical="top"/>
    </xf>
    <xf numFmtId="1" fontId="1" fillId="0" borderId="1" xfId="0" applyNumberFormat="1" applyFont="1" applyFill="1" applyBorder="1" applyAlignment="1">
      <alignment horizontal="right" vertical="top" indent="1"/>
    </xf>
    <xf numFmtId="0" fontId="1" fillId="0" borderId="3" xfId="0" applyFont="1" applyFill="1" applyBorder="1" applyAlignment="1">
      <alignment horizontal="center" vertical="top" wrapText="1"/>
    </xf>
    <xf numFmtId="3" fontId="2" fillId="2" borderId="1" xfId="0" applyNumberFormat="1" applyFont="1" applyFill="1" applyBorder="1" applyAlignment="1">
      <alignment horizontal="center" vertical="center"/>
    </xf>
    <xf numFmtId="0" fontId="0" fillId="0" borderId="0" xfId="0" applyAlignment="1">
      <alignment horizontal="center"/>
    </xf>
    <xf numFmtId="0" fontId="8" fillId="0" borderId="0" xfId="0" applyFont="1" applyAlignment="1">
      <alignment horizontal="center"/>
    </xf>
    <xf numFmtId="0" fontId="8" fillId="0" borderId="0" xfId="0" applyFont="1"/>
    <xf numFmtId="1" fontId="1" fillId="0" borderId="3" xfId="0" applyNumberFormat="1" applyFont="1" applyFill="1" applyBorder="1" applyAlignment="1">
      <alignment horizontal="left" vertical="top" indent="1"/>
    </xf>
    <xf numFmtId="0" fontId="0" fillId="0" borderId="0" xfId="0" applyNumberFormat="1" applyFill="1" applyAlignment="1">
      <alignment horizontal="center" vertical="center"/>
    </xf>
    <xf numFmtId="49" fontId="0" fillId="0" borderId="0" xfId="0" applyNumberFormat="1" applyFill="1" applyAlignment="1">
      <alignment horizontal="center" vertical="center"/>
    </xf>
    <xf numFmtId="3" fontId="9" fillId="0" borderId="0" xfId="0" applyNumberFormat="1" applyFont="1" applyFill="1" applyAlignment="1" applyProtection="1">
      <alignment horizontal="center" vertical="center"/>
      <protection locked="0"/>
    </xf>
    <xf numFmtId="166" fontId="17" fillId="0" borderId="0" xfId="0" applyNumberFormat="1" applyFont="1" applyFill="1" applyAlignment="1" applyProtection="1">
      <alignment horizontal="center" vertical="center"/>
      <protection locked="0"/>
    </xf>
    <xf numFmtId="3" fontId="0" fillId="0" borderId="0" xfId="0" applyNumberFormat="1" applyFill="1" applyAlignment="1">
      <alignment horizontal="right" vertical="center" indent="1"/>
    </xf>
    <xf numFmtId="0" fontId="0" fillId="0" borderId="0" xfId="0" applyNumberFormat="1" applyFill="1" applyAlignment="1">
      <alignment horizontal="right" vertical="center" indent="1"/>
    </xf>
    <xf numFmtId="0" fontId="0" fillId="0" borderId="0" xfId="0" applyNumberFormat="1" applyFill="1" applyAlignment="1">
      <alignment horizontal="left" vertical="center" indent="1"/>
    </xf>
    <xf numFmtId="164" fontId="12" fillId="0" borderId="0" xfId="0" applyNumberFormat="1" applyFont="1" applyFill="1" applyAlignment="1" applyProtection="1">
      <alignment horizontal="right" vertical="center" indent="1"/>
      <protection locked="0"/>
    </xf>
    <xf numFmtId="164" fontId="2" fillId="0" borderId="0" xfId="0" applyNumberFormat="1" applyFont="1" applyFill="1" applyAlignment="1">
      <alignment horizontal="right" vertical="center" indent="1"/>
    </xf>
    <xf numFmtId="3" fontId="2" fillId="0" borderId="0" xfId="0" applyNumberFormat="1" applyFont="1" applyFill="1" applyAlignment="1">
      <alignment horizontal="right" vertical="center" indent="1"/>
    </xf>
    <xf numFmtId="164" fontId="15" fillId="0" borderId="0" xfId="0" applyNumberFormat="1" applyFont="1" applyFill="1" applyAlignment="1" applyProtection="1">
      <alignment horizontal="right" vertical="center" indent="1"/>
      <protection locked="0"/>
    </xf>
    <xf numFmtId="165" fontId="17" fillId="0" borderId="0" xfId="0" applyNumberFormat="1" applyFont="1" applyFill="1" applyAlignment="1" applyProtection="1">
      <alignment horizontal="right" vertical="center" indent="1"/>
      <protection locked="0"/>
    </xf>
    <xf numFmtId="0" fontId="0" fillId="0" borderId="0" xfId="0" applyAlignment="1">
      <alignment horizontal="center"/>
    </xf>
    <xf numFmtId="3" fontId="19" fillId="0" borderId="0" xfId="0" applyNumberFormat="1" applyFont="1" applyFill="1" applyAlignment="1" applyProtection="1">
      <alignment horizontal="right" vertical="center" indent="3"/>
      <protection locked="0"/>
    </xf>
    <xf numFmtId="164" fontId="18" fillId="0" borderId="0" xfId="0" applyNumberFormat="1" applyFont="1" applyFill="1" applyAlignment="1" applyProtection="1">
      <alignment horizontal="right" vertical="center" indent="1"/>
      <protection locked="0"/>
    </xf>
    <xf numFmtId="165" fontId="0" fillId="0" borderId="0" xfId="0" applyNumberFormat="1" applyFill="1" applyAlignment="1">
      <alignment horizontal="center" vertical="center"/>
    </xf>
    <xf numFmtId="49" fontId="17" fillId="0" borderId="0" xfId="0" applyNumberFormat="1" applyFont="1" applyFill="1" applyAlignment="1" applyProtection="1">
      <alignment horizontal="left" vertical="center" indent="1"/>
      <protection locked="0"/>
    </xf>
    <xf numFmtId="49" fontId="17" fillId="0" borderId="0" xfId="0" applyNumberFormat="1" applyFont="1" applyFill="1" applyAlignment="1" applyProtection="1">
      <alignment horizontal="center" vertical="center"/>
      <protection locked="0"/>
    </xf>
    <xf numFmtId="49" fontId="19" fillId="0" borderId="0" xfId="0" applyNumberFormat="1" applyFont="1" applyFill="1" applyAlignment="1" applyProtection="1">
      <alignment horizontal="right" vertical="center" indent="3"/>
      <protection locked="0"/>
    </xf>
    <xf numFmtId="168" fontId="17" fillId="0" borderId="0" xfId="0" applyNumberFormat="1" applyFont="1" applyFill="1" applyAlignment="1" applyProtection="1">
      <alignment horizontal="center" vertical="center"/>
      <protection locked="0"/>
    </xf>
    <xf numFmtId="168" fontId="19" fillId="0" borderId="0" xfId="0" applyNumberFormat="1" applyFont="1" applyFill="1" applyAlignment="1" applyProtection="1">
      <alignment horizontal="right" vertical="center" indent="3"/>
      <protection locked="0"/>
    </xf>
    <xf numFmtId="168" fontId="17" fillId="0" borderId="0" xfId="0" applyNumberFormat="1" applyFont="1" applyFill="1" applyAlignment="1" applyProtection="1">
      <alignment horizontal="left" vertical="center" indent="1"/>
      <protection locked="0"/>
    </xf>
    <xf numFmtId="3" fontId="2" fillId="2" borderId="1" xfId="0" applyNumberFormat="1" applyFont="1" applyFill="1" applyBorder="1" applyAlignment="1" applyProtection="1">
      <alignment horizontal="center" vertical="center"/>
    </xf>
    <xf numFmtId="49" fontId="21" fillId="0" borderId="0" xfId="0" applyNumberFormat="1" applyFont="1" applyFill="1" applyAlignment="1" applyProtection="1">
      <alignment horizontal="center" vertical="center"/>
      <protection locked="0"/>
    </xf>
    <xf numFmtId="168" fontId="21" fillId="0" borderId="0" xfId="0" applyNumberFormat="1" applyFont="1" applyFill="1" applyAlignment="1" applyProtection="1">
      <alignment horizontal="center" vertical="center"/>
      <protection locked="0"/>
    </xf>
    <xf numFmtId="164" fontId="23" fillId="0" borderId="0" xfId="0" applyNumberFormat="1" applyFont="1" applyFill="1" applyAlignment="1" applyProtection="1">
      <alignment horizontal="right" vertical="center" indent="1"/>
      <protection locked="0"/>
    </xf>
    <xf numFmtId="169" fontId="24" fillId="0" borderId="0" xfId="0" applyNumberFormat="1" applyFont="1" applyFill="1" applyAlignment="1" applyProtection="1">
      <alignment horizontal="right" vertical="center"/>
      <protection locked="0"/>
    </xf>
    <xf numFmtId="0" fontId="3" fillId="0" borderId="0" xfId="0" applyNumberFormat="1" applyFont="1" applyFill="1" applyAlignment="1" applyProtection="1">
      <alignment horizontal="center" vertical="center"/>
      <protection locked="0"/>
    </xf>
    <xf numFmtId="49" fontId="2" fillId="2" borderId="1" xfId="0" applyNumberFormat="1" applyFont="1" applyFill="1" applyBorder="1" applyAlignment="1">
      <alignment horizontal="center" vertical="center"/>
    </xf>
    <xf numFmtId="49" fontId="2" fillId="2" borderId="1" xfId="0" applyNumberFormat="1" applyFont="1" applyFill="1" applyBorder="1" applyAlignment="1">
      <alignment horizontal="center" vertical="center" textRotation="90"/>
    </xf>
    <xf numFmtId="1" fontId="2" fillId="2" borderId="1" xfId="0" applyNumberFormat="1" applyFont="1" applyFill="1" applyBorder="1" applyAlignment="1" applyProtection="1">
      <alignment horizontal="right" vertical="center" textRotation="90"/>
    </xf>
    <xf numFmtId="3"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top" textRotation="90"/>
    </xf>
    <xf numFmtId="0" fontId="26" fillId="0" borderId="0" xfId="1" applyAlignment="1">
      <alignment horizontal="left" vertical="top" indent="1"/>
    </xf>
    <xf numFmtId="3" fontId="2" fillId="2" borderId="1" xfId="0" applyNumberFormat="1" applyFont="1" applyFill="1" applyBorder="1" applyAlignment="1">
      <alignment horizontal="center" vertical="center" textRotation="90"/>
    </xf>
    <xf numFmtId="0" fontId="2" fillId="2" borderId="1" xfId="0" applyFont="1" applyFill="1" applyBorder="1" applyAlignment="1">
      <alignment horizontal="center" vertical="center" textRotation="90"/>
    </xf>
    <xf numFmtId="49" fontId="0" fillId="0" borderId="0" xfId="0" applyNumberFormat="1" applyFill="1" applyAlignment="1">
      <alignment horizontal="left" vertical="center" indent="1"/>
    </xf>
    <xf numFmtId="0" fontId="16" fillId="0" borderId="0" xfId="0" applyNumberFormat="1" applyFont="1" applyFill="1" applyAlignment="1" applyProtection="1">
      <alignment horizontal="center" vertical="center"/>
      <protection locked="0"/>
    </xf>
    <xf numFmtId="166" fontId="22" fillId="0" borderId="0" xfId="0" applyNumberFormat="1" applyFont="1" applyFill="1" applyAlignment="1" applyProtection="1">
      <alignment horizontal="center" vertical="center"/>
      <protection locked="0"/>
    </xf>
    <xf numFmtId="166" fontId="21" fillId="0" borderId="0" xfId="0" applyNumberFormat="1" applyFont="1" applyFill="1" applyAlignment="1" applyProtection="1">
      <alignment horizontal="center" vertical="center"/>
      <protection locked="0"/>
    </xf>
    <xf numFmtId="3" fontId="17" fillId="0" borderId="0" xfId="0" applyNumberFormat="1" applyFont="1" applyFill="1" applyAlignment="1" applyProtection="1">
      <alignment horizontal="right" vertical="center" indent="1"/>
      <protection locked="0"/>
    </xf>
    <xf numFmtId="3" fontId="19" fillId="0" borderId="0" xfId="0" applyNumberFormat="1" applyFont="1" applyFill="1" applyAlignment="1" applyProtection="1">
      <alignment horizontal="right" vertical="center" indent="1"/>
      <protection locked="0"/>
    </xf>
    <xf numFmtId="3" fontId="21" fillId="0" borderId="0" xfId="0" applyNumberFormat="1" applyFont="1" applyFill="1" applyAlignment="1" applyProtection="1">
      <alignment horizontal="right" vertical="center" indent="1"/>
      <protection locked="0"/>
    </xf>
    <xf numFmtId="0" fontId="0" fillId="0" borderId="0" xfId="0" applyAlignment="1">
      <alignment horizontal="center"/>
    </xf>
    <xf numFmtId="49" fontId="27" fillId="0" borderId="0" xfId="0" applyNumberFormat="1" applyFont="1" applyFill="1" applyAlignment="1" applyProtection="1">
      <alignment horizontal="right" vertical="center" indent="1"/>
      <protection locked="0"/>
    </xf>
    <xf numFmtId="3" fontId="27" fillId="0" borderId="0" xfId="0" applyNumberFormat="1" applyFont="1" applyFill="1" applyAlignment="1" applyProtection="1">
      <alignment horizontal="right" vertical="center" indent="1"/>
      <protection locked="0"/>
    </xf>
    <xf numFmtId="3" fontId="2" fillId="2" borderId="1" xfId="0" applyNumberFormat="1" applyFont="1" applyFill="1" applyBorder="1" applyAlignment="1">
      <alignment horizontal="center" vertical="center" textRotation="90" wrapText="1"/>
    </xf>
    <xf numFmtId="3" fontId="27" fillId="0" borderId="0" xfId="0" applyNumberFormat="1" applyFont="1" applyFill="1" applyAlignment="1" applyProtection="1">
      <alignment horizontal="center" vertical="center"/>
      <protection locked="0"/>
    </xf>
    <xf numFmtId="1" fontId="2" fillId="0" borderId="0" xfId="0" applyNumberFormat="1" applyFont="1" applyFill="1" applyAlignment="1" applyProtection="1">
      <alignment horizontal="center" vertical="center"/>
      <protection locked="0"/>
    </xf>
    <xf numFmtId="170" fontId="28" fillId="0" borderId="0" xfId="0" applyNumberFormat="1" applyFont="1" applyFill="1" applyAlignment="1" applyProtection="1">
      <alignment horizontal="center" vertical="center"/>
      <protection locked="0"/>
    </xf>
    <xf numFmtId="1" fontId="2" fillId="2" borderId="1" xfId="0" applyNumberFormat="1" applyFont="1" applyFill="1" applyBorder="1" applyAlignment="1" applyProtection="1">
      <alignment horizontal="center" vertical="center" textRotation="90"/>
    </xf>
    <xf numFmtId="3" fontId="28" fillId="0" borderId="0" xfId="0" applyNumberFormat="1" applyFont="1" applyFill="1" applyAlignment="1" applyProtection="1">
      <alignment horizontal="right" vertical="center"/>
      <protection locked="0"/>
    </xf>
    <xf numFmtId="3" fontId="2" fillId="0" borderId="0" xfId="0" applyNumberFormat="1" applyFont="1" applyFill="1" applyAlignment="1">
      <alignment horizontal="right" vertical="top" indent="1"/>
    </xf>
    <xf numFmtId="1" fontId="2" fillId="0" borderId="1" xfId="0" applyNumberFormat="1" applyFont="1" applyFill="1" applyBorder="1" applyAlignment="1" applyProtection="1">
      <alignment horizontal="center" vertical="center" textRotation="90"/>
    </xf>
    <xf numFmtId="0" fontId="0" fillId="0" borderId="0" xfId="0" applyFill="1"/>
    <xf numFmtId="3" fontId="3" fillId="0" borderId="0" xfId="0" applyNumberFormat="1" applyFont="1" applyFill="1" applyAlignment="1" applyProtection="1">
      <alignment horizontal="right" vertical="top" indent="1"/>
      <protection locked="0"/>
    </xf>
    <xf numFmtId="49" fontId="28" fillId="0" borderId="0" xfId="0" applyNumberFormat="1" applyFont="1" applyAlignment="1">
      <alignment horizontal="left" vertical="top" indent="1"/>
    </xf>
    <xf numFmtId="167" fontId="28" fillId="0" borderId="0" xfId="0" applyNumberFormat="1" applyFont="1" applyAlignment="1">
      <alignment horizontal="left" vertical="top" indent="1"/>
    </xf>
    <xf numFmtId="3" fontId="20" fillId="0" borderId="0" xfId="0" applyNumberFormat="1" applyFont="1" applyAlignment="1">
      <alignment horizontal="center" vertical="center"/>
    </xf>
    <xf numFmtId="0" fontId="0" fillId="0" borderId="0" xfId="0" applyAlignment="1">
      <alignment horizontal="center"/>
    </xf>
    <xf numFmtId="0" fontId="13" fillId="2" borderId="2" xfId="0" applyFont="1" applyFill="1" applyBorder="1" applyAlignment="1">
      <alignment horizontal="center" vertical="center"/>
    </xf>
    <xf numFmtId="0" fontId="13" fillId="2" borderId="0" xfId="0" applyFont="1" applyFill="1" applyBorder="1" applyAlignment="1">
      <alignment horizontal="center" vertical="center"/>
    </xf>
    <xf numFmtId="3" fontId="0" fillId="3" borderId="0" xfId="0" applyNumberFormat="1" applyFill="1" applyAlignment="1">
      <alignment horizontal="center" vertical="top"/>
    </xf>
  </cellXfs>
  <cellStyles count="2">
    <cellStyle name="Hiperlink" xfId="1" builtinId="8"/>
    <cellStyle name="Normal" xfId="0" builtinId="0"/>
  </cellStyles>
  <dxfs count="77">
    <dxf>
      <alignment horizontal="center" vertical="bottom" textRotation="0" wrapText="0" indent="0" justifyLastLine="0" shrinkToFit="0" readingOrder="0"/>
    </dxf>
    <dxf>
      <alignment horizontal="left" vertical="top" textRotation="0" wrapText="0" indent="1" justifyLastLine="0" shrinkToFit="0" readingOrder="0"/>
    </dxf>
    <dxf>
      <alignment horizontal="center" vertical="top" textRotation="0" wrapText="0" indent="0" justifyLastLine="0" shrinkToFit="0" readingOrder="0"/>
    </dxf>
    <dxf>
      <font>
        <strike val="0"/>
        <outline val="0"/>
        <shadow val="0"/>
        <u val="none"/>
        <vertAlign val="baseline"/>
        <sz val="14"/>
        <color theme="1"/>
        <name val="Calibri"/>
        <scheme val="minor"/>
      </font>
    </dxf>
    <dxf>
      <numFmt numFmtId="30" formatCode="@"/>
      <alignment horizontal="left" vertical="top" textRotation="0" wrapText="0" indent="1" justifyLastLine="0" shrinkToFit="0" readingOrder="0"/>
    </dxf>
    <dxf>
      <font>
        <b/>
      </font>
      <numFmt numFmtId="30" formatCode="@"/>
      <alignment horizontal="left" vertical="top" textRotation="0" wrapText="0" indent="1" justifyLastLine="0" shrinkToFit="0" readingOrder="0"/>
    </dxf>
    <dxf>
      <numFmt numFmtId="30" formatCode="@"/>
      <alignment horizontal="left" vertical="top" textRotation="0" wrapText="0" indent="1" justifyLastLine="0" shrinkToFit="0" readingOrder="0"/>
    </dxf>
    <dxf>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b/>
      </font>
      <numFmt numFmtId="30" formatCode="@"/>
      <alignment horizontal="left" vertical="top" textRotation="0" wrapText="0" indent="1" justifyLastLine="0" shrinkToFit="0" readingOrder="0"/>
    </dxf>
    <dxf>
      <numFmt numFmtId="30" formatCode="@"/>
      <alignment horizontal="left" vertical="top" textRotation="0" wrapText="0" indent="1" justifyLastLine="0" shrinkToFit="0" readingOrder="0"/>
    </dxf>
    <dxf>
      <numFmt numFmtId="30" formatCode="@"/>
      <alignment horizontal="center" vertical="top" textRotation="0" wrapText="0" indent="0" justifyLastLine="0" shrinkToFit="0" readingOrder="0"/>
    </dxf>
    <dxf>
      <numFmt numFmtId="30" formatCode="@"/>
      <alignment horizontal="left" vertical="bottom" textRotation="0" wrapText="0" indent="1" justifyLastLine="0" shrinkToFit="0" readingOrder="0"/>
    </dxf>
    <dxf>
      <font>
        <b/>
      </font>
      <numFmt numFmtId="30" formatCode="@"/>
      <alignment horizontal="center" vertical="bottom" textRotation="0" wrapText="0" indent="0" justifyLastLine="0" shrinkToFit="0" readingOrder="0"/>
    </dxf>
    <dxf>
      <numFmt numFmtId="30" formatCode="@"/>
      <alignment horizontal="left" vertical="bottom"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strike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b val="0"/>
        <i val="0"/>
        <strike val="0"/>
        <outline val="0"/>
        <shadow val="0"/>
        <u val="none"/>
        <vertAlign val="baseline"/>
        <sz val="8"/>
        <color theme="1"/>
        <name val="Calibri"/>
        <scheme val="minor"/>
      </font>
      <numFmt numFmtId="167" formatCode="dd/mm/yyyy\ hh:mm;@"/>
      <alignment horizontal="left" vertical="top" textRotation="0" wrapText="0" indent="1" justifyLastLine="0" shrinkToFit="0" readingOrder="0"/>
    </dxf>
    <dxf>
      <font>
        <b val="0"/>
        <i val="0"/>
        <strike val="0"/>
        <outline val="0"/>
        <shadow val="0"/>
        <u val="none"/>
        <vertAlign val="baseline"/>
        <sz val="8"/>
        <color theme="1"/>
        <name val="Calibri"/>
        <scheme val="minor"/>
      </font>
      <numFmt numFmtId="30" formatCode="@"/>
      <alignment horizontal="left" vertical="top" textRotation="0" wrapText="0" indent="1" justifyLastLine="0" shrinkToFit="0" readingOrder="0"/>
    </dxf>
    <dxf>
      <numFmt numFmtId="1" formatCode="0"/>
      <alignment horizontal="right" vertical="top" textRotation="0" wrapText="0" indent="1" justifyLastLine="0" shrinkToFit="0" readingOrder="0"/>
    </dxf>
    <dxf>
      <numFmt numFmtId="1" formatCode="0"/>
      <alignment horizontal="right" vertical="top" textRotation="0" wrapText="0" indent="1" justifyLastLine="0" shrinkToFit="0" readingOrder="0"/>
    </dxf>
    <dxf>
      <alignment horizontal="center" vertical="top" textRotation="0" wrapText="0" indent="0" justifyLastLine="0" shrinkToFit="0" readingOrder="0"/>
    </dxf>
    <dxf>
      <alignment horizontal="left" vertical="top" textRotation="0" wrapText="0" indent="1" justifyLastLine="0" shrinkToFit="0" readingOrder="0"/>
    </dxf>
    <dxf>
      <numFmt numFmtId="3" formatCode="#,##0"/>
      <alignment horizontal="right" vertical="top" textRotation="0" wrapText="0" indent="1" justifyLastLine="0" shrinkToFit="0" readingOrder="0"/>
    </dxf>
    <dxf>
      <border outline="0">
        <bottom style="thin">
          <color indexed="64"/>
        </bottom>
      </border>
    </dxf>
    <dxf>
      <alignment horizontal="center" vertical="top" textRotation="0" wrapText="0" indent="0" justifyLastLine="0" shrinkToFit="0" readingOrder="0"/>
    </dxf>
    <dxf>
      <font>
        <b/>
        <i val="0"/>
        <strike val="0"/>
        <outline val="0"/>
        <shadow val="0"/>
        <u val="none"/>
        <vertAlign val="baseline"/>
        <sz val="12"/>
        <color theme="1"/>
        <name val="Calibri"/>
        <scheme val="minor"/>
      </font>
      <numFmt numFmtId="3" formatCode="#,##0"/>
      <alignment horizontal="right" vertical="top" textRotation="0" wrapText="0" indent="1" justifyLastLine="0" shrinkToFit="0" readingOrder="0"/>
    </dxf>
    <dxf>
      <numFmt numFmtId="30" formatCode="@"/>
      <alignment horizontal="left" vertical="top" textRotation="0" wrapText="0" indent="1" justifyLastLine="0" shrinkToFit="0" readingOrder="0"/>
    </dxf>
    <dxf>
      <numFmt numFmtId="3" formatCode="#,##0"/>
      <alignment horizontal="right" vertical="top" textRotation="0" wrapText="0" indent="1" justifyLastLine="0" shrinkToFit="0" readingOrder="0"/>
    </dxf>
    <dxf>
      <border outline="0">
        <top style="thin">
          <color rgb="FF000000"/>
        </top>
      </border>
    </dxf>
    <dxf>
      <alignment vertical="top"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vertical="top" textRotation="0" wrapText="0" indent="0" justifyLastLine="0" shrinkToFit="0" readingOrder="0"/>
      <border diagonalUp="0" diagonalDown="0">
        <left style="thin">
          <color indexed="64"/>
        </left>
        <right style="thin">
          <color indexed="64"/>
        </right>
        <top/>
        <bottom/>
      </border>
    </dxf>
    <dxf>
      <numFmt numFmtId="165" formatCode="#,##0\ %;[Red]#,##0\ \ %;;@"/>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rgb="FF008E40"/>
        <name val="Calibri"/>
        <scheme val="none"/>
      </font>
      <numFmt numFmtId="3" formatCode="#,##0"/>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rgb="FF008E40"/>
        <name val="Calibri"/>
        <scheme val="none"/>
      </font>
      <numFmt numFmtId="3" formatCode="#,##0"/>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rgb="FF1111DF"/>
        <name val="Calibri"/>
        <scheme val="minor"/>
      </font>
      <numFmt numFmtId="3" formatCode="#,##0"/>
      <fill>
        <patternFill patternType="none">
          <fgColor indexed="64"/>
          <bgColor indexed="65"/>
        </patternFill>
      </fill>
      <alignment horizontal="right" vertical="center" textRotation="0" wrapText="0" indent="1" justifyLastLine="0" shrinkToFit="0" readingOrder="0"/>
      <protection locked="0" hidden="0"/>
    </dxf>
    <dxf>
      <font>
        <b/>
        <i val="0"/>
        <strike val="0"/>
        <condense val="0"/>
        <extend val="0"/>
        <outline val="0"/>
        <shadow val="0"/>
        <u val="none"/>
        <vertAlign val="baseline"/>
        <sz val="12"/>
        <color rgb="FF1111DF"/>
        <name val="Calibri"/>
        <scheme val="minor"/>
      </font>
      <numFmt numFmtId="168" formatCode="dd\.mm\.yyyy\ \ \-\ hh:mm;;;@"/>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rgb="FF1111DF"/>
        <name val="Calibri"/>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rgb="FF1111DF"/>
        <name val="Calibri"/>
        <scheme val="minor"/>
      </font>
      <numFmt numFmtId="166" formatCode="#,##0;[Red]#,##0"/>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rgb="FF1111DF"/>
        <name val="Calibri"/>
        <scheme val="minor"/>
      </font>
      <numFmt numFmtId="166" formatCode="#,##0;[Red]#,##0"/>
      <fill>
        <patternFill patternType="none">
          <fgColor indexed="64"/>
          <bgColor indexed="65"/>
        </patternFill>
      </fill>
      <alignment horizontal="center" vertical="center" textRotation="0" wrapText="0" indent="0" justifyLastLine="0" shrinkToFit="0" readingOrder="0"/>
      <protection locked="0" hidden="0"/>
    </dxf>
    <dxf>
      <font>
        <b val="0"/>
        <i/>
        <strike val="0"/>
        <condense val="0"/>
        <extend val="0"/>
        <outline val="0"/>
        <shadow val="0"/>
        <u val="none"/>
        <vertAlign val="baseline"/>
        <sz val="11"/>
        <color rgb="FF1111DF"/>
        <name val="Eras Demi ITC"/>
        <scheme val="none"/>
      </font>
      <numFmt numFmtId="169" formatCode="#,##0_;;;@"/>
      <fill>
        <patternFill patternType="none">
          <fgColor indexed="64"/>
          <bgColor indexed="65"/>
        </patternFill>
      </fill>
      <alignment horizontal="right" vertical="center" textRotation="0" wrapText="0" indent="0" justifyLastLine="0" shrinkToFit="0" readingOrder="0"/>
      <protection locked="0" hidden="0"/>
    </dxf>
    <dxf>
      <font>
        <b/>
        <i val="0"/>
        <strike val="0"/>
        <condense val="0"/>
        <extend val="0"/>
        <outline val="0"/>
        <shadow val="0"/>
        <u val="none"/>
        <vertAlign val="baseline"/>
        <sz val="12"/>
        <color rgb="FF1111DF"/>
        <name val="Calibri"/>
        <scheme val="minor"/>
      </font>
      <numFmt numFmtId="165" formatCode="#,##0\ %;[Red]#,##0\ \ %;;@"/>
      <fill>
        <patternFill patternType="none">
          <fgColor indexed="64"/>
          <bgColor indexed="65"/>
        </patternFill>
      </fill>
      <alignment horizontal="right" vertical="center" textRotation="0" wrapText="0" indent="1" justifyLastLine="0" shrinkToFit="0" readingOrder="0"/>
      <protection locked="0" hidden="0"/>
    </dxf>
    <dxf>
      <font>
        <b val="0"/>
        <i val="0"/>
        <strike val="0"/>
        <condense val="0"/>
        <extend val="0"/>
        <outline val="0"/>
        <shadow val="0"/>
        <u val="none"/>
        <vertAlign val="baseline"/>
        <sz val="12"/>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rgb="FFFF0000"/>
        <name val="Calibri"/>
        <scheme val="minor"/>
      </font>
      <numFmt numFmtId="164" formatCode="#,##0;;;@"/>
      <fill>
        <patternFill patternType="none">
          <fgColor indexed="64"/>
          <bgColor indexed="65"/>
        </patternFill>
      </fill>
      <alignment horizontal="right" vertical="center" textRotation="0" wrapText="0" indent="1" justifyLastLine="0" shrinkToFit="0" readingOrder="0"/>
      <protection locked="0" hidden="0"/>
    </dxf>
    <dxf>
      <font>
        <b/>
        <i val="0"/>
        <strike val="0"/>
        <condense val="0"/>
        <extend val="0"/>
        <outline val="0"/>
        <shadow val="0"/>
        <u val="none"/>
        <vertAlign val="baseline"/>
        <sz val="12"/>
        <color theme="7" tint="-0.24994659260841701"/>
        <name val="Calibri"/>
        <scheme val="minor"/>
      </font>
      <numFmt numFmtId="164" formatCode="#,##0;;;@"/>
      <fill>
        <patternFill patternType="none">
          <fgColor indexed="64"/>
          <bgColor indexed="65"/>
        </patternFill>
      </fill>
      <alignment horizontal="right" vertical="center" textRotation="0" wrapText="0" indent="1" justifyLastLine="0" shrinkToFit="0" readingOrder="0"/>
      <protection locked="0" hidden="0"/>
    </dxf>
    <dxf>
      <font>
        <b/>
        <i val="0"/>
        <strike val="0"/>
        <condense val="0"/>
        <extend val="0"/>
        <outline val="0"/>
        <shadow val="0"/>
        <u val="none"/>
        <vertAlign val="baseline"/>
        <sz val="12"/>
        <color rgb="FF008E40"/>
        <name val="Calibri"/>
        <scheme val="none"/>
      </font>
      <numFmt numFmtId="3" formatCode="#,##0"/>
      <fill>
        <patternFill patternType="none">
          <fgColor indexed="64"/>
          <bgColor indexed="65"/>
        </patternFill>
      </fill>
      <alignment horizontal="right" vertical="center" textRotation="0" wrapText="0" indent="1" justifyLastLine="0" shrinkToFit="0" readingOrder="0"/>
      <protection locked="0" hidden="0"/>
    </dxf>
    <dxf>
      <font>
        <b/>
        <i val="0"/>
        <strike val="0"/>
        <condense val="0"/>
        <extend val="0"/>
        <outline val="0"/>
        <shadow val="0"/>
        <u val="none"/>
        <vertAlign val="baseline"/>
        <sz val="12"/>
        <color rgb="FF008E40"/>
        <name val="Calibri"/>
        <scheme val="none"/>
      </font>
      <numFmt numFmtId="30" formatCode="@"/>
      <fill>
        <patternFill patternType="none">
          <fgColor indexed="64"/>
          <bgColor indexed="65"/>
        </patternFill>
      </fill>
      <alignment horizontal="right" vertical="center" textRotation="0" wrapText="0" indent="1" justifyLastLine="0" shrinkToFit="0" readingOrder="0"/>
      <protection locked="0" hidden="0"/>
    </dxf>
    <dxf>
      <font>
        <b/>
        <i/>
        <strike val="0"/>
        <condense val="0"/>
        <extend val="0"/>
        <outline val="0"/>
        <shadow val="0"/>
        <u val="none"/>
        <vertAlign val="baseline"/>
        <sz val="12"/>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8"/>
        <color theme="1"/>
        <name val="Calibri"/>
        <scheme val="minor"/>
      </font>
      <numFmt numFmtId="170" formatCode="dd\.mm\.yy"/>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8"/>
        <color theme="1"/>
        <name val="Calibri"/>
        <scheme val="minor"/>
      </font>
      <numFmt numFmtId="3" formatCode="#,##0"/>
      <fill>
        <patternFill patternType="none">
          <fgColor indexed="64"/>
          <bgColor indexed="65"/>
        </patternFill>
      </fill>
      <alignment horizontal="right" vertical="center" textRotation="0" wrapText="0" indent="0" justifyLastLine="0" shrinkToFit="0" readingOrder="0"/>
      <protection locked="0" hidden="0"/>
    </dxf>
    <dxf>
      <font>
        <b/>
        <i val="0"/>
        <strike val="0"/>
        <outline val="0"/>
        <shadow val="0"/>
        <u val="none"/>
        <vertAlign val="baseline"/>
        <sz val="12"/>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dxf>
    <dxf>
      <font>
        <b/>
        <i val="0"/>
        <strike val="0"/>
        <outline val="0"/>
        <shadow val="0"/>
        <u val="none"/>
        <vertAlign val="baseline"/>
        <sz val="12"/>
        <color rgb="FF990000"/>
        <name val="Calibri"/>
        <scheme val="minor"/>
      </font>
      <numFmt numFmtId="164" formatCode="#,##0;;;@"/>
      <fill>
        <patternFill patternType="none">
          <fgColor indexed="64"/>
          <bgColor indexed="65"/>
        </patternFill>
      </fill>
      <alignment horizontal="right" vertical="center" textRotation="0" wrapText="0" indent="1" justifyLastLine="0" shrinkToFit="0" readingOrder="0"/>
      <protection locked="0" hidden="0"/>
    </dxf>
    <dxf>
      <font>
        <b/>
        <i val="0"/>
        <strike val="0"/>
        <condense val="0"/>
        <extend val="0"/>
        <outline val="0"/>
        <shadow val="0"/>
        <u val="none"/>
        <vertAlign val="baseline"/>
        <sz val="12"/>
        <color theme="1"/>
        <name val="Calibri"/>
        <scheme val="minor"/>
      </font>
      <numFmt numFmtId="1" formatCode="0"/>
      <fill>
        <patternFill patternType="none">
          <fgColor indexed="64"/>
          <bgColor indexed="65"/>
        </patternFill>
      </fill>
      <alignment horizontal="center" vertical="center" textRotation="0" wrapText="0" indent="0" justifyLastLine="0" shrinkToFit="0" readingOrder="0"/>
      <protection locked="0" hidden="0"/>
    </dxf>
    <dxf>
      <numFmt numFmtId="30" formatCode="@"/>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1" justifyLastLine="0" shrinkToFit="0" readingOrder="0"/>
    </dxf>
    <dxf>
      <numFmt numFmtId="0" formatCode="General"/>
      <fill>
        <patternFill patternType="none">
          <fgColor indexed="64"/>
          <bgColor indexed="65"/>
        </patternFill>
      </fill>
      <alignment horizontal="right" vertical="center" textRotation="0" wrapText="0" indent="1"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30" formatCode="@"/>
      <fill>
        <patternFill patternType="none">
          <fgColor indexed="64"/>
          <bgColor indexed="65"/>
        </patternFill>
      </fill>
      <alignment horizontal="center"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1" justifyLastLine="0" shrinkToFit="0" readingOrder="0"/>
    </dxf>
    <dxf>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ill>
        <patternFill patternType="none">
          <fgColor indexed="64"/>
          <bgColor indexed="65"/>
        </patternFill>
      </fill>
      <alignmen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font>
      <fill>
        <patternFill patternType="solid">
          <bgColor rgb="FFFFFFCC"/>
        </patternFill>
      </fill>
      <border>
        <left style="thin">
          <color rgb="FFFF0000"/>
        </left>
        <right style="thin">
          <color rgb="FFFF0000"/>
        </right>
        <top style="thin">
          <color rgb="FFFF0000"/>
        </top>
        <bottom style="thin">
          <color rgb="FFFF0000"/>
        </bottom>
      </border>
    </dxf>
    <dxf>
      <font>
        <b/>
        <i val="0"/>
        <color rgb="FFFF0000"/>
      </font>
    </dxf>
    <dxf>
      <font>
        <b/>
        <i val="0"/>
        <color rgb="FFFF0000"/>
      </font>
    </dxf>
    <dxf>
      <font>
        <color theme="0"/>
      </font>
      <fill>
        <patternFill>
          <bgColor theme="1"/>
        </patternFill>
      </fill>
    </dxf>
  </dxfs>
  <tableStyles count="0" defaultTableStyle="TableStyleMedium2" defaultPivotStyle="PivotStyleLight16"/>
  <colors>
    <mruColors>
      <color rgb="FFFFFFCC"/>
      <color rgb="FF008E40"/>
      <color rgb="FF1111DF"/>
      <color rgb="FFFFFFFF"/>
      <color rgb="FF990000"/>
      <color rgb="FF15097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7.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image" Target="../media/image9.emf"/><Relationship Id="rId3" Type="http://schemas.openxmlformats.org/officeDocument/2006/relationships/image" Target="../media/image15.emf"/><Relationship Id="rId7" Type="http://schemas.openxmlformats.org/officeDocument/2006/relationships/image" Target="../media/image12.emf"/><Relationship Id="rId12" Type="http://schemas.openxmlformats.org/officeDocument/2006/relationships/image" Target="../media/image21.emf"/><Relationship Id="rId2" Type="http://schemas.openxmlformats.org/officeDocument/2006/relationships/image" Target="../media/image16.emf"/><Relationship Id="rId1" Type="http://schemas.openxmlformats.org/officeDocument/2006/relationships/image" Target="../media/image17.emf"/><Relationship Id="rId6" Type="http://schemas.openxmlformats.org/officeDocument/2006/relationships/image" Target="../media/image13.emf"/><Relationship Id="rId11" Type="http://schemas.openxmlformats.org/officeDocument/2006/relationships/image" Target="../media/image10.emf"/><Relationship Id="rId5" Type="http://schemas.openxmlformats.org/officeDocument/2006/relationships/image" Target="../media/image18.emf"/><Relationship Id="rId10" Type="http://schemas.openxmlformats.org/officeDocument/2006/relationships/image" Target="../media/image11.emf"/><Relationship Id="rId4" Type="http://schemas.openxmlformats.org/officeDocument/2006/relationships/image" Target="../media/image14.emf"/><Relationship Id="rId9"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 Id="rId5" Type="http://schemas.openxmlformats.org/officeDocument/2006/relationships/image" Target="../media/image26.emf"/><Relationship Id="rId4" Type="http://schemas.openxmlformats.org/officeDocument/2006/relationships/image" Target="../media/image2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0</xdr:row>
          <xdr:rowOff>85725</xdr:rowOff>
        </xdr:from>
        <xdr:to>
          <xdr:col>1</xdr:col>
          <xdr:colOff>1466850</xdr:colOff>
          <xdr:row>0</xdr:row>
          <xdr:rowOff>533400</xdr:rowOff>
        </xdr:to>
        <xdr:sp macro="" textlink="">
          <xdr:nvSpPr>
            <xdr:cNvPr id="1030" name="btn_Ponto_Ped_Ordena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1524000</xdr:colOff>
          <xdr:row>0</xdr:row>
          <xdr:rowOff>85725</xdr:rowOff>
        </xdr:from>
        <xdr:to>
          <xdr:col>1</xdr:col>
          <xdr:colOff>3686175</xdr:colOff>
          <xdr:row>0</xdr:row>
          <xdr:rowOff>533400</xdr:rowOff>
        </xdr:to>
        <xdr:sp macro="" textlink="">
          <xdr:nvSpPr>
            <xdr:cNvPr id="1084" name="btn_Ponto_Ped_HabOutAlt"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3743325</xdr:colOff>
          <xdr:row>0</xdr:row>
          <xdr:rowOff>85725</xdr:rowOff>
        </xdr:from>
        <xdr:to>
          <xdr:col>5</xdr:col>
          <xdr:colOff>1210235</xdr:colOff>
          <xdr:row>0</xdr:row>
          <xdr:rowOff>533400</xdr:rowOff>
        </xdr:to>
        <xdr:sp macro="" textlink="">
          <xdr:nvSpPr>
            <xdr:cNvPr id="1106" name="btn_Ponto_Ped_Filtros"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112059</xdr:colOff>
          <xdr:row>0</xdr:row>
          <xdr:rowOff>85725</xdr:rowOff>
        </xdr:from>
        <xdr:to>
          <xdr:col>10</xdr:col>
          <xdr:colOff>201146</xdr:colOff>
          <xdr:row>0</xdr:row>
          <xdr:rowOff>533400</xdr:rowOff>
        </xdr:to>
        <xdr:sp macro="" textlink="">
          <xdr:nvSpPr>
            <xdr:cNvPr id="1159" name="btn_Ponto_Ped_AtuCod"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1276910</xdr:colOff>
          <xdr:row>0</xdr:row>
          <xdr:rowOff>85725</xdr:rowOff>
        </xdr:from>
        <xdr:to>
          <xdr:col>7</xdr:col>
          <xdr:colOff>54909</xdr:colOff>
          <xdr:row>0</xdr:row>
          <xdr:rowOff>533400</xdr:rowOff>
        </xdr:to>
        <xdr:sp macro="" textlink="">
          <xdr:nvSpPr>
            <xdr:cNvPr id="1175" name="btn_Ponto_Ped_FilCód"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180975</xdr:colOff>
          <xdr:row>0</xdr:row>
          <xdr:rowOff>85725</xdr:rowOff>
        </xdr:from>
        <xdr:to>
          <xdr:col>28</xdr:col>
          <xdr:colOff>180415</xdr:colOff>
          <xdr:row>0</xdr:row>
          <xdr:rowOff>533400</xdr:rowOff>
        </xdr:to>
        <xdr:sp macro="" textlink="">
          <xdr:nvSpPr>
            <xdr:cNvPr id="1337" name="btn_Ponto_Ped_ColCompra" hidden="1">
              <a:extLst>
                <a:ext uri="{63B3BB69-23CF-44E3-9099-C40C66FF867C}">
                  <a14:compatExt spid="_x0000_s1337"/>
                </a:ext>
                <a:ext uri="{FF2B5EF4-FFF2-40B4-BE49-F238E27FC236}">
                  <a16:creationId xmlns:a16="http://schemas.microsoft.com/office/drawing/2014/main" id="{00000000-0008-0000-0000-00003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763121</xdr:colOff>
          <xdr:row>0</xdr:row>
          <xdr:rowOff>85725</xdr:rowOff>
        </xdr:from>
        <xdr:to>
          <xdr:col>17</xdr:col>
          <xdr:colOff>123825</xdr:colOff>
          <xdr:row>0</xdr:row>
          <xdr:rowOff>533400</xdr:rowOff>
        </xdr:to>
        <xdr:sp macro="" textlink="">
          <xdr:nvSpPr>
            <xdr:cNvPr id="1420" name="btn_Ponto_Ped_Export" hidden="1">
              <a:extLst>
                <a:ext uri="{63B3BB69-23CF-44E3-9099-C40C66FF867C}">
                  <a14:compatExt spid="_x0000_s1420"/>
                </a:ext>
                <a:ext uri="{FF2B5EF4-FFF2-40B4-BE49-F238E27FC236}">
                  <a16:creationId xmlns:a16="http://schemas.microsoft.com/office/drawing/2014/main" id="{00000000-0008-0000-0000-00008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248771</xdr:colOff>
          <xdr:row>0</xdr:row>
          <xdr:rowOff>85725</xdr:rowOff>
        </xdr:from>
        <xdr:to>
          <xdr:col>13</xdr:col>
          <xdr:colOff>696446</xdr:colOff>
          <xdr:row>0</xdr:row>
          <xdr:rowOff>533400</xdr:rowOff>
        </xdr:to>
        <xdr:sp macro="" textlink="">
          <xdr:nvSpPr>
            <xdr:cNvPr id="244956" name="btn_Ponto_Ped_MudMens" hidden="1">
              <a:extLst>
                <a:ext uri="{63B3BB69-23CF-44E3-9099-C40C66FF867C}">
                  <a14:compatExt spid="_x0000_s244956"/>
                </a:ext>
                <a:ext uri="{FF2B5EF4-FFF2-40B4-BE49-F238E27FC236}">
                  <a16:creationId xmlns:a16="http://schemas.microsoft.com/office/drawing/2014/main" id="{00000000-0008-0000-0000-0000DCB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26</xdr:row>
          <xdr:rowOff>123825</xdr:rowOff>
        </xdr:from>
        <xdr:to>
          <xdr:col>0</xdr:col>
          <xdr:colOff>6276975</xdr:colOff>
          <xdr:row>29</xdr:row>
          <xdr:rowOff>0</xdr:rowOff>
        </xdr:to>
        <xdr:sp macro="" textlink="">
          <xdr:nvSpPr>
            <xdr:cNvPr id="21505" name="btn_Filtros_Limpar"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123825</xdr:rowOff>
        </xdr:from>
        <xdr:to>
          <xdr:col>0</xdr:col>
          <xdr:colOff>6276975</xdr:colOff>
          <xdr:row>3</xdr:row>
          <xdr:rowOff>0</xdr:rowOff>
        </xdr:to>
        <xdr:sp macro="" textlink="">
          <xdr:nvSpPr>
            <xdr:cNvPr id="21506" name="btn_Filtros_SohPersonal"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3</xdr:row>
          <xdr:rowOff>47625</xdr:rowOff>
        </xdr:from>
        <xdr:to>
          <xdr:col>0</xdr:col>
          <xdr:colOff>6276975</xdr:colOff>
          <xdr:row>5</xdr:row>
          <xdr:rowOff>114300</xdr:rowOff>
        </xdr:to>
        <xdr:sp macro="" textlink="">
          <xdr:nvSpPr>
            <xdr:cNvPr id="21507" name="btn_Filtros_SohPadrao" hidden="1">
              <a:extLst>
                <a:ext uri="{63B3BB69-23CF-44E3-9099-C40C66FF867C}">
                  <a14:compatExt spid="_x0000_s21507"/>
                </a:ext>
                <a:ext uri="{FF2B5EF4-FFF2-40B4-BE49-F238E27FC236}">
                  <a16:creationId xmlns:a16="http://schemas.microsoft.com/office/drawing/2014/main" id="{00000000-0008-0000-02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8</xdr:row>
          <xdr:rowOff>85725</xdr:rowOff>
        </xdr:from>
        <xdr:to>
          <xdr:col>0</xdr:col>
          <xdr:colOff>6276975</xdr:colOff>
          <xdr:row>10</xdr:row>
          <xdr:rowOff>152400</xdr:rowOff>
        </xdr:to>
        <xdr:sp macro="" textlink="">
          <xdr:nvSpPr>
            <xdr:cNvPr id="21508" name="btn_Filtros_Situacoes"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0</xdr:row>
          <xdr:rowOff>123825</xdr:rowOff>
        </xdr:from>
        <xdr:to>
          <xdr:col>0</xdr:col>
          <xdr:colOff>12620625</xdr:colOff>
          <xdr:row>3</xdr:row>
          <xdr:rowOff>0</xdr:rowOff>
        </xdr:to>
        <xdr:sp macro="" textlink="">
          <xdr:nvSpPr>
            <xdr:cNvPr id="21509" name="btn_Filtros_SemEstimativa" hidden="1">
              <a:extLst>
                <a:ext uri="{63B3BB69-23CF-44E3-9099-C40C66FF867C}">
                  <a14:compatExt spid="_x0000_s21509"/>
                </a:ext>
                <a:ext uri="{FF2B5EF4-FFF2-40B4-BE49-F238E27FC236}">
                  <a16:creationId xmlns:a16="http://schemas.microsoft.com/office/drawing/2014/main" id="{00000000-0008-0000-02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11</xdr:row>
          <xdr:rowOff>9525</xdr:rowOff>
        </xdr:from>
        <xdr:to>
          <xdr:col>0</xdr:col>
          <xdr:colOff>6276975</xdr:colOff>
          <xdr:row>13</xdr:row>
          <xdr:rowOff>76200</xdr:rowOff>
        </xdr:to>
        <xdr:sp macro="" textlink="">
          <xdr:nvSpPr>
            <xdr:cNvPr id="21510" name="btn_Filtros_Setor" hidden="1">
              <a:extLst>
                <a:ext uri="{63B3BB69-23CF-44E3-9099-C40C66FF867C}">
                  <a14:compatExt spid="_x0000_s21510"/>
                </a:ext>
                <a:ext uri="{FF2B5EF4-FFF2-40B4-BE49-F238E27FC236}">
                  <a16:creationId xmlns:a16="http://schemas.microsoft.com/office/drawing/2014/main" id="{00000000-0008-0000-02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24</xdr:row>
          <xdr:rowOff>9525</xdr:rowOff>
        </xdr:from>
        <xdr:to>
          <xdr:col>0</xdr:col>
          <xdr:colOff>12620625</xdr:colOff>
          <xdr:row>26</xdr:row>
          <xdr:rowOff>76200</xdr:rowOff>
        </xdr:to>
        <xdr:sp macro="" textlink="">
          <xdr:nvSpPr>
            <xdr:cNvPr id="21511" name="btn_Filtros_OcultCalc" hidden="1">
              <a:extLst>
                <a:ext uri="{63B3BB69-23CF-44E3-9099-C40C66FF867C}">
                  <a14:compatExt spid="_x0000_s21511"/>
                </a:ext>
                <a:ext uri="{FF2B5EF4-FFF2-40B4-BE49-F238E27FC236}">
                  <a16:creationId xmlns:a16="http://schemas.microsoft.com/office/drawing/2014/main" id="{00000000-0008-0000-02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8</xdr:row>
          <xdr:rowOff>85725</xdr:rowOff>
        </xdr:from>
        <xdr:to>
          <xdr:col>0</xdr:col>
          <xdr:colOff>12620625</xdr:colOff>
          <xdr:row>10</xdr:row>
          <xdr:rowOff>152400</xdr:rowOff>
        </xdr:to>
        <xdr:sp macro="" textlink="">
          <xdr:nvSpPr>
            <xdr:cNvPr id="21512" name="btn_Filtros_PPAbaixoC" hidden="1">
              <a:extLst>
                <a:ext uri="{63B3BB69-23CF-44E3-9099-C40C66FF867C}">
                  <a14:compatExt spid="_x0000_s21512"/>
                </a:ext>
                <a:ext uri="{FF2B5EF4-FFF2-40B4-BE49-F238E27FC236}">
                  <a16:creationId xmlns:a16="http://schemas.microsoft.com/office/drawing/2014/main" id="{00000000-0008-0000-02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11</xdr:row>
          <xdr:rowOff>9525</xdr:rowOff>
        </xdr:from>
        <xdr:to>
          <xdr:col>0</xdr:col>
          <xdr:colOff>12620625</xdr:colOff>
          <xdr:row>13</xdr:row>
          <xdr:rowOff>76200</xdr:rowOff>
        </xdr:to>
        <xdr:sp macro="" textlink="">
          <xdr:nvSpPr>
            <xdr:cNvPr id="21513" name="btn_Filtros_PPAcimaC" hidden="1">
              <a:extLst>
                <a:ext uri="{63B3BB69-23CF-44E3-9099-C40C66FF867C}">
                  <a14:compatExt spid="_x0000_s21513"/>
                </a:ext>
                <a:ext uri="{FF2B5EF4-FFF2-40B4-BE49-F238E27FC236}">
                  <a16:creationId xmlns:a16="http://schemas.microsoft.com/office/drawing/2014/main" id="{00000000-0008-0000-02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26</xdr:row>
          <xdr:rowOff>123825</xdr:rowOff>
        </xdr:from>
        <xdr:to>
          <xdr:col>0</xdr:col>
          <xdr:colOff>12620625</xdr:colOff>
          <xdr:row>29</xdr:row>
          <xdr:rowOff>0</xdr:rowOff>
        </xdr:to>
        <xdr:sp macro="" textlink="">
          <xdr:nvSpPr>
            <xdr:cNvPr id="21514" name="btn_Filtros_ColsUS" hidden="1">
              <a:extLst>
                <a:ext uri="{63B3BB69-23CF-44E3-9099-C40C66FF867C}">
                  <a14:compatExt spid="_x0000_s21514"/>
                </a:ext>
                <a:ext uri="{FF2B5EF4-FFF2-40B4-BE49-F238E27FC236}">
                  <a16:creationId xmlns:a16="http://schemas.microsoft.com/office/drawing/2014/main" id="{00000000-0008-0000-02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13</xdr:row>
          <xdr:rowOff>123825</xdr:rowOff>
        </xdr:from>
        <xdr:to>
          <xdr:col>0</xdr:col>
          <xdr:colOff>6276975</xdr:colOff>
          <xdr:row>16</xdr:row>
          <xdr:rowOff>0</xdr:rowOff>
        </xdr:to>
        <xdr:sp macro="" textlink="">
          <xdr:nvSpPr>
            <xdr:cNvPr id="21515" name="btn_Filtros_SAtaXMensal" hidden="1">
              <a:extLst>
                <a:ext uri="{63B3BB69-23CF-44E3-9099-C40C66FF867C}">
                  <a14:compatExt spid="_x0000_s21515"/>
                </a:ext>
                <a:ext uri="{FF2B5EF4-FFF2-40B4-BE49-F238E27FC236}">
                  <a16:creationId xmlns:a16="http://schemas.microsoft.com/office/drawing/2014/main" id="{00000000-0008-0000-02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13</xdr:row>
          <xdr:rowOff>123825</xdr:rowOff>
        </xdr:from>
        <xdr:to>
          <xdr:col>0</xdr:col>
          <xdr:colOff>12620625</xdr:colOff>
          <xdr:row>16</xdr:row>
          <xdr:rowOff>0</xdr:rowOff>
        </xdr:to>
        <xdr:sp macro="" textlink="">
          <xdr:nvSpPr>
            <xdr:cNvPr id="21516" name="btn_Filtros_PPAciCDif" hidden="1">
              <a:extLst>
                <a:ext uri="{63B3BB69-23CF-44E3-9099-C40C66FF867C}">
                  <a14:compatExt spid="_x0000_s21516"/>
                </a:ext>
                <a:ext uri="{FF2B5EF4-FFF2-40B4-BE49-F238E27FC236}">
                  <a16:creationId xmlns:a16="http://schemas.microsoft.com/office/drawing/2014/main" id="{00000000-0008-0000-02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18</xdr:row>
          <xdr:rowOff>161925</xdr:rowOff>
        </xdr:from>
        <xdr:to>
          <xdr:col>0</xdr:col>
          <xdr:colOff>12620625</xdr:colOff>
          <xdr:row>21</xdr:row>
          <xdr:rowOff>38100</xdr:rowOff>
        </xdr:to>
        <xdr:sp macro="" textlink="">
          <xdr:nvSpPr>
            <xdr:cNvPr id="21517" name="btn_Filtros_PPIgualAta" hidden="1">
              <a:extLst>
                <a:ext uri="{63B3BB69-23CF-44E3-9099-C40C66FF867C}">
                  <a14:compatExt spid="_x0000_s21517"/>
                </a:ext>
                <a:ext uri="{FF2B5EF4-FFF2-40B4-BE49-F238E27FC236}">
                  <a16:creationId xmlns:a16="http://schemas.microsoft.com/office/drawing/2014/main" id="{00000000-0008-0000-02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1</xdr:row>
          <xdr:rowOff>38100</xdr:rowOff>
        </xdr:from>
        <xdr:to>
          <xdr:col>1</xdr:col>
          <xdr:colOff>952500</xdr:colOff>
          <xdr:row>1</xdr:row>
          <xdr:rowOff>371475</xdr:rowOff>
        </xdr:to>
        <xdr:sp macro="" textlink="">
          <xdr:nvSpPr>
            <xdr:cNvPr id="18433" name="btn_Excluir_OcultarReexibir"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2600325</xdr:colOff>
          <xdr:row>1</xdr:row>
          <xdr:rowOff>38100</xdr:rowOff>
        </xdr:from>
        <xdr:to>
          <xdr:col>1</xdr:col>
          <xdr:colOff>4124325</xdr:colOff>
          <xdr:row>1</xdr:row>
          <xdr:rowOff>371475</xdr:rowOff>
        </xdr:to>
        <xdr:sp macro="" textlink="">
          <xdr:nvSpPr>
            <xdr:cNvPr id="18434" name="btn_Excluir_Atualizar_Planilha"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1009650</xdr:colOff>
          <xdr:row>1</xdr:row>
          <xdr:rowOff>38100</xdr:rowOff>
        </xdr:from>
        <xdr:to>
          <xdr:col>1</xdr:col>
          <xdr:colOff>2533650</xdr:colOff>
          <xdr:row>1</xdr:row>
          <xdr:rowOff>371475</xdr:rowOff>
        </xdr:to>
        <xdr:sp macro="" textlink="">
          <xdr:nvSpPr>
            <xdr:cNvPr id="18435" name="btn_Excluir_VoltarParaItens" hidden="1">
              <a:extLst>
                <a:ext uri="{63B3BB69-23CF-44E3-9099-C40C66FF867C}">
                  <a14:compatExt spid="_x0000_s18435"/>
                </a:ext>
                <a:ext uri="{FF2B5EF4-FFF2-40B4-BE49-F238E27FC236}">
                  <a16:creationId xmlns:a16="http://schemas.microsoft.com/office/drawing/2014/main" id="{00000000-0008-0000-04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4191000</xdr:colOff>
          <xdr:row>1</xdr:row>
          <xdr:rowOff>38100</xdr:rowOff>
        </xdr:from>
        <xdr:to>
          <xdr:col>1</xdr:col>
          <xdr:colOff>5715000</xdr:colOff>
          <xdr:row>1</xdr:row>
          <xdr:rowOff>371475</xdr:rowOff>
        </xdr:to>
        <xdr:sp macro="" textlink="">
          <xdr:nvSpPr>
            <xdr:cNvPr id="18441" name="btn_Excluir_AbrirCadastro" hidden="1">
              <a:extLst>
                <a:ext uri="{63B3BB69-23CF-44E3-9099-C40C66FF867C}">
                  <a14:compatExt spid="_x0000_s18441"/>
                </a:ext>
                <a:ext uri="{FF2B5EF4-FFF2-40B4-BE49-F238E27FC236}">
                  <a16:creationId xmlns:a16="http://schemas.microsoft.com/office/drawing/2014/main" id="{00000000-0008-0000-04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5772150</xdr:colOff>
          <xdr:row>1</xdr:row>
          <xdr:rowOff>38100</xdr:rowOff>
        </xdr:from>
        <xdr:to>
          <xdr:col>1</xdr:col>
          <xdr:colOff>7296150</xdr:colOff>
          <xdr:row>1</xdr:row>
          <xdr:rowOff>371475</xdr:rowOff>
        </xdr:to>
        <xdr:sp macro="" textlink="">
          <xdr:nvSpPr>
            <xdr:cNvPr id="18442" name="btn_Excluir_FilCód" hidden="1">
              <a:extLst>
                <a:ext uri="{63B3BB69-23CF-44E3-9099-C40C66FF867C}">
                  <a14:compatExt spid="_x0000_s18442"/>
                </a:ext>
                <a:ext uri="{FF2B5EF4-FFF2-40B4-BE49-F238E27FC236}">
                  <a16:creationId xmlns:a16="http://schemas.microsoft.com/office/drawing/2014/main" id="{00000000-0008-0000-04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0</xdr:row>
          <xdr:rowOff>123825</xdr:rowOff>
        </xdr:from>
        <xdr:to>
          <xdr:col>0</xdr:col>
          <xdr:colOff>4448175</xdr:colOff>
          <xdr:row>0</xdr:row>
          <xdr:rowOff>571500</xdr:rowOff>
        </xdr:to>
        <xdr:sp macro="" textlink="">
          <xdr:nvSpPr>
            <xdr:cNvPr id="16385" name="btn_Parâmetros_Reordenar"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123825</xdr:rowOff>
        </xdr:from>
        <xdr:to>
          <xdr:col>0</xdr:col>
          <xdr:colOff>2733675</xdr:colOff>
          <xdr:row>0</xdr:row>
          <xdr:rowOff>571500</xdr:rowOff>
        </xdr:to>
        <xdr:sp macro="" textlink="">
          <xdr:nvSpPr>
            <xdr:cNvPr id="17409" name="btnEstaticasReordena"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4257675</xdr:colOff>
          <xdr:row>0</xdr:row>
          <xdr:rowOff>123825</xdr:rowOff>
        </xdr:from>
        <xdr:to>
          <xdr:col>1</xdr:col>
          <xdr:colOff>1676400</xdr:colOff>
          <xdr:row>0</xdr:row>
          <xdr:rowOff>571500</xdr:rowOff>
        </xdr:to>
        <xdr:sp macro="" textlink="">
          <xdr:nvSpPr>
            <xdr:cNvPr id="17410" name="btnEstaticasHabilitaAlt" hidden="1">
              <a:extLst>
                <a:ext uri="{63B3BB69-23CF-44E3-9099-C40C66FF867C}">
                  <a14:compatExt spid="_x0000_s17410"/>
                </a:ext>
                <a:ext uri="{FF2B5EF4-FFF2-40B4-BE49-F238E27FC236}">
                  <a16:creationId xmlns:a16="http://schemas.microsoft.com/office/drawing/2014/main" id="{00000000-0008-0000-06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57150</xdr:rowOff>
        </xdr:from>
        <xdr:to>
          <xdr:col>1</xdr:col>
          <xdr:colOff>857250</xdr:colOff>
          <xdr:row>0</xdr:row>
          <xdr:rowOff>466725</xdr:rowOff>
        </xdr:to>
        <xdr:sp macro="" textlink="">
          <xdr:nvSpPr>
            <xdr:cNvPr id="27649" name="btnGruposOrdenar" hidden="1">
              <a:extLst>
                <a:ext uri="{63B3BB69-23CF-44E3-9099-C40C66FF867C}">
                  <a14:compatExt spid="_x0000_s27649"/>
                </a:ext>
                <a:ext uri="{FF2B5EF4-FFF2-40B4-BE49-F238E27FC236}">
                  <a16:creationId xmlns:a16="http://schemas.microsoft.com/office/drawing/2014/main" id="{00000000-0008-0000-07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PontoPed" displayName="tabPontoPed" ref="A2:AC1190" totalsRowShown="0" headerRowDxfId="71" dataDxfId="69" headerRowBorderDxfId="70" tableBorderDxfId="68">
  <autoFilter ref="A2:AC1190" xr:uid="{E63B5FAA-D331-4106-B771-F884F0BE80C0}"/>
  <tableColumns count="29">
    <tableColumn id="1" xr3:uid="{00000000-0010-0000-0000-000001000000}" name="CÓDIGO" dataDxfId="67"/>
    <tableColumn id="2" xr3:uid="{00000000-0010-0000-0000-000002000000}" name="DESCRIÇÃO" dataDxfId="66"/>
    <tableColumn id="11" xr3:uid="{00000000-0010-0000-0000-00000B000000}" name="ESTRUTURA" dataDxfId="65"/>
    <tableColumn id="7" xr3:uid="{00000000-0010-0000-0000-000007000000}" name="GRUPO" dataDxfId="64"/>
    <tableColumn id="6" xr3:uid="{00000000-0010-0000-0000-000006000000}" name="SUBGRUPO" dataDxfId="63"/>
    <tableColumn id="16" xr3:uid="{00000000-0010-0000-0000-000010000000}" name="DGRUPO" dataDxfId="62">
      <calculatedColumnFormula>VLOOKUP(tabPontoPed[[#This Row],[GRUPO]],tabGrupos[#Data],2,FALSE)</calculatedColumnFormula>
    </tableColumn>
    <tableColumn id="15" xr3:uid="{00000000-0010-0000-0000-00000F000000}" name="SETOR" dataDxfId="61">
      <calculatedColumnFormula>VLOOKUP(tabPontoPed[[#This Row],[GRUPO]],tabGrupos[#Data],3,FALSE)</calculatedColumnFormula>
    </tableColumn>
    <tableColumn id="5" xr3:uid="{00000000-0010-0000-0000-000005000000}" name="TIPO" dataDxfId="60"/>
    <tableColumn id="9" xr3:uid="{00000000-0010-0000-0000-000009000000}" name="QTDMÊS" dataDxfId="59"/>
    <tableColumn id="8" xr3:uid="{00000000-0010-0000-0000-000008000000}" name="MENSAL" dataDxfId="58"/>
    <tableColumn id="3" xr3:uid="{00000000-0010-0000-0000-000003000000}" name="PONTOPED" dataDxfId="57"/>
    <tableColumn id="31" xr3:uid="{00000000-0010-0000-0000-00001F000000}" name="Mudar Mensal" dataDxfId="56"/>
    <tableColumn id="30" xr3:uid="{00000000-0010-0000-0000-00001E000000}" name="Mudar Em" dataDxfId="55"/>
    <tableColumn id="4" xr3:uid="{00000000-0010-0000-0000-000004000000}" name="SITUAÇÃO" dataDxfId="54"/>
    <tableColumn id="17" xr3:uid="{00000000-0010-0000-0000-000011000000}" name="ATA" dataDxfId="53"/>
    <tableColumn id="25" xr3:uid="{00000000-0010-0000-0000-000019000000}" name="ATA MENSAL" dataDxfId="52"/>
    <tableColumn id="23" xr3:uid="{00000000-0010-0000-0000-000017000000}" name="CÁLC_4M" dataDxfId="51"/>
    <tableColumn id="12" xr3:uid="{00000000-0010-0000-0000-00000C000000}" name="CÁLCULO" dataDxfId="50"/>
    <tableColumn id="13" xr3:uid="{00000000-0010-0000-0000-00000D000000}" name="Excluir?" dataDxfId="49">
      <calculatedColumnFormula>_xlfn.IFNA(IF(VLOOKUP(tabPontoPed[[#This Row],[CÓDIGO]],tabExcluirDoEstoque[#Data],1,FALSE),"sim",""),"")</calculatedColumnFormula>
    </tableColumn>
    <tableColumn id="14" xr3:uid="{00000000-0010-0000-0000-00000E000000}" name="DIFER" dataDxfId="48">
      <calculatedColumnFormula>IF(AND(tabPontoPed[[#This Row],[MENSAL]]&gt;0,tabPontoPed[[#This Row],[CÁLCULO]]&gt;0), ABS( tabPontoPed[[#This Row],[MENSAL]] - tabPontoPed[[#This Row],[CÁLCULO]] ) / tabPontoPed[[#This Row],[MENSAL]], -1 )</calculatedColumnFormula>
    </tableColumn>
    <tableColumn id="22" xr3:uid="{00000000-0010-0000-0000-000016000000}" name="PICO" dataDxfId="47"/>
    <tableColumn id="18" xr3:uid="{00000000-0010-0000-0000-000012000000}" name="FATOR" dataDxfId="46">
      <calculatedColumnFormula>IF(AND(tabPontoPed[[#This Row],[MENSAL]]&gt;0,tabPontoPed[[#This Row],[CÁLCULO]]&gt;0), IF( tabPontoPed[[#This Row],[MENSAL]] - tabPontoPed[[#This Row],[CÁLCULO]] &lt; 0, -1, IF( tabPontoPed[[#This Row],[MENSAL]] - tabPontoPed[[#This Row],[CÁLCULO]] &gt; 0, 1, -8)), -9 )</calculatedColumnFormula>
    </tableColumn>
    <tableColumn id="19" xr3:uid="{00000000-0010-0000-0000-000013000000}" name="NOVA ESTIMATIVA MENSAL" dataDxfId="45"/>
    <tableColumn id="21" xr3:uid="{00000000-0010-0000-0000-000015000000}" name="US_NOME" dataDxfId="44"/>
    <tableColumn id="20" xr3:uid="{00000000-0010-0000-0000-000014000000}" name="US_DATH" dataDxfId="43"/>
    <tableColumn id="24" xr3:uid="{00000000-0010-0000-0000-000018000000}" name="AUMENTO DE CONSUMO" dataDxfId="42">
      <calculatedColumnFormula>tabPontoPed[CÁLC_4M] - tabPontoPed[CÁLCULO]</calculatedColumnFormula>
    </tableColumn>
    <tableColumn id="26" xr3:uid="{00000000-0010-0000-0000-00001A000000}" name="IGUAL ATA" dataDxfId="41">
      <calculatedColumnFormula>IF(tabPontoPed[MENSAL]-tabPontoPed[ATA MENSAL] = 0,"sim","")</calculatedColumnFormula>
    </tableColumn>
    <tableColumn id="27" xr3:uid="{00000000-0010-0000-0000-00001B000000}" name="ERA IGUAL ATA" dataDxfId="40"/>
    <tableColumn id="10" xr3:uid="{00000000-0010-0000-0000-00000A000000}" name="FIM" dataDxfId="39">
      <calculatedColumnFormula>"*"</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Tabela9" displayName="Tabela9" ref="A1:B1236" totalsRowShown="0">
  <autoFilter ref="A1:B1236" xr:uid="{00000000-0009-0000-0100-000009000000}"/>
  <tableColumns count="2">
    <tableColumn id="1" xr3:uid="{00000000-0010-0000-0100-000001000000}" name="CÓDIGO"/>
    <tableColumn id="2" xr3:uid="{00000000-0010-0000-0100-000002000000}" name="SALDO"/>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ela13" displayName="Tabela13" ref="A3:D1012" totalsRowShown="0" headerRowDxfId="38" dataDxfId="36" headerRowBorderDxfId="37" tableBorderDxfId="35">
  <autoFilter ref="A3:D1012" xr:uid="{00000000-0009-0000-0100-000002000000}"/>
  <sortState ref="A4:D1012">
    <sortCondition ref="A4:A1012"/>
  </sortState>
  <tableColumns count="4">
    <tableColumn id="1" xr3:uid="{00000000-0010-0000-0200-000001000000}" name="CÓDIGO" dataDxfId="34"/>
    <tableColumn id="2" xr3:uid="{00000000-0010-0000-0200-000002000000}" name="DESCRIÇÃO" dataDxfId="33"/>
    <tableColumn id="3" xr3:uid="{00000000-0010-0000-0200-000003000000}" name="CONSUMO_ANUAL" dataDxfId="32"/>
    <tableColumn id="10" xr3:uid="{00000000-0010-0000-0200-00000A000000}" name="FIM" dataDxfId="31">
      <calculatedColumnFormula>IF($D$3="FIM","*","")</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ExcluirDoEstoque" displayName="tabExcluirDoEstoque" ref="A3:H578" totalsRowShown="0" headerRowBorderDxfId="30">
  <autoFilter ref="A3:H578" xr:uid="{FB5F6E8D-5ED0-443E-A738-CCF28C80402C}"/>
  <tableColumns count="8">
    <tableColumn id="1" xr3:uid="{00000000-0010-0000-0300-000001000000}" name="CÓDIGO" dataDxfId="29"/>
    <tableColumn id="2" xr3:uid="{00000000-0010-0000-0300-000002000000}" name="DESCRIÇÃO" dataDxfId="28"/>
    <tableColumn id="3" xr3:uid="{00000000-0010-0000-0300-000003000000}" name="UN" dataDxfId="27"/>
    <tableColumn id="4" xr3:uid="{00000000-0010-0000-0300-000004000000}" name="GRUPO" dataDxfId="26"/>
    <tableColumn id="5" xr3:uid="{00000000-0010-0000-0300-000005000000}" name="SUBGR" dataDxfId="25"/>
    <tableColumn id="8" xr3:uid="{00000000-0010-0000-0300-000008000000}" name="US_NOME" dataDxfId="24"/>
    <tableColumn id="7" xr3:uid="{00000000-0010-0000-0300-000007000000}" name="US_DATH" dataDxfId="23"/>
    <tableColumn id="6" xr3:uid="{00000000-0010-0000-0300-000006000000}" name="TRANSF"/>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Parametros" displayName="tabParametros" ref="A2:C9" totalsRowShown="0" headerRowDxfId="22" dataDxfId="21">
  <tableColumns count="3">
    <tableColumn id="1" xr3:uid="{00000000-0010-0000-0400-000001000000}" name="Referência" dataDxfId="20"/>
    <tableColumn id="2" xr3:uid="{00000000-0010-0000-0400-000002000000}" name="Valor" dataDxfId="19"/>
    <tableColumn id="3" xr3:uid="{00000000-0010-0000-0400-000003000000}" name="Observações" dataDxfId="18"/>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stSituação" displayName="tabEstSituação" ref="A2:B5" totalsRowShown="0" headerRowDxfId="15" dataDxfId="14">
  <autoFilter ref="A2:B5" xr:uid="{00000000-0009-0000-0100-000005000000}"/>
  <sortState ref="A3:B5">
    <sortCondition ref="A3:A5"/>
  </sortState>
  <tableColumns count="2">
    <tableColumn id="1" xr3:uid="{00000000-0010-0000-0500-000001000000}" name="Código" dataDxfId="13"/>
    <tableColumn id="2" xr3:uid="{00000000-0010-0000-0500-000002000000}" name="Descrição" dataDxfId="12"/>
  </tableColumns>
  <tableStyleInfo name="TableStyleMedium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EstTipo" displayName="tabEstTipo" ref="A9:B11" totalsRowShown="0" headerRowDxfId="11" dataDxfId="10">
  <autoFilter ref="A9:B11" xr:uid="{00000000-0009-0000-0100-000007000000}"/>
  <sortState ref="A10:B11">
    <sortCondition ref="A10:A11"/>
  </sortState>
  <tableColumns count="2">
    <tableColumn id="1" xr3:uid="{00000000-0010-0000-0600-000001000000}" name="Código" dataDxfId="9"/>
    <tableColumn id="2" xr3:uid="{00000000-0010-0000-0600-000002000000}" name="Descrição" dataDxfId="8"/>
  </tableColumns>
  <tableStyleInfo name="TableStyleMedium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EstSetores" displayName="tabEstSetores" ref="A13:B26" totalsRowShown="0" headerRowDxfId="7" dataDxfId="6">
  <autoFilter ref="A13:B26" xr:uid="{00000000-0009-0000-0100-000008000000}"/>
  <sortState ref="A14:B26">
    <sortCondition ref="A14:A26"/>
  </sortState>
  <tableColumns count="2">
    <tableColumn id="1" xr3:uid="{00000000-0010-0000-0700-000001000000}" name="Código" dataDxfId="5"/>
    <tableColumn id="2" xr3:uid="{00000000-0010-0000-0700-000002000000}" name="Descrição" dataDxfId="4"/>
  </tableColumns>
  <tableStyleInfo name="TableStyleMedium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Grupos" displayName="tabGrupos" ref="A2:C41" totalsRowShown="0" headerRowDxfId="3">
  <tableColumns count="3">
    <tableColumn id="1" xr3:uid="{00000000-0010-0000-0800-000001000000}" name="CÓDIGO" dataDxfId="2"/>
    <tableColumn id="2" xr3:uid="{00000000-0010-0000-0800-000002000000}" name="DESCRIÇÃO" dataDxfId="1"/>
    <tableColumn id="3" xr3:uid="{00000000-0010-0000-0800-000003000000}" name="SETOR" dataDxfId="0"/>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ntrol" Target="../activeX/activeX16.xml"/><Relationship Id="rId26" Type="http://schemas.openxmlformats.org/officeDocument/2006/relationships/control" Target="../activeX/activeX20.xml"/><Relationship Id="rId3" Type="http://schemas.openxmlformats.org/officeDocument/2006/relationships/vmlDrawing" Target="../drawings/vmlDrawing2.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2.xml"/><Relationship Id="rId16" Type="http://schemas.openxmlformats.org/officeDocument/2006/relationships/control" Target="../activeX/activeX15.xml"/><Relationship Id="rId20" Type="http://schemas.openxmlformats.org/officeDocument/2006/relationships/control" Target="../activeX/activeX17.xml"/><Relationship Id="rId29" Type="http://schemas.openxmlformats.org/officeDocument/2006/relationships/image" Target="../media/image21.emf"/><Relationship Id="rId1" Type="http://schemas.openxmlformats.org/officeDocument/2006/relationships/printerSettings" Target="../printerSettings/printerSettings2.bin"/><Relationship Id="rId6" Type="http://schemas.openxmlformats.org/officeDocument/2006/relationships/control" Target="../activeX/activeX10.xml"/><Relationship Id="rId11" Type="http://schemas.openxmlformats.org/officeDocument/2006/relationships/image" Target="../media/image12.emf"/><Relationship Id="rId24" Type="http://schemas.openxmlformats.org/officeDocument/2006/relationships/control" Target="../activeX/activeX19.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21.xml"/><Relationship Id="rId10" Type="http://schemas.openxmlformats.org/officeDocument/2006/relationships/control" Target="../activeX/activeX12.xml"/><Relationship Id="rId19" Type="http://schemas.openxmlformats.org/officeDocument/2006/relationships/image" Target="../media/image16.emf"/><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 Id="rId22" Type="http://schemas.openxmlformats.org/officeDocument/2006/relationships/control" Target="../activeX/activeX18.xml"/><Relationship Id="rId27" Type="http://schemas.openxmlformats.org/officeDocument/2006/relationships/image" Target="../media/image20.emf"/></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26.emf"/><Relationship Id="rId3" Type="http://schemas.openxmlformats.org/officeDocument/2006/relationships/vmlDrawing" Target="../drawings/vmlDrawing3.vml"/><Relationship Id="rId7" Type="http://schemas.openxmlformats.org/officeDocument/2006/relationships/image" Target="../media/image23.emf"/><Relationship Id="rId12" Type="http://schemas.openxmlformats.org/officeDocument/2006/relationships/control" Target="../activeX/activeX26.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3.xml"/><Relationship Id="rId11" Type="http://schemas.openxmlformats.org/officeDocument/2006/relationships/image" Target="../media/image25.emf"/><Relationship Id="rId5" Type="http://schemas.openxmlformats.org/officeDocument/2006/relationships/image" Target="../media/image22.emf"/><Relationship Id="rId15" Type="http://schemas.openxmlformats.org/officeDocument/2006/relationships/comments" Target="../comments2.xml"/><Relationship Id="rId10" Type="http://schemas.openxmlformats.org/officeDocument/2006/relationships/control" Target="../activeX/activeX25.xml"/><Relationship Id="rId4" Type="http://schemas.openxmlformats.org/officeDocument/2006/relationships/control" Target="../activeX/activeX22.xml"/><Relationship Id="rId9" Type="http://schemas.openxmlformats.org/officeDocument/2006/relationships/image" Target="../media/image24.emf"/><Relationship Id="rId1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image" Target="../media/image27.emf"/><Relationship Id="rId4" Type="http://schemas.openxmlformats.org/officeDocument/2006/relationships/control" Target="../activeX/activeX2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5.vml"/><Relationship Id="rId7" Type="http://schemas.openxmlformats.org/officeDocument/2006/relationships/image" Target="../media/image29.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9.xml"/><Relationship Id="rId5" Type="http://schemas.openxmlformats.org/officeDocument/2006/relationships/image" Target="../media/image28.emf"/><Relationship Id="rId10" Type="http://schemas.openxmlformats.org/officeDocument/2006/relationships/table" Target="../tables/table8.xml"/><Relationship Id="rId4" Type="http://schemas.openxmlformats.org/officeDocument/2006/relationships/control" Target="../activeX/activeX28.xml"/><Relationship Id="rId9"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table" Target="../tables/table9.xml"/><Relationship Id="rId5" Type="http://schemas.openxmlformats.org/officeDocument/2006/relationships/image" Target="../media/image30.emf"/><Relationship Id="rId4" Type="http://schemas.openxmlformats.org/officeDocument/2006/relationships/control" Target="../activeX/activeX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1">
    <tabColor rgb="FFFFFF00"/>
    <pageSetUpPr fitToPage="1"/>
  </sheetPr>
  <dimension ref="A1:AH1208"/>
  <sheetViews>
    <sheetView tabSelected="1" zoomScale="85" zoomScaleNormal="85" workbookViewId="0">
      <pane ySplit="2" topLeftCell="A3" activePane="bottomLeft" state="frozen"/>
      <selection pane="bottomLeft" activeCell="B3" sqref="B3"/>
    </sheetView>
  </sheetViews>
  <sheetFormatPr defaultRowHeight="15.75" x14ac:dyDescent="0.25"/>
  <cols>
    <col min="1" max="1" width="11.42578125" style="1" customWidth="1"/>
    <col min="2" max="2" width="60.7109375" style="3" customWidth="1"/>
    <col min="3" max="3" width="3.140625" style="3" hidden="1" customWidth="1"/>
    <col min="4" max="5" width="4.85546875" style="3" customWidth="1"/>
    <col min="6" max="6" width="44.7109375" style="3" customWidth="1"/>
    <col min="7" max="7" width="6" style="8" bestFit="1" customWidth="1"/>
    <col min="8" max="8" width="14.7109375" style="7" customWidth="1"/>
    <col min="9" max="9" width="4.5703125" customWidth="1"/>
    <col min="10" max="10" width="11.7109375" style="6" customWidth="1"/>
    <col min="11" max="11" width="12.28515625" style="6" customWidth="1"/>
    <col min="12" max="12" width="5.140625" style="6" customWidth="1"/>
    <col min="13" max="13" width="8.28515625" style="6" customWidth="1"/>
    <col min="14" max="14" width="12.7109375" style="6" customWidth="1"/>
    <col min="15" max="15" width="9.7109375" style="6" customWidth="1"/>
    <col min="16" max="16" width="9.28515625" customWidth="1"/>
    <col min="17" max="17" width="10.28515625" style="6" customWidth="1"/>
    <col min="18" max="18" width="9.5703125" style="6" customWidth="1"/>
    <col min="19" max="19" width="9" style="9" hidden="1" customWidth="1"/>
    <col min="20" max="20" width="12.42578125" customWidth="1"/>
    <col min="21" max="21" width="10.42578125" customWidth="1"/>
    <col min="22" max="22" width="4.5703125" hidden="1" customWidth="1"/>
    <col min="23" max="23" width="15" hidden="1" customWidth="1"/>
    <col min="24" max="24" width="18.42578125" hidden="1" customWidth="1"/>
    <col min="25" max="25" width="21.140625" hidden="1" customWidth="1"/>
    <col min="26" max="26" width="14.7109375" hidden="1" customWidth="1"/>
    <col min="27" max="27" width="0" hidden="1" customWidth="1"/>
    <col min="28" max="28" width="5.85546875" style="75" hidden="1" customWidth="1"/>
    <col min="29" max="29" width="5.85546875" style="75" customWidth="1"/>
    <col min="30" max="30" width="3.140625" customWidth="1"/>
  </cols>
  <sheetData>
    <row r="1" spans="1:29" ht="51" customHeight="1" x14ac:dyDescent="0.25">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row>
    <row r="2" spans="1:29" ht="86.25" customHeight="1" x14ac:dyDescent="0.25">
      <c r="A2" s="27" t="s">
        <v>0</v>
      </c>
      <c r="B2" s="60" t="s">
        <v>1</v>
      </c>
      <c r="C2" s="64" t="s">
        <v>1316</v>
      </c>
      <c r="D2" s="61" t="s">
        <v>1014</v>
      </c>
      <c r="E2" s="64" t="s">
        <v>1315</v>
      </c>
      <c r="F2" s="60" t="s">
        <v>1374</v>
      </c>
      <c r="G2" s="61" t="s">
        <v>1016</v>
      </c>
      <c r="H2" s="60" t="s">
        <v>1314</v>
      </c>
      <c r="I2" s="62" t="s">
        <v>1002</v>
      </c>
      <c r="J2" s="54" t="s">
        <v>1001</v>
      </c>
      <c r="K2" s="27" t="s">
        <v>2</v>
      </c>
      <c r="L2" s="82" t="s">
        <v>1636</v>
      </c>
      <c r="M2" s="85" t="s">
        <v>1637</v>
      </c>
      <c r="N2" s="27" t="s">
        <v>1005</v>
      </c>
      <c r="O2" s="27" t="s">
        <v>1423</v>
      </c>
      <c r="P2" s="63" t="s">
        <v>1625</v>
      </c>
      <c r="Q2" s="27" t="s">
        <v>1495</v>
      </c>
      <c r="R2" s="27" t="s">
        <v>1318</v>
      </c>
      <c r="S2" s="27" t="s">
        <v>1322</v>
      </c>
      <c r="T2" s="27" t="s">
        <v>1399</v>
      </c>
      <c r="U2" s="27" t="s">
        <v>1492</v>
      </c>
      <c r="V2" s="66" t="s">
        <v>1446</v>
      </c>
      <c r="W2" s="63" t="s">
        <v>1463</v>
      </c>
      <c r="X2" s="27" t="s">
        <v>1447</v>
      </c>
      <c r="Y2" s="27" t="s">
        <v>1448</v>
      </c>
      <c r="Z2" s="63" t="s">
        <v>1571</v>
      </c>
      <c r="AA2" s="78" t="s">
        <v>1612</v>
      </c>
      <c r="AB2" s="78" t="s">
        <v>1613</v>
      </c>
      <c r="AC2" s="67" t="s">
        <v>1003</v>
      </c>
    </row>
    <row r="3" spans="1:29" x14ac:dyDescent="0.25">
      <c r="A3" s="36">
        <v>115765</v>
      </c>
      <c r="B3" s="68" t="s">
        <v>1623</v>
      </c>
      <c r="C3" s="33">
        <v>1</v>
      </c>
      <c r="D3" s="32">
        <v>45</v>
      </c>
      <c r="E3" s="37">
        <v>18</v>
      </c>
      <c r="F3" s="38" t="str">
        <f>VLOOKUP(tabPontoPed[[#This Row],[GRUPO]],tabGrupos[#Data],2,FALSE)</f>
        <v>MAQ., EQUIP., COMP., ACES., MAT. PARA ESCRIT.E ESCOLAR</v>
      </c>
      <c r="G3" s="32" t="str">
        <f>VLOOKUP(tabPontoPed[[#This Row],[GRUPO]],tabGrupos[#Data],3,FALSE)</f>
        <v>EDU</v>
      </c>
      <c r="H3" s="33" t="s">
        <v>1311</v>
      </c>
      <c r="I3" s="80">
        <v>4</v>
      </c>
      <c r="J3" s="39">
        <v>69</v>
      </c>
      <c r="K3" s="41">
        <f>tabPontoPed[[#This Row],[QTDMÊS]] * tabPontoPed[[#This Row],[MENSAL]]</f>
        <v>276</v>
      </c>
      <c r="L3" s="83"/>
      <c r="M3" s="81"/>
      <c r="N3" s="34" t="s">
        <v>1009</v>
      </c>
      <c r="O3" s="76" t="s">
        <v>1696</v>
      </c>
      <c r="P3" s="77">
        <v>0</v>
      </c>
      <c r="Q3" s="57">
        <v>46</v>
      </c>
      <c r="R3" s="42">
        <v>69</v>
      </c>
      <c r="S3" s="69" t="str">
        <f>_xlfn.IFNA(IF(VLOOKUP(tabPontoPed[[#This Row],[CÓDIGO]],tabExcluirDoEstoque[#Data],1,FALSE),"sim",""),"")</f>
        <v/>
      </c>
      <c r="T3" s="43">
        <f>IF(AND(tabPontoPed[[#This Row],[MENSAL]]&gt;0,tabPontoPed[[#This Row],[CÁLCULO]]&gt;0), ABS( tabPontoPed[[#This Row],[MENSAL]] - tabPontoPed[[#This Row],[CÁLCULO]] ) / tabPontoPed[[#This Row],[MENSAL]], -1 )</f>
        <v>0</v>
      </c>
      <c r="U3" s="58">
        <v>351</v>
      </c>
      <c r="V3" s="35">
        <f>IF(AND(tabPontoPed[[#This Row],[MENSAL]]&gt;0,tabPontoPed[[#This Row],[CÁLCULO]]&gt;0), IF( tabPontoPed[[#This Row],[MENSAL]] - tabPontoPed[[#This Row],[CÁLCULO]] &lt; 0, -1, IF( tabPontoPed[[#This Row],[MENSAL]] - tabPontoPed[[#This Row],[CÁLCULO]] &gt; 0, 1, -8)), -9 )</f>
        <v>-8</v>
      </c>
      <c r="W3" s="35"/>
      <c r="X3" s="48" t="s">
        <v>1564</v>
      </c>
      <c r="Y3" s="53">
        <v>44391.647175925929</v>
      </c>
      <c r="Z3" s="72">
        <f>tabPontoPed[CÁLC_4M] - tabPontoPed[CÁLCULO]</f>
        <v>-23</v>
      </c>
      <c r="AA3" s="79" t="str">
        <f>IF(tabPontoPed[MENSAL]-tabPontoPed[ATA MENSAL] = 0,"sim","")</f>
        <v/>
      </c>
      <c r="AB3" s="79"/>
      <c r="AC3" s="47" t="str">
        <f t="shared" ref="AC3:AC66" si="0">"*"</f>
        <v>*</v>
      </c>
    </row>
    <row r="4" spans="1:29" x14ac:dyDescent="0.25">
      <c r="A4" s="36">
        <v>81152</v>
      </c>
      <c r="B4" s="68" t="s">
        <v>940</v>
      </c>
      <c r="C4" s="33" t="s">
        <v>1317</v>
      </c>
      <c r="D4" s="32">
        <v>73</v>
      </c>
      <c r="E4" s="37">
        <v>1</v>
      </c>
      <c r="F4" s="38" t="str">
        <f>VLOOKUP(tabPontoPed[[#This Row],[GRUPO]],tabGrupos[#Data],2,FALSE)</f>
        <v>EMBALAG., RECIP., ACESSOR., EQUIP., MATER. P/ACONDICIO</v>
      </c>
      <c r="G4" s="32" t="str">
        <f>VLOOKUP(tabPontoPed[[#This Row],[GRUPO]],tabGrupos[#Data],3,FALSE)</f>
        <v>EDU</v>
      </c>
      <c r="H4" s="33" t="s">
        <v>1311</v>
      </c>
      <c r="I4" s="80">
        <v>4</v>
      </c>
      <c r="J4" s="39">
        <v>2</v>
      </c>
      <c r="K4" s="41">
        <f>tabPontoPed[[#This Row],[QTDMÊS]] * tabPontoPed[[#This Row],[MENSAL]]</f>
        <v>8</v>
      </c>
      <c r="L4" s="83"/>
      <c r="M4" s="81"/>
      <c r="N4" s="34" t="s">
        <v>1009</v>
      </c>
      <c r="O4" s="76"/>
      <c r="P4" s="77">
        <v>0</v>
      </c>
      <c r="Q4" s="57">
        <v>0</v>
      </c>
      <c r="R4" s="42">
        <v>13</v>
      </c>
      <c r="S4" s="69" t="str">
        <f>_xlfn.IFNA(IF(VLOOKUP(tabPontoPed[[#This Row],[CÓDIGO]],tabExcluirDoEstoque[#Data],1,FALSE),"sim",""),"")</f>
        <v/>
      </c>
      <c r="T4" s="43">
        <f>IF(AND(tabPontoPed[[#This Row],[MENSAL]]&gt;0,tabPontoPed[[#This Row],[CÁLCULO]]&gt;0), ABS( tabPontoPed[[#This Row],[MENSAL]] - tabPontoPed[[#This Row],[CÁLCULO]] ) / tabPontoPed[[#This Row],[MENSAL]], -1 )</f>
        <v>5.5</v>
      </c>
      <c r="U4" s="58">
        <v>54</v>
      </c>
      <c r="V4" s="35">
        <f>IF(AND(tabPontoPed[[#This Row],[MENSAL]]&gt;0,tabPontoPed[[#This Row],[CÁLCULO]]&gt;0), IF( tabPontoPed[[#This Row],[MENSAL]] - tabPontoPed[[#This Row],[CÁLCULO]] &lt; 0, -1, IF( tabPontoPed[[#This Row],[MENSAL]] - tabPontoPed[[#This Row],[CÁLCULO]] &gt; 0, 1, -8)), -9 )</f>
        <v>-1</v>
      </c>
      <c r="W4" s="35"/>
      <c r="X4" s="49" t="s">
        <v>1564</v>
      </c>
      <c r="Y4" s="51">
        <v>44391.599108796298</v>
      </c>
      <c r="Z4" s="72">
        <f>tabPontoPed[CÁLC_4M] - tabPontoPed[CÁLCULO]</f>
        <v>-13</v>
      </c>
      <c r="AA4" s="79" t="str">
        <f>IF(tabPontoPed[MENSAL]-tabPontoPed[ATA MENSAL] = 0,"sim","")</f>
        <v/>
      </c>
      <c r="AB4" s="79"/>
      <c r="AC4" s="47" t="str">
        <f t="shared" si="0"/>
        <v>*</v>
      </c>
    </row>
    <row r="5" spans="1:29" x14ac:dyDescent="0.25">
      <c r="A5" s="36">
        <v>14121</v>
      </c>
      <c r="B5" s="68" t="s">
        <v>932</v>
      </c>
      <c r="C5" s="33" t="s">
        <v>1317</v>
      </c>
      <c r="D5" s="32">
        <v>72</v>
      </c>
      <c r="E5" s="37">
        <v>6</v>
      </c>
      <c r="F5" s="38" t="str">
        <f>VLOOKUP(tabPontoPed[[#This Row],[GRUPO]],tabGrupos[#Data],2,FALSE)</f>
        <v>MAQ.EQUIP.E MATERIAIS P/ HIGIEN.LIMP.POLIM.E LUBR.</v>
      </c>
      <c r="G5" s="32" t="str">
        <f>VLOOKUP(tabPontoPed[[#This Row],[GRUPO]],tabGrupos[#Data],3,FALSE)</f>
        <v>ADM</v>
      </c>
      <c r="H5" s="33" t="s">
        <v>1311</v>
      </c>
      <c r="I5" s="80">
        <v>4</v>
      </c>
      <c r="J5" s="39">
        <v>401</v>
      </c>
      <c r="K5" s="41">
        <f>tabPontoPed[[#This Row],[QTDMÊS]] * tabPontoPed[[#This Row],[MENSAL]]</f>
        <v>1604</v>
      </c>
      <c r="L5" s="83"/>
      <c r="M5" s="81"/>
      <c r="N5" s="34" t="s">
        <v>1009</v>
      </c>
      <c r="O5" s="76" t="s">
        <v>1656</v>
      </c>
      <c r="P5" s="77">
        <v>0</v>
      </c>
      <c r="Q5" s="57">
        <v>1422</v>
      </c>
      <c r="R5" s="42">
        <v>1818</v>
      </c>
      <c r="S5" s="69" t="str">
        <f>_xlfn.IFNA(IF(VLOOKUP(tabPontoPed[[#This Row],[CÓDIGO]],tabExcluirDoEstoque[#Data],1,FALSE),"sim",""),"")</f>
        <v/>
      </c>
      <c r="T5" s="43">
        <f>IF(AND(tabPontoPed[[#This Row],[MENSAL]]&gt;0,tabPontoPed[[#This Row],[CÁLCULO]]&gt;0), ABS( tabPontoPed[[#This Row],[MENSAL]] - tabPontoPed[[#This Row],[CÁLCULO]] ) / tabPontoPed[[#This Row],[MENSAL]], -1 )</f>
        <v>3.5336658354114712</v>
      </c>
      <c r="U5" s="58">
        <v>11230</v>
      </c>
      <c r="V5" s="35">
        <f>IF(AND(tabPontoPed[[#This Row],[MENSAL]]&gt;0,tabPontoPed[[#This Row],[CÁLCULO]]&gt;0), IF( tabPontoPed[[#This Row],[MENSAL]] - tabPontoPed[[#This Row],[CÁLCULO]] &lt; 0, -1, IF( tabPontoPed[[#This Row],[MENSAL]] - tabPontoPed[[#This Row],[CÁLCULO]] &gt; 0, 1, -8)), -9 )</f>
        <v>-1</v>
      </c>
      <c r="W5" s="35"/>
      <c r="X5" s="49" t="s">
        <v>1564</v>
      </c>
      <c r="Y5" s="51">
        <v>44391.599108796298</v>
      </c>
      <c r="Z5" s="72">
        <f>tabPontoPed[CÁLC_4M] - tabPontoPed[CÁLCULO]</f>
        <v>-396</v>
      </c>
      <c r="AA5" s="79" t="str">
        <f>IF(tabPontoPed[MENSAL]-tabPontoPed[ATA MENSAL] = 0,"sim","")</f>
        <v/>
      </c>
      <c r="AB5" s="79"/>
      <c r="AC5" s="47" t="str">
        <f t="shared" si="0"/>
        <v>*</v>
      </c>
    </row>
    <row r="6" spans="1:29" x14ac:dyDescent="0.25">
      <c r="A6" s="36">
        <v>39378</v>
      </c>
      <c r="B6" s="68" t="s">
        <v>819</v>
      </c>
      <c r="C6" s="33" t="s">
        <v>1317</v>
      </c>
      <c r="D6" s="32">
        <v>67</v>
      </c>
      <c r="E6" s="37">
        <v>1</v>
      </c>
      <c r="F6" s="38" t="str">
        <f>VLOOKUP(tabPontoPed[[#This Row],[GRUPO]],tabGrupos[#Data],2,FALSE)</f>
        <v>PARAFUSOS ELEM. VEDACAO UNIAO CONEX . FIXACAO</v>
      </c>
      <c r="G6" s="32" t="str">
        <f>VLOOKUP(tabPontoPed[[#This Row],[GRUPO]],tabGrupos[#Data],3,FALSE)</f>
        <v>MSE</v>
      </c>
      <c r="H6" s="33" t="s">
        <v>1311</v>
      </c>
      <c r="I6" s="80">
        <v>4</v>
      </c>
      <c r="J6" s="39">
        <v>119</v>
      </c>
      <c r="K6" s="41">
        <f>tabPontoPed[[#This Row],[QTDMÊS]] * tabPontoPed[[#This Row],[MENSAL]]</f>
        <v>476</v>
      </c>
      <c r="L6" s="83"/>
      <c r="M6" s="81"/>
      <c r="N6" s="34" t="s">
        <v>1009</v>
      </c>
      <c r="O6" s="76" t="s">
        <v>1772</v>
      </c>
      <c r="P6" s="77">
        <v>0</v>
      </c>
      <c r="Q6" s="57">
        <v>30</v>
      </c>
      <c r="R6" s="42">
        <v>119</v>
      </c>
      <c r="S6" s="69" t="str">
        <f>_xlfn.IFNA(IF(VLOOKUP(tabPontoPed[[#This Row],[CÓDIGO]],tabExcluirDoEstoque[#Data],1,FALSE),"sim",""),"")</f>
        <v/>
      </c>
      <c r="T6" s="43">
        <f>IF(AND(tabPontoPed[[#This Row],[MENSAL]]&gt;0,tabPontoPed[[#This Row],[CÁLCULO]]&gt;0), ABS( tabPontoPed[[#This Row],[MENSAL]] - tabPontoPed[[#This Row],[CÁLCULO]] ) / tabPontoPed[[#This Row],[MENSAL]], -1 )</f>
        <v>0</v>
      </c>
      <c r="U6" s="58">
        <v>437</v>
      </c>
      <c r="V6" s="35">
        <f>IF(AND(tabPontoPed[[#This Row],[MENSAL]]&gt;0,tabPontoPed[[#This Row],[CÁLCULO]]&gt;0), IF( tabPontoPed[[#This Row],[MENSAL]] - tabPontoPed[[#This Row],[CÁLCULO]] &lt; 0, -1, IF( tabPontoPed[[#This Row],[MENSAL]] - tabPontoPed[[#This Row],[CÁLCULO]] &gt; 0, 1, -8)), -9 )</f>
        <v>-8</v>
      </c>
      <c r="W6" s="35"/>
      <c r="X6" s="49" t="s">
        <v>1564</v>
      </c>
      <c r="Y6" s="51">
        <v>44391.664826388886</v>
      </c>
      <c r="Z6" s="72">
        <f>tabPontoPed[CÁLC_4M] - tabPontoPed[CÁLCULO]</f>
        <v>-89</v>
      </c>
      <c r="AA6" s="79" t="str">
        <f>IF(tabPontoPed[MENSAL]-tabPontoPed[ATA MENSAL] = 0,"sim","")</f>
        <v/>
      </c>
      <c r="AB6" s="79"/>
      <c r="AC6" s="47" t="str">
        <f t="shared" si="0"/>
        <v>*</v>
      </c>
    </row>
    <row r="7" spans="1:29" x14ac:dyDescent="0.25">
      <c r="A7" s="36">
        <v>139144</v>
      </c>
      <c r="B7" s="68" t="s">
        <v>1622</v>
      </c>
      <c r="C7" s="33">
        <v>1</v>
      </c>
      <c r="D7" s="32">
        <v>45</v>
      </c>
      <c r="E7" s="37">
        <v>9</v>
      </c>
      <c r="F7" s="38" t="str">
        <f>VLOOKUP(tabPontoPed[[#This Row],[GRUPO]],tabGrupos[#Data],2,FALSE)</f>
        <v>MAQ., EQUIP., COMP., ACES., MAT. PARA ESCRIT.E ESCOLAR</v>
      </c>
      <c r="G7" s="32" t="str">
        <f>VLOOKUP(tabPontoPed[[#This Row],[GRUPO]],tabGrupos[#Data],3,FALSE)</f>
        <v>EDU</v>
      </c>
      <c r="H7" s="33" t="s">
        <v>1311</v>
      </c>
      <c r="I7" s="80">
        <v>4</v>
      </c>
      <c r="J7" s="39">
        <v>81</v>
      </c>
      <c r="K7" s="41">
        <f>tabPontoPed[[#This Row],[QTDMÊS]] * tabPontoPed[[#This Row],[MENSAL]]</f>
        <v>324</v>
      </c>
      <c r="L7" s="83"/>
      <c r="M7" s="81"/>
      <c r="N7" s="34" t="s">
        <v>1009</v>
      </c>
      <c r="O7" s="76"/>
      <c r="P7" s="77">
        <v>0</v>
      </c>
      <c r="Q7" s="57">
        <v>7</v>
      </c>
      <c r="R7" s="42">
        <v>325</v>
      </c>
      <c r="S7" s="69" t="str">
        <f>_xlfn.IFNA(IF(VLOOKUP(tabPontoPed[[#This Row],[CÓDIGO]],tabExcluirDoEstoque[#Data],1,FALSE),"sim",""),"")</f>
        <v/>
      </c>
      <c r="T7" s="43">
        <f>IF(AND(tabPontoPed[[#This Row],[MENSAL]]&gt;0,tabPontoPed[[#This Row],[CÁLCULO]]&gt;0), ABS( tabPontoPed[[#This Row],[MENSAL]] - tabPontoPed[[#This Row],[CÁLCULO]] ) / tabPontoPed[[#This Row],[MENSAL]], -1 )</f>
        <v>3.0123456790123457</v>
      </c>
      <c r="U7" s="58">
        <v>3860</v>
      </c>
      <c r="V7" s="35">
        <f>IF(AND(tabPontoPed[[#This Row],[MENSAL]]&gt;0,tabPontoPed[[#This Row],[CÁLCULO]]&gt;0), IF( tabPontoPed[[#This Row],[MENSAL]] - tabPontoPed[[#This Row],[CÁLCULO]] &lt; 0, -1, IF( tabPontoPed[[#This Row],[MENSAL]] - tabPontoPed[[#This Row],[CÁLCULO]] &gt; 0, 1, -8)), -9 )</f>
        <v>-1</v>
      </c>
      <c r="W7" s="35"/>
      <c r="X7" s="48" t="s">
        <v>1564</v>
      </c>
      <c r="Y7" s="53">
        <v>44391.599108796298</v>
      </c>
      <c r="Z7" s="72">
        <f>tabPontoPed[CÁLC_4M] - tabPontoPed[CÁLCULO]</f>
        <v>-318</v>
      </c>
      <c r="AA7" s="79" t="str">
        <f>IF(tabPontoPed[MENSAL]-tabPontoPed[ATA MENSAL] = 0,"sim","")</f>
        <v/>
      </c>
      <c r="AB7" s="79"/>
      <c r="AC7" s="47" t="str">
        <f t="shared" si="0"/>
        <v>*</v>
      </c>
    </row>
    <row r="8" spans="1:29" x14ac:dyDescent="0.25">
      <c r="A8" s="36">
        <v>2278</v>
      </c>
      <c r="B8" s="68" t="s">
        <v>1422</v>
      </c>
      <c r="C8" s="33" t="s">
        <v>1317</v>
      </c>
      <c r="D8" s="32">
        <v>70</v>
      </c>
      <c r="E8" s="37">
        <v>17</v>
      </c>
      <c r="F8" s="38" t="str">
        <f>VLOOKUP(tabPontoPed[[#This Row],[GRUPO]],tabGrupos[#Data],2,FALSE)</f>
        <v>FERRAMENTAS MAQ.FERRAMENTAS,ELETR.PECAS E ACESSORI</v>
      </c>
      <c r="G8" s="32" t="str">
        <f>VLOOKUP(tabPontoPed[[#This Row],[GRUPO]],tabGrupos[#Data],3,FALSE)</f>
        <v>MAN</v>
      </c>
      <c r="H8" s="33" t="s">
        <v>1311</v>
      </c>
      <c r="I8" s="80">
        <v>4</v>
      </c>
      <c r="J8" s="39">
        <v>1</v>
      </c>
      <c r="K8" s="41">
        <f>tabPontoPed[[#This Row],[QTDMÊS]] * tabPontoPed[[#This Row],[MENSAL]]</f>
        <v>4</v>
      </c>
      <c r="L8" s="83"/>
      <c r="M8" s="81"/>
      <c r="N8" s="34" t="s">
        <v>1009</v>
      </c>
      <c r="O8" s="76"/>
      <c r="P8" s="77">
        <v>0</v>
      </c>
      <c r="Q8" s="57">
        <v>0</v>
      </c>
      <c r="R8" s="42">
        <v>4</v>
      </c>
      <c r="S8" s="69" t="str">
        <f>_xlfn.IFNA(IF(VLOOKUP(tabPontoPed[[#This Row],[CÓDIGO]],tabExcluirDoEstoque[#Data],1,FALSE),"sim",""),"")</f>
        <v>sim</v>
      </c>
      <c r="T8" s="43">
        <f>IF(AND(tabPontoPed[[#This Row],[MENSAL]]&gt;0,tabPontoPed[[#This Row],[CÁLCULO]]&gt;0), ABS( tabPontoPed[[#This Row],[MENSAL]] - tabPontoPed[[#This Row],[CÁLCULO]] ) / tabPontoPed[[#This Row],[MENSAL]], -1 )</f>
        <v>3</v>
      </c>
      <c r="U8" s="58">
        <v>47</v>
      </c>
      <c r="V8" s="35">
        <f>IF(AND(tabPontoPed[[#This Row],[MENSAL]]&gt;0,tabPontoPed[[#This Row],[CÁLCULO]]&gt;0), IF( tabPontoPed[[#This Row],[MENSAL]] - tabPontoPed[[#This Row],[CÁLCULO]] &lt; 0, -1, IF( tabPontoPed[[#This Row],[MENSAL]] - tabPontoPed[[#This Row],[CÁLCULO]] &gt; 0, 1, -8)), -9 )</f>
        <v>-1</v>
      </c>
      <c r="W8" s="35"/>
      <c r="X8" s="49" t="s">
        <v>1564</v>
      </c>
      <c r="Y8" s="51">
        <v>44391.599108796298</v>
      </c>
      <c r="Z8" s="72">
        <f>tabPontoPed[CÁLC_4M] - tabPontoPed[CÁLCULO]</f>
        <v>-4</v>
      </c>
      <c r="AA8" s="79" t="str">
        <f>IF(tabPontoPed[MENSAL]-tabPontoPed[ATA MENSAL] = 0,"sim","")</f>
        <v/>
      </c>
      <c r="AB8" s="79"/>
      <c r="AC8" s="47" t="str">
        <f t="shared" si="0"/>
        <v>*</v>
      </c>
    </row>
    <row r="9" spans="1:29" x14ac:dyDescent="0.25">
      <c r="A9" s="36">
        <v>17946</v>
      </c>
      <c r="B9" s="68" t="s">
        <v>901</v>
      </c>
      <c r="C9" s="33" t="s">
        <v>1317</v>
      </c>
      <c r="D9" s="32">
        <v>70</v>
      </c>
      <c r="E9" s="37">
        <v>17</v>
      </c>
      <c r="F9" s="38" t="str">
        <f>VLOOKUP(tabPontoPed[[#This Row],[GRUPO]],tabGrupos[#Data],2,FALSE)</f>
        <v>FERRAMENTAS MAQ.FERRAMENTAS,ELETR.PECAS E ACESSORI</v>
      </c>
      <c r="G9" s="32" t="str">
        <f>VLOOKUP(tabPontoPed[[#This Row],[GRUPO]],tabGrupos[#Data],3,FALSE)</f>
        <v>MAN</v>
      </c>
      <c r="H9" s="33" t="s">
        <v>1311</v>
      </c>
      <c r="I9" s="80">
        <v>4</v>
      </c>
      <c r="J9" s="39">
        <v>1</v>
      </c>
      <c r="K9" s="41">
        <f>tabPontoPed[[#This Row],[QTDMÊS]] * tabPontoPed[[#This Row],[MENSAL]]</f>
        <v>4</v>
      </c>
      <c r="L9" s="83"/>
      <c r="M9" s="81"/>
      <c r="N9" s="34" t="s">
        <v>1009</v>
      </c>
      <c r="O9" s="76"/>
      <c r="P9" s="77">
        <v>0</v>
      </c>
      <c r="Q9" s="57">
        <v>0</v>
      </c>
      <c r="R9" s="42">
        <v>4</v>
      </c>
      <c r="S9" s="69" t="str">
        <f>_xlfn.IFNA(IF(VLOOKUP(tabPontoPed[[#This Row],[CÓDIGO]],tabExcluirDoEstoque[#Data],1,FALSE),"sim",""),"")</f>
        <v/>
      </c>
      <c r="T9" s="43">
        <f>IF(AND(tabPontoPed[[#This Row],[MENSAL]]&gt;0,tabPontoPed[[#This Row],[CÁLCULO]]&gt;0), ABS( tabPontoPed[[#This Row],[MENSAL]] - tabPontoPed[[#This Row],[CÁLCULO]] ) / tabPontoPed[[#This Row],[MENSAL]], -1 )</f>
        <v>3</v>
      </c>
      <c r="U9" s="58">
        <v>20</v>
      </c>
      <c r="V9" s="35">
        <f>IF(AND(tabPontoPed[[#This Row],[MENSAL]]&gt;0,tabPontoPed[[#This Row],[CÁLCULO]]&gt;0), IF( tabPontoPed[[#This Row],[MENSAL]] - tabPontoPed[[#This Row],[CÁLCULO]] &lt; 0, -1, IF( tabPontoPed[[#This Row],[MENSAL]] - tabPontoPed[[#This Row],[CÁLCULO]] &gt; 0, 1, -8)), -9 )</f>
        <v>-1</v>
      </c>
      <c r="W9" s="35"/>
      <c r="X9" s="49" t="s">
        <v>1564</v>
      </c>
      <c r="Y9" s="51">
        <v>44391.599108796298</v>
      </c>
      <c r="Z9" s="72">
        <f>tabPontoPed[CÁLC_4M] - tabPontoPed[CÁLCULO]</f>
        <v>-4</v>
      </c>
      <c r="AA9" s="79" t="str">
        <f>IF(tabPontoPed[MENSAL]-tabPontoPed[ATA MENSAL] = 0,"sim","")</f>
        <v/>
      </c>
      <c r="AB9" s="79"/>
      <c r="AC9" s="47" t="str">
        <f t="shared" si="0"/>
        <v>*</v>
      </c>
    </row>
    <row r="10" spans="1:29" x14ac:dyDescent="0.25">
      <c r="A10" s="36">
        <v>54026</v>
      </c>
      <c r="B10" s="68" t="s">
        <v>649</v>
      </c>
      <c r="C10" s="33" t="s">
        <v>1317</v>
      </c>
      <c r="D10" s="32">
        <v>55</v>
      </c>
      <c r="E10" s="37">
        <v>32</v>
      </c>
      <c r="F10" s="38" t="str">
        <f>VLOOKUP(tabPontoPed[[#This Row],[GRUPO]],tabGrupos[#Data],2,FALSE)</f>
        <v>EQUIP. MAT. P/ GERACAO, TRANSM. DISTR. RETIF...</v>
      </c>
      <c r="G10" s="32" t="str">
        <f>VLOOKUP(tabPontoPed[[#This Row],[GRUPO]],tabGrupos[#Data],3,FALSE)</f>
        <v>MEL</v>
      </c>
      <c r="H10" s="33" t="s">
        <v>1311</v>
      </c>
      <c r="I10" s="80">
        <v>4</v>
      </c>
      <c r="J10" s="39">
        <v>1</v>
      </c>
      <c r="K10" s="41">
        <f>tabPontoPed[[#This Row],[QTDMÊS]] * tabPontoPed[[#This Row],[MENSAL]]</f>
        <v>4</v>
      </c>
      <c r="L10" s="83"/>
      <c r="M10" s="81"/>
      <c r="N10" s="34" t="s">
        <v>1009</v>
      </c>
      <c r="O10" s="76"/>
      <c r="P10" s="77">
        <v>0</v>
      </c>
      <c r="Q10" s="57">
        <v>4</v>
      </c>
      <c r="R10" s="42">
        <v>4</v>
      </c>
      <c r="S10" s="69" t="str">
        <f>_xlfn.IFNA(IF(VLOOKUP(tabPontoPed[[#This Row],[CÓDIGO]],tabExcluirDoEstoque[#Data],1,FALSE),"sim",""),"")</f>
        <v/>
      </c>
      <c r="T10" s="43">
        <f>IF(AND(tabPontoPed[[#This Row],[MENSAL]]&gt;0,tabPontoPed[[#This Row],[CÁLCULO]]&gt;0), ABS( tabPontoPed[[#This Row],[MENSAL]] - tabPontoPed[[#This Row],[CÁLCULO]] ) / tabPontoPed[[#This Row],[MENSAL]], -1 )</f>
        <v>3</v>
      </c>
      <c r="U10" s="58">
        <v>20</v>
      </c>
      <c r="V10" s="35">
        <f>IF(AND(tabPontoPed[[#This Row],[MENSAL]]&gt;0,tabPontoPed[[#This Row],[CÁLCULO]]&gt;0), IF( tabPontoPed[[#This Row],[MENSAL]] - tabPontoPed[[#This Row],[CÁLCULO]] &lt; 0, -1, IF( tabPontoPed[[#This Row],[MENSAL]] - tabPontoPed[[#This Row],[CÁLCULO]] &gt; 0, 1, -8)), -9 )</f>
        <v>-1</v>
      </c>
      <c r="W10" s="35"/>
      <c r="X10" s="49" t="s">
        <v>1564</v>
      </c>
      <c r="Y10" s="51">
        <v>44391.599108796298</v>
      </c>
      <c r="Z10" s="72">
        <f>tabPontoPed[CÁLC_4M] - tabPontoPed[CÁLCULO]</f>
        <v>0</v>
      </c>
      <c r="AA10" s="79" t="str">
        <f>IF(tabPontoPed[MENSAL]-tabPontoPed[ATA MENSAL] = 0,"sim","")</f>
        <v/>
      </c>
      <c r="AB10" s="79"/>
      <c r="AC10" s="47" t="str">
        <f t="shared" si="0"/>
        <v>*</v>
      </c>
    </row>
    <row r="11" spans="1:29" ht="18.75" x14ac:dyDescent="0.25">
      <c r="A11" s="36">
        <v>24204</v>
      </c>
      <c r="B11" s="68" t="s">
        <v>153</v>
      </c>
      <c r="C11" s="33" t="s">
        <v>1317</v>
      </c>
      <c r="D11" s="32">
        <v>76</v>
      </c>
      <c r="E11" s="37">
        <v>11</v>
      </c>
      <c r="F11" s="38" t="str">
        <f>VLOOKUP(tabPontoPed[[#This Row],[GRUPO]],tabGrupos[#Data],2,FALSE)</f>
        <v>EQUIP. E MATERIAIS P/PINTURAS E IMPERMEABILIZACAO</v>
      </c>
      <c r="G11" s="32" t="str">
        <f>VLOOKUP(tabPontoPed[[#This Row],[GRUPO]],tabGrupos[#Data],3,FALSE)</f>
        <v>MPI</v>
      </c>
      <c r="H11" s="33" t="s">
        <v>1311</v>
      </c>
      <c r="I11" s="80">
        <v>4</v>
      </c>
      <c r="J11" s="39">
        <v>15</v>
      </c>
      <c r="K11" s="41">
        <f>tabPontoPed[[#This Row],[QTDMÊS]] * tabPontoPed[[#This Row],[MENSAL]]</f>
        <v>60</v>
      </c>
      <c r="L11" s="83"/>
      <c r="M11" s="81"/>
      <c r="N11" s="34" t="s">
        <v>1009</v>
      </c>
      <c r="O11" s="76" t="s">
        <v>1658</v>
      </c>
      <c r="P11" s="77">
        <v>0</v>
      </c>
      <c r="Q11" s="57">
        <v>58</v>
      </c>
      <c r="R11" s="42">
        <v>54</v>
      </c>
      <c r="S11" s="69" t="str">
        <f>_xlfn.IFNA(IF(VLOOKUP(tabPontoPed[[#This Row],[CÓDIGO]],tabExcluirDoEstoque[#Data],1,FALSE),"sim",""),"")</f>
        <v/>
      </c>
      <c r="T11" s="43">
        <f>IF(AND(tabPontoPed[[#This Row],[MENSAL]]&gt;0,tabPontoPed[[#This Row],[CÁLCULO]]&gt;0), ABS( tabPontoPed[[#This Row],[MENSAL]] - tabPontoPed[[#This Row],[CÁLCULO]] ) / tabPontoPed[[#This Row],[MENSAL]], -1 )</f>
        <v>2.6</v>
      </c>
      <c r="U11" s="58">
        <v>107</v>
      </c>
      <c r="V11" s="35">
        <f>IF(AND(tabPontoPed[[#This Row],[MENSAL]]&gt;0,tabPontoPed[[#This Row],[CÁLCULO]]&gt;0), IF( tabPontoPed[[#This Row],[MENSAL]] - tabPontoPed[[#This Row],[CÁLCULO]] &lt; 0, -1, IF( tabPontoPed[[#This Row],[MENSAL]] - tabPontoPed[[#This Row],[CÁLCULO]] &gt; 0, 1, -8)), -9 )</f>
        <v>-1</v>
      </c>
      <c r="W11" s="45"/>
      <c r="X11" s="48" t="s">
        <v>1564</v>
      </c>
      <c r="Y11" s="53">
        <v>44391.599108796298</v>
      </c>
      <c r="Z11" s="72">
        <f>tabPontoPed[CÁLC_4M] - tabPontoPed[CÁLCULO]</f>
        <v>4</v>
      </c>
      <c r="AA11" s="79" t="str">
        <f>IF(tabPontoPed[MENSAL]-tabPontoPed[ATA MENSAL] = 0,"sim","")</f>
        <v/>
      </c>
      <c r="AB11" s="79"/>
      <c r="AC11" s="47" t="str">
        <f t="shared" si="0"/>
        <v>*</v>
      </c>
    </row>
    <row r="12" spans="1:29" x14ac:dyDescent="0.25">
      <c r="A12" s="36">
        <v>100362</v>
      </c>
      <c r="B12" s="68" t="s">
        <v>1563</v>
      </c>
      <c r="C12" s="33">
        <v>1</v>
      </c>
      <c r="D12" s="32">
        <v>51</v>
      </c>
      <c r="E12" s="37">
        <v>3</v>
      </c>
      <c r="F12" s="38" t="str">
        <f>VLOOKUP(tabPontoPed[[#This Row],[GRUPO]],tabGrupos[#Data],2,FALSE)</f>
        <v>MAT.E EQUIP. P/ CONSTR.CIVIL E CONSERV. DE VIAS PUBL.</v>
      </c>
      <c r="G12" s="32" t="str">
        <f>VLOOKUP(tabPontoPed[[#This Row],[GRUPO]],tabGrupos[#Data],3,FALSE)</f>
        <v>MCO</v>
      </c>
      <c r="H12" s="33" t="s">
        <v>1311</v>
      </c>
      <c r="I12" s="80">
        <v>4</v>
      </c>
      <c r="J12" s="39">
        <v>24.9</v>
      </c>
      <c r="K12" s="41">
        <f>tabPontoPed[[#This Row],[QTDMÊS]] * tabPontoPed[[#This Row],[MENSAL]]</f>
        <v>99.6</v>
      </c>
      <c r="L12" s="83"/>
      <c r="M12" s="81"/>
      <c r="N12" s="34" t="s">
        <v>1009</v>
      </c>
      <c r="O12" s="76" t="s">
        <v>1689</v>
      </c>
      <c r="P12" s="77">
        <v>0</v>
      </c>
      <c r="Q12" s="57">
        <v>98</v>
      </c>
      <c r="R12" s="42">
        <v>79</v>
      </c>
      <c r="S12" s="69" t="str">
        <f>_xlfn.IFNA(IF(VLOOKUP(tabPontoPed[[#This Row],[CÓDIGO]],tabExcluirDoEstoque[#Data],1,FALSE),"sim",""),"")</f>
        <v/>
      </c>
      <c r="T12" s="43">
        <f>IF(AND(tabPontoPed[[#This Row],[MENSAL]]&gt;0,tabPontoPed[[#This Row],[CÁLCULO]]&gt;0), ABS( tabPontoPed[[#This Row],[MENSAL]] - tabPontoPed[[#This Row],[CÁLCULO]] ) / tabPontoPed[[#This Row],[MENSAL]], -1 )</f>
        <v>2.1726907630522092</v>
      </c>
      <c r="U12" s="58">
        <v>205</v>
      </c>
      <c r="V12" s="35">
        <f>IF(AND(tabPontoPed[[#This Row],[MENSAL]]&gt;0,tabPontoPed[[#This Row],[CÁLCULO]]&gt;0), IF( tabPontoPed[[#This Row],[MENSAL]] - tabPontoPed[[#This Row],[CÁLCULO]] &lt; 0, -1, IF( tabPontoPed[[#This Row],[MENSAL]] - tabPontoPed[[#This Row],[CÁLCULO]] &gt; 0, 1, -8)), -9 )</f>
        <v>-1</v>
      </c>
      <c r="W12" s="35"/>
      <c r="X12" s="49" t="s">
        <v>1564</v>
      </c>
      <c r="Y12" s="51">
        <v>44391.599108796298</v>
      </c>
      <c r="Z12" s="72">
        <f>tabPontoPed[CÁLC_4M] - tabPontoPed[CÁLCULO]</f>
        <v>19</v>
      </c>
      <c r="AA12" s="79" t="str">
        <f>IF(tabPontoPed[MENSAL]-tabPontoPed[ATA MENSAL] = 0,"sim","")</f>
        <v/>
      </c>
      <c r="AB12" s="79"/>
      <c r="AC12" s="47" t="str">
        <f t="shared" si="0"/>
        <v>*</v>
      </c>
    </row>
    <row r="13" spans="1:29" ht="18.75" x14ac:dyDescent="0.25">
      <c r="A13" s="36">
        <v>14737</v>
      </c>
      <c r="B13" s="68" t="s">
        <v>178</v>
      </c>
      <c r="C13" s="33" t="s">
        <v>1317</v>
      </c>
      <c r="D13" s="32">
        <v>76</v>
      </c>
      <c r="E13" s="37">
        <v>5</v>
      </c>
      <c r="F13" s="38" t="str">
        <f>VLOOKUP(tabPontoPed[[#This Row],[GRUPO]],tabGrupos[#Data],2,FALSE)</f>
        <v>EQUIP. E MATERIAIS P/PINTURAS E IMPERMEABILIZACAO</v>
      </c>
      <c r="G13" s="32" t="str">
        <f>VLOOKUP(tabPontoPed[[#This Row],[GRUPO]],tabGrupos[#Data],3,FALSE)</f>
        <v>MPI</v>
      </c>
      <c r="H13" s="33" t="s">
        <v>1311</v>
      </c>
      <c r="I13" s="80">
        <v>4</v>
      </c>
      <c r="J13" s="39">
        <v>1</v>
      </c>
      <c r="K13" s="41">
        <f>tabPontoPed[[#This Row],[QTDMÊS]] * tabPontoPed[[#This Row],[MENSAL]]</f>
        <v>4</v>
      </c>
      <c r="L13" s="83"/>
      <c r="M13" s="81"/>
      <c r="N13" s="34" t="s">
        <v>1009</v>
      </c>
      <c r="O13" s="76" t="s">
        <v>1664</v>
      </c>
      <c r="P13" s="77">
        <v>0</v>
      </c>
      <c r="Q13" s="57">
        <v>5</v>
      </c>
      <c r="R13" s="42">
        <v>3</v>
      </c>
      <c r="S13" s="69" t="str">
        <f>_xlfn.IFNA(IF(VLOOKUP(tabPontoPed[[#This Row],[CÓDIGO]],tabExcluirDoEstoque[#Data],1,FALSE),"sim",""),"")</f>
        <v/>
      </c>
      <c r="T13" s="43">
        <f>IF(AND(tabPontoPed[[#This Row],[MENSAL]]&gt;0,tabPontoPed[[#This Row],[CÁLCULO]]&gt;0), ABS( tabPontoPed[[#This Row],[MENSAL]] - tabPontoPed[[#This Row],[CÁLCULO]] ) / tabPontoPed[[#This Row],[MENSAL]], -1 )</f>
        <v>2</v>
      </c>
      <c r="U13" s="58">
        <v>15</v>
      </c>
      <c r="V13" s="35">
        <f>IF(AND(tabPontoPed[[#This Row],[MENSAL]]&gt;0,tabPontoPed[[#This Row],[CÁLCULO]]&gt;0), IF( tabPontoPed[[#This Row],[MENSAL]] - tabPontoPed[[#This Row],[CÁLCULO]] &lt; 0, -1, IF( tabPontoPed[[#This Row],[MENSAL]] - tabPontoPed[[#This Row],[CÁLCULO]] &gt; 0, 1, -8)), -9 )</f>
        <v>-1</v>
      </c>
      <c r="W13" s="45"/>
      <c r="X13" s="50" t="s">
        <v>1564</v>
      </c>
      <c r="Y13" s="52">
        <v>44391.599108796298</v>
      </c>
      <c r="Z13" s="73">
        <f>tabPontoPed[CÁLC_4M] - tabPontoPed[CÁLCULO]</f>
        <v>2</v>
      </c>
      <c r="AA13" s="79" t="str">
        <f>IF(tabPontoPed[MENSAL]-tabPontoPed[ATA MENSAL] = 0,"sim","")</f>
        <v/>
      </c>
      <c r="AB13" s="79"/>
      <c r="AC13" s="47" t="str">
        <f t="shared" si="0"/>
        <v>*</v>
      </c>
    </row>
    <row r="14" spans="1:29" x14ac:dyDescent="0.25">
      <c r="A14" s="36">
        <v>72184</v>
      </c>
      <c r="B14" s="68" t="s">
        <v>620</v>
      </c>
      <c r="C14" s="33" t="s">
        <v>1317</v>
      </c>
      <c r="D14" s="32">
        <v>55</v>
      </c>
      <c r="E14" s="37">
        <v>16</v>
      </c>
      <c r="F14" s="38" t="str">
        <f>VLOOKUP(tabPontoPed[[#This Row],[GRUPO]],tabGrupos[#Data],2,FALSE)</f>
        <v>EQUIP. MAT. P/ GERACAO, TRANSM. DISTR. RETIF...</v>
      </c>
      <c r="G14" s="32" t="str">
        <f>VLOOKUP(tabPontoPed[[#This Row],[GRUPO]],tabGrupos[#Data],3,FALSE)</f>
        <v>MEL</v>
      </c>
      <c r="H14" s="33" t="s">
        <v>1311</v>
      </c>
      <c r="I14" s="80">
        <v>4</v>
      </c>
      <c r="J14" s="39">
        <v>41</v>
      </c>
      <c r="K14" s="41">
        <f>tabPontoPed[[#This Row],[QTDMÊS]] * tabPontoPed[[#This Row],[MENSAL]]</f>
        <v>164</v>
      </c>
      <c r="L14" s="83"/>
      <c r="M14" s="81"/>
      <c r="N14" s="34" t="s">
        <v>1009</v>
      </c>
      <c r="O14" s="76"/>
      <c r="P14" s="77">
        <v>0</v>
      </c>
      <c r="Q14" s="57">
        <v>112</v>
      </c>
      <c r="R14" s="42">
        <v>115</v>
      </c>
      <c r="S14" s="69" t="str">
        <f>_xlfn.IFNA(IF(VLOOKUP(tabPontoPed[[#This Row],[CÓDIGO]],tabExcluirDoEstoque[#Data],1,FALSE),"sim",""),"")</f>
        <v/>
      </c>
      <c r="T14" s="43">
        <f>IF(AND(tabPontoPed[[#This Row],[MENSAL]]&gt;0,tabPontoPed[[#This Row],[CÁLCULO]]&gt;0), ABS( tabPontoPed[[#This Row],[MENSAL]] - tabPontoPed[[#This Row],[CÁLCULO]] ) / tabPontoPed[[#This Row],[MENSAL]], -1 )</f>
        <v>1.8048780487804879</v>
      </c>
      <c r="U14" s="58">
        <v>556</v>
      </c>
      <c r="V14" s="35">
        <f>IF(AND(tabPontoPed[[#This Row],[MENSAL]]&gt;0,tabPontoPed[[#This Row],[CÁLCULO]]&gt;0), IF( tabPontoPed[[#This Row],[MENSAL]] - tabPontoPed[[#This Row],[CÁLCULO]] &lt; 0, -1, IF( tabPontoPed[[#This Row],[MENSAL]] - tabPontoPed[[#This Row],[CÁLCULO]] &gt; 0, 1, -8)), -9 )</f>
        <v>-1</v>
      </c>
      <c r="W14" s="35"/>
      <c r="X14" s="48" t="s">
        <v>1564</v>
      </c>
      <c r="Y14" s="53">
        <v>44391.599108796298</v>
      </c>
      <c r="Z14" s="72">
        <f>tabPontoPed[CÁLC_4M] - tabPontoPed[CÁLCULO]</f>
        <v>-3</v>
      </c>
      <c r="AA14" s="79" t="str">
        <f>IF(tabPontoPed[MENSAL]-tabPontoPed[ATA MENSAL] = 0,"sim","")</f>
        <v/>
      </c>
      <c r="AB14" s="79"/>
      <c r="AC14" s="47" t="str">
        <f t="shared" si="0"/>
        <v>*</v>
      </c>
    </row>
    <row r="15" spans="1:29" x14ac:dyDescent="0.25">
      <c r="A15" s="36">
        <v>78399</v>
      </c>
      <c r="B15" s="68" t="s">
        <v>35</v>
      </c>
      <c r="C15" s="33" t="s">
        <v>1317</v>
      </c>
      <c r="D15" s="32">
        <v>55</v>
      </c>
      <c r="E15" s="37">
        <v>46</v>
      </c>
      <c r="F15" s="38" t="str">
        <f>VLOOKUP(tabPontoPed[[#This Row],[GRUPO]],tabGrupos[#Data],2,FALSE)</f>
        <v>EQUIP. MAT. P/ GERACAO, TRANSM. DISTR. RETIF...</v>
      </c>
      <c r="G15" s="32" t="str">
        <f>VLOOKUP(tabPontoPed[[#This Row],[GRUPO]],tabGrupos[#Data],3,FALSE)</f>
        <v>MEL</v>
      </c>
      <c r="H15" s="33" t="s">
        <v>1311</v>
      </c>
      <c r="I15" s="80">
        <v>4</v>
      </c>
      <c r="J15" s="39">
        <v>5</v>
      </c>
      <c r="K15" s="41">
        <f>tabPontoPed[[#This Row],[QTDMÊS]] * tabPontoPed[[#This Row],[MENSAL]]</f>
        <v>20</v>
      </c>
      <c r="L15" s="83"/>
      <c r="M15" s="81"/>
      <c r="N15" s="34" t="s">
        <v>1009</v>
      </c>
      <c r="O15" s="76" t="s">
        <v>1707</v>
      </c>
      <c r="P15" s="77">
        <v>0</v>
      </c>
      <c r="Q15" s="57">
        <v>2</v>
      </c>
      <c r="R15" s="42">
        <v>14</v>
      </c>
      <c r="S15" s="69" t="str">
        <f>_xlfn.IFNA(IF(VLOOKUP(tabPontoPed[[#This Row],[CÓDIGO]],tabExcluirDoEstoque[#Data],1,FALSE),"sim",""),"")</f>
        <v/>
      </c>
      <c r="T15" s="43">
        <f>IF(AND(tabPontoPed[[#This Row],[MENSAL]]&gt;0,tabPontoPed[[#This Row],[CÁLCULO]]&gt;0), ABS( tabPontoPed[[#This Row],[MENSAL]] - tabPontoPed[[#This Row],[CÁLCULO]] ) / tabPontoPed[[#This Row],[MENSAL]], -1 )</f>
        <v>1.8</v>
      </c>
      <c r="U15" s="58">
        <v>21</v>
      </c>
      <c r="V15" s="35">
        <f>IF(AND(tabPontoPed[[#This Row],[MENSAL]]&gt;0,tabPontoPed[[#This Row],[CÁLCULO]]&gt;0), IF( tabPontoPed[[#This Row],[MENSAL]] - tabPontoPed[[#This Row],[CÁLCULO]] &lt; 0, -1, IF( tabPontoPed[[#This Row],[MENSAL]] - tabPontoPed[[#This Row],[CÁLCULO]] &gt; 0, 1, -8)), -9 )</f>
        <v>-1</v>
      </c>
      <c r="W15" s="35"/>
      <c r="X15" s="49" t="s">
        <v>1564</v>
      </c>
      <c r="Y15" s="51">
        <v>44391.599108796298</v>
      </c>
      <c r="Z15" s="72">
        <f>tabPontoPed[CÁLC_4M] - tabPontoPed[CÁLCULO]</f>
        <v>-12</v>
      </c>
      <c r="AA15" s="79" t="str">
        <f>IF(tabPontoPed[MENSAL]-tabPontoPed[ATA MENSAL] = 0,"sim","")</f>
        <v/>
      </c>
      <c r="AB15" s="79" t="s">
        <v>1614</v>
      </c>
      <c r="AC15" s="47" t="str">
        <f t="shared" si="0"/>
        <v>*</v>
      </c>
    </row>
    <row r="16" spans="1:29" x14ac:dyDescent="0.25">
      <c r="A16" s="36">
        <v>54032</v>
      </c>
      <c r="B16" s="68" t="s">
        <v>651</v>
      </c>
      <c r="C16" s="33" t="s">
        <v>1317</v>
      </c>
      <c r="D16" s="32">
        <v>55</v>
      </c>
      <c r="E16" s="37">
        <v>32</v>
      </c>
      <c r="F16" s="38" t="str">
        <f>VLOOKUP(tabPontoPed[[#This Row],[GRUPO]],tabGrupos[#Data],2,FALSE)</f>
        <v>EQUIP. MAT. P/ GERACAO, TRANSM. DISTR. RETIF...</v>
      </c>
      <c r="G16" s="32" t="str">
        <f>VLOOKUP(tabPontoPed[[#This Row],[GRUPO]],tabGrupos[#Data],3,FALSE)</f>
        <v>MEL</v>
      </c>
      <c r="H16" s="33" t="s">
        <v>1311</v>
      </c>
      <c r="I16" s="80">
        <v>4</v>
      </c>
      <c r="J16" s="39">
        <v>117</v>
      </c>
      <c r="K16" s="41">
        <f>tabPontoPed[[#This Row],[QTDMÊS]] * tabPontoPed[[#This Row],[MENSAL]]</f>
        <v>468</v>
      </c>
      <c r="L16" s="83"/>
      <c r="M16" s="81"/>
      <c r="N16" s="34" t="s">
        <v>1009</v>
      </c>
      <c r="O16" s="76"/>
      <c r="P16" s="77">
        <v>0</v>
      </c>
      <c r="Q16" s="57">
        <v>81</v>
      </c>
      <c r="R16" s="42">
        <v>322</v>
      </c>
      <c r="S16" s="69" t="str">
        <f>_xlfn.IFNA(IF(VLOOKUP(tabPontoPed[[#This Row],[CÓDIGO]],tabExcluirDoEstoque[#Data],1,FALSE),"sim",""),"")</f>
        <v/>
      </c>
      <c r="T16" s="43">
        <f>IF(AND(tabPontoPed[[#This Row],[MENSAL]]&gt;0,tabPontoPed[[#This Row],[CÁLCULO]]&gt;0), ABS( tabPontoPed[[#This Row],[MENSAL]] - tabPontoPed[[#This Row],[CÁLCULO]] ) / tabPontoPed[[#This Row],[MENSAL]], -1 )</f>
        <v>1.7521367521367521</v>
      </c>
      <c r="U16" s="58">
        <v>745</v>
      </c>
      <c r="V16" s="35">
        <f>IF(AND(tabPontoPed[[#This Row],[MENSAL]]&gt;0,tabPontoPed[[#This Row],[CÁLCULO]]&gt;0), IF( tabPontoPed[[#This Row],[MENSAL]] - tabPontoPed[[#This Row],[CÁLCULO]] &lt; 0, -1, IF( tabPontoPed[[#This Row],[MENSAL]] - tabPontoPed[[#This Row],[CÁLCULO]] &gt; 0, 1, -8)), -9 )</f>
        <v>-1</v>
      </c>
      <c r="W16" s="35"/>
      <c r="X16" s="49" t="s">
        <v>1564</v>
      </c>
      <c r="Y16" s="51">
        <v>44391.599108796298</v>
      </c>
      <c r="Z16" s="72">
        <f>tabPontoPed[CÁLC_4M] - tabPontoPed[CÁLCULO]</f>
        <v>-241</v>
      </c>
      <c r="AA16" s="79" t="str">
        <f>IF(tabPontoPed[MENSAL]-tabPontoPed[ATA MENSAL] = 0,"sim","")</f>
        <v/>
      </c>
      <c r="AB16" s="79"/>
      <c r="AC16" s="47" t="str">
        <f t="shared" si="0"/>
        <v>*</v>
      </c>
    </row>
    <row r="17" spans="1:29" x14ac:dyDescent="0.25">
      <c r="A17" s="36">
        <v>12685</v>
      </c>
      <c r="B17" s="68" t="s">
        <v>937</v>
      </c>
      <c r="C17" s="33" t="s">
        <v>1317</v>
      </c>
      <c r="D17" s="32">
        <v>72</v>
      </c>
      <c r="E17" s="37">
        <v>10</v>
      </c>
      <c r="F17" s="38" t="str">
        <f>VLOOKUP(tabPontoPed[[#This Row],[GRUPO]],tabGrupos[#Data],2,FALSE)</f>
        <v>MAQ.EQUIP.E MATERIAIS P/ HIGIEN.LIMP.POLIM.E LUBR.</v>
      </c>
      <c r="G17" s="32" t="str">
        <f>VLOOKUP(tabPontoPed[[#This Row],[GRUPO]],tabGrupos[#Data],3,FALSE)</f>
        <v>ADM</v>
      </c>
      <c r="H17" s="33" t="s">
        <v>1311</v>
      </c>
      <c r="I17" s="80">
        <v>4</v>
      </c>
      <c r="J17" s="39">
        <v>624</v>
      </c>
      <c r="K17" s="41">
        <f>tabPontoPed[[#This Row],[QTDMÊS]] * tabPontoPed[[#This Row],[MENSAL]]</f>
        <v>2496</v>
      </c>
      <c r="L17" s="83"/>
      <c r="M17" s="81"/>
      <c r="N17" s="34" t="s">
        <v>1009</v>
      </c>
      <c r="O17" s="76" t="s">
        <v>1661</v>
      </c>
      <c r="P17" s="77">
        <v>0</v>
      </c>
      <c r="Q17" s="57">
        <v>1916</v>
      </c>
      <c r="R17" s="42">
        <v>1599</v>
      </c>
      <c r="S17" s="69" t="str">
        <f>_xlfn.IFNA(IF(VLOOKUP(tabPontoPed[[#This Row],[CÓDIGO]],tabExcluirDoEstoque[#Data],1,FALSE),"sim",""),"")</f>
        <v/>
      </c>
      <c r="T17" s="43">
        <f>IF(AND(tabPontoPed[[#This Row],[MENSAL]]&gt;0,tabPontoPed[[#This Row],[CÁLCULO]]&gt;0), ABS( tabPontoPed[[#This Row],[MENSAL]] - tabPontoPed[[#This Row],[CÁLCULO]] ) / tabPontoPed[[#This Row],[MENSAL]], -1 )</f>
        <v>1.5625</v>
      </c>
      <c r="U17" s="58">
        <v>3054</v>
      </c>
      <c r="V17" s="35">
        <f>IF(AND(tabPontoPed[[#This Row],[MENSAL]]&gt;0,tabPontoPed[[#This Row],[CÁLCULO]]&gt;0), IF( tabPontoPed[[#This Row],[MENSAL]] - tabPontoPed[[#This Row],[CÁLCULO]] &lt; 0, -1, IF( tabPontoPed[[#This Row],[MENSAL]] - tabPontoPed[[#This Row],[CÁLCULO]] &gt; 0, 1, -8)), -9 )</f>
        <v>-1</v>
      </c>
      <c r="W17" s="35"/>
      <c r="X17" s="48" t="s">
        <v>1564</v>
      </c>
      <c r="Y17" s="53">
        <v>44391.599108796298</v>
      </c>
      <c r="Z17" s="72">
        <f>tabPontoPed[CÁLC_4M] - tabPontoPed[CÁLCULO]</f>
        <v>317</v>
      </c>
      <c r="AA17" s="79" t="str">
        <f>IF(tabPontoPed[MENSAL]-tabPontoPed[ATA MENSAL] = 0,"sim","")</f>
        <v/>
      </c>
      <c r="AB17" s="79"/>
      <c r="AC17" s="47" t="str">
        <f t="shared" si="0"/>
        <v>*</v>
      </c>
    </row>
    <row r="18" spans="1:29" x14ac:dyDescent="0.25">
      <c r="A18" s="36">
        <v>60973</v>
      </c>
      <c r="B18" s="68" t="s">
        <v>983</v>
      </c>
      <c r="C18" s="33" t="s">
        <v>1317</v>
      </c>
      <c r="D18" s="32">
        <v>83</v>
      </c>
      <c r="E18" s="37">
        <v>3</v>
      </c>
      <c r="F18" s="38" t="str">
        <f>VLOOKUP(tabPontoPed[[#This Row],[GRUPO]],tabGrupos[#Data],2,FALSE)</f>
        <v>ABRASIVOS</v>
      </c>
      <c r="G18" s="32" t="str">
        <f>VLOOKUP(tabPontoPed[[#This Row],[GRUPO]],tabGrupos[#Data],3,FALSE)</f>
        <v>MAN</v>
      </c>
      <c r="H18" s="33" t="s">
        <v>1311</v>
      </c>
      <c r="I18" s="80">
        <v>4</v>
      </c>
      <c r="J18" s="39">
        <v>2</v>
      </c>
      <c r="K18" s="41">
        <f>tabPontoPed[[#This Row],[QTDMÊS]] * tabPontoPed[[#This Row],[MENSAL]]</f>
        <v>8</v>
      </c>
      <c r="L18" s="83"/>
      <c r="M18" s="81"/>
      <c r="N18" s="34" t="s">
        <v>1009</v>
      </c>
      <c r="O18" s="76"/>
      <c r="P18" s="77">
        <v>0</v>
      </c>
      <c r="Q18" s="57">
        <v>3</v>
      </c>
      <c r="R18" s="42">
        <v>5</v>
      </c>
      <c r="S18" s="69" t="str">
        <f>_xlfn.IFNA(IF(VLOOKUP(tabPontoPed[[#This Row],[CÓDIGO]],tabExcluirDoEstoque[#Data],1,FALSE),"sim",""),"")</f>
        <v/>
      </c>
      <c r="T18" s="43">
        <f>IF(AND(tabPontoPed[[#This Row],[MENSAL]]&gt;0,tabPontoPed[[#This Row],[CÁLCULO]]&gt;0), ABS( tabPontoPed[[#This Row],[MENSAL]] - tabPontoPed[[#This Row],[CÁLCULO]] ) / tabPontoPed[[#This Row],[MENSAL]], -1 )</f>
        <v>1.5</v>
      </c>
      <c r="U18" s="58">
        <v>40</v>
      </c>
      <c r="V18" s="35">
        <f>IF(AND(tabPontoPed[[#This Row],[MENSAL]]&gt;0,tabPontoPed[[#This Row],[CÁLCULO]]&gt;0), IF( tabPontoPed[[#This Row],[MENSAL]] - tabPontoPed[[#This Row],[CÁLCULO]] &lt; 0, -1, IF( tabPontoPed[[#This Row],[MENSAL]] - tabPontoPed[[#This Row],[CÁLCULO]] &gt; 0, 1, -8)), -9 )</f>
        <v>-1</v>
      </c>
      <c r="W18" s="35"/>
      <c r="X18" s="49" t="s">
        <v>1564</v>
      </c>
      <c r="Y18" s="51">
        <v>44391.599108796298</v>
      </c>
      <c r="Z18" s="72">
        <f>tabPontoPed[CÁLC_4M] - tabPontoPed[CÁLCULO]</f>
        <v>-2</v>
      </c>
      <c r="AA18" s="79" t="str">
        <f>IF(tabPontoPed[MENSAL]-tabPontoPed[ATA MENSAL] = 0,"sim","")</f>
        <v/>
      </c>
      <c r="AB18" s="79"/>
      <c r="AC18" s="47" t="str">
        <f t="shared" si="0"/>
        <v>*</v>
      </c>
    </row>
    <row r="19" spans="1:29" x14ac:dyDescent="0.25">
      <c r="A19" s="36">
        <v>102000</v>
      </c>
      <c r="B19" s="68" t="s">
        <v>501</v>
      </c>
      <c r="C19" s="33" t="s">
        <v>1317</v>
      </c>
      <c r="D19" s="32">
        <v>51</v>
      </c>
      <c r="E19" s="37">
        <v>7</v>
      </c>
      <c r="F19" s="38" t="str">
        <f>VLOOKUP(tabPontoPed[[#This Row],[GRUPO]],tabGrupos[#Data],2,FALSE)</f>
        <v>MAT.E EQUIP. P/ CONSTR.CIVIL E CONSERV. DE VIAS PUBL.</v>
      </c>
      <c r="G19" s="32" t="str">
        <f>VLOOKUP(tabPontoPed[[#This Row],[GRUPO]],tabGrupos[#Data],3,FALSE)</f>
        <v>MCO</v>
      </c>
      <c r="H19" s="33" t="s">
        <v>1321</v>
      </c>
      <c r="I19" s="80">
        <v>3</v>
      </c>
      <c r="J19" s="39">
        <v>20</v>
      </c>
      <c r="K19" s="41">
        <f>tabPontoPed[[#This Row],[QTDMÊS]] * tabPontoPed[[#This Row],[MENSAL]]</f>
        <v>60</v>
      </c>
      <c r="L19" s="83"/>
      <c r="M19" s="81"/>
      <c r="N19" s="34" t="s">
        <v>1009</v>
      </c>
      <c r="O19" s="76" t="s">
        <v>1741</v>
      </c>
      <c r="P19" s="77">
        <v>0</v>
      </c>
      <c r="Q19" s="57">
        <v>118</v>
      </c>
      <c r="R19" s="42">
        <v>50</v>
      </c>
      <c r="S19" s="69" t="str">
        <f>_xlfn.IFNA(IF(VLOOKUP(tabPontoPed[[#This Row],[CÓDIGO]],tabExcluirDoEstoque[#Data],1,FALSE),"sim",""),"")</f>
        <v/>
      </c>
      <c r="T19" s="43">
        <f>IF(AND(tabPontoPed[[#This Row],[MENSAL]]&gt;0,tabPontoPed[[#This Row],[CÁLCULO]]&gt;0), ABS( tabPontoPed[[#This Row],[MENSAL]] - tabPontoPed[[#This Row],[CÁLCULO]] ) / tabPontoPed[[#This Row],[MENSAL]], -1 )</f>
        <v>1.5</v>
      </c>
      <c r="U19" s="58">
        <v>378</v>
      </c>
      <c r="V19" s="35">
        <f>IF(AND(tabPontoPed[[#This Row],[MENSAL]]&gt;0,tabPontoPed[[#This Row],[CÁLCULO]]&gt;0), IF( tabPontoPed[[#This Row],[MENSAL]] - tabPontoPed[[#This Row],[CÁLCULO]] &lt; 0, -1, IF( tabPontoPed[[#This Row],[MENSAL]] - tabPontoPed[[#This Row],[CÁLCULO]] &gt; 0, 1, -8)), -9 )</f>
        <v>-1</v>
      </c>
      <c r="W19" s="35"/>
      <c r="X19" s="49" t="s">
        <v>1450</v>
      </c>
      <c r="Y19" s="51">
        <v>43697.630231481482</v>
      </c>
      <c r="Z19" s="72">
        <f>tabPontoPed[CÁLC_4M] - tabPontoPed[CÁLCULO]</f>
        <v>68</v>
      </c>
      <c r="AA19" s="79" t="str">
        <f>IF(tabPontoPed[MENSAL]-tabPontoPed[ATA MENSAL] = 0,"sim","")</f>
        <v/>
      </c>
      <c r="AB19" s="79"/>
      <c r="AC19" s="47" t="str">
        <f t="shared" si="0"/>
        <v>*</v>
      </c>
    </row>
    <row r="20" spans="1:29" x14ac:dyDescent="0.25">
      <c r="A20" s="36">
        <v>102588</v>
      </c>
      <c r="B20" s="68" t="s">
        <v>309</v>
      </c>
      <c r="C20" s="33" t="s">
        <v>1317</v>
      </c>
      <c r="D20" s="32">
        <v>61</v>
      </c>
      <c r="E20" s="37">
        <v>11</v>
      </c>
      <c r="F20" s="38" t="str">
        <f>VLOOKUP(tabPontoPed[[#This Row],[GRUPO]],tabGrupos[#Data],2,FALSE)</f>
        <v>MATERIAL HIDRAULICO, CANOS, TUBOS, MANGUEIRAS, CONEXOES E ACESS.</v>
      </c>
      <c r="G20" s="32" t="str">
        <f>VLOOKUP(tabPontoPed[[#This Row],[GRUPO]],tabGrupos[#Data],3,FALSE)</f>
        <v>MHI</v>
      </c>
      <c r="H20" s="33" t="s">
        <v>1311</v>
      </c>
      <c r="I20" s="80">
        <v>4</v>
      </c>
      <c r="J20" s="39">
        <v>6</v>
      </c>
      <c r="K20" s="41">
        <f>tabPontoPed[[#This Row],[QTDMÊS]] * tabPontoPed[[#This Row],[MENSAL]]</f>
        <v>24</v>
      </c>
      <c r="L20" s="83"/>
      <c r="M20" s="81"/>
      <c r="N20" s="34" t="s">
        <v>1009</v>
      </c>
      <c r="O20" s="76" t="s">
        <v>1722</v>
      </c>
      <c r="P20" s="77">
        <v>0</v>
      </c>
      <c r="Q20" s="57">
        <v>23</v>
      </c>
      <c r="R20" s="42">
        <v>15</v>
      </c>
      <c r="S20" s="69" t="str">
        <f>_xlfn.IFNA(IF(VLOOKUP(tabPontoPed[[#This Row],[CÓDIGO]],tabExcluirDoEstoque[#Data],1,FALSE),"sim",""),"")</f>
        <v/>
      </c>
      <c r="T20" s="43">
        <f>IF(AND(tabPontoPed[[#This Row],[MENSAL]]&gt;0,tabPontoPed[[#This Row],[CÁLCULO]]&gt;0), ABS( tabPontoPed[[#This Row],[MENSAL]] - tabPontoPed[[#This Row],[CÁLCULO]] ) / tabPontoPed[[#This Row],[MENSAL]], -1 )</f>
        <v>1.5</v>
      </c>
      <c r="U20" s="58">
        <v>40</v>
      </c>
      <c r="V20" s="35">
        <f>IF(AND(tabPontoPed[[#This Row],[MENSAL]]&gt;0,tabPontoPed[[#This Row],[CÁLCULO]]&gt;0), IF( tabPontoPed[[#This Row],[MENSAL]] - tabPontoPed[[#This Row],[CÁLCULO]] &lt; 0, -1, IF( tabPontoPed[[#This Row],[MENSAL]] - tabPontoPed[[#This Row],[CÁLCULO]] &gt; 0, 1, -8)), -9 )</f>
        <v>-1</v>
      </c>
      <c r="W20" s="35"/>
      <c r="X20" s="48" t="s">
        <v>1564</v>
      </c>
      <c r="Y20" s="53">
        <v>44391.599108796298</v>
      </c>
      <c r="Z20" s="72">
        <f>tabPontoPed[CÁLC_4M] - tabPontoPed[CÁLCULO]</f>
        <v>8</v>
      </c>
      <c r="AA20" s="79" t="str">
        <f>IF(tabPontoPed[MENSAL]-tabPontoPed[ATA MENSAL] = 0,"sim","")</f>
        <v/>
      </c>
      <c r="AB20" s="79"/>
      <c r="AC20" s="47" t="str">
        <f t="shared" si="0"/>
        <v>*</v>
      </c>
    </row>
    <row r="21" spans="1:29" ht="18.75" x14ac:dyDescent="0.25">
      <c r="A21" s="36">
        <v>88839</v>
      </c>
      <c r="B21" s="68" t="s">
        <v>176</v>
      </c>
      <c r="C21" s="33" t="s">
        <v>1317</v>
      </c>
      <c r="D21" s="32">
        <v>76</v>
      </c>
      <c r="E21" s="37">
        <v>13</v>
      </c>
      <c r="F21" s="38" t="str">
        <f>VLOOKUP(tabPontoPed[[#This Row],[GRUPO]],tabGrupos[#Data],2,FALSE)</f>
        <v>EQUIP. E MATERIAIS P/PINTURAS E IMPERMEABILIZACAO</v>
      </c>
      <c r="G21" s="32" t="str">
        <f>VLOOKUP(tabPontoPed[[#This Row],[GRUPO]],tabGrupos[#Data],3,FALSE)</f>
        <v>MPI</v>
      </c>
      <c r="H21" s="33" t="s">
        <v>1311</v>
      </c>
      <c r="I21" s="80">
        <v>4</v>
      </c>
      <c r="J21" s="39">
        <v>2</v>
      </c>
      <c r="K21" s="41">
        <f>tabPontoPed[[#This Row],[QTDMÊS]] * tabPontoPed[[#This Row],[MENSAL]]</f>
        <v>8</v>
      </c>
      <c r="L21" s="83"/>
      <c r="M21" s="81"/>
      <c r="N21" s="34" t="s">
        <v>1009</v>
      </c>
      <c r="O21" s="76" t="s">
        <v>1658</v>
      </c>
      <c r="P21" s="77">
        <v>0</v>
      </c>
      <c r="Q21" s="57">
        <v>6</v>
      </c>
      <c r="R21" s="42">
        <v>5</v>
      </c>
      <c r="S21" s="69" t="str">
        <f>_xlfn.IFNA(IF(VLOOKUP(tabPontoPed[[#This Row],[CÓDIGO]],tabExcluirDoEstoque[#Data],1,FALSE),"sim",""),"")</f>
        <v/>
      </c>
      <c r="T21" s="43">
        <f>IF(AND(tabPontoPed[[#This Row],[MENSAL]]&gt;0,tabPontoPed[[#This Row],[CÁLCULO]]&gt;0), ABS( tabPontoPed[[#This Row],[MENSAL]] - tabPontoPed[[#This Row],[CÁLCULO]] ) / tabPontoPed[[#This Row],[MENSAL]], -1 )</f>
        <v>1.5</v>
      </c>
      <c r="U21" s="58">
        <v>14</v>
      </c>
      <c r="V21" s="35">
        <f>IF(AND(tabPontoPed[[#This Row],[MENSAL]]&gt;0,tabPontoPed[[#This Row],[CÁLCULO]]&gt;0), IF( tabPontoPed[[#This Row],[MENSAL]] - tabPontoPed[[#This Row],[CÁLCULO]] &lt; 0, -1, IF( tabPontoPed[[#This Row],[MENSAL]] - tabPontoPed[[#This Row],[CÁLCULO]] &gt; 0, 1, -8)), -9 )</f>
        <v>-1</v>
      </c>
      <c r="W21" s="45"/>
      <c r="X21" s="50" t="s">
        <v>1564</v>
      </c>
      <c r="Y21" s="52">
        <v>44391.599108796298</v>
      </c>
      <c r="Z21" s="73">
        <f>tabPontoPed[CÁLC_4M] - tabPontoPed[CÁLCULO]</f>
        <v>1</v>
      </c>
      <c r="AA21" s="79" t="str">
        <f>IF(tabPontoPed[MENSAL]-tabPontoPed[ATA MENSAL] = 0,"sim","")</f>
        <v/>
      </c>
      <c r="AB21" s="79"/>
      <c r="AC21" s="47" t="str">
        <f t="shared" si="0"/>
        <v>*</v>
      </c>
    </row>
    <row r="22" spans="1:29" x14ac:dyDescent="0.25">
      <c r="A22" s="36">
        <v>77109</v>
      </c>
      <c r="B22" s="68" t="s">
        <v>764</v>
      </c>
      <c r="C22" s="33" t="s">
        <v>1317</v>
      </c>
      <c r="D22" s="32">
        <v>61</v>
      </c>
      <c r="E22" s="37">
        <v>8</v>
      </c>
      <c r="F22" s="38" t="str">
        <f>VLOOKUP(tabPontoPed[[#This Row],[GRUPO]],tabGrupos[#Data],2,FALSE)</f>
        <v>MATERIAL HIDRAULICO, CANOS, TUBOS, MANGUEIRAS, CONEXOES E ACESS.</v>
      </c>
      <c r="G22" s="32" t="str">
        <f>VLOOKUP(tabPontoPed[[#This Row],[GRUPO]],tabGrupos[#Data],3,FALSE)</f>
        <v>MHI</v>
      </c>
      <c r="H22" s="33" t="s">
        <v>1311</v>
      </c>
      <c r="I22" s="80">
        <v>4</v>
      </c>
      <c r="J22" s="39">
        <v>5</v>
      </c>
      <c r="K22" s="41">
        <f>tabPontoPed[[#This Row],[QTDMÊS]] * tabPontoPed[[#This Row],[MENSAL]]</f>
        <v>20</v>
      </c>
      <c r="L22" s="83"/>
      <c r="M22" s="81"/>
      <c r="N22" s="34" t="s">
        <v>1009</v>
      </c>
      <c r="O22" s="76" t="s">
        <v>1691</v>
      </c>
      <c r="P22" s="77">
        <v>0</v>
      </c>
      <c r="Q22" s="57">
        <v>10</v>
      </c>
      <c r="R22" s="42">
        <v>12</v>
      </c>
      <c r="S22" s="69" t="str">
        <f>_xlfn.IFNA(IF(VLOOKUP(tabPontoPed[[#This Row],[CÓDIGO]],tabExcluirDoEstoque[#Data],1,FALSE),"sim",""),"")</f>
        <v/>
      </c>
      <c r="T22" s="43">
        <f>IF(AND(tabPontoPed[[#This Row],[MENSAL]]&gt;0,tabPontoPed[[#This Row],[CÁLCULO]]&gt;0), ABS( tabPontoPed[[#This Row],[MENSAL]] - tabPontoPed[[#This Row],[CÁLCULO]] ) / tabPontoPed[[#This Row],[MENSAL]], -1 )</f>
        <v>1.4</v>
      </c>
      <c r="U22" s="58">
        <v>28</v>
      </c>
      <c r="V22" s="35">
        <f>IF(AND(tabPontoPed[[#This Row],[MENSAL]]&gt;0,tabPontoPed[[#This Row],[CÁLCULO]]&gt;0), IF( tabPontoPed[[#This Row],[MENSAL]] - tabPontoPed[[#This Row],[CÁLCULO]] &lt; 0, -1, IF( tabPontoPed[[#This Row],[MENSAL]] - tabPontoPed[[#This Row],[CÁLCULO]] &gt; 0, 1, -8)), -9 )</f>
        <v>-1</v>
      </c>
      <c r="W22" s="35"/>
      <c r="X22" s="48" t="s">
        <v>1564</v>
      </c>
      <c r="Y22" s="53">
        <v>44391.599108796298</v>
      </c>
      <c r="Z22" s="72">
        <f>tabPontoPed[CÁLC_4M] - tabPontoPed[CÁLCULO]</f>
        <v>-2</v>
      </c>
      <c r="AA22" s="79" t="str">
        <f>IF(tabPontoPed[MENSAL]-tabPontoPed[ATA MENSAL] = 0,"sim","")</f>
        <v/>
      </c>
      <c r="AB22" s="79" t="s">
        <v>1614</v>
      </c>
      <c r="AC22" s="47" t="str">
        <f t="shared" si="0"/>
        <v>*</v>
      </c>
    </row>
    <row r="23" spans="1:29" x14ac:dyDescent="0.25">
      <c r="A23" s="36">
        <v>64466</v>
      </c>
      <c r="B23" s="68" t="s">
        <v>832</v>
      </c>
      <c r="C23" s="33" t="s">
        <v>1317</v>
      </c>
      <c r="D23" s="32">
        <v>67</v>
      </c>
      <c r="E23" s="37">
        <v>5</v>
      </c>
      <c r="F23" s="38" t="str">
        <f>VLOOKUP(tabPontoPed[[#This Row],[GRUPO]],tabGrupos[#Data],2,FALSE)</f>
        <v>PARAFUSOS ELEM. VEDACAO UNIAO CONEX . FIXACAO</v>
      </c>
      <c r="G23" s="32" t="str">
        <f>VLOOKUP(tabPontoPed[[#This Row],[GRUPO]],tabGrupos[#Data],3,FALSE)</f>
        <v>MSE</v>
      </c>
      <c r="H23" s="33" t="s">
        <v>1311</v>
      </c>
      <c r="I23" s="80">
        <v>4</v>
      </c>
      <c r="J23" s="39">
        <v>23</v>
      </c>
      <c r="K23" s="41">
        <f>tabPontoPed[[#This Row],[QTDMÊS]] * tabPontoPed[[#This Row],[MENSAL]]</f>
        <v>92</v>
      </c>
      <c r="L23" s="83"/>
      <c r="M23" s="81"/>
      <c r="N23" s="34" t="s">
        <v>1009</v>
      </c>
      <c r="O23" s="76"/>
      <c r="P23" s="77">
        <v>0</v>
      </c>
      <c r="Q23" s="57">
        <v>11</v>
      </c>
      <c r="R23" s="42">
        <v>55</v>
      </c>
      <c r="S23" s="69" t="str">
        <f>_xlfn.IFNA(IF(VLOOKUP(tabPontoPed[[#This Row],[CÓDIGO]],tabExcluirDoEstoque[#Data],1,FALSE),"sim",""),"")</f>
        <v/>
      </c>
      <c r="T23" s="43">
        <f>IF(AND(tabPontoPed[[#This Row],[MENSAL]]&gt;0,tabPontoPed[[#This Row],[CÁLCULO]]&gt;0), ABS( tabPontoPed[[#This Row],[MENSAL]] - tabPontoPed[[#This Row],[CÁLCULO]] ) / tabPontoPed[[#This Row],[MENSAL]], -1 )</f>
        <v>1.3913043478260869</v>
      </c>
      <c r="U23" s="58">
        <v>250</v>
      </c>
      <c r="V23" s="35">
        <f>IF(AND(tabPontoPed[[#This Row],[MENSAL]]&gt;0,tabPontoPed[[#This Row],[CÁLCULO]]&gt;0), IF( tabPontoPed[[#This Row],[MENSAL]] - tabPontoPed[[#This Row],[CÁLCULO]] &lt; 0, -1, IF( tabPontoPed[[#This Row],[MENSAL]] - tabPontoPed[[#This Row],[CÁLCULO]] &gt; 0, 1, -8)), -9 )</f>
        <v>-1</v>
      </c>
      <c r="W23" s="35"/>
      <c r="X23" s="49" t="s">
        <v>1564</v>
      </c>
      <c r="Y23" s="51">
        <v>44391.599108796298</v>
      </c>
      <c r="Z23" s="72">
        <f>tabPontoPed[CÁLC_4M] - tabPontoPed[CÁLCULO]</f>
        <v>-44</v>
      </c>
      <c r="AA23" s="79" t="str">
        <f>IF(tabPontoPed[MENSAL]-tabPontoPed[ATA MENSAL] = 0,"sim","")</f>
        <v/>
      </c>
      <c r="AB23" s="79"/>
      <c r="AC23" s="47" t="str">
        <f t="shared" si="0"/>
        <v>*</v>
      </c>
    </row>
    <row r="24" spans="1:29" x14ac:dyDescent="0.25">
      <c r="A24" s="36">
        <v>112494</v>
      </c>
      <c r="B24" s="68" t="s">
        <v>673</v>
      </c>
      <c r="C24" s="33" t="s">
        <v>1317</v>
      </c>
      <c r="D24" s="32">
        <v>55</v>
      </c>
      <c r="E24" s="37">
        <v>35</v>
      </c>
      <c r="F24" s="38" t="str">
        <f>VLOOKUP(tabPontoPed[[#This Row],[GRUPO]],tabGrupos[#Data],2,FALSE)</f>
        <v>EQUIP. MAT. P/ GERACAO, TRANSM. DISTR. RETIF...</v>
      </c>
      <c r="G24" s="32" t="str">
        <f>VLOOKUP(tabPontoPed[[#This Row],[GRUPO]],tabGrupos[#Data],3,FALSE)</f>
        <v>MEL</v>
      </c>
      <c r="H24" s="33" t="s">
        <v>1311</v>
      </c>
      <c r="I24" s="80">
        <v>4</v>
      </c>
      <c r="J24" s="39">
        <v>3</v>
      </c>
      <c r="K24" s="41">
        <f>tabPontoPed[[#This Row],[QTDMÊS]] * tabPontoPed[[#This Row],[MENSAL]]</f>
        <v>12</v>
      </c>
      <c r="L24" s="83"/>
      <c r="M24" s="81"/>
      <c r="N24" s="34" t="s">
        <v>1009</v>
      </c>
      <c r="O24" s="76"/>
      <c r="P24" s="77">
        <v>0</v>
      </c>
      <c r="Q24" s="57">
        <v>0</v>
      </c>
      <c r="R24" s="42">
        <v>7</v>
      </c>
      <c r="S24" s="69" t="str">
        <f>_xlfn.IFNA(IF(VLOOKUP(tabPontoPed[[#This Row],[CÓDIGO]],tabExcluirDoEstoque[#Data],1,FALSE),"sim",""),"")</f>
        <v/>
      </c>
      <c r="T24" s="43">
        <f>IF(AND(tabPontoPed[[#This Row],[MENSAL]]&gt;0,tabPontoPed[[#This Row],[CÁLCULO]]&gt;0), ABS( tabPontoPed[[#This Row],[MENSAL]] - tabPontoPed[[#This Row],[CÁLCULO]] ) / tabPontoPed[[#This Row],[MENSAL]], -1 )</f>
        <v>1.3333333333333333</v>
      </c>
      <c r="U24" s="58">
        <v>60</v>
      </c>
      <c r="V24" s="35">
        <f>IF(AND(tabPontoPed[[#This Row],[MENSAL]]&gt;0,tabPontoPed[[#This Row],[CÁLCULO]]&gt;0), IF( tabPontoPed[[#This Row],[MENSAL]] - tabPontoPed[[#This Row],[CÁLCULO]] &lt; 0, -1, IF( tabPontoPed[[#This Row],[MENSAL]] - tabPontoPed[[#This Row],[CÁLCULO]] &gt; 0, 1, -8)), -9 )</f>
        <v>-1</v>
      </c>
      <c r="W24" s="35"/>
      <c r="X24" s="49" t="s">
        <v>1564</v>
      </c>
      <c r="Y24" s="51">
        <v>44391.599108796298</v>
      </c>
      <c r="Z24" s="72">
        <f>tabPontoPed[CÁLC_4M] - tabPontoPed[CÁLCULO]</f>
        <v>-7</v>
      </c>
      <c r="AA24" s="79" t="str">
        <f>IF(tabPontoPed[MENSAL]-tabPontoPed[ATA MENSAL] = 0,"sim","")</f>
        <v/>
      </c>
      <c r="AB24" s="79"/>
      <c r="AC24" s="47" t="str">
        <f t="shared" si="0"/>
        <v>*</v>
      </c>
    </row>
    <row r="25" spans="1:29" x14ac:dyDescent="0.25">
      <c r="A25" s="36">
        <v>128818</v>
      </c>
      <c r="B25" s="68" t="s">
        <v>27</v>
      </c>
      <c r="C25" s="33" t="s">
        <v>1317</v>
      </c>
      <c r="D25" s="32">
        <v>55</v>
      </c>
      <c r="E25" s="37">
        <v>34</v>
      </c>
      <c r="F25" s="38" t="str">
        <f>VLOOKUP(tabPontoPed[[#This Row],[GRUPO]],tabGrupos[#Data],2,FALSE)</f>
        <v>EQUIP. MAT. P/ GERACAO, TRANSM. DISTR. RETIF...</v>
      </c>
      <c r="G25" s="32" t="str">
        <f>VLOOKUP(tabPontoPed[[#This Row],[GRUPO]],tabGrupos[#Data],3,FALSE)</f>
        <v>MEL</v>
      </c>
      <c r="H25" s="33" t="s">
        <v>1311</v>
      </c>
      <c r="I25" s="80">
        <v>4</v>
      </c>
      <c r="J25" s="39">
        <v>150</v>
      </c>
      <c r="K25" s="41">
        <f>tabPontoPed[[#This Row],[QTDMÊS]] * tabPontoPed[[#This Row],[MENSAL]]</f>
        <v>600</v>
      </c>
      <c r="L25" s="83"/>
      <c r="M25" s="81"/>
      <c r="N25" s="34" t="s">
        <v>1009</v>
      </c>
      <c r="O25" s="76" t="s">
        <v>1676</v>
      </c>
      <c r="P25" s="77">
        <v>0</v>
      </c>
      <c r="Q25" s="57">
        <v>435</v>
      </c>
      <c r="R25" s="42">
        <v>325</v>
      </c>
      <c r="S25" s="69" t="str">
        <f>_xlfn.IFNA(IF(VLOOKUP(tabPontoPed[[#This Row],[CÓDIGO]],tabExcluirDoEstoque[#Data],1,FALSE),"sim",""),"")</f>
        <v/>
      </c>
      <c r="T25" s="43">
        <f>IF(AND(tabPontoPed[[#This Row],[MENSAL]]&gt;0,tabPontoPed[[#This Row],[CÁLCULO]]&gt;0), ABS( tabPontoPed[[#This Row],[MENSAL]] - tabPontoPed[[#This Row],[CÁLCULO]] ) / tabPontoPed[[#This Row],[MENSAL]], -1 )</f>
        <v>1.1666666666666667</v>
      </c>
      <c r="U25" s="58">
        <v>552</v>
      </c>
      <c r="V25" s="35">
        <f>IF(AND(tabPontoPed[[#This Row],[MENSAL]]&gt;0,tabPontoPed[[#This Row],[CÁLCULO]]&gt;0), IF( tabPontoPed[[#This Row],[MENSAL]] - tabPontoPed[[#This Row],[CÁLCULO]] &lt; 0, -1, IF( tabPontoPed[[#This Row],[MENSAL]] - tabPontoPed[[#This Row],[CÁLCULO]] &gt; 0, 1, -8)), -9 )</f>
        <v>-1</v>
      </c>
      <c r="W25" s="35"/>
      <c r="X25" s="48" t="s">
        <v>1564</v>
      </c>
      <c r="Y25" s="53">
        <v>44391.599108796298</v>
      </c>
      <c r="Z25" s="72">
        <f>tabPontoPed[CÁLC_4M] - tabPontoPed[CÁLCULO]</f>
        <v>110</v>
      </c>
      <c r="AA25" s="79" t="str">
        <f>IF(tabPontoPed[MENSAL]-tabPontoPed[ATA MENSAL] = 0,"sim","")</f>
        <v/>
      </c>
      <c r="AB25" s="79" t="s">
        <v>1614</v>
      </c>
      <c r="AC25" s="47" t="str">
        <f t="shared" si="0"/>
        <v>*</v>
      </c>
    </row>
    <row r="26" spans="1:29" x14ac:dyDescent="0.25">
      <c r="A26" s="36">
        <v>106414</v>
      </c>
      <c r="B26" s="68" t="s">
        <v>26</v>
      </c>
      <c r="C26" s="33" t="s">
        <v>1317</v>
      </c>
      <c r="D26" s="32">
        <v>55</v>
      </c>
      <c r="E26" s="37">
        <v>32</v>
      </c>
      <c r="F26" s="38" t="str">
        <f>VLOOKUP(tabPontoPed[[#This Row],[GRUPO]],tabGrupos[#Data],2,FALSE)</f>
        <v>EQUIP. MAT. P/ GERACAO, TRANSM. DISTR. RETIF...</v>
      </c>
      <c r="G26" s="32" t="str">
        <f>VLOOKUP(tabPontoPed[[#This Row],[GRUPO]],tabGrupos[#Data],3,FALSE)</f>
        <v>MEL</v>
      </c>
      <c r="H26" s="33" t="s">
        <v>1311</v>
      </c>
      <c r="I26" s="80">
        <v>4</v>
      </c>
      <c r="J26" s="39">
        <v>100</v>
      </c>
      <c r="K26" s="41">
        <f>tabPontoPed[[#This Row],[QTDMÊS]] * tabPontoPed[[#This Row],[MENSAL]]</f>
        <v>400</v>
      </c>
      <c r="L26" s="83"/>
      <c r="M26" s="81"/>
      <c r="N26" s="34" t="s">
        <v>1009</v>
      </c>
      <c r="O26" s="76" t="s">
        <v>1676</v>
      </c>
      <c r="P26" s="77">
        <v>0</v>
      </c>
      <c r="Q26" s="57">
        <v>285</v>
      </c>
      <c r="R26" s="42">
        <v>204</v>
      </c>
      <c r="S26" s="69" t="str">
        <f>_xlfn.IFNA(IF(VLOOKUP(tabPontoPed[[#This Row],[CÓDIGO]],tabExcluirDoEstoque[#Data],1,FALSE),"sim",""),"")</f>
        <v/>
      </c>
      <c r="T26" s="43">
        <f>IF(AND(tabPontoPed[[#This Row],[MENSAL]]&gt;0,tabPontoPed[[#This Row],[CÁLCULO]]&gt;0), ABS( tabPontoPed[[#This Row],[MENSAL]] - tabPontoPed[[#This Row],[CÁLCULO]] ) / tabPontoPed[[#This Row],[MENSAL]], -1 )</f>
        <v>1.04</v>
      </c>
      <c r="U26" s="58">
        <v>370</v>
      </c>
      <c r="V26" s="35">
        <f>IF(AND(tabPontoPed[[#This Row],[MENSAL]]&gt;0,tabPontoPed[[#This Row],[CÁLCULO]]&gt;0), IF( tabPontoPed[[#This Row],[MENSAL]] - tabPontoPed[[#This Row],[CÁLCULO]] &lt; 0, -1, IF( tabPontoPed[[#This Row],[MENSAL]] - tabPontoPed[[#This Row],[CÁLCULO]] &gt; 0, 1, -8)), -9 )</f>
        <v>-1</v>
      </c>
      <c r="W26" s="35"/>
      <c r="X26" s="49" t="s">
        <v>1564</v>
      </c>
      <c r="Y26" s="51">
        <v>44391.599108796298</v>
      </c>
      <c r="Z26" s="72">
        <f>tabPontoPed[CÁLC_4M] - tabPontoPed[CÁLCULO]</f>
        <v>81</v>
      </c>
      <c r="AA26" s="79" t="str">
        <f>IF(tabPontoPed[MENSAL]-tabPontoPed[ATA MENSAL] = 0,"sim","")</f>
        <v/>
      </c>
      <c r="AB26" s="79" t="s">
        <v>1614</v>
      </c>
      <c r="AC26" s="47" t="str">
        <f t="shared" si="0"/>
        <v>*</v>
      </c>
    </row>
    <row r="27" spans="1:29" x14ac:dyDescent="0.25">
      <c r="A27" s="36">
        <v>105115</v>
      </c>
      <c r="B27" s="68" t="s">
        <v>798</v>
      </c>
      <c r="C27" s="33" t="s">
        <v>1317</v>
      </c>
      <c r="D27" s="32">
        <v>62</v>
      </c>
      <c r="E27" s="37">
        <v>1</v>
      </c>
      <c r="F27" s="38" t="str">
        <f>VLOOKUP(tabPontoPed[[#This Row],[GRUPO]],tabGrupos[#Data],2,FALSE)</f>
        <v>VEST., ART.P/ TOUC.E HIG. PES. MAQ., EQUIP., MAT.E ACES.</v>
      </c>
      <c r="G27" s="32" t="str">
        <f>VLOOKUP(tabPontoPed[[#This Row],[GRUPO]],tabGrupos[#Data],3,FALSE)</f>
        <v>ADM</v>
      </c>
      <c r="H27" s="33" t="s">
        <v>1311</v>
      </c>
      <c r="I27" s="80">
        <v>4</v>
      </c>
      <c r="J27" s="39">
        <v>1</v>
      </c>
      <c r="K27" s="41">
        <f>tabPontoPed[[#This Row],[QTDMÊS]] * tabPontoPed[[#This Row],[MENSAL]]</f>
        <v>4</v>
      </c>
      <c r="L27" s="83"/>
      <c r="M27" s="81"/>
      <c r="N27" s="34" t="s">
        <v>1009</v>
      </c>
      <c r="O27" s="76" t="s">
        <v>1748</v>
      </c>
      <c r="P27" s="77">
        <v>0</v>
      </c>
      <c r="Q27" s="57">
        <v>4</v>
      </c>
      <c r="R27" s="42">
        <v>2</v>
      </c>
      <c r="S27" s="69" t="str">
        <f>_xlfn.IFNA(IF(VLOOKUP(tabPontoPed[[#This Row],[CÓDIGO]],tabExcluirDoEstoque[#Data],1,FALSE),"sim",""),"")</f>
        <v/>
      </c>
      <c r="T27" s="43">
        <f>IF(AND(tabPontoPed[[#This Row],[MENSAL]]&gt;0,tabPontoPed[[#This Row],[CÁLCULO]]&gt;0), ABS( tabPontoPed[[#This Row],[MENSAL]] - tabPontoPed[[#This Row],[CÁLCULO]] ) / tabPontoPed[[#This Row],[MENSAL]], -1 )</f>
        <v>1</v>
      </c>
      <c r="U27" s="58">
        <v>12</v>
      </c>
      <c r="V27" s="35">
        <f>IF(AND(tabPontoPed[[#This Row],[MENSAL]]&gt;0,tabPontoPed[[#This Row],[CÁLCULO]]&gt;0), IF( tabPontoPed[[#This Row],[MENSAL]] - tabPontoPed[[#This Row],[CÁLCULO]] &lt; 0, -1, IF( tabPontoPed[[#This Row],[MENSAL]] - tabPontoPed[[#This Row],[CÁLCULO]] &gt; 0, 1, -8)), -9 )</f>
        <v>-1</v>
      </c>
      <c r="W27" s="35"/>
      <c r="X27" s="49" t="s">
        <v>1564</v>
      </c>
      <c r="Y27" s="51">
        <v>44391.599108796298</v>
      </c>
      <c r="Z27" s="72">
        <f>tabPontoPed[CÁLC_4M] - tabPontoPed[CÁLCULO]</f>
        <v>2</v>
      </c>
      <c r="AA27" s="79" t="str">
        <f>IF(tabPontoPed[MENSAL]-tabPontoPed[ATA MENSAL] = 0,"sim","")</f>
        <v/>
      </c>
      <c r="AB27" s="79"/>
      <c r="AC27" s="47" t="str">
        <f t="shared" si="0"/>
        <v>*</v>
      </c>
    </row>
    <row r="28" spans="1:29" x14ac:dyDescent="0.25">
      <c r="A28" s="36">
        <v>105106</v>
      </c>
      <c r="B28" s="68" t="s">
        <v>806</v>
      </c>
      <c r="C28" s="33" t="s">
        <v>1317</v>
      </c>
      <c r="D28" s="32">
        <v>62</v>
      </c>
      <c r="E28" s="37">
        <v>4</v>
      </c>
      <c r="F28" s="38" t="str">
        <f>VLOOKUP(tabPontoPed[[#This Row],[GRUPO]],tabGrupos[#Data],2,FALSE)</f>
        <v>VEST., ART.P/ TOUC.E HIG. PES. MAQ., EQUIP., MAT.E ACES.</v>
      </c>
      <c r="G28" s="32" t="str">
        <f>VLOOKUP(tabPontoPed[[#This Row],[GRUPO]],tabGrupos[#Data],3,FALSE)</f>
        <v>ADM</v>
      </c>
      <c r="H28" s="33" t="s">
        <v>1311</v>
      </c>
      <c r="I28" s="80">
        <v>4</v>
      </c>
      <c r="J28" s="39">
        <v>1</v>
      </c>
      <c r="K28" s="41">
        <f>tabPontoPed[[#This Row],[QTDMÊS]] * tabPontoPed[[#This Row],[MENSAL]]</f>
        <v>4</v>
      </c>
      <c r="L28" s="83"/>
      <c r="M28" s="81"/>
      <c r="N28" s="34" t="s">
        <v>1009</v>
      </c>
      <c r="O28" s="76" t="s">
        <v>1749</v>
      </c>
      <c r="P28" s="77">
        <v>0</v>
      </c>
      <c r="Q28" s="57">
        <v>3</v>
      </c>
      <c r="R28" s="42">
        <v>2</v>
      </c>
      <c r="S28" s="69" t="str">
        <f>_xlfn.IFNA(IF(VLOOKUP(tabPontoPed[[#This Row],[CÓDIGO]],tabExcluirDoEstoque[#Data],1,FALSE),"sim",""),"")</f>
        <v/>
      </c>
      <c r="T28" s="43">
        <f>IF(AND(tabPontoPed[[#This Row],[MENSAL]]&gt;0,tabPontoPed[[#This Row],[CÁLCULO]]&gt;0), ABS( tabPontoPed[[#This Row],[MENSAL]] - tabPontoPed[[#This Row],[CÁLCULO]] ) / tabPontoPed[[#This Row],[MENSAL]], -1 )</f>
        <v>1</v>
      </c>
      <c r="U28" s="58">
        <v>9</v>
      </c>
      <c r="V28" s="35">
        <f>IF(AND(tabPontoPed[[#This Row],[MENSAL]]&gt;0,tabPontoPed[[#This Row],[CÁLCULO]]&gt;0), IF( tabPontoPed[[#This Row],[MENSAL]] - tabPontoPed[[#This Row],[CÁLCULO]] &lt; 0, -1, IF( tabPontoPed[[#This Row],[MENSAL]] - tabPontoPed[[#This Row],[CÁLCULO]] &gt; 0, 1, -8)), -9 )</f>
        <v>-1</v>
      </c>
      <c r="W28" s="35"/>
      <c r="X28" s="49" t="s">
        <v>1564</v>
      </c>
      <c r="Y28" s="51">
        <v>44391.599108796298</v>
      </c>
      <c r="Z28" s="72">
        <f>tabPontoPed[CÁLC_4M] - tabPontoPed[CÁLCULO]</f>
        <v>1</v>
      </c>
      <c r="AA28" s="79" t="str">
        <f>IF(tabPontoPed[MENSAL]-tabPontoPed[ATA MENSAL] = 0,"sim","")</f>
        <v/>
      </c>
      <c r="AB28" s="79"/>
      <c r="AC28" s="47" t="str">
        <f t="shared" si="0"/>
        <v>*</v>
      </c>
    </row>
    <row r="29" spans="1:29" x14ac:dyDescent="0.25">
      <c r="A29" s="36">
        <v>26506</v>
      </c>
      <c r="B29" s="68" t="s">
        <v>332</v>
      </c>
      <c r="C29" s="33" t="s">
        <v>1317</v>
      </c>
      <c r="D29" s="32">
        <v>78</v>
      </c>
      <c r="E29" s="37">
        <v>6</v>
      </c>
      <c r="F29" s="38" t="str">
        <f>VLOOKUP(tabPontoPed[[#This Row],[GRUPO]],tabGrupos[#Data],2,FALSE)</f>
        <v>MOBILIARIO E COFRE</v>
      </c>
      <c r="G29" s="32" t="str">
        <f>VLOOKUP(tabPontoPed[[#This Row],[GRUPO]],tabGrupos[#Data],3,FALSE)</f>
        <v>ADM</v>
      </c>
      <c r="H29" s="33" t="s">
        <v>1311</v>
      </c>
      <c r="I29" s="80">
        <v>4</v>
      </c>
      <c r="J29" s="39">
        <v>125</v>
      </c>
      <c r="K29" s="41">
        <f>tabPontoPed[[#This Row],[QTDMÊS]] * tabPontoPed[[#This Row],[MENSAL]]</f>
        <v>500</v>
      </c>
      <c r="L29" s="83"/>
      <c r="M29" s="81"/>
      <c r="N29" s="34" t="s">
        <v>1009</v>
      </c>
      <c r="O29" s="76" t="s">
        <v>1712</v>
      </c>
      <c r="P29" s="77">
        <v>0</v>
      </c>
      <c r="Q29" s="57">
        <v>0</v>
      </c>
      <c r="R29" s="42">
        <v>1</v>
      </c>
      <c r="S29" s="69" t="str">
        <f>_xlfn.IFNA(IF(VLOOKUP(tabPontoPed[[#This Row],[CÓDIGO]],tabExcluirDoEstoque[#Data],1,FALSE),"sim",""),"")</f>
        <v/>
      </c>
      <c r="T29" s="43">
        <f>IF(AND(tabPontoPed[[#This Row],[MENSAL]]&gt;0,tabPontoPed[[#This Row],[CÁLCULO]]&gt;0), ABS( tabPontoPed[[#This Row],[MENSAL]] - tabPontoPed[[#This Row],[CÁLCULO]] ) / tabPontoPed[[#This Row],[MENSAL]], -1 )</f>
        <v>0.99199999999999999</v>
      </c>
      <c r="U29" s="58">
        <v>1</v>
      </c>
      <c r="V29" s="35">
        <f>IF(AND(tabPontoPed[[#This Row],[MENSAL]]&gt;0,tabPontoPed[[#This Row],[CÁLCULO]]&gt;0), IF( tabPontoPed[[#This Row],[MENSAL]] - tabPontoPed[[#This Row],[CÁLCULO]] &lt; 0, -1, IF( tabPontoPed[[#This Row],[MENSAL]] - tabPontoPed[[#This Row],[CÁLCULO]] &gt; 0, 1, -8)), -9 )</f>
        <v>1</v>
      </c>
      <c r="W29" s="35"/>
      <c r="X29" s="48" t="s">
        <v>1564</v>
      </c>
      <c r="Y29" s="53">
        <v>44391.599108796298</v>
      </c>
      <c r="Z29" s="72">
        <f>tabPontoPed[CÁLC_4M] - tabPontoPed[CÁLCULO]</f>
        <v>-1</v>
      </c>
      <c r="AA29" s="79" t="str">
        <f>IF(tabPontoPed[MENSAL]-tabPontoPed[ATA MENSAL] = 0,"sim","")</f>
        <v/>
      </c>
      <c r="AB29" s="79" t="s">
        <v>1614</v>
      </c>
      <c r="AC29" s="47" t="str">
        <f t="shared" si="0"/>
        <v>*</v>
      </c>
    </row>
    <row r="30" spans="1:29" x14ac:dyDescent="0.25">
      <c r="A30" s="36">
        <v>20583</v>
      </c>
      <c r="B30" s="68" t="s">
        <v>848</v>
      </c>
      <c r="C30" s="33" t="s">
        <v>1317</v>
      </c>
      <c r="D30" s="32">
        <v>67</v>
      </c>
      <c r="E30" s="37">
        <v>7</v>
      </c>
      <c r="F30" s="38" t="str">
        <f>VLOOKUP(tabPontoPed[[#This Row],[GRUPO]],tabGrupos[#Data],2,FALSE)</f>
        <v>PARAFUSOS ELEM. VEDACAO UNIAO CONEX . FIXACAO</v>
      </c>
      <c r="G30" s="32" t="str">
        <f>VLOOKUP(tabPontoPed[[#This Row],[GRUPO]],tabGrupos[#Data],3,FALSE)</f>
        <v>MSE</v>
      </c>
      <c r="H30" s="33" t="s">
        <v>1311</v>
      </c>
      <c r="I30" s="80">
        <v>4</v>
      </c>
      <c r="J30" s="39">
        <v>710</v>
      </c>
      <c r="K30" s="41">
        <f>tabPontoPed[[#This Row],[QTDMÊS]] * tabPontoPed[[#This Row],[MENSAL]]</f>
        <v>2840</v>
      </c>
      <c r="L30" s="83"/>
      <c r="M30" s="81"/>
      <c r="N30" s="34" t="s">
        <v>1009</v>
      </c>
      <c r="O30" s="76"/>
      <c r="P30" s="77">
        <v>0</v>
      </c>
      <c r="Q30" s="57">
        <v>0</v>
      </c>
      <c r="R30" s="42">
        <v>20</v>
      </c>
      <c r="S30" s="69" t="str">
        <f>_xlfn.IFNA(IF(VLOOKUP(tabPontoPed[[#This Row],[CÓDIGO]],tabExcluirDoEstoque[#Data],1,FALSE),"sim",""),"")</f>
        <v/>
      </c>
      <c r="T30" s="43">
        <f>IF(AND(tabPontoPed[[#This Row],[MENSAL]]&gt;0,tabPontoPed[[#This Row],[CÁLCULO]]&gt;0), ABS( tabPontoPed[[#This Row],[MENSAL]] - tabPontoPed[[#This Row],[CÁLCULO]] ) / tabPontoPed[[#This Row],[MENSAL]], -1 )</f>
        <v>0.971830985915493</v>
      </c>
      <c r="U30" s="58">
        <v>200</v>
      </c>
      <c r="V30" s="35">
        <f>IF(AND(tabPontoPed[[#This Row],[MENSAL]]&gt;0,tabPontoPed[[#This Row],[CÁLCULO]]&gt;0), IF( tabPontoPed[[#This Row],[MENSAL]] - tabPontoPed[[#This Row],[CÁLCULO]] &lt; 0, -1, IF( tabPontoPed[[#This Row],[MENSAL]] - tabPontoPed[[#This Row],[CÁLCULO]] &gt; 0, 1, -8)), -9 )</f>
        <v>1</v>
      </c>
      <c r="W30" s="35"/>
      <c r="X30" s="49" t="s">
        <v>1564</v>
      </c>
      <c r="Y30" s="51">
        <v>44391.599108796298</v>
      </c>
      <c r="Z30" s="72">
        <f>tabPontoPed[CÁLC_4M] - tabPontoPed[CÁLCULO]</f>
        <v>-20</v>
      </c>
      <c r="AA30" s="79" t="str">
        <f>IF(tabPontoPed[MENSAL]-tabPontoPed[ATA MENSAL] = 0,"sim","")</f>
        <v/>
      </c>
      <c r="AB30" s="79"/>
      <c r="AC30" s="47" t="str">
        <f t="shared" si="0"/>
        <v>*</v>
      </c>
    </row>
    <row r="31" spans="1:29" x14ac:dyDescent="0.25">
      <c r="A31" s="36">
        <v>13087</v>
      </c>
      <c r="B31" s="68" t="s">
        <v>159</v>
      </c>
      <c r="C31" s="33" t="s">
        <v>1317</v>
      </c>
      <c r="D31" s="32">
        <v>83</v>
      </c>
      <c r="E31" s="37">
        <v>2</v>
      </c>
      <c r="F31" s="38" t="str">
        <f>VLOOKUP(tabPontoPed[[#This Row],[GRUPO]],tabGrupos[#Data],2,FALSE)</f>
        <v>ABRASIVOS</v>
      </c>
      <c r="G31" s="32" t="str">
        <f>VLOOKUP(tabPontoPed[[#This Row],[GRUPO]],tabGrupos[#Data],3,FALSE)</f>
        <v>MAN</v>
      </c>
      <c r="H31" s="33" t="s">
        <v>1311</v>
      </c>
      <c r="I31" s="80">
        <v>4</v>
      </c>
      <c r="J31" s="39">
        <v>25</v>
      </c>
      <c r="K31" s="41">
        <f>tabPontoPed[[#This Row],[QTDMÊS]] * tabPontoPed[[#This Row],[MENSAL]]</f>
        <v>100</v>
      </c>
      <c r="L31" s="83"/>
      <c r="M31" s="81"/>
      <c r="N31" s="34" t="s">
        <v>1009</v>
      </c>
      <c r="O31" s="76" t="s">
        <v>1658</v>
      </c>
      <c r="P31" s="77">
        <v>0</v>
      </c>
      <c r="Q31" s="57">
        <v>3</v>
      </c>
      <c r="R31" s="42">
        <v>1</v>
      </c>
      <c r="S31" s="69" t="str">
        <f>_xlfn.IFNA(IF(VLOOKUP(tabPontoPed[[#This Row],[CÓDIGO]],tabExcluirDoEstoque[#Data],1,FALSE),"sim",""),"")</f>
        <v/>
      </c>
      <c r="T31" s="43">
        <f>IF(AND(tabPontoPed[[#This Row],[MENSAL]]&gt;0,tabPontoPed[[#This Row],[CÁLCULO]]&gt;0), ABS( tabPontoPed[[#This Row],[MENSAL]] - tabPontoPed[[#This Row],[CÁLCULO]] ) / tabPontoPed[[#This Row],[MENSAL]], -1 )</f>
        <v>0.96</v>
      </c>
      <c r="U31" s="58">
        <v>10</v>
      </c>
      <c r="V31" s="35">
        <f>IF(AND(tabPontoPed[[#This Row],[MENSAL]]&gt;0,tabPontoPed[[#This Row],[CÁLCULO]]&gt;0), IF( tabPontoPed[[#This Row],[MENSAL]] - tabPontoPed[[#This Row],[CÁLCULO]] &lt; 0, -1, IF( tabPontoPed[[#This Row],[MENSAL]] - tabPontoPed[[#This Row],[CÁLCULO]] &gt; 0, 1, -8)), -9 )</f>
        <v>1</v>
      </c>
      <c r="W31" s="35"/>
      <c r="X31" s="49" t="s">
        <v>1564</v>
      </c>
      <c r="Y31" s="51">
        <v>44391.599108796298</v>
      </c>
      <c r="Z31" s="72">
        <f>tabPontoPed[CÁLC_4M] - tabPontoPed[CÁLCULO]</f>
        <v>2</v>
      </c>
      <c r="AA31" s="79" t="str">
        <f>IF(tabPontoPed[MENSAL]-tabPontoPed[ATA MENSAL] = 0,"sim","")</f>
        <v/>
      </c>
      <c r="AB31" s="79" t="s">
        <v>1614</v>
      </c>
      <c r="AC31" s="47" t="str">
        <f t="shared" si="0"/>
        <v>*</v>
      </c>
    </row>
    <row r="32" spans="1:29" x14ac:dyDescent="0.25">
      <c r="A32" s="36">
        <v>35550</v>
      </c>
      <c r="B32" s="68" t="s">
        <v>158</v>
      </c>
      <c r="C32" s="33" t="s">
        <v>1317</v>
      </c>
      <c r="D32" s="32">
        <v>83</v>
      </c>
      <c r="E32" s="37">
        <v>2</v>
      </c>
      <c r="F32" s="38" t="str">
        <f>VLOOKUP(tabPontoPed[[#This Row],[GRUPO]],tabGrupos[#Data],2,FALSE)</f>
        <v>ABRASIVOS</v>
      </c>
      <c r="G32" s="32" t="str">
        <f>VLOOKUP(tabPontoPed[[#This Row],[GRUPO]],tabGrupos[#Data],3,FALSE)</f>
        <v>MAN</v>
      </c>
      <c r="H32" s="33" t="s">
        <v>1311</v>
      </c>
      <c r="I32" s="80">
        <v>4</v>
      </c>
      <c r="J32" s="39">
        <v>25</v>
      </c>
      <c r="K32" s="41">
        <f>tabPontoPed[[#This Row],[QTDMÊS]] * tabPontoPed[[#This Row],[MENSAL]]</f>
        <v>100</v>
      </c>
      <c r="L32" s="83"/>
      <c r="M32" s="81"/>
      <c r="N32" s="34" t="s">
        <v>1009</v>
      </c>
      <c r="O32" s="76" t="s">
        <v>1658</v>
      </c>
      <c r="P32" s="77">
        <v>0</v>
      </c>
      <c r="Q32" s="57">
        <v>0</v>
      </c>
      <c r="R32" s="42">
        <v>1</v>
      </c>
      <c r="S32" s="69" t="str">
        <f>_xlfn.IFNA(IF(VLOOKUP(tabPontoPed[[#This Row],[CÓDIGO]],tabExcluirDoEstoque[#Data],1,FALSE),"sim",""),"")</f>
        <v/>
      </c>
      <c r="T32" s="43">
        <f>IF(AND(tabPontoPed[[#This Row],[MENSAL]]&gt;0,tabPontoPed[[#This Row],[CÁLCULO]]&gt;0), ABS( tabPontoPed[[#This Row],[MENSAL]] - tabPontoPed[[#This Row],[CÁLCULO]] ) / tabPontoPed[[#This Row],[MENSAL]], -1 )</f>
        <v>0.96</v>
      </c>
      <c r="U32" s="58">
        <v>6</v>
      </c>
      <c r="V32" s="35">
        <f>IF(AND(tabPontoPed[[#This Row],[MENSAL]]&gt;0,tabPontoPed[[#This Row],[CÁLCULO]]&gt;0), IF( tabPontoPed[[#This Row],[MENSAL]] - tabPontoPed[[#This Row],[CÁLCULO]] &lt; 0, -1, IF( tabPontoPed[[#This Row],[MENSAL]] - tabPontoPed[[#This Row],[CÁLCULO]] &gt; 0, 1, -8)), -9 )</f>
        <v>1</v>
      </c>
      <c r="W32" s="35"/>
      <c r="X32" s="49" t="s">
        <v>1564</v>
      </c>
      <c r="Y32" s="51">
        <v>44391.599108796298</v>
      </c>
      <c r="Z32" s="72">
        <f>tabPontoPed[CÁLC_4M] - tabPontoPed[CÁLCULO]</f>
        <v>-1</v>
      </c>
      <c r="AA32" s="79" t="str">
        <f>IF(tabPontoPed[MENSAL]-tabPontoPed[ATA MENSAL] = 0,"sim","")</f>
        <v/>
      </c>
      <c r="AB32" s="79" t="s">
        <v>1614</v>
      </c>
      <c r="AC32" s="47" t="str">
        <f t="shared" si="0"/>
        <v>*</v>
      </c>
    </row>
    <row r="33" spans="1:29" x14ac:dyDescent="0.25">
      <c r="A33" s="36">
        <v>108711</v>
      </c>
      <c r="B33" s="68" t="s">
        <v>304</v>
      </c>
      <c r="C33" s="33" t="s">
        <v>1317</v>
      </c>
      <c r="D33" s="32">
        <v>61</v>
      </c>
      <c r="E33" s="37">
        <v>10</v>
      </c>
      <c r="F33" s="38" t="str">
        <f>VLOOKUP(tabPontoPed[[#This Row],[GRUPO]],tabGrupos[#Data],2,FALSE)</f>
        <v>MATERIAL HIDRAULICO, CANOS, TUBOS, MANGUEIRAS, CONEXOES E ACESS.</v>
      </c>
      <c r="G33" s="32" t="str">
        <f>VLOOKUP(tabPontoPed[[#This Row],[GRUPO]],tabGrupos[#Data],3,FALSE)</f>
        <v>MHI</v>
      </c>
      <c r="H33" s="33" t="s">
        <v>1311</v>
      </c>
      <c r="I33" s="80">
        <v>4</v>
      </c>
      <c r="J33" s="39">
        <v>25</v>
      </c>
      <c r="K33" s="41">
        <f>tabPontoPed[[#This Row],[QTDMÊS]] * tabPontoPed[[#This Row],[MENSAL]]</f>
        <v>100</v>
      </c>
      <c r="L33" s="83"/>
      <c r="M33" s="81"/>
      <c r="N33" s="34" t="s">
        <v>1009</v>
      </c>
      <c r="O33" s="76" t="s">
        <v>1674</v>
      </c>
      <c r="P33" s="77">
        <v>0</v>
      </c>
      <c r="Q33" s="57">
        <v>0</v>
      </c>
      <c r="R33" s="42">
        <v>1</v>
      </c>
      <c r="S33" s="69" t="str">
        <f>_xlfn.IFNA(IF(VLOOKUP(tabPontoPed[[#This Row],[CÓDIGO]],tabExcluirDoEstoque[#Data],1,FALSE),"sim",""),"")</f>
        <v/>
      </c>
      <c r="T33" s="43">
        <f>IF(AND(tabPontoPed[[#This Row],[MENSAL]]&gt;0,tabPontoPed[[#This Row],[CÁLCULO]]&gt;0), ABS( tabPontoPed[[#This Row],[MENSAL]] - tabPontoPed[[#This Row],[CÁLCULO]] ) / tabPontoPed[[#This Row],[MENSAL]], -1 )</f>
        <v>0.96</v>
      </c>
      <c r="U33" s="58">
        <v>7</v>
      </c>
      <c r="V33" s="35">
        <f>IF(AND(tabPontoPed[[#This Row],[MENSAL]]&gt;0,tabPontoPed[[#This Row],[CÁLCULO]]&gt;0), IF( tabPontoPed[[#This Row],[MENSAL]] - tabPontoPed[[#This Row],[CÁLCULO]] &lt; 0, -1, IF( tabPontoPed[[#This Row],[MENSAL]] - tabPontoPed[[#This Row],[CÁLCULO]] &gt; 0, 1, -8)), -9 )</f>
        <v>1</v>
      </c>
      <c r="W33" s="35"/>
      <c r="X33" s="49" t="s">
        <v>1564</v>
      </c>
      <c r="Y33" s="51">
        <v>44391.599108796298</v>
      </c>
      <c r="Z33" s="72">
        <f>tabPontoPed[CÁLC_4M] - tabPontoPed[CÁLCULO]</f>
        <v>-1</v>
      </c>
      <c r="AA33" s="79" t="str">
        <f>IF(tabPontoPed[MENSAL]-tabPontoPed[ATA MENSAL] = 0,"sim","")</f>
        <v/>
      </c>
      <c r="AB33" s="79" t="s">
        <v>1614</v>
      </c>
      <c r="AC33" s="47" t="str">
        <f t="shared" si="0"/>
        <v>*</v>
      </c>
    </row>
    <row r="34" spans="1:29" x14ac:dyDescent="0.25">
      <c r="A34" s="36">
        <v>135701</v>
      </c>
      <c r="B34" s="68" t="s">
        <v>1294</v>
      </c>
      <c r="C34" s="33" t="s">
        <v>1317</v>
      </c>
      <c r="D34" s="32">
        <v>45</v>
      </c>
      <c r="E34" s="37">
        <v>9</v>
      </c>
      <c r="F34" s="38" t="str">
        <f>VLOOKUP(tabPontoPed[[#This Row],[GRUPO]],tabGrupos[#Data],2,FALSE)</f>
        <v>MAQ., EQUIP., COMP., ACES., MAT. PARA ESCRIT.E ESCOLAR</v>
      </c>
      <c r="G34" s="32" t="str">
        <f>VLOOKUP(tabPontoPed[[#This Row],[GRUPO]],tabGrupos[#Data],3,FALSE)</f>
        <v>EDU</v>
      </c>
      <c r="H34" s="33" t="s">
        <v>1311</v>
      </c>
      <c r="I34" s="80">
        <v>4</v>
      </c>
      <c r="J34" s="39">
        <v>127</v>
      </c>
      <c r="K34" s="41">
        <f>tabPontoPed[[#This Row],[QTDMÊS]] * tabPontoPed[[#This Row],[MENSAL]]</f>
        <v>508</v>
      </c>
      <c r="L34" s="83"/>
      <c r="M34" s="81"/>
      <c r="N34" s="34" t="s">
        <v>1009</v>
      </c>
      <c r="O34" s="76"/>
      <c r="P34" s="77">
        <v>0</v>
      </c>
      <c r="Q34" s="57">
        <v>15</v>
      </c>
      <c r="R34" s="42">
        <v>7</v>
      </c>
      <c r="S34" s="69" t="str">
        <f>_xlfn.IFNA(IF(VLOOKUP(tabPontoPed[[#This Row],[CÓDIGO]],tabExcluirDoEstoque[#Data],1,FALSE),"sim",""),"")</f>
        <v/>
      </c>
      <c r="T34" s="43">
        <f>IF(AND(tabPontoPed[[#This Row],[MENSAL]]&gt;0,tabPontoPed[[#This Row],[CÁLCULO]]&gt;0), ABS( tabPontoPed[[#This Row],[MENSAL]] - tabPontoPed[[#This Row],[CÁLCULO]] ) / tabPontoPed[[#This Row],[MENSAL]], -1 )</f>
        <v>0.94488188976377951</v>
      </c>
      <c r="U34" s="58">
        <v>19</v>
      </c>
      <c r="V34" s="35">
        <f>IF(AND(tabPontoPed[[#This Row],[MENSAL]]&gt;0,tabPontoPed[[#This Row],[CÁLCULO]]&gt;0), IF( tabPontoPed[[#This Row],[MENSAL]] - tabPontoPed[[#This Row],[CÁLCULO]] &lt; 0, -1, IF( tabPontoPed[[#This Row],[MENSAL]] - tabPontoPed[[#This Row],[CÁLCULO]] &gt; 0, 1, -8)), -9 )</f>
        <v>1</v>
      </c>
      <c r="W34" s="35"/>
      <c r="X34" s="49" t="s">
        <v>1564</v>
      </c>
      <c r="Y34" s="51">
        <v>44391.599108796298</v>
      </c>
      <c r="Z34" s="72">
        <f>tabPontoPed[CÁLC_4M] - tabPontoPed[CÁLCULO]</f>
        <v>8</v>
      </c>
      <c r="AA34" s="79" t="str">
        <f>IF(tabPontoPed[MENSAL]-tabPontoPed[ATA MENSAL] = 0,"sim","")</f>
        <v/>
      </c>
      <c r="AB34" s="79"/>
      <c r="AC34" s="47" t="str">
        <f t="shared" si="0"/>
        <v>*</v>
      </c>
    </row>
    <row r="35" spans="1:29" x14ac:dyDescent="0.25">
      <c r="A35" s="36">
        <v>138475</v>
      </c>
      <c r="B35" s="68" t="s">
        <v>1541</v>
      </c>
      <c r="C35" s="33">
        <v>1</v>
      </c>
      <c r="D35" s="32">
        <v>83</v>
      </c>
      <c r="E35" s="37">
        <v>4</v>
      </c>
      <c r="F35" s="38" t="str">
        <f>VLOOKUP(tabPontoPed[[#This Row],[GRUPO]],tabGrupos[#Data],2,FALSE)</f>
        <v>ABRASIVOS</v>
      </c>
      <c r="G35" s="32" t="str">
        <f>VLOOKUP(tabPontoPed[[#This Row],[GRUPO]],tabGrupos[#Data],3,FALSE)</f>
        <v>MAN</v>
      </c>
      <c r="H35" s="33" t="s">
        <v>1311</v>
      </c>
      <c r="I35" s="80">
        <v>4</v>
      </c>
      <c r="J35" s="39">
        <v>17</v>
      </c>
      <c r="K35" s="41">
        <f>tabPontoPed[[#This Row],[QTDMÊS]] * tabPontoPed[[#This Row],[MENSAL]]</f>
        <v>68</v>
      </c>
      <c r="L35" s="83"/>
      <c r="M35" s="81"/>
      <c r="N35" s="34" t="s">
        <v>1009</v>
      </c>
      <c r="O35" s="76" t="s">
        <v>1671</v>
      </c>
      <c r="P35" s="77">
        <v>0</v>
      </c>
      <c r="Q35" s="57">
        <v>0</v>
      </c>
      <c r="R35" s="42">
        <v>1</v>
      </c>
      <c r="S35" s="69" t="str">
        <f>_xlfn.IFNA(IF(VLOOKUP(tabPontoPed[[#This Row],[CÓDIGO]],tabExcluirDoEstoque[#Data],1,FALSE),"sim",""),"")</f>
        <v/>
      </c>
      <c r="T35" s="43">
        <f>IF(AND(tabPontoPed[[#This Row],[MENSAL]]&gt;0,tabPontoPed[[#This Row],[CÁLCULO]]&gt;0), ABS( tabPontoPed[[#This Row],[MENSAL]] - tabPontoPed[[#This Row],[CÁLCULO]] ) / tabPontoPed[[#This Row],[MENSAL]], -1 )</f>
        <v>0.94117647058823528</v>
      </c>
      <c r="U35" s="58">
        <v>6</v>
      </c>
      <c r="V35" s="35">
        <f>IF(AND(tabPontoPed[[#This Row],[MENSAL]]&gt;0,tabPontoPed[[#This Row],[CÁLCULO]]&gt;0), IF( tabPontoPed[[#This Row],[MENSAL]] - tabPontoPed[[#This Row],[CÁLCULO]] &lt; 0, -1, IF( tabPontoPed[[#This Row],[MENSAL]] - tabPontoPed[[#This Row],[CÁLCULO]] &gt; 0, 1, -8)), -9 )</f>
        <v>1</v>
      </c>
      <c r="W35" s="35"/>
      <c r="X35" s="49" t="s">
        <v>1564</v>
      </c>
      <c r="Y35" s="51">
        <v>44391.599108796298</v>
      </c>
      <c r="Z35" s="72">
        <f>tabPontoPed[CÁLC_4M] - tabPontoPed[CÁLCULO]</f>
        <v>-1</v>
      </c>
      <c r="AA35" s="79" t="str">
        <f>IF(tabPontoPed[MENSAL]-tabPontoPed[ATA MENSAL] = 0,"sim","")</f>
        <v/>
      </c>
      <c r="AB35" s="79"/>
      <c r="AC35" s="47" t="str">
        <f t="shared" si="0"/>
        <v>*</v>
      </c>
    </row>
    <row r="36" spans="1:29" x14ac:dyDescent="0.25">
      <c r="A36" s="36">
        <v>136898</v>
      </c>
      <c r="B36" s="68" t="s">
        <v>1570</v>
      </c>
      <c r="C36" s="33">
        <v>1</v>
      </c>
      <c r="D36" s="32">
        <v>55</v>
      </c>
      <c r="E36" s="37">
        <v>49</v>
      </c>
      <c r="F36" s="38" t="str">
        <f>VLOOKUP(tabPontoPed[[#This Row],[GRUPO]],tabGrupos[#Data],2,FALSE)</f>
        <v>EQUIP. MAT. P/ GERACAO, TRANSM. DISTR. RETIF...</v>
      </c>
      <c r="G36" s="32" t="str">
        <f>VLOOKUP(tabPontoPed[[#This Row],[GRUPO]],tabGrupos[#Data],3,FALSE)</f>
        <v>MEL</v>
      </c>
      <c r="H36" s="33" t="s">
        <v>1311</v>
      </c>
      <c r="I36" s="80">
        <v>4</v>
      </c>
      <c r="J36" s="39">
        <v>5</v>
      </c>
      <c r="K36" s="41">
        <f>tabPontoPed[[#This Row],[QTDMÊS]] * tabPontoPed[[#This Row],[MENSAL]]</f>
        <v>20</v>
      </c>
      <c r="L36" s="83"/>
      <c r="M36" s="81"/>
      <c r="N36" s="34" t="s">
        <v>1009</v>
      </c>
      <c r="O36" s="76" t="s">
        <v>1677</v>
      </c>
      <c r="P36" s="77">
        <v>0</v>
      </c>
      <c r="Q36" s="57">
        <v>2</v>
      </c>
      <c r="R36" s="42">
        <v>1</v>
      </c>
      <c r="S36" s="69" t="str">
        <f>_xlfn.IFNA(IF(VLOOKUP(tabPontoPed[[#This Row],[CÓDIGO]],tabExcluirDoEstoque[#Data],1,FALSE),"sim",""),"")</f>
        <v/>
      </c>
      <c r="T36" s="43">
        <f>IF(AND(tabPontoPed[[#This Row],[MENSAL]]&gt;0,tabPontoPed[[#This Row],[CÁLCULO]]&gt;0), ABS( tabPontoPed[[#This Row],[MENSAL]] - tabPontoPed[[#This Row],[CÁLCULO]] ) / tabPontoPed[[#This Row],[MENSAL]], -1 )</f>
        <v>0.8</v>
      </c>
      <c r="U36" s="58">
        <v>5</v>
      </c>
      <c r="V36" s="35">
        <f>IF(AND(tabPontoPed[[#This Row],[MENSAL]]&gt;0,tabPontoPed[[#This Row],[CÁLCULO]]&gt;0), IF( tabPontoPed[[#This Row],[MENSAL]] - tabPontoPed[[#This Row],[CÁLCULO]] &lt; 0, -1, IF( tabPontoPed[[#This Row],[MENSAL]] - tabPontoPed[[#This Row],[CÁLCULO]] &gt; 0, 1, -8)), -9 )</f>
        <v>1</v>
      </c>
      <c r="W36" s="35"/>
      <c r="X36" s="49" t="s">
        <v>1564</v>
      </c>
      <c r="Y36" s="51">
        <v>44455.434421296297</v>
      </c>
      <c r="Z36" s="72">
        <f>tabPontoPed[CÁLC_4M] - tabPontoPed[CÁLCULO]</f>
        <v>1</v>
      </c>
      <c r="AA36" s="79" t="str">
        <f>IF(tabPontoPed[MENSAL]-tabPontoPed[ATA MENSAL] = 0,"sim","")</f>
        <v/>
      </c>
      <c r="AB36" s="79" t="s">
        <v>1614</v>
      </c>
      <c r="AC36" s="47" t="str">
        <f t="shared" si="0"/>
        <v>*</v>
      </c>
    </row>
    <row r="37" spans="1:29" x14ac:dyDescent="0.25">
      <c r="A37" s="36">
        <v>135304</v>
      </c>
      <c r="B37" s="68" t="s">
        <v>294</v>
      </c>
      <c r="C37" s="33" t="s">
        <v>1317</v>
      </c>
      <c r="D37" s="32">
        <v>61</v>
      </c>
      <c r="E37" s="37">
        <v>8</v>
      </c>
      <c r="F37" s="38" t="str">
        <f>VLOOKUP(tabPontoPed[[#This Row],[GRUPO]],tabGrupos[#Data],2,FALSE)</f>
        <v>MATERIAL HIDRAULICO, CANOS, TUBOS, MANGUEIRAS, CONEXOES E ACESS.</v>
      </c>
      <c r="G37" s="32" t="str">
        <f>VLOOKUP(tabPontoPed[[#This Row],[GRUPO]],tabGrupos[#Data],3,FALSE)</f>
        <v>MHI</v>
      </c>
      <c r="H37" s="33" t="s">
        <v>1311</v>
      </c>
      <c r="I37" s="80">
        <v>4</v>
      </c>
      <c r="J37" s="39">
        <v>49</v>
      </c>
      <c r="K37" s="41">
        <f>tabPontoPed[[#This Row],[QTDMÊS]] * tabPontoPed[[#This Row],[MENSAL]]</f>
        <v>196</v>
      </c>
      <c r="L37" s="83"/>
      <c r="M37" s="81"/>
      <c r="N37" s="34" t="s">
        <v>1009</v>
      </c>
      <c r="O37" s="76" t="s">
        <v>1679</v>
      </c>
      <c r="P37" s="77">
        <v>0</v>
      </c>
      <c r="Q37" s="57">
        <v>1</v>
      </c>
      <c r="R37" s="42">
        <v>3</v>
      </c>
      <c r="S37" s="69" t="str">
        <f>_xlfn.IFNA(IF(VLOOKUP(tabPontoPed[[#This Row],[CÓDIGO]],tabExcluirDoEstoque[#Data],1,FALSE),"sim",""),"")</f>
        <v/>
      </c>
      <c r="T37" s="43">
        <f>IF(AND(tabPontoPed[[#This Row],[MENSAL]]&gt;0,tabPontoPed[[#This Row],[CÁLCULO]]&gt;0), ABS( tabPontoPed[[#This Row],[MENSAL]] - tabPontoPed[[#This Row],[CÁLCULO]] ) / tabPontoPed[[#This Row],[MENSAL]], -1 )</f>
        <v>0.93877551020408168</v>
      </c>
      <c r="U37" s="58">
        <v>10</v>
      </c>
      <c r="V37" s="35">
        <f>IF(AND(tabPontoPed[[#This Row],[MENSAL]]&gt;0,tabPontoPed[[#This Row],[CÁLCULO]]&gt;0), IF( tabPontoPed[[#This Row],[MENSAL]] - tabPontoPed[[#This Row],[CÁLCULO]] &lt; 0, -1, IF( tabPontoPed[[#This Row],[MENSAL]] - tabPontoPed[[#This Row],[CÁLCULO]] &gt; 0, 1, -8)), -9 )</f>
        <v>1</v>
      </c>
      <c r="W37" s="35"/>
      <c r="X37" s="48" t="s">
        <v>1564</v>
      </c>
      <c r="Y37" s="53">
        <v>44391.599108796298</v>
      </c>
      <c r="Z37" s="72">
        <f>tabPontoPed[CÁLC_4M] - tabPontoPed[CÁLCULO]</f>
        <v>-2</v>
      </c>
      <c r="AA37" s="79" t="str">
        <f>IF(tabPontoPed[MENSAL]-tabPontoPed[ATA MENSAL] = 0,"sim","")</f>
        <v/>
      </c>
      <c r="AB37" s="79"/>
      <c r="AC37" s="47" t="str">
        <f t="shared" si="0"/>
        <v>*</v>
      </c>
    </row>
    <row r="38" spans="1:29" x14ac:dyDescent="0.25">
      <c r="A38" s="36">
        <v>138453</v>
      </c>
      <c r="B38" s="68" t="s">
        <v>1530</v>
      </c>
      <c r="C38" s="33">
        <v>1</v>
      </c>
      <c r="D38" s="32">
        <v>45</v>
      </c>
      <c r="E38" s="37">
        <v>11</v>
      </c>
      <c r="F38" s="38" t="str">
        <f>VLOOKUP(tabPontoPed[[#This Row],[GRUPO]],tabGrupos[#Data],2,FALSE)</f>
        <v>MAQ., EQUIP., COMP., ACES., MAT. PARA ESCRIT.E ESCOLAR</v>
      </c>
      <c r="G38" s="32" t="str">
        <f>VLOOKUP(tabPontoPed[[#This Row],[GRUPO]],tabGrupos[#Data],3,FALSE)</f>
        <v>EDU</v>
      </c>
      <c r="H38" s="33" t="s">
        <v>1311</v>
      </c>
      <c r="I38" s="80">
        <v>4</v>
      </c>
      <c r="J38" s="39">
        <v>1704</v>
      </c>
      <c r="K38" s="41">
        <f>tabPontoPed[[#This Row],[QTDMÊS]] * tabPontoPed[[#This Row],[MENSAL]]</f>
        <v>6816</v>
      </c>
      <c r="L38" s="83"/>
      <c r="M38" s="81"/>
      <c r="N38" s="34" t="s">
        <v>1009</v>
      </c>
      <c r="O38" s="76"/>
      <c r="P38" s="77">
        <v>0</v>
      </c>
      <c r="Q38" s="57">
        <v>194</v>
      </c>
      <c r="R38" s="42">
        <v>112</v>
      </c>
      <c r="S38" s="69" t="str">
        <f>_xlfn.IFNA(IF(VLOOKUP(tabPontoPed[[#This Row],[CÓDIGO]],tabExcluirDoEstoque[#Data],1,FALSE),"sim",""),"")</f>
        <v/>
      </c>
      <c r="T38" s="43">
        <f>IF(AND(tabPontoPed[[#This Row],[MENSAL]]&gt;0,tabPontoPed[[#This Row],[CÁLCULO]]&gt;0), ABS( tabPontoPed[[#This Row],[MENSAL]] - tabPontoPed[[#This Row],[CÁLCULO]] ) / tabPontoPed[[#This Row],[MENSAL]], -1 )</f>
        <v>0.93427230046948362</v>
      </c>
      <c r="U38" s="58">
        <v>276</v>
      </c>
      <c r="V38" s="35">
        <f>IF(AND(tabPontoPed[[#This Row],[MENSAL]]&gt;0,tabPontoPed[[#This Row],[CÁLCULO]]&gt;0), IF( tabPontoPed[[#This Row],[MENSAL]] - tabPontoPed[[#This Row],[CÁLCULO]] &lt; 0, -1, IF( tabPontoPed[[#This Row],[MENSAL]] - tabPontoPed[[#This Row],[CÁLCULO]] &gt; 0, 1, -8)), -9 )</f>
        <v>1</v>
      </c>
      <c r="W38" s="35"/>
      <c r="X38" s="49" t="s">
        <v>1564</v>
      </c>
      <c r="Y38" s="51">
        <v>44391.599108796298</v>
      </c>
      <c r="Z38" s="72">
        <f>tabPontoPed[CÁLC_4M] - tabPontoPed[CÁLCULO]</f>
        <v>82</v>
      </c>
      <c r="AA38" s="79" t="str">
        <f>IF(tabPontoPed[MENSAL]-tabPontoPed[ATA MENSAL] = 0,"sim","")</f>
        <v/>
      </c>
      <c r="AB38" s="79"/>
      <c r="AC38" s="47" t="str">
        <f t="shared" si="0"/>
        <v>*</v>
      </c>
    </row>
    <row r="39" spans="1:29" x14ac:dyDescent="0.25">
      <c r="A39" s="36">
        <v>114299</v>
      </c>
      <c r="B39" s="68" t="s">
        <v>528</v>
      </c>
      <c r="C39" s="33" t="s">
        <v>1317</v>
      </c>
      <c r="D39" s="32">
        <v>51</v>
      </c>
      <c r="E39" s="37">
        <v>17</v>
      </c>
      <c r="F39" s="38" t="str">
        <f>VLOOKUP(tabPontoPed[[#This Row],[GRUPO]],tabGrupos[#Data],2,FALSE)</f>
        <v>MAT.E EQUIP. P/ CONSTR.CIVIL E CONSERV. DE VIAS PUBL.</v>
      </c>
      <c r="G39" s="32" t="str">
        <f>VLOOKUP(tabPontoPed[[#This Row],[GRUPO]],tabGrupos[#Data],3,FALSE)</f>
        <v>MCO</v>
      </c>
      <c r="H39" s="33" t="s">
        <v>1311</v>
      </c>
      <c r="I39" s="80">
        <v>4</v>
      </c>
      <c r="J39" s="39">
        <v>15</v>
      </c>
      <c r="K39" s="41">
        <f>tabPontoPed[[#This Row],[QTDMÊS]] * tabPontoPed[[#This Row],[MENSAL]]</f>
        <v>60</v>
      </c>
      <c r="L39" s="83"/>
      <c r="M39" s="81"/>
      <c r="N39" s="34" t="s">
        <v>1009</v>
      </c>
      <c r="O39" s="76" t="s">
        <v>1689</v>
      </c>
      <c r="P39" s="77">
        <v>0</v>
      </c>
      <c r="Q39" s="57">
        <v>1</v>
      </c>
      <c r="R39" s="42">
        <v>1</v>
      </c>
      <c r="S39" s="69" t="str">
        <f>_xlfn.IFNA(IF(VLOOKUP(tabPontoPed[[#This Row],[CÓDIGO]],tabExcluirDoEstoque[#Data],1,FALSE),"sim",""),"")</f>
        <v/>
      </c>
      <c r="T39" s="43">
        <f>IF(AND(tabPontoPed[[#This Row],[MENSAL]]&gt;0,tabPontoPed[[#This Row],[CÁLCULO]]&gt;0), ABS( tabPontoPed[[#This Row],[MENSAL]] - tabPontoPed[[#This Row],[CÁLCULO]] ) / tabPontoPed[[#This Row],[MENSAL]], -1 )</f>
        <v>0.93333333333333335</v>
      </c>
      <c r="U39" s="58">
        <v>3</v>
      </c>
      <c r="V39" s="35">
        <f>IF(AND(tabPontoPed[[#This Row],[MENSAL]]&gt;0,tabPontoPed[[#This Row],[CÁLCULO]]&gt;0), IF( tabPontoPed[[#This Row],[MENSAL]] - tabPontoPed[[#This Row],[CÁLCULO]] &lt; 0, -1, IF( tabPontoPed[[#This Row],[MENSAL]] - tabPontoPed[[#This Row],[CÁLCULO]] &gt; 0, 1, -8)), -9 )</f>
        <v>1</v>
      </c>
      <c r="W39" s="35"/>
      <c r="X39" s="49" t="s">
        <v>1564</v>
      </c>
      <c r="Y39" s="51">
        <v>44391.599108796298</v>
      </c>
      <c r="Z39" s="72">
        <f>tabPontoPed[CÁLC_4M] - tabPontoPed[CÁLCULO]</f>
        <v>0</v>
      </c>
      <c r="AA39" s="79" t="str">
        <f>IF(tabPontoPed[MENSAL]-tabPontoPed[ATA MENSAL] = 0,"sim","")</f>
        <v/>
      </c>
      <c r="AB39" s="79"/>
      <c r="AC39" s="47" t="str">
        <f t="shared" si="0"/>
        <v>*</v>
      </c>
    </row>
    <row r="40" spans="1:29" x14ac:dyDescent="0.25">
      <c r="A40" s="36">
        <v>102277</v>
      </c>
      <c r="B40" s="68" t="s">
        <v>725</v>
      </c>
      <c r="C40" s="33" t="s">
        <v>1317</v>
      </c>
      <c r="D40" s="32">
        <v>61</v>
      </c>
      <c r="E40" s="37">
        <v>3</v>
      </c>
      <c r="F40" s="38" t="str">
        <f>VLOOKUP(tabPontoPed[[#This Row],[GRUPO]],tabGrupos[#Data],2,FALSE)</f>
        <v>MATERIAL HIDRAULICO, CANOS, TUBOS, MANGUEIRAS, CONEXOES E ACESS.</v>
      </c>
      <c r="G40" s="32" t="str">
        <f>VLOOKUP(tabPontoPed[[#This Row],[GRUPO]],tabGrupos[#Data],3,FALSE)</f>
        <v>MHI</v>
      </c>
      <c r="H40" s="33" t="s">
        <v>1311</v>
      </c>
      <c r="I40" s="80">
        <v>4</v>
      </c>
      <c r="J40" s="39">
        <v>15</v>
      </c>
      <c r="K40" s="41">
        <f>tabPontoPed[[#This Row],[QTDMÊS]] * tabPontoPed[[#This Row],[MENSAL]]</f>
        <v>60</v>
      </c>
      <c r="L40" s="83"/>
      <c r="M40" s="81"/>
      <c r="N40" s="34" t="s">
        <v>1009</v>
      </c>
      <c r="O40" s="76" t="s">
        <v>1688</v>
      </c>
      <c r="P40" s="77">
        <v>0</v>
      </c>
      <c r="Q40" s="57">
        <v>2</v>
      </c>
      <c r="R40" s="42">
        <v>1</v>
      </c>
      <c r="S40" s="69" t="str">
        <f>_xlfn.IFNA(IF(VLOOKUP(tabPontoPed[[#This Row],[CÓDIGO]],tabExcluirDoEstoque[#Data],1,FALSE),"sim",""),"")</f>
        <v/>
      </c>
      <c r="T40" s="43">
        <f>IF(AND(tabPontoPed[[#This Row],[MENSAL]]&gt;0,tabPontoPed[[#This Row],[CÁLCULO]]&gt;0), ABS( tabPontoPed[[#This Row],[MENSAL]] - tabPontoPed[[#This Row],[CÁLCULO]] ) / tabPontoPed[[#This Row],[MENSAL]], -1 )</f>
        <v>0.93333333333333335</v>
      </c>
      <c r="U40" s="58">
        <v>6</v>
      </c>
      <c r="V40" s="35">
        <f>IF(AND(tabPontoPed[[#This Row],[MENSAL]]&gt;0,tabPontoPed[[#This Row],[CÁLCULO]]&gt;0), IF( tabPontoPed[[#This Row],[MENSAL]] - tabPontoPed[[#This Row],[CÁLCULO]] &lt; 0, -1, IF( tabPontoPed[[#This Row],[MENSAL]] - tabPontoPed[[#This Row],[CÁLCULO]] &gt; 0, 1, -8)), -9 )</f>
        <v>1</v>
      </c>
      <c r="W40" s="35"/>
      <c r="X40" s="49" t="s">
        <v>1564</v>
      </c>
      <c r="Y40" s="51">
        <v>44391.599108796298</v>
      </c>
      <c r="Z40" s="72">
        <f>tabPontoPed[CÁLC_4M] - tabPontoPed[CÁLCULO]</f>
        <v>1</v>
      </c>
      <c r="AA40" s="79" t="str">
        <f>IF(tabPontoPed[MENSAL]-tabPontoPed[ATA MENSAL] = 0,"sim","")</f>
        <v/>
      </c>
      <c r="AB40" s="79" t="s">
        <v>1614</v>
      </c>
      <c r="AC40" s="47" t="str">
        <f t="shared" si="0"/>
        <v>*</v>
      </c>
    </row>
    <row r="41" spans="1:29" x14ac:dyDescent="0.25">
      <c r="A41" s="36">
        <v>121054</v>
      </c>
      <c r="B41" s="68" t="s">
        <v>728</v>
      </c>
      <c r="C41" s="33" t="s">
        <v>1317</v>
      </c>
      <c r="D41" s="32">
        <v>61</v>
      </c>
      <c r="E41" s="37">
        <v>3</v>
      </c>
      <c r="F41" s="38" t="str">
        <f>VLOOKUP(tabPontoPed[[#This Row],[GRUPO]],tabGrupos[#Data],2,FALSE)</f>
        <v>MATERIAL HIDRAULICO, CANOS, TUBOS, MANGUEIRAS, CONEXOES E ACESS.</v>
      </c>
      <c r="G41" s="32" t="str">
        <f>VLOOKUP(tabPontoPed[[#This Row],[GRUPO]],tabGrupos[#Data],3,FALSE)</f>
        <v>MHI</v>
      </c>
      <c r="H41" s="33" t="s">
        <v>1311</v>
      </c>
      <c r="I41" s="80">
        <v>4</v>
      </c>
      <c r="J41" s="39">
        <v>15</v>
      </c>
      <c r="K41" s="41">
        <f>tabPontoPed[[#This Row],[QTDMÊS]] * tabPontoPed[[#This Row],[MENSAL]]</f>
        <v>60</v>
      </c>
      <c r="L41" s="83"/>
      <c r="M41" s="81"/>
      <c r="N41" s="34" t="s">
        <v>1009</v>
      </c>
      <c r="O41" s="76" t="s">
        <v>1689</v>
      </c>
      <c r="P41" s="77">
        <v>0</v>
      </c>
      <c r="Q41" s="57">
        <v>0</v>
      </c>
      <c r="R41" s="42">
        <v>1</v>
      </c>
      <c r="S41" s="69" t="str">
        <f>_xlfn.IFNA(IF(VLOOKUP(tabPontoPed[[#This Row],[CÓDIGO]],tabExcluirDoEstoque[#Data],1,FALSE),"sim",""),"")</f>
        <v/>
      </c>
      <c r="T41" s="43">
        <f>IF(AND(tabPontoPed[[#This Row],[MENSAL]]&gt;0,tabPontoPed[[#This Row],[CÁLCULO]]&gt;0), ABS( tabPontoPed[[#This Row],[MENSAL]] - tabPontoPed[[#This Row],[CÁLCULO]] ) / tabPontoPed[[#This Row],[MENSAL]], -1 )</f>
        <v>0.93333333333333335</v>
      </c>
      <c r="U41" s="58">
        <v>6</v>
      </c>
      <c r="V41" s="35">
        <f>IF(AND(tabPontoPed[[#This Row],[MENSAL]]&gt;0,tabPontoPed[[#This Row],[CÁLCULO]]&gt;0), IF( tabPontoPed[[#This Row],[MENSAL]] - tabPontoPed[[#This Row],[CÁLCULO]] &lt; 0, -1, IF( tabPontoPed[[#This Row],[MENSAL]] - tabPontoPed[[#This Row],[CÁLCULO]] &gt; 0, 1, -8)), -9 )</f>
        <v>1</v>
      </c>
      <c r="W41" s="35"/>
      <c r="X41" s="49" t="s">
        <v>1564</v>
      </c>
      <c r="Y41" s="51">
        <v>44391.599108796298</v>
      </c>
      <c r="Z41" s="72">
        <f>tabPontoPed[CÁLC_4M] - tabPontoPed[CÁLCULO]</f>
        <v>-1</v>
      </c>
      <c r="AA41" s="79" t="str">
        <f>IF(tabPontoPed[MENSAL]-tabPontoPed[ATA MENSAL] = 0,"sim","")</f>
        <v/>
      </c>
      <c r="AB41" s="79"/>
      <c r="AC41" s="47" t="str">
        <f t="shared" si="0"/>
        <v>*</v>
      </c>
    </row>
    <row r="42" spans="1:29" x14ac:dyDescent="0.25">
      <c r="A42" s="36">
        <v>49695</v>
      </c>
      <c r="B42" s="68" t="s">
        <v>503</v>
      </c>
      <c r="C42" s="33" t="s">
        <v>1317</v>
      </c>
      <c r="D42" s="32">
        <v>51</v>
      </c>
      <c r="E42" s="37">
        <v>8</v>
      </c>
      <c r="F42" s="38" t="str">
        <f>VLOOKUP(tabPontoPed[[#This Row],[GRUPO]],tabGrupos[#Data],2,FALSE)</f>
        <v>MAT.E EQUIP. P/ CONSTR.CIVIL E CONSERV. DE VIAS PUBL.</v>
      </c>
      <c r="G42" s="32" t="str">
        <f>VLOOKUP(tabPontoPed[[#This Row],[GRUPO]],tabGrupos[#Data],3,FALSE)</f>
        <v>MCO</v>
      </c>
      <c r="H42" s="33" t="s">
        <v>1311</v>
      </c>
      <c r="I42" s="80">
        <v>4</v>
      </c>
      <c r="J42" s="39">
        <v>84</v>
      </c>
      <c r="K42" s="41">
        <f>tabPontoPed[[#This Row],[QTDMÊS]] * tabPontoPed[[#This Row],[MENSAL]]</f>
        <v>336</v>
      </c>
      <c r="L42" s="83"/>
      <c r="M42" s="81"/>
      <c r="N42" s="34" t="s">
        <v>1009</v>
      </c>
      <c r="O42" s="76" t="s">
        <v>1695</v>
      </c>
      <c r="P42" s="77">
        <v>0</v>
      </c>
      <c r="Q42" s="57">
        <v>15</v>
      </c>
      <c r="R42" s="42">
        <v>6</v>
      </c>
      <c r="S42" s="69" t="str">
        <f>_xlfn.IFNA(IF(VLOOKUP(tabPontoPed[[#This Row],[CÓDIGO]],tabExcluirDoEstoque[#Data],1,FALSE),"sim",""),"")</f>
        <v/>
      </c>
      <c r="T42" s="43">
        <f>IF(AND(tabPontoPed[[#This Row],[MENSAL]]&gt;0,tabPontoPed[[#This Row],[CÁLCULO]]&gt;0), ABS( tabPontoPed[[#This Row],[MENSAL]] - tabPontoPed[[#This Row],[CÁLCULO]] ) / tabPontoPed[[#This Row],[MENSAL]], -1 )</f>
        <v>0.9285714285714286</v>
      </c>
      <c r="U42" s="58">
        <v>54</v>
      </c>
      <c r="V42" s="35">
        <f>IF(AND(tabPontoPed[[#This Row],[MENSAL]]&gt;0,tabPontoPed[[#This Row],[CÁLCULO]]&gt;0), IF( tabPontoPed[[#This Row],[MENSAL]] - tabPontoPed[[#This Row],[CÁLCULO]] &lt; 0, -1, IF( tabPontoPed[[#This Row],[MENSAL]] - tabPontoPed[[#This Row],[CÁLCULO]] &gt; 0, 1, -8)), -9 )</f>
        <v>1</v>
      </c>
      <c r="W42" s="35"/>
      <c r="X42" s="49" t="s">
        <v>1564</v>
      </c>
      <c r="Y42" s="51">
        <v>44391.599108796298</v>
      </c>
      <c r="Z42" s="72">
        <f>tabPontoPed[CÁLC_4M] - tabPontoPed[CÁLCULO]</f>
        <v>9</v>
      </c>
      <c r="AA42" s="79" t="str">
        <f>IF(tabPontoPed[MENSAL]-tabPontoPed[ATA MENSAL] = 0,"sim","")</f>
        <v/>
      </c>
      <c r="AB42" s="79" t="s">
        <v>1614</v>
      </c>
      <c r="AC42" s="47" t="str">
        <f t="shared" si="0"/>
        <v>*</v>
      </c>
    </row>
    <row r="43" spans="1:29" x14ac:dyDescent="0.25">
      <c r="A43" s="36">
        <v>134545</v>
      </c>
      <c r="B43" s="68" t="s">
        <v>239</v>
      </c>
      <c r="C43" s="33" t="s">
        <v>1317</v>
      </c>
      <c r="D43" s="32">
        <v>51</v>
      </c>
      <c r="E43" s="37">
        <v>19</v>
      </c>
      <c r="F43" s="38" t="str">
        <f>VLOOKUP(tabPontoPed[[#This Row],[GRUPO]],tabGrupos[#Data],2,FALSE)</f>
        <v>MAT.E EQUIP. P/ CONSTR.CIVIL E CONSERV. DE VIAS PUBL.</v>
      </c>
      <c r="G43" s="32" t="str">
        <f>VLOOKUP(tabPontoPed[[#This Row],[GRUPO]],tabGrupos[#Data],3,FALSE)</f>
        <v>MCO</v>
      </c>
      <c r="H43" s="33" t="s">
        <v>1311</v>
      </c>
      <c r="I43" s="80">
        <v>4</v>
      </c>
      <c r="J43" s="39">
        <v>83</v>
      </c>
      <c r="K43" s="41">
        <f>tabPontoPed[[#This Row],[QTDMÊS]] * tabPontoPed[[#This Row],[MENSAL]]</f>
        <v>332</v>
      </c>
      <c r="L43" s="83"/>
      <c r="M43" s="81"/>
      <c r="N43" s="34" t="s">
        <v>1009</v>
      </c>
      <c r="O43" s="76" t="s">
        <v>1665</v>
      </c>
      <c r="P43" s="77">
        <v>0</v>
      </c>
      <c r="Q43" s="57">
        <v>2</v>
      </c>
      <c r="R43" s="42">
        <v>6</v>
      </c>
      <c r="S43" s="69" t="str">
        <f>_xlfn.IFNA(IF(VLOOKUP(tabPontoPed[[#This Row],[CÓDIGO]],tabExcluirDoEstoque[#Data],1,FALSE),"sim",""),"")</f>
        <v/>
      </c>
      <c r="T43" s="43">
        <f>IF(AND(tabPontoPed[[#This Row],[MENSAL]]&gt;0,tabPontoPed[[#This Row],[CÁLCULO]]&gt;0), ABS( tabPontoPed[[#This Row],[MENSAL]] - tabPontoPed[[#This Row],[CÁLCULO]] ) / tabPontoPed[[#This Row],[MENSAL]], -1 )</f>
        <v>0.92771084337349397</v>
      </c>
      <c r="U43" s="58">
        <v>34</v>
      </c>
      <c r="V43" s="35">
        <f>IF(AND(tabPontoPed[[#This Row],[MENSAL]]&gt;0,tabPontoPed[[#This Row],[CÁLCULO]]&gt;0), IF( tabPontoPed[[#This Row],[MENSAL]] - tabPontoPed[[#This Row],[CÁLCULO]] &lt; 0, -1, IF( tabPontoPed[[#This Row],[MENSAL]] - tabPontoPed[[#This Row],[CÁLCULO]] &gt; 0, 1, -8)), -9 )</f>
        <v>1</v>
      </c>
      <c r="W43" s="35"/>
      <c r="X43" s="49" t="s">
        <v>1564</v>
      </c>
      <c r="Y43" s="51">
        <v>44391.599108796298</v>
      </c>
      <c r="Z43" s="72">
        <f>tabPontoPed[CÁLC_4M] - tabPontoPed[CÁLCULO]</f>
        <v>-4</v>
      </c>
      <c r="AA43" s="79" t="str">
        <f>IF(tabPontoPed[MENSAL]-tabPontoPed[ATA MENSAL] = 0,"sim","")</f>
        <v/>
      </c>
      <c r="AB43" s="79"/>
      <c r="AC43" s="47" t="str">
        <f t="shared" si="0"/>
        <v>*</v>
      </c>
    </row>
    <row r="44" spans="1:29" x14ac:dyDescent="0.25">
      <c r="A44" s="36">
        <v>64607</v>
      </c>
      <c r="B44" s="68" t="s">
        <v>258</v>
      </c>
      <c r="C44" s="33" t="s">
        <v>1317</v>
      </c>
      <c r="D44" s="32">
        <v>69</v>
      </c>
      <c r="E44" s="37">
        <v>3</v>
      </c>
      <c r="F44" s="38" t="str">
        <f>VLOOKUP(tabPontoPed[[#This Row],[GRUPO]],tabGrupos[#Data],2,FALSE)</f>
        <v>METAIS,LAMINAD.,PERFILADOS E ARTEFATOS METALICOS</v>
      </c>
      <c r="G44" s="32" t="str">
        <f>VLOOKUP(tabPontoPed[[#This Row],[GRUPO]],tabGrupos[#Data],3,FALSE)</f>
        <v>MSE</v>
      </c>
      <c r="H44" s="33" t="s">
        <v>1311</v>
      </c>
      <c r="I44" s="80">
        <v>4</v>
      </c>
      <c r="J44" s="39">
        <v>27</v>
      </c>
      <c r="K44" s="41">
        <f>tabPontoPed[[#This Row],[QTDMÊS]] * tabPontoPed[[#This Row],[MENSAL]]</f>
        <v>108</v>
      </c>
      <c r="L44" s="83"/>
      <c r="M44" s="81"/>
      <c r="N44" s="34" t="s">
        <v>1009</v>
      </c>
      <c r="O44" s="76" t="s">
        <v>1673</v>
      </c>
      <c r="P44" s="77">
        <v>0</v>
      </c>
      <c r="Q44" s="57">
        <v>89</v>
      </c>
      <c r="R44" s="42">
        <v>52</v>
      </c>
      <c r="S44" s="69" t="str">
        <f>_xlfn.IFNA(IF(VLOOKUP(tabPontoPed[[#This Row],[CÓDIGO]],tabExcluirDoEstoque[#Data],1,FALSE),"sim",""),"")</f>
        <v/>
      </c>
      <c r="T44" s="43">
        <f>IF(AND(tabPontoPed[[#This Row],[MENSAL]]&gt;0,tabPontoPed[[#This Row],[CÁLCULO]]&gt;0), ABS( tabPontoPed[[#This Row],[MENSAL]] - tabPontoPed[[#This Row],[CÁLCULO]] ) / tabPontoPed[[#This Row],[MENSAL]], -1 )</f>
        <v>0.92592592592592593</v>
      </c>
      <c r="U44" s="58">
        <v>184</v>
      </c>
      <c r="V44" s="35">
        <f>IF(AND(tabPontoPed[[#This Row],[MENSAL]]&gt;0,tabPontoPed[[#This Row],[CÁLCULO]]&gt;0), IF( tabPontoPed[[#This Row],[MENSAL]] - tabPontoPed[[#This Row],[CÁLCULO]] &lt; 0, -1, IF( tabPontoPed[[#This Row],[MENSAL]] - tabPontoPed[[#This Row],[CÁLCULO]] &gt; 0, 1, -8)), -9 )</f>
        <v>-1</v>
      </c>
      <c r="W44" s="35"/>
      <c r="X44" s="49" t="s">
        <v>1564</v>
      </c>
      <c r="Y44" s="51">
        <v>44391.599108796298</v>
      </c>
      <c r="Z44" s="72">
        <f>tabPontoPed[CÁLC_4M] - tabPontoPed[CÁLCULO]</f>
        <v>37</v>
      </c>
      <c r="AA44" s="79" t="str">
        <f>IF(tabPontoPed[MENSAL]-tabPontoPed[ATA MENSAL] = 0,"sim","")</f>
        <v/>
      </c>
      <c r="AB44" s="79"/>
      <c r="AC44" s="47" t="str">
        <f t="shared" si="0"/>
        <v>*</v>
      </c>
    </row>
    <row r="45" spans="1:29" x14ac:dyDescent="0.25">
      <c r="A45" s="36">
        <v>138450</v>
      </c>
      <c r="B45" s="68" t="s">
        <v>1522</v>
      </c>
      <c r="C45" s="33">
        <v>1</v>
      </c>
      <c r="D45" s="32">
        <v>45</v>
      </c>
      <c r="E45" s="37">
        <v>9</v>
      </c>
      <c r="F45" s="38" t="str">
        <f>VLOOKUP(tabPontoPed[[#This Row],[GRUPO]],tabGrupos[#Data],2,FALSE)</f>
        <v>MAQ., EQUIP., COMP., ACES., MAT. PARA ESCRIT.E ESCOLAR</v>
      </c>
      <c r="G45" s="32" t="str">
        <f>VLOOKUP(tabPontoPed[[#This Row],[GRUPO]],tabGrupos[#Data],3,FALSE)</f>
        <v>EDU</v>
      </c>
      <c r="H45" s="33" t="s">
        <v>1311</v>
      </c>
      <c r="I45" s="80">
        <v>4</v>
      </c>
      <c r="J45" s="39">
        <v>1748</v>
      </c>
      <c r="K45" s="41">
        <f>tabPontoPed[[#This Row],[QTDMÊS]] * tabPontoPed[[#This Row],[MENSAL]]</f>
        <v>6992</v>
      </c>
      <c r="L45" s="83"/>
      <c r="M45" s="81"/>
      <c r="N45" s="34" t="s">
        <v>1009</v>
      </c>
      <c r="O45" s="76"/>
      <c r="P45" s="77">
        <v>0</v>
      </c>
      <c r="Q45" s="57">
        <v>220</v>
      </c>
      <c r="R45" s="42">
        <v>130</v>
      </c>
      <c r="S45" s="69" t="str">
        <f>_xlfn.IFNA(IF(VLOOKUP(tabPontoPed[[#This Row],[CÓDIGO]],tabExcluirDoEstoque[#Data],1,FALSE),"sim",""),"")</f>
        <v/>
      </c>
      <c r="T45" s="43">
        <f>IF(AND(tabPontoPed[[#This Row],[MENSAL]]&gt;0,tabPontoPed[[#This Row],[CÁLCULO]]&gt;0), ABS( tabPontoPed[[#This Row],[MENSAL]] - tabPontoPed[[#This Row],[CÁLCULO]] ) / tabPontoPed[[#This Row],[MENSAL]], -1 )</f>
        <v>0.92562929061784893</v>
      </c>
      <c r="U45" s="58">
        <v>295</v>
      </c>
      <c r="V45" s="35">
        <f>IF(AND(tabPontoPed[[#This Row],[MENSAL]]&gt;0,tabPontoPed[[#This Row],[CÁLCULO]]&gt;0), IF( tabPontoPed[[#This Row],[MENSAL]] - tabPontoPed[[#This Row],[CÁLCULO]] &lt; 0, -1, IF( tabPontoPed[[#This Row],[MENSAL]] - tabPontoPed[[#This Row],[CÁLCULO]] &gt; 0, 1, -8)), -9 )</f>
        <v>1</v>
      </c>
      <c r="W45" s="35"/>
      <c r="X45" s="49" t="s">
        <v>1564</v>
      </c>
      <c r="Y45" s="51">
        <v>44391.599108796298</v>
      </c>
      <c r="Z45" s="72">
        <f>tabPontoPed[CÁLC_4M] - tabPontoPed[CÁLCULO]</f>
        <v>90</v>
      </c>
      <c r="AA45" s="79" t="str">
        <f>IF(tabPontoPed[MENSAL]-tabPontoPed[ATA MENSAL] = 0,"sim","")</f>
        <v/>
      </c>
      <c r="AB45" s="79"/>
      <c r="AC45" s="47" t="str">
        <f t="shared" si="0"/>
        <v>*</v>
      </c>
    </row>
    <row r="46" spans="1:29" x14ac:dyDescent="0.25">
      <c r="A46" s="36">
        <v>36031</v>
      </c>
      <c r="B46" s="68" t="s">
        <v>843</v>
      </c>
      <c r="C46" s="33" t="s">
        <v>1317</v>
      </c>
      <c r="D46" s="32">
        <v>67</v>
      </c>
      <c r="E46" s="37">
        <v>6</v>
      </c>
      <c r="F46" s="38" t="str">
        <f>VLOOKUP(tabPontoPed[[#This Row],[GRUPO]],tabGrupos[#Data],2,FALSE)</f>
        <v>PARAFUSOS ELEM. VEDACAO UNIAO CONEX . FIXACAO</v>
      </c>
      <c r="G46" s="32" t="str">
        <f>VLOOKUP(tabPontoPed[[#This Row],[GRUPO]],tabGrupos[#Data],3,FALSE)</f>
        <v>MSE</v>
      </c>
      <c r="H46" s="33" t="s">
        <v>1311</v>
      </c>
      <c r="I46" s="80">
        <v>4</v>
      </c>
      <c r="J46" s="39">
        <v>107</v>
      </c>
      <c r="K46" s="41">
        <f>tabPontoPed[[#This Row],[QTDMÊS]] * tabPontoPed[[#This Row],[MENSAL]]</f>
        <v>428</v>
      </c>
      <c r="L46" s="83"/>
      <c r="M46" s="81"/>
      <c r="N46" s="34" t="s">
        <v>1009</v>
      </c>
      <c r="O46" s="76"/>
      <c r="P46" s="77">
        <v>0</v>
      </c>
      <c r="Q46" s="57">
        <v>1</v>
      </c>
      <c r="R46" s="42">
        <v>8</v>
      </c>
      <c r="S46" s="69" t="str">
        <f>_xlfn.IFNA(IF(VLOOKUP(tabPontoPed[[#This Row],[CÓDIGO]],tabExcluirDoEstoque[#Data],1,FALSE),"sim",""),"")</f>
        <v/>
      </c>
      <c r="T46" s="43">
        <f>IF(AND(tabPontoPed[[#This Row],[MENSAL]]&gt;0,tabPontoPed[[#This Row],[CÁLCULO]]&gt;0), ABS( tabPontoPed[[#This Row],[MENSAL]] - tabPontoPed[[#This Row],[CÁLCULO]] ) / tabPontoPed[[#This Row],[MENSAL]], -1 )</f>
        <v>0.92523364485981308</v>
      </c>
      <c r="U46" s="58">
        <v>60</v>
      </c>
      <c r="V46" s="35">
        <f>IF(AND(tabPontoPed[[#This Row],[MENSAL]]&gt;0,tabPontoPed[[#This Row],[CÁLCULO]]&gt;0), IF( tabPontoPed[[#This Row],[MENSAL]] - tabPontoPed[[#This Row],[CÁLCULO]] &lt; 0, -1, IF( tabPontoPed[[#This Row],[MENSAL]] - tabPontoPed[[#This Row],[CÁLCULO]] &gt; 0, 1, -8)), -9 )</f>
        <v>1</v>
      </c>
      <c r="W46" s="35"/>
      <c r="X46" s="48" t="s">
        <v>1564</v>
      </c>
      <c r="Y46" s="53">
        <v>44391.599108796298</v>
      </c>
      <c r="Z46" s="72">
        <f>tabPontoPed[CÁLC_4M] - tabPontoPed[CÁLCULO]</f>
        <v>-7</v>
      </c>
      <c r="AA46" s="79" t="str">
        <f>IF(tabPontoPed[MENSAL]-tabPontoPed[ATA MENSAL] = 0,"sim","")</f>
        <v/>
      </c>
      <c r="AB46" s="79"/>
      <c r="AC46" s="47" t="str">
        <f t="shared" si="0"/>
        <v>*</v>
      </c>
    </row>
    <row r="47" spans="1:29" x14ac:dyDescent="0.25">
      <c r="A47" s="36">
        <v>139141</v>
      </c>
      <c r="B47" s="68" t="s">
        <v>1619</v>
      </c>
      <c r="C47" s="33">
        <v>1</v>
      </c>
      <c r="D47" s="32">
        <v>45</v>
      </c>
      <c r="E47" s="37">
        <v>9</v>
      </c>
      <c r="F47" s="38" t="str">
        <f>VLOOKUP(tabPontoPed[[#This Row],[GRUPO]],tabGrupos[#Data],2,FALSE)</f>
        <v>MAQ., EQUIP., COMP., ACES., MAT. PARA ESCRIT.E ESCOLAR</v>
      </c>
      <c r="G47" s="32" t="str">
        <f>VLOOKUP(tabPontoPed[[#This Row],[GRUPO]],tabGrupos[#Data],3,FALSE)</f>
        <v>EDU</v>
      </c>
      <c r="H47" s="33" t="s">
        <v>1311</v>
      </c>
      <c r="I47" s="80">
        <v>4</v>
      </c>
      <c r="J47" s="39">
        <v>5228</v>
      </c>
      <c r="K47" s="41">
        <f>tabPontoPed[[#This Row],[QTDMÊS]] * tabPontoPed[[#This Row],[MENSAL]]</f>
        <v>20912</v>
      </c>
      <c r="L47" s="83"/>
      <c r="M47" s="81"/>
      <c r="N47" s="34" t="s">
        <v>1009</v>
      </c>
      <c r="O47" s="76"/>
      <c r="P47" s="77">
        <v>0</v>
      </c>
      <c r="Q47" s="57">
        <v>74</v>
      </c>
      <c r="R47" s="42">
        <v>402</v>
      </c>
      <c r="S47" s="69" t="str">
        <f>_xlfn.IFNA(IF(VLOOKUP(tabPontoPed[[#This Row],[CÓDIGO]],tabExcluirDoEstoque[#Data],1,FALSE),"sim",""),"")</f>
        <v/>
      </c>
      <c r="T47" s="43">
        <f>IF(AND(tabPontoPed[[#This Row],[MENSAL]]&gt;0,tabPontoPed[[#This Row],[CÁLCULO]]&gt;0), ABS( tabPontoPed[[#This Row],[MENSAL]] - tabPontoPed[[#This Row],[CÁLCULO]] ) / tabPontoPed[[#This Row],[MENSAL]], -1 )</f>
        <v>0.92310635042081102</v>
      </c>
      <c r="U47" s="58">
        <v>3968</v>
      </c>
      <c r="V47" s="35">
        <f>IF(AND(tabPontoPed[[#This Row],[MENSAL]]&gt;0,tabPontoPed[[#This Row],[CÁLCULO]]&gt;0), IF( tabPontoPed[[#This Row],[MENSAL]] - tabPontoPed[[#This Row],[CÁLCULO]] &lt; 0, -1, IF( tabPontoPed[[#This Row],[MENSAL]] - tabPontoPed[[#This Row],[CÁLCULO]] &gt; 0, 1, -8)), -9 )</f>
        <v>1</v>
      </c>
      <c r="W47" s="35"/>
      <c r="X47" s="48" t="s">
        <v>1564</v>
      </c>
      <c r="Y47" s="53">
        <v>44391.599108796298</v>
      </c>
      <c r="Z47" s="72">
        <f>tabPontoPed[CÁLC_4M] - tabPontoPed[CÁLCULO]</f>
        <v>-328</v>
      </c>
      <c r="AA47" s="79" t="str">
        <f>IF(tabPontoPed[MENSAL]-tabPontoPed[ATA MENSAL] = 0,"sim","")</f>
        <v/>
      </c>
      <c r="AB47" s="79"/>
      <c r="AC47" s="47" t="str">
        <f t="shared" si="0"/>
        <v>*</v>
      </c>
    </row>
    <row r="48" spans="1:29" x14ac:dyDescent="0.25">
      <c r="A48" s="36">
        <v>114853</v>
      </c>
      <c r="B48" s="68" t="s">
        <v>223</v>
      </c>
      <c r="C48" s="33" t="s">
        <v>1317</v>
      </c>
      <c r="D48" s="32">
        <v>74</v>
      </c>
      <c r="E48" s="37">
        <v>3</v>
      </c>
      <c r="F48" s="38" t="str">
        <f>VLOOKUP(tabPontoPed[[#This Row],[GRUPO]],tabGrupos[#Data],2,FALSE)</f>
        <v>MADEIRAS,LAMINADOS,COMPENSADOS E AGLOMERADOS</v>
      </c>
      <c r="G48" s="32" t="str">
        <f>VLOOKUP(tabPontoPed[[#This Row],[GRUPO]],tabGrupos[#Data],3,FALSE)</f>
        <v>MCO</v>
      </c>
      <c r="H48" s="33" t="s">
        <v>1311</v>
      </c>
      <c r="I48" s="80">
        <v>4</v>
      </c>
      <c r="J48" s="39">
        <v>13</v>
      </c>
      <c r="K48" s="41">
        <f>tabPontoPed[[#This Row],[QTDMÊS]] * tabPontoPed[[#This Row],[MENSAL]]</f>
        <v>52</v>
      </c>
      <c r="L48" s="83"/>
      <c r="M48" s="81"/>
      <c r="N48" s="34" t="s">
        <v>1009</v>
      </c>
      <c r="O48" s="76" t="s">
        <v>1669</v>
      </c>
      <c r="P48" s="77">
        <v>0</v>
      </c>
      <c r="Q48" s="57">
        <v>0</v>
      </c>
      <c r="R48" s="42">
        <v>1</v>
      </c>
      <c r="S48" s="69" t="str">
        <f>_xlfn.IFNA(IF(VLOOKUP(tabPontoPed[[#This Row],[CÓDIGO]],tabExcluirDoEstoque[#Data],1,FALSE),"sim",""),"")</f>
        <v/>
      </c>
      <c r="T48" s="43">
        <f>IF(AND(tabPontoPed[[#This Row],[MENSAL]]&gt;0,tabPontoPed[[#This Row],[CÁLCULO]]&gt;0), ABS( tabPontoPed[[#This Row],[MENSAL]] - tabPontoPed[[#This Row],[CÁLCULO]] ) / tabPontoPed[[#This Row],[MENSAL]], -1 )</f>
        <v>0.92307692307692313</v>
      </c>
      <c r="U48" s="58">
        <v>7</v>
      </c>
      <c r="V48" s="35">
        <f>IF(AND(tabPontoPed[[#This Row],[MENSAL]]&gt;0,tabPontoPed[[#This Row],[CÁLCULO]]&gt;0), IF( tabPontoPed[[#This Row],[MENSAL]] - tabPontoPed[[#This Row],[CÁLCULO]] &lt; 0, -1, IF( tabPontoPed[[#This Row],[MENSAL]] - tabPontoPed[[#This Row],[CÁLCULO]] &gt; 0, 1, -8)), -9 )</f>
        <v>1</v>
      </c>
      <c r="W48" s="35"/>
      <c r="X48" s="49" t="s">
        <v>1564</v>
      </c>
      <c r="Y48" s="51">
        <v>44391.599108796298</v>
      </c>
      <c r="Z48" s="72">
        <f>tabPontoPed[CÁLC_4M] - tabPontoPed[CÁLCULO]</f>
        <v>-1</v>
      </c>
      <c r="AA48" s="79" t="str">
        <f>IF(tabPontoPed[MENSAL]-tabPontoPed[ATA MENSAL] = 0,"sim","")</f>
        <v/>
      </c>
      <c r="AB48" s="79"/>
      <c r="AC48" s="47" t="str">
        <f t="shared" si="0"/>
        <v>*</v>
      </c>
    </row>
    <row r="49" spans="1:29" x14ac:dyDescent="0.25">
      <c r="A49" s="36">
        <v>101868</v>
      </c>
      <c r="B49" s="68" t="s">
        <v>335</v>
      </c>
      <c r="C49" s="33" t="s">
        <v>1317</v>
      </c>
      <c r="D49" s="32">
        <v>61</v>
      </c>
      <c r="E49" s="37">
        <v>3</v>
      </c>
      <c r="F49" s="38" t="str">
        <f>VLOOKUP(tabPontoPed[[#This Row],[GRUPO]],tabGrupos[#Data],2,FALSE)</f>
        <v>MATERIAL HIDRAULICO, CANOS, TUBOS, MANGUEIRAS, CONEXOES E ACESS.</v>
      </c>
      <c r="G49" s="32" t="str">
        <f>VLOOKUP(tabPontoPed[[#This Row],[GRUPO]],tabGrupos[#Data],3,FALSE)</f>
        <v>MHI</v>
      </c>
      <c r="H49" s="33" t="s">
        <v>1311</v>
      </c>
      <c r="I49" s="80">
        <v>4</v>
      </c>
      <c r="J49" s="39">
        <v>13</v>
      </c>
      <c r="K49" s="41">
        <f>tabPontoPed[[#This Row],[QTDMÊS]] * tabPontoPed[[#This Row],[MENSAL]]</f>
        <v>52</v>
      </c>
      <c r="L49" s="83"/>
      <c r="M49" s="81"/>
      <c r="N49" s="34" t="s">
        <v>1009</v>
      </c>
      <c r="O49" s="76" t="s">
        <v>1668</v>
      </c>
      <c r="P49" s="77">
        <v>0</v>
      </c>
      <c r="Q49" s="57">
        <v>1</v>
      </c>
      <c r="R49" s="42">
        <v>1</v>
      </c>
      <c r="S49" s="69" t="str">
        <f>_xlfn.IFNA(IF(VLOOKUP(tabPontoPed[[#This Row],[CÓDIGO]],tabExcluirDoEstoque[#Data],1,FALSE),"sim",""),"")</f>
        <v/>
      </c>
      <c r="T49" s="43">
        <f>IF(AND(tabPontoPed[[#This Row],[MENSAL]]&gt;0,tabPontoPed[[#This Row],[CÁLCULO]]&gt;0), ABS( tabPontoPed[[#This Row],[MENSAL]] - tabPontoPed[[#This Row],[CÁLCULO]] ) / tabPontoPed[[#This Row],[MENSAL]], -1 )</f>
        <v>0.92307692307692313</v>
      </c>
      <c r="U49" s="58">
        <v>3</v>
      </c>
      <c r="V49" s="35">
        <f>IF(AND(tabPontoPed[[#This Row],[MENSAL]]&gt;0,tabPontoPed[[#This Row],[CÁLCULO]]&gt;0), IF( tabPontoPed[[#This Row],[MENSAL]] - tabPontoPed[[#This Row],[CÁLCULO]] &lt; 0, -1, IF( tabPontoPed[[#This Row],[MENSAL]] - tabPontoPed[[#This Row],[CÁLCULO]] &gt; 0, 1, -8)), -9 )</f>
        <v>1</v>
      </c>
      <c r="W49" s="35"/>
      <c r="X49" s="49" t="s">
        <v>1564</v>
      </c>
      <c r="Y49" s="51">
        <v>44391.599108796298</v>
      </c>
      <c r="Z49" s="72">
        <f>tabPontoPed[CÁLC_4M] - tabPontoPed[CÁLCULO]</f>
        <v>0</v>
      </c>
      <c r="AA49" s="79" t="str">
        <f>IF(tabPontoPed[MENSAL]-tabPontoPed[ATA MENSAL] = 0,"sim","")</f>
        <v/>
      </c>
      <c r="AB49" s="79" t="s">
        <v>1614</v>
      </c>
      <c r="AC49" s="47" t="str">
        <f t="shared" si="0"/>
        <v>*</v>
      </c>
    </row>
    <row r="50" spans="1:29" x14ac:dyDescent="0.25">
      <c r="A50" s="36">
        <v>139143</v>
      </c>
      <c r="B50" s="68" t="s">
        <v>1621</v>
      </c>
      <c r="C50" s="33">
        <v>1</v>
      </c>
      <c r="D50" s="32">
        <v>45</v>
      </c>
      <c r="E50" s="37">
        <v>9</v>
      </c>
      <c r="F50" s="38" t="str">
        <f>VLOOKUP(tabPontoPed[[#This Row],[GRUPO]],tabGrupos[#Data],2,FALSE)</f>
        <v>MAQ., EQUIP., COMP., ACES., MAT. PARA ESCRIT.E ESCOLAR</v>
      </c>
      <c r="G50" s="32" t="str">
        <f>VLOOKUP(tabPontoPed[[#This Row],[GRUPO]],tabGrupos[#Data],3,FALSE)</f>
        <v>EDU</v>
      </c>
      <c r="H50" s="33" t="s">
        <v>1311</v>
      </c>
      <c r="I50" s="80">
        <v>4</v>
      </c>
      <c r="J50" s="39">
        <v>5041</v>
      </c>
      <c r="K50" s="41">
        <f>tabPontoPed[[#This Row],[QTDMÊS]] * tabPontoPed[[#This Row],[MENSAL]]</f>
        <v>20164</v>
      </c>
      <c r="L50" s="83"/>
      <c r="M50" s="81"/>
      <c r="N50" s="34" t="s">
        <v>1009</v>
      </c>
      <c r="O50" s="76"/>
      <c r="P50" s="77">
        <v>0</v>
      </c>
      <c r="Q50" s="57">
        <v>72</v>
      </c>
      <c r="R50" s="42">
        <v>392</v>
      </c>
      <c r="S50" s="69" t="str">
        <f>_xlfn.IFNA(IF(VLOOKUP(tabPontoPed[[#This Row],[CÓDIGO]],tabExcluirDoEstoque[#Data],1,FALSE),"sim",""),"")</f>
        <v/>
      </c>
      <c r="T50" s="43">
        <f>IF(AND(tabPontoPed[[#This Row],[MENSAL]]&gt;0,tabPontoPed[[#This Row],[CÁLCULO]]&gt;0), ABS( tabPontoPed[[#This Row],[MENSAL]] - tabPontoPed[[#This Row],[CÁLCULO]] ) / tabPontoPed[[#This Row],[MENSAL]], -1 )</f>
        <v>0.92223765125967072</v>
      </c>
      <c r="U50" s="58">
        <v>3967</v>
      </c>
      <c r="V50" s="35">
        <f>IF(AND(tabPontoPed[[#This Row],[MENSAL]]&gt;0,tabPontoPed[[#This Row],[CÁLCULO]]&gt;0), IF( tabPontoPed[[#This Row],[MENSAL]] - tabPontoPed[[#This Row],[CÁLCULO]] &lt; 0, -1, IF( tabPontoPed[[#This Row],[MENSAL]] - tabPontoPed[[#This Row],[CÁLCULO]] &gt; 0, 1, -8)), -9 )</f>
        <v>1</v>
      </c>
      <c r="W50" s="35"/>
      <c r="X50" s="48" t="s">
        <v>1564</v>
      </c>
      <c r="Y50" s="53">
        <v>44391.599108796298</v>
      </c>
      <c r="Z50" s="72">
        <f>tabPontoPed[CÁLC_4M] - tabPontoPed[CÁLCULO]</f>
        <v>-320</v>
      </c>
      <c r="AA50" s="79" t="str">
        <f>IF(tabPontoPed[MENSAL]-tabPontoPed[ATA MENSAL] = 0,"sim","")</f>
        <v/>
      </c>
      <c r="AB50" s="79"/>
      <c r="AC50" s="47" t="str">
        <f t="shared" si="0"/>
        <v>*</v>
      </c>
    </row>
    <row r="51" spans="1:29" x14ac:dyDescent="0.25">
      <c r="A51" s="36">
        <v>139142</v>
      </c>
      <c r="B51" s="68" t="s">
        <v>1620</v>
      </c>
      <c r="C51" s="33">
        <v>1</v>
      </c>
      <c r="D51" s="32">
        <v>45</v>
      </c>
      <c r="E51" s="37">
        <v>9</v>
      </c>
      <c r="F51" s="38" t="str">
        <f>VLOOKUP(tabPontoPed[[#This Row],[GRUPO]],tabGrupos[#Data],2,FALSE)</f>
        <v>MAQ., EQUIP., COMP., ACES., MAT. PARA ESCRIT.E ESCOLAR</v>
      </c>
      <c r="G51" s="32" t="str">
        <f>VLOOKUP(tabPontoPed[[#This Row],[GRUPO]],tabGrupos[#Data],3,FALSE)</f>
        <v>EDU</v>
      </c>
      <c r="H51" s="33" t="s">
        <v>1311</v>
      </c>
      <c r="I51" s="80">
        <v>4</v>
      </c>
      <c r="J51" s="39">
        <v>5051</v>
      </c>
      <c r="K51" s="41">
        <f>tabPontoPed[[#This Row],[QTDMÊS]] * tabPontoPed[[#This Row],[MENSAL]]</f>
        <v>20204</v>
      </c>
      <c r="L51" s="83"/>
      <c r="M51" s="81"/>
      <c r="N51" s="34" t="s">
        <v>1009</v>
      </c>
      <c r="O51" s="76"/>
      <c r="P51" s="77">
        <v>0</v>
      </c>
      <c r="Q51" s="57">
        <v>74</v>
      </c>
      <c r="R51" s="42">
        <v>393</v>
      </c>
      <c r="S51" s="69" t="str">
        <f>_xlfn.IFNA(IF(VLOOKUP(tabPontoPed[[#This Row],[CÓDIGO]],tabExcluirDoEstoque[#Data],1,FALSE),"sim",""),"")</f>
        <v/>
      </c>
      <c r="T51" s="43">
        <f>IF(AND(tabPontoPed[[#This Row],[MENSAL]]&gt;0,tabPontoPed[[#This Row],[CÁLCULO]]&gt;0), ABS( tabPontoPed[[#This Row],[MENSAL]] - tabPontoPed[[#This Row],[CÁLCULO]] ) / tabPontoPed[[#This Row],[MENSAL]], -1 )</f>
        <v>0.92219362502474755</v>
      </c>
      <c r="U51" s="58">
        <v>3968</v>
      </c>
      <c r="V51" s="35">
        <f>IF(AND(tabPontoPed[[#This Row],[MENSAL]]&gt;0,tabPontoPed[[#This Row],[CÁLCULO]]&gt;0), IF( tabPontoPed[[#This Row],[MENSAL]] - tabPontoPed[[#This Row],[CÁLCULO]] &lt; 0, -1, IF( tabPontoPed[[#This Row],[MENSAL]] - tabPontoPed[[#This Row],[CÁLCULO]] &gt; 0, 1, -8)), -9 )</f>
        <v>1</v>
      </c>
      <c r="W51" s="35"/>
      <c r="X51" s="48" t="s">
        <v>1564</v>
      </c>
      <c r="Y51" s="53">
        <v>44391.599108796298</v>
      </c>
      <c r="Z51" s="72">
        <f>tabPontoPed[CÁLC_4M] - tabPontoPed[CÁLCULO]</f>
        <v>-319</v>
      </c>
      <c r="AA51" s="79" t="str">
        <f>IF(tabPontoPed[MENSAL]-tabPontoPed[ATA MENSAL] = 0,"sim","")</f>
        <v/>
      </c>
      <c r="AB51" s="79"/>
      <c r="AC51" s="47" t="str">
        <f t="shared" si="0"/>
        <v>*</v>
      </c>
    </row>
    <row r="52" spans="1:29" x14ac:dyDescent="0.25">
      <c r="A52" s="36">
        <v>13088</v>
      </c>
      <c r="B52" s="68" t="s">
        <v>157</v>
      </c>
      <c r="C52" s="33" t="s">
        <v>1317</v>
      </c>
      <c r="D52" s="32">
        <v>83</v>
      </c>
      <c r="E52" s="37">
        <v>2</v>
      </c>
      <c r="F52" s="38" t="str">
        <f>VLOOKUP(tabPontoPed[[#This Row],[GRUPO]],tabGrupos[#Data],2,FALSE)</f>
        <v>ABRASIVOS</v>
      </c>
      <c r="G52" s="32" t="str">
        <f>VLOOKUP(tabPontoPed[[#This Row],[GRUPO]],tabGrupos[#Data],3,FALSE)</f>
        <v>MAN</v>
      </c>
      <c r="H52" s="33" t="s">
        <v>1311</v>
      </c>
      <c r="I52" s="80">
        <v>4</v>
      </c>
      <c r="J52" s="39">
        <v>25</v>
      </c>
      <c r="K52" s="41">
        <f>tabPontoPed[[#This Row],[QTDMÊS]] * tabPontoPed[[#This Row],[MENSAL]]</f>
        <v>100</v>
      </c>
      <c r="L52" s="83"/>
      <c r="M52" s="81"/>
      <c r="N52" s="34" t="s">
        <v>1009</v>
      </c>
      <c r="O52" s="76" t="s">
        <v>1658</v>
      </c>
      <c r="P52" s="77">
        <v>0</v>
      </c>
      <c r="Q52" s="57">
        <v>5</v>
      </c>
      <c r="R52" s="42">
        <v>2</v>
      </c>
      <c r="S52" s="69" t="str">
        <f>_xlfn.IFNA(IF(VLOOKUP(tabPontoPed[[#This Row],[CÓDIGO]],tabExcluirDoEstoque[#Data],1,FALSE),"sim",""),"")</f>
        <v/>
      </c>
      <c r="T52" s="43">
        <f>IF(AND(tabPontoPed[[#This Row],[MENSAL]]&gt;0,tabPontoPed[[#This Row],[CÁLCULO]]&gt;0), ABS( tabPontoPed[[#This Row],[MENSAL]] - tabPontoPed[[#This Row],[CÁLCULO]] ) / tabPontoPed[[#This Row],[MENSAL]], -1 )</f>
        <v>0.92</v>
      </c>
      <c r="U52" s="58">
        <v>10</v>
      </c>
      <c r="V52" s="35">
        <f>IF(AND(tabPontoPed[[#This Row],[MENSAL]]&gt;0,tabPontoPed[[#This Row],[CÁLCULO]]&gt;0), IF( tabPontoPed[[#This Row],[MENSAL]] - tabPontoPed[[#This Row],[CÁLCULO]] &lt; 0, -1, IF( tabPontoPed[[#This Row],[MENSAL]] - tabPontoPed[[#This Row],[CÁLCULO]] &gt; 0, 1, -8)), -9 )</f>
        <v>1</v>
      </c>
      <c r="W52" s="35"/>
      <c r="X52" s="49" t="s">
        <v>1564</v>
      </c>
      <c r="Y52" s="51">
        <v>44391.599108796298</v>
      </c>
      <c r="Z52" s="72">
        <f>tabPontoPed[CÁLC_4M] - tabPontoPed[CÁLCULO]</f>
        <v>3</v>
      </c>
      <c r="AA52" s="79" t="str">
        <f>IF(tabPontoPed[MENSAL]-tabPontoPed[ATA MENSAL] = 0,"sim","")</f>
        <v/>
      </c>
      <c r="AB52" s="79" t="s">
        <v>1614</v>
      </c>
      <c r="AC52" s="47" t="str">
        <f t="shared" si="0"/>
        <v>*</v>
      </c>
    </row>
    <row r="53" spans="1:29" x14ac:dyDescent="0.25">
      <c r="A53" s="36">
        <v>138454</v>
      </c>
      <c r="B53" s="68" t="s">
        <v>1531</v>
      </c>
      <c r="C53" s="33">
        <v>1</v>
      </c>
      <c r="D53" s="32">
        <v>45</v>
      </c>
      <c r="E53" s="37">
        <v>11</v>
      </c>
      <c r="F53" s="38" t="str">
        <f>VLOOKUP(tabPontoPed[[#This Row],[GRUPO]],tabGrupos[#Data],2,FALSE)</f>
        <v>MAQ., EQUIP., COMP., ACES., MAT. PARA ESCRIT.E ESCOLAR</v>
      </c>
      <c r="G53" s="32" t="str">
        <f>VLOOKUP(tabPontoPed[[#This Row],[GRUPO]],tabGrupos[#Data],3,FALSE)</f>
        <v>EDU</v>
      </c>
      <c r="H53" s="33" t="s">
        <v>1311</v>
      </c>
      <c r="I53" s="80">
        <v>4</v>
      </c>
      <c r="J53" s="39">
        <v>8683</v>
      </c>
      <c r="K53" s="41">
        <f>tabPontoPed[[#This Row],[QTDMÊS]] * tabPontoPed[[#This Row],[MENSAL]]</f>
        <v>34732</v>
      </c>
      <c r="L53" s="83"/>
      <c r="M53" s="81"/>
      <c r="N53" s="34" t="s">
        <v>1009</v>
      </c>
      <c r="O53" s="76"/>
      <c r="P53" s="77">
        <v>0</v>
      </c>
      <c r="Q53" s="57">
        <v>128</v>
      </c>
      <c r="R53" s="42">
        <v>716</v>
      </c>
      <c r="S53" s="69" t="str">
        <f>_xlfn.IFNA(IF(VLOOKUP(tabPontoPed[[#This Row],[CÓDIGO]],tabExcluirDoEstoque[#Data],1,FALSE),"sim",""),"")</f>
        <v/>
      </c>
      <c r="T53" s="43">
        <f>IF(AND(tabPontoPed[[#This Row],[MENSAL]]&gt;0,tabPontoPed[[#This Row],[CÁLCULO]]&gt;0), ABS( tabPontoPed[[#This Row],[MENSAL]] - tabPontoPed[[#This Row],[CÁLCULO]] ) / tabPontoPed[[#This Row],[MENSAL]], -1 )</f>
        <v>0.91754002073016239</v>
      </c>
      <c r="U53" s="58">
        <v>7629</v>
      </c>
      <c r="V53" s="35">
        <f>IF(AND(tabPontoPed[[#This Row],[MENSAL]]&gt;0,tabPontoPed[[#This Row],[CÁLCULO]]&gt;0), IF( tabPontoPed[[#This Row],[MENSAL]] - tabPontoPed[[#This Row],[CÁLCULO]] &lt; 0, -1, IF( tabPontoPed[[#This Row],[MENSAL]] - tabPontoPed[[#This Row],[CÁLCULO]] &gt; 0, 1, -8)), -9 )</f>
        <v>1</v>
      </c>
      <c r="W53" s="35"/>
      <c r="X53" s="49" t="s">
        <v>1564</v>
      </c>
      <c r="Y53" s="51">
        <v>44391.599108796298</v>
      </c>
      <c r="Z53" s="72">
        <f>tabPontoPed[CÁLC_4M] - tabPontoPed[CÁLCULO]</f>
        <v>-588</v>
      </c>
      <c r="AA53" s="79" t="str">
        <f>IF(tabPontoPed[MENSAL]-tabPontoPed[ATA MENSAL] = 0,"sim","")</f>
        <v/>
      </c>
      <c r="AB53" s="79"/>
      <c r="AC53" s="47" t="str">
        <f t="shared" si="0"/>
        <v>*</v>
      </c>
    </row>
    <row r="54" spans="1:29" x14ac:dyDescent="0.25">
      <c r="A54" s="36">
        <v>17662</v>
      </c>
      <c r="B54" s="68" t="s">
        <v>161</v>
      </c>
      <c r="C54" s="33" t="s">
        <v>1317</v>
      </c>
      <c r="D54" s="32">
        <v>83</v>
      </c>
      <c r="E54" s="37">
        <v>2</v>
      </c>
      <c r="F54" s="38" t="str">
        <f>VLOOKUP(tabPontoPed[[#This Row],[GRUPO]],tabGrupos[#Data],2,FALSE)</f>
        <v>ABRASIVOS</v>
      </c>
      <c r="G54" s="32" t="str">
        <f>VLOOKUP(tabPontoPed[[#This Row],[GRUPO]],tabGrupos[#Data],3,FALSE)</f>
        <v>MAN</v>
      </c>
      <c r="H54" s="33" t="s">
        <v>1311</v>
      </c>
      <c r="I54" s="80">
        <v>4</v>
      </c>
      <c r="J54" s="39">
        <v>24</v>
      </c>
      <c r="K54" s="41">
        <f>tabPontoPed[[#This Row],[QTDMÊS]] * tabPontoPed[[#This Row],[MENSAL]]</f>
        <v>96</v>
      </c>
      <c r="L54" s="83"/>
      <c r="M54" s="81"/>
      <c r="N54" s="34" t="s">
        <v>1009</v>
      </c>
      <c r="O54" s="76" t="s">
        <v>1658</v>
      </c>
      <c r="P54" s="77">
        <v>0</v>
      </c>
      <c r="Q54" s="57">
        <v>0</v>
      </c>
      <c r="R54" s="42">
        <v>2</v>
      </c>
      <c r="S54" s="69" t="str">
        <f>_xlfn.IFNA(IF(VLOOKUP(tabPontoPed[[#This Row],[CÓDIGO]],tabExcluirDoEstoque[#Data],1,FALSE),"sim",""),"")</f>
        <v/>
      </c>
      <c r="T54" s="43">
        <f>IF(AND(tabPontoPed[[#This Row],[MENSAL]]&gt;0,tabPontoPed[[#This Row],[CÁLCULO]]&gt;0), ABS( tabPontoPed[[#This Row],[MENSAL]] - tabPontoPed[[#This Row],[CÁLCULO]] ) / tabPontoPed[[#This Row],[MENSAL]], -1 )</f>
        <v>0.91666666666666663</v>
      </c>
      <c r="U54" s="58">
        <v>10</v>
      </c>
      <c r="V54" s="35">
        <f>IF(AND(tabPontoPed[[#This Row],[MENSAL]]&gt;0,tabPontoPed[[#This Row],[CÁLCULO]]&gt;0), IF( tabPontoPed[[#This Row],[MENSAL]] - tabPontoPed[[#This Row],[CÁLCULO]] &lt; 0, -1, IF( tabPontoPed[[#This Row],[MENSAL]] - tabPontoPed[[#This Row],[CÁLCULO]] &gt; 0, 1, -8)), -9 )</f>
        <v>1</v>
      </c>
      <c r="W54" s="35"/>
      <c r="X54" s="49" t="s">
        <v>1564</v>
      </c>
      <c r="Y54" s="51">
        <v>44391.599108796298</v>
      </c>
      <c r="Z54" s="72">
        <f>tabPontoPed[CÁLC_4M] - tabPontoPed[CÁLCULO]</f>
        <v>-2</v>
      </c>
      <c r="AA54" s="79" t="str">
        <f>IF(tabPontoPed[MENSAL]-tabPontoPed[ATA MENSAL] = 0,"sim","")</f>
        <v/>
      </c>
      <c r="AB54" s="79"/>
      <c r="AC54" s="47" t="str">
        <f t="shared" si="0"/>
        <v>*</v>
      </c>
    </row>
    <row r="55" spans="1:29" x14ac:dyDescent="0.25">
      <c r="A55" s="36">
        <v>13066</v>
      </c>
      <c r="B55" s="68" t="s">
        <v>156</v>
      </c>
      <c r="C55" s="33" t="s">
        <v>1317</v>
      </c>
      <c r="D55" s="32">
        <v>83</v>
      </c>
      <c r="E55" s="37">
        <v>2</v>
      </c>
      <c r="F55" s="38" t="str">
        <f>VLOOKUP(tabPontoPed[[#This Row],[GRUPO]],tabGrupos[#Data],2,FALSE)</f>
        <v>ABRASIVOS</v>
      </c>
      <c r="G55" s="32" t="str">
        <f>VLOOKUP(tabPontoPed[[#This Row],[GRUPO]],tabGrupos[#Data],3,FALSE)</f>
        <v>MAN</v>
      </c>
      <c r="H55" s="33" t="s">
        <v>1311</v>
      </c>
      <c r="I55" s="80">
        <v>4</v>
      </c>
      <c r="J55" s="39">
        <v>24</v>
      </c>
      <c r="K55" s="41">
        <f>tabPontoPed[[#This Row],[QTDMÊS]] * tabPontoPed[[#This Row],[MENSAL]]</f>
        <v>96</v>
      </c>
      <c r="L55" s="83"/>
      <c r="M55" s="81"/>
      <c r="N55" s="34" t="s">
        <v>1009</v>
      </c>
      <c r="O55" s="76" t="s">
        <v>1658</v>
      </c>
      <c r="P55" s="77">
        <v>0</v>
      </c>
      <c r="Q55" s="57">
        <v>0</v>
      </c>
      <c r="R55" s="42">
        <v>2</v>
      </c>
      <c r="S55" s="69" t="str">
        <f>_xlfn.IFNA(IF(VLOOKUP(tabPontoPed[[#This Row],[CÓDIGO]],tabExcluirDoEstoque[#Data],1,FALSE),"sim",""),"")</f>
        <v/>
      </c>
      <c r="T55" s="43">
        <f>IF(AND(tabPontoPed[[#This Row],[MENSAL]]&gt;0,tabPontoPed[[#This Row],[CÁLCULO]]&gt;0), ABS( tabPontoPed[[#This Row],[MENSAL]] - tabPontoPed[[#This Row],[CÁLCULO]] ) / tabPontoPed[[#This Row],[MENSAL]], -1 )</f>
        <v>0.91666666666666663</v>
      </c>
      <c r="U55" s="58">
        <v>13</v>
      </c>
      <c r="V55" s="35">
        <f>IF(AND(tabPontoPed[[#This Row],[MENSAL]]&gt;0,tabPontoPed[[#This Row],[CÁLCULO]]&gt;0), IF( tabPontoPed[[#This Row],[MENSAL]] - tabPontoPed[[#This Row],[CÁLCULO]] &lt; 0, -1, IF( tabPontoPed[[#This Row],[MENSAL]] - tabPontoPed[[#This Row],[CÁLCULO]] &gt; 0, 1, -8)), -9 )</f>
        <v>1</v>
      </c>
      <c r="W55" s="35"/>
      <c r="X55" s="49" t="s">
        <v>1564</v>
      </c>
      <c r="Y55" s="51">
        <v>44391.599108796298</v>
      </c>
      <c r="Z55" s="72">
        <f>tabPontoPed[CÁLC_4M] - tabPontoPed[CÁLCULO]</f>
        <v>-2</v>
      </c>
      <c r="AA55" s="79" t="str">
        <f>IF(tabPontoPed[MENSAL]-tabPontoPed[ATA MENSAL] = 0,"sim","")</f>
        <v/>
      </c>
      <c r="AB55" s="79"/>
      <c r="AC55" s="47" t="str">
        <f t="shared" si="0"/>
        <v>*</v>
      </c>
    </row>
    <row r="56" spans="1:29" x14ac:dyDescent="0.25">
      <c r="A56" s="36">
        <v>112157</v>
      </c>
      <c r="B56" s="68" t="s">
        <v>140</v>
      </c>
      <c r="C56" s="33" t="s">
        <v>1317</v>
      </c>
      <c r="D56" s="32">
        <v>55</v>
      </c>
      <c r="E56" s="37">
        <v>37</v>
      </c>
      <c r="F56" s="38" t="str">
        <f>VLOOKUP(tabPontoPed[[#This Row],[GRUPO]],tabGrupos[#Data],2,FALSE)</f>
        <v>EQUIP. MAT. P/ GERACAO, TRANSM. DISTR. RETIF...</v>
      </c>
      <c r="G56" s="32" t="str">
        <f>VLOOKUP(tabPontoPed[[#This Row],[GRUPO]],tabGrupos[#Data],3,FALSE)</f>
        <v>MEL</v>
      </c>
      <c r="H56" s="33" t="s">
        <v>1311</v>
      </c>
      <c r="I56" s="80">
        <v>4</v>
      </c>
      <c r="J56" s="39">
        <v>12</v>
      </c>
      <c r="K56" s="41">
        <f>tabPontoPed[[#This Row],[QTDMÊS]] * tabPontoPed[[#This Row],[MENSAL]]</f>
        <v>48</v>
      </c>
      <c r="L56" s="83"/>
      <c r="M56" s="81"/>
      <c r="N56" s="34" t="s">
        <v>1009</v>
      </c>
      <c r="O56" s="76" t="s">
        <v>1715</v>
      </c>
      <c r="P56" s="77">
        <v>0</v>
      </c>
      <c r="Q56" s="57">
        <v>2</v>
      </c>
      <c r="R56" s="42">
        <v>1</v>
      </c>
      <c r="S56" s="69" t="str">
        <f>_xlfn.IFNA(IF(VLOOKUP(tabPontoPed[[#This Row],[CÓDIGO]],tabExcluirDoEstoque[#Data],1,FALSE),"sim",""),"")</f>
        <v/>
      </c>
      <c r="T56" s="43">
        <f>IF(AND(tabPontoPed[[#This Row],[MENSAL]]&gt;0,tabPontoPed[[#This Row],[CÁLCULO]]&gt;0), ABS( tabPontoPed[[#This Row],[MENSAL]] - tabPontoPed[[#This Row],[CÁLCULO]] ) / tabPontoPed[[#This Row],[MENSAL]], -1 )</f>
        <v>0.91666666666666663</v>
      </c>
      <c r="U56" s="58">
        <v>6</v>
      </c>
      <c r="V56" s="35">
        <f>IF(AND(tabPontoPed[[#This Row],[MENSAL]]&gt;0,tabPontoPed[[#This Row],[CÁLCULO]]&gt;0), IF( tabPontoPed[[#This Row],[MENSAL]] - tabPontoPed[[#This Row],[CÁLCULO]] &lt; 0, -1, IF( tabPontoPed[[#This Row],[MENSAL]] - tabPontoPed[[#This Row],[CÁLCULO]] &gt; 0, 1, -8)), -9 )</f>
        <v>1</v>
      </c>
      <c r="W56" s="35"/>
      <c r="X56" s="49" t="s">
        <v>1564</v>
      </c>
      <c r="Y56" s="51">
        <v>44391.599108796298</v>
      </c>
      <c r="Z56" s="72">
        <f>tabPontoPed[CÁLC_4M] - tabPontoPed[CÁLCULO]</f>
        <v>1</v>
      </c>
      <c r="AA56" s="79" t="str">
        <f>IF(tabPontoPed[MENSAL]-tabPontoPed[ATA MENSAL] = 0,"sim","")</f>
        <v/>
      </c>
      <c r="AB56" s="79"/>
      <c r="AC56" s="47" t="str">
        <f t="shared" si="0"/>
        <v>*</v>
      </c>
    </row>
    <row r="57" spans="1:29" x14ac:dyDescent="0.25">
      <c r="A57" s="36">
        <v>64462</v>
      </c>
      <c r="B57" s="68" t="s">
        <v>1624</v>
      </c>
      <c r="C57" s="33">
        <v>1</v>
      </c>
      <c r="D57" s="32">
        <v>67</v>
      </c>
      <c r="E57" s="37">
        <v>4</v>
      </c>
      <c r="F57" s="38" t="str">
        <f>VLOOKUP(tabPontoPed[[#This Row],[GRUPO]],tabGrupos[#Data],2,FALSE)</f>
        <v>PARAFUSOS ELEM. VEDACAO UNIAO CONEX . FIXACAO</v>
      </c>
      <c r="G57" s="32" t="str">
        <f>VLOOKUP(tabPontoPed[[#This Row],[GRUPO]],tabGrupos[#Data],3,FALSE)</f>
        <v>MSE</v>
      </c>
      <c r="H57" s="33" t="s">
        <v>1311</v>
      </c>
      <c r="I57" s="80">
        <v>4</v>
      </c>
      <c r="J57" s="39">
        <v>107</v>
      </c>
      <c r="K57" s="41">
        <f>tabPontoPed[[#This Row],[QTDMÊS]] * tabPontoPed[[#This Row],[MENSAL]]</f>
        <v>428</v>
      </c>
      <c r="L57" s="83"/>
      <c r="M57" s="81"/>
      <c r="N57" s="34" t="s">
        <v>1009</v>
      </c>
      <c r="O57" s="76"/>
      <c r="P57" s="77">
        <v>0</v>
      </c>
      <c r="Q57" s="57">
        <v>75</v>
      </c>
      <c r="R57" s="42">
        <v>205</v>
      </c>
      <c r="S57" s="69" t="str">
        <f>_xlfn.IFNA(IF(VLOOKUP(tabPontoPed[[#This Row],[CÓDIGO]],tabExcluirDoEstoque[#Data],1,FALSE),"sim",""),"")</f>
        <v/>
      </c>
      <c r="T57" s="43">
        <f>IF(AND(tabPontoPed[[#This Row],[MENSAL]]&gt;0,tabPontoPed[[#This Row],[CÁLCULO]]&gt;0), ABS( tabPontoPed[[#This Row],[MENSAL]] - tabPontoPed[[#This Row],[CÁLCULO]] ) / tabPontoPed[[#This Row],[MENSAL]], -1 )</f>
        <v>0.91588785046728971</v>
      </c>
      <c r="U57" s="58">
        <v>680</v>
      </c>
      <c r="V57" s="35">
        <f>IF(AND(tabPontoPed[[#This Row],[MENSAL]]&gt;0,tabPontoPed[[#This Row],[CÁLCULO]]&gt;0), IF( tabPontoPed[[#This Row],[MENSAL]] - tabPontoPed[[#This Row],[CÁLCULO]] &lt; 0, -1, IF( tabPontoPed[[#This Row],[MENSAL]] - tabPontoPed[[#This Row],[CÁLCULO]] &gt; 0, 1, -8)), -9 )</f>
        <v>-1</v>
      </c>
      <c r="W57" s="35"/>
      <c r="X57" s="48" t="s">
        <v>1564</v>
      </c>
      <c r="Y57" s="53">
        <v>44391.599108796298</v>
      </c>
      <c r="Z57" s="72">
        <f>tabPontoPed[CÁLC_4M] - tabPontoPed[CÁLCULO]</f>
        <v>-130</v>
      </c>
      <c r="AA57" s="79" t="str">
        <f>IF(tabPontoPed[MENSAL]-tabPontoPed[ATA MENSAL] = 0,"sim","")</f>
        <v/>
      </c>
      <c r="AB57" s="79"/>
      <c r="AC57" s="47" t="str">
        <f t="shared" si="0"/>
        <v>*</v>
      </c>
    </row>
    <row r="58" spans="1:29" x14ac:dyDescent="0.25">
      <c r="A58" s="36">
        <v>29293</v>
      </c>
      <c r="B58" s="68" t="s">
        <v>853</v>
      </c>
      <c r="C58" s="33" t="s">
        <v>1317</v>
      </c>
      <c r="D58" s="32">
        <v>67</v>
      </c>
      <c r="E58" s="37">
        <v>9</v>
      </c>
      <c r="F58" s="38" t="str">
        <f>VLOOKUP(tabPontoPed[[#This Row],[GRUPO]],tabGrupos[#Data],2,FALSE)</f>
        <v>PARAFUSOS ELEM. VEDACAO UNIAO CONEX . FIXACAO</v>
      </c>
      <c r="G58" s="32" t="str">
        <f>VLOOKUP(tabPontoPed[[#This Row],[GRUPO]],tabGrupos[#Data],3,FALSE)</f>
        <v>MSE</v>
      </c>
      <c r="H58" s="33" t="s">
        <v>1311</v>
      </c>
      <c r="I58" s="80">
        <v>4</v>
      </c>
      <c r="J58" s="39">
        <v>93</v>
      </c>
      <c r="K58" s="41">
        <f>tabPontoPed[[#This Row],[QTDMÊS]] * tabPontoPed[[#This Row],[MENSAL]]</f>
        <v>372</v>
      </c>
      <c r="L58" s="83"/>
      <c r="M58" s="81"/>
      <c r="N58" s="34" t="s">
        <v>1010</v>
      </c>
      <c r="O58" s="76" t="s">
        <v>1682</v>
      </c>
      <c r="P58" s="77">
        <v>0</v>
      </c>
      <c r="Q58" s="57">
        <v>215</v>
      </c>
      <c r="R58" s="42">
        <v>178</v>
      </c>
      <c r="S58" s="69" t="str">
        <f>_xlfn.IFNA(IF(VLOOKUP(tabPontoPed[[#This Row],[CÓDIGO]],tabExcluirDoEstoque[#Data],1,FALSE),"sim",""),"")</f>
        <v/>
      </c>
      <c r="T58" s="43">
        <f>IF(AND(tabPontoPed[[#This Row],[MENSAL]]&gt;0,tabPontoPed[[#This Row],[CÁLCULO]]&gt;0), ABS( tabPontoPed[[#This Row],[MENSAL]] - tabPontoPed[[#This Row],[CÁLCULO]] ) / tabPontoPed[[#This Row],[MENSAL]], -1 )</f>
        <v>0.91397849462365588</v>
      </c>
      <c r="U58" s="58">
        <v>462</v>
      </c>
      <c r="V58" s="35">
        <f>IF(AND(tabPontoPed[[#This Row],[MENSAL]]&gt;0,tabPontoPed[[#This Row],[CÁLCULO]]&gt;0), IF( tabPontoPed[[#This Row],[MENSAL]] - tabPontoPed[[#This Row],[CÁLCULO]] &lt; 0, -1, IF( tabPontoPed[[#This Row],[MENSAL]] - tabPontoPed[[#This Row],[CÁLCULO]] &gt; 0, 1, -8)), -9 )</f>
        <v>-1</v>
      </c>
      <c r="W58" s="35"/>
      <c r="X58" s="49" t="s">
        <v>1564</v>
      </c>
      <c r="Y58" s="51">
        <v>44391.599108796298</v>
      </c>
      <c r="Z58" s="72">
        <f>tabPontoPed[CÁLC_4M] - tabPontoPed[CÁLCULO]</f>
        <v>37</v>
      </c>
      <c r="AA58" s="79" t="str">
        <f>IF(tabPontoPed[MENSAL]-tabPontoPed[ATA MENSAL] = 0,"sim","")</f>
        <v/>
      </c>
      <c r="AB58" s="79"/>
      <c r="AC58" s="47" t="str">
        <f t="shared" si="0"/>
        <v>*</v>
      </c>
    </row>
    <row r="59" spans="1:29" x14ac:dyDescent="0.25">
      <c r="A59" s="36">
        <v>61201</v>
      </c>
      <c r="B59" s="68" t="s">
        <v>760</v>
      </c>
      <c r="C59" s="33" t="s">
        <v>1317</v>
      </c>
      <c r="D59" s="32">
        <v>61</v>
      </c>
      <c r="E59" s="37">
        <v>8</v>
      </c>
      <c r="F59" s="38" t="str">
        <f>VLOOKUP(tabPontoPed[[#This Row],[GRUPO]],tabGrupos[#Data],2,FALSE)</f>
        <v>MATERIAL HIDRAULICO, CANOS, TUBOS, MANGUEIRAS, CONEXOES E ACESS.</v>
      </c>
      <c r="G59" s="32" t="str">
        <f>VLOOKUP(tabPontoPed[[#This Row],[GRUPO]],tabGrupos[#Data],3,FALSE)</f>
        <v>MHI</v>
      </c>
      <c r="H59" s="33" t="s">
        <v>1311</v>
      </c>
      <c r="I59" s="80">
        <v>4</v>
      </c>
      <c r="J59" s="39">
        <v>100</v>
      </c>
      <c r="K59" s="41">
        <f>tabPontoPed[[#This Row],[QTDMÊS]] * tabPontoPed[[#This Row],[MENSAL]]</f>
        <v>400</v>
      </c>
      <c r="L59" s="83"/>
      <c r="M59" s="81"/>
      <c r="N59" s="34" t="s">
        <v>1009</v>
      </c>
      <c r="O59" s="76" t="s">
        <v>1691</v>
      </c>
      <c r="P59" s="77">
        <v>0</v>
      </c>
      <c r="Q59" s="57">
        <v>10</v>
      </c>
      <c r="R59" s="42">
        <v>9</v>
      </c>
      <c r="S59" s="69" t="str">
        <f>_xlfn.IFNA(IF(VLOOKUP(tabPontoPed[[#This Row],[CÓDIGO]],tabExcluirDoEstoque[#Data],1,FALSE),"sim",""),"")</f>
        <v/>
      </c>
      <c r="T59" s="43">
        <f>IF(AND(tabPontoPed[[#This Row],[MENSAL]]&gt;0,tabPontoPed[[#This Row],[CÁLCULO]]&gt;0), ABS( tabPontoPed[[#This Row],[MENSAL]] - tabPontoPed[[#This Row],[CÁLCULO]] ) / tabPontoPed[[#This Row],[MENSAL]], -1 )</f>
        <v>0.91</v>
      </c>
      <c r="U59" s="58">
        <v>23</v>
      </c>
      <c r="V59" s="35">
        <f>IF(AND(tabPontoPed[[#This Row],[MENSAL]]&gt;0,tabPontoPed[[#This Row],[CÁLCULO]]&gt;0), IF( tabPontoPed[[#This Row],[MENSAL]] - tabPontoPed[[#This Row],[CÁLCULO]] &lt; 0, -1, IF( tabPontoPed[[#This Row],[MENSAL]] - tabPontoPed[[#This Row],[CÁLCULO]] &gt; 0, 1, -8)), -9 )</f>
        <v>1</v>
      </c>
      <c r="W59" s="35"/>
      <c r="X59" s="48" t="s">
        <v>1564</v>
      </c>
      <c r="Y59" s="53">
        <v>44391.599108796298</v>
      </c>
      <c r="Z59" s="72">
        <f>tabPontoPed[CÁLC_4M] - tabPontoPed[CÁLCULO]</f>
        <v>1</v>
      </c>
      <c r="AA59" s="79" t="str">
        <f>IF(tabPontoPed[MENSAL]-tabPontoPed[ATA MENSAL] = 0,"sim","")</f>
        <v/>
      </c>
      <c r="AB59" s="79"/>
      <c r="AC59" s="47" t="str">
        <f t="shared" si="0"/>
        <v>*</v>
      </c>
    </row>
    <row r="60" spans="1:29" x14ac:dyDescent="0.25">
      <c r="A60" s="36">
        <v>77556</v>
      </c>
      <c r="B60" s="68" t="s">
        <v>946</v>
      </c>
      <c r="C60" s="33" t="s">
        <v>1317</v>
      </c>
      <c r="D60" s="32">
        <v>74</v>
      </c>
      <c r="E60" s="37">
        <v>3</v>
      </c>
      <c r="F60" s="38" t="str">
        <f>VLOOKUP(tabPontoPed[[#This Row],[GRUPO]],tabGrupos[#Data],2,FALSE)</f>
        <v>MADEIRAS,LAMINADOS,COMPENSADOS E AGLOMERADOS</v>
      </c>
      <c r="G60" s="32" t="str">
        <f>VLOOKUP(tabPontoPed[[#This Row],[GRUPO]],tabGrupos[#Data],3,FALSE)</f>
        <v>MCO</v>
      </c>
      <c r="H60" s="33" t="s">
        <v>1311</v>
      </c>
      <c r="I60" s="80">
        <v>4</v>
      </c>
      <c r="J60" s="39">
        <v>11</v>
      </c>
      <c r="K60" s="41">
        <f>tabPontoPed[[#This Row],[QTDMÊS]] * tabPontoPed[[#This Row],[MENSAL]]</f>
        <v>44</v>
      </c>
      <c r="L60" s="83"/>
      <c r="M60" s="81"/>
      <c r="N60" s="34" t="s">
        <v>1009</v>
      </c>
      <c r="O60" s="76" t="s">
        <v>1684</v>
      </c>
      <c r="P60" s="77">
        <v>0</v>
      </c>
      <c r="Q60" s="57">
        <v>0</v>
      </c>
      <c r="R60" s="42">
        <v>1</v>
      </c>
      <c r="S60" s="69" t="str">
        <f>_xlfn.IFNA(IF(VLOOKUP(tabPontoPed[[#This Row],[CÓDIGO]],tabExcluirDoEstoque[#Data],1,FALSE),"sim",""),"")</f>
        <v/>
      </c>
      <c r="T60" s="43">
        <f>IF(AND(tabPontoPed[[#This Row],[MENSAL]]&gt;0,tabPontoPed[[#This Row],[CÁLCULO]]&gt;0), ABS( tabPontoPed[[#This Row],[MENSAL]] - tabPontoPed[[#This Row],[CÁLCULO]] ) / tabPontoPed[[#This Row],[MENSAL]], -1 )</f>
        <v>0.90909090909090906</v>
      </c>
      <c r="U60" s="58">
        <v>8</v>
      </c>
      <c r="V60" s="35">
        <f>IF(AND(tabPontoPed[[#This Row],[MENSAL]]&gt;0,tabPontoPed[[#This Row],[CÁLCULO]]&gt;0), IF( tabPontoPed[[#This Row],[MENSAL]] - tabPontoPed[[#This Row],[CÁLCULO]] &lt; 0, -1, IF( tabPontoPed[[#This Row],[MENSAL]] - tabPontoPed[[#This Row],[CÁLCULO]] &gt; 0, 1, -8)), -9 )</f>
        <v>1</v>
      </c>
      <c r="W60" s="35"/>
      <c r="X60" s="49" t="s">
        <v>1564</v>
      </c>
      <c r="Y60" s="51">
        <v>44391.599108796298</v>
      </c>
      <c r="Z60" s="72">
        <f>tabPontoPed[CÁLC_4M] - tabPontoPed[CÁLCULO]</f>
        <v>-1</v>
      </c>
      <c r="AA60" s="79" t="str">
        <f>IF(tabPontoPed[MENSAL]-tabPontoPed[ATA MENSAL] = 0,"sim","")</f>
        <v/>
      </c>
      <c r="AB60" s="79"/>
      <c r="AC60" s="47" t="str">
        <f t="shared" si="0"/>
        <v>*</v>
      </c>
    </row>
    <row r="61" spans="1:29" x14ac:dyDescent="0.25">
      <c r="A61" s="36">
        <v>120615</v>
      </c>
      <c r="B61" s="68" t="s">
        <v>976</v>
      </c>
      <c r="C61" s="33" t="s">
        <v>1317</v>
      </c>
      <c r="D61" s="32">
        <v>80</v>
      </c>
      <c r="E61" s="37">
        <v>13</v>
      </c>
      <c r="F61" s="38" t="str">
        <f>VLOOKUP(tabPontoPed[[#This Row],[GRUPO]],tabGrupos[#Data],2,FALSE)</f>
        <v>CABOS CORRENTES CORDAS ESTICADORES E ART. BORRACHA</v>
      </c>
      <c r="G61" s="32" t="str">
        <f>VLOOKUP(tabPontoPed[[#This Row],[GRUPO]],tabGrupos[#Data],3,FALSE)</f>
        <v>MAN</v>
      </c>
      <c r="H61" s="33" t="s">
        <v>1311</v>
      </c>
      <c r="I61" s="80">
        <v>4</v>
      </c>
      <c r="J61" s="39">
        <v>21</v>
      </c>
      <c r="K61" s="41">
        <f>tabPontoPed[[#This Row],[QTDMÊS]] * tabPontoPed[[#This Row],[MENSAL]]</f>
        <v>84</v>
      </c>
      <c r="L61" s="83"/>
      <c r="M61" s="81"/>
      <c r="N61" s="34" t="s">
        <v>1009</v>
      </c>
      <c r="O61" s="76"/>
      <c r="P61" s="77">
        <v>0</v>
      </c>
      <c r="Q61" s="57">
        <v>5</v>
      </c>
      <c r="R61" s="42">
        <v>2</v>
      </c>
      <c r="S61" s="69" t="str">
        <f>_xlfn.IFNA(IF(VLOOKUP(tabPontoPed[[#This Row],[CÓDIGO]],tabExcluirDoEstoque[#Data],1,FALSE),"sim",""),"")</f>
        <v/>
      </c>
      <c r="T61" s="43">
        <f>IF(AND(tabPontoPed[[#This Row],[MENSAL]]&gt;0,tabPontoPed[[#This Row],[CÁLCULO]]&gt;0), ABS( tabPontoPed[[#This Row],[MENSAL]] - tabPontoPed[[#This Row],[CÁLCULO]] ) / tabPontoPed[[#This Row],[MENSAL]], -1 )</f>
        <v>0.90476190476190477</v>
      </c>
      <c r="U61" s="58">
        <v>20</v>
      </c>
      <c r="V61" s="35">
        <f>IF(AND(tabPontoPed[[#This Row],[MENSAL]]&gt;0,tabPontoPed[[#This Row],[CÁLCULO]]&gt;0), IF( tabPontoPed[[#This Row],[MENSAL]] - tabPontoPed[[#This Row],[CÁLCULO]] &lt; 0, -1, IF( tabPontoPed[[#This Row],[MENSAL]] - tabPontoPed[[#This Row],[CÁLCULO]] &gt; 0, 1, -8)), -9 )</f>
        <v>1</v>
      </c>
      <c r="W61" s="35"/>
      <c r="X61" s="49" t="s">
        <v>1564</v>
      </c>
      <c r="Y61" s="51">
        <v>44391.599108796298</v>
      </c>
      <c r="Z61" s="72">
        <f>tabPontoPed[CÁLC_4M] - tabPontoPed[CÁLCULO]</f>
        <v>3</v>
      </c>
      <c r="AA61" s="79" t="str">
        <f>IF(tabPontoPed[MENSAL]-tabPontoPed[ATA MENSAL] = 0,"sim","")</f>
        <v/>
      </c>
      <c r="AB61" s="79"/>
      <c r="AC61" s="47" t="str">
        <f t="shared" si="0"/>
        <v>*</v>
      </c>
    </row>
    <row r="62" spans="1:29" x14ac:dyDescent="0.25">
      <c r="A62" s="36">
        <v>13218</v>
      </c>
      <c r="B62" s="68" t="s">
        <v>160</v>
      </c>
      <c r="C62" s="33" t="s">
        <v>1317</v>
      </c>
      <c r="D62" s="32">
        <v>83</v>
      </c>
      <c r="E62" s="37">
        <v>2</v>
      </c>
      <c r="F62" s="38" t="str">
        <f>VLOOKUP(tabPontoPed[[#This Row],[GRUPO]],tabGrupos[#Data],2,FALSE)</f>
        <v>ABRASIVOS</v>
      </c>
      <c r="G62" s="32" t="str">
        <f>VLOOKUP(tabPontoPed[[#This Row],[GRUPO]],tabGrupos[#Data],3,FALSE)</f>
        <v>MAN</v>
      </c>
      <c r="H62" s="33" t="s">
        <v>1311</v>
      </c>
      <c r="I62" s="80">
        <v>4</v>
      </c>
      <c r="J62" s="39">
        <v>42</v>
      </c>
      <c r="K62" s="41">
        <f>tabPontoPed[[#This Row],[QTDMÊS]] * tabPontoPed[[#This Row],[MENSAL]]</f>
        <v>168</v>
      </c>
      <c r="L62" s="83"/>
      <c r="M62" s="81"/>
      <c r="N62" s="34" t="s">
        <v>1009</v>
      </c>
      <c r="O62" s="76" t="s">
        <v>1658</v>
      </c>
      <c r="P62" s="77">
        <v>0</v>
      </c>
      <c r="Q62" s="57">
        <v>4</v>
      </c>
      <c r="R62" s="42">
        <v>4</v>
      </c>
      <c r="S62" s="69" t="str">
        <f>_xlfn.IFNA(IF(VLOOKUP(tabPontoPed[[#This Row],[CÓDIGO]],tabExcluirDoEstoque[#Data],1,FALSE),"sim",""),"")</f>
        <v/>
      </c>
      <c r="T62" s="43">
        <f>IF(AND(tabPontoPed[[#This Row],[MENSAL]]&gt;0,tabPontoPed[[#This Row],[CÁLCULO]]&gt;0), ABS( tabPontoPed[[#This Row],[MENSAL]] - tabPontoPed[[#This Row],[CÁLCULO]] ) / tabPontoPed[[#This Row],[MENSAL]], -1 )</f>
        <v>0.90476190476190477</v>
      </c>
      <c r="U62" s="58">
        <v>30</v>
      </c>
      <c r="V62" s="35">
        <f>IF(AND(tabPontoPed[[#This Row],[MENSAL]]&gt;0,tabPontoPed[[#This Row],[CÁLCULO]]&gt;0), IF( tabPontoPed[[#This Row],[MENSAL]] - tabPontoPed[[#This Row],[CÁLCULO]] &lt; 0, -1, IF( tabPontoPed[[#This Row],[MENSAL]] - tabPontoPed[[#This Row],[CÁLCULO]] &gt; 0, 1, -8)), -9 )</f>
        <v>1</v>
      </c>
      <c r="W62" s="35"/>
      <c r="X62" s="49" t="s">
        <v>1564</v>
      </c>
      <c r="Y62" s="51">
        <v>44391.599108796298</v>
      </c>
      <c r="Z62" s="72">
        <f>tabPontoPed[CÁLC_4M] - tabPontoPed[CÁLCULO]</f>
        <v>0</v>
      </c>
      <c r="AA62" s="79" t="str">
        <f>IF(tabPontoPed[MENSAL]-tabPontoPed[ATA MENSAL] = 0,"sim","")</f>
        <v/>
      </c>
      <c r="AB62" s="79" t="s">
        <v>1614</v>
      </c>
      <c r="AC62" s="47" t="str">
        <f t="shared" si="0"/>
        <v>*</v>
      </c>
    </row>
    <row r="63" spans="1:29" x14ac:dyDescent="0.25">
      <c r="A63" s="36">
        <v>134568</v>
      </c>
      <c r="B63" s="68" t="s">
        <v>858</v>
      </c>
      <c r="C63" s="33" t="s">
        <v>1317</v>
      </c>
      <c r="D63" s="32">
        <v>67</v>
      </c>
      <c r="E63" s="37">
        <v>9</v>
      </c>
      <c r="F63" s="38" t="str">
        <f>VLOOKUP(tabPontoPed[[#This Row],[GRUPO]],tabGrupos[#Data],2,FALSE)</f>
        <v>PARAFUSOS ELEM. VEDACAO UNIAO CONEX . FIXACAO</v>
      </c>
      <c r="G63" s="32" t="str">
        <f>VLOOKUP(tabPontoPed[[#This Row],[GRUPO]],tabGrupos[#Data],3,FALSE)</f>
        <v>MSE</v>
      </c>
      <c r="H63" s="33" t="s">
        <v>1311</v>
      </c>
      <c r="I63" s="80">
        <v>4</v>
      </c>
      <c r="J63" s="39">
        <v>500</v>
      </c>
      <c r="K63" s="41">
        <f>tabPontoPed[[#This Row],[QTDMÊS]] * tabPontoPed[[#This Row],[MENSAL]]</f>
        <v>2000</v>
      </c>
      <c r="L63" s="83"/>
      <c r="M63" s="81"/>
      <c r="N63" s="34" t="s">
        <v>1009</v>
      </c>
      <c r="O63" s="76" t="s">
        <v>1682</v>
      </c>
      <c r="P63" s="77">
        <v>0</v>
      </c>
      <c r="Q63" s="57">
        <v>13</v>
      </c>
      <c r="R63" s="42">
        <v>48</v>
      </c>
      <c r="S63" s="69" t="str">
        <f>_xlfn.IFNA(IF(VLOOKUP(tabPontoPed[[#This Row],[CÓDIGO]],tabExcluirDoEstoque[#Data],1,FALSE),"sim",""),"")</f>
        <v/>
      </c>
      <c r="T63" s="43">
        <f>IF(AND(tabPontoPed[[#This Row],[MENSAL]]&gt;0,tabPontoPed[[#This Row],[CÁLCULO]]&gt;0), ABS( tabPontoPed[[#This Row],[MENSAL]] - tabPontoPed[[#This Row],[CÁLCULO]] ) / tabPontoPed[[#This Row],[MENSAL]], -1 )</f>
        <v>0.90400000000000003</v>
      </c>
      <c r="U63" s="58">
        <v>220</v>
      </c>
      <c r="V63" s="35">
        <f>IF(AND(tabPontoPed[[#This Row],[MENSAL]]&gt;0,tabPontoPed[[#This Row],[CÁLCULO]]&gt;0), IF( tabPontoPed[[#This Row],[MENSAL]] - tabPontoPed[[#This Row],[CÁLCULO]] &lt; 0, -1, IF( tabPontoPed[[#This Row],[MENSAL]] - tabPontoPed[[#This Row],[CÁLCULO]] &gt; 0, 1, -8)), -9 )</f>
        <v>1</v>
      </c>
      <c r="W63" s="35"/>
      <c r="X63" s="49" t="s">
        <v>1564</v>
      </c>
      <c r="Y63" s="51">
        <v>44391.599108796298</v>
      </c>
      <c r="Z63" s="72">
        <f>tabPontoPed[CÁLC_4M] - tabPontoPed[CÁLCULO]</f>
        <v>-35</v>
      </c>
      <c r="AA63" s="79" t="str">
        <f>IF(tabPontoPed[MENSAL]-tabPontoPed[ATA MENSAL] = 0,"sim","")</f>
        <v/>
      </c>
      <c r="AB63" s="79"/>
      <c r="AC63" s="47" t="str">
        <f t="shared" si="0"/>
        <v>*</v>
      </c>
    </row>
    <row r="64" spans="1:29" x14ac:dyDescent="0.25">
      <c r="A64" s="36">
        <v>82996</v>
      </c>
      <c r="B64" s="68" t="s">
        <v>504</v>
      </c>
      <c r="C64" s="33" t="s">
        <v>1317</v>
      </c>
      <c r="D64" s="32">
        <v>51</v>
      </c>
      <c r="E64" s="37">
        <v>8</v>
      </c>
      <c r="F64" s="38" t="str">
        <f>VLOOKUP(tabPontoPed[[#This Row],[GRUPO]],tabGrupos[#Data],2,FALSE)</f>
        <v>MAT.E EQUIP. P/ CONSTR.CIVIL E CONSERV. DE VIAS PUBL.</v>
      </c>
      <c r="G64" s="32" t="str">
        <f>VLOOKUP(tabPontoPed[[#This Row],[GRUPO]],tabGrupos[#Data],3,FALSE)</f>
        <v>MCO</v>
      </c>
      <c r="H64" s="33" t="s">
        <v>1311</v>
      </c>
      <c r="I64" s="80">
        <v>4</v>
      </c>
      <c r="J64" s="39">
        <v>38</v>
      </c>
      <c r="K64" s="41">
        <f>tabPontoPed[[#This Row],[QTDMÊS]] * tabPontoPed[[#This Row],[MENSAL]]</f>
        <v>152</v>
      </c>
      <c r="L64" s="83"/>
      <c r="M64" s="81"/>
      <c r="N64" s="34" t="s">
        <v>1009</v>
      </c>
      <c r="O64" s="76" t="s">
        <v>1695</v>
      </c>
      <c r="P64" s="77">
        <v>0</v>
      </c>
      <c r="Q64" s="57">
        <v>0</v>
      </c>
      <c r="R64" s="42">
        <v>4</v>
      </c>
      <c r="S64" s="69" t="str">
        <f>_xlfn.IFNA(IF(VLOOKUP(tabPontoPed[[#This Row],[CÓDIGO]],tabExcluirDoEstoque[#Data],1,FALSE),"sim",""),"")</f>
        <v/>
      </c>
      <c r="T64" s="43">
        <f>IF(AND(tabPontoPed[[#This Row],[MENSAL]]&gt;0,tabPontoPed[[#This Row],[CÁLCULO]]&gt;0), ABS( tabPontoPed[[#This Row],[MENSAL]] - tabPontoPed[[#This Row],[CÁLCULO]] ) / tabPontoPed[[#This Row],[MENSAL]], -1 )</f>
        <v>0.89473684210526316</v>
      </c>
      <c r="U64" s="58">
        <v>40</v>
      </c>
      <c r="V64" s="35">
        <f>IF(AND(tabPontoPed[[#This Row],[MENSAL]]&gt;0,tabPontoPed[[#This Row],[CÁLCULO]]&gt;0), IF( tabPontoPed[[#This Row],[MENSAL]] - tabPontoPed[[#This Row],[CÁLCULO]] &lt; 0, -1, IF( tabPontoPed[[#This Row],[MENSAL]] - tabPontoPed[[#This Row],[CÁLCULO]] &gt; 0, 1, -8)), -9 )</f>
        <v>1</v>
      </c>
      <c r="W64" s="35"/>
      <c r="X64" s="48" t="s">
        <v>1564</v>
      </c>
      <c r="Y64" s="53">
        <v>44391.599108796298</v>
      </c>
      <c r="Z64" s="72">
        <f>tabPontoPed[CÁLC_4M] - tabPontoPed[CÁLCULO]</f>
        <v>-4</v>
      </c>
      <c r="AA64" s="79" t="str">
        <f>IF(tabPontoPed[MENSAL]-tabPontoPed[ATA MENSAL] = 0,"sim","")</f>
        <v/>
      </c>
      <c r="AB64" s="79" t="s">
        <v>1614</v>
      </c>
      <c r="AC64" s="47" t="str">
        <f t="shared" si="0"/>
        <v>*</v>
      </c>
    </row>
    <row r="65" spans="1:29" x14ac:dyDescent="0.25">
      <c r="A65" s="36">
        <v>91250</v>
      </c>
      <c r="B65" s="68" t="s">
        <v>479</v>
      </c>
      <c r="C65" s="33" t="s">
        <v>1317</v>
      </c>
      <c r="D65" s="32">
        <v>45</v>
      </c>
      <c r="E65" s="37">
        <v>17</v>
      </c>
      <c r="F65" s="38" t="str">
        <f>VLOOKUP(tabPontoPed[[#This Row],[GRUPO]],tabGrupos[#Data],2,FALSE)</f>
        <v>MAQ., EQUIP., COMP., ACES., MAT. PARA ESCRIT.E ESCOLAR</v>
      </c>
      <c r="G65" s="32" t="str">
        <f>VLOOKUP(tabPontoPed[[#This Row],[GRUPO]],tabGrupos[#Data],3,FALSE)</f>
        <v>EDU</v>
      </c>
      <c r="H65" s="33" t="s">
        <v>1311</v>
      </c>
      <c r="I65" s="80">
        <v>4</v>
      </c>
      <c r="J65" s="39">
        <v>64</v>
      </c>
      <c r="K65" s="41">
        <f>tabPontoPed[[#This Row],[QTDMÊS]] * tabPontoPed[[#This Row],[MENSAL]]</f>
        <v>256</v>
      </c>
      <c r="L65" s="83"/>
      <c r="M65" s="81"/>
      <c r="N65" s="34" t="s">
        <v>1009</v>
      </c>
      <c r="O65" s="76"/>
      <c r="P65" s="77">
        <v>0</v>
      </c>
      <c r="Q65" s="57">
        <v>13</v>
      </c>
      <c r="R65" s="42">
        <v>7</v>
      </c>
      <c r="S65" s="69" t="str">
        <f>_xlfn.IFNA(IF(VLOOKUP(tabPontoPed[[#This Row],[CÓDIGO]],tabExcluirDoEstoque[#Data],1,FALSE),"sim",""),"")</f>
        <v/>
      </c>
      <c r="T65" s="43">
        <f>IF(AND(tabPontoPed[[#This Row],[MENSAL]]&gt;0,tabPontoPed[[#This Row],[CÁLCULO]]&gt;0), ABS( tabPontoPed[[#This Row],[MENSAL]] - tabPontoPed[[#This Row],[CÁLCULO]] ) / tabPontoPed[[#This Row],[MENSAL]], -1 )</f>
        <v>0.890625</v>
      </c>
      <c r="U65" s="58">
        <v>27</v>
      </c>
      <c r="V65" s="35">
        <f>IF(AND(tabPontoPed[[#This Row],[MENSAL]]&gt;0,tabPontoPed[[#This Row],[CÁLCULO]]&gt;0), IF( tabPontoPed[[#This Row],[MENSAL]] - tabPontoPed[[#This Row],[CÁLCULO]] &lt; 0, -1, IF( tabPontoPed[[#This Row],[MENSAL]] - tabPontoPed[[#This Row],[CÁLCULO]] &gt; 0, 1, -8)), -9 )</f>
        <v>1</v>
      </c>
      <c r="W65" s="35"/>
      <c r="X65" s="48" t="s">
        <v>1564</v>
      </c>
      <c r="Y65" s="53">
        <v>44391.599108796298</v>
      </c>
      <c r="Z65" s="72">
        <f>tabPontoPed[CÁLC_4M] - tabPontoPed[CÁLCULO]</f>
        <v>6</v>
      </c>
      <c r="AA65" s="79" t="str">
        <f>IF(tabPontoPed[MENSAL]-tabPontoPed[ATA MENSAL] = 0,"sim","")</f>
        <v/>
      </c>
      <c r="AB65" s="79"/>
      <c r="AC65" s="47" t="str">
        <f t="shared" si="0"/>
        <v>*</v>
      </c>
    </row>
    <row r="66" spans="1:29" x14ac:dyDescent="0.25">
      <c r="A66" s="36">
        <v>19998</v>
      </c>
      <c r="B66" s="68" t="s">
        <v>907</v>
      </c>
      <c r="C66" s="33" t="s">
        <v>1317</v>
      </c>
      <c r="D66" s="32">
        <v>70</v>
      </c>
      <c r="E66" s="37">
        <v>31</v>
      </c>
      <c r="F66" s="38" t="str">
        <f>VLOOKUP(tabPontoPed[[#This Row],[GRUPO]],tabGrupos[#Data],2,FALSE)</f>
        <v>FERRAMENTAS MAQ.FERRAMENTAS,ELETR.PECAS E ACESSORI</v>
      </c>
      <c r="G66" s="32" t="str">
        <f>VLOOKUP(tabPontoPed[[#This Row],[GRUPO]],tabGrupos[#Data],3,FALSE)</f>
        <v>MAN</v>
      </c>
      <c r="H66" s="33" t="s">
        <v>1311</v>
      </c>
      <c r="I66" s="80">
        <v>4</v>
      </c>
      <c r="J66" s="39">
        <v>9</v>
      </c>
      <c r="K66" s="41">
        <f>tabPontoPed[[#This Row],[QTDMÊS]] * tabPontoPed[[#This Row],[MENSAL]]</f>
        <v>36</v>
      </c>
      <c r="L66" s="83"/>
      <c r="M66" s="81"/>
      <c r="N66" s="34" t="s">
        <v>1009</v>
      </c>
      <c r="O66" s="76" t="s">
        <v>1708</v>
      </c>
      <c r="P66" s="77">
        <v>0</v>
      </c>
      <c r="Q66" s="57">
        <v>1</v>
      </c>
      <c r="R66" s="42">
        <v>1</v>
      </c>
      <c r="S66" s="69" t="str">
        <f>_xlfn.IFNA(IF(VLOOKUP(tabPontoPed[[#This Row],[CÓDIGO]],tabExcluirDoEstoque[#Data],1,FALSE),"sim",""),"")</f>
        <v/>
      </c>
      <c r="T66" s="43">
        <f>IF(AND(tabPontoPed[[#This Row],[MENSAL]]&gt;0,tabPontoPed[[#This Row],[CÁLCULO]]&gt;0), ABS( tabPontoPed[[#This Row],[MENSAL]] - tabPontoPed[[#This Row],[CÁLCULO]] ) / tabPontoPed[[#This Row],[MENSAL]], -1 )</f>
        <v>0.88888888888888884</v>
      </c>
      <c r="U66" s="58">
        <v>5</v>
      </c>
      <c r="V66" s="35">
        <f>IF(AND(tabPontoPed[[#This Row],[MENSAL]]&gt;0,tabPontoPed[[#This Row],[CÁLCULO]]&gt;0), IF( tabPontoPed[[#This Row],[MENSAL]] - tabPontoPed[[#This Row],[CÁLCULO]] &lt; 0, -1, IF( tabPontoPed[[#This Row],[MENSAL]] - tabPontoPed[[#This Row],[CÁLCULO]] &gt; 0, 1, -8)), -9 )</f>
        <v>1</v>
      </c>
      <c r="W66" s="35"/>
      <c r="X66" s="49" t="s">
        <v>1564</v>
      </c>
      <c r="Y66" s="51">
        <v>44391.599108796298</v>
      </c>
      <c r="Z66" s="72">
        <f>tabPontoPed[CÁLC_4M] - tabPontoPed[CÁLCULO]</f>
        <v>0</v>
      </c>
      <c r="AA66" s="79" t="str">
        <f>IF(tabPontoPed[MENSAL]-tabPontoPed[ATA MENSAL] = 0,"sim","")</f>
        <v/>
      </c>
      <c r="AB66" s="79"/>
      <c r="AC66" s="47" t="str">
        <f t="shared" si="0"/>
        <v>*</v>
      </c>
    </row>
    <row r="67" spans="1:29" x14ac:dyDescent="0.25">
      <c r="A67" s="36">
        <v>50475</v>
      </c>
      <c r="B67" s="68" t="s">
        <v>523</v>
      </c>
      <c r="C67" s="33" t="s">
        <v>1317</v>
      </c>
      <c r="D67" s="32">
        <v>51</v>
      </c>
      <c r="E67" s="37">
        <v>17</v>
      </c>
      <c r="F67" s="38" t="str">
        <f>VLOOKUP(tabPontoPed[[#This Row],[GRUPO]],tabGrupos[#Data],2,FALSE)</f>
        <v>MAT.E EQUIP. P/ CONSTR.CIVIL E CONSERV. DE VIAS PUBL.</v>
      </c>
      <c r="G67" s="32" t="str">
        <f>VLOOKUP(tabPontoPed[[#This Row],[GRUPO]],tabGrupos[#Data],3,FALSE)</f>
        <v>MCO</v>
      </c>
      <c r="H67" s="33" t="s">
        <v>1311</v>
      </c>
      <c r="I67" s="80">
        <v>4</v>
      </c>
      <c r="J67" s="39">
        <v>18</v>
      </c>
      <c r="K67" s="41">
        <f>tabPontoPed[[#This Row],[QTDMÊS]] * tabPontoPed[[#This Row],[MENSAL]]</f>
        <v>72</v>
      </c>
      <c r="L67" s="83"/>
      <c r="M67" s="81"/>
      <c r="N67" s="34" t="s">
        <v>1009</v>
      </c>
      <c r="O67" s="76" t="s">
        <v>1689</v>
      </c>
      <c r="P67" s="77">
        <v>0</v>
      </c>
      <c r="Q67" s="57">
        <v>0</v>
      </c>
      <c r="R67" s="42">
        <v>2</v>
      </c>
      <c r="S67" s="69" t="str">
        <f>_xlfn.IFNA(IF(VLOOKUP(tabPontoPed[[#This Row],[CÓDIGO]],tabExcluirDoEstoque[#Data],1,FALSE),"sim",""),"")</f>
        <v/>
      </c>
      <c r="T67" s="43">
        <f>IF(AND(tabPontoPed[[#This Row],[MENSAL]]&gt;0,tabPontoPed[[#This Row],[CÁLCULO]]&gt;0), ABS( tabPontoPed[[#This Row],[MENSAL]] - tabPontoPed[[#This Row],[CÁLCULO]] ) / tabPontoPed[[#This Row],[MENSAL]], -1 )</f>
        <v>0.88888888888888884</v>
      </c>
      <c r="U67" s="58">
        <v>15</v>
      </c>
      <c r="V67" s="35">
        <f>IF(AND(tabPontoPed[[#This Row],[MENSAL]]&gt;0,tabPontoPed[[#This Row],[CÁLCULO]]&gt;0), IF( tabPontoPed[[#This Row],[MENSAL]] - tabPontoPed[[#This Row],[CÁLCULO]] &lt; 0, -1, IF( tabPontoPed[[#This Row],[MENSAL]] - tabPontoPed[[#This Row],[CÁLCULO]] &gt; 0, 1, -8)), -9 )</f>
        <v>1</v>
      </c>
      <c r="W67" s="35"/>
      <c r="X67" s="49" t="s">
        <v>1564</v>
      </c>
      <c r="Y67" s="51">
        <v>44391.599108796298</v>
      </c>
      <c r="Z67" s="72">
        <f>tabPontoPed[CÁLC_4M] - tabPontoPed[CÁLCULO]</f>
        <v>-2</v>
      </c>
      <c r="AA67" s="79" t="str">
        <f>IF(tabPontoPed[MENSAL]-tabPontoPed[ATA MENSAL] = 0,"sim","")</f>
        <v/>
      </c>
      <c r="AB67" s="79"/>
      <c r="AC67" s="47" t="str">
        <f t="shared" ref="AC67:AC130" si="1">"*"</f>
        <v>*</v>
      </c>
    </row>
    <row r="68" spans="1:29" x14ac:dyDescent="0.25">
      <c r="A68" s="36">
        <v>28512</v>
      </c>
      <c r="B68" s="68" t="s">
        <v>722</v>
      </c>
      <c r="C68" s="33" t="s">
        <v>1317</v>
      </c>
      <c r="D68" s="32">
        <v>61</v>
      </c>
      <c r="E68" s="37">
        <v>2</v>
      </c>
      <c r="F68" s="38" t="str">
        <f>VLOOKUP(tabPontoPed[[#This Row],[GRUPO]],tabGrupos[#Data],2,FALSE)</f>
        <v>MATERIAL HIDRAULICO, CANOS, TUBOS, MANGUEIRAS, CONEXOES E ACESS.</v>
      </c>
      <c r="G68" s="32" t="str">
        <f>VLOOKUP(tabPontoPed[[#This Row],[GRUPO]],tabGrupos[#Data],3,FALSE)</f>
        <v>MHI</v>
      </c>
      <c r="H68" s="33" t="s">
        <v>1311</v>
      </c>
      <c r="I68" s="80">
        <v>4</v>
      </c>
      <c r="J68" s="39">
        <v>18</v>
      </c>
      <c r="K68" s="41">
        <f>tabPontoPed[[#This Row],[QTDMÊS]] * tabPontoPed[[#This Row],[MENSAL]]</f>
        <v>72</v>
      </c>
      <c r="L68" s="83"/>
      <c r="M68" s="81"/>
      <c r="N68" s="34" t="s">
        <v>1009</v>
      </c>
      <c r="O68" s="76"/>
      <c r="P68" s="77">
        <v>0</v>
      </c>
      <c r="Q68" s="57">
        <v>0</v>
      </c>
      <c r="R68" s="42">
        <v>2</v>
      </c>
      <c r="S68" s="69" t="str">
        <f>_xlfn.IFNA(IF(VLOOKUP(tabPontoPed[[#This Row],[CÓDIGO]],tabExcluirDoEstoque[#Data],1,FALSE),"sim",""),"")</f>
        <v/>
      </c>
      <c r="T68" s="43">
        <f>IF(AND(tabPontoPed[[#This Row],[MENSAL]]&gt;0,tabPontoPed[[#This Row],[CÁLCULO]]&gt;0), ABS( tabPontoPed[[#This Row],[MENSAL]] - tabPontoPed[[#This Row],[CÁLCULO]] ) / tabPontoPed[[#This Row],[MENSAL]], -1 )</f>
        <v>0.88888888888888884</v>
      </c>
      <c r="U68" s="58">
        <v>20</v>
      </c>
      <c r="V68" s="35">
        <f>IF(AND(tabPontoPed[[#This Row],[MENSAL]]&gt;0,tabPontoPed[[#This Row],[CÁLCULO]]&gt;0), IF( tabPontoPed[[#This Row],[MENSAL]] - tabPontoPed[[#This Row],[CÁLCULO]] &lt; 0, -1, IF( tabPontoPed[[#This Row],[MENSAL]] - tabPontoPed[[#This Row],[CÁLCULO]] &gt; 0, 1, -8)), -9 )</f>
        <v>1</v>
      </c>
      <c r="W68" s="35"/>
      <c r="X68" s="49" t="s">
        <v>1564</v>
      </c>
      <c r="Y68" s="51">
        <v>44391.599108796298</v>
      </c>
      <c r="Z68" s="72">
        <f>tabPontoPed[CÁLC_4M] - tabPontoPed[CÁLCULO]</f>
        <v>-2</v>
      </c>
      <c r="AA68" s="79" t="str">
        <f>IF(tabPontoPed[MENSAL]-tabPontoPed[ATA MENSAL] = 0,"sim","")</f>
        <v/>
      </c>
      <c r="AB68" s="79"/>
      <c r="AC68" s="47" t="str">
        <f t="shared" si="1"/>
        <v>*</v>
      </c>
    </row>
    <row r="69" spans="1:29" x14ac:dyDescent="0.25">
      <c r="A69" s="36">
        <v>12922</v>
      </c>
      <c r="B69" s="68" t="s">
        <v>281</v>
      </c>
      <c r="C69" s="33" t="s">
        <v>1317</v>
      </c>
      <c r="D69" s="32">
        <v>61</v>
      </c>
      <c r="E69" s="37">
        <v>8</v>
      </c>
      <c r="F69" s="38" t="str">
        <f>VLOOKUP(tabPontoPed[[#This Row],[GRUPO]],tabGrupos[#Data],2,FALSE)</f>
        <v>MATERIAL HIDRAULICO, CANOS, TUBOS, MANGUEIRAS, CONEXOES E ACESS.</v>
      </c>
      <c r="G69" s="32" t="str">
        <f>VLOOKUP(tabPontoPed[[#This Row],[GRUPO]],tabGrupos[#Data],3,FALSE)</f>
        <v>MHI</v>
      </c>
      <c r="H69" s="33" t="s">
        <v>1311</v>
      </c>
      <c r="I69" s="80">
        <v>4</v>
      </c>
      <c r="J69" s="39">
        <v>9</v>
      </c>
      <c r="K69" s="41">
        <f>tabPontoPed[[#This Row],[QTDMÊS]] * tabPontoPed[[#This Row],[MENSAL]]</f>
        <v>36</v>
      </c>
      <c r="L69" s="83"/>
      <c r="M69" s="81"/>
      <c r="N69" s="34" t="s">
        <v>1009</v>
      </c>
      <c r="O69" s="76" t="s">
        <v>1679</v>
      </c>
      <c r="P69" s="77">
        <v>0</v>
      </c>
      <c r="Q69" s="57">
        <v>1</v>
      </c>
      <c r="R69" s="42">
        <v>1</v>
      </c>
      <c r="S69" s="69" t="str">
        <f>_xlfn.IFNA(IF(VLOOKUP(tabPontoPed[[#This Row],[CÓDIGO]],tabExcluirDoEstoque[#Data],1,FALSE),"sim",""),"")</f>
        <v/>
      </c>
      <c r="T69" s="43">
        <f>IF(AND(tabPontoPed[[#This Row],[MENSAL]]&gt;0,tabPontoPed[[#This Row],[CÁLCULO]]&gt;0), ABS( tabPontoPed[[#This Row],[MENSAL]] - tabPontoPed[[#This Row],[CÁLCULO]] ) / tabPontoPed[[#This Row],[MENSAL]], -1 )</f>
        <v>0.88888888888888884</v>
      </c>
      <c r="U69" s="58">
        <v>8</v>
      </c>
      <c r="V69" s="35">
        <f>IF(AND(tabPontoPed[[#This Row],[MENSAL]]&gt;0,tabPontoPed[[#This Row],[CÁLCULO]]&gt;0), IF( tabPontoPed[[#This Row],[MENSAL]] - tabPontoPed[[#This Row],[CÁLCULO]] &lt; 0, -1, IF( tabPontoPed[[#This Row],[MENSAL]] - tabPontoPed[[#This Row],[CÁLCULO]] &gt; 0, 1, -8)), -9 )</f>
        <v>1</v>
      </c>
      <c r="W69" s="35"/>
      <c r="X69" s="48" t="s">
        <v>1564</v>
      </c>
      <c r="Y69" s="53">
        <v>44391.599108796298</v>
      </c>
      <c r="Z69" s="72">
        <f>tabPontoPed[CÁLC_4M] - tabPontoPed[CÁLCULO]</f>
        <v>0</v>
      </c>
      <c r="AA69" s="79" t="str">
        <f>IF(tabPontoPed[MENSAL]-tabPontoPed[ATA MENSAL] = 0,"sim","")</f>
        <v/>
      </c>
      <c r="AB69" s="79"/>
      <c r="AC69" s="47" t="str">
        <f t="shared" si="1"/>
        <v>*</v>
      </c>
    </row>
    <row r="70" spans="1:29" x14ac:dyDescent="0.25">
      <c r="A70" s="36">
        <v>78418</v>
      </c>
      <c r="B70" s="68" t="s">
        <v>864</v>
      </c>
      <c r="C70" s="33" t="s">
        <v>1317</v>
      </c>
      <c r="D70" s="32">
        <v>67</v>
      </c>
      <c r="E70" s="37">
        <v>16</v>
      </c>
      <c r="F70" s="38" t="str">
        <f>VLOOKUP(tabPontoPed[[#This Row],[GRUPO]],tabGrupos[#Data],2,FALSE)</f>
        <v>PARAFUSOS ELEM. VEDACAO UNIAO CONEX . FIXACAO</v>
      </c>
      <c r="G70" s="32" t="str">
        <f>VLOOKUP(tabPontoPed[[#This Row],[GRUPO]],tabGrupos[#Data],3,FALSE)</f>
        <v>MSE</v>
      </c>
      <c r="H70" s="33" t="s">
        <v>1311</v>
      </c>
      <c r="I70" s="80">
        <v>4</v>
      </c>
      <c r="J70" s="39">
        <v>9</v>
      </c>
      <c r="K70" s="41">
        <f>tabPontoPed[[#This Row],[QTDMÊS]] * tabPontoPed[[#This Row],[MENSAL]]</f>
        <v>36</v>
      </c>
      <c r="L70" s="83"/>
      <c r="M70" s="81"/>
      <c r="N70" s="34" t="s">
        <v>1009</v>
      </c>
      <c r="O70" s="76"/>
      <c r="P70" s="77">
        <v>0</v>
      </c>
      <c r="Q70" s="57">
        <v>0</v>
      </c>
      <c r="R70" s="42">
        <v>1</v>
      </c>
      <c r="S70" s="69" t="str">
        <f>_xlfn.IFNA(IF(VLOOKUP(tabPontoPed[[#This Row],[CÓDIGO]],tabExcluirDoEstoque[#Data],1,FALSE),"sim",""),"")</f>
        <v/>
      </c>
      <c r="T70" s="43">
        <f>IF(AND(tabPontoPed[[#This Row],[MENSAL]]&gt;0,tabPontoPed[[#This Row],[CÁLCULO]]&gt;0), ABS( tabPontoPed[[#This Row],[MENSAL]] - tabPontoPed[[#This Row],[CÁLCULO]] ) / tabPontoPed[[#This Row],[MENSAL]], -1 )</f>
        <v>0.88888888888888884</v>
      </c>
      <c r="U70" s="58">
        <v>4</v>
      </c>
      <c r="V70" s="35">
        <f>IF(AND(tabPontoPed[[#This Row],[MENSAL]]&gt;0,tabPontoPed[[#This Row],[CÁLCULO]]&gt;0), IF( tabPontoPed[[#This Row],[MENSAL]] - tabPontoPed[[#This Row],[CÁLCULO]] &lt; 0, -1, IF( tabPontoPed[[#This Row],[MENSAL]] - tabPontoPed[[#This Row],[CÁLCULO]] &gt; 0, 1, -8)), -9 )</f>
        <v>1</v>
      </c>
      <c r="W70" s="35"/>
      <c r="X70" s="49" t="s">
        <v>1564</v>
      </c>
      <c r="Y70" s="51">
        <v>44391.599108796298</v>
      </c>
      <c r="Z70" s="72">
        <f>tabPontoPed[CÁLC_4M] - tabPontoPed[CÁLCULO]</f>
        <v>-1</v>
      </c>
      <c r="AA70" s="79" t="str">
        <f>IF(tabPontoPed[MENSAL]-tabPontoPed[ATA MENSAL] = 0,"sim","")</f>
        <v/>
      </c>
      <c r="AB70" s="79"/>
      <c r="AC70" s="47" t="str">
        <f t="shared" si="1"/>
        <v>*</v>
      </c>
    </row>
    <row r="71" spans="1:29" x14ac:dyDescent="0.25">
      <c r="A71" s="36">
        <v>17698</v>
      </c>
      <c r="B71" s="68" t="s">
        <v>163</v>
      </c>
      <c r="C71" s="33" t="s">
        <v>1317</v>
      </c>
      <c r="D71" s="32">
        <v>83</v>
      </c>
      <c r="E71" s="37">
        <v>2</v>
      </c>
      <c r="F71" s="38" t="str">
        <f>VLOOKUP(tabPontoPed[[#This Row],[GRUPO]],tabGrupos[#Data],2,FALSE)</f>
        <v>ABRASIVOS</v>
      </c>
      <c r="G71" s="32" t="str">
        <f>VLOOKUP(tabPontoPed[[#This Row],[GRUPO]],tabGrupos[#Data],3,FALSE)</f>
        <v>MAN</v>
      </c>
      <c r="H71" s="33" t="s">
        <v>1311</v>
      </c>
      <c r="I71" s="80">
        <v>4</v>
      </c>
      <c r="J71" s="39">
        <v>44</v>
      </c>
      <c r="K71" s="41">
        <f>tabPontoPed[[#This Row],[QTDMÊS]] * tabPontoPed[[#This Row],[MENSAL]]</f>
        <v>176</v>
      </c>
      <c r="L71" s="83"/>
      <c r="M71" s="81"/>
      <c r="N71" s="34" t="s">
        <v>1009</v>
      </c>
      <c r="O71" s="76" t="s">
        <v>1658</v>
      </c>
      <c r="P71" s="77">
        <v>0</v>
      </c>
      <c r="Q71" s="57">
        <v>6</v>
      </c>
      <c r="R71" s="42">
        <v>5</v>
      </c>
      <c r="S71" s="69" t="str">
        <f>_xlfn.IFNA(IF(VLOOKUP(tabPontoPed[[#This Row],[CÓDIGO]],tabExcluirDoEstoque[#Data],1,FALSE),"sim",""),"")</f>
        <v/>
      </c>
      <c r="T71" s="43">
        <f>IF(AND(tabPontoPed[[#This Row],[MENSAL]]&gt;0,tabPontoPed[[#This Row],[CÁLCULO]]&gt;0), ABS( tabPontoPed[[#This Row],[MENSAL]] - tabPontoPed[[#This Row],[CÁLCULO]] ) / tabPontoPed[[#This Row],[MENSAL]], -1 )</f>
        <v>0.88636363636363635</v>
      </c>
      <c r="U71" s="58">
        <v>12</v>
      </c>
      <c r="V71" s="35">
        <f>IF(AND(tabPontoPed[[#This Row],[MENSAL]]&gt;0,tabPontoPed[[#This Row],[CÁLCULO]]&gt;0), IF( tabPontoPed[[#This Row],[MENSAL]] - tabPontoPed[[#This Row],[CÁLCULO]] &lt; 0, -1, IF( tabPontoPed[[#This Row],[MENSAL]] - tabPontoPed[[#This Row],[CÁLCULO]] &gt; 0, 1, -8)), -9 )</f>
        <v>1</v>
      </c>
      <c r="W71" s="35"/>
      <c r="X71" s="49" t="s">
        <v>1564</v>
      </c>
      <c r="Y71" s="51">
        <v>44391.599108796298</v>
      </c>
      <c r="Z71" s="72">
        <f>tabPontoPed[CÁLC_4M] - tabPontoPed[CÁLCULO]</f>
        <v>1</v>
      </c>
      <c r="AA71" s="79" t="str">
        <f>IF(tabPontoPed[MENSAL]-tabPontoPed[ATA MENSAL] = 0,"sim","")</f>
        <v/>
      </c>
      <c r="AB71" s="79" t="s">
        <v>1614</v>
      </c>
      <c r="AC71" s="47" t="str">
        <f t="shared" si="1"/>
        <v>*</v>
      </c>
    </row>
    <row r="72" spans="1:29" x14ac:dyDescent="0.25">
      <c r="A72" s="36">
        <v>64817</v>
      </c>
      <c r="B72" s="68" t="s">
        <v>266</v>
      </c>
      <c r="C72" s="33" t="s">
        <v>1317</v>
      </c>
      <c r="D72" s="32">
        <v>69</v>
      </c>
      <c r="E72" s="37">
        <v>8</v>
      </c>
      <c r="F72" s="38" t="str">
        <f>VLOOKUP(tabPontoPed[[#This Row],[GRUPO]],tabGrupos[#Data],2,FALSE)</f>
        <v>METAIS,LAMINAD.,PERFILADOS E ARTEFATOS METALICOS</v>
      </c>
      <c r="G72" s="32" t="str">
        <f>VLOOKUP(tabPontoPed[[#This Row],[GRUPO]],tabGrupos[#Data],3,FALSE)</f>
        <v>MSE</v>
      </c>
      <c r="H72" s="33" t="s">
        <v>1311</v>
      </c>
      <c r="I72" s="80">
        <v>4</v>
      </c>
      <c r="J72" s="39">
        <v>17</v>
      </c>
      <c r="K72" s="41">
        <f>tabPontoPed[[#This Row],[QTDMÊS]] * tabPontoPed[[#This Row],[MENSAL]]</f>
        <v>68</v>
      </c>
      <c r="L72" s="83"/>
      <c r="M72" s="81"/>
      <c r="N72" s="34" t="s">
        <v>1009</v>
      </c>
      <c r="O72" s="76" t="s">
        <v>1673</v>
      </c>
      <c r="P72" s="77">
        <v>0</v>
      </c>
      <c r="Q72" s="57">
        <v>1</v>
      </c>
      <c r="R72" s="42">
        <v>2</v>
      </c>
      <c r="S72" s="69" t="str">
        <f>_xlfn.IFNA(IF(VLOOKUP(tabPontoPed[[#This Row],[CÓDIGO]],tabExcluirDoEstoque[#Data],1,FALSE),"sim",""),"")</f>
        <v/>
      </c>
      <c r="T72" s="43">
        <f>IF(AND(tabPontoPed[[#This Row],[MENSAL]]&gt;0,tabPontoPed[[#This Row],[CÁLCULO]]&gt;0), ABS( tabPontoPed[[#This Row],[MENSAL]] - tabPontoPed[[#This Row],[CÁLCULO]] ) / tabPontoPed[[#This Row],[MENSAL]], -1 )</f>
        <v>0.88235294117647056</v>
      </c>
      <c r="U72" s="58">
        <v>10</v>
      </c>
      <c r="V72" s="35">
        <f>IF(AND(tabPontoPed[[#This Row],[MENSAL]]&gt;0,tabPontoPed[[#This Row],[CÁLCULO]]&gt;0), IF( tabPontoPed[[#This Row],[MENSAL]] - tabPontoPed[[#This Row],[CÁLCULO]] &lt; 0, -1, IF( tabPontoPed[[#This Row],[MENSAL]] - tabPontoPed[[#This Row],[CÁLCULO]] &gt; 0, 1, -8)), -9 )</f>
        <v>1</v>
      </c>
      <c r="W72" s="35"/>
      <c r="X72" s="49" t="s">
        <v>1564</v>
      </c>
      <c r="Y72" s="51">
        <v>44391.599108796298</v>
      </c>
      <c r="Z72" s="72">
        <f>tabPontoPed[CÁLC_4M] - tabPontoPed[CÁLCULO]</f>
        <v>-1</v>
      </c>
      <c r="AA72" s="79" t="str">
        <f>IF(tabPontoPed[MENSAL]-tabPontoPed[ATA MENSAL] = 0,"sim","")</f>
        <v/>
      </c>
      <c r="AB72" s="79" t="s">
        <v>1614</v>
      </c>
      <c r="AC72" s="47" t="str">
        <f t="shared" si="1"/>
        <v>*</v>
      </c>
    </row>
    <row r="73" spans="1:29" x14ac:dyDescent="0.25">
      <c r="A73" s="36">
        <v>14887</v>
      </c>
      <c r="B73" s="68" t="s">
        <v>21</v>
      </c>
      <c r="C73" s="33" t="s">
        <v>1317</v>
      </c>
      <c r="D73" s="32">
        <v>55</v>
      </c>
      <c r="E73" s="37">
        <v>32</v>
      </c>
      <c r="F73" s="38" t="str">
        <f>VLOOKUP(tabPontoPed[[#This Row],[GRUPO]],tabGrupos[#Data],2,FALSE)</f>
        <v>EQUIP. MAT. P/ GERACAO, TRANSM. DISTR. RETIF...</v>
      </c>
      <c r="G73" s="32" t="str">
        <f>VLOOKUP(tabPontoPed[[#This Row],[GRUPO]],tabGrupos[#Data],3,FALSE)</f>
        <v>MEL</v>
      </c>
      <c r="H73" s="33" t="s">
        <v>1321</v>
      </c>
      <c r="I73" s="80">
        <v>3</v>
      </c>
      <c r="J73" s="39">
        <v>42</v>
      </c>
      <c r="K73" s="41">
        <f>tabPontoPed[[#This Row],[QTDMÊS]] * tabPontoPed[[#This Row],[MENSAL]]</f>
        <v>126</v>
      </c>
      <c r="L73" s="83"/>
      <c r="M73" s="81"/>
      <c r="N73" s="34" t="s">
        <v>1009</v>
      </c>
      <c r="O73" s="76" t="s">
        <v>1676</v>
      </c>
      <c r="P73" s="77">
        <v>0</v>
      </c>
      <c r="Q73" s="57">
        <v>0</v>
      </c>
      <c r="R73" s="42">
        <v>5</v>
      </c>
      <c r="S73" s="69" t="str">
        <f>_xlfn.IFNA(IF(VLOOKUP(tabPontoPed[[#This Row],[CÓDIGO]],tabExcluirDoEstoque[#Data],1,FALSE),"sim",""),"")</f>
        <v/>
      </c>
      <c r="T73" s="43">
        <f>IF(AND(tabPontoPed[[#This Row],[MENSAL]]&gt;0,tabPontoPed[[#This Row],[CÁLCULO]]&gt;0), ABS( tabPontoPed[[#This Row],[MENSAL]] - tabPontoPed[[#This Row],[CÁLCULO]] ) / tabPontoPed[[#This Row],[MENSAL]], -1 )</f>
        <v>0.88095238095238093</v>
      </c>
      <c r="U73" s="58">
        <v>50</v>
      </c>
      <c r="V73" s="35">
        <f>IF(AND(tabPontoPed[[#This Row],[MENSAL]]&gt;0,tabPontoPed[[#This Row],[CÁLCULO]]&gt;0), IF( tabPontoPed[[#This Row],[MENSAL]] - tabPontoPed[[#This Row],[CÁLCULO]] &lt; 0, -1, IF( tabPontoPed[[#This Row],[MENSAL]] - tabPontoPed[[#This Row],[CÁLCULO]] &gt; 0, 1, -8)), -9 )</f>
        <v>1</v>
      </c>
      <c r="W73" s="35"/>
      <c r="X73" s="49" t="s">
        <v>1450</v>
      </c>
      <c r="Y73" s="51">
        <v>43707.367546296293</v>
      </c>
      <c r="Z73" s="72">
        <f>tabPontoPed[CÁLC_4M] - tabPontoPed[CÁLCULO]</f>
        <v>-5</v>
      </c>
      <c r="AA73" s="79" t="str">
        <f>IF(tabPontoPed[MENSAL]-tabPontoPed[ATA MENSAL] = 0,"sim","")</f>
        <v/>
      </c>
      <c r="AB73" s="79" t="s">
        <v>1614</v>
      </c>
      <c r="AC73" s="47" t="str">
        <f t="shared" si="1"/>
        <v>*</v>
      </c>
    </row>
    <row r="74" spans="1:29" x14ac:dyDescent="0.25">
      <c r="A74" s="36">
        <v>114976</v>
      </c>
      <c r="B74" s="68" t="s">
        <v>130</v>
      </c>
      <c r="C74" s="33" t="s">
        <v>1317</v>
      </c>
      <c r="D74" s="32">
        <v>55</v>
      </c>
      <c r="E74" s="37">
        <v>19</v>
      </c>
      <c r="F74" s="38" t="str">
        <f>VLOOKUP(tabPontoPed[[#This Row],[GRUPO]],tabGrupos[#Data],2,FALSE)</f>
        <v>EQUIP. MAT. P/ GERACAO, TRANSM. DISTR. RETIF...</v>
      </c>
      <c r="G74" s="32" t="str">
        <f>VLOOKUP(tabPontoPed[[#This Row],[GRUPO]],tabGrupos[#Data],3,FALSE)</f>
        <v>MEL</v>
      </c>
      <c r="H74" s="33" t="s">
        <v>1311</v>
      </c>
      <c r="I74" s="80">
        <v>4</v>
      </c>
      <c r="J74" s="39">
        <v>25</v>
      </c>
      <c r="K74" s="41">
        <f>tabPontoPed[[#This Row],[QTDMÊS]] * tabPontoPed[[#This Row],[MENSAL]]</f>
        <v>100</v>
      </c>
      <c r="L74" s="83"/>
      <c r="M74" s="81"/>
      <c r="N74" s="34" t="s">
        <v>1009</v>
      </c>
      <c r="O74" s="76" t="s">
        <v>1472</v>
      </c>
      <c r="P74" s="77">
        <v>0</v>
      </c>
      <c r="Q74" s="57">
        <v>8</v>
      </c>
      <c r="R74" s="42">
        <v>3</v>
      </c>
      <c r="S74" s="69" t="str">
        <f>_xlfn.IFNA(IF(VLOOKUP(tabPontoPed[[#This Row],[CÓDIGO]],tabExcluirDoEstoque[#Data],1,FALSE),"sim",""),"")</f>
        <v/>
      </c>
      <c r="T74" s="43">
        <f>IF(AND(tabPontoPed[[#This Row],[MENSAL]]&gt;0,tabPontoPed[[#This Row],[CÁLCULO]]&gt;0), ABS( tabPontoPed[[#This Row],[MENSAL]] - tabPontoPed[[#This Row],[CÁLCULO]] ) / tabPontoPed[[#This Row],[MENSAL]], -1 )</f>
        <v>0.88</v>
      </c>
      <c r="U74" s="58">
        <v>30</v>
      </c>
      <c r="V74" s="35">
        <f>IF(AND(tabPontoPed[[#This Row],[MENSAL]]&gt;0,tabPontoPed[[#This Row],[CÁLCULO]]&gt;0), IF( tabPontoPed[[#This Row],[MENSAL]] - tabPontoPed[[#This Row],[CÁLCULO]] &lt; 0, -1, IF( tabPontoPed[[#This Row],[MENSAL]] - tabPontoPed[[#This Row],[CÁLCULO]] &gt; 0, 1, -8)), -9 )</f>
        <v>1</v>
      </c>
      <c r="W74" s="35"/>
      <c r="X74" s="49" t="s">
        <v>1564</v>
      </c>
      <c r="Y74" s="51">
        <v>44391.599108796298</v>
      </c>
      <c r="Z74" s="72">
        <f>tabPontoPed[CÁLC_4M] - tabPontoPed[CÁLCULO]</f>
        <v>5</v>
      </c>
      <c r="AA74" s="79" t="str">
        <f>IF(tabPontoPed[MENSAL]-tabPontoPed[ATA MENSAL] = 0,"sim","")</f>
        <v/>
      </c>
      <c r="AB74" s="79"/>
      <c r="AC74" s="47" t="str">
        <f t="shared" si="1"/>
        <v>*</v>
      </c>
    </row>
    <row r="75" spans="1:29" x14ac:dyDescent="0.25">
      <c r="A75" s="36">
        <v>67939</v>
      </c>
      <c r="B75" s="68" t="s">
        <v>1501</v>
      </c>
      <c r="C75" s="33">
        <v>1</v>
      </c>
      <c r="D75" s="32">
        <v>51</v>
      </c>
      <c r="E75" s="37">
        <v>28</v>
      </c>
      <c r="F75" s="38" t="str">
        <f>VLOOKUP(tabPontoPed[[#This Row],[GRUPO]],tabGrupos[#Data],2,FALSE)</f>
        <v>MAT.E EQUIP. P/ CONSTR.CIVIL E CONSERV. DE VIAS PUBL.</v>
      </c>
      <c r="G75" s="32" t="str">
        <f>VLOOKUP(tabPontoPed[[#This Row],[GRUPO]],tabGrupos[#Data],3,FALSE)</f>
        <v>MCO</v>
      </c>
      <c r="H75" s="33" t="s">
        <v>1311</v>
      </c>
      <c r="I75" s="80">
        <v>4</v>
      </c>
      <c r="J75" s="39">
        <v>33</v>
      </c>
      <c r="K75" s="41">
        <f>tabPontoPed[[#This Row],[QTDMÊS]] * tabPontoPed[[#This Row],[MENSAL]]</f>
        <v>132</v>
      </c>
      <c r="L75" s="83"/>
      <c r="M75" s="81"/>
      <c r="N75" s="34" t="s">
        <v>1009</v>
      </c>
      <c r="O75" s="76" t="s">
        <v>1669</v>
      </c>
      <c r="P75" s="77">
        <v>0</v>
      </c>
      <c r="Q75" s="57">
        <v>5</v>
      </c>
      <c r="R75" s="42">
        <v>4</v>
      </c>
      <c r="S75" s="69" t="str">
        <f>_xlfn.IFNA(IF(VLOOKUP(tabPontoPed[[#This Row],[CÓDIGO]],tabExcluirDoEstoque[#Data],1,FALSE),"sim",""),"")</f>
        <v/>
      </c>
      <c r="T75" s="43">
        <f>IF(AND(tabPontoPed[[#This Row],[MENSAL]]&gt;0,tabPontoPed[[#This Row],[CÁLCULO]]&gt;0), ABS( tabPontoPed[[#This Row],[MENSAL]] - tabPontoPed[[#This Row],[CÁLCULO]] ) / tabPontoPed[[#This Row],[MENSAL]], -1 )</f>
        <v>0.87878787878787878</v>
      </c>
      <c r="U75" s="58">
        <v>27</v>
      </c>
      <c r="V75" s="35">
        <f>IF(AND(tabPontoPed[[#This Row],[MENSAL]]&gt;0,tabPontoPed[[#This Row],[CÁLCULO]]&gt;0), IF( tabPontoPed[[#This Row],[MENSAL]] - tabPontoPed[[#This Row],[CÁLCULO]] &lt; 0, -1, IF( tabPontoPed[[#This Row],[MENSAL]] - tabPontoPed[[#This Row],[CÁLCULO]] &gt; 0, 1, -8)), -9 )</f>
        <v>1</v>
      </c>
      <c r="W75" s="35"/>
      <c r="X75" s="49" t="s">
        <v>1564</v>
      </c>
      <c r="Y75" s="51">
        <v>44391.599108796298</v>
      </c>
      <c r="Z75" s="72">
        <f>tabPontoPed[CÁLC_4M] - tabPontoPed[CÁLCULO]</f>
        <v>1</v>
      </c>
      <c r="AA75" s="79" t="str">
        <f>IF(tabPontoPed[MENSAL]-tabPontoPed[ATA MENSAL] = 0,"sim","")</f>
        <v/>
      </c>
      <c r="AB75" s="79"/>
      <c r="AC75" s="47" t="str">
        <f t="shared" si="1"/>
        <v>*</v>
      </c>
    </row>
    <row r="76" spans="1:29" x14ac:dyDescent="0.25">
      <c r="A76" s="36">
        <v>28093</v>
      </c>
      <c r="B76" s="68" t="s">
        <v>151</v>
      </c>
      <c r="C76" s="33" t="s">
        <v>1317</v>
      </c>
      <c r="D76" s="32">
        <v>51</v>
      </c>
      <c r="E76" s="37">
        <v>11</v>
      </c>
      <c r="F76" s="38" t="str">
        <f>VLOOKUP(tabPontoPed[[#This Row],[GRUPO]],tabGrupos[#Data],2,FALSE)</f>
        <v>MAT.E EQUIP. P/ CONSTR.CIVIL E CONSERV. DE VIAS PUBL.</v>
      </c>
      <c r="G76" s="32" t="str">
        <f>VLOOKUP(tabPontoPed[[#This Row],[GRUPO]],tabGrupos[#Data],3,FALSE)</f>
        <v>MCO</v>
      </c>
      <c r="H76" s="33" t="s">
        <v>1311</v>
      </c>
      <c r="I76" s="80">
        <v>4</v>
      </c>
      <c r="J76" s="39">
        <v>8</v>
      </c>
      <c r="K76" s="41">
        <f>tabPontoPed[[#This Row],[QTDMÊS]] * tabPontoPed[[#This Row],[MENSAL]]</f>
        <v>32</v>
      </c>
      <c r="L76" s="83"/>
      <c r="M76" s="81"/>
      <c r="N76" s="34" t="s">
        <v>1009</v>
      </c>
      <c r="O76" s="76" t="s">
        <v>1675</v>
      </c>
      <c r="P76" s="77">
        <v>0</v>
      </c>
      <c r="Q76" s="57">
        <v>2</v>
      </c>
      <c r="R76" s="42">
        <v>1</v>
      </c>
      <c r="S76" s="69" t="str">
        <f>_xlfn.IFNA(IF(VLOOKUP(tabPontoPed[[#This Row],[CÓDIGO]],tabExcluirDoEstoque[#Data],1,FALSE),"sim",""),"")</f>
        <v/>
      </c>
      <c r="T76" s="43">
        <f>IF(AND(tabPontoPed[[#This Row],[MENSAL]]&gt;0,tabPontoPed[[#This Row],[CÁLCULO]]&gt;0), ABS( tabPontoPed[[#This Row],[MENSAL]] - tabPontoPed[[#This Row],[CÁLCULO]] ) / tabPontoPed[[#This Row],[MENSAL]], -1 )</f>
        <v>0.875</v>
      </c>
      <c r="U76" s="58">
        <v>5</v>
      </c>
      <c r="V76" s="35">
        <f>IF(AND(tabPontoPed[[#This Row],[MENSAL]]&gt;0,tabPontoPed[[#This Row],[CÁLCULO]]&gt;0), IF( tabPontoPed[[#This Row],[MENSAL]] - tabPontoPed[[#This Row],[CÁLCULO]] &lt; 0, -1, IF( tabPontoPed[[#This Row],[MENSAL]] - tabPontoPed[[#This Row],[CÁLCULO]] &gt; 0, 1, -8)), -9 )</f>
        <v>1</v>
      </c>
      <c r="W76" s="35"/>
      <c r="X76" s="49" t="s">
        <v>1564</v>
      </c>
      <c r="Y76" s="51">
        <v>44391.599108796298</v>
      </c>
      <c r="Z76" s="72">
        <f>tabPontoPed[CÁLC_4M] - tabPontoPed[CÁLCULO]</f>
        <v>1</v>
      </c>
      <c r="AA76" s="79" t="str">
        <f>IF(tabPontoPed[MENSAL]-tabPontoPed[ATA MENSAL] = 0,"sim","")</f>
        <v/>
      </c>
      <c r="AB76" s="79"/>
      <c r="AC76" s="47" t="str">
        <f t="shared" si="1"/>
        <v>*</v>
      </c>
    </row>
    <row r="77" spans="1:29" x14ac:dyDescent="0.25">
      <c r="A77" s="36">
        <v>88740</v>
      </c>
      <c r="B77" s="68" t="s">
        <v>345</v>
      </c>
      <c r="C77" s="33" t="s">
        <v>1317</v>
      </c>
      <c r="D77" s="32">
        <v>55</v>
      </c>
      <c r="E77" s="37">
        <v>26</v>
      </c>
      <c r="F77" s="38" t="str">
        <f>VLOOKUP(tabPontoPed[[#This Row],[GRUPO]],tabGrupos[#Data],2,FALSE)</f>
        <v>EQUIP. MAT. P/ GERACAO, TRANSM. DISTR. RETIF...</v>
      </c>
      <c r="G77" s="32" t="str">
        <f>VLOOKUP(tabPontoPed[[#This Row],[GRUPO]],tabGrupos[#Data],3,FALSE)</f>
        <v>MEL</v>
      </c>
      <c r="H77" s="33" t="s">
        <v>1311</v>
      </c>
      <c r="I77" s="80">
        <v>4</v>
      </c>
      <c r="J77" s="39">
        <v>8</v>
      </c>
      <c r="K77" s="41">
        <f>tabPontoPed[[#This Row],[QTDMÊS]] * tabPontoPed[[#This Row],[MENSAL]]</f>
        <v>32</v>
      </c>
      <c r="L77" s="83"/>
      <c r="M77" s="81"/>
      <c r="N77" s="34" t="s">
        <v>1009</v>
      </c>
      <c r="O77" s="76" t="s">
        <v>1677</v>
      </c>
      <c r="P77" s="77">
        <v>0</v>
      </c>
      <c r="Q77" s="57">
        <v>2</v>
      </c>
      <c r="R77" s="42">
        <v>1</v>
      </c>
      <c r="S77" s="69" t="str">
        <f>_xlfn.IFNA(IF(VLOOKUP(tabPontoPed[[#This Row],[CÓDIGO]],tabExcluirDoEstoque[#Data],1,FALSE),"sim",""),"")</f>
        <v/>
      </c>
      <c r="T77" s="43">
        <f>IF(AND(tabPontoPed[[#This Row],[MENSAL]]&gt;0,tabPontoPed[[#This Row],[CÁLCULO]]&gt;0), ABS( tabPontoPed[[#This Row],[MENSAL]] - tabPontoPed[[#This Row],[CÁLCULO]] ) / tabPontoPed[[#This Row],[MENSAL]], -1 )</f>
        <v>0.875</v>
      </c>
      <c r="U77" s="58">
        <v>5</v>
      </c>
      <c r="V77" s="35">
        <f>IF(AND(tabPontoPed[[#This Row],[MENSAL]]&gt;0,tabPontoPed[[#This Row],[CÁLCULO]]&gt;0), IF( tabPontoPed[[#This Row],[MENSAL]] - tabPontoPed[[#This Row],[CÁLCULO]] &lt; 0, -1, IF( tabPontoPed[[#This Row],[MENSAL]] - tabPontoPed[[#This Row],[CÁLCULO]] &gt; 0, 1, -8)), -9 )</f>
        <v>1</v>
      </c>
      <c r="W77" s="35"/>
      <c r="X77" s="49" t="s">
        <v>1564</v>
      </c>
      <c r="Y77" s="51">
        <v>44391.599108796298</v>
      </c>
      <c r="Z77" s="72">
        <f>tabPontoPed[CÁLC_4M] - tabPontoPed[CÁLCULO]</f>
        <v>1</v>
      </c>
      <c r="AA77" s="79" t="str">
        <f>IF(tabPontoPed[MENSAL]-tabPontoPed[ATA MENSAL] = 0,"sim","")</f>
        <v/>
      </c>
      <c r="AB77" s="79"/>
      <c r="AC77" s="47" t="str">
        <f t="shared" si="1"/>
        <v>*</v>
      </c>
    </row>
    <row r="78" spans="1:29" x14ac:dyDescent="0.25">
      <c r="A78" s="36">
        <v>88734</v>
      </c>
      <c r="B78" s="68" t="s">
        <v>362</v>
      </c>
      <c r="C78" s="33" t="s">
        <v>1317</v>
      </c>
      <c r="D78" s="32">
        <v>55</v>
      </c>
      <c r="E78" s="37">
        <v>26</v>
      </c>
      <c r="F78" s="38" t="str">
        <f>VLOOKUP(tabPontoPed[[#This Row],[GRUPO]],tabGrupos[#Data],2,FALSE)</f>
        <v>EQUIP. MAT. P/ GERACAO, TRANSM. DISTR. RETIF...</v>
      </c>
      <c r="G78" s="32" t="str">
        <f>VLOOKUP(tabPontoPed[[#This Row],[GRUPO]],tabGrupos[#Data],3,FALSE)</f>
        <v>MEL</v>
      </c>
      <c r="H78" s="33" t="s">
        <v>1311</v>
      </c>
      <c r="I78" s="80">
        <v>4</v>
      </c>
      <c r="J78" s="39">
        <v>8</v>
      </c>
      <c r="K78" s="41">
        <f>tabPontoPed[[#This Row],[QTDMÊS]] * tabPontoPed[[#This Row],[MENSAL]]</f>
        <v>32</v>
      </c>
      <c r="L78" s="83"/>
      <c r="M78" s="81"/>
      <c r="N78" s="34" t="s">
        <v>1009</v>
      </c>
      <c r="O78" s="76" t="s">
        <v>1670</v>
      </c>
      <c r="P78" s="77">
        <v>0</v>
      </c>
      <c r="Q78" s="57">
        <v>1</v>
      </c>
      <c r="R78" s="42">
        <v>1</v>
      </c>
      <c r="S78" s="69" t="str">
        <f>_xlfn.IFNA(IF(VLOOKUP(tabPontoPed[[#This Row],[CÓDIGO]],tabExcluirDoEstoque[#Data],1,FALSE),"sim",""),"")</f>
        <v/>
      </c>
      <c r="T78" s="43">
        <f>IF(AND(tabPontoPed[[#This Row],[MENSAL]]&gt;0,tabPontoPed[[#This Row],[CÁLCULO]]&gt;0), ABS( tabPontoPed[[#This Row],[MENSAL]] - tabPontoPed[[#This Row],[CÁLCULO]] ) / tabPontoPed[[#This Row],[MENSAL]], -1 )</f>
        <v>0.875</v>
      </c>
      <c r="U78" s="58">
        <v>2</v>
      </c>
      <c r="V78" s="35">
        <f>IF(AND(tabPontoPed[[#This Row],[MENSAL]]&gt;0,tabPontoPed[[#This Row],[CÁLCULO]]&gt;0), IF( tabPontoPed[[#This Row],[MENSAL]] - tabPontoPed[[#This Row],[CÁLCULO]] &lt; 0, -1, IF( tabPontoPed[[#This Row],[MENSAL]] - tabPontoPed[[#This Row],[CÁLCULO]] &gt; 0, 1, -8)), -9 )</f>
        <v>1</v>
      </c>
      <c r="W78" s="35"/>
      <c r="X78" s="49" t="s">
        <v>1564</v>
      </c>
      <c r="Y78" s="51">
        <v>44391.599108796298</v>
      </c>
      <c r="Z78" s="72">
        <f>tabPontoPed[CÁLC_4M] - tabPontoPed[CÁLCULO]</f>
        <v>0</v>
      </c>
      <c r="AA78" s="79" t="str">
        <f>IF(tabPontoPed[MENSAL]-tabPontoPed[ATA MENSAL] = 0,"sim","")</f>
        <v/>
      </c>
      <c r="AB78" s="79"/>
      <c r="AC78" s="47" t="str">
        <f t="shared" si="1"/>
        <v>*</v>
      </c>
    </row>
    <row r="79" spans="1:29" x14ac:dyDescent="0.25">
      <c r="A79" s="36">
        <v>82185</v>
      </c>
      <c r="B79" s="68" t="s">
        <v>221</v>
      </c>
      <c r="C79" s="33" t="s">
        <v>1317</v>
      </c>
      <c r="D79" s="32">
        <v>74</v>
      </c>
      <c r="E79" s="37">
        <v>3</v>
      </c>
      <c r="F79" s="38" t="str">
        <f>VLOOKUP(tabPontoPed[[#This Row],[GRUPO]],tabGrupos[#Data],2,FALSE)</f>
        <v>MADEIRAS,LAMINADOS,COMPENSADOS E AGLOMERADOS</v>
      </c>
      <c r="G79" s="32" t="str">
        <f>VLOOKUP(tabPontoPed[[#This Row],[GRUPO]],tabGrupos[#Data],3,FALSE)</f>
        <v>MCO</v>
      </c>
      <c r="H79" s="33" t="s">
        <v>1311</v>
      </c>
      <c r="I79" s="80">
        <v>4</v>
      </c>
      <c r="J79" s="39">
        <v>15</v>
      </c>
      <c r="K79" s="41">
        <f>tabPontoPed[[#This Row],[QTDMÊS]] * tabPontoPed[[#This Row],[MENSAL]]</f>
        <v>60</v>
      </c>
      <c r="L79" s="83"/>
      <c r="M79" s="81"/>
      <c r="N79" s="34" t="s">
        <v>1009</v>
      </c>
      <c r="O79" s="76" t="s">
        <v>1669</v>
      </c>
      <c r="P79" s="77">
        <v>0</v>
      </c>
      <c r="Q79" s="57">
        <v>0</v>
      </c>
      <c r="R79" s="42">
        <v>2</v>
      </c>
      <c r="S79" s="69" t="str">
        <f>_xlfn.IFNA(IF(VLOOKUP(tabPontoPed[[#This Row],[CÓDIGO]],tabExcluirDoEstoque[#Data],1,FALSE),"sim",""),"")</f>
        <v/>
      </c>
      <c r="T79" s="43">
        <f>IF(AND(tabPontoPed[[#This Row],[MENSAL]]&gt;0,tabPontoPed[[#This Row],[CÁLCULO]]&gt;0), ABS( tabPontoPed[[#This Row],[MENSAL]] - tabPontoPed[[#This Row],[CÁLCULO]] ) / tabPontoPed[[#This Row],[MENSAL]], -1 )</f>
        <v>0.8666666666666667</v>
      </c>
      <c r="U79" s="58">
        <v>15</v>
      </c>
      <c r="V79" s="35">
        <f>IF(AND(tabPontoPed[[#This Row],[MENSAL]]&gt;0,tabPontoPed[[#This Row],[CÁLCULO]]&gt;0), IF( tabPontoPed[[#This Row],[MENSAL]] - tabPontoPed[[#This Row],[CÁLCULO]] &lt; 0, -1, IF( tabPontoPed[[#This Row],[MENSAL]] - tabPontoPed[[#This Row],[CÁLCULO]] &gt; 0, 1, -8)), -9 )</f>
        <v>1</v>
      </c>
      <c r="W79" s="35"/>
      <c r="X79" s="48" t="s">
        <v>1564</v>
      </c>
      <c r="Y79" s="53">
        <v>44391.599108796298</v>
      </c>
      <c r="Z79" s="72">
        <f>tabPontoPed[CÁLC_4M] - tabPontoPed[CÁLCULO]</f>
        <v>-2</v>
      </c>
      <c r="AA79" s="79" t="str">
        <f>IF(tabPontoPed[MENSAL]-tabPontoPed[ATA MENSAL] = 0,"sim","")</f>
        <v/>
      </c>
      <c r="AB79" s="79"/>
      <c r="AC79" s="47" t="str">
        <f t="shared" si="1"/>
        <v>*</v>
      </c>
    </row>
    <row r="80" spans="1:29" x14ac:dyDescent="0.25">
      <c r="A80" s="36">
        <v>134556</v>
      </c>
      <c r="B80" s="68" t="s">
        <v>391</v>
      </c>
      <c r="C80" s="33" t="s">
        <v>1317</v>
      </c>
      <c r="D80" s="32">
        <v>74</v>
      </c>
      <c r="E80" s="37">
        <v>2</v>
      </c>
      <c r="F80" s="38" t="str">
        <f>VLOOKUP(tabPontoPed[[#This Row],[GRUPO]],tabGrupos[#Data],2,FALSE)</f>
        <v>MADEIRAS,LAMINADOS,COMPENSADOS E AGLOMERADOS</v>
      </c>
      <c r="G80" s="32" t="str">
        <f>VLOOKUP(tabPontoPed[[#This Row],[GRUPO]],tabGrupos[#Data],3,FALSE)</f>
        <v>MCO</v>
      </c>
      <c r="H80" s="33" t="s">
        <v>1311</v>
      </c>
      <c r="I80" s="80">
        <v>4</v>
      </c>
      <c r="J80" s="39">
        <v>7</v>
      </c>
      <c r="K80" s="41">
        <f>tabPontoPed[[#This Row],[QTDMÊS]] * tabPontoPed[[#This Row],[MENSAL]]</f>
        <v>28</v>
      </c>
      <c r="L80" s="83"/>
      <c r="M80" s="81"/>
      <c r="N80" s="34" t="s">
        <v>1009</v>
      </c>
      <c r="O80" s="76" t="s">
        <v>1684</v>
      </c>
      <c r="P80" s="77">
        <v>0</v>
      </c>
      <c r="Q80" s="57">
        <v>22</v>
      </c>
      <c r="R80" s="42">
        <v>13</v>
      </c>
      <c r="S80" s="69" t="str">
        <f>_xlfn.IFNA(IF(VLOOKUP(tabPontoPed[[#This Row],[CÓDIGO]],tabExcluirDoEstoque[#Data],1,FALSE),"sim",""),"")</f>
        <v/>
      </c>
      <c r="T80" s="43">
        <f>IF(AND(tabPontoPed[[#This Row],[MENSAL]]&gt;0,tabPontoPed[[#This Row],[CÁLCULO]]&gt;0), ABS( tabPontoPed[[#This Row],[MENSAL]] - tabPontoPed[[#This Row],[CÁLCULO]] ) / tabPontoPed[[#This Row],[MENSAL]], -1 )</f>
        <v>0.8571428571428571</v>
      </c>
      <c r="U80" s="58">
        <v>60</v>
      </c>
      <c r="V80" s="35">
        <f>IF(AND(tabPontoPed[[#This Row],[MENSAL]]&gt;0,tabPontoPed[[#This Row],[CÁLCULO]]&gt;0), IF( tabPontoPed[[#This Row],[MENSAL]] - tabPontoPed[[#This Row],[CÁLCULO]] &lt; 0, -1, IF( tabPontoPed[[#This Row],[MENSAL]] - tabPontoPed[[#This Row],[CÁLCULO]] &gt; 0, 1, -8)), -9 )</f>
        <v>-1</v>
      </c>
      <c r="W80" s="35"/>
      <c r="X80" s="49" t="s">
        <v>1564</v>
      </c>
      <c r="Y80" s="51">
        <v>44391.599108796298</v>
      </c>
      <c r="Z80" s="72">
        <f>tabPontoPed[CÁLC_4M] - tabPontoPed[CÁLCULO]</f>
        <v>9</v>
      </c>
      <c r="AA80" s="79" t="str">
        <f>IF(tabPontoPed[MENSAL]-tabPontoPed[ATA MENSAL] = 0,"sim","")</f>
        <v/>
      </c>
      <c r="AB80" s="79" t="s">
        <v>1614</v>
      </c>
      <c r="AC80" s="47" t="str">
        <f t="shared" si="1"/>
        <v>*</v>
      </c>
    </row>
    <row r="81" spans="1:29" x14ac:dyDescent="0.25">
      <c r="A81" s="36">
        <v>102728</v>
      </c>
      <c r="B81" s="68" t="s">
        <v>895</v>
      </c>
      <c r="C81" s="33" t="s">
        <v>1317</v>
      </c>
      <c r="D81" s="32">
        <v>69</v>
      </c>
      <c r="E81" s="37">
        <v>8</v>
      </c>
      <c r="F81" s="38" t="str">
        <f>VLOOKUP(tabPontoPed[[#This Row],[GRUPO]],tabGrupos[#Data],2,FALSE)</f>
        <v>METAIS,LAMINAD.,PERFILADOS E ARTEFATOS METALICOS</v>
      </c>
      <c r="G81" s="32" t="str">
        <f>VLOOKUP(tabPontoPed[[#This Row],[GRUPO]],tabGrupos[#Data],3,FALSE)</f>
        <v>MSE</v>
      </c>
      <c r="H81" s="33" t="s">
        <v>1311</v>
      </c>
      <c r="I81" s="80">
        <v>4</v>
      </c>
      <c r="J81" s="39">
        <v>7</v>
      </c>
      <c r="K81" s="41">
        <f>tabPontoPed[[#This Row],[QTDMÊS]] * tabPontoPed[[#This Row],[MENSAL]]</f>
        <v>28</v>
      </c>
      <c r="L81" s="83"/>
      <c r="M81" s="81"/>
      <c r="N81" s="34" t="s">
        <v>1009</v>
      </c>
      <c r="O81" s="76"/>
      <c r="P81" s="77">
        <v>0</v>
      </c>
      <c r="Q81" s="57">
        <v>10</v>
      </c>
      <c r="R81" s="42">
        <v>13</v>
      </c>
      <c r="S81" s="69" t="str">
        <f>_xlfn.IFNA(IF(VLOOKUP(tabPontoPed[[#This Row],[CÓDIGO]],tabExcluirDoEstoque[#Data],1,FALSE),"sim",""),"")</f>
        <v/>
      </c>
      <c r="T81" s="43">
        <f>IF(AND(tabPontoPed[[#This Row],[MENSAL]]&gt;0,tabPontoPed[[#This Row],[CÁLCULO]]&gt;0), ABS( tabPontoPed[[#This Row],[MENSAL]] - tabPontoPed[[#This Row],[CÁLCULO]] ) / tabPontoPed[[#This Row],[MENSAL]], -1 )</f>
        <v>0.8571428571428571</v>
      </c>
      <c r="U81" s="58">
        <v>80</v>
      </c>
      <c r="V81" s="35">
        <f>IF(AND(tabPontoPed[[#This Row],[MENSAL]]&gt;0,tabPontoPed[[#This Row],[CÁLCULO]]&gt;0), IF( tabPontoPed[[#This Row],[MENSAL]] - tabPontoPed[[#This Row],[CÁLCULO]] &lt; 0, -1, IF( tabPontoPed[[#This Row],[MENSAL]] - tabPontoPed[[#This Row],[CÁLCULO]] &gt; 0, 1, -8)), -9 )</f>
        <v>-1</v>
      </c>
      <c r="W81" s="35"/>
      <c r="X81" s="48" t="s">
        <v>1564</v>
      </c>
      <c r="Y81" s="53">
        <v>44391.599108796298</v>
      </c>
      <c r="Z81" s="72">
        <f>tabPontoPed[CÁLC_4M] - tabPontoPed[CÁLCULO]</f>
        <v>-3</v>
      </c>
      <c r="AA81" s="79" t="str">
        <f>IF(tabPontoPed[MENSAL]-tabPontoPed[ATA MENSAL] = 0,"sim","")</f>
        <v/>
      </c>
      <c r="AB81" s="79"/>
      <c r="AC81" s="47" t="str">
        <f t="shared" si="1"/>
        <v>*</v>
      </c>
    </row>
    <row r="82" spans="1:29" x14ac:dyDescent="0.25">
      <c r="A82" s="36">
        <v>114852</v>
      </c>
      <c r="B82" s="68" t="s">
        <v>222</v>
      </c>
      <c r="C82" s="33" t="s">
        <v>1317</v>
      </c>
      <c r="D82" s="32">
        <v>74</v>
      </c>
      <c r="E82" s="37">
        <v>3</v>
      </c>
      <c r="F82" s="38" t="str">
        <f>VLOOKUP(tabPontoPed[[#This Row],[GRUPO]],tabGrupos[#Data],2,FALSE)</f>
        <v>MADEIRAS,LAMINADOS,COMPENSADOS E AGLOMERADOS</v>
      </c>
      <c r="G82" s="32" t="str">
        <f>VLOOKUP(tabPontoPed[[#This Row],[GRUPO]],tabGrupos[#Data],3,FALSE)</f>
        <v>MCO</v>
      </c>
      <c r="H82" s="33" t="s">
        <v>1311</v>
      </c>
      <c r="I82" s="80">
        <v>4</v>
      </c>
      <c r="J82" s="39">
        <v>13</v>
      </c>
      <c r="K82" s="41">
        <f>tabPontoPed[[#This Row],[QTDMÊS]] * tabPontoPed[[#This Row],[MENSAL]]</f>
        <v>52</v>
      </c>
      <c r="L82" s="83"/>
      <c r="M82" s="81"/>
      <c r="N82" s="34" t="s">
        <v>1009</v>
      </c>
      <c r="O82" s="76" t="s">
        <v>1669</v>
      </c>
      <c r="P82" s="77">
        <v>0</v>
      </c>
      <c r="Q82" s="57">
        <v>0</v>
      </c>
      <c r="R82" s="42">
        <v>2</v>
      </c>
      <c r="S82" s="69" t="str">
        <f>_xlfn.IFNA(IF(VLOOKUP(tabPontoPed[[#This Row],[CÓDIGO]],tabExcluirDoEstoque[#Data],1,FALSE),"sim",""),"")</f>
        <v/>
      </c>
      <c r="T82" s="43">
        <f>IF(AND(tabPontoPed[[#This Row],[MENSAL]]&gt;0,tabPontoPed[[#This Row],[CÁLCULO]]&gt;0), ABS( tabPontoPed[[#This Row],[MENSAL]] - tabPontoPed[[#This Row],[CÁLCULO]] ) / tabPontoPed[[#This Row],[MENSAL]], -1 )</f>
        <v>0.84615384615384615</v>
      </c>
      <c r="U82" s="58">
        <v>18</v>
      </c>
      <c r="V82" s="35">
        <f>IF(AND(tabPontoPed[[#This Row],[MENSAL]]&gt;0,tabPontoPed[[#This Row],[CÁLCULO]]&gt;0), IF( tabPontoPed[[#This Row],[MENSAL]] - tabPontoPed[[#This Row],[CÁLCULO]] &lt; 0, -1, IF( tabPontoPed[[#This Row],[MENSAL]] - tabPontoPed[[#This Row],[CÁLCULO]] &gt; 0, 1, -8)), -9 )</f>
        <v>1</v>
      </c>
      <c r="W82" s="35"/>
      <c r="X82" s="48" t="s">
        <v>1564</v>
      </c>
      <c r="Y82" s="53">
        <v>44391.599108796298</v>
      </c>
      <c r="Z82" s="72">
        <f>tabPontoPed[CÁLC_4M] - tabPontoPed[CÁLCULO]</f>
        <v>-2</v>
      </c>
      <c r="AA82" s="79" t="str">
        <f>IF(tabPontoPed[MENSAL]-tabPontoPed[ATA MENSAL] = 0,"sim","")</f>
        <v/>
      </c>
      <c r="AB82" s="79"/>
      <c r="AC82" s="47" t="str">
        <f t="shared" si="1"/>
        <v>*</v>
      </c>
    </row>
    <row r="83" spans="1:29" x14ac:dyDescent="0.25">
      <c r="A83" s="36">
        <v>14754</v>
      </c>
      <c r="B83" s="68" t="s">
        <v>680</v>
      </c>
      <c r="C83" s="33" t="s">
        <v>1317</v>
      </c>
      <c r="D83" s="32">
        <v>55</v>
      </c>
      <c r="E83" s="37">
        <v>40</v>
      </c>
      <c r="F83" s="38" t="str">
        <f>VLOOKUP(tabPontoPed[[#This Row],[GRUPO]],tabGrupos[#Data],2,FALSE)</f>
        <v>EQUIP. MAT. P/ GERACAO, TRANSM. DISTR. RETIF...</v>
      </c>
      <c r="G83" s="32" t="str">
        <f>VLOOKUP(tabPontoPed[[#This Row],[GRUPO]],tabGrupos[#Data],3,FALSE)</f>
        <v>MEL</v>
      </c>
      <c r="H83" s="33" t="s">
        <v>1311</v>
      </c>
      <c r="I83" s="80">
        <v>4</v>
      </c>
      <c r="J83" s="39">
        <v>13</v>
      </c>
      <c r="K83" s="41">
        <f>tabPontoPed[[#This Row],[QTDMÊS]] * tabPontoPed[[#This Row],[MENSAL]]</f>
        <v>52</v>
      </c>
      <c r="L83" s="83"/>
      <c r="M83" s="81"/>
      <c r="N83" s="34" t="s">
        <v>1009</v>
      </c>
      <c r="O83" s="76" t="s">
        <v>1676</v>
      </c>
      <c r="P83" s="77">
        <v>0</v>
      </c>
      <c r="Q83" s="57">
        <v>5</v>
      </c>
      <c r="R83" s="42">
        <v>2</v>
      </c>
      <c r="S83" s="69" t="str">
        <f>_xlfn.IFNA(IF(VLOOKUP(tabPontoPed[[#This Row],[CÓDIGO]],tabExcluirDoEstoque[#Data],1,FALSE),"sim",""),"")</f>
        <v/>
      </c>
      <c r="T83" s="43">
        <f>IF(AND(tabPontoPed[[#This Row],[MENSAL]]&gt;0,tabPontoPed[[#This Row],[CÁLCULO]]&gt;0), ABS( tabPontoPed[[#This Row],[MENSAL]] - tabPontoPed[[#This Row],[CÁLCULO]] ) / tabPontoPed[[#This Row],[MENSAL]], -1 )</f>
        <v>0.84615384615384615</v>
      </c>
      <c r="U83" s="58">
        <v>14</v>
      </c>
      <c r="V83" s="35">
        <f>IF(AND(tabPontoPed[[#This Row],[MENSAL]]&gt;0,tabPontoPed[[#This Row],[CÁLCULO]]&gt;0), IF( tabPontoPed[[#This Row],[MENSAL]] - tabPontoPed[[#This Row],[CÁLCULO]] &lt; 0, -1, IF( tabPontoPed[[#This Row],[MENSAL]] - tabPontoPed[[#This Row],[CÁLCULO]] &gt; 0, 1, -8)), -9 )</f>
        <v>1</v>
      </c>
      <c r="W83" s="35"/>
      <c r="X83" s="48" t="s">
        <v>1564</v>
      </c>
      <c r="Y83" s="53">
        <v>44391.599108796298</v>
      </c>
      <c r="Z83" s="72">
        <f>tabPontoPed[CÁLC_4M] - tabPontoPed[CÁLCULO]</f>
        <v>3</v>
      </c>
      <c r="AA83" s="79" t="str">
        <f>IF(tabPontoPed[MENSAL]-tabPontoPed[ATA MENSAL] = 0,"sim","")</f>
        <v/>
      </c>
      <c r="AB83" s="79" t="s">
        <v>1614</v>
      </c>
      <c r="AC83" s="47" t="str">
        <f t="shared" si="1"/>
        <v>*</v>
      </c>
    </row>
    <row r="84" spans="1:29" x14ac:dyDescent="0.25">
      <c r="A84" s="36">
        <v>89864</v>
      </c>
      <c r="B84" s="68" t="s">
        <v>822</v>
      </c>
      <c r="C84" s="33" t="s">
        <v>1317</v>
      </c>
      <c r="D84" s="32">
        <v>67</v>
      </c>
      <c r="E84" s="37">
        <v>3</v>
      </c>
      <c r="F84" s="38" t="str">
        <f>VLOOKUP(tabPontoPed[[#This Row],[GRUPO]],tabGrupos[#Data],2,FALSE)</f>
        <v>PARAFUSOS ELEM. VEDACAO UNIAO CONEX . FIXACAO</v>
      </c>
      <c r="G84" s="32" t="str">
        <f>VLOOKUP(tabPontoPed[[#This Row],[GRUPO]],tabGrupos[#Data],3,FALSE)</f>
        <v>MSE</v>
      </c>
      <c r="H84" s="33" t="s">
        <v>1311</v>
      </c>
      <c r="I84" s="80">
        <v>4</v>
      </c>
      <c r="J84" s="39">
        <v>13</v>
      </c>
      <c r="K84" s="41">
        <f>tabPontoPed[[#This Row],[QTDMÊS]] * tabPontoPed[[#This Row],[MENSAL]]</f>
        <v>52</v>
      </c>
      <c r="L84" s="83"/>
      <c r="M84" s="81"/>
      <c r="N84" s="34" t="s">
        <v>1009</v>
      </c>
      <c r="O84" s="76"/>
      <c r="P84" s="77">
        <v>0</v>
      </c>
      <c r="Q84" s="57">
        <v>1</v>
      </c>
      <c r="R84" s="42">
        <v>2</v>
      </c>
      <c r="S84" s="69" t="str">
        <f>_xlfn.IFNA(IF(VLOOKUP(tabPontoPed[[#This Row],[CÓDIGO]],tabExcluirDoEstoque[#Data],1,FALSE),"sim",""),"")</f>
        <v/>
      </c>
      <c r="T84" s="43">
        <f>IF(AND(tabPontoPed[[#This Row],[MENSAL]]&gt;0,tabPontoPed[[#This Row],[CÁLCULO]]&gt;0), ABS( tabPontoPed[[#This Row],[MENSAL]] - tabPontoPed[[#This Row],[CÁLCULO]] ) / tabPontoPed[[#This Row],[MENSAL]], -1 )</f>
        <v>0.84615384615384615</v>
      </c>
      <c r="U84" s="58">
        <v>8</v>
      </c>
      <c r="V84" s="35">
        <f>IF(AND(tabPontoPed[[#This Row],[MENSAL]]&gt;0,tabPontoPed[[#This Row],[CÁLCULO]]&gt;0), IF( tabPontoPed[[#This Row],[MENSAL]] - tabPontoPed[[#This Row],[CÁLCULO]] &lt; 0, -1, IF( tabPontoPed[[#This Row],[MENSAL]] - tabPontoPed[[#This Row],[CÁLCULO]] &gt; 0, 1, -8)), -9 )</f>
        <v>1</v>
      </c>
      <c r="W84" s="35"/>
      <c r="X84" s="49" t="s">
        <v>1564</v>
      </c>
      <c r="Y84" s="51">
        <v>44391.599108796298</v>
      </c>
      <c r="Z84" s="72">
        <f>tabPontoPed[CÁLC_4M] - tabPontoPed[CÁLCULO]</f>
        <v>-1</v>
      </c>
      <c r="AA84" s="79" t="str">
        <f>IF(tabPontoPed[MENSAL]-tabPontoPed[ATA MENSAL] = 0,"sim","")</f>
        <v/>
      </c>
      <c r="AB84" s="79"/>
      <c r="AC84" s="47" t="str">
        <f t="shared" si="1"/>
        <v>*</v>
      </c>
    </row>
    <row r="85" spans="1:29" x14ac:dyDescent="0.25">
      <c r="A85" s="36">
        <v>105889</v>
      </c>
      <c r="B85" s="68" t="s">
        <v>881</v>
      </c>
      <c r="C85" s="33" t="s">
        <v>1317</v>
      </c>
      <c r="D85" s="32">
        <v>69</v>
      </c>
      <c r="E85" s="37">
        <v>2</v>
      </c>
      <c r="F85" s="38" t="str">
        <f>VLOOKUP(tabPontoPed[[#This Row],[GRUPO]],tabGrupos[#Data],2,FALSE)</f>
        <v>METAIS,LAMINAD.,PERFILADOS E ARTEFATOS METALICOS</v>
      </c>
      <c r="G85" s="32" t="str">
        <f>VLOOKUP(tabPontoPed[[#This Row],[GRUPO]],tabGrupos[#Data],3,FALSE)</f>
        <v>MSE</v>
      </c>
      <c r="H85" s="33" t="s">
        <v>1311</v>
      </c>
      <c r="I85" s="80">
        <v>4</v>
      </c>
      <c r="J85" s="39">
        <v>50</v>
      </c>
      <c r="K85" s="41">
        <f>tabPontoPed[[#This Row],[QTDMÊS]] * tabPontoPed[[#This Row],[MENSAL]]</f>
        <v>200</v>
      </c>
      <c r="L85" s="83"/>
      <c r="M85" s="81"/>
      <c r="N85" s="34" t="s">
        <v>1009</v>
      </c>
      <c r="O85" s="76" t="s">
        <v>1672</v>
      </c>
      <c r="P85" s="77">
        <v>0</v>
      </c>
      <c r="Q85" s="57">
        <v>7</v>
      </c>
      <c r="R85" s="42">
        <v>8</v>
      </c>
      <c r="S85" s="69" t="str">
        <f>_xlfn.IFNA(IF(VLOOKUP(tabPontoPed[[#This Row],[CÓDIGO]],tabExcluirDoEstoque[#Data],1,FALSE),"sim",""),"")</f>
        <v/>
      </c>
      <c r="T85" s="43">
        <f>IF(AND(tabPontoPed[[#This Row],[MENSAL]]&gt;0,tabPontoPed[[#This Row],[CÁLCULO]]&gt;0), ABS( tabPontoPed[[#This Row],[MENSAL]] - tabPontoPed[[#This Row],[CÁLCULO]] ) / tabPontoPed[[#This Row],[MENSAL]], -1 )</f>
        <v>0.84</v>
      </c>
      <c r="U85" s="58">
        <v>34</v>
      </c>
      <c r="V85" s="35">
        <f>IF(AND(tabPontoPed[[#This Row],[MENSAL]]&gt;0,tabPontoPed[[#This Row],[CÁLCULO]]&gt;0), IF( tabPontoPed[[#This Row],[MENSAL]] - tabPontoPed[[#This Row],[CÁLCULO]] &lt; 0, -1, IF( tabPontoPed[[#This Row],[MENSAL]] - tabPontoPed[[#This Row],[CÁLCULO]] &gt; 0, 1, -8)), -9 )</f>
        <v>1</v>
      </c>
      <c r="W85" s="35"/>
      <c r="X85" s="48" t="s">
        <v>1564</v>
      </c>
      <c r="Y85" s="53">
        <v>44391.599108796298</v>
      </c>
      <c r="Z85" s="72">
        <f>tabPontoPed[CÁLC_4M] - tabPontoPed[CÁLCULO]</f>
        <v>-1</v>
      </c>
      <c r="AA85" s="79" t="str">
        <f>IF(tabPontoPed[MENSAL]-tabPontoPed[ATA MENSAL] = 0,"sim","")</f>
        <v/>
      </c>
      <c r="AB85" s="79"/>
      <c r="AC85" s="47" t="str">
        <f t="shared" si="1"/>
        <v>*</v>
      </c>
    </row>
    <row r="86" spans="1:29" x14ac:dyDescent="0.25">
      <c r="A86" s="36">
        <v>87699</v>
      </c>
      <c r="B86" s="68" t="s">
        <v>930</v>
      </c>
      <c r="C86" s="33" t="s">
        <v>1317</v>
      </c>
      <c r="D86" s="32">
        <v>72</v>
      </c>
      <c r="E86" s="37">
        <v>5</v>
      </c>
      <c r="F86" s="38" t="str">
        <f>VLOOKUP(tabPontoPed[[#This Row],[GRUPO]],tabGrupos[#Data],2,FALSE)</f>
        <v>MAQ.EQUIP.E MATERIAIS P/ HIGIEN.LIMP.POLIM.E LUBR.</v>
      </c>
      <c r="G86" s="32" t="str">
        <f>VLOOKUP(tabPontoPed[[#This Row],[GRUPO]],tabGrupos[#Data],3,FALSE)</f>
        <v>ADM</v>
      </c>
      <c r="H86" s="33" t="s">
        <v>1311</v>
      </c>
      <c r="I86" s="80">
        <v>4</v>
      </c>
      <c r="J86" s="39">
        <v>6</v>
      </c>
      <c r="K86" s="41">
        <f>tabPontoPed[[#This Row],[QTDMÊS]] * tabPontoPed[[#This Row],[MENSAL]]</f>
        <v>24</v>
      </c>
      <c r="L86" s="83"/>
      <c r="M86" s="81"/>
      <c r="N86" s="34" t="s">
        <v>1009</v>
      </c>
      <c r="O86" s="76" t="s">
        <v>1721</v>
      </c>
      <c r="P86" s="77">
        <v>0</v>
      </c>
      <c r="Q86" s="57">
        <v>1</v>
      </c>
      <c r="R86" s="42">
        <v>1</v>
      </c>
      <c r="S86" s="69" t="str">
        <f>_xlfn.IFNA(IF(VLOOKUP(tabPontoPed[[#This Row],[CÓDIGO]],tabExcluirDoEstoque[#Data],1,FALSE),"sim",""),"")</f>
        <v/>
      </c>
      <c r="T86" s="43">
        <f>IF(AND(tabPontoPed[[#This Row],[MENSAL]]&gt;0,tabPontoPed[[#This Row],[CÁLCULO]]&gt;0), ABS( tabPontoPed[[#This Row],[MENSAL]] - tabPontoPed[[#This Row],[CÁLCULO]] ) / tabPontoPed[[#This Row],[MENSAL]], -1 )</f>
        <v>0.83333333333333337</v>
      </c>
      <c r="U86" s="58">
        <v>2</v>
      </c>
      <c r="V86" s="35">
        <f>IF(AND(tabPontoPed[[#This Row],[MENSAL]]&gt;0,tabPontoPed[[#This Row],[CÁLCULO]]&gt;0), IF( tabPontoPed[[#This Row],[MENSAL]] - tabPontoPed[[#This Row],[CÁLCULO]] &lt; 0, -1, IF( tabPontoPed[[#This Row],[MENSAL]] - tabPontoPed[[#This Row],[CÁLCULO]] &gt; 0, 1, -8)), -9 )</f>
        <v>1</v>
      </c>
      <c r="W86" s="35"/>
      <c r="X86" s="49" t="s">
        <v>1564</v>
      </c>
      <c r="Y86" s="51">
        <v>44391.599108796298</v>
      </c>
      <c r="Z86" s="72">
        <f>tabPontoPed[CÁLC_4M] - tabPontoPed[CÁLCULO]</f>
        <v>0</v>
      </c>
      <c r="AA86" s="79" t="str">
        <f>IF(tabPontoPed[MENSAL]-tabPontoPed[ATA MENSAL] = 0,"sim","")</f>
        <v/>
      </c>
      <c r="AB86" s="79"/>
      <c r="AC86" s="47" t="str">
        <f t="shared" si="1"/>
        <v>*</v>
      </c>
    </row>
    <row r="87" spans="1:29" x14ac:dyDescent="0.25">
      <c r="A87" s="36">
        <v>88733</v>
      </c>
      <c r="B87" s="68" t="s">
        <v>361</v>
      </c>
      <c r="C87" s="33" t="s">
        <v>1317</v>
      </c>
      <c r="D87" s="32">
        <v>55</v>
      </c>
      <c r="E87" s="37">
        <v>26</v>
      </c>
      <c r="F87" s="38" t="str">
        <f>VLOOKUP(tabPontoPed[[#This Row],[GRUPO]],tabGrupos[#Data],2,FALSE)</f>
        <v>EQUIP. MAT. P/ GERACAO, TRANSM. DISTR. RETIF...</v>
      </c>
      <c r="G87" s="32" t="str">
        <f>VLOOKUP(tabPontoPed[[#This Row],[GRUPO]],tabGrupos[#Data],3,FALSE)</f>
        <v>MEL</v>
      </c>
      <c r="H87" s="33" t="s">
        <v>1311</v>
      </c>
      <c r="I87" s="80">
        <v>4</v>
      </c>
      <c r="J87" s="39">
        <v>6</v>
      </c>
      <c r="K87" s="41">
        <f>tabPontoPed[[#This Row],[QTDMÊS]] * tabPontoPed[[#This Row],[MENSAL]]</f>
        <v>24</v>
      </c>
      <c r="L87" s="83"/>
      <c r="M87" s="81"/>
      <c r="N87" s="34" t="s">
        <v>1009</v>
      </c>
      <c r="O87" s="76" t="s">
        <v>1670</v>
      </c>
      <c r="P87" s="77">
        <v>0</v>
      </c>
      <c r="Q87" s="57">
        <v>1</v>
      </c>
      <c r="R87" s="42">
        <v>1</v>
      </c>
      <c r="S87" s="69" t="str">
        <f>_xlfn.IFNA(IF(VLOOKUP(tabPontoPed[[#This Row],[CÓDIGO]],tabExcluirDoEstoque[#Data],1,FALSE),"sim",""),"")</f>
        <v/>
      </c>
      <c r="T87" s="43">
        <f>IF(AND(tabPontoPed[[#This Row],[MENSAL]]&gt;0,tabPontoPed[[#This Row],[CÁLCULO]]&gt;0), ABS( tabPontoPed[[#This Row],[MENSAL]] - tabPontoPed[[#This Row],[CÁLCULO]] ) / tabPontoPed[[#This Row],[MENSAL]], -1 )</f>
        <v>0.83333333333333337</v>
      </c>
      <c r="U87" s="58">
        <v>5</v>
      </c>
      <c r="V87" s="35">
        <f>IF(AND(tabPontoPed[[#This Row],[MENSAL]]&gt;0,tabPontoPed[[#This Row],[CÁLCULO]]&gt;0), IF( tabPontoPed[[#This Row],[MENSAL]] - tabPontoPed[[#This Row],[CÁLCULO]] &lt; 0, -1, IF( tabPontoPed[[#This Row],[MENSAL]] - tabPontoPed[[#This Row],[CÁLCULO]] &gt; 0, 1, -8)), -9 )</f>
        <v>1</v>
      </c>
      <c r="W87" s="35"/>
      <c r="X87" s="49" t="s">
        <v>1564</v>
      </c>
      <c r="Y87" s="51">
        <v>44391.599108796298</v>
      </c>
      <c r="Z87" s="72">
        <f>tabPontoPed[CÁLC_4M] - tabPontoPed[CÁLCULO]</f>
        <v>0</v>
      </c>
      <c r="AA87" s="79" t="str">
        <f>IF(tabPontoPed[MENSAL]-tabPontoPed[ATA MENSAL] = 0,"sim","")</f>
        <v/>
      </c>
      <c r="AB87" s="79" t="s">
        <v>1614</v>
      </c>
      <c r="AC87" s="47" t="str">
        <f t="shared" si="1"/>
        <v>*</v>
      </c>
    </row>
    <row r="88" spans="1:29" x14ac:dyDescent="0.25">
      <c r="A88" s="36">
        <v>110702</v>
      </c>
      <c r="B88" s="68" t="s">
        <v>654</v>
      </c>
      <c r="C88" s="33" t="s">
        <v>1317</v>
      </c>
      <c r="D88" s="32">
        <v>55</v>
      </c>
      <c r="E88" s="37">
        <v>32</v>
      </c>
      <c r="F88" s="38" t="str">
        <f>VLOOKUP(tabPontoPed[[#This Row],[GRUPO]],tabGrupos[#Data],2,FALSE)</f>
        <v>EQUIP. MAT. P/ GERACAO, TRANSM. DISTR. RETIF...</v>
      </c>
      <c r="G88" s="32" t="str">
        <f>VLOOKUP(tabPontoPed[[#This Row],[GRUPO]],tabGrupos[#Data],3,FALSE)</f>
        <v>MEL</v>
      </c>
      <c r="H88" s="33" t="s">
        <v>1311</v>
      </c>
      <c r="I88" s="80">
        <v>4</v>
      </c>
      <c r="J88" s="39">
        <v>6</v>
      </c>
      <c r="K88" s="41">
        <f>tabPontoPed[[#This Row],[QTDMÊS]] * tabPontoPed[[#This Row],[MENSAL]]</f>
        <v>24</v>
      </c>
      <c r="L88" s="83"/>
      <c r="M88" s="81"/>
      <c r="N88" s="34" t="s">
        <v>1009</v>
      </c>
      <c r="O88" s="76"/>
      <c r="P88" s="77">
        <v>0</v>
      </c>
      <c r="Q88" s="57">
        <v>1</v>
      </c>
      <c r="R88" s="42">
        <v>1</v>
      </c>
      <c r="S88" s="69" t="str">
        <f>_xlfn.IFNA(IF(VLOOKUP(tabPontoPed[[#This Row],[CÓDIGO]],tabExcluirDoEstoque[#Data],1,FALSE),"sim",""),"")</f>
        <v/>
      </c>
      <c r="T88" s="43">
        <f>IF(AND(tabPontoPed[[#This Row],[MENSAL]]&gt;0,tabPontoPed[[#This Row],[CÁLCULO]]&gt;0), ABS( tabPontoPed[[#This Row],[MENSAL]] - tabPontoPed[[#This Row],[CÁLCULO]] ) / tabPontoPed[[#This Row],[MENSAL]], -1 )</f>
        <v>0.83333333333333337</v>
      </c>
      <c r="U88" s="58">
        <v>4</v>
      </c>
      <c r="V88" s="35">
        <f>IF(AND(tabPontoPed[[#This Row],[MENSAL]]&gt;0,tabPontoPed[[#This Row],[CÁLCULO]]&gt;0), IF( tabPontoPed[[#This Row],[MENSAL]] - tabPontoPed[[#This Row],[CÁLCULO]] &lt; 0, -1, IF( tabPontoPed[[#This Row],[MENSAL]] - tabPontoPed[[#This Row],[CÁLCULO]] &gt; 0, 1, -8)), -9 )</f>
        <v>1</v>
      </c>
      <c r="W88" s="35"/>
      <c r="X88" s="49" t="s">
        <v>1564</v>
      </c>
      <c r="Y88" s="51">
        <v>44391.599108796298</v>
      </c>
      <c r="Z88" s="72">
        <f>tabPontoPed[CÁLC_4M] - tabPontoPed[CÁLCULO]</f>
        <v>0</v>
      </c>
      <c r="AA88" s="79" t="str">
        <f>IF(tabPontoPed[MENSAL]-tabPontoPed[ATA MENSAL] = 0,"sim","")</f>
        <v/>
      </c>
      <c r="AB88" s="79"/>
      <c r="AC88" s="47" t="str">
        <f t="shared" si="1"/>
        <v>*</v>
      </c>
    </row>
    <row r="89" spans="1:29" x14ac:dyDescent="0.25">
      <c r="A89" s="36">
        <v>15668</v>
      </c>
      <c r="B89" s="68" t="s">
        <v>30</v>
      </c>
      <c r="C89" s="33" t="s">
        <v>1317</v>
      </c>
      <c r="D89" s="32">
        <v>55</v>
      </c>
      <c r="E89" s="37">
        <v>35</v>
      </c>
      <c r="F89" s="38" t="str">
        <f>VLOOKUP(tabPontoPed[[#This Row],[GRUPO]],tabGrupos[#Data],2,FALSE)</f>
        <v>EQUIP. MAT. P/ GERACAO, TRANSM. DISTR. RETIF...</v>
      </c>
      <c r="G89" s="32" t="str">
        <f>VLOOKUP(tabPontoPed[[#This Row],[GRUPO]],tabGrupos[#Data],3,FALSE)</f>
        <v>MEL</v>
      </c>
      <c r="H89" s="33" t="s">
        <v>1311</v>
      </c>
      <c r="I89" s="80">
        <v>4</v>
      </c>
      <c r="J89" s="39">
        <v>6</v>
      </c>
      <c r="K89" s="41">
        <f>tabPontoPed[[#This Row],[QTDMÊS]] * tabPontoPed[[#This Row],[MENSAL]]</f>
        <v>24</v>
      </c>
      <c r="L89" s="83"/>
      <c r="M89" s="81"/>
      <c r="N89" s="34" t="s">
        <v>1009</v>
      </c>
      <c r="O89" s="76" t="s">
        <v>1667</v>
      </c>
      <c r="P89" s="77">
        <v>0</v>
      </c>
      <c r="Q89" s="57">
        <v>0</v>
      </c>
      <c r="R89" s="42">
        <v>1</v>
      </c>
      <c r="S89" s="69" t="str">
        <f>_xlfn.IFNA(IF(VLOOKUP(tabPontoPed[[#This Row],[CÓDIGO]],tabExcluirDoEstoque[#Data],1,FALSE),"sim",""),"")</f>
        <v/>
      </c>
      <c r="T89" s="43">
        <f>IF(AND(tabPontoPed[[#This Row],[MENSAL]]&gt;0,tabPontoPed[[#This Row],[CÁLCULO]]&gt;0), ABS( tabPontoPed[[#This Row],[MENSAL]] - tabPontoPed[[#This Row],[CÁLCULO]] ) / tabPontoPed[[#This Row],[MENSAL]], -1 )</f>
        <v>0.83333333333333337</v>
      </c>
      <c r="U89" s="58">
        <v>8</v>
      </c>
      <c r="V89" s="35">
        <f>IF(AND(tabPontoPed[[#This Row],[MENSAL]]&gt;0,tabPontoPed[[#This Row],[CÁLCULO]]&gt;0), IF( tabPontoPed[[#This Row],[MENSAL]] - tabPontoPed[[#This Row],[CÁLCULO]] &lt; 0, -1, IF( tabPontoPed[[#This Row],[MENSAL]] - tabPontoPed[[#This Row],[CÁLCULO]] &gt; 0, 1, -8)), -9 )</f>
        <v>1</v>
      </c>
      <c r="W89" s="35"/>
      <c r="X89" s="49" t="s">
        <v>1564</v>
      </c>
      <c r="Y89" s="51">
        <v>44391.599108796298</v>
      </c>
      <c r="Z89" s="72">
        <f>tabPontoPed[CÁLC_4M] - tabPontoPed[CÁLCULO]</f>
        <v>-1</v>
      </c>
      <c r="AA89" s="79" t="str">
        <f>IF(tabPontoPed[MENSAL]-tabPontoPed[ATA MENSAL] = 0,"sim","")</f>
        <v/>
      </c>
      <c r="AB89" s="79" t="s">
        <v>1614</v>
      </c>
      <c r="AC89" s="47" t="str">
        <f t="shared" si="1"/>
        <v>*</v>
      </c>
    </row>
    <row r="90" spans="1:29" x14ac:dyDescent="0.25">
      <c r="A90" s="36">
        <v>126345</v>
      </c>
      <c r="B90" s="68" t="s">
        <v>993</v>
      </c>
      <c r="C90" s="33" t="s">
        <v>1317</v>
      </c>
      <c r="D90" s="32">
        <v>89</v>
      </c>
      <c r="E90" s="37">
        <v>7</v>
      </c>
      <c r="F90" s="38" t="str">
        <f>VLOOKUP(tabPontoPed[[#This Row],[GRUPO]],tabGrupos[#Data],2,FALSE)</f>
        <v>PEC.P/ VEICULO DE USO ESPECIAL E BATERIASROLAMENTO</v>
      </c>
      <c r="G90" s="32" t="str">
        <f>VLOOKUP(tabPontoPed[[#This Row],[GRUPO]],tabGrupos[#Data],3,FALSE)</f>
        <v>MFR</v>
      </c>
      <c r="H90" s="33" t="s">
        <v>1311</v>
      </c>
      <c r="I90" s="80">
        <v>4</v>
      </c>
      <c r="J90" s="39">
        <v>40</v>
      </c>
      <c r="K90" s="41">
        <f>tabPontoPed[[#This Row],[QTDMÊS]] * tabPontoPed[[#This Row],[MENSAL]]</f>
        <v>160</v>
      </c>
      <c r="L90" s="83"/>
      <c r="M90" s="81"/>
      <c r="N90" s="34" t="s">
        <v>1009</v>
      </c>
      <c r="O90" s="76"/>
      <c r="P90" s="77">
        <v>0</v>
      </c>
      <c r="Q90" s="57">
        <v>7</v>
      </c>
      <c r="R90" s="42">
        <v>7</v>
      </c>
      <c r="S90" s="69" t="str">
        <f>_xlfn.IFNA(IF(VLOOKUP(tabPontoPed[[#This Row],[CÓDIGO]],tabExcluirDoEstoque[#Data],1,FALSE),"sim",""),"")</f>
        <v/>
      </c>
      <c r="T90" s="43">
        <f>IF(AND(tabPontoPed[[#This Row],[MENSAL]]&gt;0,tabPontoPed[[#This Row],[CÁLCULO]]&gt;0), ABS( tabPontoPed[[#This Row],[MENSAL]] - tabPontoPed[[#This Row],[CÁLCULO]] ) / tabPontoPed[[#This Row],[MENSAL]], -1 )</f>
        <v>0.82499999999999996</v>
      </c>
      <c r="U90" s="58">
        <v>31</v>
      </c>
      <c r="V90" s="35">
        <f>IF(AND(tabPontoPed[[#This Row],[MENSAL]]&gt;0,tabPontoPed[[#This Row],[CÁLCULO]]&gt;0), IF( tabPontoPed[[#This Row],[MENSAL]] - tabPontoPed[[#This Row],[CÁLCULO]] &lt; 0, -1, IF( tabPontoPed[[#This Row],[MENSAL]] - tabPontoPed[[#This Row],[CÁLCULO]] &gt; 0, 1, -8)), -9 )</f>
        <v>1</v>
      </c>
      <c r="W90" s="35"/>
      <c r="X90" s="49" t="s">
        <v>1564</v>
      </c>
      <c r="Y90" s="51">
        <v>44391.599108796298</v>
      </c>
      <c r="Z90" s="72">
        <f>tabPontoPed[CÁLC_4M] - tabPontoPed[CÁLCULO]</f>
        <v>0</v>
      </c>
      <c r="AA90" s="79" t="str">
        <f>IF(tabPontoPed[MENSAL]-tabPontoPed[ATA MENSAL] = 0,"sim","")</f>
        <v/>
      </c>
      <c r="AB90" s="79"/>
      <c r="AC90" s="47" t="str">
        <f t="shared" si="1"/>
        <v>*</v>
      </c>
    </row>
    <row r="91" spans="1:29" x14ac:dyDescent="0.25">
      <c r="A91" s="36">
        <v>17696</v>
      </c>
      <c r="B91" s="68" t="s">
        <v>162</v>
      </c>
      <c r="C91" s="33" t="s">
        <v>1317</v>
      </c>
      <c r="D91" s="32">
        <v>83</v>
      </c>
      <c r="E91" s="37">
        <v>2</v>
      </c>
      <c r="F91" s="38" t="str">
        <f>VLOOKUP(tabPontoPed[[#This Row],[GRUPO]],tabGrupos[#Data],2,FALSE)</f>
        <v>ABRASIVOS</v>
      </c>
      <c r="G91" s="32" t="str">
        <f>VLOOKUP(tabPontoPed[[#This Row],[GRUPO]],tabGrupos[#Data],3,FALSE)</f>
        <v>MAN</v>
      </c>
      <c r="H91" s="33" t="s">
        <v>1311</v>
      </c>
      <c r="I91" s="80">
        <v>4</v>
      </c>
      <c r="J91" s="39">
        <v>17</v>
      </c>
      <c r="K91" s="41">
        <f>tabPontoPed[[#This Row],[QTDMÊS]] * tabPontoPed[[#This Row],[MENSAL]]</f>
        <v>68</v>
      </c>
      <c r="L91" s="83"/>
      <c r="M91" s="81"/>
      <c r="N91" s="34" t="s">
        <v>1009</v>
      </c>
      <c r="O91" s="76" t="s">
        <v>1658</v>
      </c>
      <c r="P91" s="77">
        <v>0</v>
      </c>
      <c r="Q91" s="57">
        <v>2</v>
      </c>
      <c r="R91" s="42">
        <v>3</v>
      </c>
      <c r="S91" s="69" t="str">
        <f>_xlfn.IFNA(IF(VLOOKUP(tabPontoPed[[#This Row],[CÓDIGO]],tabExcluirDoEstoque[#Data],1,FALSE),"sim",""),"")</f>
        <v/>
      </c>
      <c r="T91" s="43">
        <f>IF(AND(tabPontoPed[[#This Row],[MENSAL]]&gt;0,tabPontoPed[[#This Row],[CÁLCULO]]&gt;0), ABS( tabPontoPed[[#This Row],[MENSAL]] - tabPontoPed[[#This Row],[CÁLCULO]] ) / tabPontoPed[[#This Row],[MENSAL]], -1 )</f>
        <v>0.82352941176470584</v>
      </c>
      <c r="U91" s="58">
        <v>20</v>
      </c>
      <c r="V91" s="35">
        <f>IF(AND(tabPontoPed[[#This Row],[MENSAL]]&gt;0,tabPontoPed[[#This Row],[CÁLCULO]]&gt;0), IF( tabPontoPed[[#This Row],[MENSAL]] - tabPontoPed[[#This Row],[CÁLCULO]] &lt; 0, -1, IF( tabPontoPed[[#This Row],[MENSAL]] - tabPontoPed[[#This Row],[CÁLCULO]] &gt; 0, 1, -8)), -9 )</f>
        <v>1</v>
      </c>
      <c r="W91" s="35"/>
      <c r="X91" s="49" t="s">
        <v>1564</v>
      </c>
      <c r="Y91" s="51">
        <v>44391.599108796298</v>
      </c>
      <c r="Z91" s="72">
        <f>tabPontoPed[CÁLC_4M] - tabPontoPed[CÁLCULO]</f>
        <v>-1</v>
      </c>
      <c r="AA91" s="79" t="str">
        <f>IF(tabPontoPed[MENSAL]-tabPontoPed[ATA MENSAL] = 0,"sim","")</f>
        <v/>
      </c>
      <c r="AB91" s="79" t="s">
        <v>1614</v>
      </c>
      <c r="AC91" s="47" t="str">
        <f t="shared" si="1"/>
        <v>*</v>
      </c>
    </row>
    <row r="92" spans="1:29" x14ac:dyDescent="0.25">
      <c r="A92" s="36">
        <v>110895</v>
      </c>
      <c r="B92" s="68" t="s">
        <v>103</v>
      </c>
      <c r="C92" s="33" t="s">
        <v>1317</v>
      </c>
      <c r="D92" s="32">
        <v>55</v>
      </c>
      <c r="E92" s="37">
        <v>7</v>
      </c>
      <c r="F92" s="38" t="str">
        <f>VLOOKUP(tabPontoPed[[#This Row],[GRUPO]],tabGrupos[#Data],2,FALSE)</f>
        <v>EQUIP. MAT. P/ GERACAO, TRANSM. DISTR. RETIF...</v>
      </c>
      <c r="G92" s="32" t="str">
        <f>VLOOKUP(tabPontoPed[[#This Row],[GRUPO]],tabGrupos[#Data],3,FALSE)</f>
        <v>MEL</v>
      </c>
      <c r="H92" s="33" t="s">
        <v>1311</v>
      </c>
      <c r="I92" s="80">
        <v>4</v>
      </c>
      <c r="J92" s="39">
        <v>34</v>
      </c>
      <c r="K92" s="41">
        <f>tabPontoPed[[#This Row],[QTDMÊS]] * tabPontoPed[[#This Row],[MENSAL]]</f>
        <v>136</v>
      </c>
      <c r="L92" s="83"/>
      <c r="M92" s="81"/>
      <c r="N92" s="34" t="s">
        <v>1009</v>
      </c>
      <c r="O92" s="76" t="s">
        <v>1676</v>
      </c>
      <c r="P92" s="77">
        <v>0</v>
      </c>
      <c r="Q92" s="57">
        <v>6</v>
      </c>
      <c r="R92" s="42">
        <v>6</v>
      </c>
      <c r="S92" s="69" t="str">
        <f>_xlfn.IFNA(IF(VLOOKUP(tabPontoPed[[#This Row],[CÓDIGO]],tabExcluirDoEstoque[#Data],1,FALSE),"sim",""),"")</f>
        <v/>
      </c>
      <c r="T92" s="43">
        <f>IF(AND(tabPontoPed[[#This Row],[MENSAL]]&gt;0,tabPontoPed[[#This Row],[CÁLCULO]]&gt;0), ABS( tabPontoPed[[#This Row],[MENSAL]] - tabPontoPed[[#This Row],[CÁLCULO]] ) / tabPontoPed[[#This Row],[MENSAL]], -1 )</f>
        <v>0.82352941176470584</v>
      </c>
      <c r="U92" s="58">
        <v>20</v>
      </c>
      <c r="V92" s="35">
        <f>IF(AND(tabPontoPed[[#This Row],[MENSAL]]&gt;0,tabPontoPed[[#This Row],[CÁLCULO]]&gt;0), IF( tabPontoPed[[#This Row],[MENSAL]] - tabPontoPed[[#This Row],[CÁLCULO]] &lt; 0, -1, IF( tabPontoPed[[#This Row],[MENSAL]] - tabPontoPed[[#This Row],[CÁLCULO]] &gt; 0, 1, -8)), -9 )</f>
        <v>1</v>
      </c>
      <c r="W92" s="35"/>
      <c r="X92" s="49" t="s">
        <v>1564</v>
      </c>
      <c r="Y92" s="51">
        <v>44391.599108796298</v>
      </c>
      <c r="Z92" s="72">
        <f>tabPontoPed[CÁLC_4M] - tabPontoPed[CÁLCULO]</f>
        <v>0</v>
      </c>
      <c r="AA92" s="79" t="str">
        <f>IF(tabPontoPed[MENSAL]-tabPontoPed[ATA MENSAL] = 0,"sim","")</f>
        <v/>
      </c>
      <c r="AB92" s="79" t="s">
        <v>1614</v>
      </c>
      <c r="AC92" s="47" t="str">
        <f t="shared" si="1"/>
        <v>*</v>
      </c>
    </row>
    <row r="93" spans="1:29" x14ac:dyDescent="0.25">
      <c r="A93" s="36">
        <v>70967</v>
      </c>
      <c r="B93" s="68" t="s">
        <v>280</v>
      </c>
      <c r="C93" s="33" t="s">
        <v>1317</v>
      </c>
      <c r="D93" s="32">
        <v>61</v>
      </c>
      <c r="E93" s="37">
        <v>3</v>
      </c>
      <c r="F93" s="38" t="str">
        <f>VLOOKUP(tabPontoPed[[#This Row],[GRUPO]],tabGrupos[#Data],2,FALSE)</f>
        <v>MATERIAL HIDRAULICO, CANOS, TUBOS, MANGUEIRAS, CONEXOES E ACESS.</v>
      </c>
      <c r="G93" s="32" t="str">
        <f>VLOOKUP(tabPontoPed[[#This Row],[GRUPO]],tabGrupos[#Data],3,FALSE)</f>
        <v>MHI</v>
      </c>
      <c r="H93" s="33" t="s">
        <v>1311</v>
      </c>
      <c r="I93" s="80">
        <v>4</v>
      </c>
      <c r="J93" s="39">
        <v>17</v>
      </c>
      <c r="K93" s="41">
        <f>tabPontoPed[[#This Row],[QTDMÊS]] * tabPontoPed[[#This Row],[MENSAL]]</f>
        <v>68</v>
      </c>
      <c r="L93" s="83"/>
      <c r="M93" s="81"/>
      <c r="N93" s="34" t="s">
        <v>1009</v>
      </c>
      <c r="O93" s="76" t="s">
        <v>1678</v>
      </c>
      <c r="P93" s="77">
        <v>0</v>
      </c>
      <c r="Q93" s="57">
        <v>2</v>
      </c>
      <c r="R93" s="42">
        <v>3</v>
      </c>
      <c r="S93" s="69" t="str">
        <f>_xlfn.IFNA(IF(VLOOKUP(tabPontoPed[[#This Row],[CÓDIGO]],tabExcluirDoEstoque[#Data],1,FALSE),"sim",""),"")</f>
        <v/>
      </c>
      <c r="T93" s="43">
        <f>IF(AND(tabPontoPed[[#This Row],[MENSAL]]&gt;0,tabPontoPed[[#This Row],[CÁLCULO]]&gt;0), ABS( tabPontoPed[[#This Row],[MENSAL]] - tabPontoPed[[#This Row],[CÁLCULO]] ) / tabPontoPed[[#This Row],[MENSAL]], -1 )</f>
        <v>0.82352941176470584</v>
      </c>
      <c r="U93" s="58">
        <v>9</v>
      </c>
      <c r="V93" s="35">
        <f>IF(AND(tabPontoPed[[#This Row],[MENSAL]]&gt;0,tabPontoPed[[#This Row],[CÁLCULO]]&gt;0), IF( tabPontoPed[[#This Row],[MENSAL]] - tabPontoPed[[#This Row],[CÁLCULO]] &lt; 0, -1, IF( tabPontoPed[[#This Row],[MENSAL]] - tabPontoPed[[#This Row],[CÁLCULO]] &gt; 0, 1, -8)), -9 )</f>
        <v>1</v>
      </c>
      <c r="W93" s="35"/>
      <c r="X93" s="48" t="s">
        <v>1564</v>
      </c>
      <c r="Y93" s="53">
        <v>44391.599108796298</v>
      </c>
      <c r="Z93" s="72">
        <f>tabPontoPed[CÁLC_4M] - tabPontoPed[CÁLCULO]</f>
        <v>-1</v>
      </c>
      <c r="AA93" s="79" t="str">
        <f>IF(tabPontoPed[MENSAL]-tabPontoPed[ATA MENSAL] = 0,"sim","")</f>
        <v/>
      </c>
      <c r="AB93" s="79" t="s">
        <v>1614</v>
      </c>
      <c r="AC93" s="47" t="str">
        <f t="shared" si="1"/>
        <v>*</v>
      </c>
    </row>
    <row r="94" spans="1:29" x14ac:dyDescent="0.25">
      <c r="A94" s="36">
        <v>25523</v>
      </c>
      <c r="B94" s="68" t="s">
        <v>287</v>
      </c>
      <c r="C94" s="33" t="s">
        <v>1317</v>
      </c>
      <c r="D94" s="32">
        <v>61</v>
      </c>
      <c r="E94" s="37">
        <v>8</v>
      </c>
      <c r="F94" s="38" t="str">
        <f>VLOOKUP(tabPontoPed[[#This Row],[GRUPO]],tabGrupos[#Data],2,FALSE)</f>
        <v>MATERIAL HIDRAULICO, CANOS, TUBOS, MANGUEIRAS, CONEXOES E ACESS.</v>
      </c>
      <c r="G94" s="32" t="str">
        <f>VLOOKUP(tabPontoPed[[#This Row],[GRUPO]],tabGrupos[#Data],3,FALSE)</f>
        <v>MHI</v>
      </c>
      <c r="H94" s="33" t="s">
        <v>1311</v>
      </c>
      <c r="I94" s="80">
        <v>4</v>
      </c>
      <c r="J94" s="39">
        <v>17</v>
      </c>
      <c r="K94" s="41">
        <f>tabPontoPed[[#This Row],[QTDMÊS]] * tabPontoPed[[#This Row],[MENSAL]]</f>
        <v>68</v>
      </c>
      <c r="L94" s="83"/>
      <c r="M94" s="81"/>
      <c r="N94" s="34" t="s">
        <v>1009</v>
      </c>
      <c r="O94" s="76" t="s">
        <v>1678</v>
      </c>
      <c r="P94" s="77">
        <v>0</v>
      </c>
      <c r="Q94" s="57">
        <v>1</v>
      </c>
      <c r="R94" s="42">
        <v>3</v>
      </c>
      <c r="S94" s="69" t="str">
        <f>_xlfn.IFNA(IF(VLOOKUP(tabPontoPed[[#This Row],[CÓDIGO]],tabExcluirDoEstoque[#Data],1,FALSE),"sim",""),"")</f>
        <v/>
      </c>
      <c r="T94" s="43">
        <f>IF(AND(tabPontoPed[[#This Row],[MENSAL]]&gt;0,tabPontoPed[[#This Row],[CÁLCULO]]&gt;0), ABS( tabPontoPed[[#This Row],[MENSAL]] - tabPontoPed[[#This Row],[CÁLCULO]] ) / tabPontoPed[[#This Row],[MENSAL]], -1 )</f>
        <v>0.82352941176470584</v>
      </c>
      <c r="U94" s="58">
        <v>15</v>
      </c>
      <c r="V94" s="35">
        <f>IF(AND(tabPontoPed[[#This Row],[MENSAL]]&gt;0,tabPontoPed[[#This Row],[CÁLCULO]]&gt;0), IF( tabPontoPed[[#This Row],[MENSAL]] - tabPontoPed[[#This Row],[CÁLCULO]] &lt; 0, -1, IF( tabPontoPed[[#This Row],[MENSAL]] - tabPontoPed[[#This Row],[CÁLCULO]] &gt; 0, 1, -8)), -9 )</f>
        <v>1</v>
      </c>
      <c r="W94" s="35"/>
      <c r="X94" s="49" t="s">
        <v>1564</v>
      </c>
      <c r="Y94" s="51">
        <v>44391.599108796298</v>
      </c>
      <c r="Z94" s="72">
        <f>tabPontoPed[CÁLC_4M] - tabPontoPed[CÁLCULO]</f>
        <v>-2</v>
      </c>
      <c r="AA94" s="79" t="str">
        <f>IF(tabPontoPed[MENSAL]-tabPontoPed[ATA MENSAL] = 0,"sim","")</f>
        <v/>
      </c>
      <c r="AB94" s="79" t="s">
        <v>1614</v>
      </c>
      <c r="AC94" s="47" t="str">
        <f t="shared" si="1"/>
        <v>*</v>
      </c>
    </row>
    <row r="95" spans="1:29" x14ac:dyDescent="0.25">
      <c r="A95" s="36">
        <v>138465</v>
      </c>
      <c r="B95" s="68" t="s">
        <v>1527</v>
      </c>
      <c r="C95" s="33">
        <v>1</v>
      </c>
      <c r="D95" s="32">
        <v>45</v>
      </c>
      <c r="E95" s="37">
        <v>9</v>
      </c>
      <c r="F95" s="38" t="str">
        <f>VLOOKUP(tabPontoPed[[#This Row],[GRUPO]],tabGrupos[#Data],2,FALSE)</f>
        <v>MAQ., EQUIP., COMP., ACES., MAT. PARA ESCRIT.E ESCOLAR</v>
      </c>
      <c r="G95" s="32" t="str">
        <f>VLOOKUP(tabPontoPed[[#This Row],[GRUPO]],tabGrupos[#Data],3,FALSE)</f>
        <v>EDU</v>
      </c>
      <c r="H95" s="33" t="s">
        <v>1311</v>
      </c>
      <c r="I95" s="80">
        <v>4</v>
      </c>
      <c r="J95" s="39">
        <v>1011</v>
      </c>
      <c r="K95" s="41">
        <f>tabPontoPed[[#This Row],[QTDMÊS]] * tabPontoPed[[#This Row],[MENSAL]]</f>
        <v>4044</v>
      </c>
      <c r="L95" s="83"/>
      <c r="M95" s="81"/>
      <c r="N95" s="34" t="s">
        <v>1009</v>
      </c>
      <c r="O95" s="76" t="s">
        <v>1696</v>
      </c>
      <c r="P95" s="77">
        <v>0</v>
      </c>
      <c r="Q95" s="57">
        <v>172</v>
      </c>
      <c r="R95" s="42">
        <v>180</v>
      </c>
      <c r="S95" s="69" t="str">
        <f>_xlfn.IFNA(IF(VLOOKUP(tabPontoPed[[#This Row],[CÓDIGO]],tabExcluirDoEstoque[#Data],1,FALSE),"sim",""),"")</f>
        <v/>
      </c>
      <c r="T95" s="43">
        <f>IF(AND(tabPontoPed[[#This Row],[MENSAL]]&gt;0,tabPontoPed[[#This Row],[CÁLCULO]]&gt;0), ABS( tabPontoPed[[#This Row],[MENSAL]] - tabPontoPed[[#This Row],[CÁLCULO]] ) / tabPontoPed[[#This Row],[MENSAL]], -1 )</f>
        <v>0.82195845697329373</v>
      </c>
      <c r="U95" s="58">
        <v>303</v>
      </c>
      <c r="V95" s="35">
        <f>IF(AND(tabPontoPed[[#This Row],[MENSAL]]&gt;0,tabPontoPed[[#This Row],[CÁLCULO]]&gt;0), IF( tabPontoPed[[#This Row],[MENSAL]] - tabPontoPed[[#This Row],[CÁLCULO]] &lt; 0, -1, IF( tabPontoPed[[#This Row],[MENSAL]] - tabPontoPed[[#This Row],[CÁLCULO]] &gt; 0, 1, -8)), -9 )</f>
        <v>1</v>
      </c>
      <c r="W95" s="35"/>
      <c r="X95" s="49" t="s">
        <v>1564</v>
      </c>
      <c r="Y95" s="51">
        <v>44391.599108796298</v>
      </c>
      <c r="Z95" s="72">
        <f>tabPontoPed[CÁLC_4M] - tabPontoPed[CÁLCULO]</f>
        <v>-8</v>
      </c>
      <c r="AA95" s="79" t="str">
        <f>IF(tabPontoPed[MENSAL]-tabPontoPed[ATA MENSAL] = 0,"sim","")</f>
        <v/>
      </c>
      <c r="AB95" s="79"/>
      <c r="AC95" s="47" t="str">
        <f t="shared" si="1"/>
        <v>*</v>
      </c>
    </row>
    <row r="96" spans="1:29" x14ac:dyDescent="0.25">
      <c r="A96" s="36">
        <v>132465</v>
      </c>
      <c r="B96" s="68" t="s">
        <v>509</v>
      </c>
      <c r="C96" s="33" t="s">
        <v>1317</v>
      </c>
      <c r="D96" s="32">
        <v>51</v>
      </c>
      <c r="E96" s="37">
        <v>11</v>
      </c>
      <c r="F96" s="38" t="str">
        <f>VLOOKUP(tabPontoPed[[#This Row],[GRUPO]],tabGrupos[#Data],2,FALSE)</f>
        <v>MAT.E EQUIP. P/ CONSTR.CIVIL E CONSERV. DE VIAS PUBL.</v>
      </c>
      <c r="G96" s="32" t="str">
        <f>VLOOKUP(tabPontoPed[[#This Row],[GRUPO]],tabGrupos[#Data],3,FALSE)</f>
        <v>MCO</v>
      </c>
      <c r="H96" s="33" t="s">
        <v>1311</v>
      </c>
      <c r="I96" s="80">
        <v>4</v>
      </c>
      <c r="J96" s="39">
        <v>50</v>
      </c>
      <c r="K96" s="41">
        <f>tabPontoPed[[#This Row],[QTDMÊS]] * tabPontoPed[[#This Row],[MENSAL]]</f>
        <v>200</v>
      </c>
      <c r="L96" s="83"/>
      <c r="M96" s="81"/>
      <c r="N96" s="34" t="s">
        <v>1009</v>
      </c>
      <c r="O96" s="76" t="s">
        <v>1680</v>
      </c>
      <c r="P96" s="77">
        <v>0</v>
      </c>
      <c r="Q96" s="57">
        <v>7</v>
      </c>
      <c r="R96" s="42">
        <v>9</v>
      </c>
      <c r="S96" s="69" t="str">
        <f>_xlfn.IFNA(IF(VLOOKUP(tabPontoPed[[#This Row],[CÓDIGO]],tabExcluirDoEstoque[#Data],1,FALSE),"sim",""),"")</f>
        <v/>
      </c>
      <c r="T96" s="43">
        <f>IF(AND(tabPontoPed[[#This Row],[MENSAL]]&gt;0,tabPontoPed[[#This Row],[CÁLCULO]]&gt;0), ABS( tabPontoPed[[#This Row],[MENSAL]] - tabPontoPed[[#This Row],[CÁLCULO]] ) / tabPontoPed[[#This Row],[MENSAL]], -1 )</f>
        <v>0.82</v>
      </c>
      <c r="U96" s="58">
        <v>48</v>
      </c>
      <c r="V96" s="35">
        <f>IF(AND(tabPontoPed[[#This Row],[MENSAL]]&gt;0,tabPontoPed[[#This Row],[CÁLCULO]]&gt;0), IF( tabPontoPed[[#This Row],[MENSAL]] - tabPontoPed[[#This Row],[CÁLCULO]] &lt; 0, -1, IF( tabPontoPed[[#This Row],[MENSAL]] - tabPontoPed[[#This Row],[CÁLCULO]] &gt; 0, 1, -8)), -9 )</f>
        <v>1</v>
      </c>
      <c r="W96" s="35"/>
      <c r="X96" s="48" t="s">
        <v>1564</v>
      </c>
      <c r="Y96" s="53">
        <v>44391.599108796298</v>
      </c>
      <c r="Z96" s="72">
        <f>tabPontoPed[CÁLC_4M] - tabPontoPed[CÁLCULO]</f>
        <v>-2</v>
      </c>
      <c r="AA96" s="79" t="str">
        <f>IF(tabPontoPed[MENSAL]-tabPontoPed[ATA MENSAL] = 0,"sim","")</f>
        <v/>
      </c>
      <c r="AB96" s="79" t="s">
        <v>1614</v>
      </c>
      <c r="AC96" s="47" t="str">
        <f t="shared" si="1"/>
        <v>*</v>
      </c>
    </row>
    <row r="97" spans="1:29" x14ac:dyDescent="0.25">
      <c r="A97" s="36">
        <v>54552</v>
      </c>
      <c r="B97" s="68" t="s">
        <v>337</v>
      </c>
      <c r="C97" s="33" t="s">
        <v>1317</v>
      </c>
      <c r="D97" s="32">
        <v>61</v>
      </c>
      <c r="E97" s="37">
        <v>3</v>
      </c>
      <c r="F97" s="38" t="str">
        <f>VLOOKUP(tabPontoPed[[#This Row],[GRUPO]],tabGrupos[#Data],2,FALSE)</f>
        <v>MATERIAL HIDRAULICO, CANOS, TUBOS, MANGUEIRAS, CONEXOES E ACESS.</v>
      </c>
      <c r="G97" s="32" t="str">
        <f>VLOOKUP(tabPontoPed[[#This Row],[GRUPO]],tabGrupos[#Data],3,FALSE)</f>
        <v>MHI</v>
      </c>
      <c r="H97" s="33" t="s">
        <v>1311</v>
      </c>
      <c r="I97" s="80">
        <v>4</v>
      </c>
      <c r="J97" s="39">
        <v>50</v>
      </c>
      <c r="K97" s="41">
        <f>tabPontoPed[[#This Row],[QTDMÊS]] * tabPontoPed[[#This Row],[MENSAL]]</f>
        <v>200</v>
      </c>
      <c r="L97" s="83"/>
      <c r="M97" s="81"/>
      <c r="N97" s="34" t="s">
        <v>1009</v>
      </c>
      <c r="O97" s="76" t="s">
        <v>1668</v>
      </c>
      <c r="P97" s="77">
        <v>0</v>
      </c>
      <c r="Q97" s="57">
        <v>10</v>
      </c>
      <c r="R97" s="42">
        <v>9</v>
      </c>
      <c r="S97" s="69" t="str">
        <f>_xlfn.IFNA(IF(VLOOKUP(tabPontoPed[[#This Row],[CÓDIGO]],tabExcluirDoEstoque[#Data],1,FALSE),"sim",""),"")</f>
        <v/>
      </c>
      <c r="T97" s="43">
        <f>IF(AND(tabPontoPed[[#This Row],[MENSAL]]&gt;0,tabPontoPed[[#This Row],[CÁLCULO]]&gt;0), ABS( tabPontoPed[[#This Row],[MENSAL]] - tabPontoPed[[#This Row],[CÁLCULO]] ) / tabPontoPed[[#This Row],[MENSAL]], -1 )</f>
        <v>0.82</v>
      </c>
      <c r="U97" s="58">
        <v>23</v>
      </c>
      <c r="V97" s="35">
        <f>IF(AND(tabPontoPed[[#This Row],[MENSAL]]&gt;0,tabPontoPed[[#This Row],[CÁLCULO]]&gt;0), IF( tabPontoPed[[#This Row],[MENSAL]] - tabPontoPed[[#This Row],[CÁLCULO]] &lt; 0, -1, IF( tabPontoPed[[#This Row],[MENSAL]] - tabPontoPed[[#This Row],[CÁLCULO]] &gt; 0, 1, -8)), -9 )</f>
        <v>1</v>
      </c>
      <c r="W97" s="35"/>
      <c r="X97" s="49" t="s">
        <v>1564</v>
      </c>
      <c r="Y97" s="51">
        <v>44391.599108796298</v>
      </c>
      <c r="Z97" s="72">
        <f>tabPontoPed[CÁLC_4M] - tabPontoPed[CÁLCULO]</f>
        <v>1</v>
      </c>
      <c r="AA97" s="79" t="str">
        <f>IF(tabPontoPed[MENSAL]-tabPontoPed[ATA MENSAL] = 0,"sim","")</f>
        <v/>
      </c>
      <c r="AB97" s="79" t="s">
        <v>1614</v>
      </c>
      <c r="AC97" s="47" t="str">
        <f t="shared" si="1"/>
        <v>*</v>
      </c>
    </row>
    <row r="98" spans="1:29" x14ac:dyDescent="0.25">
      <c r="A98" s="36">
        <v>133819</v>
      </c>
      <c r="B98" s="68" t="s">
        <v>310</v>
      </c>
      <c r="C98" s="33" t="s">
        <v>1317</v>
      </c>
      <c r="D98" s="32">
        <v>61</v>
      </c>
      <c r="E98" s="37">
        <v>11</v>
      </c>
      <c r="F98" s="38" t="str">
        <f>VLOOKUP(tabPontoPed[[#This Row],[GRUPO]],tabGrupos[#Data],2,FALSE)</f>
        <v>MATERIAL HIDRAULICO, CANOS, TUBOS, MANGUEIRAS, CONEXOES E ACESS.</v>
      </c>
      <c r="G98" s="32" t="str">
        <f>VLOOKUP(tabPontoPed[[#This Row],[GRUPO]],tabGrupos[#Data],3,FALSE)</f>
        <v>MHI</v>
      </c>
      <c r="H98" s="33" t="s">
        <v>1311</v>
      </c>
      <c r="I98" s="80">
        <v>4</v>
      </c>
      <c r="J98" s="39">
        <v>100</v>
      </c>
      <c r="K98" s="41">
        <f>tabPontoPed[[#This Row],[QTDMÊS]] * tabPontoPed[[#This Row],[MENSAL]]</f>
        <v>400</v>
      </c>
      <c r="L98" s="83"/>
      <c r="M98" s="81"/>
      <c r="N98" s="34" t="s">
        <v>1009</v>
      </c>
      <c r="O98" s="76" t="s">
        <v>1679</v>
      </c>
      <c r="P98" s="77">
        <v>0</v>
      </c>
      <c r="Q98" s="57">
        <v>17</v>
      </c>
      <c r="R98" s="42">
        <v>18</v>
      </c>
      <c r="S98" s="69" t="str">
        <f>_xlfn.IFNA(IF(VLOOKUP(tabPontoPed[[#This Row],[CÓDIGO]],tabExcluirDoEstoque[#Data],1,FALSE),"sim",""),"")</f>
        <v/>
      </c>
      <c r="T98" s="43">
        <f>IF(AND(tabPontoPed[[#This Row],[MENSAL]]&gt;0,tabPontoPed[[#This Row],[CÁLCULO]]&gt;0), ABS( tabPontoPed[[#This Row],[MENSAL]] - tabPontoPed[[#This Row],[CÁLCULO]] ) / tabPontoPed[[#This Row],[MENSAL]], -1 )</f>
        <v>0.82</v>
      </c>
      <c r="U98" s="58">
        <v>40</v>
      </c>
      <c r="V98" s="35">
        <f>IF(AND(tabPontoPed[[#This Row],[MENSAL]]&gt;0,tabPontoPed[[#This Row],[CÁLCULO]]&gt;0), IF( tabPontoPed[[#This Row],[MENSAL]] - tabPontoPed[[#This Row],[CÁLCULO]] &lt; 0, -1, IF( tabPontoPed[[#This Row],[MENSAL]] - tabPontoPed[[#This Row],[CÁLCULO]] &gt; 0, 1, -8)), -9 )</f>
        <v>1</v>
      </c>
      <c r="W98" s="35"/>
      <c r="X98" s="48" t="s">
        <v>1564</v>
      </c>
      <c r="Y98" s="53">
        <v>44391.599108796298</v>
      </c>
      <c r="Z98" s="72">
        <f>tabPontoPed[CÁLC_4M] - tabPontoPed[CÁLCULO]</f>
        <v>-1</v>
      </c>
      <c r="AA98" s="79" t="str">
        <f>IF(tabPontoPed[MENSAL]-tabPontoPed[ATA MENSAL] = 0,"sim","")</f>
        <v/>
      </c>
      <c r="AB98" s="79"/>
      <c r="AC98" s="47" t="str">
        <f t="shared" si="1"/>
        <v>*</v>
      </c>
    </row>
    <row r="99" spans="1:29" x14ac:dyDescent="0.25">
      <c r="A99" s="36">
        <v>88732</v>
      </c>
      <c r="B99" s="68" t="s">
        <v>360</v>
      </c>
      <c r="C99" s="33" t="s">
        <v>1317</v>
      </c>
      <c r="D99" s="32">
        <v>55</v>
      </c>
      <c r="E99" s="37">
        <v>26</v>
      </c>
      <c r="F99" s="38" t="str">
        <f>VLOOKUP(tabPontoPed[[#This Row],[GRUPO]],tabGrupos[#Data],2,FALSE)</f>
        <v>EQUIP. MAT. P/ GERACAO, TRANSM. DISTR. RETIF...</v>
      </c>
      <c r="G99" s="32" t="str">
        <f>VLOOKUP(tabPontoPed[[#This Row],[GRUPO]],tabGrupos[#Data],3,FALSE)</f>
        <v>MEL</v>
      </c>
      <c r="H99" s="33" t="s">
        <v>1311</v>
      </c>
      <c r="I99" s="80">
        <v>4</v>
      </c>
      <c r="J99" s="39">
        <v>11</v>
      </c>
      <c r="K99" s="41">
        <f>tabPontoPed[[#This Row],[QTDMÊS]] * tabPontoPed[[#This Row],[MENSAL]]</f>
        <v>44</v>
      </c>
      <c r="L99" s="83"/>
      <c r="M99" s="81"/>
      <c r="N99" s="34" t="s">
        <v>1009</v>
      </c>
      <c r="O99" s="76" t="s">
        <v>1670</v>
      </c>
      <c r="P99" s="77">
        <v>0</v>
      </c>
      <c r="Q99" s="57">
        <v>0</v>
      </c>
      <c r="R99" s="42">
        <v>2</v>
      </c>
      <c r="S99" s="69" t="str">
        <f>_xlfn.IFNA(IF(VLOOKUP(tabPontoPed[[#This Row],[CÓDIGO]],tabExcluirDoEstoque[#Data],1,FALSE),"sim",""),"")</f>
        <v/>
      </c>
      <c r="T99" s="43">
        <f>IF(AND(tabPontoPed[[#This Row],[MENSAL]]&gt;0,tabPontoPed[[#This Row],[CÁLCULO]]&gt;0), ABS( tabPontoPed[[#This Row],[MENSAL]] - tabPontoPed[[#This Row],[CÁLCULO]] ) / tabPontoPed[[#This Row],[MENSAL]], -1 )</f>
        <v>0.81818181818181823</v>
      </c>
      <c r="U99" s="58">
        <v>18</v>
      </c>
      <c r="V99" s="35">
        <f>IF(AND(tabPontoPed[[#This Row],[MENSAL]]&gt;0,tabPontoPed[[#This Row],[CÁLCULO]]&gt;0), IF( tabPontoPed[[#This Row],[MENSAL]] - tabPontoPed[[#This Row],[CÁLCULO]] &lt; 0, -1, IF( tabPontoPed[[#This Row],[MENSAL]] - tabPontoPed[[#This Row],[CÁLCULO]] &gt; 0, 1, -8)), -9 )</f>
        <v>1</v>
      </c>
      <c r="W99" s="35"/>
      <c r="X99" s="49" t="s">
        <v>1564</v>
      </c>
      <c r="Y99" s="51">
        <v>44391.599108796298</v>
      </c>
      <c r="Z99" s="72">
        <f>tabPontoPed[CÁLC_4M] - tabPontoPed[CÁLCULO]</f>
        <v>-2</v>
      </c>
      <c r="AA99" s="79" t="str">
        <f>IF(tabPontoPed[MENSAL]-tabPontoPed[ATA MENSAL] = 0,"sim","")</f>
        <v/>
      </c>
      <c r="AB99" s="79" t="s">
        <v>1614</v>
      </c>
      <c r="AC99" s="47" t="str">
        <f t="shared" si="1"/>
        <v>*</v>
      </c>
    </row>
    <row r="100" spans="1:29" x14ac:dyDescent="0.25">
      <c r="A100" s="36">
        <v>14055</v>
      </c>
      <c r="B100" s="68" t="s">
        <v>836</v>
      </c>
      <c r="C100" s="33" t="s">
        <v>1317</v>
      </c>
      <c r="D100" s="32">
        <v>67</v>
      </c>
      <c r="E100" s="37">
        <v>6</v>
      </c>
      <c r="F100" s="38" t="str">
        <f>VLOOKUP(tabPontoPed[[#This Row],[GRUPO]],tabGrupos[#Data],2,FALSE)</f>
        <v>PARAFUSOS ELEM. VEDACAO UNIAO CONEX . FIXACAO</v>
      </c>
      <c r="G100" s="32" t="str">
        <f>VLOOKUP(tabPontoPed[[#This Row],[GRUPO]],tabGrupos[#Data],3,FALSE)</f>
        <v>MSE</v>
      </c>
      <c r="H100" s="33" t="s">
        <v>1311</v>
      </c>
      <c r="I100" s="80">
        <v>4</v>
      </c>
      <c r="J100" s="39">
        <v>11</v>
      </c>
      <c r="K100" s="41">
        <f>tabPontoPed[[#This Row],[QTDMÊS]] * tabPontoPed[[#This Row],[MENSAL]]</f>
        <v>44</v>
      </c>
      <c r="L100" s="83"/>
      <c r="M100" s="81"/>
      <c r="N100" s="34" t="s">
        <v>1009</v>
      </c>
      <c r="O100" s="76"/>
      <c r="P100" s="77">
        <v>0</v>
      </c>
      <c r="Q100" s="57">
        <v>1</v>
      </c>
      <c r="R100" s="42">
        <v>2</v>
      </c>
      <c r="S100" s="69" t="str">
        <f>_xlfn.IFNA(IF(VLOOKUP(tabPontoPed[[#This Row],[CÓDIGO]],tabExcluirDoEstoque[#Data],1,FALSE),"sim",""),"")</f>
        <v/>
      </c>
      <c r="T100" s="43">
        <f>IF(AND(tabPontoPed[[#This Row],[MENSAL]]&gt;0,tabPontoPed[[#This Row],[CÁLCULO]]&gt;0), ABS( tabPontoPed[[#This Row],[MENSAL]] - tabPontoPed[[#This Row],[CÁLCULO]] ) / tabPontoPed[[#This Row],[MENSAL]], -1 )</f>
        <v>0.81818181818181823</v>
      </c>
      <c r="U100" s="58">
        <v>7</v>
      </c>
      <c r="V100" s="35">
        <f>IF(AND(tabPontoPed[[#This Row],[MENSAL]]&gt;0,tabPontoPed[[#This Row],[CÁLCULO]]&gt;0), IF( tabPontoPed[[#This Row],[MENSAL]] - tabPontoPed[[#This Row],[CÁLCULO]] &lt; 0, -1, IF( tabPontoPed[[#This Row],[MENSAL]] - tabPontoPed[[#This Row],[CÁLCULO]] &gt; 0, 1, -8)), -9 )</f>
        <v>1</v>
      </c>
      <c r="W100" s="35"/>
      <c r="X100" s="48" t="s">
        <v>1564</v>
      </c>
      <c r="Y100" s="53">
        <v>44391.599108796298</v>
      </c>
      <c r="Z100" s="72">
        <f>tabPontoPed[CÁLC_4M] - tabPontoPed[CÁLCULO]</f>
        <v>-1</v>
      </c>
      <c r="AA100" s="79" t="str">
        <f>IF(tabPontoPed[MENSAL]-tabPontoPed[ATA MENSAL] = 0,"sim","")</f>
        <v/>
      </c>
      <c r="AB100" s="79"/>
      <c r="AC100" s="47" t="str">
        <f t="shared" si="1"/>
        <v>*</v>
      </c>
    </row>
    <row r="101" spans="1:29" x14ac:dyDescent="0.25">
      <c r="A101" s="36">
        <v>133788</v>
      </c>
      <c r="B101" s="68" t="s">
        <v>473</v>
      </c>
      <c r="C101" s="33" t="s">
        <v>1317</v>
      </c>
      <c r="D101" s="32">
        <v>45</v>
      </c>
      <c r="E101" s="37">
        <v>16</v>
      </c>
      <c r="F101" s="38" t="str">
        <f>VLOOKUP(tabPontoPed[[#This Row],[GRUPO]],tabGrupos[#Data],2,FALSE)</f>
        <v>MAQ., EQUIP., COMP., ACES., MAT. PARA ESCRIT.E ESCOLAR</v>
      </c>
      <c r="G101" s="32" t="str">
        <f>VLOOKUP(tabPontoPed[[#This Row],[GRUPO]],tabGrupos[#Data],3,FALSE)</f>
        <v>EDU</v>
      </c>
      <c r="H101" s="33" t="s">
        <v>1311</v>
      </c>
      <c r="I101" s="80">
        <v>4</v>
      </c>
      <c r="J101" s="39">
        <v>113</v>
      </c>
      <c r="K101" s="41">
        <f>tabPontoPed[[#This Row],[QTDMÊS]] * tabPontoPed[[#This Row],[MENSAL]]</f>
        <v>452</v>
      </c>
      <c r="L101" s="83"/>
      <c r="M101" s="81"/>
      <c r="N101" s="34" t="s">
        <v>1009</v>
      </c>
      <c r="O101" s="76"/>
      <c r="P101" s="77">
        <v>0</v>
      </c>
      <c r="Q101" s="57">
        <v>49</v>
      </c>
      <c r="R101" s="42">
        <v>21</v>
      </c>
      <c r="S101" s="69" t="str">
        <f>_xlfn.IFNA(IF(VLOOKUP(tabPontoPed[[#This Row],[CÓDIGO]],tabExcluirDoEstoque[#Data],1,FALSE),"sim",""),"")</f>
        <v/>
      </c>
      <c r="T101" s="43">
        <f>IF(AND(tabPontoPed[[#This Row],[MENSAL]]&gt;0,tabPontoPed[[#This Row],[CÁLCULO]]&gt;0), ABS( tabPontoPed[[#This Row],[MENSAL]] - tabPontoPed[[#This Row],[CÁLCULO]] ) / tabPontoPed[[#This Row],[MENSAL]], -1 )</f>
        <v>0.81415929203539827</v>
      </c>
      <c r="U101" s="58">
        <v>64</v>
      </c>
      <c r="V101" s="35">
        <f>IF(AND(tabPontoPed[[#This Row],[MENSAL]]&gt;0,tabPontoPed[[#This Row],[CÁLCULO]]&gt;0), IF( tabPontoPed[[#This Row],[MENSAL]] - tabPontoPed[[#This Row],[CÁLCULO]] &lt; 0, -1, IF( tabPontoPed[[#This Row],[MENSAL]] - tabPontoPed[[#This Row],[CÁLCULO]] &gt; 0, 1, -8)), -9 )</f>
        <v>1</v>
      </c>
      <c r="W101" s="35"/>
      <c r="X101" s="48" t="s">
        <v>1564</v>
      </c>
      <c r="Y101" s="53">
        <v>44391.599108796298</v>
      </c>
      <c r="Z101" s="72">
        <f>tabPontoPed[CÁLC_4M] - tabPontoPed[CÁLCULO]</f>
        <v>28</v>
      </c>
      <c r="AA101" s="79" t="str">
        <f>IF(tabPontoPed[MENSAL]-tabPontoPed[ATA MENSAL] = 0,"sim","")</f>
        <v/>
      </c>
      <c r="AB101" s="79"/>
      <c r="AC101" s="47" t="str">
        <f t="shared" si="1"/>
        <v>*</v>
      </c>
    </row>
    <row r="102" spans="1:29" x14ac:dyDescent="0.25">
      <c r="A102" s="36">
        <v>133790</v>
      </c>
      <c r="B102" s="68" t="s">
        <v>474</v>
      </c>
      <c r="C102" s="33" t="s">
        <v>1317</v>
      </c>
      <c r="D102" s="32">
        <v>45</v>
      </c>
      <c r="E102" s="37">
        <v>16</v>
      </c>
      <c r="F102" s="38" t="str">
        <f>VLOOKUP(tabPontoPed[[#This Row],[GRUPO]],tabGrupos[#Data],2,FALSE)</f>
        <v>MAQ., EQUIP., COMP., ACES., MAT. PARA ESCRIT.E ESCOLAR</v>
      </c>
      <c r="G102" s="32" t="str">
        <f>VLOOKUP(tabPontoPed[[#This Row],[GRUPO]],tabGrupos[#Data],3,FALSE)</f>
        <v>EDU</v>
      </c>
      <c r="H102" s="33" t="s">
        <v>1311</v>
      </c>
      <c r="I102" s="80">
        <v>4</v>
      </c>
      <c r="J102" s="39">
        <v>113</v>
      </c>
      <c r="K102" s="41">
        <f>tabPontoPed[[#This Row],[QTDMÊS]] * tabPontoPed[[#This Row],[MENSAL]]</f>
        <v>452</v>
      </c>
      <c r="L102" s="83"/>
      <c r="M102" s="81"/>
      <c r="N102" s="34" t="s">
        <v>1009</v>
      </c>
      <c r="O102" s="76"/>
      <c r="P102" s="77">
        <v>0</v>
      </c>
      <c r="Q102" s="57">
        <v>49</v>
      </c>
      <c r="R102" s="42">
        <v>21</v>
      </c>
      <c r="S102" s="69" t="str">
        <f>_xlfn.IFNA(IF(VLOOKUP(tabPontoPed[[#This Row],[CÓDIGO]],tabExcluirDoEstoque[#Data],1,FALSE),"sim",""),"")</f>
        <v/>
      </c>
      <c r="T102" s="43">
        <f>IF(AND(tabPontoPed[[#This Row],[MENSAL]]&gt;0,tabPontoPed[[#This Row],[CÁLCULO]]&gt;0), ABS( tabPontoPed[[#This Row],[MENSAL]] - tabPontoPed[[#This Row],[CÁLCULO]] ) / tabPontoPed[[#This Row],[MENSAL]], -1 )</f>
        <v>0.81415929203539827</v>
      </c>
      <c r="U102" s="58">
        <v>64</v>
      </c>
      <c r="V102" s="35">
        <f>IF(AND(tabPontoPed[[#This Row],[MENSAL]]&gt;0,tabPontoPed[[#This Row],[CÁLCULO]]&gt;0), IF( tabPontoPed[[#This Row],[MENSAL]] - tabPontoPed[[#This Row],[CÁLCULO]] &lt; 0, -1, IF( tabPontoPed[[#This Row],[MENSAL]] - tabPontoPed[[#This Row],[CÁLCULO]] &gt; 0, 1, -8)), -9 )</f>
        <v>1</v>
      </c>
      <c r="W102" s="35"/>
      <c r="X102" s="48" t="s">
        <v>1564</v>
      </c>
      <c r="Y102" s="53">
        <v>44391.599108796298</v>
      </c>
      <c r="Z102" s="72">
        <f>tabPontoPed[CÁLC_4M] - tabPontoPed[CÁLCULO]</f>
        <v>28</v>
      </c>
      <c r="AA102" s="79" t="str">
        <f>IF(tabPontoPed[MENSAL]-tabPontoPed[ATA MENSAL] = 0,"sim","")</f>
        <v/>
      </c>
      <c r="AB102" s="79"/>
      <c r="AC102" s="47" t="str">
        <f t="shared" si="1"/>
        <v>*</v>
      </c>
    </row>
    <row r="103" spans="1:29" x14ac:dyDescent="0.25">
      <c r="A103" s="36">
        <v>133791</v>
      </c>
      <c r="B103" s="68" t="s">
        <v>475</v>
      </c>
      <c r="C103" s="33" t="s">
        <v>1317</v>
      </c>
      <c r="D103" s="32">
        <v>45</v>
      </c>
      <c r="E103" s="37">
        <v>16</v>
      </c>
      <c r="F103" s="38" t="str">
        <f>VLOOKUP(tabPontoPed[[#This Row],[GRUPO]],tabGrupos[#Data],2,FALSE)</f>
        <v>MAQ., EQUIP., COMP., ACES., MAT. PARA ESCRIT.E ESCOLAR</v>
      </c>
      <c r="G103" s="32" t="str">
        <f>VLOOKUP(tabPontoPed[[#This Row],[GRUPO]],tabGrupos[#Data],3,FALSE)</f>
        <v>EDU</v>
      </c>
      <c r="H103" s="33" t="s">
        <v>1311</v>
      </c>
      <c r="I103" s="80">
        <v>4</v>
      </c>
      <c r="J103" s="39">
        <v>102</v>
      </c>
      <c r="K103" s="41">
        <f>tabPontoPed[[#This Row],[QTDMÊS]] * tabPontoPed[[#This Row],[MENSAL]]</f>
        <v>408</v>
      </c>
      <c r="L103" s="83"/>
      <c r="M103" s="81"/>
      <c r="N103" s="34" t="s">
        <v>1009</v>
      </c>
      <c r="O103" s="76"/>
      <c r="P103" s="77">
        <v>0</v>
      </c>
      <c r="Q103" s="57">
        <v>35</v>
      </c>
      <c r="R103" s="42">
        <v>19</v>
      </c>
      <c r="S103" s="69" t="str">
        <f>_xlfn.IFNA(IF(VLOOKUP(tabPontoPed[[#This Row],[CÓDIGO]],tabExcluirDoEstoque[#Data],1,FALSE),"sim",""),"")</f>
        <v/>
      </c>
      <c r="T103" s="43">
        <f>IF(AND(tabPontoPed[[#This Row],[MENSAL]]&gt;0,tabPontoPed[[#This Row],[CÁLCULO]]&gt;0), ABS( tabPontoPed[[#This Row],[MENSAL]] - tabPontoPed[[#This Row],[CÁLCULO]] ) / tabPontoPed[[#This Row],[MENSAL]], -1 )</f>
        <v>0.81372549019607843</v>
      </c>
      <c r="U103" s="58">
        <v>49</v>
      </c>
      <c r="V103" s="35">
        <f>IF(AND(tabPontoPed[[#This Row],[MENSAL]]&gt;0,tabPontoPed[[#This Row],[CÁLCULO]]&gt;0), IF( tabPontoPed[[#This Row],[MENSAL]] - tabPontoPed[[#This Row],[CÁLCULO]] &lt; 0, -1, IF( tabPontoPed[[#This Row],[MENSAL]] - tabPontoPed[[#This Row],[CÁLCULO]] &gt; 0, 1, -8)), -9 )</f>
        <v>1</v>
      </c>
      <c r="W103" s="35"/>
      <c r="X103" s="48" t="s">
        <v>1564</v>
      </c>
      <c r="Y103" s="53">
        <v>44391.599108796298</v>
      </c>
      <c r="Z103" s="72">
        <f>tabPontoPed[CÁLC_4M] - tabPontoPed[CÁLCULO]</f>
        <v>16</v>
      </c>
      <c r="AA103" s="79" t="str">
        <f>IF(tabPontoPed[MENSAL]-tabPontoPed[ATA MENSAL] = 0,"sim","")</f>
        <v/>
      </c>
      <c r="AB103" s="79"/>
      <c r="AC103" s="47" t="str">
        <f t="shared" si="1"/>
        <v>*</v>
      </c>
    </row>
    <row r="104" spans="1:29" x14ac:dyDescent="0.25">
      <c r="A104" s="36">
        <v>75334</v>
      </c>
      <c r="B104" s="68" t="s">
        <v>875</v>
      </c>
      <c r="C104" s="33" t="s">
        <v>1317</v>
      </c>
      <c r="D104" s="32">
        <v>69</v>
      </c>
      <c r="E104" s="37">
        <v>1</v>
      </c>
      <c r="F104" s="38" t="str">
        <f>VLOOKUP(tabPontoPed[[#This Row],[GRUPO]],tabGrupos[#Data],2,FALSE)</f>
        <v>METAIS,LAMINAD.,PERFILADOS E ARTEFATOS METALICOS</v>
      </c>
      <c r="G104" s="32" t="str">
        <f>VLOOKUP(tabPontoPed[[#This Row],[GRUPO]],tabGrupos[#Data],3,FALSE)</f>
        <v>MSE</v>
      </c>
      <c r="H104" s="33" t="s">
        <v>1311</v>
      </c>
      <c r="I104" s="80">
        <v>4</v>
      </c>
      <c r="J104" s="39">
        <v>100</v>
      </c>
      <c r="K104" s="41">
        <f>tabPontoPed[[#This Row],[QTDMÊS]] * tabPontoPed[[#This Row],[MENSAL]]</f>
        <v>400</v>
      </c>
      <c r="L104" s="83"/>
      <c r="M104" s="81"/>
      <c r="N104" s="34" t="s">
        <v>1009</v>
      </c>
      <c r="O104" s="76" t="s">
        <v>1714</v>
      </c>
      <c r="P104" s="77">
        <v>0</v>
      </c>
      <c r="Q104" s="57">
        <v>10</v>
      </c>
      <c r="R104" s="42">
        <v>19</v>
      </c>
      <c r="S104" s="69" t="str">
        <f>_xlfn.IFNA(IF(VLOOKUP(tabPontoPed[[#This Row],[CÓDIGO]],tabExcluirDoEstoque[#Data],1,FALSE),"sim",""),"")</f>
        <v/>
      </c>
      <c r="T104" s="43">
        <f>IF(AND(tabPontoPed[[#This Row],[MENSAL]]&gt;0,tabPontoPed[[#This Row],[CÁLCULO]]&gt;0), ABS( tabPontoPed[[#This Row],[MENSAL]] - tabPontoPed[[#This Row],[CÁLCULO]] ) / tabPontoPed[[#This Row],[MENSAL]], -1 )</f>
        <v>0.81</v>
      </c>
      <c r="U104" s="58">
        <v>80</v>
      </c>
      <c r="V104" s="35">
        <f>IF(AND(tabPontoPed[[#This Row],[MENSAL]]&gt;0,tabPontoPed[[#This Row],[CÁLCULO]]&gt;0), IF( tabPontoPed[[#This Row],[MENSAL]] - tabPontoPed[[#This Row],[CÁLCULO]] &lt; 0, -1, IF( tabPontoPed[[#This Row],[MENSAL]] - tabPontoPed[[#This Row],[CÁLCULO]] &gt; 0, 1, -8)), -9 )</f>
        <v>1</v>
      </c>
      <c r="W104" s="35"/>
      <c r="X104" s="48" t="s">
        <v>1564</v>
      </c>
      <c r="Y104" s="53">
        <v>44391.599108796298</v>
      </c>
      <c r="Z104" s="72">
        <f>tabPontoPed[CÁLC_4M] - tabPontoPed[CÁLCULO]</f>
        <v>-9</v>
      </c>
      <c r="AA104" s="79" t="str">
        <f>IF(tabPontoPed[MENSAL]-tabPontoPed[ATA MENSAL] = 0,"sim","")</f>
        <v/>
      </c>
      <c r="AB104" s="79" t="s">
        <v>1614</v>
      </c>
      <c r="AC104" s="47" t="str">
        <f t="shared" si="1"/>
        <v>*</v>
      </c>
    </row>
    <row r="105" spans="1:29" x14ac:dyDescent="0.25">
      <c r="A105" s="36">
        <v>138553</v>
      </c>
      <c r="B105" s="68" t="s">
        <v>1629</v>
      </c>
      <c r="C105" s="33">
        <v>1</v>
      </c>
      <c r="D105" s="32">
        <v>55</v>
      </c>
      <c r="E105" s="37">
        <v>49</v>
      </c>
      <c r="F105" s="38" t="str">
        <f>VLOOKUP(tabPontoPed[[#This Row],[GRUPO]],tabGrupos[#Data],2,FALSE)</f>
        <v>EQUIP. MAT. P/ GERACAO, TRANSM. DISTR. RETIF...</v>
      </c>
      <c r="G105" s="32" t="str">
        <f>VLOOKUP(tabPontoPed[[#This Row],[GRUPO]],tabGrupos[#Data],3,FALSE)</f>
        <v>MEL</v>
      </c>
      <c r="H105" s="33" t="s">
        <v>1311</v>
      </c>
      <c r="I105" s="80">
        <v>4</v>
      </c>
      <c r="J105" s="39">
        <v>42</v>
      </c>
      <c r="K105" s="41">
        <f>tabPontoPed[[#This Row],[QTDMÊS]] * tabPontoPed[[#This Row],[MENSAL]]</f>
        <v>168</v>
      </c>
      <c r="L105" s="83"/>
      <c r="M105" s="81"/>
      <c r="N105" s="34" t="s">
        <v>1009</v>
      </c>
      <c r="O105" s="76" t="s">
        <v>1771</v>
      </c>
      <c r="P105" s="77">
        <v>0</v>
      </c>
      <c r="Q105" s="57">
        <v>15</v>
      </c>
      <c r="R105" s="42">
        <v>8</v>
      </c>
      <c r="S105" s="69" t="str">
        <f>_xlfn.IFNA(IF(VLOOKUP(tabPontoPed[[#This Row],[CÓDIGO]],tabExcluirDoEstoque[#Data],1,FALSE),"sim",""),"")</f>
        <v/>
      </c>
      <c r="T105" s="43">
        <f>IF(AND(tabPontoPed[[#This Row],[MENSAL]]&gt;0,tabPontoPed[[#This Row],[CÁLCULO]]&gt;0), ABS( tabPontoPed[[#This Row],[MENSAL]] - tabPontoPed[[#This Row],[CÁLCULO]] ) / tabPontoPed[[#This Row],[MENSAL]], -1 )</f>
        <v>0.80952380952380953</v>
      </c>
      <c r="U105" s="58">
        <v>32</v>
      </c>
      <c r="V105" s="35">
        <f>IF(AND(tabPontoPed[[#This Row],[MENSAL]]&gt;0,tabPontoPed[[#This Row],[CÁLCULO]]&gt;0), IF( tabPontoPed[[#This Row],[MENSAL]] - tabPontoPed[[#This Row],[CÁLCULO]] &lt; 0, -1, IF( tabPontoPed[[#This Row],[MENSAL]] - tabPontoPed[[#This Row],[CÁLCULO]] &gt; 0, 1, -8)), -9 )</f>
        <v>1</v>
      </c>
      <c r="W105" s="35"/>
      <c r="X105" s="49" t="s">
        <v>1564</v>
      </c>
      <c r="Y105" s="51">
        <v>44391.599108796298</v>
      </c>
      <c r="Z105" s="72">
        <f>tabPontoPed[CÁLC_4M] - tabPontoPed[CÁLCULO]</f>
        <v>7</v>
      </c>
      <c r="AA105" s="79" t="str">
        <f>IF(tabPontoPed[MENSAL]-tabPontoPed[ATA MENSAL] = 0,"sim","")</f>
        <v/>
      </c>
      <c r="AB105" s="79" t="s">
        <v>1614</v>
      </c>
      <c r="AC105" s="47" t="str">
        <f t="shared" si="1"/>
        <v>*</v>
      </c>
    </row>
    <row r="106" spans="1:29" x14ac:dyDescent="0.25">
      <c r="A106" s="36">
        <v>64610</v>
      </c>
      <c r="B106" s="68" t="s">
        <v>873</v>
      </c>
      <c r="C106" s="33" t="s">
        <v>1317</v>
      </c>
      <c r="D106" s="32">
        <v>69</v>
      </c>
      <c r="E106" s="37">
        <v>1</v>
      </c>
      <c r="F106" s="38" t="str">
        <f>VLOOKUP(tabPontoPed[[#This Row],[GRUPO]],tabGrupos[#Data],2,FALSE)</f>
        <v>METAIS,LAMINAD.,PERFILADOS E ARTEFATOS METALICOS</v>
      </c>
      <c r="G106" s="32" t="str">
        <f>VLOOKUP(tabPontoPed[[#This Row],[GRUPO]],tabGrupos[#Data],3,FALSE)</f>
        <v>MSE</v>
      </c>
      <c r="H106" s="33" t="s">
        <v>1311</v>
      </c>
      <c r="I106" s="80">
        <v>4</v>
      </c>
      <c r="J106" s="39">
        <v>84</v>
      </c>
      <c r="K106" s="41">
        <f>tabPontoPed[[#This Row],[QTDMÊS]] * tabPontoPed[[#This Row],[MENSAL]]</f>
        <v>336</v>
      </c>
      <c r="L106" s="83"/>
      <c r="M106" s="81"/>
      <c r="N106" s="34" t="s">
        <v>1009</v>
      </c>
      <c r="O106" s="76" t="s">
        <v>1694</v>
      </c>
      <c r="P106" s="77">
        <v>0</v>
      </c>
      <c r="Q106" s="57">
        <v>21</v>
      </c>
      <c r="R106" s="42">
        <v>16</v>
      </c>
      <c r="S106" s="69" t="str">
        <f>_xlfn.IFNA(IF(VLOOKUP(tabPontoPed[[#This Row],[CÓDIGO]],tabExcluirDoEstoque[#Data],1,FALSE),"sim",""),"")</f>
        <v/>
      </c>
      <c r="T106" s="43">
        <f>IF(AND(tabPontoPed[[#This Row],[MENSAL]]&gt;0,tabPontoPed[[#This Row],[CÁLCULO]]&gt;0), ABS( tabPontoPed[[#This Row],[MENSAL]] - tabPontoPed[[#This Row],[CÁLCULO]] ) / tabPontoPed[[#This Row],[MENSAL]], -1 )</f>
        <v>0.80952380952380953</v>
      </c>
      <c r="U106" s="58">
        <v>40</v>
      </c>
      <c r="V106" s="35">
        <f>IF(AND(tabPontoPed[[#This Row],[MENSAL]]&gt;0,tabPontoPed[[#This Row],[CÁLCULO]]&gt;0), IF( tabPontoPed[[#This Row],[MENSAL]] - tabPontoPed[[#This Row],[CÁLCULO]] &lt; 0, -1, IF( tabPontoPed[[#This Row],[MENSAL]] - tabPontoPed[[#This Row],[CÁLCULO]] &gt; 0, 1, -8)), -9 )</f>
        <v>1</v>
      </c>
      <c r="W106" s="35"/>
      <c r="X106" s="48" t="s">
        <v>1564</v>
      </c>
      <c r="Y106" s="53">
        <v>44391.599108796298</v>
      </c>
      <c r="Z106" s="72">
        <f>tabPontoPed[CÁLC_4M] - tabPontoPed[CÁLCULO]</f>
        <v>5</v>
      </c>
      <c r="AA106" s="79" t="str">
        <f>IF(tabPontoPed[MENSAL]-tabPontoPed[ATA MENSAL] = 0,"sim","")</f>
        <v/>
      </c>
      <c r="AB106" s="79" t="s">
        <v>1614</v>
      </c>
      <c r="AC106" s="47" t="str">
        <f t="shared" si="1"/>
        <v>*</v>
      </c>
    </row>
    <row r="107" spans="1:29" x14ac:dyDescent="0.25">
      <c r="A107" s="36">
        <v>131482</v>
      </c>
      <c r="B107" s="68" t="s">
        <v>187</v>
      </c>
      <c r="C107" s="33" t="s">
        <v>1317</v>
      </c>
      <c r="D107" s="32">
        <v>72</v>
      </c>
      <c r="E107" s="37">
        <v>5</v>
      </c>
      <c r="F107" s="38" t="str">
        <f>VLOOKUP(tabPontoPed[[#This Row],[GRUPO]],tabGrupos[#Data],2,FALSE)</f>
        <v>MAQ.EQUIP.E MATERIAIS P/ HIGIEN.LIMP.POLIM.E LUBR.</v>
      </c>
      <c r="G107" s="32" t="str">
        <f>VLOOKUP(tabPontoPed[[#This Row],[GRUPO]],tabGrupos[#Data],3,FALSE)</f>
        <v>ADM</v>
      </c>
      <c r="H107" s="33" t="s">
        <v>1311</v>
      </c>
      <c r="I107" s="80">
        <v>4</v>
      </c>
      <c r="J107" s="39">
        <v>5</v>
      </c>
      <c r="K107" s="41">
        <f>tabPontoPed[[#This Row],[QTDMÊS]] * tabPontoPed[[#This Row],[MENSAL]]</f>
        <v>20</v>
      </c>
      <c r="L107" s="83"/>
      <c r="M107" s="81"/>
      <c r="N107" s="34" t="s">
        <v>1009</v>
      </c>
      <c r="O107" s="76" t="s">
        <v>1736</v>
      </c>
      <c r="P107" s="77">
        <v>0</v>
      </c>
      <c r="Q107" s="57">
        <v>2</v>
      </c>
      <c r="R107" s="42">
        <v>1</v>
      </c>
      <c r="S107" s="69" t="str">
        <f>_xlfn.IFNA(IF(VLOOKUP(tabPontoPed[[#This Row],[CÓDIGO]],tabExcluirDoEstoque[#Data],1,FALSE),"sim",""),"")</f>
        <v/>
      </c>
      <c r="T107" s="43">
        <f>IF(AND(tabPontoPed[[#This Row],[MENSAL]]&gt;0,tabPontoPed[[#This Row],[CÁLCULO]]&gt;0), ABS( tabPontoPed[[#This Row],[MENSAL]] - tabPontoPed[[#This Row],[CÁLCULO]] ) / tabPontoPed[[#This Row],[MENSAL]], -1 )</f>
        <v>0.8</v>
      </c>
      <c r="U107" s="58">
        <v>3</v>
      </c>
      <c r="V107" s="35">
        <f>IF(AND(tabPontoPed[[#This Row],[MENSAL]]&gt;0,tabPontoPed[[#This Row],[CÁLCULO]]&gt;0), IF( tabPontoPed[[#This Row],[MENSAL]] - tabPontoPed[[#This Row],[CÁLCULO]] &lt; 0, -1, IF( tabPontoPed[[#This Row],[MENSAL]] - tabPontoPed[[#This Row],[CÁLCULO]] &gt; 0, 1, -8)), -9 )</f>
        <v>1</v>
      </c>
      <c r="W107" s="35"/>
      <c r="X107" s="49" t="s">
        <v>1564</v>
      </c>
      <c r="Y107" s="51">
        <v>44391.599108796298</v>
      </c>
      <c r="Z107" s="72">
        <f>tabPontoPed[CÁLC_4M] - tabPontoPed[CÁLCULO]</f>
        <v>1</v>
      </c>
      <c r="AA107" s="79" t="str">
        <f>IF(tabPontoPed[MENSAL]-tabPontoPed[ATA MENSAL] = 0,"sim","")</f>
        <v/>
      </c>
      <c r="AB107" s="79" t="s">
        <v>1614</v>
      </c>
      <c r="AC107" s="47" t="str">
        <f t="shared" si="1"/>
        <v>*</v>
      </c>
    </row>
    <row r="108" spans="1:29" x14ac:dyDescent="0.25">
      <c r="A108" s="36">
        <v>50591</v>
      </c>
      <c r="B108" s="68" t="s">
        <v>389</v>
      </c>
      <c r="C108" s="33" t="s">
        <v>1317</v>
      </c>
      <c r="D108" s="32">
        <v>51</v>
      </c>
      <c r="E108" s="37">
        <v>28</v>
      </c>
      <c r="F108" s="38" t="str">
        <f>VLOOKUP(tabPontoPed[[#This Row],[GRUPO]],tabGrupos[#Data],2,FALSE)</f>
        <v>MAT.E EQUIP. P/ CONSTR.CIVIL E CONSERV. DE VIAS PUBL.</v>
      </c>
      <c r="G108" s="32" t="str">
        <f>VLOOKUP(tabPontoPed[[#This Row],[GRUPO]],tabGrupos[#Data],3,FALSE)</f>
        <v>MCO</v>
      </c>
      <c r="H108" s="33" t="s">
        <v>1311</v>
      </c>
      <c r="I108" s="80">
        <v>4</v>
      </c>
      <c r="J108" s="39">
        <v>5</v>
      </c>
      <c r="K108" s="41">
        <f>tabPontoPed[[#This Row],[QTDMÊS]] * tabPontoPed[[#This Row],[MENSAL]]</f>
        <v>20</v>
      </c>
      <c r="L108" s="83"/>
      <c r="M108" s="81"/>
      <c r="N108" s="34" t="s">
        <v>1009</v>
      </c>
      <c r="O108" s="76" t="s">
        <v>1684</v>
      </c>
      <c r="P108" s="77">
        <v>0</v>
      </c>
      <c r="Q108" s="57">
        <v>1</v>
      </c>
      <c r="R108" s="42">
        <v>1</v>
      </c>
      <c r="S108" s="69" t="str">
        <f>_xlfn.IFNA(IF(VLOOKUP(tabPontoPed[[#This Row],[CÓDIGO]],tabExcluirDoEstoque[#Data],1,FALSE),"sim",""),"")</f>
        <v/>
      </c>
      <c r="T108" s="43">
        <f>IF(AND(tabPontoPed[[#This Row],[MENSAL]]&gt;0,tabPontoPed[[#This Row],[CÁLCULO]]&gt;0), ABS( tabPontoPed[[#This Row],[MENSAL]] - tabPontoPed[[#This Row],[CÁLCULO]] ) / tabPontoPed[[#This Row],[MENSAL]], -1 )</f>
        <v>0.8</v>
      </c>
      <c r="U108" s="58">
        <v>3</v>
      </c>
      <c r="V108" s="35">
        <f>IF(AND(tabPontoPed[[#This Row],[MENSAL]]&gt;0,tabPontoPed[[#This Row],[CÁLCULO]]&gt;0), IF( tabPontoPed[[#This Row],[MENSAL]] - tabPontoPed[[#This Row],[CÁLCULO]] &lt; 0, -1, IF( tabPontoPed[[#This Row],[MENSAL]] - tabPontoPed[[#This Row],[CÁLCULO]] &gt; 0, 1, -8)), -9 )</f>
        <v>1</v>
      </c>
      <c r="W108" s="35"/>
      <c r="X108" s="49" t="s">
        <v>1564</v>
      </c>
      <c r="Y108" s="51">
        <v>44391.599108796298</v>
      </c>
      <c r="Z108" s="72">
        <f>tabPontoPed[CÁLC_4M] - tabPontoPed[CÁLCULO]</f>
        <v>0</v>
      </c>
      <c r="AA108" s="79" t="str">
        <f>IF(tabPontoPed[MENSAL]-tabPontoPed[ATA MENSAL] = 0,"sim","")</f>
        <v/>
      </c>
      <c r="AB108" s="79" t="s">
        <v>1614</v>
      </c>
      <c r="AC108" s="47" t="str">
        <f t="shared" si="1"/>
        <v>*</v>
      </c>
    </row>
    <row r="109" spans="1:29" x14ac:dyDescent="0.25">
      <c r="A109" s="36">
        <v>133433</v>
      </c>
      <c r="B109" s="68" t="s">
        <v>548</v>
      </c>
      <c r="C109" s="33" t="s">
        <v>1317</v>
      </c>
      <c r="D109" s="32">
        <v>51</v>
      </c>
      <c r="E109" s="37">
        <v>30</v>
      </c>
      <c r="F109" s="38" t="str">
        <f>VLOOKUP(tabPontoPed[[#This Row],[GRUPO]],tabGrupos[#Data],2,FALSE)</f>
        <v>MAT.E EQUIP. P/ CONSTR.CIVIL E CONSERV. DE VIAS PUBL.</v>
      </c>
      <c r="G109" s="32" t="str">
        <f>VLOOKUP(tabPontoPed[[#This Row],[GRUPO]],tabGrupos[#Data],3,FALSE)</f>
        <v>MCO</v>
      </c>
      <c r="H109" s="33" t="s">
        <v>1311</v>
      </c>
      <c r="I109" s="80">
        <v>4</v>
      </c>
      <c r="J109" s="39">
        <v>5</v>
      </c>
      <c r="K109" s="41">
        <f>tabPontoPed[[#This Row],[QTDMÊS]] * tabPontoPed[[#This Row],[MENSAL]]</f>
        <v>20</v>
      </c>
      <c r="L109" s="83"/>
      <c r="M109" s="81"/>
      <c r="N109" s="34" t="s">
        <v>1009</v>
      </c>
      <c r="O109" s="76" t="s">
        <v>1685</v>
      </c>
      <c r="P109" s="77">
        <v>0</v>
      </c>
      <c r="Q109" s="57">
        <v>0</v>
      </c>
      <c r="R109" s="42">
        <v>1</v>
      </c>
      <c r="S109" s="69" t="str">
        <f>_xlfn.IFNA(IF(VLOOKUP(tabPontoPed[[#This Row],[CÓDIGO]],tabExcluirDoEstoque[#Data],1,FALSE),"sim",""),"")</f>
        <v/>
      </c>
      <c r="T109" s="43">
        <f>IF(AND(tabPontoPed[[#This Row],[MENSAL]]&gt;0,tabPontoPed[[#This Row],[CÁLCULO]]&gt;0), ABS( tabPontoPed[[#This Row],[MENSAL]] - tabPontoPed[[#This Row],[CÁLCULO]] ) / tabPontoPed[[#This Row],[MENSAL]], -1 )</f>
        <v>0.8</v>
      </c>
      <c r="U109" s="58">
        <v>1</v>
      </c>
      <c r="V109" s="35">
        <f>IF(AND(tabPontoPed[[#This Row],[MENSAL]]&gt;0,tabPontoPed[[#This Row],[CÁLCULO]]&gt;0), IF( tabPontoPed[[#This Row],[MENSAL]] - tabPontoPed[[#This Row],[CÁLCULO]] &lt; 0, -1, IF( tabPontoPed[[#This Row],[MENSAL]] - tabPontoPed[[#This Row],[CÁLCULO]] &gt; 0, 1, -8)), -9 )</f>
        <v>1</v>
      </c>
      <c r="W109" s="35"/>
      <c r="X109" s="49" t="s">
        <v>1564</v>
      </c>
      <c r="Y109" s="51">
        <v>44391.599108796298</v>
      </c>
      <c r="Z109" s="72">
        <f>tabPontoPed[CÁLC_4M] - tabPontoPed[CÁLCULO]</f>
        <v>-1</v>
      </c>
      <c r="AA109" s="79" t="str">
        <f>IF(tabPontoPed[MENSAL]-tabPontoPed[ATA MENSAL] = 0,"sim","")</f>
        <v/>
      </c>
      <c r="AB109" s="79"/>
      <c r="AC109" s="47" t="str">
        <f t="shared" si="1"/>
        <v>*</v>
      </c>
    </row>
    <row r="110" spans="1:29" x14ac:dyDescent="0.25">
      <c r="A110" s="36">
        <v>77557</v>
      </c>
      <c r="B110" s="68" t="s">
        <v>220</v>
      </c>
      <c r="C110" s="33" t="s">
        <v>1317</v>
      </c>
      <c r="D110" s="32">
        <v>74</v>
      </c>
      <c r="E110" s="37">
        <v>3</v>
      </c>
      <c r="F110" s="38" t="str">
        <f>VLOOKUP(tabPontoPed[[#This Row],[GRUPO]],tabGrupos[#Data],2,FALSE)</f>
        <v>MADEIRAS,LAMINADOS,COMPENSADOS E AGLOMERADOS</v>
      </c>
      <c r="G110" s="32" t="str">
        <f>VLOOKUP(tabPontoPed[[#This Row],[GRUPO]],tabGrupos[#Data],3,FALSE)</f>
        <v>MCO</v>
      </c>
      <c r="H110" s="33" t="s">
        <v>1311</v>
      </c>
      <c r="I110" s="80">
        <v>4</v>
      </c>
      <c r="J110" s="39">
        <v>5</v>
      </c>
      <c r="K110" s="41">
        <f>tabPontoPed[[#This Row],[QTDMÊS]] * tabPontoPed[[#This Row],[MENSAL]]</f>
        <v>20</v>
      </c>
      <c r="L110" s="83"/>
      <c r="M110" s="81"/>
      <c r="N110" s="34" t="s">
        <v>1009</v>
      </c>
      <c r="O110" s="76" t="s">
        <v>1669</v>
      </c>
      <c r="P110" s="77">
        <v>0</v>
      </c>
      <c r="Q110" s="57">
        <v>2</v>
      </c>
      <c r="R110" s="42">
        <v>1</v>
      </c>
      <c r="S110" s="69" t="str">
        <f>_xlfn.IFNA(IF(VLOOKUP(tabPontoPed[[#This Row],[CÓDIGO]],tabExcluirDoEstoque[#Data],1,FALSE),"sim",""),"")</f>
        <v/>
      </c>
      <c r="T110" s="43">
        <f>IF(AND(tabPontoPed[[#This Row],[MENSAL]]&gt;0,tabPontoPed[[#This Row],[CÁLCULO]]&gt;0), ABS( tabPontoPed[[#This Row],[MENSAL]] - tabPontoPed[[#This Row],[CÁLCULO]] ) / tabPontoPed[[#This Row],[MENSAL]], -1 )</f>
        <v>0.8</v>
      </c>
      <c r="U110" s="58">
        <v>5</v>
      </c>
      <c r="V110" s="35">
        <f>IF(AND(tabPontoPed[[#This Row],[MENSAL]]&gt;0,tabPontoPed[[#This Row],[CÁLCULO]]&gt;0), IF( tabPontoPed[[#This Row],[MENSAL]] - tabPontoPed[[#This Row],[CÁLCULO]] &lt; 0, -1, IF( tabPontoPed[[#This Row],[MENSAL]] - tabPontoPed[[#This Row],[CÁLCULO]] &gt; 0, 1, -8)), -9 )</f>
        <v>1</v>
      </c>
      <c r="W110" s="35"/>
      <c r="X110" s="49" t="s">
        <v>1564</v>
      </c>
      <c r="Y110" s="51">
        <v>44391.599108796298</v>
      </c>
      <c r="Z110" s="72">
        <f>tabPontoPed[CÁLC_4M] - tabPontoPed[CÁLCULO]</f>
        <v>1</v>
      </c>
      <c r="AA110" s="79" t="str">
        <f>IF(tabPontoPed[MENSAL]-tabPontoPed[ATA MENSAL] = 0,"sim","")</f>
        <v/>
      </c>
      <c r="AB110" s="79"/>
      <c r="AC110" s="47" t="str">
        <f t="shared" si="1"/>
        <v>*</v>
      </c>
    </row>
    <row r="111" spans="1:29" x14ac:dyDescent="0.25">
      <c r="A111" s="36">
        <v>132229</v>
      </c>
      <c r="B111" s="68" t="s">
        <v>627</v>
      </c>
      <c r="C111" s="33" t="s">
        <v>1317</v>
      </c>
      <c r="D111" s="32">
        <v>55</v>
      </c>
      <c r="E111" s="37">
        <v>19</v>
      </c>
      <c r="F111" s="38" t="str">
        <f>VLOOKUP(tabPontoPed[[#This Row],[GRUPO]],tabGrupos[#Data],2,FALSE)</f>
        <v>EQUIP. MAT. P/ GERACAO, TRANSM. DISTR. RETIF...</v>
      </c>
      <c r="G111" s="32" t="str">
        <f>VLOOKUP(tabPontoPed[[#This Row],[GRUPO]],tabGrupos[#Data],3,FALSE)</f>
        <v>MEL</v>
      </c>
      <c r="H111" s="33" t="s">
        <v>1311</v>
      </c>
      <c r="I111" s="80">
        <v>4</v>
      </c>
      <c r="J111" s="39">
        <v>10</v>
      </c>
      <c r="K111" s="41">
        <f>tabPontoPed[[#This Row],[QTDMÊS]] * tabPontoPed[[#This Row],[MENSAL]]</f>
        <v>40</v>
      </c>
      <c r="L111" s="83"/>
      <c r="M111" s="81"/>
      <c r="N111" s="34" t="s">
        <v>1009</v>
      </c>
      <c r="O111" s="76"/>
      <c r="P111" s="77">
        <v>0</v>
      </c>
      <c r="Q111" s="57">
        <v>0</v>
      </c>
      <c r="R111" s="42">
        <v>2</v>
      </c>
      <c r="S111" s="69" t="str">
        <f>_xlfn.IFNA(IF(VLOOKUP(tabPontoPed[[#This Row],[CÓDIGO]],tabExcluirDoEstoque[#Data],1,FALSE),"sim",""),"")</f>
        <v/>
      </c>
      <c r="T111" s="43">
        <f>IF(AND(tabPontoPed[[#This Row],[MENSAL]]&gt;0,tabPontoPed[[#This Row],[CÁLCULO]]&gt;0), ABS( tabPontoPed[[#This Row],[MENSAL]] - tabPontoPed[[#This Row],[CÁLCULO]] ) / tabPontoPed[[#This Row],[MENSAL]], -1 )</f>
        <v>0.8</v>
      </c>
      <c r="U111" s="58">
        <v>10</v>
      </c>
      <c r="V111" s="35">
        <f>IF(AND(tabPontoPed[[#This Row],[MENSAL]]&gt;0,tabPontoPed[[#This Row],[CÁLCULO]]&gt;0), IF( tabPontoPed[[#This Row],[MENSAL]] - tabPontoPed[[#This Row],[CÁLCULO]] &lt; 0, -1, IF( tabPontoPed[[#This Row],[MENSAL]] - tabPontoPed[[#This Row],[CÁLCULO]] &gt; 0, 1, -8)), -9 )</f>
        <v>1</v>
      </c>
      <c r="W111" s="35"/>
      <c r="X111" s="49" t="s">
        <v>1564</v>
      </c>
      <c r="Y111" s="51">
        <v>44391.599108796298</v>
      </c>
      <c r="Z111" s="72">
        <f>tabPontoPed[CÁLC_4M] - tabPontoPed[CÁLCULO]</f>
        <v>-2</v>
      </c>
      <c r="AA111" s="79" t="str">
        <f>IF(tabPontoPed[MENSAL]-tabPontoPed[ATA MENSAL] = 0,"sim","")</f>
        <v/>
      </c>
      <c r="AB111" s="79"/>
      <c r="AC111" s="47" t="str">
        <f t="shared" si="1"/>
        <v>*</v>
      </c>
    </row>
    <row r="112" spans="1:29" x14ac:dyDescent="0.25">
      <c r="A112" s="36">
        <v>113634</v>
      </c>
      <c r="B112" s="68" t="s">
        <v>643</v>
      </c>
      <c r="C112" s="33" t="s">
        <v>1317</v>
      </c>
      <c r="D112" s="32">
        <v>55</v>
      </c>
      <c r="E112" s="37">
        <v>31</v>
      </c>
      <c r="F112" s="38" t="str">
        <f>VLOOKUP(tabPontoPed[[#This Row],[GRUPO]],tabGrupos[#Data],2,FALSE)</f>
        <v>EQUIP. MAT. P/ GERACAO, TRANSM. DISTR. RETIF...</v>
      </c>
      <c r="G112" s="32" t="str">
        <f>VLOOKUP(tabPontoPed[[#This Row],[GRUPO]],tabGrupos[#Data],3,FALSE)</f>
        <v>MEL</v>
      </c>
      <c r="H112" s="33" t="s">
        <v>1311</v>
      </c>
      <c r="I112" s="80">
        <v>4</v>
      </c>
      <c r="J112" s="39">
        <v>5</v>
      </c>
      <c r="K112" s="41">
        <f>tabPontoPed[[#This Row],[QTDMÊS]] * tabPontoPed[[#This Row],[MENSAL]]</f>
        <v>20</v>
      </c>
      <c r="L112" s="83"/>
      <c r="M112" s="81"/>
      <c r="N112" s="34" t="s">
        <v>1009</v>
      </c>
      <c r="O112" s="76" t="s">
        <v>1667</v>
      </c>
      <c r="P112" s="77">
        <v>0</v>
      </c>
      <c r="Q112" s="57">
        <v>0</v>
      </c>
      <c r="R112" s="42">
        <v>1</v>
      </c>
      <c r="S112" s="69" t="str">
        <f>_xlfn.IFNA(IF(VLOOKUP(tabPontoPed[[#This Row],[CÓDIGO]],tabExcluirDoEstoque[#Data],1,FALSE),"sim",""),"")</f>
        <v/>
      </c>
      <c r="T112" s="43">
        <f>IF(AND(tabPontoPed[[#This Row],[MENSAL]]&gt;0,tabPontoPed[[#This Row],[CÁLCULO]]&gt;0), ABS( tabPontoPed[[#This Row],[MENSAL]] - tabPontoPed[[#This Row],[CÁLCULO]] ) / tabPontoPed[[#This Row],[MENSAL]], -1 )</f>
        <v>0.8</v>
      </c>
      <c r="U112" s="58">
        <v>1</v>
      </c>
      <c r="V112" s="35">
        <f>IF(AND(tabPontoPed[[#This Row],[MENSAL]]&gt;0,tabPontoPed[[#This Row],[CÁLCULO]]&gt;0), IF( tabPontoPed[[#This Row],[MENSAL]] - tabPontoPed[[#This Row],[CÁLCULO]] &lt; 0, -1, IF( tabPontoPed[[#This Row],[MENSAL]] - tabPontoPed[[#This Row],[CÁLCULO]] &gt; 0, 1, -8)), -9 )</f>
        <v>1</v>
      </c>
      <c r="W112" s="35"/>
      <c r="X112" s="49" t="s">
        <v>1564</v>
      </c>
      <c r="Y112" s="51">
        <v>44391.599108796298</v>
      </c>
      <c r="Z112" s="72">
        <f>tabPontoPed[CÁLC_4M] - tabPontoPed[CÁLCULO]</f>
        <v>-1</v>
      </c>
      <c r="AA112" s="79" t="str">
        <f>IF(tabPontoPed[MENSAL]-tabPontoPed[ATA MENSAL] = 0,"sim","")</f>
        <v/>
      </c>
      <c r="AB112" s="79" t="s">
        <v>1614</v>
      </c>
      <c r="AC112" s="47" t="str">
        <f t="shared" si="1"/>
        <v>*</v>
      </c>
    </row>
    <row r="113" spans="1:29" x14ac:dyDescent="0.25">
      <c r="A113" s="36">
        <v>15272</v>
      </c>
      <c r="B113" s="68" t="s">
        <v>659</v>
      </c>
      <c r="C113" s="33" t="s">
        <v>1317</v>
      </c>
      <c r="D113" s="32">
        <v>55</v>
      </c>
      <c r="E113" s="37">
        <v>34</v>
      </c>
      <c r="F113" s="38" t="str">
        <f>VLOOKUP(tabPontoPed[[#This Row],[GRUPO]],tabGrupos[#Data],2,FALSE)</f>
        <v>EQUIP. MAT. P/ GERACAO, TRANSM. DISTR. RETIF...</v>
      </c>
      <c r="G113" s="32" t="str">
        <f>VLOOKUP(tabPontoPed[[#This Row],[GRUPO]],tabGrupos[#Data],3,FALSE)</f>
        <v>MEL</v>
      </c>
      <c r="H113" s="33" t="s">
        <v>1311</v>
      </c>
      <c r="I113" s="80">
        <v>4</v>
      </c>
      <c r="J113" s="39">
        <v>5</v>
      </c>
      <c r="K113" s="41">
        <f>tabPontoPed[[#This Row],[QTDMÊS]] * tabPontoPed[[#This Row],[MENSAL]]</f>
        <v>20</v>
      </c>
      <c r="L113" s="83"/>
      <c r="M113" s="81"/>
      <c r="N113" s="34" t="s">
        <v>1009</v>
      </c>
      <c r="O113" s="76"/>
      <c r="P113" s="77">
        <v>0</v>
      </c>
      <c r="Q113" s="57">
        <v>0</v>
      </c>
      <c r="R113" s="42">
        <v>1</v>
      </c>
      <c r="S113" s="69" t="str">
        <f>_xlfn.IFNA(IF(VLOOKUP(tabPontoPed[[#This Row],[CÓDIGO]],tabExcluirDoEstoque[#Data],1,FALSE),"sim",""),"")</f>
        <v/>
      </c>
      <c r="T113" s="43">
        <f>IF(AND(tabPontoPed[[#This Row],[MENSAL]]&gt;0,tabPontoPed[[#This Row],[CÁLCULO]]&gt;0), ABS( tabPontoPed[[#This Row],[MENSAL]] - tabPontoPed[[#This Row],[CÁLCULO]] ) / tabPontoPed[[#This Row],[MENSAL]], -1 )</f>
        <v>0.8</v>
      </c>
      <c r="U113" s="58">
        <v>10</v>
      </c>
      <c r="V113" s="35">
        <f>IF(AND(tabPontoPed[[#This Row],[MENSAL]]&gt;0,tabPontoPed[[#This Row],[CÁLCULO]]&gt;0), IF( tabPontoPed[[#This Row],[MENSAL]] - tabPontoPed[[#This Row],[CÁLCULO]] &lt; 0, -1, IF( tabPontoPed[[#This Row],[MENSAL]] - tabPontoPed[[#This Row],[CÁLCULO]] &gt; 0, 1, -8)), -9 )</f>
        <v>1</v>
      </c>
      <c r="W113" s="35"/>
      <c r="X113" s="49" t="s">
        <v>1564</v>
      </c>
      <c r="Y113" s="51">
        <v>44391.599108796298</v>
      </c>
      <c r="Z113" s="72">
        <f>tabPontoPed[CÁLC_4M] - tabPontoPed[CÁLCULO]</f>
        <v>-1</v>
      </c>
      <c r="AA113" s="79" t="str">
        <f>IF(tabPontoPed[MENSAL]-tabPontoPed[ATA MENSAL] = 0,"sim","")</f>
        <v/>
      </c>
      <c r="AB113" s="79"/>
      <c r="AC113" s="47" t="str">
        <f t="shared" si="1"/>
        <v>*</v>
      </c>
    </row>
    <row r="114" spans="1:29" x14ac:dyDescent="0.25">
      <c r="A114" s="36">
        <v>15466</v>
      </c>
      <c r="B114" s="68" t="s">
        <v>661</v>
      </c>
      <c r="C114" s="33" t="s">
        <v>1317</v>
      </c>
      <c r="D114" s="32">
        <v>55</v>
      </c>
      <c r="E114" s="37">
        <v>34</v>
      </c>
      <c r="F114" s="38" t="str">
        <f>VLOOKUP(tabPontoPed[[#This Row],[GRUPO]],tabGrupos[#Data],2,FALSE)</f>
        <v>EQUIP. MAT. P/ GERACAO, TRANSM. DISTR. RETIF...</v>
      </c>
      <c r="G114" s="32" t="str">
        <f>VLOOKUP(tabPontoPed[[#This Row],[GRUPO]],tabGrupos[#Data],3,FALSE)</f>
        <v>MEL</v>
      </c>
      <c r="H114" s="33" t="s">
        <v>1311</v>
      </c>
      <c r="I114" s="80">
        <v>4</v>
      </c>
      <c r="J114" s="39">
        <v>15</v>
      </c>
      <c r="K114" s="41">
        <f>tabPontoPed[[#This Row],[QTDMÊS]] * tabPontoPed[[#This Row],[MENSAL]]</f>
        <v>60</v>
      </c>
      <c r="L114" s="83"/>
      <c r="M114" s="81"/>
      <c r="N114" s="34" t="s">
        <v>1009</v>
      </c>
      <c r="O114" s="76" t="s">
        <v>1471</v>
      </c>
      <c r="P114" s="77">
        <v>0</v>
      </c>
      <c r="Q114" s="57">
        <v>0</v>
      </c>
      <c r="R114" s="42">
        <v>3</v>
      </c>
      <c r="S114" s="69" t="str">
        <f>_xlfn.IFNA(IF(VLOOKUP(tabPontoPed[[#This Row],[CÓDIGO]],tabExcluirDoEstoque[#Data],1,FALSE),"sim",""),"")</f>
        <v/>
      </c>
      <c r="T114" s="43">
        <f>IF(AND(tabPontoPed[[#This Row],[MENSAL]]&gt;0,tabPontoPed[[#This Row],[CÁLCULO]]&gt;0), ABS( tabPontoPed[[#This Row],[MENSAL]] - tabPontoPed[[#This Row],[CÁLCULO]] ) / tabPontoPed[[#This Row],[MENSAL]], -1 )</f>
        <v>0.8</v>
      </c>
      <c r="U114" s="58">
        <v>10</v>
      </c>
      <c r="V114" s="35">
        <f>IF(AND(tabPontoPed[[#This Row],[MENSAL]]&gt;0,tabPontoPed[[#This Row],[CÁLCULO]]&gt;0), IF( tabPontoPed[[#This Row],[MENSAL]] - tabPontoPed[[#This Row],[CÁLCULO]] &lt; 0, -1, IF( tabPontoPed[[#This Row],[MENSAL]] - tabPontoPed[[#This Row],[CÁLCULO]] &gt; 0, 1, -8)), -9 )</f>
        <v>1</v>
      </c>
      <c r="W114" s="35"/>
      <c r="X114" s="48" t="s">
        <v>1564</v>
      </c>
      <c r="Y114" s="53">
        <v>44391.599108796298</v>
      </c>
      <c r="Z114" s="72">
        <f>tabPontoPed[CÁLC_4M] - tabPontoPed[CÁLCULO]</f>
        <v>-3</v>
      </c>
      <c r="AA114" s="79" t="str">
        <f>IF(tabPontoPed[MENSAL]-tabPontoPed[ATA MENSAL] = 0,"sim","")</f>
        <v/>
      </c>
      <c r="AB114" s="79"/>
      <c r="AC114" s="47" t="str">
        <f t="shared" si="1"/>
        <v>*</v>
      </c>
    </row>
    <row r="115" spans="1:29" x14ac:dyDescent="0.25">
      <c r="A115" s="36">
        <v>15467</v>
      </c>
      <c r="B115" s="68" t="s">
        <v>662</v>
      </c>
      <c r="C115" s="33" t="s">
        <v>1317</v>
      </c>
      <c r="D115" s="32">
        <v>55</v>
      </c>
      <c r="E115" s="37">
        <v>34</v>
      </c>
      <c r="F115" s="38" t="str">
        <f>VLOOKUP(tabPontoPed[[#This Row],[GRUPO]],tabGrupos[#Data],2,FALSE)</f>
        <v>EQUIP. MAT. P/ GERACAO, TRANSM. DISTR. RETIF...</v>
      </c>
      <c r="G115" s="32" t="str">
        <f>VLOOKUP(tabPontoPed[[#This Row],[GRUPO]],tabGrupos[#Data],3,FALSE)</f>
        <v>MEL</v>
      </c>
      <c r="H115" s="33" t="s">
        <v>1311</v>
      </c>
      <c r="I115" s="80">
        <v>4</v>
      </c>
      <c r="J115" s="39">
        <v>10</v>
      </c>
      <c r="K115" s="41">
        <f>tabPontoPed[[#This Row],[QTDMÊS]] * tabPontoPed[[#This Row],[MENSAL]]</f>
        <v>40</v>
      </c>
      <c r="L115" s="83"/>
      <c r="M115" s="81"/>
      <c r="N115" s="34" t="s">
        <v>1009</v>
      </c>
      <c r="O115" s="76" t="s">
        <v>1471</v>
      </c>
      <c r="P115" s="77">
        <v>0</v>
      </c>
      <c r="Q115" s="57">
        <v>1</v>
      </c>
      <c r="R115" s="42">
        <v>2</v>
      </c>
      <c r="S115" s="69" t="str">
        <f>_xlfn.IFNA(IF(VLOOKUP(tabPontoPed[[#This Row],[CÓDIGO]],tabExcluirDoEstoque[#Data],1,FALSE),"sim",""),"")</f>
        <v/>
      </c>
      <c r="T115" s="43">
        <f>IF(AND(tabPontoPed[[#This Row],[MENSAL]]&gt;0,tabPontoPed[[#This Row],[CÁLCULO]]&gt;0), ABS( tabPontoPed[[#This Row],[MENSAL]] - tabPontoPed[[#This Row],[CÁLCULO]] ) / tabPontoPed[[#This Row],[MENSAL]], -1 )</f>
        <v>0.8</v>
      </c>
      <c r="U115" s="58">
        <v>11</v>
      </c>
      <c r="V115" s="35">
        <f>IF(AND(tabPontoPed[[#This Row],[MENSAL]]&gt;0,tabPontoPed[[#This Row],[CÁLCULO]]&gt;0), IF( tabPontoPed[[#This Row],[MENSAL]] - tabPontoPed[[#This Row],[CÁLCULO]] &lt; 0, -1, IF( tabPontoPed[[#This Row],[MENSAL]] - tabPontoPed[[#This Row],[CÁLCULO]] &gt; 0, 1, -8)), -9 )</f>
        <v>1</v>
      </c>
      <c r="W115" s="35"/>
      <c r="X115" s="49" t="s">
        <v>1564</v>
      </c>
      <c r="Y115" s="51">
        <v>44391.599108796298</v>
      </c>
      <c r="Z115" s="72">
        <f>tabPontoPed[CÁLC_4M] - tabPontoPed[CÁLCULO]</f>
        <v>-1</v>
      </c>
      <c r="AA115" s="79" t="str">
        <f>IF(tabPontoPed[MENSAL]-tabPontoPed[ATA MENSAL] = 0,"sim","")</f>
        <v/>
      </c>
      <c r="AB115" s="79"/>
      <c r="AC115" s="47" t="str">
        <f t="shared" si="1"/>
        <v>*</v>
      </c>
    </row>
    <row r="116" spans="1:29" x14ac:dyDescent="0.25">
      <c r="A116" s="36">
        <v>15664</v>
      </c>
      <c r="B116" s="68" t="s">
        <v>29</v>
      </c>
      <c r="C116" s="33" t="s">
        <v>1317</v>
      </c>
      <c r="D116" s="32">
        <v>55</v>
      </c>
      <c r="E116" s="37">
        <v>35</v>
      </c>
      <c r="F116" s="38" t="str">
        <f>VLOOKUP(tabPontoPed[[#This Row],[GRUPO]],tabGrupos[#Data],2,FALSE)</f>
        <v>EQUIP. MAT. P/ GERACAO, TRANSM. DISTR. RETIF...</v>
      </c>
      <c r="G116" s="32" t="str">
        <f>VLOOKUP(tabPontoPed[[#This Row],[GRUPO]],tabGrupos[#Data],3,FALSE)</f>
        <v>MEL</v>
      </c>
      <c r="H116" s="33" t="s">
        <v>1311</v>
      </c>
      <c r="I116" s="80">
        <v>4</v>
      </c>
      <c r="J116" s="39">
        <v>5</v>
      </c>
      <c r="K116" s="41">
        <f>tabPontoPed[[#This Row],[QTDMÊS]] * tabPontoPed[[#This Row],[MENSAL]]</f>
        <v>20</v>
      </c>
      <c r="L116" s="83"/>
      <c r="M116" s="81"/>
      <c r="N116" s="34" t="s">
        <v>1009</v>
      </c>
      <c r="O116" s="76" t="s">
        <v>1676</v>
      </c>
      <c r="P116" s="77">
        <v>0</v>
      </c>
      <c r="Q116" s="57">
        <v>1</v>
      </c>
      <c r="R116" s="42">
        <v>1</v>
      </c>
      <c r="S116" s="69" t="str">
        <f>_xlfn.IFNA(IF(VLOOKUP(tabPontoPed[[#This Row],[CÓDIGO]],tabExcluirDoEstoque[#Data],1,FALSE),"sim",""),"")</f>
        <v/>
      </c>
      <c r="T116" s="43">
        <f>IF(AND(tabPontoPed[[#This Row],[MENSAL]]&gt;0,tabPontoPed[[#This Row],[CÁLCULO]]&gt;0), ABS( tabPontoPed[[#This Row],[MENSAL]] - tabPontoPed[[#This Row],[CÁLCULO]] ) / tabPontoPed[[#This Row],[MENSAL]], -1 )</f>
        <v>0.8</v>
      </c>
      <c r="U116" s="58">
        <v>2</v>
      </c>
      <c r="V116" s="35">
        <f>IF(AND(tabPontoPed[[#This Row],[MENSAL]]&gt;0,tabPontoPed[[#This Row],[CÁLCULO]]&gt;0), IF( tabPontoPed[[#This Row],[MENSAL]] - tabPontoPed[[#This Row],[CÁLCULO]] &lt; 0, -1, IF( tabPontoPed[[#This Row],[MENSAL]] - tabPontoPed[[#This Row],[CÁLCULO]] &gt; 0, 1, -8)), -9 )</f>
        <v>1</v>
      </c>
      <c r="W116" s="35"/>
      <c r="X116" s="49" t="s">
        <v>1564</v>
      </c>
      <c r="Y116" s="51">
        <v>44391.599108796298</v>
      </c>
      <c r="Z116" s="72">
        <f>tabPontoPed[CÁLC_4M] - tabPontoPed[CÁLCULO]</f>
        <v>0</v>
      </c>
      <c r="AA116" s="79" t="str">
        <f>IF(tabPontoPed[MENSAL]-tabPontoPed[ATA MENSAL] = 0,"sim","")</f>
        <v/>
      </c>
      <c r="AB116" s="79" t="s">
        <v>1614</v>
      </c>
      <c r="AC116" s="47" t="str">
        <f t="shared" si="1"/>
        <v>*</v>
      </c>
    </row>
    <row r="117" spans="1:29" x14ac:dyDescent="0.25">
      <c r="A117" s="36">
        <v>119180</v>
      </c>
      <c r="B117" s="68" t="s">
        <v>142</v>
      </c>
      <c r="C117" s="33" t="s">
        <v>1317</v>
      </c>
      <c r="D117" s="32">
        <v>55</v>
      </c>
      <c r="E117" s="37">
        <v>37</v>
      </c>
      <c r="F117" s="38" t="str">
        <f>VLOOKUP(tabPontoPed[[#This Row],[GRUPO]],tabGrupos[#Data],2,FALSE)</f>
        <v>EQUIP. MAT. P/ GERACAO, TRANSM. DISTR. RETIF...</v>
      </c>
      <c r="G117" s="32" t="str">
        <f>VLOOKUP(tabPontoPed[[#This Row],[GRUPO]],tabGrupos[#Data],3,FALSE)</f>
        <v>MEL</v>
      </c>
      <c r="H117" s="33" t="s">
        <v>1311</v>
      </c>
      <c r="I117" s="80">
        <v>4</v>
      </c>
      <c r="J117" s="39">
        <v>5</v>
      </c>
      <c r="K117" s="41">
        <f>tabPontoPed[[#This Row],[QTDMÊS]] * tabPontoPed[[#This Row],[MENSAL]]</f>
        <v>20</v>
      </c>
      <c r="L117" s="83"/>
      <c r="M117" s="81"/>
      <c r="N117" s="34" t="s">
        <v>1009</v>
      </c>
      <c r="O117" s="76" t="s">
        <v>1707</v>
      </c>
      <c r="P117" s="77">
        <v>0</v>
      </c>
      <c r="Q117" s="57">
        <v>1</v>
      </c>
      <c r="R117" s="42">
        <v>1</v>
      </c>
      <c r="S117" s="69" t="str">
        <f>_xlfn.IFNA(IF(VLOOKUP(tabPontoPed[[#This Row],[CÓDIGO]],tabExcluirDoEstoque[#Data],1,FALSE),"sim",""),"")</f>
        <v/>
      </c>
      <c r="T117" s="43">
        <f>IF(AND(tabPontoPed[[#This Row],[MENSAL]]&gt;0,tabPontoPed[[#This Row],[CÁLCULO]]&gt;0), ABS( tabPontoPed[[#This Row],[MENSAL]] - tabPontoPed[[#This Row],[CÁLCULO]] ) / tabPontoPed[[#This Row],[MENSAL]], -1 )</f>
        <v>0.8</v>
      </c>
      <c r="U117" s="58">
        <v>1</v>
      </c>
      <c r="V117" s="35">
        <f>IF(AND(tabPontoPed[[#This Row],[MENSAL]]&gt;0,tabPontoPed[[#This Row],[CÁLCULO]]&gt;0), IF( tabPontoPed[[#This Row],[MENSAL]] - tabPontoPed[[#This Row],[CÁLCULO]] &lt; 0, -1, IF( tabPontoPed[[#This Row],[MENSAL]] - tabPontoPed[[#This Row],[CÁLCULO]] &gt; 0, 1, -8)), -9 )</f>
        <v>1</v>
      </c>
      <c r="W117" s="35"/>
      <c r="X117" s="49" t="s">
        <v>1564</v>
      </c>
      <c r="Y117" s="51">
        <v>44391.599108796298</v>
      </c>
      <c r="Z117" s="72">
        <f>tabPontoPed[CÁLC_4M] - tabPontoPed[CÁLCULO]</f>
        <v>0</v>
      </c>
      <c r="AA117" s="79" t="str">
        <f>IF(tabPontoPed[MENSAL]-tabPontoPed[ATA MENSAL] = 0,"sim","")</f>
        <v/>
      </c>
      <c r="AB117" s="79"/>
      <c r="AC117" s="47" t="str">
        <f t="shared" si="1"/>
        <v>*</v>
      </c>
    </row>
    <row r="118" spans="1:29" x14ac:dyDescent="0.25">
      <c r="A118" s="36">
        <v>13556</v>
      </c>
      <c r="B118" s="68" t="s">
        <v>723</v>
      </c>
      <c r="C118" s="33" t="s">
        <v>1317</v>
      </c>
      <c r="D118" s="32">
        <v>61</v>
      </c>
      <c r="E118" s="37">
        <v>3</v>
      </c>
      <c r="F118" s="38" t="str">
        <f>VLOOKUP(tabPontoPed[[#This Row],[GRUPO]],tabGrupos[#Data],2,FALSE)</f>
        <v>MATERIAL HIDRAULICO, CANOS, TUBOS, MANGUEIRAS, CONEXOES E ACESS.</v>
      </c>
      <c r="G118" s="32" t="str">
        <f>VLOOKUP(tabPontoPed[[#This Row],[GRUPO]],tabGrupos[#Data],3,FALSE)</f>
        <v>MHI</v>
      </c>
      <c r="H118" s="33" t="s">
        <v>1311</v>
      </c>
      <c r="I118" s="80">
        <v>4</v>
      </c>
      <c r="J118" s="39">
        <v>5</v>
      </c>
      <c r="K118" s="41">
        <f>tabPontoPed[[#This Row],[QTDMÊS]] * tabPontoPed[[#This Row],[MENSAL]]</f>
        <v>20</v>
      </c>
      <c r="L118" s="83"/>
      <c r="M118" s="81"/>
      <c r="N118" s="34" t="s">
        <v>1009</v>
      </c>
      <c r="O118" s="76" t="s">
        <v>1668</v>
      </c>
      <c r="P118" s="77">
        <v>0</v>
      </c>
      <c r="Q118" s="57">
        <v>0</v>
      </c>
      <c r="R118" s="42">
        <v>1</v>
      </c>
      <c r="S118" s="69" t="str">
        <f>_xlfn.IFNA(IF(VLOOKUP(tabPontoPed[[#This Row],[CÓDIGO]],tabExcluirDoEstoque[#Data],1,FALSE),"sim",""),"")</f>
        <v/>
      </c>
      <c r="T118" s="43">
        <f>IF(AND(tabPontoPed[[#This Row],[MENSAL]]&gt;0,tabPontoPed[[#This Row],[CÁLCULO]]&gt;0), ABS( tabPontoPed[[#This Row],[MENSAL]] - tabPontoPed[[#This Row],[CÁLCULO]] ) / tabPontoPed[[#This Row],[MENSAL]], -1 )</f>
        <v>0.8</v>
      </c>
      <c r="U118" s="58">
        <v>3</v>
      </c>
      <c r="V118" s="35">
        <f>IF(AND(tabPontoPed[[#This Row],[MENSAL]]&gt;0,tabPontoPed[[#This Row],[CÁLCULO]]&gt;0), IF( tabPontoPed[[#This Row],[MENSAL]] - tabPontoPed[[#This Row],[CÁLCULO]] &lt; 0, -1, IF( tabPontoPed[[#This Row],[MENSAL]] - tabPontoPed[[#This Row],[CÁLCULO]] &gt; 0, 1, -8)), -9 )</f>
        <v>1</v>
      </c>
      <c r="W118" s="35"/>
      <c r="X118" s="49" t="s">
        <v>1564</v>
      </c>
      <c r="Y118" s="51">
        <v>44391.599108796298</v>
      </c>
      <c r="Z118" s="72">
        <f>tabPontoPed[CÁLC_4M] - tabPontoPed[CÁLCULO]</f>
        <v>-1</v>
      </c>
      <c r="AA118" s="79" t="str">
        <f>IF(tabPontoPed[MENSAL]-tabPontoPed[ATA MENSAL] = 0,"sim","")</f>
        <v/>
      </c>
      <c r="AB118" s="79"/>
      <c r="AC118" s="47" t="str">
        <f t="shared" si="1"/>
        <v>*</v>
      </c>
    </row>
    <row r="119" spans="1:29" x14ac:dyDescent="0.25">
      <c r="A119" s="36">
        <v>135299</v>
      </c>
      <c r="B119" s="68" t="s">
        <v>301</v>
      </c>
      <c r="C119" s="33" t="s">
        <v>1317</v>
      </c>
      <c r="D119" s="32">
        <v>61</v>
      </c>
      <c r="E119" s="37">
        <v>8</v>
      </c>
      <c r="F119" s="38" t="str">
        <f>VLOOKUP(tabPontoPed[[#This Row],[GRUPO]],tabGrupos[#Data],2,FALSE)</f>
        <v>MATERIAL HIDRAULICO, CANOS, TUBOS, MANGUEIRAS, CONEXOES E ACESS.</v>
      </c>
      <c r="G119" s="32" t="str">
        <f>VLOOKUP(tabPontoPed[[#This Row],[GRUPO]],tabGrupos[#Data],3,FALSE)</f>
        <v>MHI</v>
      </c>
      <c r="H119" s="33" t="s">
        <v>1311</v>
      </c>
      <c r="I119" s="80">
        <v>4</v>
      </c>
      <c r="J119" s="39">
        <v>5</v>
      </c>
      <c r="K119" s="41">
        <f>tabPontoPed[[#This Row],[QTDMÊS]] * tabPontoPed[[#This Row],[MENSAL]]</f>
        <v>20</v>
      </c>
      <c r="L119" s="83"/>
      <c r="M119" s="81"/>
      <c r="N119" s="34" t="s">
        <v>1009</v>
      </c>
      <c r="O119" s="76" t="s">
        <v>1679</v>
      </c>
      <c r="P119" s="77">
        <v>0</v>
      </c>
      <c r="Q119" s="57">
        <v>2</v>
      </c>
      <c r="R119" s="42">
        <v>1</v>
      </c>
      <c r="S119" s="69" t="str">
        <f>_xlfn.IFNA(IF(VLOOKUP(tabPontoPed[[#This Row],[CÓDIGO]],tabExcluirDoEstoque[#Data],1,FALSE),"sim",""),"")</f>
        <v/>
      </c>
      <c r="T119" s="43">
        <f>IF(AND(tabPontoPed[[#This Row],[MENSAL]]&gt;0,tabPontoPed[[#This Row],[CÁLCULO]]&gt;0), ABS( tabPontoPed[[#This Row],[MENSAL]] - tabPontoPed[[#This Row],[CÁLCULO]] ) / tabPontoPed[[#This Row],[MENSAL]], -1 )</f>
        <v>0.8</v>
      </c>
      <c r="U119" s="58">
        <v>6</v>
      </c>
      <c r="V119" s="35">
        <f>IF(AND(tabPontoPed[[#This Row],[MENSAL]]&gt;0,tabPontoPed[[#This Row],[CÁLCULO]]&gt;0), IF( tabPontoPed[[#This Row],[MENSAL]] - tabPontoPed[[#This Row],[CÁLCULO]] &lt; 0, -1, IF( tabPontoPed[[#This Row],[MENSAL]] - tabPontoPed[[#This Row],[CÁLCULO]] &gt; 0, 1, -8)), -9 )</f>
        <v>1</v>
      </c>
      <c r="W119" s="35"/>
      <c r="X119" s="49" t="s">
        <v>1564</v>
      </c>
      <c r="Y119" s="51">
        <v>44391.599108796298</v>
      </c>
      <c r="Z119" s="72">
        <f>tabPontoPed[CÁLC_4M] - tabPontoPed[CÁLCULO]</f>
        <v>1</v>
      </c>
      <c r="AA119" s="79" t="str">
        <f>IF(tabPontoPed[MENSAL]-tabPontoPed[ATA MENSAL] = 0,"sim","")</f>
        <v/>
      </c>
      <c r="AB119" s="79"/>
      <c r="AC119" s="47" t="str">
        <f t="shared" si="1"/>
        <v>*</v>
      </c>
    </row>
    <row r="120" spans="1:29" x14ac:dyDescent="0.25">
      <c r="A120" s="36">
        <v>28307</v>
      </c>
      <c r="B120" s="68" t="s">
        <v>749</v>
      </c>
      <c r="C120" s="33" t="s">
        <v>1317</v>
      </c>
      <c r="D120" s="32">
        <v>61</v>
      </c>
      <c r="E120" s="37">
        <v>8</v>
      </c>
      <c r="F120" s="38" t="str">
        <f>VLOOKUP(tabPontoPed[[#This Row],[GRUPO]],tabGrupos[#Data],2,FALSE)</f>
        <v>MATERIAL HIDRAULICO, CANOS, TUBOS, MANGUEIRAS, CONEXOES E ACESS.</v>
      </c>
      <c r="G120" s="32" t="str">
        <f>VLOOKUP(tabPontoPed[[#This Row],[GRUPO]],tabGrupos[#Data],3,FALSE)</f>
        <v>MHI</v>
      </c>
      <c r="H120" s="33" t="s">
        <v>1311</v>
      </c>
      <c r="I120" s="80">
        <v>4</v>
      </c>
      <c r="J120" s="39">
        <v>5</v>
      </c>
      <c r="K120" s="41">
        <f>tabPontoPed[[#This Row],[QTDMÊS]] * tabPontoPed[[#This Row],[MENSAL]]</f>
        <v>20</v>
      </c>
      <c r="L120" s="83"/>
      <c r="M120" s="81"/>
      <c r="N120" s="34" t="s">
        <v>1009</v>
      </c>
      <c r="O120" s="76" t="s">
        <v>1679</v>
      </c>
      <c r="P120" s="77">
        <v>0</v>
      </c>
      <c r="Q120" s="57">
        <v>0</v>
      </c>
      <c r="R120" s="42">
        <v>1</v>
      </c>
      <c r="S120" s="69" t="str">
        <f>_xlfn.IFNA(IF(VLOOKUP(tabPontoPed[[#This Row],[CÓDIGO]],tabExcluirDoEstoque[#Data],1,FALSE),"sim",""),"")</f>
        <v/>
      </c>
      <c r="T120" s="43">
        <f>IF(AND(tabPontoPed[[#This Row],[MENSAL]]&gt;0,tabPontoPed[[#This Row],[CÁLCULO]]&gt;0), ABS( tabPontoPed[[#This Row],[MENSAL]] - tabPontoPed[[#This Row],[CÁLCULO]] ) / tabPontoPed[[#This Row],[MENSAL]], -1 )</f>
        <v>0.8</v>
      </c>
      <c r="U120" s="58">
        <v>6</v>
      </c>
      <c r="V120" s="35">
        <f>IF(AND(tabPontoPed[[#This Row],[MENSAL]]&gt;0,tabPontoPed[[#This Row],[CÁLCULO]]&gt;0), IF( tabPontoPed[[#This Row],[MENSAL]] - tabPontoPed[[#This Row],[CÁLCULO]] &lt; 0, -1, IF( tabPontoPed[[#This Row],[MENSAL]] - tabPontoPed[[#This Row],[CÁLCULO]] &gt; 0, 1, -8)), -9 )</f>
        <v>1</v>
      </c>
      <c r="W120" s="35"/>
      <c r="X120" s="49" t="s">
        <v>1564</v>
      </c>
      <c r="Y120" s="51">
        <v>44391.599108796298</v>
      </c>
      <c r="Z120" s="72">
        <f>tabPontoPed[CÁLC_4M] - tabPontoPed[CÁLCULO]</f>
        <v>-1</v>
      </c>
      <c r="AA120" s="79" t="str">
        <f>IF(tabPontoPed[MENSAL]-tabPontoPed[ATA MENSAL] = 0,"sim","")</f>
        <v/>
      </c>
      <c r="AB120" s="79"/>
      <c r="AC120" s="47" t="str">
        <f t="shared" si="1"/>
        <v>*</v>
      </c>
    </row>
    <row r="121" spans="1:29" x14ac:dyDescent="0.25">
      <c r="A121" s="36">
        <v>13116</v>
      </c>
      <c r="B121" s="68" t="s">
        <v>785</v>
      </c>
      <c r="C121" s="33" t="s">
        <v>1317</v>
      </c>
      <c r="D121" s="32">
        <v>61</v>
      </c>
      <c r="E121" s="37">
        <v>15</v>
      </c>
      <c r="F121" s="38" t="str">
        <f>VLOOKUP(tabPontoPed[[#This Row],[GRUPO]],tabGrupos[#Data],2,FALSE)</f>
        <v>MATERIAL HIDRAULICO, CANOS, TUBOS, MANGUEIRAS, CONEXOES E ACESS.</v>
      </c>
      <c r="G121" s="32" t="str">
        <f>VLOOKUP(tabPontoPed[[#This Row],[GRUPO]],tabGrupos[#Data],3,FALSE)</f>
        <v>MHI</v>
      </c>
      <c r="H121" s="33" t="s">
        <v>1311</v>
      </c>
      <c r="I121" s="80">
        <v>4</v>
      </c>
      <c r="J121" s="39">
        <v>5</v>
      </c>
      <c r="K121" s="41">
        <f>tabPontoPed[[#This Row],[QTDMÊS]] * tabPontoPed[[#This Row],[MENSAL]]</f>
        <v>20</v>
      </c>
      <c r="L121" s="83"/>
      <c r="M121" s="81"/>
      <c r="N121" s="34" t="s">
        <v>1009</v>
      </c>
      <c r="O121" s="76" t="s">
        <v>1679</v>
      </c>
      <c r="P121" s="77">
        <v>0</v>
      </c>
      <c r="Q121" s="57">
        <v>0</v>
      </c>
      <c r="R121" s="42">
        <v>1</v>
      </c>
      <c r="S121" s="69" t="str">
        <f>_xlfn.IFNA(IF(VLOOKUP(tabPontoPed[[#This Row],[CÓDIGO]],tabExcluirDoEstoque[#Data],1,FALSE),"sim",""),"")</f>
        <v/>
      </c>
      <c r="T121" s="43">
        <f>IF(AND(tabPontoPed[[#This Row],[MENSAL]]&gt;0,tabPontoPed[[#This Row],[CÁLCULO]]&gt;0), ABS( tabPontoPed[[#This Row],[MENSAL]] - tabPontoPed[[#This Row],[CÁLCULO]] ) / tabPontoPed[[#This Row],[MENSAL]], -1 )</f>
        <v>0.8</v>
      </c>
      <c r="U121" s="58">
        <v>2</v>
      </c>
      <c r="V121" s="35">
        <f>IF(AND(tabPontoPed[[#This Row],[MENSAL]]&gt;0,tabPontoPed[[#This Row],[CÁLCULO]]&gt;0), IF( tabPontoPed[[#This Row],[MENSAL]] - tabPontoPed[[#This Row],[CÁLCULO]] &lt; 0, -1, IF( tabPontoPed[[#This Row],[MENSAL]] - tabPontoPed[[#This Row],[CÁLCULO]] &gt; 0, 1, -8)), -9 )</f>
        <v>1</v>
      </c>
      <c r="W121" s="35"/>
      <c r="X121" s="49" t="s">
        <v>1564</v>
      </c>
      <c r="Y121" s="51">
        <v>44391.599108796298</v>
      </c>
      <c r="Z121" s="72">
        <f>tabPontoPed[CÁLC_4M] - tabPontoPed[CÁLCULO]</f>
        <v>-1</v>
      </c>
      <c r="AA121" s="79" t="str">
        <f>IF(tabPontoPed[MENSAL]-tabPontoPed[ATA MENSAL] = 0,"sim","")</f>
        <v/>
      </c>
      <c r="AB121" s="79" t="s">
        <v>1614</v>
      </c>
      <c r="AC121" s="47" t="str">
        <f t="shared" si="1"/>
        <v>*</v>
      </c>
    </row>
    <row r="122" spans="1:29" x14ac:dyDescent="0.25">
      <c r="A122" s="36">
        <v>81563</v>
      </c>
      <c r="B122" s="68" t="s">
        <v>793</v>
      </c>
      <c r="C122" s="33" t="s">
        <v>1317</v>
      </c>
      <c r="D122" s="32">
        <v>61</v>
      </c>
      <c r="E122" s="37">
        <v>15</v>
      </c>
      <c r="F122" s="38" t="str">
        <f>VLOOKUP(tabPontoPed[[#This Row],[GRUPO]],tabGrupos[#Data],2,FALSE)</f>
        <v>MATERIAL HIDRAULICO, CANOS, TUBOS, MANGUEIRAS, CONEXOES E ACESS.</v>
      </c>
      <c r="G122" s="32" t="str">
        <f>VLOOKUP(tabPontoPed[[#This Row],[GRUPO]],tabGrupos[#Data],3,FALSE)</f>
        <v>MHI</v>
      </c>
      <c r="H122" s="33" t="s">
        <v>1311</v>
      </c>
      <c r="I122" s="80">
        <v>4</v>
      </c>
      <c r="J122" s="39">
        <v>5</v>
      </c>
      <c r="K122" s="41">
        <f>tabPontoPed[[#This Row],[QTDMÊS]] * tabPontoPed[[#This Row],[MENSAL]]</f>
        <v>20</v>
      </c>
      <c r="L122" s="83"/>
      <c r="M122" s="81"/>
      <c r="N122" s="34" t="s">
        <v>1009</v>
      </c>
      <c r="O122" s="76" t="s">
        <v>1691</v>
      </c>
      <c r="P122" s="77">
        <v>0</v>
      </c>
      <c r="Q122" s="57">
        <v>0</v>
      </c>
      <c r="R122" s="42">
        <v>1</v>
      </c>
      <c r="S122" s="69" t="str">
        <f>_xlfn.IFNA(IF(VLOOKUP(tabPontoPed[[#This Row],[CÓDIGO]],tabExcluirDoEstoque[#Data],1,FALSE),"sim",""),"")</f>
        <v/>
      </c>
      <c r="T122" s="43">
        <f>IF(AND(tabPontoPed[[#This Row],[MENSAL]]&gt;0,tabPontoPed[[#This Row],[CÁLCULO]]&gt;0), ABS( tabPontoPed[[#This Row],[MENSAL]] - tabPontoPed[[#This Row],[CÁLCULO]] ) / tabPontoPed[[#This Row],[MENSAL]], -1 )</f>
        <v>0.8</v>
      </c>
      <c r="U122" s="58">
        <v>4</v>
      </c>
      <c r="V122" s="35">
        <f>IF(AND(tabPontoPed[[#This Row],[MENSAL]]&gt;0,tabPontoPed[[#This Row],[CÁLCULO]]&gt;0), IF( tabPontoPed[[#This Row],[MENSAL]] - tabPontoPed[[#This Row],[CÁLCULO]] &lt; 0, -1, IF( tabPontoPed[[#This Row],[MENSAL]] - tabPontoPed[[#This Row],[CÁLCULO]] &gt; 0, 1, -8)), -9 )</f>
        <v>1</v>
      </c>
      <c r="W122" s="35"/>
      <c r="X122" s="49" t="s">
        <v>1564</v>
      </c>
      <c r="Y122" s="51">
        <v>44391.599108796298</v>
      </c>
      <c r="Z122" s="72">
        <f>tabPontoPed[CÁLC_4M] - tabPontoPed[CÁLCULO]</f>
        <v>-1</v>
      </c>
      <c r="AA122" s="79" t="str">
        <f>IF(tabPontoPed[MENSAL]-tabPontoPed[ATA MENSAL] = 0,"sim","")</f>
        <v/>
      </c>
      <c r="AB122" s="79" t="s">
        <v>1614</v>
      </c>
      <c r="AC122" s="47" t="str">
        <f t="shared" si="1"/>
        <v>*</v>
      </c>
    </row>
    <row r="123" spans="1:29" x14ac:dyDescent="0.25">
      <c r="A123" s="36">
        <v>126044</v>
      </c>
      <c r="B123" s="68" t="s">
        <v>877</v>
      </c>
      <c r="C123" s="33" t="s">
        <v>1317</v>
      </c>
      <c r="D123" s="32">
        <v>69</v>
      </c>
      <c r="E123" s="37">
        <v>1</v>
      </c>
      <c r="F123" s="38" t="str">
        <f>VLOOKUP(tabPontoPed[[#This Row],[GRUPO]],tabGrupos[#Data],2,FALSE)</f>
        <v>METAIS,LAMINAD.,PERFILADOS E ARTEFATOS METALICOS</v>
      </c>
      <c r="G123" s="32" t="str">
        <f>VLOOKUP(tabPontoPed[[#This Row],[GRUPO]],tabGrupos[#Data],3,FALSE)</f>
        <v>MSE</v>
      </c>
      <c r="H123" s="33" t="s">
        <v>1311</v>
      </c>
      <c r="I123" s="80">
        <v>4</v>
      </c>
      <c r="J123" s="39">
        <v>25</v>
      </c>
      <c r="K123" s="41">
        <f>tabPontoPed[[#This Row],[QTDMÊS]] * tabPontoPed[[#This Row],[MENSAL]]</f>
        <v>100</v>
      </c>
      <c r="L123" s="83"/>
      <c r="M123" s="81"/>
      <c r="N123" s="34" t="s">
        <v>1009</v>
      </c>
      <c r="O123" s="76" t="s">
        <v>1704</v>
      </c>
      <c r="P123" s="77">
        <v>0</v>
      </c>
      <c r="Q123" s="57">
        <v>3</v>
      </c>
      <c r="R123" s="42">
        <v>5</v>
      </c>
      <c r="S123" s="69" t="str">
        <f>_xlfn.IFNA(IF(VLOOKUP(tabPontoPed[[#This Row],[CÓDIGO]],tabExcluirDoEstoque[#Data],1,FALSE),"sim",""),"")</f>
        <v/>
      </c>
      <c r="T123" s="43">
        <f>IF(AND(tabPontoPed[[#This Row],[MENSAL]]&gt;0,tabPontoPed[[#This Row],[CÁLCULO]]&gt;0), ABS( tabPontoPed[[#This Row],[MENSAL]] - tabPontoPed[[#This Row],[CÁLCULO]] ) / tabPontoPed[[#This Row],[MENSAL]], -1 )</f>
        <v>0.8</v>
      </c>
      <c r="U123" s="58">
        <v>40</v>
      </c>
      <c r="V123" s="35">
        <f>IF(AND(tabPontoPed[[#This Row],[MENSAL]]&gt;0,tabPontoPed[[#This Row],[CÁLCULO]]&gt;0), IF( tabPontoPed[[#This Row],[MENSAL]] - tabPontoPed[[#This Row],[CÁLCULO]] &lt; 0, -1, IF( tabPontoPed[[#This Row],[MENSAL]] - tabPontoPed[[#This Row],[CÁLCULO]] &gt; 0, 1, -8)), -9 )</f>
        <v>1</v>
      </c>
      <c r="W123" s="35"/>
      <c r="X123" s="49" t="s">
        <v>1564</v>
      </c>
      <c r="Y123" s="51">
        <v>44391.599108796298</v>
      </c>
      <c r="Z123" s="72">
        <f>tabPontoPed[CÁLC_4M] - tabPontoPed[CÁLCULO]</f>
        <v>-2</v>
      </c>
      <c r="AA123" s="79" t="str">
        <f>IF(tabPontoPed[MENSAL]-tabPontoPed[ATA MENSAL] = 0,"sim","")</f>
        <v/>
      </c>
      <c r="AB123" s="79" t="s">
        <v>1614</v>
      </c>
      <c r="AC123" s="47" t="str">
        <f t="shared" si="1"/>
        <v>*</v>
      </c>
    </row>
    <row r="124" spans="1:29" x14ac:dyDescent="0.25">
      <c r="A124" s="36">
        <v>123618</v>
      </c>
      <c r="B124" s="68" t="s">
        <v>887</v>
      </c>
      <c r="C124" s="33" t="s">
        <v>1317</v>
      </c>
      <c r="D124" s="32">
        <v>69</v>
      </c>
      <c r="E124" s="37">
        <v>2</v>
      </c>
      <c r="F124" s="38" t="str">
        <f>VLOOKUP(tabPontoPed[[#This Row],[GRUPO]],tabGrupos[#Data],2,FALSE)</f>
        <v>METAIS,LAMINAD.,PERFILADOS E ARTEFATOS METALICOS</v>
      </c>
      <c r="G124" s="32" t="str">
        <f>VLOOKUP(tabPontoPed[[#This Row],[GRUPO]],tabGrupos[#Data],3,FALSE)</f>
        <v>MSE</v>
      </c>
      <c r="H124" s="33" t="s">
        <v>1311</v>
      </c>
      <c r="I124" s="80">
        <v>4</v>
      </c>
      <c r="J124" s="39">
        <v>10</v>
      </c>
      <c r="K124" s="41">
        <f>tabPontoPed[[#This Row],[QTDMÊS]] * tabPontoPed[[#This Row],[MENSAL]]</f>
        <v>40</v>
      </c>
      <c r="L124" s="83"/>
      <c r="M124" s="81"/>
      <c r="N124" s="34" t="s">
        <v>1009</v>
      </c>
      <c r="O124" s="76" t="s">
        <v>1576</v>
      </c>
      <c r="P124" s="77">
        <v>0</v>
      </c>
      <c r="Q124" s="57">
        <v>0</v>
      </c>
      <c r="R124" s="42">
        <v>18</v>
      </c>
      <c r="S124" s="69" t="str">
        <f>_xlfn.IFNA(IF(VLOOKUP(tabPontoPed[[#This Row],[CÓDIGO]],tabExcluirDoEstoque[#Data],1,FALSE),"sim",""),"")</f>
        <v/>
      </c>
      <c r="T124" s="43">
        <f>IF(AND(tabPontoPed[[#This Row],[MENSAL]]&gt;0,tabPontoPed[[#This Row],[CÁLCULO]]&gt;0), ABS( tabPontoPed[[#This Row],[MENSAL]] - tabPontoPed[[#This Row],[CÁLCULO]] ) / tabPontoPed[[#This Row],[MENSAL]], -1 )</f>
        <v>0.8</v>
      </c>
      <c r="U124" s="58">
        <v>210</v>
      </c>
      <c r="V124" s="35">
        <f>IF(AND(tabPontoPed[[#This Row],[MENSAL]]&gt;0,tabPontoPed[[#This Row],[CÁLCULO]]&gt;0), IF( tabPontoPed[[#This Row],[MENSAL]] - tabPontoPed[[#This Row],[CÁLCULO]] &lt; 0, -1, IF( tabPontoPed[[#This Row],[MENSAL]] - tabPontoPed[[#This Row],[CÁLCULO]] &gt; 0, 1, -8)), -9 )</f>
        <v>-1</v>
      </c>
      <c r="W124" s="35"/>
      <c r="X124" s="49" t="s">
        <v>1564</v>
      </c>
      <c r="Y124" s="51">
        <v>44391.599108796298</v>
      </c>
      <c r="Z124" s="72">
        <f>tabPontoPed[CÁLC_4M] - tabPontoPed[CÁLCULO]</f>
        <v>-18</v>
      </c>
      <c r="AA124" s="79" t="str">
        <f>IF(tabPontoPed[MENSAL]-tabPontoPed[ATA MENSAL] = 0,"sim","")</f>
        <v/>
      </c>
      <c r="AB124" s="79"/>
      <c r="AC124" s="47" t="str">
        <f t="shared" si="1"/>
        <v>*</v>
      </c>
    </row>
    <row r="125" spans="1:29" x14ac:dyDescent="0.25">
      <c r="A125" s="36">
        <v>138464</v>
      </c>
      <c r="B125" s="68" t="s">
        <v>1526</v>
      </c>
      <c r="C125" s="33">
        <v>1</v>
      </c>
      <c r="D125" s="32">
        <v>45</v>
      </c>
      <c r="E125" s="37">
        <v>9</v>
      </c>
      <c r="F125" s="38" t="str">
        <f>VLOOKUP(tabPontoPed[[#This Row],[GRUPO]],tabGrupos[#Data],2,FALSE)</f>
        <v>MAQ., EQUIP., COMP., ACES., MAT. PARA ESCRIT.E ESCOLAR</v>
      </c>
      <c r="G125" s="32" t="str">
        <f>VLOOKUP(tabPontoPed[[#This Row],[GRUPO]],tabGrupos[#Data],3,FALSE)</f>
        <v>EDU</v>
      </c>
      <c r="H125" s="33" t="s">
        <v>1311</v>
      </c>
      <c r="I125" s="80">
        <v>4</v>
      </c>
      <c r="J125" s="39">
        <v>10936</v>
      </c>
      <c r="K125" s="41">
        <f>tabPontoPed[[#This Row],[QTDMÊS]] * tabPontoPed[[#This Row],[MENSAL]]</f>
        <v>43744</v>
      </c>
      <c r="L125" s="83"/>
      <c r="M125" s="81"/>
      <c r="N125" s="34" t="s">
        <v>1009</v>
      </c>
      <c r="O125" s="76"/>
      <c r="P125" s="77">
        <v>0</v>
      </c>
      <c r="Q125" s="57">
        <v>2119</v>
      </c>
      <c r="R125" s="42">
        <v>2302</v>
      </c>
      <c r="S125" s="69" t="str">
        <f>_xlfn.IFNA(IF(VLOOKUP(tabPontoPed[[#This Row],[CÓDIGO]],tabExcluirDoEstoque[#Data],1,FALSE),"sim",""),"")</f>
        <v/>
      </c>
      <c r="T125" s="43">
        <f>IF(AND(tabPontoPed[[#This Row],[MENSAL]]&gt;0,tabPontoPed[[#This Row],[CÁLCULO]]&gt;0), ABS( tabPontoPed[[#This Row],[MENSAL]] - tabPontoPed[[#This Row],[CÁLCULO]] ) / tabPontoPed[[#This Row],[MENSAL]], -1 )</f>
        <v>0.78950256035113386</v>
      </c>
      <c r="U125" s="58">
        <v>9656</v>
      </c>
      <c r="V125" s="35">
        <f>IF(AND(tabPontoPed[[#This Row],[MENSAL]]&gt;0,tabPontoPed[[#This Row],[CÁLCULO]]&gt;0), IF( tabPontoPed[[#This Row],[MENSAL]] - tabPontoPed[[#This Row],[CÁLCULO]] &lt; 0, -1, IF( tabPontoPed[[#This Row],[MENSAL]] - tabPontoPed[[#This Row],[CÁLCULO]] &gt; 0, 1, -8)), -9 )</f>
        <v>1</v>
      </c>
      <c r="W125" s="35"/>
      <c r="X125" s="49" t="s">
        <v>1564</v>
      </c>
      <c r="Y125" s="51">
        <v>44391.599108796298</v>
      </c>
      <c r="Z125" s="72">
        <f>tabPontoPed[CÁLC_4M] - tabPontoPed[CÁLCULO]</f>
        <v>-183</v>
      </c>
      <c r="AA125" s="79" t="str">
        <f>IF(tabPontoPed[MENSAL]-tabPontoPed[ATA MENSAL] = 0,"sim","")</f>
        <v/>
      </c>
      <c r="AB125" s="79"/>
      <c r="AC125" s="47" t="str">
        <f t="shared" si="1"/>
        <v>*</v>
      </c>
    </row>
    <row r="126" spans="1:29" x14ac:dyDescent="0.25">
      <c r="A126" s="36">
        <v>13072</v>
      </c>
      <c r="B126" s="68" t="s">
        <v>740</v>
      </c>
      <c r="C126" s="33" t="s">
        <v>1317</v>
      </c>
      <c r="D126" s="32">
        <v>61</v>
      </c>
      <c r="E126" s="37">
        <v>8</v>
      </c>
      <c r="F126" s="38" t="str">
        <f>VLOOKUP(tabPontoPed[[#This Row],[GRUPO]],tabGrupos[#Data],2,FALSE)</f>
        <v>MATERIAL HIDRAULICO, CANOS, TUBOS, MANGUEIRAS, CONEXOES E ACESS.</v>
      </c>
      <c r="G126" s="32" t="str">
        <f>VLOOKUP(tabPontoPed[[#This Row],[GRUPO]],tabGrupos[#Data],3,FALSE)</f>
        <v>MHI</v>
      </c>
      <c r="H126" s="33" t="s">
        <v>1311</v>
      </c>
      <c r="I126" s="80">
        <v>4</v>
      </c>
      <c r="J126" s="39">
        <v>95</v>
      </c>
      <c r="K126" s="41">
        <f>tabPontoPed[[#This Row],[QTDMÊS]] * tabPontoPed[[#This Row],[MENSAL]]</f>
        <v>380</v>
      </c>
      <c r="L126" s="83"/>
      <c r="M126" s="81"/>
      <c r="N126" s="34" t="s">
        <v>1009</v>
      </c>
      <c r="O126" s="76" t="s">
        <v>1691</v>
      </c>
      <c r="P126" s="77">
        <v>0</v>
      </c>
      <c r="Q126" s="57">
        <v>18</v>
      </c>
      <c r="R126" s="42">
        <v>20</v>
      </c>
      <c r="S126" s="69" t="str">
        <f>_xlfn.IFNA(IF(VLOOKUP(tabPontoPed[[#This Row],[CÓDIGO]],tabExcluirDoEstoque[#Data],1,FALSE),"sim",""),"")</f>
        <v/>
      </c>
      <c r="T126" s="43">
        <f>IF(AND(tabPontoPed[[#This Row],[MENSAL]]&gt;0,tabPontoPed[[#This Row],[CÁLCULO]]&gt;0), ABS( tabPontoPed[[#This Row],[MENSAL]] - tabPontoPed[[#This Row],[CÁLCULO]] ) / tabPontoPed[[#This Row],[MENSAL]], -1 )</f>
        <v>0.78947368421052633</v>
      </c>
      <c r="U126" s="58">
        <v>43</v>
      </c>
      <c r="V126" s="35">
        <f>IF(AND(tabPontoPed[[#This Row],[MENSAL]]&gt;0,tabPontoPed[[#This Row],[CÁLCULO]]&gt;0), IF( tabPontoPed[[#This Row],[MENSAL]] - tabPontoPed[[#This Row],[CÁLCULO]] &lt; 0, -1, IF( tabPontoPed[[#This Row],[MENSAL]] - tabPontoPed[[#This Row],[CÁLCULO]] &gt; 0, 1, -8)), -9 )</f>
        <v>1</v>
      </c>
      <c r="W126" s="35"/>
      <c r="X126" s="49" t="s">
        <v>1564</v>
      </c>
      <c r="Y126" s="51">
        <v>44391.599108796298</v>
      </c>
      <c r="Z126" s="72">
        <f>tabPontoPed[CÁLC_4M] - tabPontoPed[CÁLCULO]</f>
        <v>-2</v>
      </c>
      <c r="AA126" s="79" t="str">
        <f>IF(tabPontoPed[MENSAL]-tabPontoPed[ATA MENSAL] = 0,"sim","")</f>
        <v/>
      </c>
      <c r="AB126" s="79"/>
      <c r="AC126" s="47" t="str">
        <f t="shared" si="1"/>
        <v>*</v>
      </c>
    </row>
    <row r="127" spans="1:29" x14ac:dyDescent="0.25">
      <c r="A127" s="36">
        <v>138552</v>
      </c>
      <c r="B127" s="68" t="s">
        <v>1628</v>
      </c>
      <c r="C127" s="33">
        <v>1</v>
      </c>
      <c r="D127" s="32">
        <v>55</v>
      </c>
      <c r="E127" s="37">
        <v>49</v>
      </c>
      <c r="F127" s="38" t="str">
        <f>VLOOKUP(tabPontoPed[[#This Row],[GRUPO]],tabGrupos[#Data],2,FALSE)</f>
        <v>EQUIP. MAT. P/ GERACAO, TRANSM. DISTR. RETIF...</v>
      </c>
      <c r="G127" s="32" t="str">
        <f>VLOOKUP(tabPontoPed[[#This Row],[GRUPO]],tabGrupos[#Data],3,FALSE)</f>
        <v>MEL</v>
      </c>
      <c r="H127" s="33" t="s">
        <v>1311</v>
      </c>
      <c r="I127" s="80">
        <v>4</v>
      </c>
      <c r="J127" s="39">
        <v>42</v>
      </c>
      <c r="K127" s="41">
        <f>tabPontoPed[[#This Row],[QTDMÊS]] * tabPontoPed[[#This Row],[MENSAL]]</f>
        <v>168</v>
      </c>
      <c r="L127" s="83"/>
      <c r="M127" s="81"/>
      <c r="N127" s="34" t="s">
        <v>1009</v>
      </c>
      <c r="O127" s="76" t="s">
        <v>1771</v>
      </c>
      <c r="P127" s="77">
        <v>0</v>
      </c>
      <c r="Q127" s="57">
        <v>5</v>
      </c>
      <c r="R127" s="42">
        <v>9</v>
      </c>
      <c r="S127" s="69" t="str">
        <f>_xlfn.IFNA(IF(VLOOKUP(tabPontoPed[[#This Row],[CÓDIGO]],tabExcluirDoEstoque[#Data],1,FALSE),"sim",""),"")</f>
        <v/>
      </c>
      <c r="T127" s="43">
        <f>IF(AND(tabPontoPed[[#This Row],[MENSAL]]&gt;0,tabPontoPed[[#This Row],[CÁLCULO]]&gt;0), ABS( tabPontoPed[[#This Row],[MENSAL]] - tabPontoPed[[#This Row],[CÁLCULO]] ) / tabPontoPed[[#This Row],[MENSAL]], -1 )</f>
        <v>0.7857142857142857</v>
      </c>
      <c r="U127" s="58">
        <v>51</v>
      </c>
      <c r="V127" s="35">
        <f>IF(AND(tabPontoPed[[#This Row],[MENSAL]]&gt;0,tabPontoPed[[#This Row],[CÁLCULO]]&gt;0), IF( tabPontoPed[[#This Row],[MENSAL]] - tabPontoPed[[#This Row],[CÁLCULO]] &lt; 0, -1, IF( tabPontoPed[[#This Row],[MENSAL]] - tabPontoPed[[#This Row],[CÁLCULO]] &gt; 0, 1, -8)), -9 )</f>
        <v>1</v>
      </c>
      <c r="W127" s="35"/>
      <c r="X127" s="49" t="s">
        <v>1564</v>
      </c>
      <c r="Y127" s="51">
        <v>44391.599108796298</v>
      </c>
      <c r="Z127" s="72">
        <f>tabPontoPed[CÁLC_4M] - tabPontoPed[CÁLCULO]</f>
        <v>-4</v>
      </c>
      <c r="AA127" s="79" t="str">
        <f>IF(tabPontoPed[MENSAL]-tabPontoPed[ATA MENSAL] = 0,"sim","")</f>
        <v/>
      </c>
      <c r="AB127" s="79" t="s">
        <v>1614</v>
      </c>
      <c r="AC127" s="47" t="str">
        <f t="shared" si="1"/>
        <v>*</v>
      </c>
    </row>
    <row r="128" spans="1:29" x14ac:dyDescent="0.25">
      <c r="A128" s="36">
        <v>133191</v>
      </c>
      <c r="B128" s="68" t="s">
        <v>933</v>
      </c>
      <c r="C128" s="33" t="s">
        <v>1317</v>
      </c>
      <c r="D128" s="32">
        <v>72</v>
      </c>
      <c r="E128" s="37">
        <v>6</v>
      </c>
      <c r="F128" s="38" t="str">
        <f>VLOOKUP(tabPontoPed[[#This Row],[GRUPO]],tabGrupos[#Data],2,FALSE)</f>
        <v>MAQ.EQUIP.E MATERIAIS P/ HIGIEN.LIMP.POLIM.E LUBR.</v>
      </c>
      <c r="G128" s="32" t="str">
        <f>VLOOKUP(tabPontoPed[[#This Row],[GRUPO]],tabGrupos[#Data],3,FALSE)</f>
        <v>ADM</v>
      </c>
      <c r="H128" s="33" t="s">
        <v>1311</v>
      </c>
      <c r="I128" s="80">
        <v>4</v>
      </c>
      <c r="J128" s="39">
        <v>9247</v>
      </c>
      <c r="K128" s="41">
        <f>tabPontoPed[[#This Row],[QTDMÊS]] * tabPontoPed[[#This Row],[MENSAL]]</f>
        <v>36988</v>
      </c>
      <c r="L128" s="83"/>
      <c r="M128" s="81"/>
      <c r="N128" s="34" t="s">
        <v>1009</v>
      </c>
      <c r="O128" s="76"/>
      <c r="P128" s="77">
        <v>0</v>
      </c>
      <c r="Q128" s="57">
        <v>2303</v>
      </c>
      <c r="R128" s="42">
        <v>2004</v>
      </c>
      <c r="S128" s="69" t="str">
        <f>_xlfn.IFNA(IF(VLOOKUP(tabPontoPed[[#This Row],[CÓDIGO]],tabExcluirDoEstoque[#Data],1,FALSE),"sim",""),"")</f>
        <v/>
      </c>
      <c r="T128" s="43">
        <f>IF(AND(tabPontoPed[[#This Row],[MENSAL]]&gt;0,tabPontoPed[[#This Row],[CÁLCULO]]&gt;0), ABS( tabPontoPed[[#This Row],[MENSAL]] - tabPontoPed[[#This Row],[CÁLCULO]] ) / tabPontoPed[[#This Row],[MENSAL]], -1 )</f>
        <v>0.78328106412890663</v>
      </c>
      <c r="U128" s="58">
        <v>5110</v>
      </c>
      <c r="V128" s="35">
        <f>IF(AND(tabPontoPed[[#This Row],[MENSAL]]&gt;0,tabPontoPed[[#This Row],[CÁLCULO]]&gt;0), IF( tabPontoPed[[#This Row],[MENSAL]] - tabPontoPed[[#This Row],[CÁLCULO]] &lt; 0, -1, IF( tabPontoPed[[#This Row],[MENSAL]] - tabPontoPed[[#This Row],[CÁLCULO]] &gt; 0, 1, -8)), -9 )</f>
        <v>1</v>
      </c>
      <c r="W128" s="35"/>
      <c r="X128" s="49" t="s">
        <v>1564</v>
      </c>
      <c r="Y128" s="51">
        <v>44391.599108796298</v>
      </c>
      <c r="Z128" s="72">
        <f>tabPontoPed[CÁLC_4M] - tabPontoPed[CÁLCULO]</f>
        <v>299</v>
      </c>
      <c r="AA128" s="79" t="str">
        <f>IF(tabPontoPed[MENSAL]-tabPontoPed[ATA MENSAL] = 0,"sim","")</f>
        <v/>
      </c>
      <c r="AB128" s="79"/>
      <c r="AC128" s="47" t="str">
        <f t="shared" si="1"/>
        <v>*</v>
      </c>
    </row>
    <row r="129" spans="1:29" x14ac:dyDescent="0.25">
      <c r="A129" s="36">
        <v>63591</v>
      </c>
      <c r="B129" s="68" t="s">
        <v>60</v>
      </c>
      <c r="C129" s="33" t="s">
        <v>1317</v>
      </c>
      <c r="D129" s="32">
        <v>57</v>
      </c>
      <c r="E129" s="37">
        <v>2</v>
      </c>
      <c r="F129" s="38" t="str">
        <f>VLOOKUP(tabPontoPed[[#This Row],[GRUPO]],tabGrupos[#Data],2,FALSE)</f>
        <v>MAQ. E EQUIP. P/ IND. GRAFICA COMP. ACESS. E PAPEI</v>
      </c>
      <c r="G129" s="32" t="str">
        <f>VLOOKUP(tabPontoPed[[#This Row],[GRUPO]],tabGrupos[#Data],3,FALSE)</f>
        <v>EDU</v>
      </c>
      <c r="H129" s="33" t="s">
        <v>1311</v>
      </c>
      <c r="I129" s="80">
        <v>4</v>
      </c>
      <c r="J129" s="39">
        <v>1000</v>
      </c>
      <c r="K129" s="41">
        <f>tabPontoPed[[#This Row],[QTDMÊS]] * tabPontoPed[[#This Row],[MENSAL]]</f>
        <v>4000</v>
      </c>
      <c r="L129" s="83"/>
      <c r="M129" s="81"/>
      <c r="N129" s="34" t="s">
        <v>1009</v>
      </c>
      <c r="O129" s="76" t="s">
        <v>1739</v>
      </c>
      <c r="P129" s="77">
        <v>0</v>
      </c>
      <c r="Q129" s="57">
        <v>267</v>
      </c>
      <c r="R129" s="42">
        <v>217</v>
      </c>
      <c r="S129" s="69" t="str">
        <f>_xlfn.IFNA(IF(VLOOKUP(tabPontoPed[[#This Row],[CÓDIGO]],tabExcluirDoEstoque[#Data],1,FALSE),"sim",""),"")</f>
        <v/>
      </c>
      <c r="T129" s="43">
        <f>IF(AND(tabPontoPed[[#This Row],[MENSAL]]&gt;0,tabPontoPed[[#This Row],[CÁLCULO]]&gt;0), ABS( tabPontoPed[[#This Row],[MENSAL]] - tabPontoPed[[#This Row],[CÁLCULO]] ) / tabPontoPed[[#This Row],[MENSAL]], -1 )</f>
        <v>0.78300000000000003</v>
      </c>
      <c r="U129" s="58">
        <v>487</v>
      </c>
      <c r="V129" s="35">
        <f>IF(AND(tabPontoPed[[#This Row],[MENSAL]]&gt;0,tabPontoPed[[#This Row],[CÁLCULO]]&gt;0), IF( tabPontoPed[[#This Row],[MENSAL]] - tabPontoPed[[#This Row],[CÁLCULO]] &lt; 0, -1, IF( tabPontoPed[[#This Row],[MENSAL]] - tabPontoPed[[#This Row],[CÁLCULO]] &gt; 0, 1, -8)), -9 )</f>
        <v>1</v>
      </c>
      <c r="W129" s="35"/>
      <c r="X129" s="49" t="s">
        <v>1564</v>
      </c>
      <c r="Y129" s="51">
        <v>44391.599108796298</v>
      </c>
      <c r="Z129" s="72">
        <f>tabPontoPed[CÁLC_4M] - tabPontoPed[CÁLCULO]</f>
        <v>50</v>
      </c>
      <c r="AA129" s="79" t="str">
        <f>IF(tabPontoPed[MENSAL]-tabPontoPed[ATA MENSAL] = 0,"sim","")</f>
        <v/>
      </c>
      <c r="AB129" s="79" t="s">
        <v>1614</v>
      </c>
      <c r="AC129" s="47" t="str">
        <f t="shared" si="1"/>
        <v>*</v>
      </c>
    </row>
    <row r="130" spans="1:29" x14ac:dyDescent="0.25">
      <c r="A130" s="36">
        <v>53813</v>
      </c>
      <c r="B130" s="68" t="s">
        <v>517</v>
      </c>
      <c r="C130" s="33" t="s">
        <v>1317</v>
      </c>
      <c r="D130" s="32">
        <v>51</v>
      </c>
      <c r="E130" s="37">
        <v>13</v>
      </c>
      <c r="F130" s="38" t="str">
        <f>VLOOKUP(tabPontoPed[[#This Row],[GRUPO]],tabGrupos[#Data],2,FALSE)</f>
        <v>MAT.E EQUIP. P/ CONSTR.CIVIL E CONSERV. DE VIAS PUBL.</v>
      </c>
      <c r="G130" s="32" t="str">
        <f>VLOOKUP(tabPontoPed[[#This Row],[GRUPO]],tabGrupos[#Data],3,FALSE)</f>
        <v>MCO</v>
      </c>
      <c r="H130" s="33" t="s">
        <v>1311</v>
      </c>
      <c r="I130" s="80">
        <v>4</v>
      </c>
      <c r="J130" s="39">
        <v>9</v>
      </c>
      <c r="K130" s="41">
        <f>tabPontoPed[[#This Row],[QTDMÊS]] * tabPontoPed[[#This Row],[MENSAL]]</f>
        <v>36</v>
      </c>
      <c r="L130" s="83"/>
      <c r="M130" s="81"/>
      <c r="N130" s="34" t="s">
        <v>1009</v>
      </c>
      <c r="O130" s="76" t="s">
        <v>1672</v>
      </c>
      <c r="P130" s="77">
        <v>0</v>
      </c>
      <c r="Q130" s="57">
        <v>1</v>
      </c>
      <c r="R130" s="42">
        <v>2</v>
      </c>
      <c r="S130" s="69" t="str">
        <f>_xlfn.IFNA(IF(VLOOKUP(tabPontoPed[[#This Row],[CÓDIGO]],tabExcluirDoEstoque[#Data],1,FALSE),"sim",""),"")</f>
        <v/>
      </c>
      <c r="T130" s="43">
        <f>IF(AND(tabPontoPed[[#This Row],[MENSAL]]&gt;0,tabPontoPed[[#This Row],[CÁLCULO]]&gt;0), ABS( tabPontoPed[[#This Row],[MENSAL]] - tabPontoPed[[#This Row],[CÁLCULO]] ) / tabPontoPed[[#This Row],[MENSAL]], -1 )</f>
        <v>0.77777777777777779</v>
      </c>
      <c r="U130" s="58">
        <v>15</v>
      </c>
      <c r="V130" s="35">
        <f>IF(AND(tabPontoPed[[#This Row],[MENSAL]]&gt;0,tabPontoPed[[#This Row],[CÁLCULO]]&gt;0), IF( tabPontoPed[[#This Row],[MENSAL]] - tabPontoPed[[#This Row],[CÁLCULO]] &lt; 0, -1, IF( tabPontoPed[[#This Row],[MENSAL]] - tabPontoPed[[#This Row],[CÁLCULO]] &gt; 0, 1, -8)), -9 )</f>
        <v>1</v>
      </c>
      <c r="W130" s="35"/>
      <c r="X130" s="49" t="s">
        <v>1564</v>
      </c>
      <c r="Y130" s="51">
        <v>44391.599108796298</v>
      </c>
      <c r="Z130" s="72">
        <f>tabPontoPed[CÁLC_4M] - tabPontoPed[CÁLCULO]</f>
        <v>-1</v>
      </c>
      <c r="AA130" s="79" t="str">
        <f>IF(tabPontoPed[MENSAL]-tabPontoPed[ATA MENSAL] = 0,"sim","")</f>
        <v/>
      </c>
      <c r="AB130" s="79"/>
      <c r="AC130" s="47" t="str">
        <f t="shared" si="1"/>
        <v>*</v>
      </c>
    </row>
    <row r="131" spans="1:29" x14ac:dyDescent="0.25">
      <c r="A131" s="36">
        <v>26215</v>
      </c>
      <c r="B131" s="68" t="s">
        <v>394</v>
      </c>
      <c r="C131" s="33" t="s">
        <v>1317</v>
      </c>
      <c r="D131" s="32">
        <v>74</v>
      </c>
      <c r="E131" s="37">
        <v>9</v>
      </c>
      <c r="F131" s="38" t="str">
        <f>VLOOKUP(tabPontoPed[[#This Row],[GRUPO]],tabGrupos[#Data],2,FALSE)</f>
        <v>MADEIRAS,LAMINADOS,COMPENSADOS E AGLOMERADOS</v>
      </c>
      <c r="G131" s="32" t="str">
        <f>VLOOKUP(tabPontoPed[[#This Row],[GRUPO]],tabGrupos[#Data],3,FALSE)</f>
        <v>MCO</v>
      </c>
      <c r="H131" s="33" t="s">
        <v>1311</v>
      </c>
      <c r="I131" s="80">
        <v>4</v>
      </c>
      <c r="J131" s="39">
        <v>9</v>
      </c>
      <c r="K131" s="41">
        <f>tabPontoPed[[#This Row],[QTDMÊS]] * tabPontoPed[[#This Row],[MENSAL]]</f>
        <v>36</v>
      </c>
      <c r="L131" s="83"/>
      <c r="M131" s="81"/>
      <c r="N131" s="34" t="s">
        <v>1009</v>
      </c>
      <c r="O131" s="76" t="s">
        <v>1709</v>
      </c>
      <c r="P131" s="77">
        <v>0</v>
      </c>
      <c r="Q131" s="57">
        <v>2</v>
      </c>
      <c r="R131" s="42">
        <v>2</v>
      </c>
      <c r="S131" s="69" t="str">
        <f>_xlfn.IFNA(IF(VLOOKUP(tabPontoPed[[#This Row],[CÓDIGO]],tabExcluirDoEstoque[#Data],1,FALSE),"sim",""),"")</f>
        <v/>
      </c>
      <c r="T131" s="43">
        <f>IF(AND(tabPontoPed[[#This Row],[MENSAL]]&gt;0,tabPontoPed[[#This Row],[CÁLCULO]]&gt;0), ABS( tabPontoPed[[#This Row],[MENSAL]] - tabPontoPed[[#This Row],[CÁLCULO]] ) / tabPontoPed[[#This Row],[MENSAL]], -1 )</f>
        <v>0.77777777777777779</v>
      </c>
      <c r="U131" s="58">
        <v>9</v>
      </c>
      <c r="V131" s="35">
        <f>IF(AND(tabPontoPed[[#This Row],[MENSAL]]&gt;0,tabPontoPed[[#This Row],[CÁLCULO]]&gt;0), IF( tabPontoPed[[#This Row],[MENSAL]] - tabPontoPed[[#This Row],[CÁLCULO]] &lt; 0, -1, IF( tabPontoPed[[#This Row],[MENSAL]] - tabPontoPed[[#This Row],[CÁLCULO]] &gt; 0, 1, -8)), -9 )</f>
        <v>1</v>
      </c>
      <c r="W131" s="35"/>
      <c r="X131" s="49" t="s">
        <v>1564</v>
      </c>
      <c r="Y131" s="51">
        <v>44391.599108796298</v>
      </c>
      <c r="Z131" s="72">
        <f>tabPontoPed[CÁLC_4M] - tabPontoPed[CÁLCULO]</f>
        <v>0</v>
      </c>
      <c r="AA131" s="79" t="str">
        <f>IF(tabPontoPed[MENSAL]-tabPontoPed[ATA MENSAL] = 0,"sim","")</f>
        <v/>
      </c>
      <c r="AB131" s="79"/>
      <c r="AC131" s="47" t="str">
        <f t="shared" ref="AC131:AC194" si="2">"*"</f>
        <v>*</v>
      </c>
    </row>
    <row r="132" spans="1:29" x14ac:dyDescent="0.25">
      <c r="A132" s="36">
        <v>88729</v>
      </c>
      <c r="B132" s="68" t="s">
        <v>359</v>
      </c>
      <c r="C132" s="33" t="s">
        <v>1317</v>
      </c>
      <c r="D132" s="32">
        <v>55</v>
      </c>
      <c r="E132" s="37">
        <v>26</v>
      </c>
      <c r="F132" s="38" t="str">
        <f>VLOOKUP(tabPontoPed[[#This Row],[GRUPO]],tabGrupos[#Data],2,FALSE)</f>
        <v>EQUIP. MAT. P/ GERACAO, TRANSM. DISTR. RETIF...</v>
      </c>
      <c r="G132" s="32" t="str">
        <f>VLOOKUP(tabPontoPed[[#This Row],[GRUPO]],tabGrupos[#Data],3,FALSE)</f>
        <v>MEL</v>
      </c>
      <c r="H132" s="33" t="s">
        <v>1311</v>
      </c>
      <c r="I132" s="80">
        <v>4</v>
      </c>
      <c r="J132" s="39">
        <v>9</v>
      </c>
      <c r="K132" s="41">
        <f>tabPontoPed[[#This Row],[QTDMÊS]] * tabPontoPed[[#This Row],[MENSAL]]</f>
        <v>36</v>
      </c>
      <c r="L132" s="83"/>
      <c r="M132" s="81"/>
      <c r="N132" s="34" t="s">
        <v>1009</v>
      </c>
      <c r="O132" s="76" t="s">
        <v>1670</v>
      </c>
      <c r="P132" s="77">
        <v>0</v>
      </c>
      <c r="Q132" s="57">
        <v>2</v>
      </c>
      <c r="R132" s="42">
        <v>2</v>
      </c>
      <c r="S132" s="69" t="str">
        <f>_xlfn.IFNA(IF(VLOOKUP(tabPontoPed[[#This Row],[CÓDIGO]],tabExcluirDoEstoque[#Data],1,FALSE),"sim",""),"")</f>
        <v/>
      </c>
      <c r="T132" s="43">
        <f>IF(AND(tabPontoPed[[#This Row],[MENSAL]]&gt;0,tabPontoPed[[#This Row],[CÁLCULO]]&gt;0), ABS( tabPontoPed[[#This Row],[MENSAL]] - tabPontoPed[[#This Row],[CÁLCULO]] ) / tabPontoPed[[#This Row],[MENSAL]], -1 )</f>
        <v>0.77777777777777779</v>
      </c>
      <c r="U132" s="58">
        <v>5</v>
      </c>
      <c r="V132" s="35">
        <f>IF(AND(tabPontoPed[[#This Row],[MENSAL]]&gt;0,tabPontoPed[[#This Row],[CÁLCULO]]&gt;0), IF( tabPontoPed[[#This Row],[MENSAL]] - tabPontoPed[[#This Row],[CÁLCULO]] &lt; 0, -1, IF( tabPontoPed[[#This Row],[MENSAL]] - tabPontoPed[[#This Row],[CÁLCULO]] &gt; 0, 1, -8)), -9 )</f>
        <v>1</v>
      </c>
      <c r="W132" s="35"/>
      <c r="X132" s="49" t="s">
        <v>1564</v>
      </c>
      <c r="Y132" s="51">
        <v>44391.599108796298</v>
      </c>
      <c r="Z132" s="72">
        <f>tabPontoPed[CÁLC_4M] - tabPontoPed[CÁLCULO]</f>
        <v>0</v>
      </c>
      <c r="AA132" s="79" t="str">
        <f>IF(tabPontoPed[MENSAL]-tabPontoPed[ATA MENSAL] = 0,"sim","")</f>
        <v/>
      </c>
      <c r="AB132" s="79" t="s">
        <v>1614</v>
      </c>
      <c r="AC132" s="47" t="str">
        <f t="shared" si="2"/>
        <v>*</v>
      </c>
    </row>
    <row r="133" spans="1:29" x14ac:dyDescent="0.25">
      <c r="A133" s="36">
        <v>75324</v>
      </c>
      <c r="B133" s="68" t="s">
        <v>874</v>
      </c>
      <c r="C133" s="33" t="s">
        <v>1317</v>
      </c>
      <c r="D133" s="32">
        <v>69</v>
      </c>
      <c r="E133" s="37">
        <v>1</v>
      </c>
      <c r="F133" s="38" t="str">
        <f>VLOOKUP(tabPontoPed[[#This Row],[GRUPO]],tabGrupos[#Data],2,FALSE)</f>
        <v>METAIS,LAMINAD.,PERFILADOS E ARTEFATOS METALICOS</v>
      </c>
      <c r="G133" s="32" t="str">
        <f>VLOOKUP(tabPontoPed[[#This Row],[GRUPO]],tabGrupos[#Data],3,FALSE)</f>
        <v>MSE</v>
      </c>
      <c r="H133" s="33" t="s">
        <v>1311</v>
      </c>
      <c r="I133" s="80">
        <v>4</v>
      </c>
      <c r="J133" s="39">
        <v>45</v>
      </c>
      <c r="K133" s="41">
        <f>tabPontoPed[[#This Row],[QTDMÊS]] * tabPontoPed[[#This Row],[MENSAL]]</f>
        <v>180</v>
      </c>
      <c r="L133" s="83"/>
      <c r="M133" s="81"/>
      <c r="N133" s="34" t="s">
        <v>1009</v>
      </c>
      <c r="O133" s="76" t="s">
        <v>1689</v>
      </c>
      <c r="P133" s="77">
        <v>0</v>
      </c>
      <c r="Q133" s="57">
        <v>0</v>
      </c>
      <c r="R133" s="42">
        <v>10</v>
      </c>
      <c r="S133" s="69" t="str">
        <f>_xlfn.IFNA(IF(VLOOKUP(tabPontoPed[[#This Row],[CÓDIGO]],tabExcluirDoEstoque[#Data],1,FALSE),"sim",""),"")</f>
        <v/>
      </c>
      <c r="T133" s="43">
        <f>IF(AND(tabPontoPed[[#This Row],[MENSAL]]&gt;0,tabPontoPed[[#This Row],[CÁLCULO]]&gt;0), ABS( tabPontoPed[[#This Row],[MENSAL]] - tabPontoPed[[#This Row],[CÁLCULO]] ) / tabPontoPed[[#This Row],[MENSAL]], -1 )</f>
        <v>0.77777777777777779</v>
      </c>
      <c r="U133" s="58">
        <v>54</v>
      </c>
      <c r="V133" s="35">
        <f>IF(AND(tabPontoPed[[#This Row],[MENSAL]]&gt;0,tabPontoPed[[#This Row],[CÁLCULO]]&gt;0), IF( tabPontoPed[[#This Row],[MENSAL]] - tabPontoPed[[#This Row],[CÁLCULO]] &lt; 0, -1, IF( tabPontoPed[[#This Row],[MENSAL]] - tabPontoPed[[#This Row],[CÁLCULO]] &gt; 0, 1, -8)), -9 )</f>
        <v>1</v>
      </c>
      <c r="W133" s="35"/>
      <c r="X133" s="49" t="s">
        <v>1564</v>
      </c>
      <c r="Y133" s="51">
        <v>44391.599108796298</v>
      </c>
      <c r="Z133" s="72">
        <f>tabPontoPed[CÁLC_4M] - tabPontoPed[CÁLCULO]</f>
        <v>-10</v>
      </c>
      <c r="AA133" s="79" t="str">
        <f>IF(tabPontoPed[MENSAL]-tabPontoPed[ATA MENSAL] = 0,"sim","")</f>
        <v/>
      </c>
      <c r="AB133" s="79"/>
      <c r="AC133" s="47" t="str">
        <f t="shared" si="2"/>
        <v>*</v>
      </c>
    </row>
    <row r="134" spans="1:29" x14ac:dyDescent="0.25">
      <c r="A134" s="36">
        <v>20144</v>
      </c>
      <c r="B134" s="68" t="s">
        <v>914</v>
      </c>
      <c r="C134" s="33" t="s">
        <v>1317</v>
      </c>
      <c r="D134" s="32">
        <v>70</v>
      </c>
      <c r="E134" s="37">
        <v>31</v>
      </c>
      <c r="F134" s="38" t="str">
        <f>VLOOKUP(tabPontoPed[[#This Row],[GRUPO]],tabGrupos[#Data],2,FALSE)</f>
        <v>FERRAMENTAS MAQ.FERRAMENTAS,ELETR.PECAS E ACESSORI</v>
      </c>
      <c r="G134" s="32" t="str">
        <f>VLOOKUP(tabPontoPed[[#This Row],[GRUPO]],tabGrupos[#Data],3,FALSE)</f>
        <v>MAN</v>
      </c>
      <c r="H134" s="33" t="s">
        <v>1311</v>
      </c>
      <c r="I134" s="80">
        <v>4</v>
      </c>
      <c r="J134" s="39">
        <v>67</v>
      </c>
      <c r="K134" s="41">
        <f>tabPontoPed[[#This Row],[QTDMÊS]] * tabPontoPed[[#This Row],[MENSAL]]</f>
        <v>268</v>
      </c>
      <c r="L134" s="83"/>
      <c r="M134" s="81"/>
      <c r="N134" s="34" t="s">
        <v>1009</v>
      </c>
      <c r="O134" s="76" t="s">
        <v>1699</v>
      </c>
      <c r="P134" s="77">
        <v>0</v>
      </c>
      <c r="Q134" s="57">
        <v>14</v>
      </c>
      <c r="R134" s="42">
        <v>15</v>
      </c>
      <c r="S134" s="69" t="str">
        <f>_xlfn.IFNA(IF(VLOOKUP(tabPontoPed[[#This Row],[CÓDIGO]],tabExcluirDoEstoque[#Data],1,FALSE),"sim",""),"")</f>
        <v/>
      </c>
      <c r="T134" s="43">
        <f>IF(AND(tabPontoPed[[#This Row],[MENSAL]]&gt;0,tabPontoPed[[#This Row],[CÁLCULO]]&gt;0), ABS( tabPontoPed[[#This Row],[MENSAL]] - tabPontoPed[[#This Row],[CÁLCULO]] ) / tabPontoPed[[#This Row],[MENSAL]], -1 )</f>
        <v>0.77611940298507465</v>
      </c>
      <c r="U134" s="58">
        <v>32</v>
      </c>
      <c r="V134" s="35">
        <f>IF(AND(tabPontoPed[[#This Row],[MENSAL]]&gt;0,tabPontoPed[[#This Row],[CÁLCULO]]&gt;0), IF( tabPontoPed[[#This Row],[MENSAL]] - tabPontoPed[[#This Row],[CÁLCULO]] &lt; 0, -1, IF( tabPontoPed[[#This Row],[MENSAL]] - tabPontoPed[[#This Row],[CÁLCULO]] &gt; 0, 1, -8)), -9 )</f>
        <v>1</v>
      </c>
      <c r="W134" s="35"/>
      <c r="X134" s="48" t="s">
        <v>1564</v>
      </c>
      <c r="Y134" s="53">
        <v>44391.599108796298</v>
      </c>
      <c r="Z134" s="72">
        <f>tabPontoPed[CÁLC_4M] - tabPontoPed[CÁLCULO]</f>
        <v>-1</v>
      </c>
      <c r="AA134" s="79" t="str">
        <f>IF(tabPontoPed[MENSAL]-tabPontoPed[ATA MENSAL] = 0,"sim","")</f>
        <v/>
      </c>
      <c r="AB134" s="79" t="s">
        <v>1614</v>
      </c>
      <c r="AC134" s="47" t="str">
        <f t="shared" si="2"/>
        <v>*</v>
      </c>
    </row>
    <row r="135" spans="1:29" x14ac:dyDescent="0.25">
      <c r="A135" s="36">
        <v>101867</v>
      </c>
      <c r="B135" s="68" t="s">
        <v>338</v>
      </c>
      <c r="C135" s="33" t="s">
        <v>1317</v>
      </c>
      <c r="D135" s="32">
        <v>61</v>
      </c>
      <c r="E135" s="37">
        <v>3</v>
      </c>
      <c r="F135" s="38" t="str">
        <f>VLOOKUP(tabPontoPed[[#This Row],[GRUPO]],tabGrupos[#Data],2,FALSE)</f>
        <v>MATERIAL HIDRAULICO, CANOS, TUBOS, MANGUEIRAS, CONEXOES E ACESS.</v>
      </c>
      <c r="G135" s="32" t="str">
        <f>VLOOKUP(tabPontoPed[[#This Row],[GRUPO]],tabGrupos[#Data],3,FALSE)</f>
        <v>MHI</v>
      </c>
      <c r="H135" s="33" t="s">
        <v>1311</v>
      </c>
      <c r="I135" s="80">
        <v>4</v>
      </c>
      <c r="J135" s="39">
        <v>13</v>
      </c>
      <c r="K135" s="41">
        <f>tabPontoPed[[#This Row],[QTDMÊS]] * tabPontoPed[[#This Row],[MENSAL]]</f>
        <v>52</v>
      </c>
      <c r="L135" s="83"/>
      <c r="M135" s="81"/>
      <c r="N135" s="34" t="s">
        <v>1009</v>
      </c>
      <c r="O135" s="76" t="s">
        <v>1668</v>
      </c>
      <c r="P135" s="77">
        <v>0</v>
      </c>
      <c r="Q135" s="57">
        <v>3</v>
      </c>
      <c r="R135" s="42">
        <v>3</v>
      </c>
      <c r="S135" s="69" t="str">
        <f>_xlfn.IFNA(IF(VLOOKUP(tabPontoPed[[#This Row],[CÓDIGO]],tabExcluirDoEstoque[#Data],1,FALSE),"sim",""),"")</f>
        <v/>
      </c>
      <c r="T135" s="43">
        <f>IF(AND(tabPontoPed[[#This Row],[MENSAL]]&gt;0,tabPontoPed[[#This Row],[CÁLCULO]]&gt;0), ABS( tabPontoPed[[#This Row],[MENSAL]] - tabPontoPed[[#This Row],[CÁLCULO]] ) / tabPontoPed[[#This Row],[MENSAL]], -1 )</f>
        <v>0.76923076923076927</v>
      </c>
      <c r="U135" s="58">
        <v>7</v>
      </c>
      <c r="V135" s="35">
        <f>IF(AND(tabPontoPed[[#This Row],[MENSAL]]&gt;0,tabPontoPed[[#This Row],[CÁLCULO]]&gt;0), IF( tabPontoPed[[#This Row],[MENSAL]] - tabPontoPed[[#This Row],[CÁLCULO]] &lt; 0, -1, IF( tabPontoPed[[#This Row],[MENSAL]] - tabPontoPed[[#This Row],[CÁLCULO]] &gt; 0, 1, -8)), -9 )</f>
        <v>1</v>
      </c>
      <c r="W135" s="35"/>
      <c r="X135" s="49" t="s">
        <v>1564</v>
      </c>
      <c r="Y135" s="51">
        <v>44391.599108796298</v>
      </c>
      <c r="Z135" s="72">
        <f>tabPontoPed[CÁLC_4M] - tabPontoPed[CÁLCULO]</f>
        <v>0</v>
      </c>
      <c r="AA135" s="79" t="str">
        <f>IF(tabPontoPed[MENSAL]-tabPontoPed[ATA MENSAL] = 0,"sim","")</f>
        <v/>
      </c>
      <c r="AB135" s="79" t="s">
        <v>1614</v>
      </c>
      <c r="AC135" s="47" t="str">
        <f t="shared" si="2"/>
        <v>*</v>
      </c>
    </row>
    <row r="136" spans="1:29" x14ac:dyDescent="0.25">
      <c r="A136" s="36">
        <v>20576</v>
      </c>
      <c r="B136" s="68" t="s">
        <v>847</v>
      </c>
      <c r="C136" s="33" t="s">
        <v>1317</v>
      </c>
      <c r="D136" s="32">
        <v>67</v>
      </c>
      <c r="E136" s="37">
        <v>7</v>
      </c>
      <c r="F136" s="38" t="str">
        <f>VLOOKUP(tabPontoPed[[#This Row],[GRUPO]],tabGrupos[#Data],2,FALSE)</f>
        <v>PARAFUSOS ELEM. VEDACAO UNIAO CONEX . FIXACAO</v>
      </c>
      <c r="G136" s="32" t="str">
        <f>VLOOKUP(tabPontoPed[[#This Row],[GRUPO]],tabGrupos[#Data],3,FALSE)</f>
        <v>MSE</v>
      </c>
      <c r="H136" s="33" t="s">
        <v>1311</v>
      </c>
      <c r="I136" s="80">
        <v>4</v>
      </c>
      <c r="J136" s="39">
        <v>384</v>
      </c>
      <c r="K136" s="41">
        <f>tabPontoPed[[#This Row],[QTDMÊS]] * tabPontoPed[[#This Row],[MENSAL]]</f>
        <v>1536</v>
      </c>
      <c r="L136" s="83"/>
      <c r="M136" s="81"/>
      <c r="N136" s="34" t="s">
        <v>1009</v>
      </c>
      <c r="O136" s="76"/>
      <c r="P136" s="77">
        <v>0</v>
      </c>
      <c r="Q136" s="57">
        <v>250</v>
      </c>
      <c r="R136" s="42">
        <v>90</v>
      </c>
      <c r="S136" s="69" t="str">
        <f>_xlfn.IFNA(IF(VLOOKUP(tabPontoPed[[#This Row],[CÓDIGO]],tabExcluirDoEstoque[#Data],1,FALSE),"sim",""),"")</f>
        <v/>
      </c>
      <c r="T136" s="43">
        <f>IF(AND(tabPontoPed[[#This Row],[MENSAL]]&gt;0,tabPontoPed[[#This Row],[CÁLCULO]]&gt;0), ABS( tabPontoPed[[#This Row],[MENSAL]] - tabPontoPed[[#This Row],[CÁLCULO]] ) / tabPontoPed[[#This Row],[MENSAL]], -1 )</f>
        <v>0.765625</v>
      </c>
      <c r="U136" s="58">
        <v>300</v>
      </c>
      <c r="V136" s="35">
        <f>IF(AND(tabPontoPed[[#This Row],[MENSAL]]&gt;0,tabPontoPed[[#This Row],[CÁLCULO]]&gt;0), IF( tabPontoPed[[#This Row],[MENSAL]] - tabPontoPed[[#This Row],[CÁLCULO]] &lt; 0, -1, IF( tabPontoPed[[#This Row],[MENSAL]] - tabPontoPed[[#This Row],[CÁLCULO]] &gt; 0, 1, -8)), -9 )</f>
        <v>1</v>
      </c>
      <c r="W136" s="35"/>
      <c r="X136" s="49" t="s">
        <v>1564</v>
      </c>
      <c r="Y136" s="51">
        <v>44391.599108796298</v>
      </c>
      <c r="Z136" s="72">
        <f>tabPontoPed[CÁLC_4M] - tabPontoPed[CÁLCULO]</f>
        <v>160</v>
      </c>
      <c r="AA136" s="79" t="str">
        <f>IF(tabPontoPed[MENSAL]-tabPontoPed[ATA MENSAL] = 0,"sim","")</f>
        <v/>
      </c>
      <c r="AB136" s="79"/>
      <c r="AC136" s="47" t="str">
        <f t="shared" si="2"/>
        <v>*</v>
      </c>
    </row>
    <row r="137" spans="1:29" ht="18.75" x14ac:dyDescent="0.25">
      <c r="A137" s="36">
        <v>81493</v>
      </c>
      <c r="B137" s="68" t="s">
        <v>958</v>
      </c>
      <c r="C137" s="33" t="s">
        <v>1317</v>
      </c>
      <c r="D137" s="32">
        <v>76</v>
      </c>
      <c r="E137" s="37">
        <v>6</v>
      </c>
      <c r="F137" s="38" t="str">
        <f>VLOOKUP(tabPontoPed[[#This Row],[GRUPO]],tabGrupos[#Data],2,FALSE)</f>
        <v>EQUIP. E MATERIAIS P/PINTURAS E IMPERMEABILIZACAO</v>
      </c>
      <c r="G137" s="32" t="str">
        <f>VLOOKUP(tabPontoPed[[#This Row],[GRUPO]],tabGrupos[#Data],3,FALSE)</f>
        <v>MPI</v>
      </c>
      <c r="H137" s="33" t="s">
        <v>1321</v>
      </c>
      <c r="I137" s="80">
        <v>3</v>
      </c>
      <c r="J137" s="39">
        <v>17</v>
      </c>
      <c r="K137" s="41">
        <f>tabPontoPed[[#This Row],[QTDMÊS]] * tabPontoPed[[#This Row],[MENSAL]]</f>
        <v>51</v>
      </c>
      <c r="L137" s="83"/>
      <c r="M137" s="81"/>
      <c r="N137" s="34" t="s">
        <v>1009</v>
      </c>
      <c r="O137" s="76" t="s">
        <v>1703</v>
      </c>
      <c r="P137" s="77">
        <v>0</v>
      </c>
      <c r="Q137" s="57">
        <v>5</v>
      </c>
      <c r="R137" s="42">
        <v>4</v>
      </c>
      <c r="S137" s="69" t="str">
        <f>_xlfn.IFNA(IF(VLOOKUP(tabPontoPed[[#This Row],[CÓDIGO]],tabExcluirDoEstoque[#Data],1,FALSE),"sim",""),"")</f>
        <v/>
      </c>
      <c r="T137" s="43">
        <f>IF(AND(tabPontoPed[[#This Row],[MENSAL]]&gt;0,tabPontoPed[[#This Row],[CÁLCULO]]&gt;0), ABS( tabPontoPed[[#This Row],[MENSAL]] - tabPontoPed[[#This Row],[CÁLCULO]] ) / tabPontoPed[[#This Row],[MENSAL]], -1 )</f>
        <v>0.76470588235294112</v>
      </c>
      <c r="U137" s="58">
        <v>8</v>
      </c>
      <c r="V137" s="35">
        <f>IF(AND(tabPontoPed[[#This Row],[MENSAL]]&gt;0,tabPontoPed[[#This Row],[CÁLCULO]]&gt;0), IF( tabPontoPed[[#This Row],[MENSAL]] - tabPontoPed[[#This Row],[CÁLCULO]] &lt; 0, -1, IF( tabPontoPed[[#This Row],[MENSAL]] - tabPontoPed[[#This Row],[CÁLCULO]] &gt; 0, 1, -8)), -9 )</f>
        <v>1</v>
      </c>
      <c r="W137" s="45"/>
      <c r="X137" s="50" t="s">
        <v>1450</v>
      </c>
      <c r="Y137" s="52">
        <v>43846.395208333335</v>
      </c>
      <c r="Z137" s="73">
        <f>tabPontoPed[CÁLC_4M] - tabPontoPed[CÁLCULO]</f>
        <v>1</v>
      </c>
      <c r="AA137" s="79" t="str">
        <f>IF(tabPontoPed[MENSAL]-tabPontoPed[ATA MENSAL] = 0,"sim","")</f>
        <v/>
      </c>
      <c r="AB137" s="79"/>
      <c r="AC137" s="47" t="str">
        <f t="shared" si="2"/>
        <v>*</v>
      </c>
    </row>
    <row r="138" spans="1:29" x14ac:dyDescent="0.25">
      <c r="A138" s="36">
        <v>64625</v>
      </c>
      <c r="B138" s="68" t="s">
        <v>264</v>
      </c>
      <c r="C138" s="33" t="s">
        <v>1317</v>
      </c>
      <c r="D138" s="32">
        <v>69</v>
      </c>
      <c r="E138" s="37">
        <v>8</v>
      </c>
      <c r="F138" s="38" t="str">
        <f>VLOOKUP(tabPontoPed[[#This Row],[GRUPO]],tabGrupos[#Data],2,FALSE)</f>
        <v>METAIS,LAMINAD.,PERFILADOS E ARTEFATOS METALICOS</v>
      </c>
      <c r="G138" s="32" t="str">
        <f>VLOOKUP(tabPontoPed[[#This Row],[GRUPO]],tabGrupos[#Data],3,FALSE)</f>
        <v>MSE</v>
      </c>
      <c r="H138" s="33" t="s">
        <v>1311</v>
      </c>
      <c r="I138" s="80">
        <v>4</v>
      </c>
      <c r="J138" s="39">
        <v>34</v>
      </c>
      <c r="K138" s="41">
        <f>tabPontoPed[[#This Row],[QTDMÊS]] * tabPontoPed[[#This Row],[MENSAL]]</f>
        <v>136</v>
      </c>
      <c r="L138" s="83"/>
      <c r="M138" s="81"/>
      <c r="N138" s="34" t="s">
        <v>1009</v>
      </c>
      <c r="O138" s="76" t="s">
        <v>1673</v>
      </c>
      <c r="P138" s="77">
        <v>0</v>
      </c>
      <c r="Q138" s="57">
        <v>8</v>
      </c>
      <c r="R138" s="42">
        <v>8</v>
      </c>
      <c r="S138" s="69" t="str">
        <f>_xlfn.IFNA(IF(VLOOKUP(tabPontoPed[[#This Row],[CÓDIGO]],tabExcluirDoEstoque[#Data],1,FALSE),"sim",""),"")</f>
        <v/>
      </c>
      <c r="T138" s="43">
        <f>IF(AND(tabPontoPed[[#This Row],[MENSAL]]&gt;0,tabPontoPed[[#This Row],[CÁLCULO]]&gt;0), ABS( tabPontoPed[[#This Row],[MENSAL]] - tabPontoPed[[#This Row],[CÁLCULO]] ) / tabPontoPed[[#This Row],[MENSAL]], -1 )</f>
        <v>0.76470588235294112</v>
      </c>
      <c r="U138" s="58">
        <v>30</v>
      </c>
      <c r="V138" s="35">
        <f>IF(AND(tabPontoPed[[#This Row],[MENSAL]]&gt;0,tabPontoPed[[#This Row],[CÁLCULO]]&gt;0), IF( tabPontoPed[[#This Row],[MENSAL]] - tabPontoPed[[#This Row],[CÁLCULO]] &lt; 0, -1, IF( tabPontoPed[[#This Row],[MENSAL]] - tabPontoPed[[#This Row],[CÁLCULO]] &gt; 0, 1, -8)), -9 )</f>
        <v>1</v>
      </c>
      <c r="W138" s="35"/>
      <c r="X138" s="48" t="s">
        <v>1564</v>
      </c>
      <c r="Y138" s="53">
        <v>44391.599108796298</v>
      </c>
      <c r="Z138" s="72">
        <f>tabPontoPed[CÁLC_4M] - tabPontoPed[CÁLCULO]</f>
        <v>0</v>
      </c>
      <c r="AA138" s="79" t="str">
        <f>IF(tabPontoPed[MENSAL]-tabPontoPed[ATA MENSAL] = 0,"sim","")</f>
        <v/>
      </c>
      <c r="AB138" s="79" t="s">
        <v>1614</v>
      </c>
      <c r="AC138" s="47" t="str">
        <f t="shared" si="2"/>
        <v>*</v>
      </c>
    </row>
    <row r="139" spans="1:29" x14ac:dyDescent="0.25">
      <c r="A139" s="36">
        <v>138554</v>
      </c>
      <c r="B139" s="68" t="s">
        <v>1627</v>
      </c>
      <c r="C139" s="33">
        <v>1</v>
      </c>
      <c r="D139" s="32">
        <v>55</v>
      </c>
      <c r="E139" s="37">
        <v>49</v>
      </c>
      <c r="F139" s="38" t="str">
        <f>VLOOKUP(tabPontoPed[[#This Row],[GRUPO]],tabGrupos[#Data],2,FALSE)</f>
        <v>EQUIP. MAT. P/ GERACAO, TRANSM. DISTR. RETIF...</v>
      </c>
      <c r="G139" s="32" t="str">
        <f>VLOOKUP(tabPontoPed[[#This Row],[GRUPO]],tabGrupos[#Data],3,FALSE)</f>
        <v>MEL</v>
      </c>
      <c r="H139" s="33" t="s">
        <v>1311</v>
      </c>
      <c r="I139" s="80">
        <v>4</v>
      </c>
      <c r="J139" s="39">
        <v>59</v>
      </c>
      <c r="K139" s="41">
        <f>tabPontoPed[[#This Row],[QTDMÊS]] * tabPontoPed[[#This Row],[MENSAL]]</f>
        <v>236</v>
      </c>
      <c r="L139" s="83"/>
      <c r="M139" s="81"/>
      <c r="N139" s="34" t="s">
        <v>1009</v>
      </c>
      <c r="O139" s="76" t="s">
        <v>1771</v>
      </c>
      <c r="P139" s="77">
        <v>0</v>
      </c>
      <c r="Q139" s="57">
        <v>0</v>
      </c>
      <c r="R139" s="42">
        <v>14</v>
      </c>
      <c r="S139" s="69" t="str">
        <f>_xlfn.IFNA(IF(VLOOKUP(tabPontoPed[[#This Row],[CÓDIGO]],tabExcluirDoEstoque[#Data],1,FALSE),"sim",""),"")</f>
        <v/>
      </c>
      <c r="T139" s="43">
        <f>IF(AND(tabPontoPed[[#This Row],[MENSAL]]&gt;0,tabPontoPed[[#This Row],[CÁLCULO]]&gt;0), ABS( tabPontoPed[[#This Row],[MENSAL]] - tabPontoPed[[#This Row],[CÁLCULO]] ) / tabPontoPed[[#This Row],[MENSAL]], -1 )</f>
        <v>0.76271186440677963</v>
      </c>
      <c r="U139" s="58">
        <v>55</v>
      </c>
      <c r="V139" s="35">
        <f>IF(AND(tabPontoPed[[#This Row],[MENSAL]]&gt;0,tabPontoPed[[#This Row],[CÁLCULO]]&gt;0), IF( tabPontoPed[[#This Row],[MENSAL]] - tabPontoPed[[#This Row],[CÁLCULO]] &lt; 0, -1, IF( tabPontoPed[[#This Row],[MENSAL]] - tabPontoPed[[#This Row],[CÁLCULO]] &gt; 0, 1, -8)), -9 )</f>
        <v>1</v>
      </c>
      <c r="W139" s="35"/>
      <c r="X139" s="49" t="s">
        <v>1564</v>
      </c>
      <c r="Y139" s="51">
        <v>44391.599108796298</v>
      </c>
      <c r="Z139" s="72">
        <f>tabPontoPed[CÁLC_4M] - tabPontoPed[CÁLCULO]</f>
        <v>-14</v>
      </c>
      <c r="AA139" s="79" t="str">
        <f>IF(tabPontoPed[MENSAL]-tabPontoPed[ATA MENSAL] = 0,"sim","")</f>
        <v/>
      </c>
      <c r="AB139" s="79" t="s">
        <v>1614</v>
      </c>
      <c r="AC139" s="47" t="str">
        <f t="shared" si="2"/>
        <v>*</v>
      </c>
    </row>
    <row r="140" spans="1:29" x14ac:dyDescent="0.25">
      <c r="A140" s="36">
        <v>138551</v>
      </c>
      <c r="B140" s="68" t="s">
        <v>1626</v>
      </c>
      <c r="C140" s="33">
        <v>1</v>
      </c>
      <c r="D140" s="32">
        <v>55</v>
      </c>
      <c r="E140" s="37">
        <v>66</v>
      </c>
      <c r="F140" s="38" t="str">
        <f>VLOOKUP(tabPontoPed[[#This Row],[GRUPO]],tabGrupos[#Data],2,FALSE)</f>
        <v>EQUIP. MAT. P/ GERACAO, TRANSM. DISTR. RETIF...</v>
      </c>
      <c r="G140" s="32" t="str">
        <f>VLOOKUP(tabPontoPed[[#This Row],[GRUPO]],tabGrupos[#Data],3,FALSE)</f>
        <v>MEL</v>
      </c>
      <c r="H140" s="33" t="s">
        <v>1311</v>
      </c>
      <c r="I140" s="80">
        <v>4</v>
      </c>
      <c r="J140" s="39">
        <v>100</v>
      </c>
      <c r="K140" s="41">
        <f>tabPontoPed[[#This Row],[QTDMÊS]] * tabPontoPed[[#This Row],[MENSAL]]</f>
        <v>400</v>
      </c>
      <c r="L140" s="83"/>
      <c r="M140" s="81"/>
      <c r="N140" s="34" t="s">
        <v>1009</v>
      </c>
      <c r="O140" s="76" t="s">
        <v>1771</v>
      </c>
      <c r="P140" s="77">
        <v>0</v>
      </c>
      <c r="Q140" s="57">
        <v>40</v>
      </c>
      <c r="R140" s="42">
        <v>24</v>
      </c>
      <c r="S140" s="69" t="str">
        <f>_xlfn.IFNA(IF(VLOOKUP(tabPontoPed[[#This Row],[CÓDIGO]],tabExcluirDoEstoque[#Data],1,FALSE),"sim",""),"")</f>
        <v/>
      </c>
      <c r="T140" s="43">
        <f>IF(AND(tabPontoPed[[#This Row],[MENSAL]]&gt;0,tabPontoPed[[#This Row],[CÁLCULO]]&gt;0), ABS( tabPontoPed[[#This Row],[MENSAL]] - tabPontoPed[[#This Row],[CÁLCULO]] ) / tabPontoPed[[#This Row],[MENSAL]], -1 )</f>
        <v>0.76</v>
      </c>
      <c r="U140" s="58">
        <v>71</v>
      </c>
      <c r="V140" s="35">
        <f>IF(AND(tabPontoPed[[#This Row],[MENSAL]]&gt;0,tabPontoPed[[#This Row],[CÁLCULO]]&gt;0), IF( tabPontoPed[[#This Row],[MENSAL]] - tabPontoPed[[#This Row],[CÁLCULO]] &lt; 0, -1, IF( tabPontoPed[[#This Row],[MENSAL]] - tabPontoPed[[#This Row],[CÁLCULO]] &gt; 0, 1, -8)), -9 )</f>
        <v>1</v>
      </c>
      <c r="W140" s="35"/>
      <c r="X140" s="49" t="s">
        <v>1564</v>
      </c>
      <c r="Y140" s="51">
        <v>44391.599108796298</v>
      </c>
      <c r="Z140" s="72">
        <f>tabPontoPed[CÁLC_4M] - tabPontoPed[CÁLCULO]</f>
        <v>16</v>
      </c>
      <c r="AA140" s="79" t="str">
        <f>IF(tabPontoPed[MENSAL]-tabPontoPed[ATA MENSAL] = 0,"sim","")</f>
        <v/>
      </c>
      <c r="AB140" s="79"/>
      <c r="AC140" s="47" t="str">
        <f t="shared" si="2"/>
        <v>*</v>
      </c>
    </row>
    <row r="141" spans="1:29" x14ac:dyDescent="0.25">
      <c r="A141" s="36">
        <v>136555</v>
      </c>
      <c r="B141" s="68" t="s">
        <v>1479</v>
      </c>
      <c r="C141" s="33" t="s">
        <v>1491</v>
      </c>
      <c r="D141" s="32">
        <v>51</v>
      </c>
      <c r="E141" s="37">
        <v>9</v>
      </c>
      <c r="F141" s="38" t="str">
        <f>VLOOKUP(tabPontoPed[[#This Row],[GRUPO]],tabGrupos[#Data],2,FALSE)</f>
        <v>MAT.E EQUIP. P/ CONSTR.CIVIL E CONSERV. DE VIAS PUBL.</v>
      </c>
      <c r="G141" s="32" t="str">
        <f>VLOOKUP(tabPontoPed[[#This Row],[GRUPO]],tabGrupos[#Data],3,FALSE)</f>
        <v>MCO</v>
      </c>
      <c r="H141" s="33" t="s">
        <v>1311</v>
      </c>
      <c r="I141" s="80">
        <v>4</v>
      </c>
      <c r="J141" s="39">
        <v>108</v>
      </c>
      <c r="K141" s="41">
        <f>tabPontoPed[[#This Row],[QTDMÊS]] * tabPontoPed[[#This Row],[MENSAL]]</f>
        <v>432</v>
      </c>
      <c r="L141" s="83"/>
      <c r="M141" s="81"/>
      <c r="N141" s="34" t="s">
        <v>1009</v>
      </c>
      <c r="O141" s="76" t="s">
        <v>1675</v>
      </c>
      <c r="P141" s="77">
        <v>0</v>
      </c>
      <c r="Q141" s="57">
        <v>9</v>
      </c>
      <c r="R141" s="42">
        <v>26</v>
      </c>
      <c r="S141" s="69" t="str">
        <f>_xlfn.IFNA(IF(VLOOKUP(tabPontoPed[[#This Row],[CÓDIGO]],tabExcluirDoEstoque[#Data],1,FALSE),"sim",""),"")</f>
        <v/>
      </c>
      <c r="T141" s="43">
        <f>IF(AND(tabPontoPed[[#This Row],[MENSAL]]&gt;0,tabPontoPed[[#This Row],[CÁLCULO]]&gt;0), ABS( tabPontoPed[[#This Row],[MENSAL]] - tabPontoPed[[#This Row],[CÁLCULO]] ) / tabPontoPed[[#This Row],[MENSAL]], -1 )</f>
        <v>0.7592592592592593</v>
      </c>
      <c r="U141" s="58">
        <v>122</v>
      </c>
      <c r="V141" s="70">
        <f>IF(AND(tabPontoPed[[#This Row],[MENSAL]]&gt;0,tabPontoPed[[#This Row],[CÁLCULO]]&gt;0), IF( tabPontoPed[[#This Row],[MENSAL]] - tabPontoPed[[#This Row],[CÁLCULO]] &lt; 0, -1, IF( tabPontoPed[[#This Row],[MENSAL]] - tabPontoPed[[#This Row],[CÁLCULO]] &gt; 0, 1, -8)), -9 )</f>
        <v>1</v>
      </c>
      <c r="W141" s="70"/>
      <c r="X141" s="48" t="s">
        <v>1564</v>
      </c>
      <c r="Y141" s="53">
        <v>44391.599108796298</v>
      </c>
      <c r="Z141" s="72">
        <f>tabPontoPed[CÁLC_4M] - tabPontoPed[CÁLCULO]</f>
        <v>-17</v>
      </c>
      <c r="AA141" s="79" t="str">
        <f>IF(tabPontoPed[MENSAL]-tabPontoPed[ATA MENSAL] = 0,"sim","")</f>
        <v/>
      </c>
      <c r="AB141" s="79"/>
      <c r="AC141" s="47" t="str">
        <f t="shared" si="2"/>
        <v>*</v>
      </c>
    </row>
    <row r="142" spans="1:29" x14ac:dyDescent="0.25">
      <c r="A142" s="36">
        <v>35554</v>
      </c>
      <c r="B142" s="68" t="s">
        <v>164</v>
      </c>
      <c r="C142" s="33" t="s">
        <v>1317</v>
      </c>
      <c r="D142" s="32">
        <v>83</v>
      </c>
      <c r="E142" s="37">
        <v>2</v>
      </c>
      <c r="F142" s="38" t="str">
        <f>VLOOKUP(tabPontoPed[[#This Row],[GRUPO]],tabGrupos[#Data],2,FALSE)</f>
        <v>ABRASIVOS</v>
      </c>
      <c r="G142" s="32" t="str">
        <f>VLOOKUP(tabPontoPed[[#This Row],[GRUPO]],tabGrupos[#Data],3,FALSE)</f>
        <v>MAN</v>
      </c>
      <c r="H142" s="33" t="s">
        <v>1311</v>
      </c>
      <c r="I142" s="80">
        <v>4</v>
      </c>
      <c r="J142" s="39">
        <v>8</v>
      </c>
      <c r="K142" s="41">
        <f>tabPontoPed[[#This Row],[QTDMÊS]] * tabPontoPed[[#This Row],[MENSAL]]</f>
        <v>32</v>
      </c>
      <c r="L142" s="83"/>
      <c r="M142" s="81"/>
      <c r="N142" s="34" t="s">
        <v>1009</v>
      </c>
      <c r="O142" s="76" t="s">
        <v>1658</v>
      </c>
      <c r="P142" s="77">
        <v>0</v>
      </c>
      <c r="Q142" s="57">
        <v>0</v>
      </c>
      <c r="R142" s="42">
        <v>2</v>
      </c>
      <c r="S142" s="69" t="str">
        <f>_xlfn.IFNA(IF(VLOOKUP(tabPontoPed[[#This Row],[CÓDIGO]],tabExcluirDoEstoque[#Data],1,FALSE),"sim",""),"")</f>
        <v/>
      </c>
      <c r="T142" s="43">
        <f>IF(AND(tabPontoPed[[#This Row],[MENSAL]]&gt;0,tabPontoPed[[#This Row],[CÁLCULO]]&gt;0), ABS( tabPontoPed[[#This Row],[MENSAL]] - tabPontoPed[[#This Row],[CÁLCULO]] ) / tabPontoPed[[#This Row],[MENSAL]], -1 )</f>
        <v>0.75</v>
      </c>
      <c r="U142" s="58">
        <v>20</v>
      </c>
      <c r="V142" s="35">
        <f>IF(AND(tabPontoPed[[#This Row],[MENSAL]]&gt;0,tabPontoPed[[#This Row],[CÁLCULO]]&gt;0), IF( tabPontoPed[[#This Row],[MENSAL]] - tabPontoPed[[#This Row],[CÁLCULO]] &lt; 0, -1, IF( tabPontoPed[[#This Row],[MENSAL]] - tabPontoPed[[#This Row],[CÁLCULO]] &gt; 0, 1, -8)), -9 )</f>
        <v>1</v>
      </c>
      <c r="W142" s="35"/>
      <c r="X142" s="48" t="s">
        <v>1564</v>
      </c>
      <c r="Y142" s="53">
        <v>44391.599108796298</v>
      </c>
      <c r="Z142" s="72">
        <f>tabPontoPed[CÁLC_4M] - tabPontoPed[CÁLCULO]</f>
        <v>-2</v>
      </c>
      <c r="AA142" s="79" t="str">
        <f>IF(tabPontoPed[MENSAL]-tabPontoPed[ATA MENSAL] = 0,"sim","")</f>
        <v/>
      </c>
      <c r="AB142" s="79"/>
      <c r="AC142" s="47" t="str">
        <f t="shared" si="2"/>
        <v>*</v>
      </c>
    </row>
    <row r="143" spans="1:29" x14ac:dyDescent="0.25">
      <c r="A143" s="36">
        <v>88745</v>
      </c>
      <c r="B143" s="68" t="s">
        <v>350</v>
      </c>
      <c r="C143" s="33" t="s">
        <v>1317</v>
      </c>
      <c r="D143" s="32">
        <v>55</v>
      </c>
      <c r="E143" s="37">
        <v>26</v>
      </c>
      <c r="F143" s="38" t="str">
        <f>VLOOKUP(tabPontoPed[[#This Row],[GRUPO]],tabGrupos[#Data],2,FALSE)</f>
        <v>EQUIP. MAT. P/ GERACAO, TRANSM. DISTR. RETIF...</v>
      </c>
      <c r="G143" s="32" t="str">
        <f>VLOOKUP(tabPontoPed[[#This Row],[GRUPO]],tabGrupos[#Data],3,FALSE)</f>
        <v>MEL</v>
      </c>
      <c r="H143" s="33" t="s">
        <v>1311</v>
      </c>
      <c r="I143" s="80">
        <v>4</v>
      </c>
      <c r="J143" s="39">
        <v>4</v>
      </c>
      <c r="K143" s="41">
        <f>tabPontoPed[[#This Row],[QTDMÊS]] * tabPontoPed[[#This Row],[MENSAL]]</f>
        <v>16</v>
      </c>
      <c r="L143" s="83"/>
      <c r="M143" s="81"/>
      <c r="N143" s="34" t="s">
        <v>1009</v>
      </c>
      <c r="O143" s="76" t="s">
        <v>1677</v>
      </c>
      <c r="P143" s="77">
        <v>0</v>
      </c>
      <c r="Q143" s="57">
        <v>1</v>
      </c>
      <c r="R143" s="42">
        <v>1</v>
      </c>
      <c r="S143" s="69" t="str">
        <f>_xlfn.IFNA(IF(VLOOKUP(tabPontoPed[[#This Row],[CÓDIGO]],tabExcluirDoEstoque[#Data],1,FALSE),"sim",""),"")</f>
        <v/>
      </c>
      <c r="T143" s="43">
        <f>IF(AND(tabPontoPed[[#This Row],[MENSAL]]&gt;0,tabPontoPed[[#This Row],[CÁLCULO]]&gt;0), ABS( tabPontoPed[[#This Row],[MENSAL]] - tabPontoPed[[#This Row],[CÁLCULO]] ) / tabPontoPed[[#This Row],[MENSAL]], -1 )</f>
        <v>0.75</v>
      </c>
      <c r="U143" s="58">
        <v>2</v>
      </c>
      <c r="V143" s="35">
        <f>IF(AND(tabPontoPed[[#This Row],[MENSAL]]&gt;0,tabPontoPed[[#This Row],[CÁLCULO]]&gt;0), IF( tabPontoPed[[#This Row],[MENSAL]] - tabPontoPed[[#This Row],[CÁLCULO]] &lt; 0, -1, IF( tabPontoPed[[#This Row],[MENSAL]] - tabPontoPed[[#This Row],[CÁLCULO]] &gt; 0, 1, -8)), -9 )</f>
        <v>1</v>
      </c>
      <c r="W143" s="35"/>
      <c r="X143" s="49" t="s">
        <v>1564</v>
      </c>
      <c r="Y143" s="51">
        <v>44391.599108796298</v>
      </c>
      <c r="Z143" s="72">
        <f>tabPontoPed[CÁLC_4M] - tabPontoPed[CÁLCULO]</f>
        <v>0</v>
      </c>
      <c r="AA143" s="79" t="str">
        <f>IF(tabPontoPed[MENSAL]-tabPontoPed[ATA MENSAL] = 0,"sim","")</f>
        <v/>
      </c>
      <c r="AB143" s="79"/>
      <c r="AC143" s="47" t="str">
        <f t="shared" si="2"/>
        <v>*</v>
      </c>
    </row>
    <row r="144" spans="1:29" x14ac:dyDescent="0.25">
      <c r="A144" s="36">
        <v>64647</v>
      </c>
      <c r="B144" s="68" t="s">
        <v>292</v>
      </c>
      <c r="C144" s="33" t="s">
        <v>1317</v>
      </c>
      <c r="D144" s="32">
        <v>61</v>
      </c>
      <c r="E144" s="37">
        <v>8</v>
      </c>
      <c r="F144" s="38" t="str">
        <f>VLOOKUP(tabPontoPed[[#This Row],[GRUPO]],tabGrupos[#Data],2,FALSE)</f>
        <v>MATERIAL HIDRAULICO, CANOS, TUBOS, MANGUEIRAS, CONEXOES E ACESS.</v>
      </c>
      <c r="G144" s="32" t="str">
        <f>VLOOKUP(tabPontoPed[[#This Row],[GRUPO]],tabGrupos[#Data],3,FALSE)</f>
        <v>MHI</v>
      </c>
      <c r="H144" s="33" t="s">
        <v>1311</v>
      </c>
      <c r="I144" s="80">
        <v>4</v>
      </c>
      <c r="J144" s="39">
        <v>4</v>
      </c>
      <c r="K144" s="41">
        <f>tabPontoPed[[#This Row],[QTDMÊS]] * tabPontoPed[[#This Row],[MENSAL]]</f>
        <v>16</v>
      </c>
      <c r="L144" s="83"/>
      <c r="M144" s="81"/>
      <c r="N144" s="34" t="s">
        <v>1009</v>
      </c>
      <c r="O144" s="76" t="s">
        <v>1678</v>
      </c>
      <c r="P144" s="77">
        <v>0</v>
      </c>
      <c r="Q144" s="57">
        <v>0</v>
      </c>
      <c r="R144" s="42">
        <v>1</v>
      </c>
      <c r="S144" s="69" t="str">
        <f>_xlfn.IFNA(IF(VLOOKUP(tabPontoPed[[#This Row],[CÓDIGO]],tabExcluirDoEstoque[#Data],1,FALSE),"sim",""),"")</f>
        <v/>
      </c>
      <c r="T144" s="43">
        <f>IF(AND(tabPontoPed[[#This Row],[MENSAL]]&gt;0,tabPontoPed[[#This Row],[CÁLCULO]]&gt;0), ABS( tabPontoPed[[#This Row],[MENSAL]] - tabPontoPed[[#This Row],[CÁLCULO]] ) / tabPontoPed[[#This Row],[MENSAL]], -1 )</f>
        <v>0.75</v>
      </c>
      <c r="U144" s="58">
        <v>1</v>
      </c>
      <c r="V144" s="35">
        <f>IF(AND(tabPontoPed[[#This Row],[MENSAL]]&gt;0,tabPontoPed[[#This Row],[CÁLCULO]]&gt;0), IF( tabPontoPed[[#This Row],[MENSAL]] - tabPontoPed[[#This Row],[CÁLCULO]] &lt; 0, -1, IF( tabPontoPed[[#This Row],[MENSAL]] - tabPontoPed[[#This Row],[CÁLCULO]] &gt; 0, 1, -8)), -9 )</f>
        <v>1</v>
      </c>
      <c r="W144" s="35"/>
      <c r="X144" s="49" t="s">
        <v>1564</v>
      </c>
      <c r="Y144" s="51">
        <v>44391.599108796298</v>
      </c>
      <c r="Z144" s="72">
        <f>tabPontoPed[CÁLC_4M] - tabPontoPed[CÁLCULO]</f>
        <v>-1</v>
      </c>
      <c r="AA144" s="79" t="str">
        <f>IF(tabPontoPed[MENSAL]-tabPontoPed[ATA MENSAL] = 0,"sim","")</f>
        <v/>
      </c>
      <c r="AB144" s="79" t="s">
        <v>1614</v>
      </c>
      <c r="AC144" s="47" t="str">
        <f t="shared" si="2"/>
        <v>*</v>
      </c>
    </row>
    <row r="145" spans="1:29" x14ac:dyDescent="0.25">
      <c r="A145" s="36">
        <v>134565</v>
      </c>
      <c r="B145" s="68" t="s">
        <v>830</v>
      </c>
      <c r="C145" s="33" t="s">
        <v>1317</v>
      </c>
      <c r="D145" s="32">
        <v>67</v>
      </c>
      <c r="E145" s="37">
        <v>3</v>
      </c>
      <c r="F145" s="38" t="str">
        <f>VLOOKUP(tabPontoPed[[#This Row],[GRUPO]],tabGrupos[#Data],2,FALSE)</f>
        <v>PARAFUSOS ELEM. VEDACAO UNIAO CONEX . FIXACAO</v>
      </c>
      <c r="G145" s="32" t="str">
        <f>VLOOKUP(tabPontoPed[[#This Row],[GRUPO]],tabGrupos[#Data],3,FALSE)</f>
        <v>MSE</v>
      </c>
      <c r="H145" s="33" t="s">
        <v>1311</v>
      </c>
      <c r="I145" s="80">
        <v>4</v>
      </c>
      <c r="J145" s="39">
        <v>4</v>
      </c>
      <c r="K145" s="41">
        <f>tabPontoPed[[#This Row],[QTDMÊS]] * tabPontoPed[[#This Row],[MENSAL]]</f>
        <v>16</v>
      </c>
      <c r="L145" s="83"/>
      <c r="M145" s="81"/>
      <c r="N145" s="34" t="s">
        <v>1009</v>
      </c>
      <c r="O145" s="76"/>
      <c r="P145" s="77">
        <v>0</v>
      </c>
      <c r="Q145" s="57">
        <v>1</v>
      </c>
      <c r="R145" s="42">
        <v>1</v>
      </c>
      <c r="S145" s="69" t="str">
        <f>_xlfn.IFNA(IF(VLOOKUP(tabPontoPed[[#This Row],[CÓDIGO]],tabExcluirDoEstoque[#Data],1,FALSE),"sim",""),"")</f>
        <v/>
      </c>
      <c r="T145" s="43">
        <f>IF(AND(tabPontoPed[[#This Row],[MENSAL]]&gt;0,tabPontoPed[[#This Row],[CÁLCULO]]&gt;0), ABS( tabPontoPed[[#This Row],[MENSAL]] - tabPontoPed[[#This Row],[CÁLCULO]] ) / tabPontoPed[[#This Row],[MENSAL]], -1 )</f>
        <v>0.75</v>
      </c>
      <c r="U145" s="58">
        <v>3</v>
      </c>
      <c r="V145" s="35">
        <f>IF(AND(tabPontoPed[[#This Row],[MENSAL]]&gt;0,tabPontoPed[[#This Row],[CÁLCULO]]&gt;0), IF( tabPontoPed[[#This Row],[MENSAL]] - tabPontoPed[[#This Row],[CÁLCULO]] &lt; 0, -1, IF( tabPontoPed[[#This Row],[MENSAL]] - tabPontoPed[[#This Row],[CÁLCULO]] &gt; 0, 1, -8)), -9 )</f>
        <v>1</v>
      </c>
      <c r="W145" s="35"/>
      <c r="X145" s="49" t="s">
        <v>1564</v>
      </c>
      <c r="Y145" s="51">
        <v>44391.599108796298</v>
      </c>
      <c r="Z145" s="72">
        <f>tabPontoPed[CÁLC_4M] - tabPontoPed[CÁLCULO]</f>
        <v>0</v>
      </c>
      <c r="AA145" s="79" t="str">
        <f>IF(tabPontoPed[MENSAL]-tabPontoPed[ATA MENSAL] = 0,"sim","")</f>
        <v/>
      </c>
      <c r="AB145" s="79"/>
      <c r="AC145" s="47" t="str">
        <f t="shared" si="2"/>
        <v>*</v>
      </c>
    </row>
    <row r="146" spans="1:29" x14ac:dyDescent="0.25">
      <c r="A146" s="36">
        <v>61046</v>
      </c>
      <c r="B146" s="68" t="s">
        <v>257</v>
      </c>
      <c r="C146" s="33" t="s">
        <v>1317</v>
      </c>
      <c r="D146" s="32">
        <v>69</v>
      </c>
      <c r="E146" s="37">
        <v>3</v>
      </c>
      <c r="F146" s="38" t="str">
        <f>VLOOKUP(tabPontoPed[[#This Row],[GRUPO]],tabGrupos[#Data],2,FALSE)</f>
        <v>METAIS,LAMINAD.,PERFILADOS E ARTEFATOS METALICOS</v>
      </c>
      <c r="G146" s="32" t="str">
        <f>VLOOKUP(tabPontoPed[[#This Row],[GRUPO]],tabGrupos[#Data],3,FALSE)</f>
        <v>MSE</v>
      </c>
      <c r="H146" s="33" t="s">
        <v>1311</v>
      </c>
      <c r="I146" s="80">
        <v>4</v>
      </c>
      <c r="J146" s="39">
        <v>8</v>
      </c>
      <c r="K146" s="41">
        <f>tabPontoPed[[#This Row],[QTDMÊS]] * tabPontoPed[[#This Row],[MENSAL]]</f>
        <v>32</v>
      </c>
      <c r="L146" s="83"/>
      <c r="M146" s="81"/>
      <c r="N146" s="34" t="s">
        <v>1009</v>
      </c>
      <c r="O146" s="76" t="s">
        <v>1673</v>
      </c>
      <c r="P146" s="77">
        <v>0</v>
      </c>
      <c r="Q146" s="57">
        <v>2</v>
      </c>
      <c r="R146" s="42">
        <v>2</v>
      </c>
      <c r="S146" s="69" t="str">
        <f>_xlfn.IFNA(IF(VLOOKUP(tabPontoPed[[#This Row],[CÓDIGO]],tabExcluirDoEstoque[#Data],1,FALSE),"sim",""),"")</f>
        <v/>
      </c>
      <c r="T146" s="43">
        <f>IF(AND(tabPontoPed[[#This Row],[MENSAL]]&gt;0,tabPontoPed[[#This Row],[CÁLCULO]]&gt;0), ABS( tabPontoPed[[#This Row],[MENSAL]] - tabPontoPed[[#This Row],[CÁLCULO]] ) / tabPontoPed[[#This Row],[MENSAL]], -1 )</f>
        <v>0.75</v>
      </c>
      <c r="U146" s="58">
        <v>9</v>
      </c>
      <c r="V146" s="35">
        <f>IF(AND(tabPontoPed[[#This Row],[MENSAL]]&gt;0,tabPontoPed[[#This Row],[CÁLCULO]]&gt;0), IF( tabPontoPed[[#This Row],[MENSAL]] - tabPontoPed[[#This Row],[CÁLCULO]] &lt; 0, -1, IF( tabPontoPed[[#This Row],[MENSAL]] - tabPontoPed[[#This Row],[CÁLCULO]] &gt; 0, 1, -8)), -9 )</f>
        <v>1</v>
      </c>
      <c r="W146" s="35"/>
      <c r="X146" s="49" t="s">
        <v>1564</v>
      </c>
      <c r="Y146" s="51">
        <v>44391.599108796298</v>
      </c>
      <c r="Z146" s="72">
        <f>tabPontoPed[CÁLC_4M] - tabPontoPed[CÁLCULO]</f>
        <v>0</v>
      </c>
      <c r="AA146" s="79" t="str">
        <f>IF(tabPontoPed[MENSAL]-tabPontoPed[ATA MENSAL] = 0,"sim","")</f>
        <v/>
      </c>
      <c r="AB146" s="79"/>
      <c r="AC146" s="47" t="str">
        <f t="shared" si="2"/>
        <v>*</v>
      </c>
    </row>
    <row r="147" spans="1:29" x14ac:dyDescent="0.25">
      <c r="A147" s="36">
        <v>138456</v>
      </c>
      <c r="B147" s="68" t="s">
        <v>1532</v>
      </c>
      <c r="C147" s="33">
        <v>1</v>
      </c>
      <c r="D147" s="32">
        <v>45</v>
      </c>
      <c r="E147" s="37">
        <v>11</v>
      </c>
      <c r="F147" s="38" t="str">
        <f>VLOOKUP(tabPontoPed[[#This Row],[GRUPO]],tabGrupos[#Data],2,FALSE)</f>
        <v>MAQ., EQUIP., COMP., ACES., MAT. PARA ESCRIT.E ESCOLAR</v>
      </c>
      <c r="G147" s="32" t="str">
        <f>VLOOKUP(tabPontoPed[[#This Row],[GRUPO]],tabGrupos[#Data],3,FALSE)</f>
        <v>EDU</v>
      </c>
      <c r="H147" s="33" t="s">
        <v>1311</v>
      </c>
      <c r="I147" s="80">
        <v>4</v>
      </c>
      <c r="J147" s="39">
        <v>13692</v>
      </c>
      <c r="K147" s="41">
        <f>tabPontoPed[[#This Row],[QTDMÊS]] * tabPontoPed[[#This Row],[MENSAL]]</f>
        <v>54768</v>
      </c>
      <c r="L147" s="83"/>
      <c r="M147" s="81"/>
      <c r="N147" s="34" t="s">
        <v>1009</v>
      </c>
      <c r="O147" s="76"/>
      <c r="P147" s="77">
        <v>0</v>
      </c>
      <c r="Q147" s="57">
        <v>200</v>
      </c>
      <c r="R147" s="42">
        <v>3429</v>
      </c>
      <c r="S147" s="69" t="str">
        <f>_xlfn.IFNA(IF(VLOOKUP(tabPontoPed[[#This Row],[CÓDIGO]],tabExcluirDoEstoque[#Data],1,FALSE),"sim",""),"")</f>
        <v/>
      </c>
      <c r="T147" s="43">
        <f>IF(AND(tabPontoPed[[#This Row],[MENSAL]]&gt;0,tabPontoPed[[#This Row],[CÁLCULO]]&gt;0), ABS( tabPontoPed[[#This Row],[MENSAL]] - tabPontoPed[[#This Row],[CÁLCULO]] ) / tabPontoPed[[#This Row],[MENSAL]], -1 )</f>
        <v>0.74956178790534622</v>
      </c>
      <c r="U147" s="58">
        <v>38881</v>
      </c>
      <c r="V147" s="35">
        <f>IF(AND(tabPontoPed[[#This Row],[MENSAL]]&gt;0,tabPontoPed[[#This Row],[CÁLCULO]]&gt;0), IF( tabPontoPed[[#This Row],[MENSAL]] - tabPontoPed[[#This Row],[CÁLCULO]] &lt; 0, -1, IF( tabPontoPed[[#This Row],[MENSAL]] - tabPontoPed[[#This Row],[CÁLCULO]] &gt; 0, 1, -8)), -9 )</f>
        <v>1</v>
      </c>
      <c r="W147" s="35"/>
      <c r="X147" s="49" t="s">
        <v>1564</v>
      </c>
      <c r="Y147" s="51">
        <v>44391.599108796298</v>
      </c>
      <c r="Z147" s="72">
        <f>tabPontoPed[CÁLC_4M] - tabPontoPed[CÁLCULO]</f>
        <v>-3229</v>
      </c>
      <c r="AA147" s="79" t="str">
        <f>IF(tabPontoPed[MENSAL]-tabPontoPed[ATA MENSAL] = 0,"sim","")</f>
        <v/>
      </c>
      <c r="AB147" s="79"/>
      <c r="AC147" s="47" t="str">
        <f t="shared" si="2"/>
        <v>*</v>
      </c>
    </row>
    <row r="148" spans="1:29" x14ac:dyDescent="0.25">
      <c r="A148" s="36">
        <v>113581</v>
      </c>
      <c r="B148" s="68" t="s">
        <v>324</v>
      </c>
      <c r="C148" s="33" t="s">
        <v>1317</v>
      </c>
      <c r="D148" s="32">
        <v>61</v>
      </c>
      <c r="E148" s="37">
        <v>15</v>
      </c>
      <c r="F148" s="38" t="str">
        <f>VLOOKUP(tabPontoPed[[#This Row],[GRUPO]],tabGrupos[#Data],2,FALSE)</f>
        <v>MATERIAL HIDRAULICO, CANOS, TUBOS, MANGUEIRAS, CONEXOES E ACESS.</v>
      </c>
      <c r="G148" s="32" t="str">
        <f>VLOOKUP(tabPontoPed[[#This Row],[GRUPO]],tabGrupos[#Data],3,FALSE)</f>
        <v>MHI</v>
      </c>
      <c r="H148" s="33" t="s">
        <v>1311</v>
      </c>
      <c r="I148" s="80">
        <v>4</v>
      </c>
      <c r="J148" s="39">
        <v>71</v>
      </c>
      <c r="K148" s="41">
        <f>tabPontoPed[[#This Row],[QTDMÊS]] * tabPontoPed[[#This Row],[MENSAL]]</f>
        <v>284</v>
      </c>
      <c r="L148" s="83"/>
      <c r="M148" s="81"/>
      <c r="N148" s="34" t="s">
        <v>1009</v>
      </c>
      <c r="O148" s="76" t="s">
        <v>1679</v>
      </c>
      <c r="P148" s="77">
        <v>0</v>
      </c>
      <c r="Q148" s="57">
        <v>10</v>
      </c>
      <c r="R148" s="42">
        <v>18</v>
      </c>
      <c r="S148" s="69" t="str">
        <f>_xlfn.IFNA(IF(VLOOKUP(tabPontoPed[[#This Row],[CÓDIGO]],tabExcluirDoEstoque[#Data],1,FALSE),"sim",""),"")</f>
        <v/>
      </c>
      <c r="T148" s="43">
        <f>IF(AND(tabPontoPed[[#This Row],[MENSAL]]&gt;0,tabPontoPed[[#This Row],[CÁLCULO]]&gt;0), ABS( tabPontoPed[[#This Row],[MENSAL]] - tabPontoPed[[#This Row],[CÁLCULO]] ) / tabPontoPed[[#This Row],[MENSAL]], -1 )</f>
        <v>0.74647887323943662</v>
      </c>
      <c r="U148" s="58">
        <v>56</v>
      </c>
      <c r="V148" s="35">
        <f>IF(AND(tabPontoPed[[#This Row],[MENSAL]]&gt;0,tabPontoPed[[#This Row],[CÁLCULO]]&gt;0), IF( tabPontoPed[[#This Row],[MENSAL]] - tabPontoPed[[#This Row],[CÁLCULO]] &lt; 0, -1, IF( tabPontoPed[[#This Row],[MENSAL]] - tabPontoPed[[#This Row],[CÁLCULO]] &gt; 0, 1, -8)), -9 )</f>
        <v>1</v>
      </c>
      <c r="W148" s="35"/>
      <c r="X148" s="48" t="s">
        <v>1564</v>
      </c>
      <c r="Y148" s="53">
        <v>44391.599108796298</v>
      </c>
      <c r="Z148" s="72">
        <f>tabPontoPed[CÁLC_4M] - tabPontoPed[CÁLCULO]</f>
        <v>-8</v>
      </c>
      <c r="AA148" s="79" t="str">
        <f>IF(tabPontoPed[MENSAL]-tabPontoPed[ATA MENSAL] = 0,"sim","")</f>
        <v/>
      </c>
      <c r="AB148" s="79"/>
      <c r="AC148" s="47" t="str">
        <f t="shared" si="2"/>
        <v>*</v>
      </c>
    </row>
    <row r="149" spans="1:29" x14ac:dyDescent="0.25">
      <c r="A149" s="36">
        <v>14013</v>
      </c>
      <c r="B149" s="68" t="s">
        <v>34</v>
      </c>
      <c r="C149" s="33" t="s">
        <v>1317</v>
      </c>
      <c r="D149" s="32">
        <v>55</v>
      </c>
      <c r="E149" s="37">
        <v>46</v>
      </c>
      <c r="F149" s="38" t="str">
        <f>VLOOKUP(tabPontoPed[[#This Row],[GRUPO]],tabGrupos[#Data],2,FALSE)</f>
        <v>EQUIP. MAT. P/ GERACAO, TRANSM. DISTR. RETIF...</v>
      </c>
      <c r="G149" s="32" t="str">
        <f>VLOOKUP(tabPontoPed[[#This Row],[GRUPO]],tabGrupos[#Data],3,FALSE)</f>
        <v>MEL</v>
      </c>
      <c r="H149" s="33" t="s">
        <v>1311</v>
      </c>
      <c r="I149" s="80">
        <v>4</v>
      </c>
      <c r="J149" s="39">
        <v>76</v>
      </c>
      <c r="K149" s="41">
        <f>tabPontoPed[[#This Row],[QTDMÊS]] * tabPontoPed[[#This Row],[MENSAL]]</f>
        <v>304</v>
      </c>
      <c r="L149" s="83"/>
      <c r="M149" s="81"/>
      <c r="N149" s="34" t="s">
        <v>1009</v>
      </c>
      <c r="O149" s="76" t="s">
        <v>1676</v>
      </c>
      <c r="P149" s="77">
        <v>0</v>
      </c>
      <c r="Q149" s="57">
        <v>10</v>
      </c>
      <c r="R149" s="42">
        <v>20</v>
      </c>
      <c r="S149" s="69" t="str">
        <f>_xlfn.IFNA(IF(VLOOKUP(tabPontoPed[[#This Row],[CÓDIGO]],tabExcluirDoEstoque[#Data],1,FALSE),"sim",""),"")</f>
        <v/>
      </c>
      <c r="T149" s="43">
        <f>IF(AND(tabPontoPed[[#This Row],[MENSAL]]&gt;0,tabPontoPed[[#This Row],[CÁLCULO]]&gt;0), ABS( tabPontoPed[[#This Row],[MENSAL]] - tabPontoPed[[#This Row],[CÁLCULO]] ) / tabPontoPed[[#This Row],[MENSAL]], -1 )</f>
        <v>0.73684210526315785</v>
      </c>
      <c r="U149" s="58">
        <v>100</v>
      </c>
      <c r="V149" s="35">
        <f>IF(AND(tabPontoPed[[#This Row],[MENSAL]]&gt;0,tabPontoPed[[#This Row],[CÁLCULO]]&gt;0), IF( tabPontoPed[[#This Row],[MENSAL]] - tabPontoPed[[#This Row],[CÁLCULO]] &lt; 0, -1, IF( tabPontoPed[[#This Row],[MENSAL]] - tabPontoPed[[#This Row],[CÁLCULO]] &gt; 0, 1, -8)), -9 )</f>
        <v>1</v>
      </c>
      <c r="W149" s="35"/>
      <c r="X149" s="48" t="s">
        <v>1564</v>
      </c>
      <c r="Y149" s="53">
        <v>44391.599108796298</v>
      </c>
      <c r="Z149" s="72">
        <f>tabPontoPed[CÁLC_4M] - tabPontoPed[CÁLCULO]</f>
        <v>-10</v>
      </c>
      <c r="AA149" s="79" t="str">
        <f>IF(tabPontoPed[MENSAL]-tabPontoPed[ATA MENSAL] = 0,"sim","")</f>
        <v/>
      </c>
      <c r="AB149" s="79"/>
      <c r="AC149" s="47" t="str">
        <f t="shared" si="2"/>
        <v>*</v>
      </c>
    </row>
    <row r="150" spans="1:29" x14ac:dyDescent="0.25">
      <c r="A150" s="36">
        <v>112109</v>
      </c>
      <c r="B150" s="68" t="s">
        <v>101</v>
      </c>
      <c r="C150" s="33" t="s">
        <v>1317</v>
      </c>
      <c r="D150" s="32">
        <v>72</v>
      </c>
      <c r="E150" s="37">
        <v>8</v>
      </c>
      <c r="F150" s="38" t="str">
        <f>VLOOKUP(tabPontoPed[[#This Row],[GRUPO]],tabGrupos[#Data],2,FALSE)</f>
        <v>MAQ.EQUIP.E MATERIAIS P/ HIGIEN.LIMP.POLIM.E LUBR.</v>
      </c>
      <c r="G150" s="32" t="str">
        <f>VLOOKUP(tabPontoPed[[#This Row],[GRUPO]],tabGrupos[#Data],3,FALSE)</f>
        <v>ADM</v>
      </c>
      <c r="H150" s="33" t="s">
        <v>1321</v>
      </c>
      <c r="I150" s="80">
        <v>3</v>
      </c>
      <c r="J150" s="39">
        <v>1500</v>
      </c>
      <c r="K150" s="41">
        <f>tabPontoPed[[#This Row],[QTDMÊS]] * tabPontoPed[[#This Row],[MENSAL]]</f>
        <v>4500</v>
      </c>
      <c r="L150" s="83"/>
      <c r="M150" s="81"/>
      <c r="N150" s="34" t="s">
        <v>1009</v>
      </c>
      <c r="O150" s="76" t="s">
        <v>1716</v>
      </c>
      <c r="P150" s="77">
        <v>0</v>
      </c>
      <c r="Q150" s="57">
        <v>3140</v>
      </c>
      <c r="R150" s="42">
        <v>2604</v>
      </c>
      <c r="S150" s="69" t="str">
        <f>_xlfn.IFNA(IF(VLOOKUP(tabPontoPed[[#This Row],[CÓDIGO]],tabExcluirDoEstoque[#Data],1,FALSE),"sim",""),"")</f>
        <v/>
      </c>
      <c r="T150" s="43">
        <f>IF(AND(tabPontoPed[[#This Row],[MENSAL]]&gt;0,tabPontoPed[[#This Row],[CÁLCULO]]&gt;0), ABS( tabPontoPed[[#This Row],[MENSAL]] - tabPontoPed[[#This Row],[CÁLCULO]] ) / tabPontoPed[[#This Row],[MENSAL]], -1 )</f>
        <v>0.73599999999999999</v>
      </c>
      <c r="U150" s="58">
        <v>4345</v>
      </c>
      <c r="V150" s="35">
        <f>IF(AND(tabPontoPed[[#This Row],[MENSAL]]&gt;0,tabPontoPed[[#This Row],[CÁLCULO]]&gt;0), IF( tabPontoPed[[#This Row],[MENSAL]] - tabPontoPed[[#This Row],[CÁLCULO]] &lt; 0, -1, IF( tabPontoPed[[#This Row],[MENSAL]] - tabPontoPed[[#This Row],[CÁLCULO]] &gt; 0, 1, -8)), -9 )</f>
        <v>-1</v>
      </c>
      <c r="W150" s="35"/>
      <c r="X150" s="48" t="s">
        <v>1450</v>
      </c>
      <c r="Y150" s="53">
        <v>43956.628298611111</v>
      </c>
      <c r="Z150" s="72">
        <f>tabPontoPed[CÁLC_4M] - tabPontoPed[CÁLCULO]</f>
        <v>536</v>
      </c>
      <c r="AA150" s="79" t="str">
        <f>IF(tabPontoPed[MENSAL]-tabPontoPed[ATA MENSAL] = 0,"sim","")</f>
        <v/>
      </c>
      <c r="AB150" s="79" t="s">
        <v>1614</v>
      </c>
      <c r="AC150" s="47" t="str">
        <f t="shared" si="2"/>
        <v>*</v>
      </c>
    </row>
    <row r="151" spans="1:29" x14ac:dyDescent="0.25">
      <c r="A151" s="36">
        <v>98704</v>
      </c>
      <c r="B151" s="68" t="s">
        <v>100</v>
      </c>
      <c r="C151" s="33" t="s">
        <v>1317</v>
      </c>
      <c r="D151" s="32">
        <v>69</v>
      </c>
      <c r="E151" s="37">
        <v>3</v>
      </c>
      <c r="F151" s="38" t="str">
        <f>VLOOKUP(tabPontoPed[[#This Row],[GRUPO]],tabGrupos[#Data],2,FALSE)</f>
        <v>METAIS,LAMINAD.,PERFILADOS E ARTEFATOS METALICOS</v>
      </c>
      <c r="G151" s="32" t="str">
        <f>VLOOKUP(tabPontoPed[[#This Row],[GRUPO]],tabGrupos[#Data],3,FALSE)</f>
        <v>MSE</v>
      </c>
      <c r="H151" s="33" t="s">
        <v>1311</v>
      </c>
      <c r="I151" s="80">
        <v>4</v>
      </c>
      <c r="J151" s="39">
        <v>34</v>
      </c>
      <c r="K151" s="41">
        <f>tabPontoPed[[#This Row],[QTDMÊS]] * tabPontoPed[[#This Row],[MENSAL]]</f>
        <v>136</v>
      </c>
      <c r="L151" s="83"/>
      <c r="M151" s="81"/>
      <c r="N151" s="34" t="s">
        <v>1009</v>
      </c>
      <c r="O151" s="76" t="s">
        <v>1689</v>
      </c>
      <c r="P151" s="77">
        <v>0</v>
      </c>
      <c r="Q151" s="57">
        <v>15</v>
      </c>
      <c r="R151" s="42">
        <v>9</v>
      </c>
      <c r="S151" s="69" t="str">
        <f>_xlfn.IFNA(IF(VLOOKUP(tabPontoPed[[#This Row],[CÓDIGO]],tabExcluirDoEstoque[#Data],1,FALSE),"sim",""),"")</f>
        <v/>
      </c>
      <c r="T151" s="43">
        <f>IF(AND(tabPontoPed[[#This Row],[MENSAL]]&gt;0,tabPontoPed[[#This Row],[CÁLCULO]]&gt;0), ABS( tabPontoPed[[#This Row],[MENSAL]] - tabPontoPed[[#This Row],[CÁLCULO]] ) / tabPontoPed[[#This Row],[MENSAL]], -1 )</f>
        <v>0.73529411764705888</v>
      </c>
      <c r="U151" s="58">
        <v>39</v>
      </c>
      <c r="V151" s="35">
        <f>IF(AND(tabPontoPed[[#This Row],[MENSAL]]&gt;0,tabPontoPed[[#This Row],[CÁLCULO]]&gt;0), IF( tabPontoPed[[#This Row],[MENSAL]] - tabPontoPed[[#This Row],[CÁLCULO]] &lt; 0, -1, IF( tabPontoPed[[#This Row],[MENSAL]] - tabPontoPed[[#This Row],[CÁLCULO]] &gt; 0, 1, -8)), -9 )</f>
        <v>1</v>
      </c>
      <c r="W151" s="35"/>
      <c r="X151" s="48" t="s">
        <v>1564</v>
      </c>
      <c r="Y151" s="53">
        <v>44391.599108796298</v>
      </c>
      <c r="Z151" s="72">
        <f>tabPontoPed[CÁLC_4M] - tabPontoPed[CÁLCULO]</f>
        <v>6</v>
      </c>
      <c r="AA151" s="79" t="str">
        <f>IF(tabPontoPed[MENSAL]-tabPontoPed[ATA MENSAL] = 0,"sim","")</f>
        <v/>
      </c>
      <c r="AB151" s="79"/>
      <c r="AC151" s="47" t="str">
        <f t="shared" si="2"/>
        <v>*</v>
      </c>
    </row>
    <row r="152" spans="1:29" ht="18.75" x14ac:dyDescent="0.25">
      <c r="A152" s="36">
        <v>12847</v>
      </c>
      <c r="B152" s="68" t="s">
        <v>238</v>
      </c>
      <c r="C152" s="33" t="s">
        <v>1317</v>
      </c>
      <c r="D152" s="32">
        <v>76</v>
      </c>
      <c r="E152" s="37">
        <v>11</v>
      </c>
      <c r="F152" s="38" t="str">
        <f>VLOOKUP(tabPontoPed[[#This Row],[GRUPO]],tabGrupos[#Data],2,FALSE)</f>
        <v>EQUIP. E MATERIAIS P/PINTURAS E IMPERMEABILIZACAO</v>
      </c>
      <c r="G152" s="32" t="str">
        <f>VLOOKUP(tabPontoPed[[#This Row],[GRUPO]],tabGrupos[#Data],3,FALSE)</f>
        <v>MPI</v>
      </c>
      <c r="H152" s="33" t="s">
        <v>1311</v>
      </c>
      <c r="I152" s="80">
        <v>4</v>
      </c>
      <c r="J152" s="39">
        <v>220</v>
      </c>
      <c r="K152" s="41">
        <f>tabPontoPed[[#This Row],[QTDMÊS]] * tabPontoPed[[#This Row],[MENSAL]]</f>
        <v>880</v>
      </c>
      <c r="L152" s="83"/>
      <c r="M152" s="81"/>
      <c r="N152" s="34" t="s">
        <v>1009</v>
      </c>
      <c r="O152" s="76" t="s">
        <v>1658</v>
      </c>
      <c r="P152" s="77">
        <v>0</v>
      </c>
      <c r="Q152" s="57">
        <v>48</v>
      </c>
      <c r="R152" s="42">
        <v>381</v>
      </c>
      <c r="S152" s="69" t="str">
        <f>_xlfn.IFNA(IF(VLOOKUP(tabPontoPed[[#This Row],[CÓDIGO]],tabExcluirDoEstoque[#Data],1,FALSE),"sim",""),"")</f>
        <v/>
      </c>
      <c r="T152" s="43">
        <f>IF(AND(tabPontoPed[[#This Row],[MENSAL]]&gt;0,tabPontoPed[[#This Row],[CÁLCULO]]&gt;0), ABS( tabPontoPed[[#This Row],[MENSAL]] - tabPontoPed[[#This Row],[CÁLCULO]] ) / tabPontoPed[[#This Row],[MENSAL]], -1 )</f>
        <v>0.73181818181818181</v>
      </c>
      <c r="U152" s="58">
        <v>3965</v>
      </c>
      <c r="V152" s="35">
        <f>IF(AND(tabPontoPed[[#This Row],[MENSAL]]&gt;0,tabPontoPed[[#This Row],[CÁLCULO]]&gt;0), IF( tabPontoPed[[#This Row],[MENSAL]] - tabPontoPed[[#This Row],[CÁLCULO]] &lt; 0, -1, IF( tabPontoPed[[#This Row],[MENSAL]] - tabPontoPed[[#This Row],[CÁLCULO]] &gt; 0, 1, -8)), -9 )</f>
        <v>-1</v>
      </c>
      <c r="W152" s="45"/>
      <c r="X152" s="48" t="s">
        <v>1564</v>
      </c>
      <c r="Y152" s="53">
        <v>44391.599108796298</v>
      </c>
      <c r="Z152" s="72">
        <f>tabPontoPed[CÁLC_4M] - tabPontoPed[CÁLCULO]</f>
        <v>-333</v>
      </c>
      <c r="AA152" s="79" t="str">
        <f>IF(tabPontoPed[MENSAL]-tabPontoPed[ATA MENSAL] = 0,"sim","")</f>
        <v/>
      </c>
      <c r="AB152" s="79"/>
      <c r="AC152" s="47" t="str">
        <f t="shared" si="2"/>
        <v>*</v>
      </c>
    </row>
    <row r="153" spans="1:29" x14ac:dyDescent="0.25">
      <c r="A153" s="36">
        <v>83838</v>
      </c>
      <c r="B153" s="68" t="s">
        <v>574</v>
      </c>
      <c r="C153" s="33" t="s">
        <v>1317</v>
      </c>
      <c r="D153" s="32">
        <v>54</v>
      </c>
      <c r="E153" s="37">
        <v>4</v>
      </c>
      <c r="F153" s="38" t="str">
        <f>VLOOKUP(tabPontoPed[[#This Row],[GRUPO]],tabGrupos[#Data],2,FALSE)</f>
        <v>EQUIP PROT IND, INST MAT P/ SINAL, CONTR, COMB ...</v>
      </c>
      <c r="G153" s="32" t="str">
        <f>VLOOKUP(tabPontoPed[[#This Row],[GRUPO]],tabGrupos[#Data],3,FALSE)</f>
        <v>MAN</v>
      </c>
      <c r="H153" s="33" t="s">
        <v>1311</v>
      </c>
      <c r="I153" s="80">
        <v>4</v>
      </c>
      <c r="J153" s="39">
        <v>1501</v>
      </c>
      <c r="K153" s="41">
        <f>tabPontoPed[[#This Row],[QTDMÊS]] * tabPontoPed[[#This Row],[MENSAL]]</f>
        <v>6004</v>
      </c>
      <c r="L153" s="83"/>
      <c r="M153" s="81"/>
      <c r="N153" s="34" t="s">
        <v>1009</v>
      </c>
      <c r="O153" s="76" t="s">
        <v>1759</v>
      </c>
      <c r="P153" s="77">
        <v>0</v>
      </c>
      <c r="Q153" s="57">
        <v>1</v>
      </c>
      <c r="R153" s="42">
        <v>407</v>
      </c>
      <c r="S153" s="69" t="str">
        <f>_xlfn.IFNA(IF(VLOOKUP(tabPontoPed[[#This Row],[CÓDIGO]],tabExcluirDoEstoque[#Data],1,FALSE),"sim",""),"")</f>
        <v/>
      </c>
      <c r="T153" s="43">
        <f>IF(AND(tabPontoPed[[#This Row],[MENSAL]]&gt;0,tabPontoPed[[#This Row],[CÁLCULO]]&gt;0), ABS( tabPontoPed[[#This Row],[MENSAL]] - tabPontoPed[[#This Row],[CÁLCULO]] ) / tabPontoPed[[#This Row],[MENSAL]], -1 )</f>
        <v>0.72884743504330451</v>
      </c>
      <c r="U153" s="58">
        <v>1328</v>
      </c>
      <c r="V153" s="35">
        <f>IF(AND(tabPontoPed[[#This Row],[MENSAL]]&gt;0,tabPontoPed[[#This Row],[CÁLCULO]]&gt;0), IF( tabPontoPed[[#This Row],[MENSAL]] - tabPontoPed[[#This Row],[CÁLCULO]] &lt; 0, -1, IF( tabPontoPed[[#This Row],[MENSAL]] - tabPontoPed[[#This Row],[CÁLCULO]] &gt; 0, 1, -8)), -9 )</f>
        <v>1</v>
      </c>
      <c r="W153" s="35"/>
      <c r="X153" s="48" t="s">
        <v>1564</v>
      </c>
      <c r="Y153" s="53">
        <v>44391.599108796298</v>
      </c>
      <c r="Z153" s="72">
        <f>tabPontoPed[CÁLC_4M] - tabPontoPed[CÁLCULO]</f>
        <v>-406</v>
      </c>
      <c r="AA153" s="79" t="str">
        <f>IF(tabPontoPed[MENSAL]-tabPontoPed[ATA MENSAL] = 0,"sim","")</f>
        <v/>
      </c>
      <c r="AB153" s="79"/>
      <c r="AC153" s="47" t="str">
        <f t="shared" si="2"/>
        <v>*</v>
      </c>
    </row>
    <row r="154" spans="1:29" x14ac:dyDescent="0.25">
      <c r="A154" s="36">
        <v>67376</v>
      </c>
      <c r="B154" s="68" t="s">
        <v>1520</v>
      </c>
      <c r="C154" s="33">
        <v>1</v>
      </c>
      <c r="D154" s="32">
        <v>51</v>
      </c>
      <c r="E154" s="37">
        <v>17</v>
      </c>
      <c r="F154" s="38" t="str">
        <f>VLOOKUP(tabPontoPed[[#This Row],[GRUPO]],tabGrupos[#Data],2,FALSE)</f>
        <v>MAT.E EQUIP. P/ CONSTR.CIVIL E CONSERV. DE VIAS PUBL.</v>
      </c>
      <c r="G154" s="32" t="str">
        <f>VLOOKUP(tabPontoPed[[#This Row],[GRUPO]],tabGrupos[#Data],3,FALSE)</f>
        <v>MCO</v>
      </c>
      <c r="H154" s="33" t="s">
        <v>1311</v>
      </c>
      <c r="I154" s="80">
        <v>4</v>
      </c>
      <c r="J154" s="39">
        <v>11</v>
      </c>
      <c r="K154" s="41">
        <f>tabPontoPed[[#This Row],[QTDMÊS]] * tabPontoPed[[#This Row],[MENSAL]]</f>
        <v>44</v>
      </c>
      <c r="L154" s="83"/>
      <c r="M154" s="81"/>
      <c r="N154" s="34" t="s">
        <v>1009</v>
      </c>
      <c r="O154" s="76" t="s">
        <v>1689</v>
      </c>
      <c r="P154" s="77">
        <v>0</v>
      </c>
      <c r="Q154" s="57">
        <v>7</v>
      </c>
      <c r="R154" s="42">
        <v>3</v>
      </c>
      <c r="S154" s="69" t="str">
        <f>_xlfn.IFNA(IF(VLOOKUP(tabPontoPed[[#This Row],[CÓDIGO]],tabExcluirDoEstoque[#Data],1,FALSE),"sim",""),"")</f>
        <v/>
      </c>
      <c r="T154" s="43">
        <f>IF(AND(tabPontoPed[[#This Row],[MENSAL]]&gt;0,tabPontoPed[[#This Row],[CÁLCULO]]&gt;0), ABS( tabPontoPed[[#This Row],[MENSAL]] - tabPontoPed[[#This Row],[CÁLCULO]] ) / tabPontoPed[[#This Row],[MENSAL]], -1 )</f>
        <v>0.72727272727272729</v>
      </c>
      <c r="U154" s="58">
        <v>16</v>
      </c>
      <c r="V154" s="35">
        <f>IF(AND(tabPontoPed[[#This Row],[MENSAL]]&gt;0,tabPontoPed[[#This Row],[CÁLCULO]]&gt;0), IF( tabPontoPed[[#This Row],[MENSAL]] - tabPontoPed[[#This Row],[CÁLCULO]] &lt; 0, -1, IF( tabPontoPed[[#This Row],[MENSAL]] - tabPontoPed[[#This Row],[CÁLCULO]] &gt; 0, 1, -8)), -9 )</f>
        <v>1</v>
      </c>
      <c r="W154" s="35"/>
      <c r="X154" s="49" t="s">
        <v>1564</v>
      </c>
      <c r="Y154" s="51">
        <v>44391.599108796298</v>
      </c>
      <c r="Z154" s="72">
        <f>tabPontoPed[CÁLC_4M] - tabPontoPed[CÁLCULO]</f>
        <v>4</v>
      </c>
      <c r="AA154" s="79" t="str">
        <f>IF(tabPontoPed[MENSAL]-tabPontoPed[ATA MENSAL] = 0,"sim","")</f>
        <v/>
      </c>
      <c r="AB154" s="79"/>
      <c r="AC154" s="47" t="str">
        <f t="shared" si="2"/>
        <v>*</v>
      </c>
    </row>
    <row r="155" spans="1:29" x14ac:dyDescent="0.25">
      <c r="A155" s="36">
        <v>89865</v>
      </c>
      <c r="B155" s="68" t="s">
        <v>823</v>
      </c>
      <c r="C155" s="33" t="s">
        <v>1317</v>
      </c>
      <c r="D155" s="32">
        <v>67</v>
      </c>
      <c r="E155" s="37">
        <v>3</v>
      </c>
      <c r="F155" s="38" t="str">
        <f>VLOOKUP(tabPontoPed[[#This Row],[GRUPO]],tabGrupos[#Data],2,FALSE)</f>
        <v>PARAFUSOS ELEM. VEDACAO UNIAO CONEX . FIXACAO</v>
      </c>
      <c r="G155" s="32" t="str">
        <f>VLOOKUP(tabPontoPed[[#This Row],[GRUPO]],tabGrupos[#Data],3,FALSE)</f>
        <v>MSE</v>
      </c>
      <c r="H155" s="33" t="s">
        <v>1311</v>
      </c>
      <c r="I155" s="80">
        <v>4</v>
      </c>
      <c r="J155" s="39">
        <v>11</v>
      </c>
      <c r="K155" s="41">
        <f>tabPontoPed[[#This Row],[QTDMÊS]] * tabPontoPed[[#This Row],[MENSAL]]</f>
        <v>44</v>
      </c>
      <c r="L155" s="83"/>
      <c r="M155" s="81"/>
      <c r="N155" s="34" t="s">
        <v>1009</v>
      </c>
      <c r="O155" s="76"/>
      <c r="P155" s="77">
        <v>0</v>
      </c>
      <c r="Q155" s="57">
        <v>7</v>
      </c>
      <c r="R155" s="42">
        <v>3</v>
      </c>
      <c r="S155" s="69" t="str">
        <f>_xlfn.IFNA(IF(VLOOKUP(tabPontoPed[[#This Row],[CÓDIGO]],tabExcluirDoEstoque[#Data],1,FALSE),"sim",""),"")</f>
        <v/>
      </c>
      <c r="T155" s="43">
        <f>IF(AND(tabPontoPed[[#This Row],[MENSAL]]&gt;0,tabPontoPed[[#This Row],[CÁLCULO]]&gt;0), ABS( tabPontoPed[[#This Row],[MENSAL]] - tabPontoPed[[#This Row],[CÁLCULO]] ) / tabPontoPed[[#This Row],[MENSAL]], -1 )</f>
        <v>0.72727272727272729</v>
      </c>
      <c r="U155" s="58">
        <v>10</v>
      </c>
      <c r="V155" s="35">
        <f>IF(AND(tabPontoPed[[#This Row],[MENSAL]]&gt;0,tabPontoPed[[#This Row],[CÁLCULO]]&gt;0), IF( tabPontoPed[[#This Row],[MENSAL]] - tabPontoPed[[#This Row],[CÁLCULO]] &lt; 0, -1, IF( tabPontoPed[[#This Row],[MENSAL]] - tabPontoPed[[#This Row],[CÁLCULO]] &gt; 0, 1, -8)), -9 )</f>
        <v>1</v>
      </c>
      <c r="W155" s="35"/>
      <c r="X155" s="49" t="s">
        <v>1564</v>
      </c>
      <c r="Y155" s="51">
        <v>44391.599108796298</v>
      </c>
      <c r="Z155" s="72">
        <f>tabPontoPed[CÁLC_4M] - tabPontoPed[CÁLCULO]</f>
        <v>4</v>
      </c>
      <c r="AA155" s="79" t="str">
        <f>IF(tabPontoPed[MENSAL]-tabPontoPed[ATA MENSAL] = 0,"sim","")</f>
        <v/>
      </c>
      <c r="AB155" s="79"/>
      <c r="AC155" s="47" t="str">
        <f t="shared" si="2"/>
        <v>*</v>
      </c>
    </row>
    <row r="156" spans="1:29" x14ac:dyDescent="0.25">
      <c r="A156" s="36">
        <v>122305</v>
      </c>
      <c r="B156" s="68" t="s">
        <v>989</v>
      </c>
      <c r="C156" s="33" t="s">
        <v>1317</v>
      </c>
      <c r="D156" s="32">
        <v>83</v>
      </c>
      <c r="E156" s="37">
        <v>4</v>
      </c>
      <c r="F156" s="38" t="str">
        <f>VLOOKUP(tabPontoPed[[#This Row],[GRUPO]],tabGrupos[#Data],2,FALSE)</f>
        <v>ABRASIVOS</v>
      </c>
      <c r="G156" s="32" t="str">
        <f>VLOOKUP(tabPontoPed[[#This Row],[GRUPO]],tabGrupos[#Data],3,FALSE)</f>
        <v>MAN</v>
      </c>
      <c r="H156" s="33" t="s">
        <v>1311</v>
      </c>
      <c r="I156" s="80">
        <v>4</v>
      </c>
      <c r="J156" s="39">
        <v>100</v>
      </c>
      <c r="K156" s="41">
        <f>tabPontoPed[[#This Row],[QTDMÊS]] * tabPontoPed[[#This Row],[MENSAL]]</f>
        <v>400</v>
      </c>
      <c r="L156" s="83"/>
      <c r="M156" s="81"/>
      <c r="N156" s="34" t="s">
        <v>1009</v>
      </c>
      <c r="O156" s="76" t="s">
        <v>1699</v>
      </c>
      <c r="P156" s="77">
        <v>0</v>
      </c>
      <c r="Q156" s="57">
        <v>21</v>
      </c>
      <c r="R156" s="42">
        <v>28</v>
      </c>
      <c r="S156" s="69" t="str">
        <f>_xlfn.IFNA(IF(VLOOKUP(tabPontoPed[[#This Row],[CÓDIGO]],tabExcluirDoEstoque[#Data],1,FALSE),"sim",""),"")</f>
        <v/>
      </c>
      <c r="T156" s="43">
        <f>IF(AND(tabPontoPed[[#This Row],[MENSAL]]&gt;0,tabPontoPed[[#This Row],[CÁLCULO]]&gt;0), ABS( tabPontoPed[[#This Row],[MENSAL]] - tabPontoPed[[#This Row],[CÁLCULO]] ) / tabPontoPed[[#This Row],[MENSAL]], -1 )</f>
        <v>0.72</v>
      </c>
      <c r="U156" s="58">
        <v>61</v>
      </c>
      <c r="V156" s="35">
        <f>IF(AND(tabPontoPed[[#This Row],[MENSAL]]&gt;0,tabPontoPed[[#This Row],[CÁLCULO]]&gt;0), IF( tabPontoPed[[#This Row],[MENSAL]] - tabPontoPed[[#This Row],[CÁLCULO]] &lt; 0, -1, IF( tabPontoPed[[#This Row],[MENSAL]] - tabPontoPed[[#This Row],[CÁLCULO]] &gt; 0, 1, -8)), -9 )</f>
        <v>1</v>
      </c>
      <c r="W156" s="35"/>
      <c r="X156" s="49" t="s">
        <v>1564</v>
      </c>
      <c r="Y156" s="51">
        <v>44391.599108796298</v>
      </c>
      <c r="Z156" s="72">
        <f>tabPontoPed[CÁLC_4M] - tabPontoPed[CÁLCULO]</f>
        <v>-7</v>
      </c>
      <c r="AA156" s="79" t="str">
        <f>IF(tabPontoPed[MENSAL]-tabPontoPed[ATA MENSAL] = 0,"sim","")</f>
        <v/>
      </c>
      <c r="AB156" s="79"/>
      <c r="AC156" s="47" t="str">
        <f t="shared" si="2"/>
        <v>*</v>
      </c>
    </row>
    <row r="157" spans="1:29" x14ac:dyDescent="0.25">
      <c r="A157" s="36">
        <v>112156</v>
      </c>
      <c r="B157" s="68" t="s">
        <v>675</v>
      </c>
      <c r="C157" s="33" t="s">
        <v>1317</v>
      </c>
      <c r="D157" s="32">
        <v>55</v>
      </c>
      <c r="E157" s="37">
        <v>37</v>
      </c>
      <c r="F157" s="38" t="str">
        <f>VLOOKUP(tabPontoPed[[#This Row],[GRUPO]],tabGrupos[#Data],2,FALSE)</f>
        <v>EQUIP. MAT. P/ GERACAO, TRANSM. DISTR. RETIF...</v>
      </c>
      <c r="G157" s="32" t="str">
        <f>VLOOKUP(tabPontoPed[[#This Row],[GRUPO]],tabGrupos[#Data],3,FALSE)</f>
        <v>MEL</v>
      </c>
      <c r="H157" s="33" t="s">
        <v>1311</v>
      </c>
      <c r="I157" s="80">
        <v>4</v>
      </c>
      <c r="J157" s="39">
        <v>50</v>
      </c>
      <c r="K157" s="41">
        <f>tabPontoPed[[#This Row],[QTDMÊS]] * tabPontoPed[[#This Row],[MENSAL]]</f>
        <v>200</v>
      </c>
      <c r="L157" s="83"/>
      <c r="M157" s="81"/>
      <c r="N157" s="34" t="s">
        <v>1009</v>
      </c>
      <c r="O157" s="76" t="s">
        <v>1715</v>
      </c>
      <c r="P157" s="77">
        <v>0</v>
      </c>
      <c r="Q157" s="57">
        <v>7</v>
      </c>
      <c r="R157" s="42">
        <v>14</v>
      </c>
      <c r="S157" s="69" t="str">
        <f>_xlfn.IFNA(IF(VLOOKUP(tabPontoPed[[#This Row],[CÓDIGO]],tabExcluirDoEstoque[#Data],1,FALSE),"sim",""),"")</f>
        <v/>
      </c>
      <c r="T157" s="43">
        <f>IF(AND(tabPontoPed[[#This Row],[MENSAL]]&gt;0,tabPontoPed[[#This Row],[CÁLCULO]]&gt;0), ABS( tabPontoPed[[#This Row],[MENSAL]] - tabPontoPed[[#This Row],[CÁLCULO]] ) / tabPontoPed[[#This Row],[MENSAL]], -1 )</f>
        <v>0.72</v>
      </c>
      <c r="U157" s="58">
        <v>68</v>
      </c>
      <c r="V157" s="35">
        <f>IF(AND(tabPontoPed[[#This Row],[MENSAL]]&gt;0,tabPontoPed[[#This Row],[CÁLCULO]]&gt;0), IF( tabPontoPed[[#This Row],[MENSAL]] - tabPontoPed[[#This Row],[CÁLCULO]] &lt; 0, -1, IF( tabPontoPed[[#This Row],[MENSAL]] - tabPontoPed[[#This Row],[CÁLCULO]] &gt; 0, 1, -8)), -9 )</f>
        <v>1</v>
      </c>
      <c r="W157" s="35"/>
      <c r="X157" s="49" t="s">
        <v>1564</v>
      </c>
      <c r="Y157" s="51">
        <v>44391.599108796298</v>
      </c>
      <c r="Z157" s="72">
        <f>tabPontoPed[CÁLC_4M] - tabPontoPed[CÁLCULO]</f>
        <v>-7</v>
      </c>
      <c r="AA157" s="79" t="str">
        <f>IF(tabPontoPed[MENSAL]-tabPontoPed[ATA MENSAL] = 0,"sim","")</f>
        <v/>
      </c>
      <c r="AB157" s="79"/>
      <c r="AC157" s="47" t="str">
        <f t="shared" si="2"/>
        <v>*</v>
      </c>
    </row>
    <row r="158" spans="1:29" x14ac:dyDescent="0.25">
      <c r="A158" s="36">
        <v>136553</v>
      </c>
      <c r="B158" s="68" t="s">
        <v>1480</v>
      </c>
      <c r="C158" s="33" t="s">
        <v>1317</v>
      </c>
      <c r="D158" s="32">
        <v>51</v>
      </c>
      <c r="E158" s="37">
        <v>10</v>
      </c>
      <c r="F158" s="38" t="str">
        <f>VLOOKUP(tabPontoPed[[#This Row],[GRUPO]],tabGrupos[#Data],2,FALSE)</f>
        <v>MAT.E EQUIP. P/ CONSTR.CIVIL E CONSERV. DE VIAS PUBL.</v>
      </c>
      <c r="G158" s="32" t="str">
        <f>VLOOKUP(tabPontoPed[[#This Row],[GRUPO]],tabGrupos[#Data],3,FALSE)</f>
        <v>MCO</v>
      </c>
      <c r="H158" s="33" t="s">
        <v>1311</v>
      </c>
      <c r="I158" s="80">
        <v>4</v>
      </c>
      <c r="J158" s="39">
        <v>478</v>
      </c>
      <c r="K158" s="41">
        <f>tabPontoPed[[#This Row],[QTDMÊS]] * tabPontoPed[[#This Row],[MENSAL]]</f>
        <v>1912</v>
      </c>
      <c r="L158" s="83"/>
      <c r="M158" s="81"/>
      <c r="N158" s="34" t="s">
        <v>1009</v>
      </c>
      <c r="O158" s="76" t="s">
        <v>1702</v>
      </c>
      <c r="P158" s="77">
        <v>0</v>
      </c>
      <c r="Q158" s="57">
        <v>125</v>
      </c>
      <c r="R158" s="42">
        <v>134</v>
      </c>
      <c r="S158" s="69" t="str">
        <f>_xlfn.IFNA(IF(VLOOKUP(tabPontoPed[[#This Row],[CÓDIGO]],tabExcluirDoEstoque[#Data],1,FALSE),"sim",""),"")</f>
        <v/>
      </c>
      <c r="T158" s="43">
        <f>IF(AND(tabPontoPed[[#This Row],[MENSAL]]&gt;0,tabPontoPed[[#This Row],[CÁLCULO]]&gt;0), ABS( tabPontoPed[[#This Row],[MENSAL]] - tabPontoPed[[#This Row],[CÁLCULO]] ) / tabPontoPed[[#This Row],[MENSAL]], -1 )</f>
        <v>0.71966527196652719</v>
      </c>
      <c r="U158" s="58">
        <v>500</v>
      </c>
      <c r="V158" s="70">
        <f>IF(AND(tabPontoPed[[#This Row],[MENSAL]]&gt;0,tabPontoPed[[#This Row],[CÁLCULO]]&gt;0), IF( tabPontoPed[[#This Row],[MENSAL]] - tabPontoPed[[#This Row],[CÁLCULO]] &lt; 0, -1, IF( tabPontoPed[[#This Row],[MENSAL]] - tabPontoPed[[#This Row],[CÁLCULO]] &gt; 0, 1, -8)), -9 )</f>
        <v>1</v>
      </c>
      <c r="W158" s="70"/>
      <c r="X158" s="48" t="s">
        <v>1564</v>
      </c>
      <c r="Y158" s="53">
        <v>44391.599108796298</v>
      </c>
      <c r="Z158" s="72">
        <f>tabPontoPed[CÁLC_4M] - tabPontoPed[CÁLCULO]</f>
        <v>-9</v>
      </c>
      <c r="AA158" s="79" t="str">
        <f>IF(tabPontoPed[MENSAL]-tabPontoPed[ATA MENSAL] = 0,"sim","")</f>
        <v/>
      </c>
      <c r="AB158" s="79"/>
      <c r="AC158" s="47" t="str">
        <f t="shared" si="2"/>
        <v>*</v>
      </c>
    </row>
    <row r="159" spans="1:29" x14ac:dyDescent="0.25">
      <c r="A159" s="36">
        <v>77819</v>
      </c>
      <c r="B159" s="68" t="s">
        <v>567</v>
      </c>
      <c r="C159" s="33" t="s">
        <v>1317</v>
      </c>
      <c r="D159" s="32">
        <v>52</v>
      </c>
      <c r="E159" s="37">
        <v>15</v>
      </c>
      <c r="F159" s="38" t="str">
        <f>VLOOKUP(tabPontoPed[[#This Row],[GRUPO]],tabGrupos[#Data],2,FALSE)</f>
        <v>EQUIP.E MAT. P/REFEITORIO, COPA E COZINHA</v>
      </c>
      <c r="G159" s="32" t="str">
        <f>VLOOKUP(tabPontoPed[[#This Row],[GRUPO]],tabGrupos[#Data],3,FALSE)</f>
        <v>ADM</v>
      </c>
      <c r="H159" s="33" t="s">
        <v>1311</v>
      </c>
      <c r="I159" s="80">
        <v>4</v>
      </c>
      <c r="J159" s="39">
        <v>123</v>
      </c>
      <c r="K159" s="41">
        <f>tabPontoPed[[#This Row],[QTDMÊS]] * tabPontoPed[[#This Row],[MENSAL]]</f>
        <v>492</v>
      </c>
      <c r="L159" s="83"/>
      <c r="M159" s="81"/>
      <c r="N159" s="34" t="s">
        <v>1009</v>
      </c>
      <c r="O159" s="76" t="s">
        <v>1747</v>
      </c>
      <c r="P159" s="77">
        <v>0</v>
      </c>
      <c r="Q159" s="57">
        <v>331</v>
      </c>
      <c r="R159" s="42">
        <v>211</v>
      </c>
      <c r="S159" s="69" t="str">
        <f>_xlfn.IFNA(IF(VLOOKUP(tabPontoPed[[#This Row],[CÓDIGO]],tabExcluirDoEstoque[#Data],1,FALSE),"sim",""),"")</f>
        <v/>
      </c>
      <c r="T159" s="43">
        <f>IF(AND(tabPontoPed[[#This Row],[MENSAL]]&gt;0,tabPontoPed[[#This Row],[CÁLCULO]]&gt;0), ABS( tabPontoPed[[#This Row],[MENSAL]] - tabPontoPed[[#This Row],[CÁLCULO]] ) / tabPontoPed[[#This Row],[MENSAL]], -1 )</f>
        <v>0.71544715447154472</v>
      </c>
      <c r="U159" s="58">
        <v>363</v>
      </c>
      <c r="V159" s="35">
        <f>IF(AND(tabPontoPed[[#This Row],[MENSAL]]&gt;0,tabPontoPed[[#This Row],[CÁLCULO]]&gt;0), IF( tabPontoPed[[#This Row],[MENSAL]] - tabPontoPed[[#This Row],[CÁLCULO]] &lt; 0, -1, IF( tabPontoPed[[#This Row],[MENSAL]] - tabPontoPed[[#This Row],[CÁLCULO]] &gt; 0, 1, -8)), -9 )</f>
        <v>-1</v>
      </c>
      <c r="W159" s="35"/>
      <c r="X159" s="48" t="s">
        <v>1564</v>
      </c>
      <c r="Y159" s="53">
        <v>44391.599108796298</v>
      </c>
      <c r="Z159" s="72">
        <f>tabPontoPed[CÁLC_4M] - tabPontoPed[CÁLCULO]</f>
        <v>120</v>
      </c>
      <c r="AA159" s="79" t="str">
        <f>IF(tabPontoPed[MENSAL]-tabPontoPed[ATA MENSAL] = 0,"sim","")</f>
        <v/>
      </c>
      <c r="AB159" s="79"/>
      <c r="AC159" s="47" t="str">
        <f t="shared" si="2"/>
        <v>*</v>
      </c>
    </row>
    <row r="160" spans="1:29" x14ac:dyDescent="0.25">
      <c r="A160" s="36">
        <v>20001</v>
      </c>
      <c r="B160" s="68" t="s">
        <v>908</v>
      </c>
      <c r="C160" s="33" t="s">
        <v>1317</v>
      </c>
      <c r="D160" s="32">
        <v>70</v>
      </c>
      <c r="E160" s="37">
        <v>31</v>
      </c>
      <c r="F160" s="38" t="str">
        <f>VLOOKUP(tabPontoPed[[#This Row],[GRUPO]],tabGrupos[#Data],2,FALSE)</f>
        <v>FERRAMENTAS MAQ.FERRAMENTAS,ELETR.PECAS E ACESSORI</v>
      </c>
      <c r="G160" s="32" t="str">
        <f>VLOOKUP(tabPontoPed[[#This Row],[GRUPO]],tabGrupos[#Data],3,FALSE)</f>
        <v>MAN</v>
      </c>
      <c r="H160" s="33" t="s">
        <v>1311</v>
      </c>
      <c r="I160" s="80">
        <v>4</v>
      </c>
      <c r="J160" s="39">
        <v>42</v>
      </c>
      <c r="K160" s="41">
        <f>tabPontoPed[[#This Row],[QTDMÊS]] * tabPontoPed[[#This Row],[MENSAL]]</f>
        <v>168</v>
      </c>
      <c r="L160" s="83"/>
      <c r="M160" s="81"/>
      <c r="N160" s="34" t="s">
        <v>1009</v>
      </c>
      <c r="O160" s="76" t="s">
        <v>1708</v>
      </c>
      <c r="P160" s="77">
        <v>0</v>
      </c>
      <c r="Q160" s="57">
        <v>12</v>
      </c>
      <c r="R160" s="42">
        <v>12</v>
      </c>
      <c r="S160" s="69" t="str">
        <f>_xlfn.IFNA(IF(VLOOKUP(tabPontoPed[[#This Row],[CÓDIGO]],tabExcluirDoEstoque[#Data],1,FALSE),"sim",""),"")</f>
        <v/>
      </c>
      <c r="T160" s="43">
        <f>IF(AND(tabPontoPed[[#This Row],[MENSAL]]&gt;0,tabPontoPed[[#This Row],[CÁLCULO]]&gt;0), ABS( tabPontoPed[[#This Row],[MENSAL]] - tabPontoPed[[#This Row],[CÁLCULO]] ) / tabPontoPed[[#This Row],[MENSAL]], -1 )</f>
        <v>0.7142857142857143</v>
      </c>
      <c r="U160" s="58">
        <v>25</v>
      </c>
      <c r="V160" s="35">
        <f>IF(AND(tabPontoPed[[#This Row],[MENSAL]]&gt;0,tabPontoPed[[#This Row],[CÁLCULO]]&gt;0), IF( tabPontoPed[[#This Row],[MENSAL]] - tabPontoPed[[#This Row],[CÁLCULO]] &lt; 0, -1, IF( tabPontoPed[[#This Row],[MENSAL]] - tabPontoPed[[#This Row],[CÁLCULO]] &gt; 0, 1, -8)), -9 )</f>
        <v>1</v>
      </c>
      <c r="W160" s="35"/>
      <c r="X160" s="49" t="s">
        <v>1564</v>
      </c>
      <c r="Y160" s="51">
        <v>44391.599108796298</v>
      </c>
      <c r="Z160" s="72">
        <f>tabPontoPed[CÁLC_4M] - tabPontoPed[CÁLCULO]</f>
        <v>0</v>
      </c>
      <c r="AA160" s="79" t="str">
        <f>IF(tabPontoPed[MENSAL]-tabPontoPed[ATA MENSAL] = 0,"sim","")</f>
        <v/>
      </c>
      <c r="AB160" s="79"/>
      <c r="AC160" s="47" t="str">
        <f t="shared" si="2"/>
        <v>*</v>
      </c>
    </row>
    <row r="161" spans="1:29" x14ac:dyDescent="0.25">
      <c r="A161" s="36">
        <v>13181</v>
      </c>
      <c r="B161" s="68" t="s">
        <v>512</v>
      </c>
      <c r="C161" s="33" t="s">
        <v>1317</v>
      </c>
      <c r="D161" s="32">
        <v>51</v>
      </c>
      <c r="E161" s="37">
        <v>12</v>
      </c>
      <c r="F161" s="38" t="str">
        <f>VLOOKUP(tabPontoPed[[#This Row],[GRUPO]],tabGrupos[#Data],2,FALSE)</f>
        <v>MAT.E EQUIP. P/ CONSTR.CIVIL E CONSERV. DE VIAS PUBL.</v>
      </c>
      <c r="G161" s="32" t="str">
        <f>VLOOKUP(tabPontoPed[[#This Row],[GRUPO]],tabGrupos[#Data],3,FALSE)</f>
        <v>MCO</v>
      </c>
      <c r="H161" s="33" t="s">
        <v>1311</v>
      </c>
      <c r="I161" s="80">
        <v>4</v>
      </c>
      <c r="J161" s="39">
        <v>42</v>
      </c>
      <c r="K161" s="41">
        <f>tabPontoPed[[#This Row],[QTDMÊS]] * tabPontoPed[[#This Row],[MENSAL]]</f>
        <v>168</v>
      </c>
      <c r="L161" s="83"/>
      <c r="M161" s="81"/>
      <c r="N161" s="34" t="s">
        <v>1009</v>
      </c>
      <c r="O161" s="76" t="s">
        <v>1695</v>
      </c>
      <c r="P161" s="77">
        <v>0</v>
      </c>
      <c r="Q161" s="57">
        <v>13</v>
      </c>
      <c r="R161" s="42">
        <v>12</v>
      </c>
      <c r="S161" s="69" t="str">
        <f>_xlfn.IFNA(IF(VLOOKUP(tabPontoPed[[#This Row],[CÓDIGO]],tabExcluirDoEstoque[#Data],1,FALSE),"sim",""),"")</f>
        <v/>
      </c>
      <c r="T161" s="43">
        <f>IF(AND(tabPontoPed[[#This Row],[MENSAL]]&gt;0,tabPontoPed[[#This Row],[CÁLCULO]]&gt;0), ABS( tabPontoPed[[#This Row],[MENSAL]] - tabPontoPed[[#This Row],[CÁLCULO]] ) / tabPontoPed[[#This Row],[MENSAL]], -1 )</f>
        <v>0.7142857142857143</v>
      </c>
      <c r="U161" s="58">
        <v>25</v>
      </c>
      <c r="V161" s="35">
        <f>IF(AND(tabPontoPed[[#This Row],[MENSAL]]&gt;0,tabPontoPed[[#This Row],[CÁLCULO]]&gt;0), IF( tabPontoPed[[#This Row],[MENSAL]] - tabPontoPed[[#This Row],[CÁLCULO]] &lt; 0, -1, IF( tabPontoPed[[#This Row],[MENSAL]] - tabPontoPed[[#This Row],[CÁLCULO]] &gt; 0, 1, -8)), -9 )</f>
        <v>1</v>
      </c>
      <c r="W161" s="35"/>
      <c r="X161" s="49" t="s">
        <v>1564</v>
      </c>
      <c r="Y161" s="51">
        <v>44391.599108796298</v>
      </c>
      <c r="Z161" s="72">
        <f>tabPontoPed[CÁLC_4M] - tabPontoPed[CÁLCULO]</f>
        <v>1</v>
      </c>
      <c r="AA161" s="79" t="str">
        <f>IF(tabPontoPed[MENSAL]-tabPontoPed[ATA MENSAL] = 0,"sim","")</f>
        <v/>
      </c>
      <c r="AB161" s="79" t="s">
        <v>1614</v>
      </c>
      <c r="AC161" s="47" t="str">
        <f t="shared" si="2"/>
        <v>*</v>
      </c>
    </row>
    <row r="162" spans="1:29" x14ac:dyDescent="0.25">
      <c r="A162" s="36">
        <v>13186</v>
      </c>
      <c r="B162" s="68" t="s">
        <v>947</v>
      </c>
      <c r="C162" s="33" t="s">
        <v>1317</v>
      </c>
      <c r="D162" s="32">
        <v>74</v>
      </c>
      <c r="E162" s="37">
        <v>4</v>
      </c>
      <c r="F162" s="38" t="str">
        <f>VLOOKUP(tabPontoPed[[#This Row],[GRUPO]],tabGrupos[#Data],2,FALSE)</f>
        <v>MADEIRAS,LAMINADOS,COMPENSADOS E AGLOMERADOS</v>
      </c>
      <c r="G162" s="32" t="str">
        <f>VLOOKUP(tabPontoPed[[#This Row],[GRUPO]],tabGrupos[#Data],3,FALSE)</f>
        <v>MCO</v>
      </c>
      <c r="H162" s="33" t="s">
        <v>1311</v>
      </c>
      <c r="I162" s="80">
        <v>4</v>
      </c>
      <c r="J162" s="39">
        <v>7</v>
      </c>
      <c r="K162" s="41">
        <f>tabPontoPed[[#This Row],[QTDMÊS]] * tabPontoPed[[#This Row],[MENSAL]]</f>
        <v>28</v>
      </c>
      <c r="L162" s="83"/>
      <c r="M162" s="81"/>
      <c r="N162" s="34" t="s">
        <v>1009</v>
      </c>
      <c r="O162" s="76" t="s">
        <v>1710</v>
      </c>
      <c r="P162" s="77">
        <v>0</v>
      </c>
      <c r="Q162" s="57">
        <v>4</v>
      </c>
      <c r="R162" s="42">
        <v>2</v>
      </c>
      <c r="S162" s="69" t="str">
        <f>_xlfn.IFNA(IF(VLOOKUP(tabPontoPed[[#This Row],[CÓDIGO]],tabExcluirDoEstoque[#Data],1,FALSE),"sim",""),"")</f>
        <v/>
      </c>
      <c r="T162" s="43">
        <f>IF(AND(tabPontoPed[[#This Row],[MENSAL]]&gt;0,tabPontoPed[[#This Row],[CÁLCULO]]&gt;0), ABS( tabPontoPed[[#This Row],[MENSAL]] - tabPontoPed[[#This Row],[CÁLCULO]] ) / tabPontoPed[[#This Row],[MENSAL]], -1 )</f>
        <v>0.7142857142857143</v>
      </c>
      <c r="U162" s="58">
        <v>6</v>
      </c>
      <c r="V162" s="35">
        <f>IF(AND(tabPontoPed[[#This Row],[MENSAL]]&gt;0,tabPontoPed[[#This Row],[CÁLCULO]]&gt;0), IF( tabPontoPed[[#This Row],[MENSAL]] - tabPontoPed[[#This Row],[CÁLCULO]] &lt; 0, -1, IF( tabPontoPed[[#This Row],[MENSAL]] - tabPontoPed[[#This Row],[CÁLCULO]] &gt; 0, 1, -8)), -9 )</f>
        <v>1</v>
      </c>
      <c r="W162" s="35"/>
      <c r="X162" s="49" t="s">
        <v>1564</v>
      </c>
      <c r="Y162" s="51">
        <v>44391.599108796298</v>
      </c>
      <c r="Z162" s="72">
        <f>tabPontoPed[CÁLC_4M] - tabPontoPed[CÁLCULO]</f>
        <v>2</v>
      </c>
      <c r="AA162" s="79" t="str">
        <f>IF(tabPontoPed[MENSAL]-tabPontoPed[ATA MENSAL] = 0,"sim","")</f>
        <v/>
      </c>
      <c r="AB162" s="79"/>
      <c r="AC162" s="47" t="str">
        <f t="shared" si="2"/>
        <v>*</v>
      </c>
    </row>
    <row r="163" spans="1:29" x14ac:dyDescent="0.25">
      <c r="A163" s="36">
        <v>54144</v>
      </c>
      <c r="B163" s="68" t="s">
        <v>758</v>
      </c>
      <c r="C163" s="33" t="s">
        <v>1317</v>
      </c>
      <c r="D163" s="32">
        <v>61</v>
      </c>
      <c r="E163" s="37">
        <v>8</v>
      </c>
      <c r="F163" s="38" t="str">
        <f>VLOOKUP(tabPontoPed[[#This Row],[GRUPO]],tabGrupos[#Data],2,FALSE)</f>
        <v>MATERIAL HIDRAULICO, CANOS, TUBOS, MANGUEIRAS, CONEXOES E ACESS.</v>
      </c>
      <c r="G163" s="32" t="str">
        <f>VLOOKUP(tabPontoPed[[#This Row],[GRUPO]],tabGrupos[#Data],3,FALSE)</f>
        <v>MHI</v>
      </c>
      <c r="H163" s="33" t="s">
        <v>1311</v>
      </c>
      <c r="I163" s="80">
        <v>4</v>
      </c>
      <c r="J163" s="39">
        <v>42</v>
      </c>
      <c r="K163" s="41">
        <f>tabPontoPed[[#This Row],[QTDMÊS]] * tabPontoPed[[#This Row],[MENSAL]]</f>
        <v>168</v>
      </c>
      <c r="L163" s="83"/>
      <c r="M163" s="81"/>
      <c r="N163" s="34" t="s">
        <v>1009</v>
      </c>
      <c r="O163" s="76" t="s">
        <v>1682</v>
      </c>
      <c r="P163" s="77">
        <v>0</v>
      </c>
      <c r="Q163" s="57">
        <v>11</v>
      </c>
      <c r="R163" s="42">
        <v>12</v>
      </c>
      <c r="S163" s="69" t="str">
        <f>_xlfn.IFNA(IF(VLOOKUP(tabPontoPed[[#This Row],[CÓDIGO]],tabExcluirDoEstoque[#Data],1,FALSE),"sim",""),"")</f>
        <v/>
      </c>
      <c r="T163" s="43">
        <f>IF(AND(tabPontoPed[[#This Row],[MENSAL]]&gt;0,tabPontoPed[[#This Row],[CÁLCULO]]&gt;0), ABS( tabPontoPed[[#This Row],[MENSAL]] - tabPontoPed[[#This Row],[CÁLCULO]] ) / tabPontoPed[[#This Row],[MENSAL]], -1 )</f>
        <v>0.7142857142857143</v>
      </c>
      <c r="U163" s="58">
        <v>36</v>
      </c>
      <c r="V163" s="35">
        <f>IF(AND(tabPontoPed[[#This Row],[MENSAL]]&gt;0,tabPontoPed[[#This Row],[CÁLCULO]]&gt;0), IF( tabPontoPed[[#This Row],[MENSAL]] - tabPontoPed[[#This Row],[CÁLCULO]] &lt; 0, -1, IF( tabPontoPed[[#This Row],[MENSAL]] - tabPontoPed[[#This Row],[CÁLCULO]] &gt; 0, 1, -8)), -9 )</f>
        <v>1</v>
      </c>
      <c r="W163" s="35"/>
      <c r="X163" s="48" t="s">
        <v>1564</v>
      </c>
      <c r="Y163" s="53">
        <v>44391.599108796298</v>
      </c>
      <c r="Z163" s="72">
        <f>tabPontoPed[CÁLC_4M] - tabPontoPed[CÁLCULO]</f>
        <v>-1</v>
      </c>
      <c r="AA163" s="79" t="str">
        <f>IF(tabPontoPed[MENSAL]-tabPontoPed[ATA MENSAL] = 0,"sim","")</f>
        <v/>
      </c>
      <c r="AB163" s="79" t="s">
        <v>1614</v>
      </c>
      <c r="AC163" s="47" t="str">
        <f t="shared" si="2"/>
        <v>*</v>
      </c>
    </row>
    <row r="164" spans="1:29" x14ac:dyDescent="0.25">
      <c r="A164" s="36">
        <v>93334</v>
      </c>
      <c r="B164" s="68" t="s">
        <v>65</v>
      </c>
      <c r="C164" s="33">
        <v>1</v>
      </c>
      <c r="D164" s="32">
        <v>57</v>
      </c>
      <c r="E164" s="37">
        <v>2</v>
      </c>
      <c r="F164" s="38" t="str">
        <f>VLOOKUP(tabPontoPed[[#This Row],[GRUPO]],tabGrupos[#Data],2,FALSE)</f>
        <v>MAQ. E EQUIP. P/ IND. GRAFICA COMP. ACESS. E PAPEI</v>
      </c>
      <c r="G164" s="32" t="str">
        <f>VLOOKUP(tabPontoPed[[#This Row],[GRUPO]],tabGrupos[#Data],3,FALSE)</f>
        <v>EDU</v>
      </c>
      <c r="H164" s="33" t="s">
        <v>1311</v>
      </c>
      <c r="I164" s="80">
        <v>4</v>
      </c>
      <c r="J164" s="39">
        <v>834</v>
      </c>
      <c r="K164" s="41">
        <f>tabPontoPed[[#This Row],[QTDMÊS]] * tabPontoPed[[#This Row],[MENSAL]]</f>
        <v>3336</v>
      </c>
      <c r="L164" s="83"/>
      <c r="M164" s="81"/>
      <c r="N164" s="34" t="s">
        <v>1009</v>
      </c>
      <c r="O164" s="76" t="s">
        <v>1718</v>
      </c>
      <c r="P164" s="77">
        <v>0</v>
      </c>
      <c r="Q164" s="57">
        <v>257</v>
      </c>
      <c r="R164" s="42">
        <v>239</v>
      </c>
      <c r="S164" s="69" t="str">
        <f>_xlfn.IFNA(IF(VLOOKUP(tabPontoPed[[#This Row],[CÓDIGO]],tabExcluirDoEstoque[#Data],1,FALSE),"sim",""),"")</f>
        <v/>
      </c>
      <c r="T164" s="43">
        <f>IF(AND(tabPontoPed[[#This Row],[MENSAL]]&gt;0,tabPontoPed[[#This Row],[CÁLCULO]]&gt;0), ABS( tabPontoPed[[#This Row],[MENSAL]] - tabPontoPed[[#This Row],[CÁLCULO]] ) / tabPontoPed[[#This Row],[MENSAL]], -1 )</f>
        <v>0.71342925659472423</v>
      </c>
      <c r="U164" s="58">
        <v>585</v>
      </c>
      <c r="V164" s="35">
        <f>IF(AND(tabPontoPed[[#This Row],[MENSAL]]&gt;0,tabPontoPed[[#This Row],[CÁLCULO]]&gt;0), IF( tabPontoPed[[#This Row],[MENSAL]] - tabPontoPed[[#This Row],[CÁLCULO]] &lt; 0, -1, IF( tabPontoPed[[#This Row],[MENSAL]] - tabPontoPed[[#This Row],[CÁLCULO]] &gt; 0, 1, -8)), -9 )</f>
        <v>1</v>
      </c>
      <c r="W164" s="35"/>
      <c r="X164" s="48" t="s">
        <v>1564</v>
      </c>
      <c r="Y164" s="53">
        <v>44391.599108796298</v>
      </c>
      <c r="Z164" s="72">
        <f>tabPontoPed[CÁLC_4M] - tabPontoPed[CÁLCULO]</f>
        <v>18</v>
      </c>
      <c r="AA164" s="79" t="str">
        <f>IF(tabPontoPed[MENSAL]-tabPontoPed[ATA MENSAL] = 0,"sim","")</f>
        <v/>
      </c>
      <c r="AB164" s="79" t="s">
        <v>1614</v>
      </c>
      <c r="AC164" s="47" t="str">
        <f t="shared" si="2"/>
        <v>*</v>
      </c>
    </row>
    <row r="165" spans="1:29" x14ac:dyDescent="0.25">
      <c r="A165" s="36">
        <v>93335</v>
      </c>
      <c r="B165" s="68" t="s">
        <v>66</v>
      </c>
      <c r="C165" s="33" t="s">
        <v>1317</v>
      </c>
      <c r="D165" s="32">
        <v>57</v>
      </c>
      <c r="E165" s="37">
        <v>2</v>
      </c>
      <c r="F165" s="38" t="str">
        <f>VLOOKUP(tabPontoPed[[#This Row],[GRUPO]],tabGrupos[#Data],2,FALSE)</f>
        <v>MAQ. E EQUIP. P/ IND. GRAFICA COMP. ACESS. E PAPEI</v>
      </c>
      <c r="G165" s="32" t="str">
        <f>VLOOKUP(tabPontoPed[[#This Row],[GRUPO]],tabGrupos[#Data],3,FALSE)</f>
        <v>EDU</v>
      </c>
      <c r="H165" s="33" t="s">
        <v>1311</v>
      </c>
      <c r="I165" s="80">
        <v>4</v>
      </c>
      <c r="J165" s="39">
        <v>834</v>
      </c>
      <c r="K165" s="41">
        <f>tabPontoPed[[#This Row],[QTDMÊS]] * tabPontoPed[[#This Row],[MENSAL]]</f>
        <v>3336</v>
      </c>
      <c r="L165" s="83"/>
      <c r="M165" s="81"/>
      <c r="N165" s="34" t="s">
        <v>1009</v>
      </c>
      <c r="O165" s="76" t="s">
        <v>1718</v>
      </c>
      <c r="P165" s="77">
        <v>0</v>
      </c>
      <c r="Q165" s="57">
        <v>241</v>
      </c>
      <c r="R165" s="42">
        <v>241</v>
      </c>
      <c r="S165" s="69" t="str">
        <f>_xlfn.IFNA(IF(VLOOKUP(tabPontoPed[[#This Row],[CÓDIGO]],tabExcluirDoEstoque[#Data],1,FALSE),"sim",""),"")</f>
        <v/>
      </c>
      <c r="T165" s="43">
        <f>IF(AND(tabPontoPed[[#This Row],[MENSAL]]&gt;0,tabPontoPed[[#This Row],[CÁLCULO]]&gt;0), ABS( tabPontoPed[[#This Row],[MENSAL]] - tabPontoPed[[#This Row],[CÁLCULO]] ) / tabPontoPed[[#This Row],[MENSAL]], -1 )</f>
        <v>0.71103117505995206</v>
      </c>
      <c r="U165" s="58">
        <v>610</v>
      </c>
      <c r="V165" s="35">
        <f>IF(AND(tabPontoPed[[#This Row],[MENSAL]]&gt;0,tabPontoPed[[#This Row],[CÁLCULO]]&gt;0), IF( tabPontoPed[[#This Row],[MENSAL]] - tabPontoPed[[#This Row],[CÁLCULO]] &lt; 0, -1, IF( tabPontoPed[[#This Row],[MENSAL]] - tabPontoPed[[#This Row],[CÁLCULO]] &gt; 0, 1, -8)), -9 )</f>
        <v>1</v>
      </c>
      <c r="W165" s="35"/>
      <c r="X165" s="49" t="s">
        <v>1564</v>
      </c>
      <c r="Y165" s="51">
        <v>44391.599108796298</v>
      </c>
      <c r="Z165" s="72">
        <f>tabPontoPed[CÁLC_4M] - tabPontoPed[CÁLCULO]</f>
        <v>0</v>
      </c>
      <c r="AA165" s="79" t="str">
        <f>IF(tabPontoPed[MENSAL]-tabPontoPed[ATA MENSAL] = 0,"sim","")</f>
        <v/>
      </c>
      <c r="AB165" s="79" t="s">
        <v>1614</v>
      </c>
      <c r="AC165" s="47" t="str">
        <f t="shared" si="2"/>
        <v>*</v>
      </c>
    </row>
    <row r="166" spans="1:29" x14ac:dyDescent="0.25">
      <c r="A166" s="36">
        <v>46420</v>
      </c>
      <c r="B166" s="68" t="s">
        <v>471</v>
      </c>
      <c r="C166" s="33" t="s">
        <v>1317</v>
      </c>
      <c r="D166" s="32">
        <v>45</v>
      </c>
      <c r="E166" s="37">
        <v>16</v>
      </c>
      <c r="F166" s="38" t="str">
        <f>VLOOKUP(tabPontoPed[[#This Row],[GRUPO]],tabGrupos[#Data],2,FALSE)</f>
        <v>MAQ., EQUIP., COMP., ACES., MAT. PARA ESCRIT.E ESCOLAR</v>
      </c>
      <c r="G166" s="32" t="str">
        <f>VLOOKUP(tabPontoPed[[#This Row],[GRUPO]],tabGrupos[#Data],3,FALSE)</f>
        <v>EDU</v>
      </c>
      <c r="H166" s="33" t="s">
        <v>1311</v>
      </c>
      <c r="I166" s="80">
        <v>4</v>
      </c>
      <c r="J166" s="39">
        <v>76</v>
      </c>
      <c r="K166" s="41">
        <f>tabPontoPed[[#This Row],[QTDMÊS]] * tabPontoPed[[#This Row],[MENSAL]]</f>
        <v>304</v>
      </c>
      <c r="L166" s="83"/>
      <c r="M166" s="81"/>
      <c r="N166" s="34" t="s">
        <v>1009</v>
      </c>
      <c r="O166" s="76" t="s">
        <v>1696</v>
      </c>
      <c r="P166" s="77">
        <v>0</v>
      </c>
      <c r="Q166" s="57">
        <v>151</v>
      </c>
      <c r="R166" s="42">
        <v>130</v>
      </c>
      <c r="S166" s="69" t="str">
        <f>_xlfn.IFNA(IF(VLOOKUP(tabPontoPed[[#This Row],[CÓDIGO]],tabExcluirDoEstoque[#Data],1,FALSE),"sim",""),"")</f>
        <v/>
      </c>
      <c r="T166" s="43">
        <f>IF(AND(tabPontoPed[[#This Row],[MENSAL]]&gt;0,tabPontoPed[[#This Row],[CÁLCULO]]&gt;0), ABS( tabPontoPed[[#This Row],[MENSAL]] - tabPontoPed[[#This Row],[CÁLCULO]] ) / tabPontoPed[[#This Row],[MENSAL]], -1 )</f>
        <v>0.71052631578947367</v>
      </c>
      <c r="U166" s="58">
        <v>204</v>
      </c>
      <c r="V166" s="35">
        <f>IF(AND(tabPontoPed[[#This Row],[MENSAL]]&gt;0,tabPontoPed[[#This Row],[CÁLCULO]]&gt;0), IF( tabPontoPed[[#This Row],[MENSAL]] - tabPontoPed[[#This Row],[CÁLCULO]] &lt; 0, -1, IF( tabPontoPed[[#This Row],[MENSAL]] - tabPontoPed[[#This Row],[CÁLCULO]] &gt; 0, 1, -8)), -9 )</f>
        <v>-1</v>
      </c>
      <c r="W166" s="35"/>
      <c r="X166" s="49" t="s">
        <v>1564</v>
      </c>
      <c r="Y166" s="51">
        <v>44391.599108796298</v>
      </c>
      <c r="Z166" s="72">
        <f>tabPontoPed[CÁLC_4M] - tabPontoPed[CÁLCULO]</f>
        <v>21</v>
      </c>
      <c r="AA166" s="79" t="str">
        <f>IF(tabPontoPed[MENSAL]-tabPontoPed[ATA MENSAL] = 0,"sim","")</f>
        <v/>
      </c>
      <c r="AB166" s="79"/>
      <c r="AC166" s="47" t="str">
        <f t="shared" si="2"/>
        <v>*</v>
      </c>
    </row>
    <row r="167" spans="1:29" x14ac:dyDescent="0.25">
      <c r="A167" s="36">
        <v>135297</v>
      </c>
      <c r="B167" s="68" t="s">
        <v>421</v>
      </c>
      <c r="C167" s="33" t="s">
        <v>1317</v>
      </c>
      <c r="D167" s="32">
        <v>45</v>
      </c>
      <c r="E167" s="37">
        <v>9</v>
      </c>
      <c r="F167" s="38" t="str">
        <f>VLOOKUP(tabPontoPed[[#This Row],[GRUPO]],tabGrupos[#Data],2,FALSE)</f>
        <v>MAQ., EQUIP., COMP., ACES., MAT. PARA ESCRIT.E ESCOLAR</v>
      </c>
      <c r="G167" s="32" t="str">
        <f>VLOOKUP(tabPontoPed[[#This Row],[GRUPO]],tabGrupos[#Data],3,FALSE)</f>
        <v>EDU</v>
      </c>
      <c r="H167" s="33" t="s">
        <v>1311</v>
      </c>
      <c r="I167" s="80">
        <v>4</v>
      </c>
      <c r="J167" s="39">
        <v>624</v>
      </c>
      <c r="K167" s="41">
        <f>tabPontoPed[[#This Row],[QTDMÊS]] * tabPontoPed[[#This Row],[MENSAL]]</f>
        <v>2496</v>
      </c>
      <c r="L167" s="83"/>
      <c r="M167" s="81"/>
      <c r="N167" s="34" t="s">
        <v>1009</v>
      </c>
      <c r="O167" s="76"/>
      <c r="P167" s="77">
        <v>0</v>
      </c>
      <c r="Q167" s="57">
        <v>159</v>
      </c>
      <c r="R167" s="42">
        <v>1067</v>
      </c>
      <c r="S167" s="69" t="str">
        <f>_xlfn.IFNA(IF(VLOOKUP(tabPontoPed[[#This Row],[CÓDIGO]],tabExcluirDoEstoque[#Data],1,FALSE),"sim",""),"")</f>
        <v/>
      </c>
      <c r="T167" s="43">
        <f>IF(AND(tabPontoPed[[#This Row],[MENSAL]]&gt;0,tabPontoPed[[#This Row],[CÁLCULO]]&gt;0), ABS( tabPontoPed[[#This Row],[MENSAL]] - tabPontoPed[[#This Row],[CÁLCULO]] ) / tabPontoPed[[#This Row],[MENSAL]], -1 )</f>
        <v>0.70993589743589747</v>
      </c>
      <c r="U167" s="58">
        <v>10809</v>
      </c>
      <c r="V167" s="35">
        <f>IF(AND(tabPontoPed[[#This Row],[MENSAL]]&gt;0,tabPontoPed[[#This Row],[CÁLCULO]]&gt;0), IF( tabPontoPed[[#This Row],[MENSAL]] - tabPontoPed[[#This Row],[CÁLCULO]] &lt; 0, -1, IF( tabPontoPed[[#This Row],[MENSAL]] - tabPontoPed[[#This Row],[CÁLCULO]] &gt; 0, 1, -8)), -9 )</f>
        <v>-1</v>
      </c>
      <c r="W167" s="35"/>
      <c r="X167" s="48" t="s">
        <v>1564</v>
      </c>
      <c r="Y167" s="53">
        <v>44391.599108796298</v>
      </c>
      <c r="Z167" s="72">
        <f>tabPontoPed[CÁLC_4M] - tabPontoPed[CÁLCULO]</f>
        <v>-908</v>
      </c>
      <c r="AA167" s="79" t="str">
        <f>IF(tabPontoPed[MENSAL]-tabPontoPed[ATA MENSAL] = 0,"sim","")</f>
        <v/>
      </c>
      <c r="AB167" s="79"/>
      <c r="AC167" s="47" t="str">
        <f t="shared" si="2"/>
        <v>*</v>
      </c>
    </row>
    <row r="168" spans="1:29" x14ac:dyDescent="0.25">
      <c r="A168" s="36">
        <v>93332</v>
      </c>
      <c r="B168" s="68" t="s">
        <v>64</v>
      </c>
      <c r="C168" s="33" t="s">
        <v>1317</v>
      </c>
      <c r="D168" s="32">
        <v>57</v>
      </c>
      <c r="E168" s="37">
        <v>2</v>
      </c>
      <c r="F168" s="38" t="str">
        <f>VLOOKUP(tabPontoPed[[#This Row],[GRUPO]],tabGrupos[#Data],2,FALSE)</f>
        <v>MAQ. E EQUIP. P/ IND. GRAFICA COMP. ACESS. E PAPEI</v>
      </c>
      <c r="G168" s="32" t="str">
        <f>VLOOKUP(tabPontoPed[[#This Row],[GRUPO]],tabGrupos[#Data],3,FALSE)</f>
        <v>EDU</v>
      </c>
      <c r="H168" s="33" t="s">
        <v>1311</v>
      </c>
      <c r="I168" s="80">
        <v>4</v>
      </c>
      <c r="J168" s="39">
        <v>834</v>
      </c>
      <c r="K168" s="41">
        <f>tabPontoPed[[#This Row],[QTDMÊS]] * tabPontoPed[[#This Row],[MENSAL]]</f>
        <v>3336</v>
      </c>
      <c r="L168" s="83"/>
      <c r="M168" s="81"/>
      <c r="N168" s="34" t="s">
        <v>1009</v>
      </c>
      <c r="O168" s="76" t="s">
        <v>1718</v>
      </c>
      <c r="P168" s="77">
        <v>0</v>
      </c>
      <c r="Q168" s="57">
        <v>259</v>
      </c>
      <c r="R168" s="42">
        <v>242</v>
      </c>
      <c r="S168" s="69" t="str">
        <f>_xlfn.IFNA(IF(VLOOKUP(tabPontoPed[[#This Row],[CÓDIGO]],tabExcluirDoEstoque[#Data],1,FALSE),"sim",""),"")</f>
        <v/>
      </c>
      <c r="T168" s="43">
        <f>IF(AND(tabPontoPed[[#This Row],[MENSAL]]&gt;0,tabPontoPed[[#This Row],[CÁLCULO]]&gt;0), ABS( tabPontoPed[[#This Row],[MENSAL]] - tabPontoPed[[#This Row],[CÁLCULO]] ) / tabPontoPed[[#This Row],[MENSAL]], -1 )</f>
        <v>0.70983213429256597</v>
      </c>
      <c r="U168" s="58">
        <v>570</v>
      </c>
      <c r="V168" s="35">
        <f>IF(AND(tabPontoPed[[#This Row],[MENSAL]]&gt;0,tabPontoPed[[#This Row],[CÁLCULO]]&gt;0), IF( tabPontoPed[[#This Row],[MENSAL]] - tabPontoPed[[#This Row],[CÁLCULO]] &lt; 0, -1, IF( tabPontoPed[[#This Row],[MENSAL]] - tabPontoPed[[#This Row],[CÁLCULO]] &gt; 0, 1, -8)), -9 )</f>
        <v>1</v>
      </c>
      <c r="W168" s="35"/>
      <c r="X168" s="49" t="s">
        <v>1564</v>
      </c>
      <c r="Y168" s="51">
        <v>44391.599108796298</v>
      </c>
      <c r="Z168" s="72">
        <f>tabPontoPed[CÁLC_4M] - tabPontoPed[CÁLCULO]</f>
        <v>17</v>
      </c>
      <c r="AA168" s="79" t="str">
        <f>IF(tabPontoPed[MENSAL]-tabPontoPed[ATA MENSAL] = 0,"sim","")</f>
        <v/>
      </c>
      <c r="AB168" s="79" t="s">
        <v>1614</v>
      </c>
      <c r="AC168" s="47" t="str">
        <f t="shared" si="2"/>
        <v>*</v>
      </c>
    </row>
    <row r="169" spans="1:29" x14ac:dyDescent="0.25">
      <c r="A169" s="36">
        <v>93327</v>
      </c>
      <c r="B169" s="68" t="s">
        <v>62</v>
      </c>
      <c r="C169" s="33" t="s">
        <v>1317</v>
      </c>
      <c r="D169" s="32">
        <v>57</v>
      </c>
      <c r="E169" s="37">
        <v>2</v>
      </c>
      <c r="F169" s="38" t="str">
        <f>VLOOKUP(tabPontoPed[[#This Row],[GRUPO]],tabGrupos[#Data],2,FALSE)</f>
        <v>MAQ. E EQUIP. P/ IND. GRAFICA COMP. ACESS. E PAPEI</v>
      </c>
      <c r="G169" s="32" t="str">
        <f>VLOOKUP(tabPontoPed[[#This Row],[GRUPO]],tabGrupos[#Data],3,FALSE)</f>
        <v>EDU</v>
      </c>
      <c r="H169" s="33" t="s">
        <v>1311</v>
      </c>
      <c r="I169" s="80">
        <v>4</v>
      </c>
      <c r="J169" s="39">
        <v>834</v>
      </c>
      <c r="K169" s="41">
        <f>tabPontoPed[[#This Row],[QTDMÊS]] * tabPontoPed[[#This Row],[MENSAL]]</f>
        <v>3336</v>
      </c>
      <c r="L169" s="83"/>
      <c r="M169" s="81"/>
      <c r="N169" s="34" t="s">
        <v>1009</v>
      </c>
      <c r="O169" s="76" t="s">
        <v>1718</v>
      </c>
      <c r="P169" s="77">
        <v>0</v>
      </c>
      <c r="Q169" s="57">
        <v>255</v>
      </c>
      <c r="R169" s="42">
        <v>243</v>
      </c>
      <c r="S169" s="69" t="str">
        <f>_xlfn.IFNA(IF(VLOOKUP(tabPontoPed[[#This Row],[CÓDIGO]],tabExcluirDoEstoque[#Data],1,FALSE),"sim",""),"")</f>
        <v/>
      </c>
      <c r="T169" s="43">
        <f>IF(AND(tabPontoPed[[#This Row],[MENSAL]]&gt;0,tabPontoPed[[#This Row],[CÁLCULO]]&gt;0), ABS( tabPontoPed[[#This Row],[MENSAL]] - tabPontoPed[[#This Row],[CÁLCULO]] ) / tabPontoPed[[#This Row],[MENSAL]], -1 )</f>
        <v>0.70863309352517989</v>
      </c>
      <c r="U169" s="58">
        <v>600</v>
      </c>
      <c r="V169" s="35">
        <f>IF(AND(tabPontoPed[[#This Row],[MENSAL]]&gt;0,tabPontoPed[[#This Row],[CÁLCULO]]&gt;0), IF( tabPontoPed[[#This Row],[MENSAL]] - tabPontoPed[[#This Row],[CÁLCULO]] &lt; 0, -1, IF( tabPontoPed[[#This Row],[MENSAL]] - tabPontoPed[[#This Row],[CÁLCULO]] &gt; 0, 1, -8)), -9 )</f>
        <v>1</v>
      </c>
      <c r="W169" s="35"/>
      <c r="X169" s="48" t="s">
        <v>1564</v>
      </c>
      <c r="Y169" s="53">
        <v>44391.599108796298</v>
      </c>
      <c r="Z169" s="72">
        <f>tabPontoPed[CÁLC_4M] - tabPontoPed[CÁLCULO]</f>
        <v>12</v>
      </c>
      <c r="AA169" s="79" t="str">
        <f>IF(tabPontoPed[MENSAL]-tabPontoPed[ATA MENSAL] = 0,"sim","")</f>
        <v/>
      </c>
      <c r="AB169" s="79" t="s">
        <v>1614</v>
      </c>
      <c r="AC169" s="47" t="str">
        <f t="shared" si="2"/>
        <v>*</v>
      </c>
    </row>
    <row r="170" spans="1:29" x14ac:dyDescent="0.25">
      <c r="A170" s="36">
        <v>23607</v>
      </c>
      <c r="B170" s="68" t="s">
        <v>507</v>
      </c>
      <c r="C170" s="33" t="s">
        <v>1317</v>
      </c>
      <c r="D170" s="32">
        <v>51</v>
      </c>
      <c r="E170" s="37">
        <v>11</v>
      </c>
      <c r="F170" s="38" t="str">
        <f>VLOOKUP(tabPontoPed[[#This Row],[GRUPO]],tabGrupos[#Data],2,FALSE)</f>
        <v>MAT.E EQUIP. P/ CONSTR.CIVIL E CONSERV. DE VIAS PUBL.</v>
      </c>
      <c r="G170" s="32" t="str">
        <f>VLOOKUP(tabPontoPed[[#This Row],[GRUPO]],tabGrupos[#Data],3,FALSE)</f>
        <v>MCO</v>
      </c>
      <c r="H170" s="33" t="s">
        <v>1311</v>
      </c>
      <c r="I170" s="80">
        <v>4</v>
      </c>
      <c r="J170" s="39">
        <v>17</v>
      </c>
      <c r="K170" s="41">
        <f>tabPontoPed[[#This Row],[QTDMÊS]] * tabPontoPed[[#This Row],[MENSAL]]</f>
        <v>68</v>
      </c>
      <c r="L170" s="83"/>
      <c r="M170" s="81"/>
      <c r="N170" s="34" t="s">
        <v>1009</v>
      </c>
      <c r="O170" s="76"/>
      <c r="P170" s="77">
        <v>0</v>
      </c>
      <c r="Q170" s="57">
        <v>0</v>
      </c>
      <c r="R170" s="42">
        <v>5</v>
      </c>
      <c r="S170" s="69" t="str">
        <f>_xlfn.IFNA(IF(VLOOKUP(tabPontoPed[[#This Row],[CÓDIGO]],tabExcluirDoEstoque[#Data],1,FALSE),"sim",""),"")</f>
        <v/>
      </c>
      <c r="T170" s="43">
        <f>IF(AND(tabPontoPed[[#This Row],[MENSAL]]&gt;0,tabPontoPed[[#This Row],[CÁLCULO]]&gt;0), ABS( tabPontoPed[[#This Row],[MENSAL]] - tabPontoPed[[#This Row],[CÁLCULO]] ) / tabPontoPed[[#This Row],[MENSAL]], -1 )</f>
        <v>0.70588235294117652</v>
      </c>
      <c r="U170" s="58">
        <v>50</v>
      </c>
      <c r="V170" s="35">
        <f>IF(AND(tabPontoPed[[#This Row],[MENSAL]]&gt;0,tabPontoPed[[#This Row],[CÁLCULO]]&gt;0), IF( tabPontoPed[[#This Row],[MENSAL]] - tabPontoPed[[#This Row],[CÁLCULO]] &lt; 0, -1, IF( tabPontoPed[[#This Row],[MENSAL]] - tabPontoPed[[#This Row],[CÁLCULO]] &gt; 0, 1, -8)), -9 )</f>
        <v>1</v>
      </c>
      <c r="W170" s="35"/>
      <c r="X170" s="49" t="s">
        <v>1564</v>
      </c>
      <c r="Y170" s="51">
        <v>44391.599108796298</v>
      </c>
      <c r="Z170" s="72">
        <f>tabPontoPed[CÁLC_4M] - tabPontoPed[CÁLCULO]</f>
        <v>-5</v>
      </c>
      <c r="AA170" s="79" t="str">
        <f>IF(tabPontoPed[MENSAL]-tabPontoPed[ATA MENSAL] = 0,"sim","")</f>
        <v/>
      </c>
      <c r="AB170" s="79"/>
      <c r="AC170" s="47" t="str">
        <f t="shared" si="2"/>
        <v>*</v>
      </c>
    </row>
    <row r="171" spans="1:29" x14ac:dyDescent="0.25">
      <c r="A171" s="36">
        <v>138451</v>
      </c>
      <c r="B171" s="68" t="s">
        <v>1523</v>
      </c>
      <c r="C171" s="33">
        <v>1</v>
      </c>
      <c r="D171" s="32">
        <v>45</v>
      </c>
      <c r="E171" s="37">
        <v>9</v>
      </c>
      <c r="F171" s="38" t="str">
        <f>VLOOKUP(tabPontoPed[[#This Row],[GRUPO]],tabGrupos[#Data],2,FALSE)</f>
        <v>MAQ., EQUIP., COMP., ACES., MAT. PARA ESCRIT.E ESCOLAR</v>
      </c>
      <c r="G171" s="32" t="str">
        <f>VLOOKUP(tabPontoPed[[#This Row],[GRUPO]],tabGrupos[#Data],3,FALSE)</f>
        <v>EDU</v>
      </c>
      <c r="H171" s="33" t="s">
        <v>1311</v>
      </c>
      <c r="I171" s="80">
        <v>4</v>
      </c>
      <c r="J171" s="39">
        <v>6983</v>
      </c>
      <c r="K171" s="41">
        <f>tabPontoPed[[#This Row],[QTDMÊS]] * tabPontoPed[[#This Row],[MENSAL]]</f>
        <v>27932</v>
      </c>
      <c r="L171" s="83"/>
      <c r="M171" s="81"/>
      <c r="N171" s="34" t="s">
        <v>1009</v>
      </c>
      <c r="O171" s="76"/>
      <c r="P171" s="77">
        <v>0</v>
      </c>
      <c r="Q171" s="57">
        <v>1063</v>
      </c>
      <c r="R171" s="42">
        <v>2067</v>
      </c>
      <c r="S171" s="69" t="str">
        <f>_xlfn.IFNA(IF(VLOOKUP(tabPontoPed[[#This Row],[CÓDIGO]],tabExcluirDoEstoque[#Data],1,FALSE),"sim",""),"")</f>
        <v/>
      </c>
      <c r="T171" s="43">
        <f>IF(AND(tabPontoPed[[#This Row],[MENSAL]]&gt;0,tabPontoPed[[#This Row],[CÁLCULO]]&gt;0), ABS( tabPontoPed[[#This Row],[MENSAL]] - tabPontoPed[[#This Row],[CÁLCULO]] ) / tabPontoPed[[#This Row],[MENSAL]], -1 )</f>
        <v>0.70399541744236005</v>
      </c>
      <c r="U171" s="58">
        <v>16316</v>
      </c>
      <c r="V171" s="35">
        <f>IF(AND(tabPontoPed[[#This Row],[MENSAL]]&gt;0,tabPontoPed[[#This Row],[CÁLCULO]]&gt;0), IF( tabPontoPed[[#This Row],[MENSAL]] - tabPontoPed[[#This Row],[CÁLCULO]] &lt; 0, -1, IF( tabPontoPed[[#This Row],[MENSAL]] - tabPontoPed[[#This Row],[CÁLCULO]] &gt; 0, 1, -8)), -9 )</f>
        <v>1</v>
      </c>
      <c r="W171" s="35"/>
      <c r="X171" s="49" t="s">
        <v>1564</v>
      </c>
      <c r="Y171" s="51">
        <v>44391.599108796298</v>
      </c>
      <c r="Z171" s="72">
        <f>tabPontoPed[CÁLC_4M] - tabPontoPed[CÁLCULO]</f>
        <v>-1004</v>
      </c>
      <c r="AA171" s="79" t="str">
        <f>IF(tabPontoPed[MENSAL]-tabPontoPed[ATA MENSAL] = 0,"sim","")</f>
        <v/>
      </c>
      <c r="AB171" s="79"/>
      <c r="AC171" s="47" t="str">
        <f t="shared" si="2"/>
        <v>*</v>
      </c>
    </row>
    <row r="172" spans="1:29" x14ac:dyDescent="0.25">
      <c r="A172" s="36">
        <v>93329</v>
      </c>
      <c r="B172" s="68" t="s">
        <v>63</v>
      </c>
      <c r="C172" s="33" t="s">
        <v>1317</v>
      </c>
      <c r="D172" s="32">
        <v>57</v>
      </c>
      <c r="E172" s="37">
        <v>2</v>
      </c>
      <c r="F172" s="38" t="str">
        <f>VLOOKUP(tabPontoPed[[#This Row],[GRUPO]],tabGrupos[#Data],2,FALSE)</f>
        <v>MAQ. E EQUIP. P/ IND. GRAFICA COMP. ACESS. E PAPEI</v>
      </c>
      <c r="G172" s="32" t="str">
        <f>VLOOKUP(tabPontoPed[[#This Row],[GRUPO]],tabGrupos[#Data],3,FALSE)</f>
        <v>EDU</v>
      </c>
      <c r="H172" s="33" t="s">
        <v>1311</v>
      </c>
      <c r="I172" s="80">
        <v>4</v>
      </c>
      <c r="J172" s="39">
        <v>834</v>
      </c>
      <c r="K172" s="41">
        <f>tabPontoPed[[#This Row],[QTDMÊS]] * tabPontoPed[[#This Row],[MENSAL]]</f>
        <v>3336</v>
      </c>
      <c r="L172" s="83"/>
      <c r="M172" s="81"/>
      <c r="N172" s="34" t="s">
        <v>1009</v>
      </c>
      <c r="O172" s="76" t="s">
        <v>1718</v>
      </c>
      <c r="P172" s="77">
        <v>0</v>
      </c>
      <c r="Q172" s="57">
        <v>265</v>
      </c>
      <c r="R172" s="42">
        <v>247</v>
      </c>
      <c r="S172" s="69" t="str">
        <f>_xlfn.IFNA(IF(VLOOKUP(tabPontoPed[[#This Row],[CÓDIGO]],tabExcluirDoEstoque[#Data],1,FALSE),"sim",""),"")</f>
        <v/>
      </c>
      <c r="T172" s="43">
        <f>IF(AND(tabPontoPed[[#This Row],[MENSAL]]&gt;0,tabPontoPed[[#This Row],[CÁLCULO]]&gt;0), ABS( tabPontoPed[[#This Row],[MENSAL]] - tabPontoPed[[#This Row],[CÁLCULO]] ) / tabPontoPed[[#This Row],[MENSAL]], -1 )</f>
        <v>0.70383693045563545</v>
      </c>
      <c r="U172" s="58">
        <v>550</v>
      </c>
      <c r="V172" s="35">
        <f>IF(AND(tabPontoPed[[#This Row],[MENSAL]]&gt;0,tabPontoPed[[#This Row],[CÁLCULO]]&gt;0), IF( tabPontoPed[[#This Row],[MENSAL]] - tabPontoPed[[#This Row],[CÁLCULO]] &lt; 0, -1, IF( tabPontoPed[[#This Row],[MENSAL]] - tabPontoPed[[#This Row],[CÁLCULO]] &gt; 0, 1, -8)), -9 )</f>
        <v>1</v>
      </c>
      <c r="W172" s="35"/>
      <c r="X172" s="48" t="s">
        <v>1564</v>
      </c>
      <c r="Y172" s="53">
        <v>44391.599108796298</v>
      </c>
      <c r="Z172" s="72">
        <f>tabPontoPed[CÁLC_4M] - tabPontoPed[CÁLCULO]</f>
        <v>18</v>
      </c>
      <c r="AA172" s="79" t="str">
        <f>IF(tabPontoPed[MENSAL]-tabPontoPed[ATA MENSAL] = 0,"sim","")</f>
        <v/>
      </c>
      <c r="AB172" s="79" t="s">
        <v>1614</v>
      </c>
      <c r="AC172" s="47" t="str">
        <f t="shared" si="2"/>
        <v>*</v>
      </c>
    </row>
    <row r="173" spans="1:29" x14ac:dyDescent="0.25">
      <c r="A173" s="36">
        <v>27137</v>
      </c>
      <c r="B173" s="68" t="s">
        <v>57</v>
      </c>
      <c r="C173" s="33" t="s">
        <v>1317</v>
      </c>
      <c r="D173" s="32">
        <v>57</v>
      </c>
      <c r="E173" s="37">
        <v>2</v>
      </c>
      <c r="F173" s="38" t="str">
        <f>VLOOKUP(tabPontoPed[[#This Row],[GRUPO]],tabGrupos[#Data],2,FALSE)</f>
        <v>MAQ. E EQUIP. P/ IND. GRAFICA COMP. ACESS. E PAPEI</v>
      </c>
      <c r="G173" s="32" t="str">
        <f>VLOOKUP(tabPontoPed[[#This Row],[GRUPO]],tabGrupos[#Data],3,FALSE)</f>
        <v>EDU</v>
      </c>
      <c r="H173" s="33" t="s">
        <v>1311</v>
      </c>
      <c r="I173" s="80">
        <v>4</v>
      </c>
      <c r="J173" s="39">
        <v>834</v>
      </c>
      <c r="K173" s="41">
        <f>tabPontoPed[[#This Row],[QTDMÊS]] * tabPontoPed[[#This Row],[MENSAL]]</f>
        <v>3336</v>
      </c>
      <c r="L173" s="83"/>
      <c r="M173" s="81"/>
      <c r="N173" s="34" t="s">
        <v>1009</v>
      </c>
      <c r="O173" s="76" t="s">
        <v>1718</v>
      </c>
      <c r="P173" s="77">
        <v>0</v>
      </c>
      <c r="Q173" s="57">
        <v>260</v>
      </c>
      <c r="R173" s="42">
        <v>247</v>
      </c>
      <c r="S173" s="69" t="str">
        <f>_xlfn.IFNA(IF(VLOOKUP(tabPontoPed[[#This Row],[CÓDIGO]],tabExcluirDoEstoque[#Data],1,FALSE),"sim",""),"")</f>
        <v/>
      </c>
      <c r="T173" s="43">
        <f>IF(AND(tabPontoPed[[#This Row],[MENSAL]]&gt;0,tabPontoPed[[#This Row],[CÁLCULO]]&gt;0), ABS( tabPontoPed[[#This Row],[MENSAL]] - tabPontoPed[[#This Row],[CÁLCULO]] ) / tabPontoPed[[#This Row],[MENSAL]], -1 )</f>
        <v>0.70383693045563545</v>
      </c>
      <c r="U173" s="58">
        <v>546</v>
      </c>
      <c r="V173" s="35">
        <f>IF(AND(tabPontoPed[[#This Row],[MENSAL]]&gt;0,tabPontoPed[[#This Row],[CÁLCULO]]&gt;0), IF( tabPontoPed[[#This Row],[MENSAL]] - tabPontoPed[[#This Row],[CÁLCULO]] &lt; 0, -1, IF( tabPontoPed[[#This Row],[MENSAL]] - tabPontoPed[[#This Row],[CÁLCULO]] &gt; 0, 1, -8)), -9 )</f>
        <v>1</v>
      </c>
      <c r="W173" s="35"/>
      <c r="X173" s="49" t="s">
        <v>1564</v>
      </c>
      <c r="Y173" s="51">
        <v>44391.599108796298</v>
      </c>
      <c r="Z173" s="72">
        <f>tabPontoPed[CÁLC_4M] - tabPontoPed[CÁLCULO]</f>
        <v>13</v>
      </c>
      <c r="AA173" s="79" t="str">
        <f>IF(tabPontoPed[MENSAL]-tabPontoPed[ATA MENSAL] = 0,"sim","")</f>
        <v/>
      </c>
      <c r="AB173" s="79" t="s">
        <v>1614</v>
      </c>
      <c r="AC173" s="47" t="str">
        <f t="shared" si="2"/>
        <v>*</v>
      </c>
    </row>
    <row r="174" spans="1:29" x14ac:dyDescent="0.25">
      <c r="A174" s="36">
        <v>13905</v>
      </c>
      <c r="B174" s="68" t="s">
        <v>386</v>
      </c>
      <c r="C174" s="33" t="s">
        <v>1317</v>
      </c>
      <c r="D174" s="32">
        <v>72</v>
      </c>
      <c r="E174" s="37">
        <v>10</v>
      </c>
      <c r="F174" s="38" t="str">
        <f>VLOOKUP(tabPontoPed[[#This Row],[GRUPO]],tabGrupos[#Data],2,FALSE)</f>
        <v>MAQ.EQUIP.E MATERIAIS P/ HIGIEN.LIMP.POLIM.E LUBR.</v>
      </c>
      <c r="G174" s="32" t="str">
        <f>VLOOKUP(tabPontoPed[[#This Row],[GRUPO]],tabGrupos[#Data],3,FALSE)</f>
        <v>ADM</v>
      </c>
      <c r="H174" s="33" t="s">
        <v>1311</v>
      </c>
      <c r="I174" s="80">
        <v>4</v>
      </c>
      <c r="J174" s="39">
        <v>155</v>
      </c>
      <c r="K174" s="41">
        <f>tabPontoPed[[#This Row],[QTDMÊS]] * tabPontoPed[[#This Row],[MENSAL]]</f>
        <v>620</v>
      </c>
      <c r="L174" s="83"/>
      <c r="M174" s="81"/>
      <c r="N174" s="34" t="s">
        <v>1009</v>
      </c>
      <c r="O174" s="76" t="s">
        <v>1661</v>
      </c>
      <c r="P174" s="77">
        <v>0</v>
      </c>
      <c r="Q174" s="57">
        <v>47</v>
      </c>
      <c r="R174" s="42">
        <v>46</v>
      </c>
      <c r="S174" s="69" t="str">
        <f>_xlfn.IFNA(IF(VLOOKUP(tabPontoPed[[#This Row],[CÓDIGO]],tabExcluirDoEstoque[#Data],1,FALSE),"sim",""),"")</f>
        <v>sim</v>
      </c>
      <c r="T174" s="43">
        <f>IF(AND(tabPontoPed[[#This Row],[MENSAL]]&gt;0,tabPontoPed[[#This Row],[CÁLCULO]]&gt;0), ABS( tabPontoPed[[#This Row],[MENSAL]] - tabPontoPed[[#This Row],[CÁLCULO]] ) / tabPontoPed[[#This Row],[MENSAL]], -1 )</f>
        <v>0.70322580645161292</v>
      </c>
      <c r="U174" s="58">
        <v>70</v>
      </c>
      <c r="V174" s="35">
        <f>IF(AND(tabPontoPed[[#This Row],[MENSAL]]&gt;0,tabPontoPed[[#This Row],[CÁLCULO]]&gt;0), IF( tabPontoPed[[#This Row],[MENSAL]] - tabPontoPed[[#This Row],[CÁLCULO]] &lt; 0, -1, IF( tabPontoPed[[#This Row],[MENSAL]] - tabPontoPed[[#This Row],[CÁLCULO]] &gt; 0, 1, -8)), -9 )</f>
        <v>1</v>
      </c>
      <c r="W174" s="35"/>
      <c r="X174" s="49" t="s">
        <v>1564</v>
      </c>
      <c r="Y174" s="51">
        <v>44391.599108796298</v>
      </c>
      <c r="Z174" s="72">
        <f>tabPontoPed[CÁLC_4M] - tabPontoPed[CÁLCULO]</f>
        <v>1</v>
      </c>
      <c r="AA174" s="79" t="str">
        <f>IF(tabPontoPed[MENSAL]-tabPontoPed[ATA MENSAL] = 0,"sim","")</f>
        <v/>
      </c>
      <c r="AB174" s="79"/>
      <c r="AC174" s="47" t="str">
        <f t="shared" si="2"/>
        <v>*</v>
      </c>
    </row>
    <row r="175" spans="1:29" x14ac:dyDescent="0.25">
      <c r="A175" s="36">
        <v>108393</v>
      </c>
      <c r="B175" s="68" t="s">
        <v>633</v>
      </c>
      <c r="C175" s="33" t="s">
        <v>1317</v>
      </c>
      <c r="D175" s="32">
        <v>55</v>
      </c>
      <c r="E175" s="37">
        <v>26</v>
      </c>
      <c r="F175" s="38" t="str">
        <f>VLOOKUP(tabPontoPed[[#This Row],[GRUPO]],tabGrupos[#Data],2,FALSE)</f>
        <v>EQUIP. MAT. P/ GERACAO, TRANSM. DISTR. RETIF...</v>
      </c>
      <c r="G175" s="32" t="str">
        <f>VLOOKUP(tabPontoPed[[#This Row],[GRUPO]],tabGrupos[#Data],3,FALSE)</f>
        <v>MEL</v>
      </c>
      <c r="H175" s="33" t="s">
        <v>1311</v>
      </c>
      <c r="I175" s="80">
        <v>4</v>
      </c>
      <c r="J175" s="39">
        <v>10</v>
      </c>
      <c r="K175" s="41">
        <f>tabPontoPed[[#This Row],[QTDMÊS]] * tabPontoPed[[#This Row],[MENSAL]]</f>
        <v>40</v>
      </c>
      <c r="L175" s="83"/>
      <c r="M175" s="81"/>
      <c r="N175" s="34" t="s">
        <v>1009</v>
      </c>
      <c r="O175" s="76" t="s">
        <v>1676</v>
      </c>
      <c r="P175" s="77">
        <v>0</v>
      </c>
      <c r="Q175" s="57">
        <v>1</v>
      </c>
      <c r="R175" s="42">
        <v>3</v>
      </c>
      <c r="S175" s="69" t="str">
        <f>_xlfn.IFNA(IF(VLOOKUP(tabPontoPed[[#This Row],[CÓDIGO]],tabExcluirDoEstoque[#Data],1,FALSE),"sim",""),"")</f>
        <v/>
      </c>
      <c r="T175" s="43">
        <f>IF(AND(tabPontoPed[[#This Row],[MENSAL]]&gt;0,tabPontoPed[[#This Row],[CÁLCULO]]&gt;0), ABS( tabPontoPed[[#This Row],[MENSAL]] - tabPontoPed[[#This Row],[CÁLCULO]] ) / tabPontoPed[[#This Row],[MENSAL]], -1 )</f>
        <v>0.7</v>
      </c>
      <c r="U175" s="58">
        <v>14</v>
      </c>
      <c r="V175" s="35">
        <f>IF(AND(tabPontoPed[[#This Row],[MENSAL]]&gt;0,tabPontoPed[[#This Row],[CÁLCULO]]&gt;0), IF( tabPontoPed[[#This Row],[MENSAL]] - tabPontoPed[[#This Row],[CÁLCULO]] &lt; 0, -1, IF( tabPontoPed[[#This Row],[MENSAL]] - tabPontoPed[[#This Row],[CÁLCULO]] &gt; 0, 1, -8)), -9 )</f>
        <v>1</v>
      </c>
      <c r="W175" s="35"/>
      <c r="X175" s="49" t="s">
        <v>1564</v>
      </c>
      <c r="Y175" s="51">
        <v>44391.599108796298</v>
      </c>
      <c r="Z175" s="72">
        <f>tabPontoPed[CÁLC_4M] - tabPontoPed[CÁLCULO]</f>
        <v>-2</v>
      </c>
      <c r="AA175" s="79" t="str">
        <f>IF(tabPontoPed[MENSAL]-tabPontoPed[ATA MENSAL] = 0,"sim","")</f>
        <v/>
      </c>
      <c r="AB175" s="79" t="s">
        <v>1614</v>
      </c>
      <c r="AC175" s="47" t="str">
        <f t="shared" si="2"/>
        <v>*</v>
      </c>
    </row>
    <row r="176" spans="1:29" x14ac:dyDescent="0.25">
      <c r="A176" s="36">
        <v>93325</v>
      </c>
      <c r="B176" s="68" t="s">
        <v>61</v>
      </c>
      <c r="C176" s="33" t="s">
        <v>1317</v>
      </c>
      <c r="D176" s="32">
        <v>57</v>
      </c>
      <c r="E176" s="37">
        <v>2</v>
      </c>
      <c r="F176" s="38" t="str">
        <f>VLOOKUP(tabPontoPed[[#This Row],[GRUPO]],tabGrupos[#Data],2,FALSE)</f>
        <v>MAQ. E EQUIP. P/ IND. GRAFICA COMP. ACESS. E PAPEI</v>
      </c>
      <c r="G176" s="32" t="str">
        <f>VLOOKUP(tabPontoPed[[#This Row],[GRUPO]],tabGrupos[#Data],3,FALSE)</f>
        <v>EDU</v>
      </c>
      <c r="H176" s="33" t="s">
        <v>1311</v>
      </c>
      <c r="I176" s="80">
        <v>4</v>
      </c>
      <c r="J176" s="39">
        <v>834</v>
      </c>
      <c r="K176" s="41">
        <f>tabPontoPed[[#This Row],[QTDMÊS]] * tabPontoPed[[#This Row],[MENSAL]]</f>
        <v>3336</v>
      </c>
      <c r="L176" s="83"/>
      <c r="M176" s="81"/>
      <c r="N176" s="34" t="s">
        <v>1009</v>
      </c>
      <c r="O176" s="76" t="s">
        <v>1718</v>
      </c>
      <c r="P176" s="77">
        <v>0</v>
      </c>
      <c r="Q176" s="57">
        <v>260</v>
      </c>
      <c r="R176" s="42">
        <v>252</v>
      </c>
      <c r="S176" s="69" t="str">
        <f>_xlfn.IFNA(IF(VLOOKUP(tabPontoPed[[#This Row],[CÓDIGO]],tabExcluirDoEstoque[#Data],1,FALSE),"sim",""),"")</f>
        <v/>
      </c>
      <c r="T176" s="43">
        <f>IF(AND(tabPontoPed[[#This Row],[MENSAL]]&gt;0,tabPontoPed[[#This Row],[CÁLCULO]]&gt;0), ABS( tabPontoPed[[#This Row],[MENSAL]] - tabPontoPed[[#This Row],[CÁLCULO]] ) / tabPontoPed[[#This Row],[MENSAL]], -1 )</f>
        <v>0.69784172661870503</v>
      </c>
      <c r="U176" s="58">
        <v>550</v>
      </c>
      <c r="V176" s="35">
        <f>IF(AND(tabPontoPed[[#This Row],[MENSAL]]&gt;0,tabPontoPed[[#This Row],[CÁLCULO]]&gt;0), IF( tabPontoPed[[#This Row],[MENSAL]] - tabPontoPed[[#This Row],[CÁLCULO]] &lt; 0, -1, IF( tabPontoPed[[#This Row],[MENSAL]] - tabPontoPed[[#This Row],[CÁLCULO]] &gt; 0, 1, -8)), -9 )</f>
        <v>1</v>
      </c>
      <c r="W176" s="35"/>
      <c r="X176" s="49" t="s">
        <v>1564</v>
      </c>
      <c r="Y176" s="51">
        <v>44391.599108796298</v>
      </c>
      <c r="Z176" s="72">
        <f>tabPontoPed[CÁLC_4M] - tabPontoPed[CÁLCULO]</f>
        <v>8</v>
      </c>
      <c r="AA176" s="79" t="str">
        <f>IF(tabPontoPed[MENSAL]-tabPontoPed[ATA MENSAL] = 0,"sim","")</f>
        <v/>
      </c>
      <c r="AB176" s="79" t="s">
        <v>1614</v>
      </c>
      <c r="AC176" s="47" t="str">
        <f t="shared" si="2"/>
        <v>*</v>
      </c>
    </row>
    <row r="177" spans="1:29" x14ac:dyDescent="0.25">
      <c r="A177" s="36">
        <v>27138</v>
      </c>
      <c r="B177" s="68" t="s">
        <v>58</v>
      </c>
      <c r="C177" s="33" t="s">
        <v>1317</v>
      </c>
      <c r="D177" s="32">
        <v>57</v>
      </c>
      <c r="E177" s="37">
        <v>2</v>
      </c>
      <c r="F177" s="38" t="str">
        <f>VLOOKUP(tabPontoPed[[#This Row],[GRUPO]],tabGrupos[#Data],2,FALSE)</f>
        <v>MAQ. E EQUIP. P/ IND. GRAFICA COMP. ACESS. E PAPEI</v>
      </c>
      <c r="G177" s="32" t="str">
        <f>VLOOKUP(tabPontoPed[[#This Row],[GRUPO]],tabGrupos[#Data],3,FALSE)</f>
        <v>EDU</v>
      </c>
      <c r="H177" s="33" t="s">
        <v>1311</v>
      </c>
      <c r="I177" s="80">
        <v>4</v>
      </c>
      <c r="J177" s="39">
        <v>834</v>
      </c>
      <c r="K177" s="41">
        <f>tabPontoPed[[#This Row],[QTDMÊS]] * tabPontoPed[[#This Row],[MENSAL]]</f>
        <v>3336</v>
      </c>
      <c r="L177" s="83"/>
      <c r="M177" s="81"/>
      <c r="N177" s="34" t="s">
        <v>1009</v>
      </c>
      <c r="O177" s="76" t="s">
        <v>1718</v>
      </c>
      <c r="P177" s="77">
        <v>0</v>
      </c>
      <c r="Q177" s="57">
        <v>275</v>
      </c>
      <c r="R177" s="42">
        <v>252</v>
      </c>
      <c r="S177" s="69" t="str">
        <f>_xlfn.IFNA(IF(VLOOKUP(tabPontoPed[[#This Row],[CÓDIGO]],tabExcluirDoEstoque[#Data],1,FALSE),"sim",""),"")</f>
        <v/>
      </c>
      <c r="T177" s="43">
        <f>IF(AND(tabPontoPed[[#This Row],[MENSAL]]&gt;0,tabPontoPed[[#This Row],[CÁLCULO]]&gt;0), ABS( tabPontoPed[[#This Row],[MENSAL]] - tabPontoPed[[#This Row],[CÁLCULO]] ) / tabPontoPed[[#This Row],[MENSAL]], -1 )</f>
        <v>0.69784172661870503</v>
      </c>
      <c r="U177" s="58">
        <v>601</v>
      </c>
      <c r="V177" s="35">
        <f>IF(AND(tabPontoPed[[#This Row],[MENSAL]]&gt;0,tabPontoPed[[#This Row],[CÁLCULO]]&gt;0), IF( tabPontoPed[[#This Row],[MENSAL]] - tabPontoPed[[#This Row],[CÁLCULO]] &lt; 0, -1, IF( tabPontoPed[[#This Row],[MENSAL]] - tabPontoPed[[#This Row],[CÁLCULO]] &gt; 0, 1, -8)), -9 )</f>
        <v>1</v>
      </c>
      <c r="W177" s="35"/>
      <c r="X177" s="49" t="s">
        <v>1564</v>
      </c>
      <c r="Y177" s="51">
        <v>44391.599108796298</v>
      </c>
      <c r="Z177" s="72">
        <f>tabPontoPed[CÁLC_4M] - tabPontoPed[CÁLCULO]</f>
        <v>23</v>
      </c>
      <c r="AA177" s="79" t="str">
        <f>IF(tabPontoPed[MENSAL]-tabPontoPed[ATA MENSAL] = 0,"sim","")</f>
        <v/>
      </c>
      <c r="AB177" s="79" t="s">
        <v>1614</v>
      </c>
      <c r="AC177" s="47" t="str">
        <f t="shared" si="2"/>
        <v>*</v>
      </c>
    </row>
    <row r="178" spans="1:29" x14ac:dyDescent="0.25">
      <c r="A178" s="36">
        <v>12018</v>
      </c>
      <c r="B178" s="68" t="s">
        <v>436</v>
      </c>
      <c r="C178" s="33" t="s">
        <v>1317</v>
      </c>
      <c r="D178" s="32">
        <v>45</v>
      </c>
      <c r="E178" s="37">
        <v>11</v>
      </c>
      <c r="F178" s="38" t="str">
        <f>VLOOKUP(tabPontoPed[[#This Row],[GRUPO]],tabGrupos[#Data],2,FALSE)</f>
        <v>MAQ., EQUIP., COMP., ACES., MAT. PARA ESCRIT.E ESCOLAR</v>
      </c>
      <c r="G178" s="32" t="str">
        <f>VLOOKUP(tabPontoPed[[#This Row],[GRUPO]],tabGrupos[#Data],3,FALSE)</f>
        <v>EDU</v>
      </c>
      <c r="H178" s="33" t="s">
        <v>1311</v>
      </c>
      <c r="I178" s="80">
        <v>4</v>
      </c>
      <c r="J178" s="39">
        <v>33</v>
      </c>
      <c r="K178" s="41">
        <f>tabPontoPed[[#This Row],[QTDMÊS]] * tabPontoPed[[#This Row],[MENSAL]]</f>
        <v>132</v>
      </c>
      <c r="L178" s="83"/>
      <c r="M178" s="81"/>
      <c r="N178" s="34" t="s">
        <v>1009</v>
      </c>
      <c r="O178" s="76" t="s">
        <v>1696</v>
      </c>
      <c r="P178" s="77">
        <v>0</v>
      </c>
      <c r="Q178" s="57">
        <v>9</v>
      </c>
      <c r="R178" s="42">
        <v>10</v>
      </c>
      <c r="S178" s="69" t="str">
        <f>_xlfn.IFNA(IF(VLOOKUP(tabPontoPed[[#This Row],[CÓDIGO]],tabExcluirDoEstoque[#Data],1,FALSE),"sim",""),"")</f>
        <v/>
      </c>
      <c r="T178" s="43">
        <f>IF(AND(tabPontoPed[[#This Row],[MENSAL]]&gt;0,tabPontoPed[[#This Row],[CÁLCULO]]&gt;0), ABS( tabPontoPed[[#This Row],[MENSAL]] - tabPontoPed[[#This Row],[CÁLCULO]] ) / tabPontoPed[[#This Row],[MENSAL]], -1 )</f>
        <v>0.69696969696969702</v>
      </c>
      <c r="U178" s="58">
        <v>27</v>
      </c>
      <c r="V178" s="35">
        <f>IF(AND(tabPontoPed[[#This Row],[MENSAL]]&gt;0,tabPontoPed[[#This Row],[CÁLCULO]]&gt;0), IF( tabPontoPed[[#This Row],[MENSAL]] - tabPontoPed[[#This Row],[CÁLCULO]] &lt; 0, -1, IF( tabPontoPed[[#This Row],[MENSAL]] - tabPontoPed[[#This Row],[CÁLCULO]] &gt; 0, 1, -8)), -9 )</f>
        <v>1</v>
      </c>
      <c r="W178" s="35"/>
      <c r="X178" s="49" t="s">
        <v>1564</v>
      </c>
      <c r="Y178" s="51">
        <v>44391.599108796298</v>
      </c>
      <c r="Z178" s="72">
        <f>tabPontoPed[CÁLC_4M] - tabPontoPed[CÁLCULO]</f>
        <v>-1</v>
      </c>
      <c r="AA178" s="79" t="str">
        <f>IF(tabPontoPed[MENSAL]-tabPontoPed[ATA MENSAL] = 0,"sim","")</f>
        <v/>
      </c>
      <c r="AB178" s="79"/>
      <c r="AC178" s="47" t="str">
        <f t="shared" si="2"/>
        <v>*</v>
      </c>
    </row>
    <row r="179" spans="1:29" x14ac:dyDescent="0.25">
      <c r="A179" s="36">
        <v>138471</v>
      </c>
      <c r="B179" s="68" t="s">
        <v>1535</v>
      </c>
      <c r="C179" s="33">
        <v>1</v>
      </c>
      <c r="D179" s="32">
        <v>45</v>
      </c>
      <c r="E179" s="37">
        <v>12</v>
      </c>
      <c r="F179" s="38" t="str">
        <f>VLOOKUP(tabPontoPed[[#This Row],[GRUPO]],tabGrupos[#Data],2,FALSE)</f>
        <v>MAQ., EQUIP., COMP., ACES., MAT. PARA ESCRIT.E ESCOLAR</v>
      </c>
      <c r="G179" s="32" t="str">
        <f>VLOOKUP(tabPontoPed[[#This Row],[GRUPO]],tabGrupos[#Data],3,FALSE)</f>
        <v>EDU</v>
      </c>
      <c r="H179" s="33" t="s">
        <v>1311</v>
      </c>
      <c r="I179" s="80">
        <v>4</v>
      </c>
      <c r="J179" s="39">
        <v>1585</v>
      </c>
      <c r="K179" s="41">
        <f>tabPontoPed[[#This Row],[QTDMÊS]] * tabPontoPed[[#This Row],[MENSAL]]</f>
        <v>6340</v>
      </c>
      <c r="L179" s="83"/>
      <c r="M179" s="81"/>
      <c r="N179" s="34" t="s">
        <v>1009</v>
      </c>
      <c r="O179" s="76"/>
      <c r="P179" s="77">
        <v>0</v>
      </c>
      <c r="Q179" s="57">
        <v>431</v>
      </c>
      <c r="R179" s="42">
        <v>487</v>
      </c>
      <c r="S179" s="69" t="str">
        <f>_xlfn.IFNA(IF(VLOOKUP(tabPontoPed[[#This Row],[CÓDIGO]],tabExcluirDoEstoque[#Data],1,FALSE),"sim",""),"")</f>
        <v/>
      </c>
      <c r="T179" s="43">
        <f>IF(AND(tabPontoPed[[#This Row],[MENSAL]]&gt;0,tabPontoPed[[#This Row],[CÁLCULO]]&gt;0), ABS( tabPontoPed[[#This Row],[MENSAL]] - tabPontoPed[[#This Row],[CÁLCULO]] ) / tabPontoPed[[#This Row],[MENSAL]], -1 )</f>
        <v>0.69274447949526818</v>
      </c>
      <c r="U179" s="58">
        <v>3819</v>
      </c>
      <c r="V179" s="35">
        <f>IF(AND(tabPontoPed[[#This Row],[MENSAL]]&gt;0,tabPontoPed[[#This Row],[CÁLCULO]]&gt;0), IF( tabPontoPed[[#This Row],[MENSAL]] - tabPontoPed[[#This Row],[CÁLCULO]] &lt; 0, -1, IF( tabPontoPed[[#This Row],[MENSAL]] - tabPontoPed[[#This Row],[CÁLCULO]] &gt; 0, 1, -8)), -9 )</f>
        <v>1</v>
      </c>
      <c r="W179" s="35"/>
      <c r="X179" s="49" t="s">
        <v>1564</v>
      </c>
      <c r="Y179" s="51">
        <v>44391.599108796298</v>
      </c>
      <c r="Z179" s="72">
        <f>tabPontoPed[CÁLC_4M] - tabPontoPed[CÁLCULO]</f>
        <v>-56</v>
      </c>
      <c r="AA179" s="79" t="str">
        <f>IF(tabPontoPed[MENSAL]-tabPontoPed[ATA MENSAL] = 0,"sim","")</f>
        <v/>
      </c>
      <c r="AB179" s="79"/>
      <c r="AC179" s="47" t="str">
        <f t="shared" si="2"/>
        <v>*</v>
      </c>
    </row>
    <row r="180" spans="1:29" x14ac:dyDescent="0.25">
      <c r="A180" s="36">
        <v>20037</v>
      </c>
      <c r="B180" s="68" t="s">
        <v>911</v>
      </c>
      <c r="C180" s="33" t="s">
        <v>1317</v>
      </c>
      <c r="D180" s="32">
        <v>70</v>
      </c>
      <c r="E180" s="37">
        <v>31</v>
      </c>
      <c r="F180" s="38" t="str">
        <f>VLOOKUP(tabPontoPed[[#This Row],[GRUPO]],tabGrupos[#Data],2,FALSE)</f>
        <v>FERRAMENTAS MAQ.FERRAMENTAS,ELETR.PECAS E ACESSORI</v>
      </c>
      <c r="G180" s="32" t="str">
        <f>VLOOKUP(tabPontoPed[[#This Row],[GRUPO]],tabGrupos[#Data],3,FALSE)</f>
        <v>MAN</v>
      </c>
      <c r="H180" s="33" t="s">
        <v>1311</v>
      </c>
      <c r="I180" s="80">
        <v>4</v>
      </c>
      <c r="J180" s="39">
        <v>13</v>
      </c>
      <c r="K180" s="41">
        <f>tabPontoPed[[#This Row],[QTDMÊS]] * tabPontoPed[[#This Row],[MENSAL]]</f>
        <v>52</v>
      </c>
      <c r="L180" s="83"/>
      <c r="M180" s="81"/>
      <c r="N180" s="34" t="s">
        <v>1009</v>
      </c>
      <c r="O180" s="76" t="s">
        <v>1698</v>
      </c>
      <c r="P180" s="77">
        <v>0</v>
      </c>
      <c r="Q180" s="57">
        <v>7</v>
      </c>
      <c r="R180" s="42">
        <v>4</v>
      </c>
      <c r="S180" s="69" t="str">
        <f>_xlfn.IFNA(IF(VLOOKUP(tabPontoPed[[#This Row],[CÓDIGO]],tabExcluirDoEstoque[#Data],1,FALSE),"sim",""),"")</f>
        <v/>
      </c>
      <c r="T180" s="43">
        <f>IF(AND(tabPontoPed[[#This Row],[MENSAL]]&gt;0,tabPontoPed[[#This Row],[CÁLCULO]]&gt;0), ABS( tabPontoPed[[#This Row],[MENSAL]] - tabPontoPed[[#This Row],[CÁLCULO]] ) / tabPontoPed[[#This Row],[MENSAL]], -1 )</f>
        <v>0.69230769230769229</v>
      </c>
      <c r="U180" s="58">
        <v>11</v>
      </c>
      <c r="V180" s="35">
        <f>IF(AND(tabPontoPed[[#This Row],[MENSAL]]&gt;0,tabPontoPed[[#This Row],[CÁLCULO]]&gt;0), IF( tabPontoPed[[#This Row],[MENSAL]] - tabPontoPed[[#This Row],[CÁLCULO]] &lt; 0, -1, IF( tabPontoPed[[#This Row],[MENSAL]] - tabPontoPed[[#This Row],[CÁLCULO]] &gt; 0, 1, -8)), -9 )</f>
        <v>1</v>
      </c>
      <c r="W180" s="35"/>
      <c r="X180" s="49" t="s">
        <v>1564</v>
      </c>
      <c r="Y180" s="51">
        <v>44391.599108796298</v>
      </c>
      <c r="Z180" s="72">
        <f>tabPontoPed[CÁLC_4M] - tabPontoPed[CÁLCULO]</f>
        <v>3</v>
      </c>
      <c r="AA180" s="79" t="str">
        <f>IF(tabPontoPed[MENSAL]-tabPontoPed[ATA MENSAL] = 0,"sim","")</f>
        <v/>
      </c>
      <c r="AB180" s="79" t="s">
        <v>1614</v>
      </c>
      <c r="AC180" s="47" t="str">
        <f t="shared" si="2"/>
        <v>*</v>
      </c>
    </row>
    <row r="181" spans="1:29" x14ac:dyDescent="0.25">
      <c r="A181" s="36">
        <v>82452</v>
      </c>
      <c r="B181" s="68" t="s">
        <v>766</v>
      </c>
      <c r="C181" s="33" t="s">
        <v>1317</v>
      </c>
      <c r="D181" s="32">
        <v>61</v>
      </c>
      <c r="E181" s="37">
        <v>8</v>
      </c>
      <c r="F181" s="38" t="str">
        <f>VLOOKUP(tabPontoPed[[#This Row],[GRUPO]],tabGrupos[#Data],2,FALSE)</f>
        <v>MATERIAL HIDRAULICO, CANOS, TUBOS, MANGUEIRAS, CONEXOES E ACESS.</v>
      </c>
      <c r="G181" s="32" t="str">
        <f>VLOOKUP(tabPontoPed[[#This Row],[GRUPO]],tabGrupos[#Data],3,FALSE)</f>
        <v>MHI</v>
      </c>
      <c r="H181" s="33" t="s">
        <v>1311</v>
      </c>
      <c r="I181" s="80">
        <v>4</v>
      </c>
      <c r="J181" s="39">
        <v>13</v>
      </c>
      <c r="K181" s="41">
        <f>tabPontoPed[[#This Row],[QTDMÊS]] * tabPontoPed[[#This Row],[MENSAL]]</f>
        <v>52</v>
      </c>
      <c r="L181" s="83"/>
      <c r="M181" s="81"/>
      <c r="N181" s="34" t="s">
        <v>1009</v>
      </c>
      <c r="O181" s="76" t="s">
        <v>1691</v>
      </c>
      <c r="P181" s="77">
        <v>0</v>
      </c>
      <c r="Q181" s="57">
        <v>3</v>
      </c>
      <c r="R181" s="42">
        <v>4</v>
      </c>
      <c r="S181" s="69" t="str">
        <f>_xlfn.IFNA(IF(VLOOKUP(tabPontoPed[[#This Row],[CÓDIGO]],tabExcluirDoEstoque[#Data],1,FALSE),"sim",""),"")</f>
        <v/>
      </c>
      <c r="T181" s="43">
        <f>IF(AND(tabPontoPed[[#This Row],[MENSAL]]&gt;0,tabPontoPed[[#This Row],[CÁLCULO]]&gt;0), ABS( tabPontoPed[[#This Row],[MENSAL]] - tabPontoPed[[#This Row],[CÁLCULO]] ) / tabPontoPed[[#This Row],[MENSAL]], -1 )</f>
        <v>0.69230769230769229</v>
      </c>
      <c r="U181" s="58">
        <v>25</v>
      </c>
      <c r="V181" s="35">
        <f>IF(AND(tabPontoPed[[#This Row],[MENSAL]]&gt;0,tabPontoPed[[#This Row],[CÁLCULO]]&gt;0), IF( tabPontoPed[[#This Row],[MENSAL]] - tabPontoPed[[#This Row],[CÁLCULO]] &lt; 0, -1, IF( tabPontoPed[[#This Row],[MENSAL]] - tabPontoPed[[#This Row],[CÁLCULO]] &gt; 0, 1, -8)), -9 )</f>
        <v>1</v>
      </c>
      <c r="W181" s="35"/>
      <c r="X181" s="48" t="s">
        <v>1564</v>
      </c>
      <c r="Y181" s="53">
        <v>44391.599108796298</v>
      </c>
      <c r="Z181" s="72">
        <f>tabPontoPed[CÁLC_4M] - tabPontoPed[CÁLCULO]</f>
        <v>-1</v>
      </c>
      <c r="AA181" s="79" t="str">
        <f>IF(tabPontoPed[MENSAL]-tabPontoPed[ATA MENSAL] = 0,"sim","")</f>
        <v/>
      </c>
      <c r="AB181" s="79"/>
      <c r="AC181" s="47" t="str">
        <f t="shared" si="2"/>
        <v>*</v>
      </c>
    </row>
    <row r="182" spans="1:29" x14ac:dyDescent="0.25">
      <c r="A182" s="36">
        <v>27139</v>
      </c>
      <c r="B182" s="68" t="s">
        <v>59</v>
      </c>
      <c r="C182" s="33" t="s">
        <v>1317</v>
      </c>
      <c r="D182" s="32">
        <v>57</v>
      </c>
      <c r="E182" s="37">
        <v>2</v>
      </c>
      <c r="F182" s="38" t="str">
        <f>VLOOKUP(tabPontoPed[[#This Row],[GRUPO]],tabGrupos[#Data],2,FALSE)</f>
        <v>MAQ. E EQUIP. P/ IND. GRAFICA COMP. ACESS. E PAPEI</v>
      </c>
      <c r="G182" s="32" t="str">
        <f>VLOOKUP(tabPontoPed[[#This Row],[GRUPO]],tabGrupos[#Data],3,FALSE)</f>
        <v>EDU</v>
      </c>
      <c r="H182" s="33" t="s">
        <v>1311</v>
      </c>
      <c r="I182" s="80">
        <v>4</v>
      </c>
      <c r="J182" s="39">
        <v>834</v>
      </c>
      <c r="K182" s="41">
        <f>tabPontoPed[[#This Row],[QTDMÊS]] * tabPontoPed[[#This Row],[MENSAL]]</f>
        <v>3336</v>
      </c>
      <c r="L182" s="83"/>
      <c r="M182" s="81"/>
      <c r="N182" s="34" t="s">
        <v>1009</v>
      </c>
      <c r="O182" s="76" t="s">
        <v>1718</v>
      </c>
      <c r="P182" s="77">
        <v>0</v>
      </c>
      <c r="Q182" s="57">
        <v>283</v>
      </c>
      <c r="R182" s="42">
        <v>260</v>
      </c>
      <c r="S182" s="69" t="str">
        <f>_xlfn.IFNA(IF(VLOOKUP(tabPontoPed[[#This Row],[CÓDIGO]],tabExcluirDoEstoque[#Data],1,FALSE),"sim",""),"")</f>
        <v/>
      </c>
      <c r="T182" s="43">
        <f>IF(AND(tabPontoPed[[#This Row],[MENSAL]]&gt;0,tabPontoPed[[#This Row],[CÁLCULO]]&gt;0), ABS( tabPontoPed[[#This Row],[MENSAL]] - tabPontoPed[[#This Row],[CÁLCULO]] ) / tabPontoPed[[#This Row],[MENSAL]], -1 )</f>
        <v>0.68824940047961636</v>
      </c>
      <c r="U182" s="58">
        <v>598</v>
      </c>
      <c r="V182" s="35">
        <f>IF(AND(tabPontoPed[[#This Row],[MENSAL]]&gt;0,tabPontoPed[[#This Row],[CÁLCULO]]&gt;0), IF( tabPontoPed[[#This Row],[MENSAL]] - tabPontoPed[[#This Row],[CÁLCULO]] &lt; 0, -1, IF( tabPontoPed[[#This Row],[MENSAL]] - tabPontoPed[[#This Row],[CÁLCULO]] &gt; 0, 1, -8)), -9 )</f>
        <v>1</v>
      </c>
      <c r="W182" s="35"/>
      <c r="X182" s="49" t="s">
        <v>1564</v>
      </c>
      <c r="Y182" s="51">
        <v>44391.599108796298</v>
      </c>
      <c r="Z182" s="72">
        <f>tabPontoPed[CÁLC_4M] - tabPontoPed[CÁLCULO]</f>
        <v>23</v>
      </c>
      <c r="AA182" s="79" t="str">
        <f>IF(tabPontoPed[MENSAL]-tabPontoPed[ATA MENSAL] = 0,"sim","")</f>
        <v/>
      </c>
      <c r="AB182" s="79" t="s">
        <v>1614</v>
      </c>
      <c r="AC182" s="47" t="str">
        <f t="shared" si="2"/>
        <v>*</v>
      </c>
    </row>
    <row r="183" spans="1:29" x14ac:dyDescent="0.25">
      <c r="A183" s="36">
        <v>45607</v>
      </c>
      <c r="B183" s="68" t="s">
        <v>1538</v>
      </c>
      <c r="C183" s="33">
        <v>1</v>
      </c>
      <c r="D183" s="32">
        <v>61</v>
      </c>
      <c r="E183" s="37">
        <v>8</v>
      </c>
      <c r="F183" s="38" t="str">
        <f>VLOOKUP(tabPontoPed[[#This Row],[GRUPO]],tabGrupos[#Data],2,FALSE)</f>
        <v>MATERIAL HIDRAULICO, CANOS, TUBOS, MANGUEIRAS, CONEXOES E ACESS.</v>
      </c>
      <c r="G183" s="32" t="str">
        <f>VLOOKUP(tabPontoPed[[#This Row],[GRUPO]],tabGrupos[#Data],3,FALSE)</f>
        <v>MHI</v>
      </c>
      <c r="H183" s="33" t="s">
        <v>1311</v>
      </c>
      <c r="I183" s="80">
        <v>4</v>
      </c>
      <c r="J183" s="39">
        <v>57</v>
      </c>
      <c r="K183" s="41">
        <f>tabPontoPed[[#This Row],[QTDMÊS]] * tabPontoPed[[#This Row],[MENSAL]]</f>
        <v>228</v>
      </c>
      <c r="L183" s="83"/>
      <c r="M183" s="81"/>
      <c r="N183" s="34" t="s">
        <v>1009</v>
      </c>
      <c r="O183" s="76" t="s">
        <v>1575</v>
      </c>
      <c r="P183" s="77">
        <v>0</v>
      </c>
      <c r="Q183" s="57">
        <v>12</v>
      </c>
      <c r="R183" s="42">
        <v>18</v>
      </c>
      <c r="S183" s="69" t="str">
        <f>_xlfn.IFNA(IF(VLOOKUP(tabPontoPed[[#This Row],[CÓDIGO]],tabExcluirDoEstoque[#Data],1,FALSE),"sim",""),"")</f>
        <v/>
      </c>
      <c r="T183" s="43">
        <f>IF(AND(tabPontoPed[[#This Row],[MENSAL]]&gt;0,tabPontoPed[[#This Row],[CÁLCULO]]&gt;0), ABS( tabPontoPed[[#This Row],[MENSAL]] - tabPontoPed[[#This Row],[CÁLCULO]] ) / tabPontoPed[[#This Row],[MENSAL]], -1 )</f>
        <v>0.68421052631578949</v>
      </c>
      <c r="U183" s="58">
        <v>46</v>
      </c>
      <c r="V183" s="35">
        <f>IF(AND(tabPontoPed[[#This Row],[MENSAL]]&gt;0,tabPontoPed[[#This Row],[CÁLCULO]]&gt;0), IF( tabPontoPed[[#This Row],[MENSAL]] - tabPontoPed[[#This Row],[CÁLCULO]] &lt; 0, -1, IF( tabPontoPed[[#This Row],[MENSAL]] - tabPontoPed[[#This Row],[CÁLCULO]] &gt; 0, 1, -8)), -9 )</f>
        <v>1</v>
      </c>
      <c r="W183" s="35"/>
      <c r="X183" s="49" t="s">
        <v>1564</v>
      </c>
      <c r="Y183" s="51">
        <v>44391.599108796298</v>
      </c>
      <c r="Z183" s="72">
        <f>tabPontoPed[CÁLC_4M] - tabPontoPed[CÁLCULO]</f>
        <v>-6</v>
      </c>
      <c r="AA183" s="79" t="str">
        <f>IF(tabPontoPed[MENSAL]-tabPontoPed[ATA MENSAL] = 0,"sim","")</f>
        <v/>
      </c>
      <c r="AB183" s="79"/>
      <c r="AC183" s="47" t="str">
        <f t="shared" si="2"/>
        <v>*</v>
      </c>
    </row>
    <row r="184" spans="1:29" x14ac:dyDescent="0.25">
      <c r="A184" s="36">
        <v>119407</v>
      </c>
      <c r="B184" s="68" t="s">
        <v>938</v>
      </c>
      <c r="C184" s="33" t="s">
        <v>1317</v>
      </c>
      <c r="D184" s="32">
        <v>72</v>
      </c>
      <c r="E184" s="37">
        <v>10</v>
      </c>
      <c r="F184" s="38" t="str">
        <f>VLOOKUP(tabPontoPed[[#This Row],[GRUPO]],tabGrupos[#Data],2,FALSE)</f>
        <v>MAQ.EQUIP.E MATERIAIS P/ HIGIEN.LIMP.POLIM.E LUBR.</v>
      </c>
      <c r="G184" s="32" t="str">
        <f>VLOOKUP(tabPontoPed[[#This Row],[GRUPO]],tabGrupos[#Data],3,FALSE)</f>
        <v>ADM</v>
      </c>
      <c r="H184" s="33" t="s">
        <v>1311</v>
      </c>
      <c r="I184" s="80">
        <v>4</v>
      </c>
      <c r="J184" s="39">
        <v>50</v>
      </c>
      <c r="K184" s="41">
        <f>tabPontoPed[[#This Row],[QTDMÊS]] * tabPontoPed[[#This Row],[MENSAL]]</f>
        <v>200</v>
      </c>
      <c r="L184" s="83"/>
      <c r="M184" s="81"/>
      <c r="N184" s="34" t="s">
        <v>1009</v>
      </c>
      <c r="O184" s="76" t="s">
        <v>1655</v>
      </c>
      <c r="P184" s="77">
        <v>0</v>
      </c>
      <c r="Q184" s="57">
        <v>19</v>
      </c>
      <c r="R184" s="42">
        <v>16</v>
      </c>
      <c r="S184" s="69" t="str">
        <f>_xlfn.IFNA(IF(VLOOKUP(tabPontoPed[[#This Row],[CÓDIGO]],tabExcluirDoEstoque[#Data],1,FALSE),"sim",""),"")</f>
        <v/>
      </c>
      <c r="T184" s="43">
        <f>IF(AND(tabPontoPed[[#This Row],[MENSAL]]&gt;0,tabPontoPed[[#This Row],[CÁLCULO]]&gt;0), ABS( tabPontoPed[[#This Row],[MENSAL]] - tabPontoPed[[#This Row],[CÁLCULO]] ) / tabPontoPed[[#This Row],[MENSAL]], -1 )</f>
        <v>0.68</v>
      </c>
      <c r="U184" s="58">
        <v>27</v>
      </c>
      <c r="V184" s="35">
        <f>IF(AND(tabPontoPed[[#This Row],[MENSAL]]&gt;0,tabPontoPed[[#This Row],[CÁLCULO]]&gt;0), IF( tabPontoPed[[#This Row],[MENSAL]] - tabPontoPed[[#This Row],[CÁLCULO]] &lt; 0, -1, IF( tabPontoPed[[#This Row],[MENSAL]] - tabPontoPed[[#This Row],[CÁLCULO]] &gt; 0, 1, -8)), -9 )</f>
        <v>1</v>
      </c>
      <c r="W184" s="35"/>
      <c r="X184" s="49" t="s">
        <v>1564</v>
      </c>
      <c r="Y184" s="51">
        <v>44391.599108796298</v>
      </c>
      <c r="Z184" s="72">
        <f>tabPontoPed[CÁLC_4M] - tabPontoPed[CÁLCULO]</f>
        <v>3</v>
      </c>
      <c r="AA184" s="79" t="str">
        <f>IF(tabPontoPed[MENSAL]-tabPontoPed[ATA MENSAL] = 0,"sim","")</f>
        <v/>
      </c>
      <c r="AB184" s="79" t="s">
        <v>1614</v>
      </c>
      <c r="AC184" s="47" t="str">
        <f t="shared" si="2"/>
        <v>*</v>
      </c>
    </row>
    <row r="185" spans="1:29" x14ac:dyDescent="0.25">
      <c r="A185" s="36">
        <v>15299</v>
      </c>
      <c r="B185" s="68" t="s">
        <v>618</v>
      </c>
      <c r="C185" s="33" t="s">
        <v>1317</v>
      </c>
      <c r="D185" s="32">
        <v>55</v>
      </c>
      <c r="E185" s="37">
        <v>7</v>
      </c>
      <c r="F185" s="38" t="str">
        <f>VLOOKUP(tabPontoPed[[#This Row],[GRUPO]],tabGrupos[#Data],2,FALSE)</f>
        <v>EQUIP. MAT. P/ GERACAO, TRANSM. DISTR. RETIF...</v>
      </c>
      <c r="G185" s="32" t="str">
        <f>VLOOKUP(tabPontoPed[[#This Row],[GRUPO]],tabGrupos[#Data],3,FALSE)</f>
        <v>MEL</v>
      </c>
      <c r="H185" s="33" t="s">
        <v>1311</v>
      </c>
      <c r="I185" s="80">
        <v>4</v>
      </c>
      <c r="J185" s="39">
        <v>50</v>
      </c>
      <c r="K185" s="41">
        <f>tabPontoPed[[#This Row],[QTDMÊS]] * tabPontoPed[[#This Row],[MENSAL]]</f>
        <v>200</v>
      </c>
      <c r="L185" s="83"/>
      <c r="M185" s="81"/>
      <c r="N185" s="34" t="s">
        <v>1009</v>
      </c>
      <c r="O185" s="76" t="s">
        <v>1676</v>
      </c>
      <c r="P185" s="77">
        <v>0</v>
      </c>
      <c r="Q185" s="57">
        <v>17</v>
      </c>
      <c r="R185" s="42">
        <v>16</v>
      </c>
      <c r="S185" s="69" t="str">
        <f>_xlfn.IFNA(IF(VLOOKUP(tabPontoPed[[#This Row],[CÓDIGO]],tabExcluirDoEstoque[#Data],1,FALSE),"sim",""),"")</f>
        <v/>
      </c>
      <c r="T185" s="43">
        <f>IF(AND(tabPontoPed[[#This Row],[MENSAL]]&gt;0,tabPontoPed[[#This Row],[CÁLCULO]]&gt;0), ABS( tabPontoPed[[#This Row],[MENSAL]] - tabPontoPed[[#This Row],[CÁLCULO]] ) / tabPontoPed[[#This Row],[MENSAL]], -1 )</f>
        <v>0.68</v>
      </c>
      <c r="U185" s="58">
        <v>35</v>
      </c>
      <c r="V185" s="35">
        <f>IF(AND(tabPontoPed[[#This Row],[MENSAL]]&gt;0,tabPontoPed[[#This Row],[CÁLCULO]]&gt;0), IF( tabPontoPed[[#This Row],[MENSAL]] - tabPontoPed[[#This Row],[CÁLCULO]] &lt; 0, -1, IF( tabPontoPed[[#This Row],[MENSAL]] - tabPontoPed[[#This Row],[CÁLCULO]] &gt; 0, 1, -8)), -9 )</f>
        <v>1</v>
      </c>
      <c r="W185" s="35"/>
      <c r="X185" s="49" t="s">
        <v>1564</v>
      </c>
      <c r="Y185" s="51">
        <v>44391.599108796298</v>
      </c>
      <c r="Z185" s="72">
        <f>tabPontoPed[CÁLC_4M] - tabPontoPed[CÁLCULO]</f>
        <v>1</v>
      </c>
      <c r="AA185" s="79" t="str">
        <f>IF(tabPontoPed[MENSAL]-tabPontoPed[ATA MENSAL] = 0,"sim","")</f>
        <v/>
      </c>
      <c r="AB185" s="79" t="s">
        <v>1614</v>
      </c>
      <c r="AC185" s="47" t="str">
        <f t="shared" si="2"/>
        <v>*</v>
      </c>
    </row>
    <row r="186" spans="1:29" x14ac:dyDescent="0.25">
      <c r="A186" s="36">
        <v>135301</v>
      </c>
      <c r="B186" s="68" t="s">
        <v>302</v>
      </c>
      <c r="C186" s="33" t="s">
        <v>1317</v>
      </c>
      <c r="D186" s="32">
        <v>61</v>
      </c>
      <c r="E186" s="37">
        <v>8</v>
      </c>
      <c r="F186" s="38" t="str">
        <f>VLOOKUP(tabPontoPed[[#This Row],[GRUPO]],tabGrupos[#Data],2,FALSE)</f>
        <v>MATERIAL HIDRAULICO, CANOS, TUBOS, MANGUEIRAS, CONEXOES E ACESS.</v>
      </c>
      <c r="G186" s="32" t="str">
        <f>VLOOKUP(tabPontoPed[[#This Row],[GRUPO]],tabGrupos[#Data],3,FALSE)</f>
        <v>MHI</v>
      </c>
      <c r="H186" s="33" t="s">
        <v>1311</v>
      </c>
      <c r="I186" s="80">
        <v>4</v>
      </c>
      <c r="J186" s="39">
        <v>34</v>
      </c>
      <c r="K186" s="41">
        <f>tabPontoPed[[#This Row],[QTDMÊS]] * tabPontoPed[[#This Row],[MENSAL]]</f>
        <v>136</v>
      </c>
      <c r="L186" s="83"/>
      <c r="M186" s="81"/>
      <c r="N186" s="34" t="s">
        <v>1009</v>
      </c>
      <c r="O186" s="76" t="s">
        <v>1678</v>
      </c>
      <c r="P186" s="77">
        <v>0</v>
      </c>
      <c r="Q186" s="57">
        <v>13</v>
      </c>
      <c r="R186" s="42">
        <v>11</v>
      </c>
      <c r="S186" s="69" t="str">
        <f>_xlfn.IFNA(IF(VLOOKUP(tabPontoPed[[#This Row],[CÓDIGO]],tabExcluirDoEstoque[#Data],1,FALSE),"sim",""),"")</f>
        <v/>
      </c>
      <c r="T186" s="43">
        <f>IF(AND(tabPontoPed[[#This Row],[MENSAL]]&gt;0,tabPontoPed[[#This Row],[CÁLCULO]]&gt;0), ABS( tabPontoPed[[#This Row],[MENSAL]] - tabPontoPed[[#This Row],[CÁLCULO]] ) / tabPontoPed[[#This Row],[MENSAL]], -1 )</f>
        <v>0.67647058823529416</v>
      </c>
      <c r="U186" s="58">
        <v>19</v>
      </c>
      <c r="V186" s="35">
        <f>IF(AND(tabPontoPed[[#This Row],[MENSAL]]&gt;0,tabPontoPed[[#This Row],[CÁLCULO]]&gt;0), IF( tabPontoPed[[#This Row],[MENSAL]] - tabPontoPed[[#This Row],[CÁLCULO]] &lt; 0, -1, IF( tabPontoPed[[#This Row],[MENSAL]] - tabPontoPed[[#This Row],[CÁLCULO]] &gt; 0, 1, -8)), -9 )</f>
        <v>1</v>
      </c>
      <c r="W186" s="35"/>
      <c r="X186" s="48" t="s">
        <v>1564</v>
      </c>
      <c r="Y186" s="53">
        <v>44391.599108796298</v>
      </c>
      <c r="Z186" s="72">
        <f>tabPontoPed[CÁLC_4M] - tabPontoPed[CÁLCULO]</f>
        <v>2</v>
      </c>
      <c r="AA186" s="79" t="str">
        <f>IF(tabPontoPed[MENSAL]-tabPontoPed[ATA MENSAL] = 0,"sim","")</f>
        <v/>
      </c>
      <c r="AB186" s="79" t="s">
        <v>1614</v>
      </c>
      <c r="AC186" s="47" t="str">
        <f t="shared" si="2"/>
        <v>*</v>
      </c>
    </row>
    <row r="187" spans="1:29" x14ac:dyDescent="0.25">
      <c r="A187" s="36">
        <v>23986</v>
      </c>
      <c r="B187" s="68" t="s">
        <v>50</v>
      </c>
      <c r="C187" s="33" t="s">
        <v>1317</v>
      </c>
      <c r="D187" s="32">
        <v>57</v>
      </c>
      <c r="E187" s="37">
        <v>2</v>
      </c>
      <c r="F187" s="38" t="str">
        <f>VLOOKUP(tabPontoPed[[#This Row],[GRUPO]],tabGrupos[#Data],2,FALSE)</f>
        <v>MAQ. E EQUIP. P/ IND. GRAFICA COMP. ACESS. E PAPEI</v>
      </c>
      <c r="G187" s="32" t="str">
        <f>VLOOKUP(tabPontoPed[[#This Row],[GRUPO]],tabGrupos[#Data],3,FALSE)</f>
        <v>EDU</v>
      </c>
      <c r="H187" s="33" t="s">
        <v>1311</v>
      </c>
      <c r="I187" s="80">
        <v>4</v>
      </c>
      <c r="J187" s="39">
        <v>834</v>
      </c>
      <c r="K187" s="41">
        <f>tabPontoPed[[#This Row],[QTDMÊS]] * tabPontoPed[[#This Row],[MENSAL]]</f>
        <v>3336</v>
      </c>
      <c r="L187" s="83"/>
      <c r="M187" s="81"/>
      <c r="N187" s="34" t="s">
        <v>1009</v>
      </c>
      <c r="O187" s="76" t="s">
        <v>1718</v>
      </c>
      <c r="P187" s="77">
        <v>0</v>
      </c>
      <c r="Q187" s="57">
        <v>258</v>
      </c>
      <c r="R187" s="42">
        <v>270</v>
      </c>
      <c r="S187" s="69" t="str">
        <f>_xlfn.IFNA(IF(VLOOKUP(tabPontoPed[[#This Row],[CÓDIGO]],tabExcluirDoEstoque[#Data],1,FALSE),"sim",""),"")</f>
        <v/>
      </c>
      <c r="T187" s="43">
        <f>IF(AND(tabPontoPed[[#This Row],[MENSAL]]&gt;0,tabPontoPed[[#This Row],[CÁLCULO]]&gt;0), ABS( tabPontoPed[[#This Row],[MENSAL]] - tabPontoPed[[#This Row],[CÁLCULO]] ) / tabPontoPed[[#This Row],[MENSAL]], -1 )</f>
        <v>0.67625899280575541</v>
      </c>
      <c r="U187" s="58">
        <v>813</v>
      </c>
      <c r="V187" s="35">
        <f>IF(AND(tabPontoPed[[#This Row],[MENSAL]]&gt;0,tabPontoPed[[#This Row],[CÁLCULO]]&gt;0), IF( tabPontoPed[[#This Row],[MENSAL]] - tabPontoPed[[#This Row],[CÁLCULO]] &lt; 0, -1, IF( tabPontoPed[[#This Row],[MENSAL]] - tabPontoPed[[#This Row],[CÁLCULO]] &gt; 0, 1, -8)), -9 )</f>
        <v>1</v>
      </c>
      <c r="W187" s="35"/>
      <c r="X187" s="49" t="s">
        <v>1564</v>
      </c>
      <c r="Y187" s="51">
        <v>44391.599108796298</v>
      </c>
      <c r="Z187" s="72">
        <f>tabPontoPed[CÁLC_4M] - tabPontoPed[CÁLCULO]</f>
        <v>-12</v>
      </c>
      <c r="AA187" s="79" t="str">
        <f>IF(tabPontoPed[MENSAL]-tabPontoPed[ATA MENSAL] = 0,"sim","")</f>
        <v/>
      </c>
      <c r="AB187" s="79" t="s">
        <v>1614</v>
      </c>
      <c r="AC187" s="47" t="str">
        <f t="shared" si="2"/>
        <v>*</v>
      </c>
    </row>
    <row r="188" spans="1:29" x14ac:dyDescent="0.25">
      <c r="A188" s="36">
        <v>114297</v>
      </c>
      <c r="B188" s="68" t="s">
        <v>527</v>
      </c>
      <c r="C188" s="33" t="s">
        <v>1317</v>
      </c>
      <c r="D188" s="32">
        <v>51</v>
      </c>
      <c r="E188" s="37">
        <v>17</v>
      </c>
      <c r="F188" s="38" t="str">
        <f>VLOOKUP(tabPontoPed[[#This Row],[GRUPO]],tabGrupos[#Data],2,FALSE)</f>
        <v>MAT.E EQUIP. P/ CONSTR.CIVIL E CONSERV. DE VIAS PUBL.</v>
      </c>
      <c r="G188" s="32" t="str">
        <f>VLOOKUP(tabPontoPed[[#This Row],[GRUPO]],tabGrupos[#Data],3,FALSE)</f>
        <v>MCO</v>
      </c>
      <c r="H188" s="33" t="s">
        <v>1311</v>
      </c>
      <c r="I188" s="80">
        <v>4</v>
      </c>
      <c r="J188" s="39">
        <v>49</v>
      </c>
      <c r="K188" s="41">
        <f>tabPontoPed[[#This Row],[QTDMÊS]] * tabPontoPed[[#This Row],[MENSAL]]</f>
        <v>196</v>
      </c>
      <c r="L188" s="83"/>
      <c r="M188" s="81"/>
      <c r="N188" s="34" t="s">
        <v>1009</v>
      </c>
      <c r="O188" s="76" t="s">
        <v>1688</v>
      </c>
      <c r="P188" s="77">
        <v>0</v>
      </c>
      <c r="Q188" s="57">
        <v>19</v>
      </c>
      <c r="R188" s="42">
        <v>16</v>
      </c>
      <c r="S188" s="69" t="str">
        <f>_xlfn.IFNA(IF(VLOOKUP(tabPontoPed[[#This Row],[CÓDIGO]],tabExcluirDoEstoque[#Data],1,FALSE),"sim",""),"")</f>
        <v/>
      </c>
      <c r="T188" s="43">
        <f>IF(AND(tabPontoPed[[#This Row],[MENSAL]]&gt;0,tabPontoPed[[#This Row],[CÁLCULO]]&gt;0), ABS( tabPontoPed[[#This Row],[MENSAL]] - tabPontoPed[[#This Row],[CÁLCULO]] ) / tabPontoPed[[#This Row],[MENSAL]], -1 )</f>
        <v>0.67346938775510201</v>
      </c>
      <c r="U188" s="58">
        <v>67</v>
      </c>
      <c r="V188" s="35">
        <f>IF(AND(tabPontoPed[[#This Row],[MENSAL]]&gt;0,tabPontoPed[[#This Row],[CÁLCULO]]&gt;0), IF( tabPontoPed[[#This Row],[MENSAL]] - tabPontoPed[[#This Row],[CÁLCULO]] &lt; 0, -1, IF( tabPontoPed[[#This Row],[MENSAL]] - tabPontoPed[[#This Row],[CÁLCULO]] &gt; 0, 1, -8)), -9 )</f>
        <v>1</v>
      </c>
      <c r="W188" s="35"/>
      <c r="X188" s="49" t="s">
        <v>1564</v>
      </c>
      <c r="Y188" s="51">
        <v>44391.599108796298</v>
      </c>
      <c r="Z188" s="72">
        <f>tabPontoPed[CÁLC_4M] - tabPontoPed[CÁLCULO]</f>
        <v>3</v>
      </c>
      <c r="AA188" s="79" t="str">
        <f>IF(tabPontoPed[MENSAL]-tabPontoPed[ATA MENSAL] = 0,"sim","")</f>
        <v/>
      </c>
      <c r="AB188" s="79"/>
      <c r="AC188" s="47" t="str">
        <f t="shared" si="2"/>
        <v>*</v>
      </c>
    </row>
    <row r="189" spans="1:29" x14ac:dyDescent="0.25">
      <c r="A189" s="36">
        <v>23993</v>
      </c>
      <c r="B189" s="68" t="s">
        <v>52</v>
      </c>
      <c r="C189" s="33" t="s">
        <v>1317</v>
      </c>
      <c r="D189" s="32">
        <v>57</v>
      </c>
      <c r="E189" s="37">
        <v>2</v>
      </c>
      <c r="F189" s="38" t="str">
        <f>VLOOKUP(tabPontoPed[[#This Row],[GRUPO]],tabGrupos[#Data],2,FALSE)</f>
        <v>MAQ. E EQUIP. P/ IND. GRAFICA COMP. ACESS. E PAPEI</v>
      </c>
      <c r="G189" s="32" t="str">
        <f>VLOOKUP(tabPontoPed[[#This Row],[GRUPO]],tabGrupos[#Data],3,FALSE)</f>
        <v>EDU</v>
      </c>
      <c r="H189" s="33" t="s">
        <v>1311</v>
      </c>
      <c r="I189" s="80">
        <v>4</v>
      </c>
      <c r="J189" s="39">
        <v>834</v>
      </c>
      <c r="K189" s="41">
        <f>tabPontoPed[[#This Row],[QTDMÊS]] * tabPontoPed[[#This Row],[MENSAL]]</f>
        <v>3336</v>
      </c>
      <c r="L189" s="83"/>
      <c r="M189" s="81"/>
      <c r="N189" s="34" t="s">
        <v>1009</v>
      </c>
      <c r="O189" s="76" t="s">
        <v>1718</v>
      </c>
      <c r="P189" s="77">
        <v>0</v>
      </c>
      <c r="Q189" s="57">
        <v>277</v>
      </c>
      <c r="R189" s="42">
        <v>274</v>
      </c>
      <c r="S189" s="69" t="str">
        <f>_xlfn.IFNA(IF(VLOOKUP(tabPontoPed[[#This Row],[CÓDIGO]],tabExcluirDoEstoque[#Data],1,FALSE),"sim",""),"")</f>
        <v/>
      </c>
      <c r="T189" s="43">
        <f>IF(AND(tabPontoPed[[#This Row],[MENSAL]]&gt;0,tabPontoPed[[#This Row],[CÁLCULO]]&gt;0), ABS( tabPontoPed[[#This Row],[MENSAL]] - tabPontoPed[[#This Row],[CÁLCULO]] ) / tabPontoPed[[#This Row],[MENSAL]], -1 )</f>
        <v>0.67146282973621108</v>
      </c>
      <c r="U189" s="58">
        <v>806</v>
      </c>
      <c r="V189" s="35">
        <f>IF(AND(tabPontoPed[[#This Row],[MENSAL]]&gt;0,tabPontoPed[[#This Row],[CÁLCULO]]&gt;0), IF( tabPontoPed[[#This Row],[MENSAL]] - tabPontoPed[[#This Row],[CÁLCULO]] &lt; 0, -1, IF( tabPontoPed[[#This Row],[MENSAL]] - tabPontoPed[[#This Row],[CÁLCULO]] &gt; 0, 1, -8)), -9 )</f>
        <v>1</v>
      </c>
      <c r="W189" s="35"/>
      <c r="X189" s="48" t="s">
        <v>1564</v>
      </c>
      <c r="Y189" s="53">
        <v>44391.599108796298</v>
      </c>
      <c r="Z189" s="72">
        <f>tabPontoPed[CÁLC_4M] - tabPontoPed[CÁLCULO]</f>
        <v>3</v>
      </c>
      <c r="AA189" s="79" t="str">
        <f>IF(tabPontoPed[MENSAL]-tabPontoPed[ATA MENSAL] = 0,"sim","")</f>
        <v/>
      </c>
      <c r="AB189" s="79" t="s">
        <v>1614</v>
      </c>
      <c r="AC189" s="47" t="str">
        <f t="shared" si="2"/>
        <v>*</v>
      </c>
    </row>
    <row r="190" spans="1:29" x14ac:dyDescent="0.25">
      <c r="A190" s="36">
        <v>12894</v>
      </c>
      <c r="B190" s="68" t="s">
        <v>735</v>
      </c>
      <c r="C190" s="33" t="s">
        <v>1317</v>
      </c>
      <c r="D190" s="32">
        <v>61</v>
      </c>
      <c r="E190" s="37">
        <v>8</v>
      </c>
      <c r="F190" s="38" t="str">
        <f>VLOOKUP(tabPontoPed[[#This Row],[GRUPO]],tabGrupos[#Data],2,FALSE)</f>
        <v>MATERIAL HIDRAULICO, CANOS, TUBOS, MANGUEIRAS, CONEXOES E ACESS.</v>
      </c>
      <c r="G190" s="32" t="str">
        <f>VLOOKUP(tabPontoPed[[#This Row],[GRUPO]],tabGrupos[#Data],3,FALSE)</f>
        <v>MHI</v>
      </c>
      <c r="H190" s="33" t="s">
        <v>1311</v>
      </c>
      <c r="I190" s="80">
        <v>4</v>
      </c>
      <c r="J190" s="39">
        <v>334</v>
      </c>
      <c r="K190" s="41">
        <f>tabPontoPed[[#This Row],[QTDMÊS]] * tabPontoPed[[#This Row],[MENSAL]]</f>
        <v>1336</v>
      </c>
      <c r="L190" s="83"/>
      <c r="M190" s="81"/>
      <c r="N190" s="34" t="s">
        <v>1009</v>
      </c>
      <c r="O190" s="76" t="s">
        <v>1691</v>
      </c>
      <c r="P190" s="77">
        <v>0</v>
      </c>
      <c r="Q190" s="57">
        <v>75</v>
      </c>
      <c r="R190" s="42">
        <v>110</v>
      </c>
      <c r="S190" s="69" t="str">
        <f>_xlfn.IFNA(IF(VLOOKUP(tabPontoPed[[#This Row],[CÓDIGO]],tabExcluirDoEstoque[#Data],1,FALSE),"sim",""),"")</f>
        <v/>
      </c>
      <c r="T190" s="43">
        <f>IF(AND(tabPontoPed[[#This Row],[MENSAL]]&gt;0,tabPontoPed[[#This Row],[CÁLCULO]]&gt;0), ABS( tabPontoPed[[#This Row],[MENSAL]] - tabPontoPed[[#This Row],[CÁLCULO]] ) / tabPontoPed[[#This Row],[MENSAL]], -1 )</f>
        <v>0.6706586826347305</v>
      </c>
      <c r="U190" s="58">
        <v>214</v>
      </c>
      <c r="V190" s="35">
        <f>IF(AND(tabPontoPed[[#This Row],[MENSAL]]&gt;0,tabPontoPed[[#This Row],[CÁLCULO]]&gt;0), IF( tabPontoPed[[#This Row],[MENSAL]] - tabPontoPed[[#This Row],[CÁLCULO]] &lt; 0, -1, IF( tabPontoPed[[#This Row],[MENSAL]] - tabPontoPed[[#This Row],[CÁLCULO]] &gt; 0, 1, -8)), -9 )</f>
        <v>1</v>
      </c>
      <c r="W190" s="35"/>
      <c r="X190" s="48" t="s">
        <v>1564</v>
      </c>
      <c r="Y190" s="53">
        <v>44391.599108796298</v>
      </c>
      <c r="Z190" s="72">
        <f>tabPontoPed[CÁLC_4M] - tabPontoPed[CÁLCULO]</f>
        <v>-35</v>
      </c>
      <c r="AA190" s="79" t="str">
        <f>IF(tabPontoPed[MENSAL]-tabPontoPed[ATA MENSAL] = 0,"sim","")</f>
        <v/>
      </c>
      <c r="AB190" s="79" t="s">
        <v>1614</v>
      </c>
      <c r="AC190" s="47" t="str">
        <f t="shared" si="2"/>
        <v>*</v>
      </c>
    </row>
    <row r="191" spans="1:29" x14ac:dyDescent="0.25">
      <c r="A191" s="36">
        <v>138460</v>
      </c>
      <c r="B191" s="68" t="s">
        <v>1529</v>
      </c>
      <c r="C191" s="33">
        <v>1</v>
      </c>
      <c r="D191" s="32">
        <v>45</v>
      </c>
      <c r="E191" s="37">
        <v>10</v>
      </c>
      <c r="F191" s="38" t="str">
        <f>VLOOKUP(tabPontoPed[[#This Row],[GRUPO]],tabGrupos[#Data],2,FALSE)</f>
        <v>MAQ., EQUIP., COMP., ACES., MAT. PARA ESCRIT.E ESCOLAR</v>
      </c>
      <c r="G191" s="32" t="str">
        <f>VLOOKUP(tabPontoPed[[#This Row],[GRUPO]],tabGrupos[#Data],3,FALSE)</f>
        <v>EDU</v>
      </c>
      <c r="H191" s="33" t="s">
        <v>1311</v>
      </c>
      <c r="I191" s="80">
        <v>4</v>
      </c>
      <c r="J191" s="39">
        <v>1997</v>
      </c>
      <c r="K191" s="41">
        <f>tabPontoPed[[#This Row],[QTDMÊS]] * tabPontoPed[[#This Row],[MENSAL]]</f>
        <v>7988</v>
      </c>
      <c r="L191" s="83"/>
      <c r="M191" s="81"/>
      <c r="N191" s="34" t="s">
        <v>1009</v>
      </c>
      <c r="O191" s="76" t="s">
        <v>1696</v>
      </c>
      <c r="P191" s="77">
        <v>0</v>
      </c>
      <c r="Q191" s="57">
        <v>428</v>
      </c>
      <c r="R191" s="42">
        <v>665</v>
      </c>
      <c r="S191" s="69" t="str">
        <f>_xlfn.IFNA(IF(VLOOKUP(tabPontoPed[[#This Row],[CÓDIGO]],tabExcluirDoEstoque[#Data],1,FALSE),"sim",""),"")</f>
        <v/>
      </c>
      <c r="T191" s="43">
        <f>IF(AND(tabPontoPed[[#This Row],[MENSAL]]&gt;0,tabPontoPed[[#This Row],[CÁLCULO]]&gt;0), ABS( tabPontoPed[[#This Row],[MENSAL]] - tabPontoPed[[#This Row],[CÁLCULO]] ) / tabPontoPed[[#This Row],[MENSAL]], -1 )</f>
        <v>0.66700050075112671</v>
      </c>
      <c r="U191" s="58">
        <v>4337</v>
      </c>
      <c r="V191" s="35">
        <f>IF(AND(tabPontoPed[[#This Row],[MENSAL]]&gt;0,tabPontoPed[[#This Row],[CÁLCULO]]&gt;0), IF( tabPontoPed[[#This Row],[MENSAL]] - tabPontoPed[[#This Row],[CÁLCULO]] &lt; 0, -1, IF( tabPontoPed[[#This Row],[MENSAL]] - tabPontoPed[[#This Row],[CÁLCULO]] &gt; 0, 1, -8)), -9 )</f>
        <v>1</v>
      </c>
      <c r="W191" s="35"/>
      <c r="X191" s="49" t="s">
        <v>1564</v>
      </c>
      <c r="Y191" s="51">
        <v>44391.599108796298</v>
      </c>
      <c r="Z191" s="72">
        <f>tabPontoPed[CÁLC_4M] - tabPontoPed[CÁLCULO]</f>
        <v>-237</v>
      </c>
      <c r="AA191" s="79" t="str">
        <f>IF(tabPontoPed[MENSAL]-tabPontoPed[ATA MENSAL] = 0,"sim","")</f>
        <v/>
      </c>
      <c r="AB191" s="79"/>
      <c r="AC191" s="47" t="str">
        <f t="shared" si="2"/>
        <v>*</v>
      </c>
    </row>
    <row r="192" spans="1:29" x14ac:dyDescent="0.25">
      <c r="A192" s="36">
        <v>77822</v>
      </c>
      <c r="B192" s="68" t="s">
        <v>927</v>
      </c>
      <c r="C192" s="33" t="s">
        <v>1317</v>
      </c>
      <c r="D192" s="32">
        <v>72</v>
      </c>
      <c r="E192" s="37">
        <v>5</v>
      </c>
      <c r="F192" s="38" t="str">
        <f>VLOOKUP(tabPontoPed[[#This Row],[GRUPO]],tabGrupos[#Data],2,FALSE)</f>
        <v>MAQ.EQUIP.E MATERIAIS P/ HIGIEN.LIMP.POLIM.E LUBR.</v>
      </c>
      <c r="G192" s="32" t="str">
        <f>VLOOKUP(tabPontoPed[[#This Row],[GRUPO]],tabGrupos[#Data],3,FALSE)</f>
        <v>ADM</v>
      </c>
      <c r="H192" s="33" t="s">
        <v>1311</v>
      </c>
      <c r="I192" s="80">
        <v>4</v>
      </c>
      <c r="J192" s="39">
        <v>3</v>
      </c>
      <c r="K192" s="41">
        <f>tabPontoPed[[#This Row],[QTDMÊS]] * tabPontoPed[[#This Row],[MENSAL]]</f>
        <v>12</v>
      </c>
      <c r="L192" s="83"/>
      <c r="M192" s="81"/>
      <c r="N192" s="34" t="s">
        <v>1009</v>
      </c>
      <c r="O192" s="76" t="s">
        <v>1721</v>
      </c>
      <c r="P192" s="77">
        <v>0</v>
      </c>
      <c r="Q192" s="57">
        <v>2</v>
      </c>
      <c r="R192" s="42">
        <v>1</v>
      </c>
      <c r="S192" s="69" t="str">
        <f>_xlfn.IFNA(IF(VLOOKUP(tabPontoPed[[#This Row],[CÓDIGO]],tabExcluirDoEstoque[#Data],1,FALSE),"sim",""),"")</f>
        <v>sim</v>
      </c>
      <c r="T192" s="43">
        <f>IF(AND(tabPontoPed[[#This Row],[MENSAL]]&gt;0,tabPontoPed[[#This Row],[CÁLCULO]]&gt;0), ABS( tabPontoPed[[#This Row],[MENSAL]] - tabPontoPed[[#This Row],[CÁLCULO]] ) / tabPontoPed[[#This Row],[MENSAL]], -1 )</f>
        <v>0.66666666666666663</v>
      </c>
      <c r="U192" s="58">
        <v>3</v>
      </c>
      <c r="V192" s="35">
        <f>IF(AND(tabPontoPed[[#This Row],[MENSAL]]&gt;0,tabPontoPed[[#This Row],[CÁLCULO]]&gt;0), IF( tabPontoPed[[#This Row],[MENSAL]] - tabPontoPed[[#This Row],[CÁLCULO]] &lt; 0, -1, IF( tabPontoPed[[#This Row],[MENSAL]] - tabPontoPed[[#This Row],[CÁLCULO]] &gt; 0, 1, -8)), -9 )</f>
        <v>1</v>
      </c>
      <c r="W192" s="35"/>
      <c r="X192" s="48" t="s">
        <v>1564</v>
      </c>
      <c r="Y192" s="53">
        <v>44391.599108796298</v>
      </c>
      <c r="Z192" s="72">
        <f>tabPontoPed[CÁLC_4M] - tabPontoPed[CÁLCULO]</f>
        <v>1</v>
      </c>
      <c r="AA192" s="79" t="str">
        <f>IF(tabPontoPed[MENSAL]-tabPontoPed[ATA MENSAL] = 0,"sim","")</f>
        <v/>
      </c>
      <c r="AB192" s="79"/>
      <c r="AC192" s="47" t="str">
        <f t="shared" si="2"/>
        <v>*</v>
      </c>
    </row>
    <row r="193" spans="1:29" x14ac:dyDescent="0.25">
      <c r="A193" s="36">
        <v>77823</v>
      </c>
      <c r="B193" s="68" t="s">
        <v>928</v>
      </c>
      <c r="C193" s="33" t="s">
        <v>1317</v>
      </c>
      <c r="D193" s="32">
        <v>72</v>
      </c>
      <c r="E193" s="37">
        <v>5</v>
      </c>
      <c r="F193" s="38" t="str">
        <f>VLOOKUP(tabPontoPed[[#This Row],[GRUPO]],tabGrupos[#Data],2,FALSE)</f>
        <v>MAQ.EQUIP.E MATERIAIS P/ HIGIEN.LIMP.POLIM.E LUBR.</v>
      </c>
      <c r="G193" s="32" t="str">
        <f>VLOOKUP(tabPontoPed[[#This Row],[GRUPO]],tabGrupos[#Data],3,FALSE)</f>
        <v>ADM</v>
      </c>
      <c r="H193" s="33" t="s">
        <v>1311</v>
      </c>
      <c r="I193" s="80">
        <v>4</v>
      </c>
      <c r="J193" s="39">
        <v>3</v>
      </c>
      <c r="K193" s="41">
        <f>tabPontoPed[[#This Row],[QTDMÊS]] * tabPontoPed[[#This Row],[MENSAL]]</f>
        <v>12</v>
      </c>
      <c r="L193" s="83"/>
      <c r="M193" s="81"/>
      <c r="N193" s="34" t="s">
        <v>1009</v>
      </c>
      <c r="O193" s="76" t="s">
        <v>1731</v>
      </c>
      <c r="P193" s="77">
        <v>0</v>
      </c>
      <c r="Q193" s="57">
        <v>1</v>
      </c>
      <c r="R193" s="42">
        <v>1</v>
      </c>
      <c r="S193" s="69" t="str">
        <f>_xlfn.IFNA(IF(VLOOKUP(tabPontoPed[[#This Row],[CÓDIGO]],tabExcluirDoEstoque[#Data],1,FALSE),"sim",""),"")</f>
        <v/>
      </c>
      <c r="T193" s="43">
        <f>IF(AND(tabPontoPed[[#This Row],[MENSAL]]&gt;0,tabPontoPed[[#This Row],[CÁLCULO]]&gt;0), ABS( tabPontoPed[[#This Row],[MENSAL]] - tabPontoPed[[#This Row],[CÁLCULO]] ) / tabPontoPed[[#This Row],[MENSAL]], -1 )</f>
        <v>0.66666666666666663</v>
      </c>
      <c r="U193" s="58">
        <v>1</v>
      </c>
      <c r="V193" s="35">
        <f>IF(AND(tabPontoPed[[#This Row],[MENSAL]]&gt;0,tabPontoPed[[#This Row],[CÁLCULO]]&gt;0), IF( tabPontoPed[[#This Row],[MENSAL]] - tabPontoPed[[#This Row],[CÁLCULO]] &lt; 0, -1, IF( tabPontoPed[[#This Row],[MENSAL]] - tabPontoPed[[#This Row],[CÁLCULO]] &gt; 0, 1, -8)), -9 )</f>
        <v>1</v>
      </c>
      <c r="W193" s="35"/>
      <c r="X193" s="49" t="s">
        <v>1564</v>
      </c>
      <c r="Y193" s="51">
        <v>44391.599108796298</v>
      </c>
      <c r="Z193" s="72">
        <f>tabPontoPed[CÁLC_4M] - tabPontoPed[CÁLCULO]</f>
        <v>0</v>
      </c>
      <c r="AA193" s="79" t="str">
        <f>IF(tabPontoPed[MENSAL]-tabPontoPed[ATA MENSAL] = 0,"sim","")</f>
        <v/>
      </c>
      <c r="AB193" s="79"/>
      <c r="AC193" s="47" t="str">
        <f t="shared" si="2"/>
        <v>*</v>
      </c>
    </row>
    <row r="194" spans="1:29" x14ac:dyDescent="0.25">
      <c r="A194" s="36">
        <v>48901</v>
      </c>
      <c r="B194" s="68" t="s">
        <v>403</v>
      </c>
      <c r="C194" s="33" t="s">
        <v>1317</v>
      </c>
      <c r="D194" s="32">
        <v>45</v>
      </c>
      <c r="E194" s="37">
        <v>9</v>
      </c>
      <c r="F194" s="38" t="str">
        <f>VLOOKUP(tabPontoPed[[#This Row],[GRUPO]],tabGrupos[#Data],2,FALSE)</f>
        <v>MAQ., EQUIP., COMP., ACES., MAT. PARA ESCRIT.E ESCOLAR</v>
      </c>
      <c r="G194" s="32" t="str">
        <f>VLOOKUP(tabPontoPed[[#This Row],[GRUPO]],tabGrupos[#Data],3,FALSE)</f>
        <v>EDU</v>
      </c>
      <c r="H194" s="33" t="s">
        <v>1311</v>
      </c>
      <c r="I194" s="80">
        <v>4</v>
      </c>
      <c r="J194" s="39">
        <v>6</v>
      </c>
      <c r="K194" s="41">
        <f>tabPontoPed[[#This Row],[QTDMÊS]] * tabPontoPed[[#This Row],[MENSAL]]</f>
        <v>24</v>
      </c>
      <c r="L194" s="83"/>
      <c r="M194" s="81"/>
      <c r="N194" s="34" t="s">
        <v>1009</v>
      </c>
      <c r="O194" s="76" t="s">
        <v>1696</v>
      </c>
      <c r="P194" s="77">
        <v>0</v>
      </c>
      <c r="Q194" s="57">
        <v>8</v>
      </c>
      <c r="R194" s="42">
        <v>10</v>
      </c>
      <c r="S194" s="69" t="str">
        <f>_xlfn.IFNA(IF(VLOOKUP(tabPontoPed[[#This Row],[CÓDIGO]],tabExcluirDoEstoque[#Data],1,FALSE),"sim",""),"")</f>
        <v/>
      </c>
      <c r="T194" s="43">
        <f>IF(AND(tabPontoPed[[#This Row],[MENSAL]]&gt;0,tabPontoPed[[#This Row],[CÁLCULO]]&gt;0), ABS( tabPontoPed[[#This Row],[MENSAL]] - tabPontoPed[[#This Row],[CÁLCULO]] ) / tabPontoPed[[#This Row],[MENSAL]], -1 )</f>
        <v>0.66666666666666663</v>
      </c>
      <c r="U194" s="58">
        <v>44</v>
      </c>
      <c r="V194" s="35">
        <f>IF(AND(tabPontoPed[[#This Row],[MENSAL]]&gt;0,tabPontoPed[[#This Row],[CÁLCULO]]&gt;0), IF( tabPontoPed[[#This Row],[MENSAL]] - tabPontoPed[[#This Row],[CÁLCULO]] &lt; 0, -1, IF( tabPontoPed[[#This Row],[MENSAL]] - tabPontoPed[[#This Row],[CÁLCULO]] &gt; 0, 1, -8)), -9 )</f>
        <v>-1</v>
      </c>
      <c r="W194" s="35"/>
      <c r="X194" s="49" t="s">
        <v>1564</v>
      </c>
      <c r="Y194" s="51">
        <v>44391.599108796298</v>
      </c>
      <c r="Z194" s="72">
        <f>tabPontoPed[CÁLC_4M] - tabPontoPed[CÁLCULO]</f>
        <v>-2</v>
      </c>
      <c r="AA194" s="79" t="str">
        <f>IF(tabPontoPed[MENSAL]-tabPontoPed[ATA MENSAL] = 0,"sim","")</f>
        <v/>
      </c>
      <c r="AB194" s="79"/>
      <c r="AC194" s="47" t="str">
        <f t="shared" si="2"/>
        <v>*</v>
      </c>
    </row>
    <row r="195" spans="1:29" x14ac:dyDescent="0.25">
      <c r="A195" s="36">
        <v>92842</v>
      </c>
      <c r="B195" s="68" t="s">
        <v>68</v>
      </c>
      <c r="C195" s="33" t="s">
        <v>1317</v>
      </c>
      <c r="D195" s="32">
        <v>57</v>
      </c>
      <c r="E195" s="37">
        <v>3</v>
      </c>
      <c r="F195" s="38" t="str">
        <f>VLOOKUP(tabPontoPed[[#This Row],[GRUPO]],tabGrupos[#Data],2,FALSE)</f>
        <v>MAQ. E EQUIP. P/ IND. GRAFICA COMP. ACESS. E PAPEI</v>
      </c>
      <c r="G195" s="32" t="str">
        <f>VLOOKUP(tabPontoPed[[#This Row],[GRUPO]],tabGrupos[#Data],3,FALSE)</f>
        <v>EDU</v>
      </c>
      <c r="H195" s="33" t="s">
        <v>1311</v>
      </c>
      <c r="I195" s="80">
        <v>4</v>
      </c>
      <c r="J195" s="39">
        <v>3</v>
      </c>
      <c r="K195" s="41">
        <f>tabPontoPed[[#This Row],[QTDMÊS]] * tabPontoPed[[#This Row],[MENSAL]]</f>
        <v>12</v>
      </c>
      <c r="L195" s="83"/>
      <c r="M195" s="81"/>
      <c r="N195" s="34" t="s">
        <v>1009</v>
      </c>
      <c r="O195" s="76" t="s">
        <v>1432</v>
      </c>
      <c r="P195" s="77">
        <v>0</v>
      </c>
      <c r="Q195" s="57">
        <v>0</v>
      </c>
      <c r="R195" s="42">
        <v>1</v>
      </c>
      <c r="S195" s="69" t="str">
        <f>_xlfn.IFNA(IF(VLOOKUP(tabPontoPed[[#This Row],[CÓDIGO]],tabExcluirDoEstoque[#Data],1,FALSE),"sim",""),"")</f>
        <v/>
      </c>
      <c r="T195" s="43">
        <f>IF(AND(tabPontoPed[[#This Row],[MENSAL]]&gt;0,tabPontoPed[[#This Row],[CÁLCULO]]&gt;0), ABS( tabPontoPed[[#This Row],[MENSAL]] - tabPontoPed[[#This Row],[CÁLCULO]] ) / tabPontoPed[[#This Row],[MENSAL]], -1 )</f>
        <v>0.66666666666666663</v>
      </c>
      <c r="U195" s="58">
        <v>10</v>
      </c>
      <c r="V195" s="35">
        <f>IF(AND(tabPontoPed[[#This Row],[MENSAL]]&gt;0,tabPontoPed[[#This Row],[CÁLCULO]]&gt;0), IF( tabPontoPed[[#This Row],[MENSAL]] - tabPontoPed[[#This Row],[CÁLCULO]] &lt; 0, -1, IF( tabPontoPed[[#This Row],[MENSAL]] - tabPontoPed[[#This Row],[CÁLCULO]] &gt; 0, 1, -8)), -9 )</f>
        <v>1</v>
      </c>
      <c r="W195" s="35"/>
      <c r="X195" s="49" t="s">
        <v>1564</v>
      </c>
      <c r="Y195" s="51">
        <v>44391.599108796298</v>
      </c>
      <c r="Z195" s="72">
        <f>tabPontoPed[CÁLC_4M] - tabPontoPed[CÁLCULO]</f>
        <v>-1</v>
      </c>
      <c r="AA195" s="79" t="str">
        <f>IF(tabPontoPed[MENSAL]-tabPontoPed[ATA MENSAL] = 0,"sim","")</f>
        <v/>
      </c>
      <c r="AB195" s="79"/>
      <c r="AC195" s="47" t="str">
        <f t="shared" ref="AC195:AC258" si="3">"*"</f>
        <v>*</v>
      </c>
    </row>
    <row r="196" spans="1:29" x14ac:dyDescent="0.25">
      <c r="A196" s="36">
        <v>17299</v>
      </c>
      <c r="B196" s="68" t="s">
        <v>98</v>
      </c>
      <c r="C196" s="33" t="s">
        <v>1317</v>
      </c>
      <c r="D196" s="32">
        <v>57</v>
      </c>
      <c r="E196" s="37">
        <v>18</v>
      </c>
      <c r="F196" s="38" t="str">
        <f>VLOOKUP(tabPontoPed[[#This Row],[GRUPO]],tabGrupos[#Data],2,FALSE)</f>
        <v>MAQ. E EQUIP. P/ IND. GRAFICA COMP. ACESS. E PAPEI</v>
      </c>
      <c r="G196" s="32" t="str">
        <f>VLOOKUP(tabPontoPed[[#This Row],[GRUPO]],tabGrupos[#Data],3,FALSE)</f>
        <v>EDU</v>
      </c>
      <c r="H196" s="33" t="s">
        <v>1311</v>
      </c>
      <c r="I196" s="80">
        <v>4</v>
      </c>
      <c r="J196" s="39">
        <v>3</v>
      </c>
      <c r="K196" s="41">
        <f>tabPontoPed[[#This Row],[QTDMÊS]] * tabPontoPed[[#This Row],[MENSAL]]</f>
        <v>12</v>
      </c>
      <c r="L196" s="83"/>
      <c r="M196" s="81"/>
      <c r="N196" s="34" t="s">
        <v>1009</v>
      </c>
      <c r="O196" s="76" t="s">
        <v>1502</v>
      </c>
      <c r="P196" s="77">
        <v>0</v>
      </c>
      <c r="Q196" s="57">
        <v>1</v>
      </c>
      <c r="R196" s="42">
        <v>1</v>
      </c>
      <c r="S196" s="69" t="str">
        <f>_xlfn.IFNA(IF(VLOOKUP(tabPontoPed[[#This Row],[CÓDIGO]],tabExcluirDoEstoque[#Data],1,FALSE),"sim",""),"")</f>
        <v/>
      </c>
      <c r="T196" s="43">
        <f>IF(AND(tabPontoPed[[#This Row],[MENSAL]]&gt;0,tabPontoPed[[#This Row],[CÁLCULO]]&gt;0), ABS( tabPontoPed[[#This Row],[MENSAL]] - tabPontoPed[[#This Row],[CÁLCULO]] ) / tabPontoPed[[#This Row],[MENSAL]], -1 )</f>
        <v>0.66666666666666663</v>
      </c>
      <c r="U196" s="58">
        <v>3</v>
      </c>
      <c r="V196" s="35">
        <f>IF(AND(tabPontoPed[[#This Row],[MENSAL]]&gt;0,tabPontoPed[[#This Row],[CÁLCULO]]&gt;0), IF( tabPontoPed[[#This Row],[MENSAL]] - tabPontoPed[[#This Row],[CÁLCULO]] &lt; 0, -1, IF( tabPontoPed[[#This Row],[MENSAL]] - tabPontoPed[[#This Row],[CÁLCULO]] &gt; 0, 1, -8)), -9 )</f>
        <v>1</v>
      </c>
      <c r="W196" s="35"/>
      <c r="X196" s="49" t="s">
        <v>1564</v>
      </c>
      <c r="Y196" s="51">
        <v>44391.599108796298</v>
      </c>
      <c r="Z196" s="72">
        <f>tabPontoPed[CÁLC_4M] - tabPontoPed[CÁLCULO]</f>
        <v>0</v>
      </c>
      <c r="AA196" s="79" t="str">
        <f>IF(tabPontoPed[MENSAL]-tabPontoPed[ATA MENSAL] = 0,"sim","")</f>
        <v/>
      </c>
      <c r="AB196" s="79"/>
      <c r="AC196" s="47" t="str">
        <f t="shared" si="3"/>
        <v>*</v>
      </c>
    </row>
    <row r="197" spans="1:29" x14ac:dyDescent="0.25">
      <c r="A197" s="36">
        <v>134570</v>
      </c>
      <c r="B197" s="68" t="s">
        <v>1484</v>
      </c>
      <c r="C197" s="33"/>
      <c r="D197" s="32">
        <v>70</v>
      </c>
      <c r="E197" s="37">
        <v>25</v>
      </c>
      <c r="F197" s="38" t="str">
        <f>VLOOKUP(tabPontoPed[[#This Row],[GRUPO]],tabGrupos[#Data],2,FALSE)</f>
        <v>FERRAMENTAS MAQ.FERRAMENTAS,ELETR.PECAS E ACESSORI</v>
      </c>
      <c r="G197" s="32" t="str">
        <f>VLOOKUP(tabPontoPed[[#This Row],[GRUPO]],tabGrupos[#Data],3,FALSE)</f>
        <v>MAN</v>
      </c>
      <c r="H197" s="33" t="s">
        <v>1311</v>
      </c>
      <c r="I197" s="80">
        <v>4</v>
      </c>
      <c r="J197" s="39">
        <v>3</v>
      </c>
      <c r="K197" s="41">
        <f>tabPontoPed[[#This Row],[QTDMÊS]] * tabPontoPed[[#This Row],[MENSAL]]</f>
        <v>12</v>
      </c>
      <c r="L197" s="83"/>
      <c r="M197" s="81"/>
      <c r="N197" s="34" t="s">
        <v>1009</v>
      </c>
      <c r="O197" s="76"/>
      <c r="P197" s="77">
        <v>0</v>
      </c>
      <c r="Q197" s="57">
        <v>6</v>
      </c>
      <c r="R197" s="42">
        <v>5</v>
      </c>
      <c r="S197" s="69" t="str">
        <f>_xlfn.IFNA(IF(VLOOKUP(tabPontoPed[[#This Row],[CÓDIGO]],tabExcluirDoEstoque[#Data],1,FALSE),"sim",""),"")</f>
        <v/>
      </c>
      <c r="T197" s="43">
        <f>IF(AND(tabPontoPed[[#This Row],[MENSAL]]&gt;0,tabPontoPed[[#This Row],[CÁLCULO]]&gt;0), ABS( tabPontoPed[[#This Row],[MENSAL]] - tabPontoPed[[#This Row],[CÁLCULO]] ) / tabPontoPed[[#This Row],[MENSAL]], -1 )</f>
        <v>0.66666666666666663</v>
      </c>
      <c r="U197" s="58">
        <v>11</v>
      </c>
      <c r="V197" s="35">
        <f>IF(AND(tabPontoPed[[#This Row],[MENSAL]]&gt;0,tabPontoPed[[#This Row],[CÁLCULO]]&gt;0), IF( tabPontoPed[[#This Row],[MENSAL]] - tabPontoPed[[#This Row],[CÁLCULO]] &lt; 0, -1, IF( tabPontoPed[[#This Row],[MENSAL]] - tabPontoPed[[#This Row],[CÁLCULO]] &gt; 0, 1, -8)), -9 )</f>
        <v>-1</v>
      </c>
      <c r="W197" s="35"/>
      <c r="X197" s="49" t="s">
        <v>1564</v>
      </c>
      <c r="Y197" s="51">
        <v>44391.599108796298</v>
      </c>
      <c r="Z197" s="72">
        <f>tabPontoPed[CÁLC_4M] - tabPontoPed[CÁLCULO]</f>
        <v>1</v>
      </c>
      <c r="AA197" s="79" t="str">
        <f>IF(tabPontoPed[MENSAL]-tabPontoPed[ATA MENSAL] = 0,"sim","")</f>
        <v/>
      </c>
      <c r="AB197" s="79"/>
      <c r="AC197" s="47" t="str">
        <f t="shared" si="3"/>
        <v>*</v>
      </c>
    </row>
    <row r="198" spans="1:29" x14ac:dyDescent="0.25">
      <c r="A198" s="36">
        <v>76218</v>
      </c>
      <c r="B198" s="68" t="s">
        <v>524</v>
      </c>
      <c r="C198" s="33" t="s">
        <v>1317</v>
      </c>
      <c r="D198" s="32">
        <v>51</v>
      </c>
      <c r="E198" s="37">
        <v>17</v>
      </c>
      <c r="F198" s="38" t="str">
        <f>VLOOKUP(tabPontoPed[[#This Row],[GRUPO]],tabGrupos[#Data],2,FALSE)</f>
        <v>MAT.E EQUIP. P/ CONSTR.CIVIL E CONSERV. DE VIAS PUBL.</v>
      </c>
      <c r="G198" s="32" t="str">
        <f>VLOOKUP(tabPontoPed[[#This Row],[GRUPO]],tabGrupos[#Data],3,FALSE)</f>
        <v>MCO</v>
      </c>
      <c r="H198" s="33" t="s">
        <v>1311</v>
      </c>
      <c r="I198" s="80">
        <v>4</v>
      </c>
      <c r="J198" s="39">
        <v>3</v>
      </c>
      <c r="K198" s="41">
        <f>tabPontoPed[[#This Row],[QTDMÊS]] * tabPontoPed[[#This Row],[MENSAL]]</f>
        <v>12</v>
      </c>
      <c r="L198" s="83"/>
      <c r="M198" s="81"/>
      <c r="N198" s="34" t="s">
        <v>1009</v>
      </c>
      <c r="O198" s="76" t="s">
        <v>1725</v>
      </c>
      <c r="P198" s="77">
        <v>0</v>
      </c>
      <c r="Q198" s="57">
        <v>0</v>
      </c>
      <c r="R198" s="42">
        <v>1</v>
      </c>
      <c r="S198" s="69" t="str">
        <f>_xlfn.IFNA(IF(VLOOKUP(tabPontoPed[[#This Row],[CÓDIGO]],tabExcluirDoEstoque[#Data],1,FALSE),"sim",""),"")</f>
        <v/>
      </c>
      <c r="T198" s="43">
        <f>IF(AND(tabPontoPed[[#This Row],[MENSAL]]&gt;0,tabPontoPed[[#This Row],[CÁLCULO]]&gt;0), ABS( tabPontoPed[[#This Row],[MENSAL]] - tabPontoPed[[#This Row],[CÁLCULO]] ) / tabPontoPed[[#This Row],[MENSAL]], -1 )</f>
        <v>0.66666666666666663</v>
      </c>
      <c r="U198" s="58">
        <v>5</v>
      </c>
      <c r="V198" s="35">
        <f>IF(AND(tabPontoPed[[#This Row],[MENSAL]]&gt;0,tabPontoPed[[#This Row],[CÁLCULO]]&gt;0), IF( tabPontoPed[[#This Row],[MENSAL]] - tabPontoPed[[#This Row],[CÁLCULO]] &lt; 0, -1, IF( tabPontoPed[[#This Row],[MENSAL]] - tabPontoPed[[#This Row],[CÁLCULO]] &gt; 0, 1, -8)), -9 )</f>
        <v>1</v>
      </c>
      <c r="W198" s="35"/>
      <c r="X198" s="49" t="s">
        <v>1564</v>
      </c>
      <c r="Y198" s="51">
        <v>44391.599108796298</v>
      </c>
      <c r="Z198" s="72">
        <f>tabPontoPed[CÁLC_4M] - tabPontoPed[CÁLCULO]</f>
        <v>-1</v>
      </c>
      <c r="AA198" s="79" t="str">
        <f>IF(tabPontoPed[MENSAL]-tabPontoPed[ATA MENSAL] = 0,"sim","")</f>
        <v/>
      </c>
      <c r="AB198" s="79"/>
      <c r="AC198" s="47" t="str">
        <f t="shared" si="3"/>
        <v>*</v>
      </c>
    </row>
    <row r="199" spans="1:29" x14ac:dyDescent="0.25">
      <c r="A199" s="36">
        <v>115841</v>
      </c>
      <c r="B199" s="68" t="s">
        <v>543</v>
      </c>
      <c r="C199" s="33" t="s">
        <v>1317</v>
      </c>
      <c r="D199" s="32">
        <v>51</v>
      </c>
      <c r="E199" s="37">
        <v>26</v>
      </c>
      <c r="F199" s="38" t="str">
        <f>VLOOKUP(tabPontoPed[[#This Row],[GRUPO]],tabGrupos[#Data],2,FALSE)</f>
        <v>MAT.E EQUIP. P/ CONSTR.CIVIL E CONSERV. DE VIAS PUBL.</v>
      </c>
      <c r="G199" s="32" t="str">
        <f>VLOOKUP(tabPontoPed[[#This Row],[GRUPO]],tabGrupos[#Data],3,FALSE)</f>
        <v>MCO</v>
      </c>
      <c r="H199" s="33" t="s">
        <v>1311</v>
      </c>
      <c r="I199" s="80">
        <v>4</v>
      </c>
      <c r="J199" s="39">
        <v>3</v>
      </c>
      <c r="K199" s="41">
        <f>tabPontoPed[[#This Row],[QTDMÊS]] * tabPontoPed[[#This Row],[MENSAL]]</f>
        <v>12</v>
      </c>
      <c r="L199" s="83"/>
      <c r="M199" s="81"/>
      <c r="N199" s="34" t="s">
        <v>1009</v>
      </c>
      <c r="O199" s="76" t="s">
        <v>1700</v>
      </c>
      <c r="P199" s="77">
        <v>0</v>
      </c>
      <c r="Q199" s="57">
        <v>0</v>
      </c>
      <c r="R199" s="42">
        <v>1</v>
      </c>
      <c r="S199" s="69" t="str">
        <f>_xlfn.IFNA(IF(VLOOKUP(tabPontoPed[[#This Row],[CÓDIGO]],tabExcluirDoEstoque[#Data],1,FALSE),"sim",""),"")</f>
        <v/>
      </c>
      <c r="T199" s="43">
        <f>IF(AND(tabPontoPed[[#This Row],[MENSAL]]&gt;0,tabPontoPed[[#This Row],[CÁLCULO]]&gt;0), ABS( tabPontoPed[[#This Row],[MENSAL]] - tabPontoPed[[#This Row],[CÁLCULO]] ) / tabPontoPed[[#This Row],[MENSAL]], -1 )</f>
        <v>0.66666666666666663</v>
      </c>
      <c r="U199" s="58">
        <v>1</v>
      </c>
      <c r="V199" s="35">
        <f>IF(AND(tabPontoPed[[#This Row],[MENSAL]]&gt;0,tabPontoPed[[#This Row],[CÁLCULO]]&gt;0), IF( tabPontoPed[[#This Row],[MENSAL]] - tabPontoPed[[#This Row],[CÁLCULO]] &lt; 0, -1, IF( tabPontoPed[[#This Row],[MENSAL]] - tabPontoPed[[#This Row],[CÁLCULO]] &gt; 0, 1, -8)), -9 )</f>
        <v>1</v>
      </c>
      <c r="W199" s="35"/>
      <c r="X199" s="49" t="s">
        <v>1564</v>
      </c>
      <c r="Y199" s="51">
        <v>44391.599108796298</v>
      </c>
      <c r="Z199" s="72">
        <f>tabPontoPed[CÁLC_4M] - tabPontoPed[CÁLCULO]</f>
        <v>-1</v>
      </c>
      <c r="AA199" s="79" t="str">
        <f>IF(tabPontoPed[MENSAL]-tabPontoPed[ATA MENSAL] = 0,"sim","")</f>
        <v/>
      </c>
      <c r="AB199" s="79" t="s">
        <v>1614</v>
      </c>
      <c r="AC199" s="47" t="str">
        <f t="shared" si="3"/>
        <v>*</v>
      </c>
    </row>
    <row r="200" spans="1:29" x14ac:dyDescent="0.25">
      <c r="A200" s="36">
        <v>115840</v>
      </c>
      <c r="B200" s="68" t="s">
        <v>542</v>
      </c>
      <c r="C200" s="33" t="s">
        <v>1317</v>
      </c>
      <c r="D200" s="32">
        <v>51</v>
      </c>
      <c r="E200" s="37">
        <v>26</v>
      </c>
      <c r="F200" s="38" t="str">
        <f>VLOOKUP(tabPontoPed[[#This Row],[GRUPO]],tabGrupos[#Data],2,FALSE)</f>
        <v>MAT.E EQUIP. P/ CONSTR.CIVIL E CONSERV. DE VIAS PUBL.</v>
      </c>
      <c r="G200" s="32" t="str">
        <f>VLOOKUP(tabPontoPed[[#This Row],[GRUPO]],tabGrupos[#Data],3,FALSE)</f>
        <v>MCO</v>
      </c>
      <c r="H200" s="33" t="s">
        <v>1311</v>
      </c>
      <c r="I200" s="80">
        <v>4</v>
      </c>
      <c r="J200" s="39">
        <v>3</v>
      </c>
      <c r="K200" s="41">
        <f>tabPontoPed[[#This Row],[QTDMÊS]] * tabPontoPed[[#This Row],[MENSAL]]</f>
        <v>12</v>
      </c>
      <c r="L200" s="83"/>
      <c r="M200" s="81"/>
      <c r="N200" s="34" t="s">
        <v>1009</v>
      </c>
      <c r="O200" s="76" t="s">
        <v>1616</v>
      </c>
      <c r="P200" s="77">
        <v>0</v>
      </c>
      <c r="Q200" s="57">
        <v>1</v>
      </c>
      <c r="R200" s="42">
        <v>1</v>
      </c>
      <c r="S200" s="69" t="str">
        <f>_xlfn.IFNA(IF(VLOOKUP(tabPontoPed[[#This Row],[CÓDIGO]],tabExcluirDoEstoque[#Data],1,FALSE),"sim",""),"")</f>
        <v/>
      </c>
      <c r="T200" s="43">
        <f>IF(AND(tabPontoPed[[#This Row],[MENSAL]]&gt;0,tabPontoPed[[#This Row],[CÁLCULO]]&gt;0), ABS( tabPontoPed[[#This Row],[MENSAL]] - tabPontoPed[[#This Row],[CÁLCULO]] ) / tabPontoPed[[#This Row],[MENSAL]], -1 )</f>
        <v>0.66666666666666663</v>
      </c>
      <c r="U200" s="58">
        <v>2</v>
      </c>
      <c r="V200" s="35">
        <f>IF(AND(tabPontoPed[[#This Row],[MENSAL]]&gt;0,tabPontoPed[[#This Row],[CÁLCULO]]&gt;0), IF( tabPontoPed[[#This Row],[MENSAL]] - tabPontoPed[[#This Row],[CÁLCULO]] &lt; 0, -1, IF( tabPontoPed[[#This Row],[MENSAL]] - tabPontoPed[[#This Row],[CÁLCULO]] &gt; 0, 1, -8)), -9 )</f>
        <v>1</v>
      </c>
      <c r="W200" s="35"/>
      <c r="X200" s="49" t="s">
        <v>1564</v>
      </c>
      <c r="Y200" s="51">
        <v>44391.599108796298</v>
      </c>
      <c r="Z200" s="72">
        <f>tabPontoPed[CÁLC_4M] - tabPontoPed[CÁLCULO]</f>
        <v>0</v>
      </c>
      <c r="AA200" s="79" t="str">
        <f>IF(tabPontoPed[MENSAL]-tabPontoPed[ATA MENSAL] = 0,"sim","")</f>
        <v/>
      </c>
      <c r="AB200" s="79"/>
      <c r="AC200" s="47" t="str">
        <f t="shared" si="3"/>
        <v>*</v>
      </c>
    </row>
    <row r="201" spans="1:29" x14ac:dyDescent="0.25">
      <c r="A201" s="36">
        <v>78307</v>
      </c>
      <c r="B201" s="68" t="s">
        <v>545</v>
      </c>
      <c r="C201" s="33" t="s">
        <v>1317</v>
      </c>
      <c r="D201" s="32">
        <v>51</v>
      </c>
      <c r="E201" s="37">
        <v>28</v>
      </c>
      <c r="F201" s="38" t="str">
        <f>VLOOKUP(tabPontoPed[[#This Row],[GRUPO]],tabGrupos[#Data],2,FALSE)</f>
        <v>MAT.E EQUIP. P/ CONSTR.CIVIL E CONSERV. DE VIAS PUBL.</v>
      </c>
      <c r="G201" s="32" t="str">
        <f>VLOOKUP(tabPontoPed[[#This Row],[GRUPO]],tabGrupos[#Data],3,FALSE)</f>
        <v>MCO</v>
      </c>
      <c r="H201" s="33" t="s">
        <v>1311</v>
      </c>
      <c r="I201" s="80">
        <v>4</v>
      </c>
      <c r="J201" s="39">
        <v>3</v>
      </c>
      <c r="K201" s="41">
        <f>tabPontoPed[[#This Row],[QTDMÊS]] * tabPontoPed[[#This Row],[MENSAL]]</f>
        <v>12</v>
      </c>
      <c r="L201" s="83"/>
      <c r="M201" s="81"/>
      <c r="N201" s="34" t="s">
        <v>1009</v>
      </c>
      <c r="O201" s="76" t="s">
        <v>1684</v>
      </c>
      <c r="P201" s="77">
        <v>0</v>
      </c>
      <c r="Q201" s="57">
        <v>0</v>
      </c>
      <c r="R201" s="42">
        <v>1</v>
      </c>
      <c r="S201" s="69" t="str">
        <f>_xlfn.IFNA(IF(VLOOKUP(tabPontoPed[[#This Row],[CÓDIGO]],tabExcluirDoEstoque[#Data],1,FALSE),"sim",""),"")</f>
        <v/>
      </c>
      <c r="T201" s="43">
        <f>IF(AND(tabPontoPed[[#This Row],[MENSAL]]&gt;0,tabPontoPed[[#This Row],[CÁLCULO]]&gt;0), ABS( tabPontoPed[[#This Row],[MENSAL]] - tabPontoPed[[#This Row],[CÁLCULO]] ) / tabPontoPed[[#This Row],[MENSAL]], -1 )</f>
        <v>0.66666666666666663</v>
      </c>
      <c r="U201" s="58">
        <v>1</v>
      </c>
      <c r="V201" s="35">
        <f>IF(AND(tabPontoPed[[#This Row],[MENSAL]]&gt;0,tabPontoPed[[#This Row],[CÁLCULO]]&gt;0), IF( tabPontoPed[[#This Row],[MENSAL]] - tabPontoPed[[#This Row],[CÁLCULO]] &lt; 0, -1, IF( tabPontoPed[[#This Row],[MENSAL]] - tabPontoPed[[#This Row],[CÁLCULO]] &gt; 0, 1, -8)), -9 )</f>
        <v>1</v>
      </c>
      <c r="W201" s="35"/>
      <c r="X201" s="49" t="s">
        <v>1564</v>
      </c>
      <c r="Y201" s="51">
        <v>44391.599108796298</v>
      </c>
      <c r="Z201" s="72">
        <f>tabPontoPed[CÁLC_4M] - tabPontoPed[CÁLCULO]</f>
        <v>-1</v>
      </c>
      <c r="AA201" s="79" t="str">
        <f>IF(tabPontoPed[MENSAL]-tabPontoPed[ATA MENSAL] = 0,"sim","")</f>
        <v/>
      </c>
      <c r="AB201" s="79"/>
      <c r="AC201" s="47" t="str">
        <f t="shared" si="3"/>
        <v>*</v>
      </c>
    </row>
    <row r="202" spans="1:29" x14ac:dyDescent="0.25">
      <c r="A202" s="36">
        <v>74908</v>
      </c>
      <c r="B202" s="68" t="s">
        <v>945</v>
      </c>
      <c r="C202" s="33" t="s">
        <v>1317</v>
      </c>
      <c r="D202" s="32">
        <v>74</v>
      </c>
      <c r="E202" s="37">
        <v>3</v>
      </c>
      <c r="F202" s="38" t="str">
        <f>VLOOKUP(tabPontoPed[[#This Row],[GRUPO]],tabGrupos[#Data],2,FALSE)</f>
        <v>MADEIRAS,LAMINADOS,COMPENSADOS E AGLOMERADOS</v>
      </c>
      <c r="G202" s="32" t="str">
        <f>VLOOKUP(tabPontoPed[[#This Row],[GRUPO]],tabGrupos[#Data],3,FALSE)</f>
        <v>MCO</v>
      </c>
      <c r="H202" s="33" t="s">
        <v>1311</v>
      </c>
      <c r="I202" s="80">
        <v>4</v>
      </c>
      <c r="J202" s="39">
        <v>12</v>
      </c>
      <c r="K202" s="41">
        <f>tabPontoPed[[#This Row],[QTDMÊS]] * tabPontoPed[[#This Row],[MENSAL]]</f>
        <v>48</v>
      </c>
      <c r="L202" s="83"/>
      <c r="M202" s="81"/>
      <c r="N202" s="34" t="s">
        <v>1009</v>
      </c>
      <c r="O202" s="76" t="s">
        <v>1762</v>
      </c>
      <c r="P202" s="77">
        <v>0</v>
      </c>
      <c r="Q202" s="57">
        <v>0</v>
      </c>
      <c r="R202" s="42">
        <v>4</v>
      </c>
      <c r="S202" s="69" t="str">
        <f>_xlfn.IFNA(IF(VLOOKUP(tabPontoPed[[#This Row],[CÓDIGO]],tabExcluirDoEstoque[#Data],1,FALSE),"sim",""),"")</f>
        <v/>
      </c>
      <c r="T202" s="43">
        <f>IF(AND(tabPontoPed[[#This Row],[MENSAL]]&gt;0,tabPontoPed[[#This Row],[CÁLCULO]]&gt;0), ABS( tabPontoPed[[#This Row],[MENSAL]] - tabPontoPed[[#This Row],[CÁLCULO]] ) / tabPontoPed[[#This Row],[MENSAL]], -1 )</f>
        <v>0.66666666666666663</v>
      </c>
      <c r="U202" s="58">
        <v>30</v>
      </c>
      <c r="V202" s="35">
        <f>IF(AND(tabPontoPed[[#This Row],[MENSAL]]&gt;0,tabPontoPed[[#This Row],[CÁLCULO]]&gt;0), IF( tabPontoPed[[#This Row],[MENSAL]] - tabPontoPed[[#This Row],[CÁLCULO]] &lt; 0, -1, IF( tabPontoPed[[#This Row],[MENSAL]] - tabPontoPed[[#This Row],[CÁLCULO]] &gt; 0, 1, -8)), -9 )</f>
        <v>1</v>
      </c>
      <c r="W202" s="35"/>
      <c r="X202" s="48" t="s">
        <v>1564</v>
      </c>
      <c r="Y202" s="53">
        <v>44391.599108796298</v>
      </c>
      <c r="Z202" s="72">
        <f>tabPontoPed[CÁLC_4M] - tabPontoPed[CÁLCULO]</f>
        <v>-4</v>
      </c>
      <c r="AA202" s="79" t="str">
        <f>IF(tabPontoPed[MENSAL]-tabPontoPed[ATA MENSAL] = 0,"sim","")</f>
        <v/>
      </c>
      <c r="AB202" s="79"/>
      <c r="AC202" s="47" t="str">
        <f t="shared" si="3"/>
        <v>*</v>
      </c>
    </row>
    <row r="203" spans="1:29" x14ac:dyDescent="0.25">
      <c r="A203" s="36">
        <v>88746</v>
      </c>
      <c r="B203" s="68" t="s">
        <v>351</v>
      </c>
      <c r="C203" s="33" t="s">
        <v>1317</v>
      </c>
      <c r="D203" s="32">
        <v>55</v>
      </c>
      <c r="E203" s="37">
        <v>26</v>
      </c>
      <c r="F203" s="38" t="str">
        <f>VLOOKUP(tabPontoPed[[#This Row],[GRUPO]],tabGrupos[#Data],2,FALSE)</f>
        <v>EQUIP. MAT. P/ GERACAO, TRANSM. DISTR. RETIF...</v>
      </c>
      <c r="G203" s="32" t="str">
        <f>VLOOKUP(tabPontoPed[[#This Row],[GRUPO]],tabGrupos[#Data],3,FALSE)</f>
        <v>MEL</v>
      </c>
      <c r="H203" s="33" t="s">
        <v>1311</v>
      </c>
      <c r="I203" s="80">
        <v>4</v>
      </c>
      <c r="J203" s="39">
        <v>3</v>
      </c>
      <c r="K203" s="41">
        <f>tabPontoPed[[#This Row],[QTDMÊS]] * tabPontoPed[[#This Row],[MENSAL]]</f>
        <v>12</v>
      </c>
      <c r="L203" s="83"/>
      <c r="M203" s="81"/>
      <c r="N203" s="34" t="s">
        <v>1009</v>
      </c>
      <c r="O203" s="76" t="s">
        <v>1677</v>
      </c>
      <c r="P203" s="77">
        <v>0</v>
      </c>
      <c r="Q203" s="57">
        <v>1</v>
      </c>
      <c r="R203" s="42">
        <v>1</v>
      </c>
      <c r="S203" s="69" t="str">
        <f>_xlfn.IFNA(IF(VLOOKUP(tabPontoPed[[#This Row],[CÓDIGO]],tabExcluirDoEstoque[#Data],1,FALSE),"sim",""),"")</f>
        <v/>
      </c>
      <c r="T203" s="43">
        <f>IF(AND(tabPontoPed[[#This Row],[MENSAL]]&gt;0,tabPontoPed[[#This Row],[CÁLCULO]]&gt;0), ABS( tabPontoPed[[#This Row],[MENSAL]] - tabPontoPed[[#This Row],[CÁLCULO]] ) / tabPontoPed[[#This Row],[MENSAL]], -1 )</f>
        <v>0.66666666666666663</v>
      </c>
      <c r="U203" s="58">
        <v>4</v>
      </c>
      <c r="V203" s="35">
        <f>IF(AND(tabPontoPed[[#This Row],[MENSAL]]&gt;0,tabPontoPed[[#This Row],[CÁLCULO]]&gt;0), IF( tabPontoPed[[#This Row],[MENSAL]] - tabPontoPed[[#This Row],[CÁLCULO]] &lt; 0, -1, IF( tabPontoPed[[#This Row],[MENSAL]] - tabPontoPed[[#This Row],[CÁLCULO]] &gt; 0, 1, -8)), -9 )</f>
        <v>1</v>
      </c>
      <c r="W203" s="35"/>
      <c r="X203" s="49" t="s">
        <v>1564</v>
      </c>
      <c r="Y203" s="51">
        <v>44391.599108796298</v>
      </c>
      <c r="Z203" s="72">
        <f>tabPontoPed[CÁLC_4M] - tabPontoPed[CÁLCULO]</f>
        <v>0</v>
      </c>
      <c r="AA203" s="79" t="str">
        <f>IF(tabPontoPed[MENSAL]-tabPontoPed[ATA MENSAL] = 0,"sim","")</f>
        <v/>
      </c>
      <c r="AB203" s="79" t="s">
        <v>1614</v>
      </c>
      <c r="AC203" s="47" t="str">
        <f t="shared" si="3"/>
        <v>*</v>
      </c>
    </row>
    <row r="204" spans="1:29" x14ac:dyDescent="0.25">
      <c r="A204" s="36">
        <v>102820</v>
      </c>
      <c r="B204" s="68" t="s">
        <v>354</v>
      </c>
      <c r="C204" s="33" t="s">
        <v>1317</v>
      </c>
      <c r="D204" s="32">
        <v>55</v>
      </c>
      <c r="E204" s="37">
        <v>26</v>
      </c>
      <c r="F204" s="38" t="str">
        <f>VLOOKUP(tabPontoPed[[#This Row],[GRUPO]],tabGrupos[#Data],2,FALSE)</f>
        <v>EQUIP. MAT. P/ GERACAO, TRANSM. DISTR. RETIF...</v>
      </c>
      <c r="G204" s="32" t="str">
        <f>VLOOKUP(tabPontoPed[[#This Row],[GRUPO]],tabGrupos[#Data],3,FALSE)</f>
        <v>MEL</v>
      </c>
      <c r="H204" s="33" t="s">
        <v>1311</v>
      </c>
      <c r="I204" s="80">
        <v>4</v>
      </c>
      <c r="J204" s="39">
        <v>3</v>
      </c>
      <c r="K204" s="41">
        <f>tabPontoPed[[#This Row],[QTDMÊS]] * tabPontoPed[[#This Row],[MENSAL]]</f>
        <v>12</v>
      </c>
      <c r="L204" s="83"/>
      <c r="M204" s="81"/>
      <c r="N204" s="34" t="s">
        <v>1009</v>
      </c>
      <c r="O204" s="76" t="s">
        <v>1677</v>
      </c>
      <c r="P204" s="77">
        <v>0</v>
      </c>
      <c r="Q204" s="57">
        <v>0</v>
      </c>
      <c r="R204" s="42">
        <v>1</v>
      </c>
      <c r="S204" s="69" t="str">
        <f>_xlfn.IFNA(IF(VLOOKUP(tabPontoPed[[#This Row],[CÓDIGO]],tabExcluirDoEstoque[#Data],1,FALSE),"sim",""),"")</f>
        <v/>
      </c>
      <c r="T204" s="43">
        <f>IF(AND(tabPontoPed[[#This Row],[MENSAL]]&gt;0,tabPontoPed[[#This Row],[CÁLCULO]]&gt;0), ABS( tabPontoPed[[#This Row],[MENSAL]] - tabPontoPed[[#This Row],[CÁLCULO]] ) / tabPontoPed[[#This Row],[MENSAL]], -1 )</f>
        <v>0.66666666666666663</v>
      </c>
      <c r="U204" s="58">
        <v>2</v>
      </c>
      <c r="V204" s="35">
        <f>IF(AND(tabPontoPed[[#This Row],[MENSAL]]&gt;0,tabPontoPed[[#This Row],[CÁLCULO]]&gt;0), IF( tabPontoPed[[#This Row],[MENSAL]] - tabPontoPed[[#This Row],[CÁLCULO]] &lt; 0, -1, IF( tabPontoPed[[#This Row],[MENSAL]] - tabPontoPed[[#This Row],[CÁLCULO]] &gt; 0, 1, -8)), -9 )</f>
        <v>1</v>
      </c>
      <c r="W204" s="35"/>
      <c r="X204" s="49" t="s">
        <v>1564</v>
      </c>
      <c r="Y204" s="51">
        <v>44391.599108796298</v>
      </c>
      <c r="Z204" s="72">
        <f>tabPontoPed[CÁLC_4M] - tabPontoPed[CÁLCULO]</f>
        <v>-1</v>
      </c>
      <c r="AA204" s="79" t="str">
        <f>IF(tabPontoPed[MENSAL]-tabPontoPed[ATA MENSAL] = 0,"sim","")</f>
        <v/>
      </c>
      <c r="AB204" s="79"/>
      <c r="AC204" s="47" t="str">
        <f t="shared" si="3"/>
        <v>*</v>
      </c>
    </row>
    <row r="205" spans="1:29" x14ac:dyDescent="0.25">
      <c r="A205" s="36">
        <v>36399</v>
      </c>
      <c r="B205" s="68" t="s">
        <v>994</v>
      </c>
      <c r="C205" s="33" t="s">
        <v>1317</v>
      </c>
      <c r="D205" s="32">
        <v>89</v>
      </c>
      <c r="E205" s="37">
        <v>12</v>
      </c>
      <c r="F205" s="38" t="str">
        <f>VLOOKUP(tabPontoPed[[#This Row],[GRUPO]],tabGrupos[#Data],2,FALSE)</f>
        <v>PEC.P/ VEICULO DE USO ESPECIAL E BATERIASROLAMENTO</v>
      </c>
      <c r="G205" s="32" t="str">
        <f>VLOOKUP(tabPontoPed[[#This Row],[GRUPO]],tabGrupos[#Data],3,FALSE)</f>
        <v>MFR</v>
      </c>
      <c r="H205" s="33" t="s">
        <v>1311</v>
      </c>
      <c r="I205" s="80">
        <v>4</v>
      </c>
      <c r="J205" s="39">
        <v>3</v>
      </c>
      <c r="K205" s="41">
        <f>tabPontoPed[[#This Row],[QTDMÊS]] * tabPontoPed[[#This Row],[MENSAL]]</f>
        <v>12</v>
      </c>
      <c r="L205" s="83"/>
      <c r="M205" s="81"/>
      <c r="N205" s="34" t="s">
        <v>1009</v>
      </c>
      <c r="O205" s="76"/>
      <c r="P205" s="77">
        <v>0</v>
      </c>
      <c r="Q205" s="57">
        <v>0</v>
      </c>
      <c r="R205" s="42">
        <v>5</v>
      </c>
      <c r="S205" s="69" t="str">
        <f>_xlfn.IFNA(IF(VLOOKUP(tabPontoPed[[#This Row],[CÓDIGO]],tabExcluirDoEstoque[#Data],1,FALSE),"sim",""),"")</f>
        <v/>
      </c>
      <c r="T205" s="43">
        <f>IF(AND(tabPontoPed[[#This Row],[MENSAL]]&gt;0,tabPontoPed[[#This Row],[CÁLCULO]]&gt;0), ABS( tabPontoPed[[#This Row],[MENSAL]] - tabPontoPed[[#This Row],[CÁLCULO]] ) / tabPontoPed[[#This Row],[MENSAL]], -1 )</f>
        <v>0.66666666666666663</v>
      </c>
      <c r="U205" s="58">
        <v>20</v>
      </c>
      <c r="V205" s="35">
        <f>IF(AND(tabPontoPed[[#This Row],[MENSAL]]&gt;0,tabPontoPed[[#This Row],[CÁLCULO]]&gt;0), IF( tabPontoPed[[#This Row],[MENSAL]] - tabPontoPed[[#This Row],[CÁLCULO]] &lt; 0, -1, IF( tabPontoPed[[#This Row],[MENSAL]] - tabPontoPed[[#This Row],[CÁLCULO]] &gt; 0, 1, -8)), -9 )</f>
        <v>-1</v>
      </c>
      <c r="W205" s="35"/>
      <c r="X205" s="49" t="s">
        <v>1564</v>
      </c>
      <c r="Y205" s="51">
        <v>44391.599108796298</v>
      </c>
      <c r="Z205" s="72">
        <f>tabPontoPed[CÁLC_4M] - tabPontoPed[CÁLCULO]</f>
        <v>-5</v>
      </c>
      <c r="AA205" s="79" t="str">
        <f>IF(tabPontoPed[MENSAL]-tabPontoPed[ATA MENSAL] = 0,"sim","")</f>
        <v/>
      </c>
      <c r="AB205" s="79"/>
      <c r="AC205" s="47" t="str">
        <f t="shared" si="3"/>
        <v>*</v>
      </c>
    </row>
    <row r="206" spans="1:29" x14ac:dyDescent="0.25">
      <c r="A206" s="36">
        <v>54586</v>
      </c>
      <c r="B206" s="68" t="s">
        <v>278</v>
      </c>
      <c r="C206" s="33" t="s">
        <v>1317</v>
      </c>
      <c r="D206" s="32">
        <v>61</v>
      </c>
      <c r="E206" s="37">
        <v>2</v>
      </c>
      <c r="F206" s="38" t="str">
        <f>VLOOKUP(tabPontoPed[[#This Row],[GRUPO]],tabGrupos[#Data],2,FALSE)</f>
        <v>MATERIAL HIDRAULICO, CANOS, TUBOS, MANGUEIRAS, CONEXOES E ACESS.</v>
      </c>
      <c r="G206" s="32" t="str">
        <f>VLOOKUP(tabPontoPed[[#This Row],[GRUPO]],tabGrupos[#Data],3,FALSE)</f>
        <v>MHI</v>
      </c>
      <c r="H206" s="33" t="s">
        <v>1311</v>
      </c>
      <c r="I206" s="80">
        <v>4</v>
      </c>
      <c r="J206" s="39">
        <v>3</v>
      </c>
      <c r="K206" s="41">
        <f>tabPontoPed[[#This Row],[QTDMÊS]] * tabPontoPed[[#This Row],[MENSAL]]</f>
        <v>12</v>
      </c>
      <c r="L206" s="83"/>
      <c r="M206" s="81"/>
      <c r="N206" s="34" t="s">
        <v>1009</v>
      </c>
      <c r="O206" s="76" t="s">
        <v>1678</v>
      </c>
      <c r="P206" s="77">
        <v>0</v>
      </c>
      <c r="Q206" s="57">
        <v>0</v>
      </c>
      <c r="R206" s="42">
        <v>1</v>
      </c>
      <c r="S206" s="69" t="str">
        <f>_xlfn.IFNA(IF(VLOOKUP(tabPontoPed[[#This Row],[CÓDIGO]],tabExcluirDoEstoque[#Data],1,FALSE),"sim",""),"")</f>
        <v/>
      </c>
      <c r="T206" s="43">
        <f>IF(AND(tabPontoPed[[#This Row],[MENSAL]]&gt;0,tabPontoPed[[#This Row],[CÁLCULO]]&gt;0), ABS( tabPontoPed[[#This Row],[MENSAL]] - tabPontoPed[[#This Row],[CÁLCULO]] ) / tabPontoPed[[#This Row],[MENSAL]], -1 )</f>
        <v>0.66666666666666663</v>
      </c>
      <c r="U206" s="58">
        <v>6</v>
      </c>
      <c r="V206" s="35">
        <f>IF(AND(tabPontoPed[[#This Row],[MENSAL]]&gt;0,tabPontoPed[[#This Row],[CÁLCULO]]&gt;0), IF( tabPontoPed[[#This Row],[MENSAL]] - tabPontoPed[[#This Row],[CÁLCULO]] &lt; 0, -1, IF( tabPontoPed[[#This Row],[MENSAL]] - tabPontoPed[[#This Row],[CÁLCULO]] &gt; 0, 1, -8)), -9 )</f>
        <v>1</v>
      </c>
      <c r="W206" s="35"/>
      <c r="X206" s="49" t="s">
        <v>1564</v>
      </c>
      <c r="Y206" s="51">
        <v>44391.599108796298</v>
      </c>
      <c r="Z206" s="72">
        <f>tabPontoPed[CÁLC_4M] - tabPontoPed[CÁLCULO]</f>
        <v>-1</v>
      </c>
      <c r="AA206" s="79" t="str">
        <f>IF(tabPontoPed[MENSAL]-tabPontoPed[ATA MENSAL] = 0,"sim","")</f>
        <v/>
      </c>
      <c r="AB206" s="79"/>
      <c r="AC206" s="47" t="str">
        <f t="shared" si="3"/>
        <v>*</v>
      </c>
    </row>
    <row r="207" spans="1:29" x14ac:dyDescent="0.25">
      <c r="A207" s="36">
        <v>102278</v>
      </c>
      <c r="B207" s="68" t="s">
        <v>726</v>
      </c>
      <c r="C207" s="33" t="s">
        <v>1317</v>
      </c>
      <c r="D207" s="32">
        <v>61</v>
      </c>
      <c r="E207" s="37">
        <v>3</v>
      </c>
      <c r="F207" s="38" t="str">
        <f>VLOOKUP(tabPontoPed[[#This Row],[GRUPO]],tabGrupos[#Data],2,FALSE)</f>
        <v>MATERIAL HIDRAULICO, CANOS, TUBOS, MANGUEIRAS, CONEXOES E ACESS.</v>
      </c>
      <c r="G207" s="32" t="str">
        <f>VLOOKUP(tabPontoPed[[#This Row],[GRUPO]],tabGrupos[#Data],3,FALSE)</f>
        <v>MHI</v>
      </c>
      <c r="H207" s="33" t="s">
        <v>1311</v>
      </c>
      <c r="I207" s="80">
        <v>4</v>
      </c>
      <c r="J207" s="39">
        <v>3</v>
      </c>
      <c r="K207" s="41">
        <f>tabPontoPed[[#This Row],[QTDMÊS]] * tabPontoPed[[#This Row],[MENSAL]]</f>
        <v>12</v>
      </c>
      <c r="L207" s="83"/>
      <c r="M207" s="81"/>
      <c r="N207" s="34" t="s">
        <v>1009</v>
      </c>
      <c r="O207" s="76" t="s">
        <v>1689</v>
      </c>
      <c r="P207" s="77">
        <v>0</v>
      </c>
      <c r="Q207" s="57">
        <v>1</v>
      </c>
      <c r="R207" s="42">
        <v>1</v>
      </c>
      <c r="S207" s="69" t="str">
        <f>_xlfn.IFNA(IF(VLOOKUP(tabPontoPed[[#This Row],[CÓDIGO]],tabExcluirDoEstoque[#Data],1,FALSE),"sim",""),"")</f>
        <v/>
      </c>
      <c r="T207" s="43">
        <f>IF(AND(tabPontoPed[[#This Row],[MENSAL]]&gt;0,tabPontoPed[[#This Row],[CÁLCULO]]&gt;0), ABS( tabPontoPed[[#This Row],[MENSAL]] - tabPontoPed[[#This Row],[CÁLCULO]] ) / tabPontoPed[[#This Row],[MENSAL]], -1 )</f>
        <v>0.66666666666666663</v>
      </c>
      <c r="U207" s="58">
        <v>5</v>
      </c>
      <c r="V207" s="35">
        <f>IF(AND(tabPontoPed[[#This Row],[MENSAL]]&gt;0,tabPontoPed[[#This Row],[CÁLCULO]]&gt;0), IF( tabPontoPed[[#This Row],[MENSAL]] - tabPontoPed[[#This Row],[CÁLCULO]] &lt; 0, -1, IF( tabPontoPed[[#This Row],[MENSAL]] - tabPontoPed[[#This Row],[CÁLCULO]] &gt; 0, 1, -8)), -9 )</f>
        <v>1</v>
      </c>
      <c r="W207" s="35"/>
      <c r="X207" s="49" t="s">
        <v>1564</v>
      </c>
      <c r="Y207" s="51">
        <v>44391.599108796298</v>
      </c>
      <c r="Z207" s="72">
        <f>tabPontoPed[CÁLC_4M] - tabPontoPed[CÁLCULO]</f>
        <v>0</v>
      </c>
      <c r="AA207" s="79" t="str">
        <f>IF(tabPontoPed[MENSAL]-tabPontoPed[ATA MENSAL] = 0,"sim","")</f>
        <v/>
      </c>
      <c r="AB207" s="79"/>
      <c r="AC207" s="47" t="str">
        <f t="shared" si="3"/>
        <v>*</v>
      </c>
    </row>
    <row r="208" spans="1:29" x14ac:dyDescent="0.25">
      <c r="A208" s="36">
        <v>54550</v>
      </c>
      <c r="B208" s="68" t="s">
        <v>724</v>
      </c>
      <c r="C208" s="33" t="s">
        <v>1317</v>
      </c>
      <c r="D208" s="32">
        <v>61</v>
      </c>
      <c r="E208" s="37">
        <v>3</v>
      </c>
      <c r="F208" s="38" t="str">
        <f>VLOOKUP(tabPontoPed[[#This Row],[GRUPO]],tabGrupos[#Data],2,FALSE)</f>
        <v>MATERIAL HIDRAULICO, CANOS, TUBOS, MANGUEIRAS, CONEXOES E ACESS.</v>
      </c>
      <c r="G208" s="32" t="str">
        <f>VLOOKUP(tabPontoPed[[#This Row],[GRUPO]],tabGrupos[#Data],3,FALSE)</f>
        <v>MHI</v>
      </c>
      <c r="H208" s="33" t="s">
        <v>1311</v>
      </c>
      <c r="I208" s="80">
        <v>4</v>
      </c>
      <c r="J208" s="39">
        <v>42</v>
      </c>
      <c r="K208" s="41">
        <f>tabPontoPed[[#This Row],[QTDMÊS]] * tabPontoPed[[#This Row],[MENSAL]]</f>
        <v>168</v>
      </c>
      <c r="L208" s="83"/>
      <c r="M208" s="81"/>
      <c r="N208" s="34" t="s">
        <v>1009</v>
      </c>
      <c r="O208" s="76" t="s">
        <v>1730</v>
      </c>
      <c r="P208" s="77">
        <v>0</v>
      </c>
      <c r="Q208" s="57">
        <v>13</v>
      </c>
      <c r="R208" s="42">
        <v>14</v>
      </c>
      <c r="S208" s="69" t="str">
        <f>_xlfn.IFNA(IF(VLOOKUP(tabPontoPed[[#This Row],[CÓDIGO]],tabExcluirDoEstoque[#Data],1,FALSE),"sim",""),"")</f>
        <v/>
      </c>
      <c r="T208" s="43">
        <f>IF(AND(tabPontoPed[[#This Row],[MENSAL]]&gt;0,tabPontoPed[[#This Row],[CÁLCULO]]&gt;0), ABS( tabPontoPed[[#This Row],[MENSAL]] - tabPontoPed[[#This Row],[CÁLCULO]] ) / tabPontoPed[[#This Row],[MENSAL]], -1 )</f>
        <v>0.66666666666666663</v>
      </c>
      <c r="U208" s="58">
        <v>40</v>
      </c>
      <c r="V208" s="35">
        <f>IF(AND(tabPontoPed[[#This Row],[MENSAL]]&gt;0,tabPontoPed[[#This Row],[CÁLCULO]]&gt;0), IF( tabPontoPed[[#This Row],[MENSAL]] - tabPontoPed[[#This Row],[CÁLCULO]] &lt; 0, -1, IF( tabPontoPed[[#This Row],[MENSAL]] - tabPontoPed[[#This Row],[CÁLCULO]] &gt; 0, 1, -8)), -9 )</f>
        <v>1</v>
      </c>
      <c r="W208" s="35"/>
      <c r="X208" s="48" t="s">
        <v>1564</v>
      </c>
      <c r="Y208" s="53">
        <v>44391.599108796298</v>
      </c>
      <c r="Z208" s="72">
        <f>tabPontoPed[CÁLC_4M] - tabPontoPed[CÁLCULO]</f>
        <v>-1</v>
      </c>
      <c r="AA208" s="79" t="str">
        <f>IF(tabPontoPed[MENSAL]-tabPontoPed[ATA MENSAL] = 0,"sim","")</f>
        <v/>
      </c>
      <c r="AB208" s="79" t="s">
        <v>1614</v>
      </c>
      <c r="AC208" s="47" t="str">
        <f t="shared" si="3"/>
        <v>*</v>
      </c>
    </row>
    <row r="209" spans="1:29" x14ac:dyDescent="0.25">
      <c r="A209" s="36">
        <v>59097</v>
      </c>
      <c r="B209" s="68" t="s">
        <v>290</v>
      </c>
      <c r="C209" s="33" t="s">
        <v>1317</v>
      </c>
      <c r="D209" s="32">
        <v>61</v>
      </c>
      <c r="E209" s="37">
        <v>8</v>
      </c>
      <c r="F209" s="38" t="str">
        <f>VLOOKUP(tabPontoPed[[#This Row],[GRUPO]],tabGrupos[#Data],2,FALSE)</f>
        <v>MATERIAL HIDRAULICO, CANOS, TUBOS, MANGUEIRAS, CONEXOES E ACESS.</v>
      </c>
      <c r="G209" s="32" t="str">
        <f>VLOOKUP(tabPontoPed[[#This Row],[GRUPO]],tabGrupos[#Data],3,FALSE)</f>
        <v>MHI</v>
      </c>
      <c r="H209" s="33" t="s">
        <v>1311</v>
      </c>
      <c r="I209" s="80">
        <v>4</v>
      </c>
      <c r="J209" s="39">
        <v>9</v>
      </c>
      <c r="K209" s="41">
        <f>tabPontoPed[[#This Row],[QTDMÊS]] * tabPontoPed[[#This Row],[MENSAL]]</f>
        <v>36</v>
      </c>
      <c r="L209" s="83"/>
      <c r="M209" s="81"/>
      <c r="N209" s="34" t="s">
        <v>1009</v>
      </c>
      <c r="O209" s="76" t="s">
        <v>1678</v>
      </c>
      <c r="P209" s="77">
        <v>0</v>
      </c>
      <c r="Q209" s="57">
        <v>3</v>
      </c>
      <c r="R209" s="42">
        <v>3</v>
      </c>
      <c r="S209" s="69" t="str">
        <f>_xlfn.IFNA(IF(VLOOKUP(tabPontoPed[[#This Row],[CÓDIGO]],tabExcluirDoEstoque[#Data],1,FALSE),"sim",""),"")</f>
        <v/>
      </c>
      <c r="T209" s="43">
        <f>IF(AND(tabPontoPed[[#This Row],[MENSAL]]&gt;0,tabPontoPed[[#This Row],[CÁLCULO]]&gt;0), ABS( tabPontoPed[[#This Row],[MENSAL]] - tabPontoPed[[#This Row],[CÁLCULO]] ) / tabPontoPed[[#This Row],[MENSAL]], -1 )</f>
        <v>0.66666666666666663</v>
      </c>
      <c r="U209" s="58">
        <v>11</v>
      </c>
      <c r="V209" s="35">
        <f>IF(AND(tabPontoPed[[#This Row],[MENSAL]]&gt;0,tabPontoPed[[#This Row],[CÁLCULO]]&gt;0), IF( tabPontoPed[[#This Row],[MENSAL]] - tabPontoPed[[#This Row],[CÁLCULO]] &lt; 0, -1, IF( tabPontoPed[[#This Row],[MENSAL]] - tabPontoPed[[#This Row],[CÁLCULO]] &gt; 0, 1, -8)), -9 )</f>
        <v>1</v>
      </c>
      <c r="W209" s="35"/>
      <c r="X209" s="49" t="s">
        <v>1564</v>
      </c>
      <c r="Y209" s="51">
        <v>44391.599108796298</v>
      </c>
      <c r="Z209" s="72">
        <f>tabPontoPed[CÁLC_4M] - tabPontoPed[CÁLCULO]</f>
        <v>0</v>
      </c>
      <c r="AA209" s="79" t="str">
        <f>IF(tabPontoPed[MENSAL]-tabPontoPed[ATA MENSAL] = 0,"sim","")</f>
        <v/>
      </c>
      <c r="AB209" s="79" t="s">
        <v>1614</v>
      </c>
      <c r="AC209" s="47" t="str">
        <f t="shared" si="3"/>
        <v>*</v>
      </c>
    </row>
    <row r="210" spans="1:29" x14ac:dyDescent="0.25">
      <c r="A210" s="36">
        <v>114822</v>
      </c>
      <c r="B210" s="68" t="s">
        <v>771</v>
      </c>
      <c r="C210" s="33" t="s">
        <v>1317</v>
      </c>
      <c r="D210" s="32">
        <v>61</v>
      </c>
      <c r="E210" s="37">
        <v>8</v>
      </c>
      <c r="F210" s="38" t="str">
        <f>VLOOKUP(tabPontoPed[[#This Row],[GRUPO]],tabGrupos[#Data],2,FALSE)</f>
        <v>MATERIAL HIDRAULICO, CANOS, TUBOS, MANGUEIRAS, CONEXOES E ACESS.</v>
      </c>
      <c r="G210" s="32" t="str">
        <f>VLOOKUP(tabPontoPed[[#This Row],[GRUPO]],tabGrupos[#Data],3,FALSE)</f>
        <v>MHI</v>
      </c>
      <c r="H210" s="33" t="s">
        <v>1311</v>
      </c>
      <c r="I210" s="80">
        <v>4</v>
      </c>
      <c r="J210" s="39">
        <v>3</v>
      </c>
      <c r="K210" s="41">
        <f>tabPontoPed[[#This Row],[QTDMÊS]] * tabPontoPed[[#This Row],[MENSAL]]</f>
        <v>12</v>
      </c>
      <c r="L210" s="83"/>
      <c r="M210" s="81"/>
      <c r="N210" s="34" t="s">
        <v>1009</v>
      </c>
      <c r="O210" s="76" t="s">
        <v>1726</v>
      </c>
      <c r="P210" s="77">
        <v>0</v>
      </c>
      <c r="Q210" s="57">
        <v>1</v>
      </c>
      <c r="R210" s="42">
        <v>1</v>
      </c>
      <c r="S210" s="69" t="str">
        <f>_xlfn.IFNA(IF(VLOOKUP(tabPontoPed[[#This Row],[CÓDIGO]],tabExcluirDoEstoque[#Data],1,FALSE),"sim",""),"")</f>
        <v/>
      </c>
      <c r="T210" s="43">
        <f>IF(AND(tabPontoPed[[#This Row],[MENSAL]]&gt;0,tabPontoPed[[#This Row],[CÁLCULO]]&gt;0), ABS( tabPontoPed[[#This Row],[MENSAL]] - tabPontoPed[[#This Row],[CÁLCULO]] ) / tabPontoPed[[#This Row],[MENSAL]], -1 )</f>
        <v>0.66666666666666663</v>
      </c>
      <c r="U210" s="58">
        <v>4</v>
      </c>
      <c r="V210" s="35">
        <f>IF(AND(tabPontoPed[[#This Row],[MENSAL]]&gt;0,tabPontoPed[[#This Row],[CÁLCULO]]&gt;0), IF( tabPontoPed[[#This Row],[MENSAL]] - tabPontoPed[[#This Row],[CÁLCULO]] &lt; 0, -1, IF( tabPontoPed[[#This Row],[MENSAL]] - tabPontoPed[[#This Row],[CÁLCULO]] &gt; 0, 1, -8)), -9 )</f>
        <v>1</v>
      </c>
      <c r="W210" s="35"/>
      <c r="X210" s="49" t="s">
        <v>1564</v>
      </c>
      <c r="Y210" s="51">
        <v>44391.599108796298</v>
      </c>
      <c r="Z210" s="72">
        <f>tabPontoPed[CÁLC_4M] - tabPontoPed[CÁLCULO]</f>
        <v>0</v>
      </c>
      <c r="AA210" s="79" t="str">
        <f>IF(tabPontoPed[MENSAL]-tabPontoPed[ATA MENSAL] = 0,"sim","")</f>
        <v/>
      </c>
      <c r="AB210" s="79"/>
      <c r="AC210" s="47" t="str">
        <f t="shared" si="3"/>
        <v>*</v>
      </c>
    </row>
    <row r="211" spans="1:29" x14ac:dyDescent="0.25">
      <c r="A211" s="36">
        <v>17426</v>
      </c>
      <c r="B211" s="68" t="s">
        <v>308</v>
      </c>
      <c r="C211" s="33" t="s">
        <v>1317</v>
      </c>
      <c r="D211" s="32">
        <v>61</v>
      </c>
      <c r="E211" s="37">
        <v>11</v>
      </c>
      <c r="F211" s="38" t="str">
        <f>VLOOKUP(tabPontoPed[[#This Row],[GRUPO]],tabGrupos[#Data],2,FALSE)</f>
        <v>MATERIAL HIDRAULICO, CANOS, TUBOS, MANGUEIRAS, CONEXOES E ACESS.</v>
      </c>
      <c r="G211" s="32" t="str">
        <f>VLOOKUP(tabPontoPed[[#This Row],[GRUPO]],tabGrupos[#Data],3,FALSE)</f>
        <v>MHI</v>
      </c>
      <c r="H211" s="33" t="s">
        <v>1311</v>
      </c>
      <c r="I211" s="80">
        <v>4</v>
      </c>
      <c r="J211" s="39">
        <v>3</v>
      </c>
      <c r="K211" s="41">
        <f>tabPontoPed[[#This Row],[QTDMÊS]] * tabPontoPed[[#This Row],[MENSAL]]</f>
        <v>12</v>
      </c>
      <c r="L211" s="83"/>
      <c r="M211" s="81"/>
      <c r="N211" s="34" t="s">
        <v>1009</v>
      </c>
      <c r="O211" s="76" t="s">
        <v>1679</v>
      </c>
      <c r="P211" s="77">
        <v>0</v>
      </c>
      <c r="Q211" s="57">
        <v>1</v>
      </c>
      <c r="R211" s="42">
        <v>1</v>
      </c>
      <c r="S211" s="69" t="str">
        <f>_xlfn.IFNA(IF(VLOOKUP(tabPontoPed[[#This Row],[CÓDIGO]],tabExcluirDoEstoque[#Data],1,FALSE),"sim",""),"")</f>
        <v/>
      </c>
      <c r="T211" s="43">
        <f>IF(AND(tabPontoPed[[#This Row],[MENSAL]]&gt;0,tabPontoPed[[#This Row],[CÁLCULO]]&gt;0), ABS( tabPontoPed[[#This Row],[MENSAL]] - tabPontoPed[[#This Row],[CÁLCULO]] ) / tabPontoPed[[#This Row],[MENSAL]], -1 )</f>
        <v>0.66666666666666663</v>
      </c>
      <c r="U211" s="58">
        <v>1</v>
      </c>
      <c r="V211" s="35">
        <f>IF(AND(tabPontoPed[[#This Row],[MENSAL]]&gt;0,tabPontoPed[[#This Row],[CÁLCULO]]&gt;0), IF( tabPontoPed[[#This Row],[MENSAL]] - tabPontoPed[[#This Row],[CÁLCULO]] &lt; 0, -1, IF( tabPontoPed[[#This Row],[MENSAL]] - tabPontoPed[[#This Row],[CÁLCULO]] &gt; 0, 1, -8)), -9 )</f>
        <v>1</v>
      </c>
      <c r="W211" s="35"/>
      <c r="X211" s="49" t="s">
        <v>1564</v>
      </c>
      <c r="Y211" s="51">
        <v>44391.599108796298</v>
      </c>
      <c r="Z211" s="72">
        <f>tabPontoPed[CÁLC_4M] - tabPontoPed[CÁLCULO]</f>
        <v>0</v>
      </c>
      <c r="AA211" s="79" t="str">
        <f>IF(tabPontoPed[MENSAL]-tabPontoPed[ATA MENSAL] = 0,"sim","")</f>
        <v/>
      </c>
      <c r="AB211" s="79"/>
      <c r="AC211" s="47" t="str">
        <f t="shared" si="3"/>
        <v>*</v>
      </c>
    </row>
    <row r="212" spans="1:29" x14ac:dyDescent="0.25">
      <c r="A212" s="36">
        <v>80385</v>
      </c>
      <c r="B212" s="68" t="s">
        <v>321</v>
      </c>
      <c r="C212" s="33" t="s">
        <v>1317</v>
      </c>
      <c r="D212" s="32">
        <v>61</v>
      </c>
      <c r="E212" s="37">
        <v>15</v>
      </c>
      <c r="F212" s="38" t="str">
        <f>VLOOKUP(tabPontoPed[[#This Row],[GRUPO]],tabGrupos[#Data],2,FALSE)</f>
        <v>MATERIAL HIDRAULICO, CANOS, TUBOS, MANGUEIRAS, CONEXOES E ACESS.</v>
      </c>
      <c r="G212" s="32" t="str">
        <f>VLOOKUP(tabPontoPed[[#This Row],[GRUPO]],tabGrupos[#Data],3,FALSE)</f>
        <v>MHI</v>
      </c>
      <c r="H212" s="33" t="s">
        <v>1311</v>
      </c>
      <c r="I212" s="80">
        <v>4</v>
      </c>
      <c r="J212" s="39">
        <v>3</v>
      </c>
      <c r="K212" s="41">
        <f>tabPontoPed[[#This Row],[QTDMÊS]] * tabPontoPed[[#This Row],[MENSAL]]</f>
        <v>12</v>
      </c>
      <c r="L212" s="83"/>
      <c r="M212" s="81"/>
      <c r="N212" s="34" t="s">
        <v>1009</v>
      </c>
      <c r="O212" s="76" t="s">
        <v>1678</v>
      </c>
      <c r="P212" s="77">
        <v>0</v>
      </c>
      <c r="Q212" s="57">
        <v>3</v>
      </c>
      <c r="R212" s="42">
        <v>1</v>
      </c>
      <c r="S212" s="69" t="str">
        <f>_xlfn.IFNA(IF(VLOOKUP(tabPontoPed[[#This Row],[CÓDIGO]],tabExcluirDoEstoque[#Data],1,FALSE),"sim",""),"")</f>
        <v/>
      </c>
      <c r="T212" s="43">
        <f>IF(AND(tabPontoPed[[#This Row],[MENSAL]]&gt;0,tabPontoPed[[#This Row],[CÁLCULO]]&gt;0), ABS( tabPontoPed[[#This Row],[MENSAL]] - tabPontoPed[[#This Row],[CÁLCULO]] ) / tabPontoPed[[#This Row],[MENSAL]], -1 )</f>
        <v>0.66666666666666663</v>
      </c>
      <c r="U212" s="58">
        <v>10</v>
      </c>
      <c r="V212" s="35">
        <f>IF(AND(tabPontoPed[[#This Row],[MENSAL]]&gt;0,tabPontoPed[[#This Row],[CÁLCULO]]&gt;0), IF( tabPontoPed[[#This Row],[MENSAL]] - tabPontoPed[[#This Row],[CÁLCULO]] &lt; 0, -1, IF( tabPontoPed[[#This Row],[MENSAL]] - tabPontoPed[[#This Row],[CÁLCULO]] &gt; 0, 1, -8)), -9 )</f>
        <v>1</v>
      </c>
      <c r="W212" s="35"/>
      <c r="X212" s="49" t="s">
        <v>1564</v>
      </c>
      <c r="Y212" s="51">
        <v>44391.599108796298</v>
      </c>
      <c r="Z212" s="72">
        <f>tabPontoPed[CÁLC_4M] - tabPontoPed[CÁLCULO]</f>
        <v>2</v>
      </c>
      <c r="AA212" s="79" t="str">
        <f>IF(tabPontoPed[MENSAL]-tabPontoPed[ATA MENSAL] = 0,"sim","")</f>
        <v/>
      </c>
      <c r="AB212" s="79" t="s">
        <v>1614</v>
      </c>
      <c r="AC212" s="47" t="str">
        <f t="shared" si="3"/>
        <v>*</v>
      </c>
    </row>
    <row r="213" spans="1:29" x14ac:dyDescent="0.25">
      <c r="A213" s="36">
        <v>81808</v>
      </c>
      <c r="B213" s="68" t="s">
        <v>323</v>
      </c>
      <c r="C213" s="33" t="s">
        <v>1317</v>
      </c>
      <c r="D213" s="32">
        <v>61</v>
      </c>
      <c r="E213" s="37">
        <v>15</v>
      </c>
      <c r="F213" s="38" t="str">
        <f>VLOOKUP(tabPontoPed[[#This Row],[GRUPO]],tabGrupos[#Data],2,FALSE)</f>
        <v>MATERIAL HIDRAULICO, CANOS, TUBOS, MANGUEIRAS, CONEXOES E ACESS.</v>
      </c>
      <c r="G213" s="32" t="str">
        <f>VLOOKUP(tabPontoPed[[#This Row],[GRUPO]],tabGrupos[#Data],3,FALSE)</f>
        <v>MHI</v>
      </c>
      <c r="H213" s="33" t="s">
        <v>1311</v>
      </c>
      <c r="I213" s="80">
        <v>4</v>
      </c>
      <c r="J213" s="39">
        <v>3</v>
      </c>
      <c r="K213" s="41">
        <f>tabPontoPed[[#This Row],[QTDMÊS]] * tabPontoPed[[#This Row],[MENSAL]]</f>
        <v>12</v>
      </c>
      <c r="L213" s="83"/>
      <c r="M213" s="81"/>
      <c r="N213" s="34" t="s">
        <v>1009</v>
      </c>
      <c r="O213" s="76" t="s">
        <v>1678</v>
      </c>
      <c r="P213" s="77">
        <v>0</v>
      </c>
      <c r="Q213" s="57">
        <v>0</v>
      </c>
      <c r="R213" s="42">
        <v>1</v>
      </c>
      <c r="S213" s="69" t="str">
        <f>_xlfn.IFNA(IF(VLOOKUP(tabPontoPed[[#This Row],[CÓDIGO]],tabExcluirDoEstoque[#Data],1,FALSE),"sim",""),"")</f>
        <v/>
      </c>
      <c r="T213" s="43">
        <f>IF(AND(tabPontoPed[[#This Row],[MENSAL]]&gt;0,tabPontoPed[[#This Row],[CÁLCULO]]&gt;0), ABS( tabPontoPed[[#This Row],[MENSAL]] - tabPontoPed[[#This Row],[CÁLCULO]] ) / tabPontoPed[[#This Row],[MENSAL]], -1 )</f>
        <v>0.66666666666666663</v>
      </c>
      <c r="U213" s="58">
        <v>9</v>
      </c>
      <c r="V213" s="35">
        <f>IF(AND(tabPontoPed[[#This Row],[MENSAL]]&gt;0,tabPontoPed[[#This Row],[CÁLCULO]]&gt;0), IF( tabPontoPed[[#This Row],[MENSAL]] - tabPontoPed[[#This Row],[CÁLCULO]] &lt; 0, -1, IF( tabPontoPed[[#This Row],[MENSAL]] - tabPontoPed[[#This Row],[CÁLCULO]] &gt; 0, 1, -8)), -9 )</f>
        <v>1</v>
      </c>
      <c r="W213" s="35"/>
      <c r="X213" s="49" t="s">
        <v>1564</v>
      </c>
      <c r="Y213" s="51">
        <v>44391.599108796298</v>
      </c>
      <c r="Z213" s="72">
        <f>tabPontoPed[CÁLC_4M] - tabPontoPed[CÁLCULO]</f>
        <v>-1</v>
      </c>
      <c r="AA213" s="79" t="str">
        <f>IF(tabPontoPed[MENSAL]-tabPontoPed[ATA MENSAL] = 0,"sim","")</f>
        <v/>
      </c>
      <c r="AB213" s="79" t="s">
        <v>1614</v>
      </c>
      <c r="AC213" s="47" t="str">
        <f t="shared" si="3"/>
        <v>*</v>
      </c>
    </row>
    <row r="214" spans="1:29" x14ac:dyDescent="0.25">
      <c r="A214" s="36">
        <v>81807</v>
      </c>
      <c r="B214" s="68" t="s">
        <v>328</v>
      </c>
      <c r="C214" s="33" t="s">
        <v>1317</v>
      </c>
      <c r="D214" s="32">
        <v>61</v>
      </c>
      <c r="E214" s="37">
        <v>15</v>
      </c>
      <c r="F214" s="38" t="str">
        <f>VLOOKUP(tabPontoPed[[#This Row],[GRUPO]],tabGrupos[#Data],2,FALSE)</f>
        <v>MATERIAL HIDRAULICO, CANOS, TUBOS, MANGUEIRAS, CONEXOES E ACESS.</v>
      </c>
      <c r="G214" s="32" t="str">
        <f>VLOOKUP(tabPontoPed[[#This Row],[GRUPO]],tabGrupos[#Data],3,FALSE)</f>
        <v>MHI</v>
      </c>
      <c r="H214" s="33" t="s">
        <v>1311</v>
      </c>
      <c r="I214" s="80">
        <v>4</v>
      </c>
      <c r="J214" s="39">
        <v>3</v>
      </c>
      <c r="K214" s="41">
        <f>tabPontoPed[[#This Row],[QTDMÊS]] * tabPontoPed[[#This Row],[MENSAL]]</f>
        <v>12</v>
      </c>
      <c r="L214" s="83"/>
      <c r="M214" s="81"/>
      <c r="N214" s="34" t="s">
        <v>1009</v>
      </c>
      <c r="O214" s="76" t="s">
        <v>1678</v>
      </c>
      <c r="P214" s="77">
        <v>0</v>
      </c>
      <c r="Q214" s="57">
        <v>0</v>
      </c>
      <c r="R214" s="42">
        <v>1</v>
      </c>
      <c r="S214" s="69" t="str">
        <f>_xlfn.IFNA(IF(VLOOKUP(tabPontoPed[[#This Row],[CÓDIGO]],tabExcluirDoEstoque[#Data],1,FALSE),"sim",""),"")</f>
        <v/>
      </c>
      <c r="T214" s="43">
        <f>IF(AND(tabPontoPed[[#This Row],[MENSAL]]&gt;0,tabPontoPed[[#This Row],[CÁLCULO]]&gt;0), ABS( tabPontoPed[[#This Row],[MENSAL]] - tabPontoPed[[#This Row],[CÁLCULO]] ) / tabPontoPed[[#This Row],[MENSAL]], -1 )</f>
        <v>0.66666666666666663</v>
      </c>
      <c r="U214" s="58">
        <v>9</v>
      </c>
      <c r="V214" s="35">
        <f>IF(AND(tabPontoPed[[#This Row],[MENSAL]]&gt;0,tabPontoPed[[#This Row],[CÁLCULO]]&gt;0), IF( tabPontoPed[[#This Row],[MENSAL]] - tabPontoPed[[#This Row],[CÁLCULO]] &lt; 0, -1, IF( tabPontoPed[[#This Row],[MENSAL]] - tabPontoPed[[#This Row],[CÁLCULO]] &gt; 0, 1, -8)), -9 )</f>
        <v>1</v>
      </c>
      <c r="W214" s="35"/>
      <c r="X214" s="49" t="s">
        <v>1564</v>
      </c>
      <c r="Y214" s="51">
        <v>44391.599108796298</v>
      </c>
      <c r="Z214" s="72">
        <f>tabPontoPed[CÁLC_4M] - tabPontoPed[CÁLCULO]</f>
        <v>-1</v>
      </c>
      <c r="AA214" s="79" t="str">
        <f>IF(tabPontoPed[MENSAL]-tabPontoPed[ATA MENSAL] = 0,"sim","")</f>
        <v/>
      </c>
      <c r="AB214" s="79" t="s">
        <v>1614</v>
      </c>
      <c r="AC214" s="47" t="str">
        <f t="shared" si="3"/>
        <v>*</v>
      </c>
    </row>
    <row r="215" spans="1:29" ht="18.75" x14ac:dyDescent="0.25">
      <c r="A215" s="36">
        <v>57900</v>
      </c>
      <c r="B215" s="68" t="s">
        <v>959</v>
      </c>
      <c r="C215" s="33" t="s">
        <v>1317</v>
      </c>
      <c r="D215" s="32">
        <v>76</v>
      </c>
      <c r="E215" s="37">
        <v>8</v>
      </c>
      <c r="F215" s="38" t="str">
        <f>VLOOKUP(tabPontoPed[[#This Row],[GRUPO]],tabGrupos[#Data],2,FALSE)</f>
        <v>EQUIP. E MATERIAIS P/PINTURAS E IMPERMEABILIZACAO</v>
      </c>
      <c r="G215" s="32" t="str">
        <f>VLOOKUP(tabPontoPed[[#This Row],[GRUPO]],tabGrupos[#Data],3,FALSE)</f>
        <v>MPI</v>
      </c>
      <c r="H215" s="33" t="s">
        <v>1321</v>
      </c>
      <c r="I215" s="80">
        <v>4</v>
      </c>
      <c r="J215" s="39">
        <v>3</v>
      </c>
      <c r="K215" s="41">
        <f>tabPontoPed[[#This Row],[QTDMÊS]] * tabPontoPed[[#This Row],[MENSAL]]</f>
        <v>12</v>
      </c>
      <c r="L215" s="83"/>
      <c r="M215" s="81"/>
      <c r="N215" s="34" t="s">
        <v>1009</v>
      </c>
      <c r="O215" s="76" t="s">
        <v>1763</v>
      </c>
      <c r="P215" s="77">
        <v>0</v>
      </c>
      <c r="Q215" s="57">
        <v>0</v>
      </c>
      <c r="R215" s="42">
        <v>1</v>
      </c>
      <c r="S215" s="69" t="str">
        <f>_xlfn.IFNA(IF(VLOOKUP(tabPontoPed[[#This Row],[CÓDIGO]],tabExcluirDoEstoque[#Data],1,FALSE),"sim",""),"")</f>
        <v/>
      </c>
      <c r="T215" s="43">
        <f>IF(AND(tabPontoPed[[#This Row],[MENSAL]]&gt;0,tabPontoPed[[#This Row],[CÁLCULO]]&gt;0), ABS( tabPontoPed[[#This Row],[MENSAL]] - tabPontoPed[[#This Row],[CÁLCULO]] ) / tabPontoPed[[#This Row],[MENSAL]], -1 )</f>
        <v>0.66666666666666663</v>
      </c>
      <c r="U215" s="58">
        <v>1</v>
      </c>
      <c r="V215" s="35">
        <f>IF(AND(tabPontoPed[[#This Row],[MENSAL]]&gt;0,tabPontoPed[[#This Row],[CÁLCULO]]&gt;0), IF( tabPontoPed[[#This Row],[MENSAL]] - tabPontoPed[[#This Row],[CÁLCULO]] &lt; 0, -1, IF( tabPontoPed[[#This Row],[MENSAL]] - tabPontoPed[[#This Row],[CÁLCULO]] &gt; 0, 1, -8)), -9 )</f>
        <v>1</v>
      </c>
      <c r="W215" s="45"/>
      <c r="X215" s="48" t="s">
        <v>1450</v>
      </c>
      <c r="Y215" s="53">
        <v>43774.558923611112</v>
      </c>
      <c r="Z215" s="72">
        <f>tabPontoPed[CÁLC_4M] - tabPontoPed[CÁLCULO]</f>
        <v>-1</v>
      </c>
      <c r="AA215" s="79" t="str">
        <f>IF(tabPontoPed[MENSAL]-tabPontoPed[ATA MENSAL] = 0,"sim","")</f>
        <v/>
      </c>
      <c r="AB215" s="79"/>
      <c r="AC215" s="47" t="str">
        <f t="shared" si="3"/>
        <v>*</v>
      </c>
    </row>
    <row r="216" spans="1:29" x14ac:dyDescent="0.25">
      <c r="A216" s="36">
        <v>13222</v>
      </c>
      <c r="B216" s="68" t="s">
        <v>817</v>
      </c>
      <c r="C216" s="33" t="s">
        <v>1317</v>
      </c>
      <c r="D216" s="32">
        <v>67</v>
      </c>
      <c r="E216" s="37">
        <v>1</v>
      </c>
      <c r="F216" s="38" t="str">
        <f>VLOOKUP(tabPontoPed[[#This Row],[GRUPO]],tabGrupos[#Data],2,FALSE)</f>
        <v>PARAFUSOS ELEM. VEDACAO UNIAO CONEX . FIXACAO</v>
      </c>
      <c r="G216" s="32" t="str">
        <f>VLOOKUP(tabPontoPed[[#This Row],[GRUPO]],tabGrupos[#Data],3,FALSE)</f>
        <v>MSE</v>
      </c>
      <c r="H216" s="33" t="s">
        <v>1311</v>
      </c>
      <c r="I216" s="80">
        <v>4</v>
      </c>
      <c r="J216" s="39">
        <v>27</v>
      </c>
      <c r="K216" s="41">
        <f>tabPontoPed[[#This Row],[QTDMÊS]] * tabPontoPed[[#This Row],[MENSAL]]</f>
        <v>108</v>
      </c>
      <c r="L216" s="83"/>
      <c r="M216" s="81"/>
      <c r="N216" s="34" t="s">
        <v>1009</v>
      </c>
      <c r="O216" s="76" t="s">
        <v>1668</v>
      </c>
      <c r="P216" s="77">
        <v>0</v>
      </c>
      <c r="Q216" s="57">
        <v>0</v>
      </c>
      <c r="R216" s="42">
        <v>9</v>
      </c>
      <c r="S216" s="69" t="str">
        <f>_xlfn.IFNA(IF(VLOOKUP(tabPontoPed[[#This Row],[CÓDIGO]],tabExcluirDoEstoque[#Data],1,FALSE),"sim",""),"")</f>
        <v/>
      </c>
      <c r="T216" s="43">
        <f>IF(AND(tabPontoPed[[#This Row],[MENSAL]]&gt;0,tabPontoPed[[#This Row],[CÁLCULO]]&gt;0), ABS( tabPontoPed[[#This Row],[MENSAL]] - tabPontoPed[[#This Row],[CÁLCULO]] ) / tabPontoPed[[#This Row],[MENSAL]], -1 )</f>
        <v>0.66666666666666663</v>
      </c>
      <c r="U216" s="58">
        <v>100</v>
      </c>
      <c r="V216" s="35">
        <f>IF(AND(tabPontoPed[[#This Row],[MENSAL]]&gt;0,tabPontoPed[[#This Row],[CÁLCULO]]&gt;0), IF( tabPontoPed[[#This Row],[MENSAL]] - tabPontoPed[[#This Row],[CÁLCULO]] &lt; 0, -1, IF( tabPontoPed[[#This Row],[MENSAL]] - tabPontoPed[[#This Row],[CÁLCULO]] &gt; 0, 1, -8)), -9 )</f>
        <v>1</v>
      </c>
      <c r="W216" s="35"/>
      <c r="X216" s="49" t="s">
        <v>1564</v>
      </c>
      <c r="Y216" s="51">
        <v>44391.599108796298</v>
      </c>
      <c r="Z216" s="72">
        <f>tabPontoPed[CÁLC_4M] - tabPontoPed[CÁLCULO]</f>
        <v>-9</v>
      </c>
      <c r="AA216" s="79" t="str">
        <f>IF(tabPontoPed[MENSAL]-tabPontoPed[ATA MENSAL] = 0,"sim","")</f>
        <v/>
      </c>
      <c r="AB216" s="79"/>
      <c r="AC216" s="47" t="str">
        <f t="shared" si="3"/>
        <v>*</v>
      </c>
    </row>
    <row r="217" spans="1:29" x14ac:dyDescent="0.25">
      <c r="A217" s="36">
        <v>134564</v>
      </c>
      <c r="B217" s="68" t="s">
        <v>829</v>
      </c>
      <c r="C217" s="33" t="s">
        <v>1317</v>
      </c>
      <c r="D217" s="32">
        <v>67</v>
      </c>
      <c r="E217" s="37">
        <v>3</v>
      </c>
      <c r="F217" s="38" t="str">
        <f>VLOOKUP(tabPontoPed[[#This Row],[GRUPO]],tabGrupos[#Data],2,FALSE)</f>
        <v>PARAFUSOS ELEM. VEDACAO UNIAO CONEX . FIXACAO</v>
      </c>
      <c r="G217" s="32" t="str">
        <f>VLOOKUP(tabPontoPed[[#This Row],[GRUPO]],tabGrupos[#Data],3,FALSE)</f>
        <v>MSE</v>
      </c>
      <c r="H217" s="33" t="s">
        <v>1311</v>
      </c>
      <c r="I217" s="80">
        <v>4</v>
      </c>
      <c r="J217" s="39">
        <v>3</v>
      </c>
      <c r="K217" s="41">
        <f>tabPontoPed[[#This Row],[QTDMÊS]] * tabPontoPed[[#This Row],[MENSAL]]</f>
        <v>12</v>
      </c>
      <c r="L217" s="83"/>
      <c r="M217" s="81"/>
      <c r="N217" s="34" t="s">
        <v>1009</v>
      </c>
      <c r="O217" s="76"/>
      <c r="P217" s="77">
        <v>0</v>
      </c>
      <c r="Q217" s="57">
        <v>1</v>
      </c>
      <c r="R217" s="42">
        <v>1</v>
      </c>
      <c r="S217" s="69" t="str">
        <f>_xlfn.IFNA(IF(VLOOKUP(tabPontoPed[[#This Row],[CÓDIGO]],tabExcluirDoEstoque[#Data],1,FALSE),"sim",""),"")</f>
        <v/>
      </c>
      <c r="T217" s="43">
        <f>IF(AND(tabPontoPed[[#This Row],[MENSAL]]&gt;0,tabPontoPed[[#This Row],[CÁLCULO]]&gt;0), ABS( tabPontoPed[[#This Row],[MENSAL]] - tabPontoPed[[#This Row],[CÁLCULO]] ) / tabPontoPed[[#This Row],[MENSAL]], -1 )</f>
        <v>0.66666666666666663</v>
      </c>
      <c r="U217" s="58">
        <v>6</v>
      </c>
      <c r="V217" s="35">
        <f>IF(AND(tabPontoPed[[#This Row],[MENSAL]]&gt;0,tabPontoPed[[#This Row],[CÁLCULO]]&gt;0), IF( tabPontoPed[[#This Row],[MENSAL]] - tabPontoPed[[#This Row],[CÁLCULO]] &lt; 0, -1, IF( tabPontoPed[[#This Row],[MENSAL]] - tabPontoPed[[#This Row],[CÁLCULO]] &gt; 0, 1, -8)), -9 )</f>
        <v>1</v>
      </c>
      <c r="W217" s="35"/>
      <c r="X217" s="49" t="s">
        <v>1564</v>
      </c>
      <c r="Y217" s="51">
        <v>44391.599108796298</v>
      </c>
      <c r="Z217" s="72">
        <f>tabPontoPed[CÁLC_4M] - tabPontoPed[CÁLCULO]</f>
        <v>0</v>
      </c>
      <c r="AA217" s="79" t="str">
        <f>IF(tabPontoPed[MENSAL]-tabPontoPed[ATA MENSAL] = 0,"sim","")</f>
        <v/>
      </c>
      <c r="AB217" s="79"/>
      <c r="AC217" s="47" t="str">
        <f t="shared" si="3"/>
        <v>*</v>
      </c>
    </row>
    <row r="218" spans="1:29" x14ac:dyDescent="0.25">
      <c r="A218" s="36">
        <v>18346</v>
      </c>
      <c r="B218" s="68" t="s">
        <v>837</v>
      </c>
      <c r="C218" s="33" t="s">
        <v>1317</v>
      </c>
      <c r="D218" s="32">
        <v>67</v>
      </c>
      <c r="E218" s="37">
        <v>6</v>
      </c>
      <c r="F218" s="38" t="str">
        <f>VLOOKUP(tabPontoPed[[#This Row],[GRUPO]],tabGrupos[#Data],2,FALSE)</f>
        <v>PARAFUSOS ELEM. VEDACAO UNIAO CONEX . FIXACAO</v>
      </c>
      <c r="G218" s="32" t="str">
        <f>VLOOKUP(tabPontoPed[[#This Row],[GRUPO]],tabGrupos[#Data],3,FALSE)</f>
        <v>MSE</v>
      </c>
      <c r="H218" s="33" t="s">
        <v>1311</v>
      </c>
      <c r="I218" s="80">
        <v>4</v>
      </c>
      <c r="J218" s="39">
        <v>3</v>
      </c>
      <c r="K218" s="41">
        <f>tabPontoPed[[#This Row],[QTDMÊS]] * tabPontoPed[[#This Row],[MENSAL]]</f>
        <v>12</v>
      </c>
      <c r="L218" s="83"/>
      <c r="M218" s="81"/>
      <c r="N218" s="34" t="s">
        <v>1009</v>
      </c>
      <c r="O218" s="76"/>
      <c r="P218" s="77">
        <v>0</v>
      </c>
      <c r="Q218" s="57">
        <v>0</v>
      </c>
      <c r="R218" s="42">
        <v>1</v>
      </c>
      <c r="S218" s="69" t="str">
        <f>_xlfn.IFNA(IF(VLOOKUP(tabPontoPed[[#This Row],[CÓDIGO]],tabExcluirDoEstoque[#Data],1,FALSE),"sim",""),"")</f>
        <v/>
      </c>
      <c r="T218" s="43">
        <f>IF(AND(tabPontoPed[[#This Row],[MENSAL]]&gt;0,tabPontoPed[[#This Row],[CÁLCULO]]&gt;0), ABS( tabPontoPed[[#This Row],[MENSAL]] - tabPontoPed[[#This Row],[CÁLCULO]] ) / tabPontoPed[[#This Row],[MENSAL]], -1 )</f>
        <v>0.66666666666666663</v>
      </c>
      <c r="U218" s="58">
        <v>2</v>
      </c>
      <c r="V218" s="35">
        <f>IF(AND(tabPontoPed[[#This Row],[MENSAL]]&gt;0,tabPontoPed[[#This Row],[CÁLCULO]]&gt;0), IF( tabPontoPed[[#This Row],[MENSAL]] - tabPontoPed[[#This Row],[CÁLCULO]] &lt; 0, -1, IF( tabPontoPed[[#This Row],[MENSAL]] - tabPontoPed[[#This Row],[CÁLCULO]] &gt; 0, 1, -8)), -9 )</f>
        <v>1</v>
      </c>
      <c r="W218" s="35"/>
      <c r="X218" s="49" t="s">
        <v>1564</v>
      </c>
      <c r="Y218" s="51">
        <v>44391.599108796298</v>
      </c>
      <c r="Z218" s="72">
        <f>tabPontoPed[CÁLC_4M] - tabPontoPed[CÁLCULO]</f>
        <v>-1</v>
      </c>
      <c r="AA218" s="79" t="str">
        <f>IF(tabPontoPed[MENSAL]-tabPontoPed[ATA MENSAL] = 0,"sim","")</f>
        <v/>
      </c>
      <c r="AB218" s="79"/>
      <c r="AC218" s="47" t="str">
        <f t="shared" si="3"/>
        <v>*</v>
      </c>
    </row>
    <row r="219" spans="1:29" x14ac:dyDescent="0.25">
      <c r="A219" s="36">
        <v>116751</v>
      </c>
      <c r="B219" s="68" t="s">
        <v>882</v>
      </c>
      <c r="C219" s="33" t="s">
        <v>1317</v>
      </c>
      <c r="D219" s="32">
        <v>69</v>
      </c>
      <c r="E219" s="37">
        <v>2</v>
      </c>
      <c r="F219" s="38" t="str">
        <f>VLOOKUP(tabPontoPed[[#This Row],[GRUPO]],tabGrupos[#Data],2,FALSE)</f>
        <v>METAIS,LAMINAD.,PERFILADOS E ARTEFATOS METALICOS</v>
      </c>
      <c r="G219" s="32" t="str">
        <f>VLOOKUP(tabPontoPed[[#This Row],[GRUPO]],tabGrupos[#Data],3,FALSE)</f>
        <v>MSE</v>
      </c>
      <c r="H219" s="33" t="s">
        <v>1311</v>
      </c>
      <c r="I219" s="80">
        <v>4</v>
      </c>
      <c r="J219" s="39">
        <v>9</v>
      </c>
      <c r="K219" s="41">
        <f>tabPontoPed[[#This Row],[QTDMÊS]] * tabPontoPed[[#This Row],[MENSAL]]</f>
        <v>36</v>
      </c>
      <c r="L219" s="83"/>
      <c r="M219" s="81"/>
      <c r="N219" s="34" t="s">
        <v>1009</v>
      </c>
      <c r="O219" s="76" t="s">
        <v>1694</v>
      </c>
      <c r="P219" s="77">
        <v>0</v>
      </c>
      <c r="Q219" s="57">
        <v>3</v>
      </c>
      <c r="R219" s="42">
        <v>3</v>
      </c>
      <c r="S219" s="69" t="str">
        <f>_xlfn.IFNA(IF(VLOOKUP(tabPontoPed[[#This Row],[CÓDIGO]],tabExcluirDoEstoque[#Data],1,FALSE),"sim",""),"")</f>
        <v/>
      </c>
      <c r="T219" s="43">
        <f>IF(AND(tabPontoPed[[#This Row],[MENSAL]]&gt;0,tabPontoPed[[#This Row],[CÁLCULO]]&gt;0), ABS( tabPontoPed[[#This Row],[MENSAL]] - tabPontoPed[[#This Row],[CÁLCULO]] ) / tabPontoPed[[#This Row],[MENSAL]], -1 )</f>
        <v>0.66666666666666663</v>
      </c>
      <c r="U219" s="58">
        <v>16</v>
      </c>
      <c r="V219" s="35">
        <f>IF(AND(tabPontoPed[[#This Row],[MENSAL]]&gt;0,tabPontoPed[[#This Row],[CÁLCULO]]&gt;0), IF( tabPontoPed[[#This Row],[MENSAL]] - tabPontoPed[[#This Row],[CÁLCULO]] &lt; 0, -1, IF( tabPontoPed[[#This Row],[MENSAL]] - tabPontoPed[[#This Row],[CÁLCULO]] &gt; 0, 1, -8)), -9 )</f>
        <v>1</v>
      </c>
      <c r="W219" s="35"/>
      <c r="X219" s="49" t="s">
        <v>1564</v>
      </c>
      <c r="Y219" s="51">
        <v>44391.599108796298</v>
      </c>
      <c r="Z219" s="72">
        <f>tabPontoPed[CÁLC_4M] - tabPontoPed[CÁLCULO]</f>
        <v>0</v>
      </c>
      <c r="AA219" s="79" t="str">
        <f>IF(tabPontoPed[MENSAL]-tabPontoPed[ATA MENSAL] = 0,"sim","")</f>
        <v/>
      </c>
      <c r="AB219" s="79" t="s">
        <v>1614</v>
      </c>
      <c r="AC219" s="47" t="str">
        <f t="shared" si="3"/>
        <v>*</v>
      </c>
    </row>
    <row r="220" spans="1:29" x14ac:dyDescent="0.25">
      <c r="A220" s="36">
        <v>24476</v>
      </c>
      <c r="B220" s="68" t="s">
        <v>54</v>
      </c>
      <c r="C220" s="33" t="s">
        <v>1317</v>
      </c>
      <c r="D220" s="32">
        <v>57</v>
      </c>
      <c r="E220" s="37">
        <v>2</v>
      </c>
      <c r="F220" s="38" t="str">
        <f>VLOOKUP(tabPontoPed[[#This Row],[GRUPO]],tabGrupos[#Data],2,FALSE)</f>
        <v>MAQ. E EQUIP. P/ IND. GRAFICA COMP. ACESS. E PAPEI</v>
      </c>
      <c r="G220" s="32" t="str">
        <f>VLOOKUP(tabPontoPed[[#This Row],[GRUPO]],tabGrupos[#Data],3,FALSE)</f>
        <v>EDU</v>
      </c>
      <c r="H220" s="33" t="s">
        <v>1311</v>
      </c>
      <c r="I220" s="80">
        <v>4</v>
      </c>
      <c r="J220" s="39">
        <v>834</v>
      </c>
      <c r="K220" s="41">
        <f>tabPontoPed[[#This Row],[QTDMÊS]] * tabPontoPed[[#This Row],[MENSAL]]</f>
        <v>3336</v>
      </c>
      <c r="L220" s="83"/>
      <c r="M220" s="81"/>
      <c r="N220" s="34" t="s">
        <v>1009</v>
      </c>
      <c r="O220" s="76" t="s">
        <v>1718</v>
      </c>
      <c r="P220" s="77">
        <v>0</v>
      </c>
      <c r="Q220" s="57">
        <v>295</v>
      </c>
      <c r="R220" s="42">
        <v>282</v>
      </c>
      <c r="S220" s="69" t="str">
        <f>_xlfn.IFNA(IF(VLOOKUP(tabPontoPed[[#This Row],[CÓDIGO]],tabExcluirDoEstoque[#Data],1,FALSE),"sim",""),"")</f>
        <v/>
      </c>
      <c r="T220" s="43">
        <f>IF(AND(tabPontoPed[[#This Row],[MENSAL]]&gt;0,tabPontoPed[[#This Row],[CÁLCULO]]&gt;0), ABS( tabPontoPed[[#This Row],[MENSAL]] - tabPontoPed[[#This Row],[CÁLCULO]] ) / tabPontoPed[[#This Row],[MENSAL]], -1 )</f>
        <v>0.66187050359712229</v>
      </c>
      <c r="U220" s="58">
        <v>831</v>
      </c>
      <c r="V220" s="35">
        <f>IF(AND(tabPontoPed[[#This Row],[MENSAL]]&gt;0,tabPontoPed[[#This Row],[CÁLCULO]]&gt;0), IF( tabPontoPed[[#This Row],[MENSAL]] - tabPontoPed[[#This Row],[CÁLCULO]] &lt; 0, -1, IF( tabPontoPed[[#This Row],[MENSAL]] - tabPontoPed[[#This Row],[CÁLCULO]] &gt; 0, 1, -8)), -9 )</f>
        <v>1</v>
      </c>
      <c r="W220" s="35"/>
      <c r="X220" s="49" t="s">
        <v>1564</v>
      </c>
      <c r="Y220" s="51">
        <v>44391.599108796298</v>
      </c>
      <c r="Z220" s="72">
        <f>tabPontoPed[CÁLC_4M] - tabPontoPed[CÁLCULO]</f>
        <v>13</v>
      </c>
      <c r="AA220" s="79" t="str">
        <f>IF(tabPontoPed[MENSAL]-tabPontoPed[ATA MENSAL] = 0,"sim","")</f>
        <v/>
      </c>
      <c r="AB220" s="79" t="s">
        <v>1614</v>
      </c>
      <c r="AC220" s="47" t="str">
        <f t="shared" si="3"/>
        <v>*</v>
      </c>
    </row>
    <row r="221" spans="1:29" x14ac:dyDescent="0.25">
      <c r="A221" s="36">
        <v>23989</v>
      </c>
      <c r="B221" s="68" t="s">
        <v>51</v>
      </c>
      <c r="C221" s="33" t="s">
        <v>1317</v>
      </c>
      <c r="D221" s="32">
        <v>57</v>
      </c>
      <c r="E221" s="37">
        <v>2</v>
      </c>
      <c r="F221" s="38" t="str">
        <f>VLOOKUP(tabPontoPed[[#This Row],[GRUPO]],tabGrupos[#Data],2,FALSE)</f>
        <v>MAQ. E EQUIP. P/ IND. GRAFICA COMP. ACESS. E PAPEI</v>
      </c>
      <c r="G221" s="32" t="str">
        <f>VLOOKUP(tabPontoPed[[#This Row],[GRUPO]],tabGrupos[#Data],3,FALSE)</f>
        <v>EDU</v>
      </c>
      <c r="H221" s="33" t="s">
        <v>1311</v>
      </c>
      <c r="I221" s="80">
        <v>4</v>
      </c>
      <c r="J221" s="39">
        <v>834</v>
      </c>
      <c r="K221" s="41">
        <f>tabPontoPed[[#This Row],[QTDMÊS]] * tabPontoPed[[#This Row],[MENSAL]]</f>
        <v>3336</v>
      </c>
      <c r="L221" s="83"/>
      <c r="M221" s="81"/>
      <c r="N221" s="34" t="s">
        <v>1009</v>
      </c>
      <c r="O221" s="76" t="s">
        <v>1718</v>
      </c>
      <c r="P221" s="77">
        <v>0</v>
      </c>
      <c r="Q221" s="57">
        <v>307</v>
      </c>
      <c r="R221" s="42">
        <v>283</v>
      </c>
      <c r="S221" s="69" t="str">
        <f>_xlfn.IFNA(IF(VLOOKUP(tabPontoPed[[#This Row],[CÓDIGO]],tabExcluirDoEstoque[#Data],1,FALSE),"sim",""),"")</f>
        <v/>
      </c>
      <c r="T221" s="43">
        <f>IF(AND(tabPontoPed[[#This Row],[MENSAL]]&gt;0,tabPontoPed[[#This Row],[CÁLCULO]]&gt;0), ABS( tabPontoPed[[#This Row],[MENSAL]] - tabPontoPed[[#This Row],[CÁLCULO]] ) / tabPontoPed[[#This Row],[MENSAL]], -1 )</f>
        <v>0.66067146282973621</v>
      </c>
      <c r="U221" s="58">
        <v>806</v>
      </c>
      <c r="V221" s="35">
        <f>IF(AND(tabPontoPed[[#This Row],[MENSAL]]&gt;0,tabPontoPed[[#This Row],[CÁLCULO]]&gt;0), IF( tabPontoPed[[#This Row],[MENSAL]] - tabPontoPed[[#This Row],[CÁLCULO]] &lt; 0, -1, IF( tabPontoPed[[#This Row],[MENSAL]] - tabPontoPed[[#This Row],[CÁLCULO]] &gt; 0, 1, -8)), -9 )</f>
        <v>1</v>
      </c>
      <c r="W221" s="35"/>
      <c r="X221" s="49" t="s">
        <v>1564</v>
      </c>
      <c r="Y221" s="51">
        <v>44391.599108796298</v>
      </c>
      <c r="Z221" s="72">
        <f>tabPontoPed[CÁLC_4M] - tabPontoPed[CÁLCULO]</f>
        <v>24</v>
      </c>
      <c r="AA221" s="79" t="str">
        <f>IF(tabPontoPed[MENSAL]-tabPontoPed[ATA MENSAL] = 0,"sim","")</f>
        <v/>
      </c>
      <c r="AB221" s="79" t="s">
        <v>1614</v>
      </c>
      <c r="AC221" s="47" t="str">
        <f t="shared" si="3"/>
        <v>*</v>
      </c>
    </row>
    <row r="222" spans="1:29" x14ac:dyDescent="0.25">
      <c r="A222" s="36">
        <v>106546</v>
      </c>
      <c r="B222" s="68" t="s">
        <v>855</v>
      </c>
      <c r="C222" s="33" t="s">
        <v>1317</v>
      </c>
      <c r="D222" s="32">
        <v>67</v>
      </c>
      <c r="E222" s="37">
        <v>9</v>
      </c>
      <c r="F222" s="38" t="str">
        <f>VLOOKUP(tabPontoPed[[#This Row],[GRUPO]],tabGrupos[#Data],2,FALSE)</f>
        <v>PARAFUSOS ELEM. VEDACAO UNIAO CONEX . FIXACAO</v>
      </c>
      <c r="G222" s="32" t="str">
        <f>VLOOKUP(tabPontoPed[[#This Row],[GRUPO]],tabGrupos[#Data],3,FALSE)</f>
        <v>MSE</v>
      </c>
      <c r="H222" s="33" t="s">
        <v>1311</v>
      </c>
      <c r="I222" s="80">
        <v>4</v>
      </c>
      <c r="J222" s="39">
        <v>150</v>
      </c>
      <c r="K222" s="41">
        <f>tabPontoPed[[#This Row],[QTDMÊS]] * tabPontoPed[[#This Row],[MENSAL]]</f>
        <v>600</v>
      </c>
      <c r="L222" s="83"/>
      <c r="M222" s="81"/>
      <c r="N222" s="34" t="s">
        <v>1009</v>
      </c>
      <c r="O222" s="76" t="s">
        <v>1682</v>
      </c>
      <c r="P222" s="77">
        <v>0</v>
      </c>
      <c r="Q222" s="57">
        <v>64</v>
      </c>
      <c r="R222" s="42">
        <v>51</v>
      </c>
      <c r="S222" s="69" t="str">
        <f>_xlfn.IFNA(IF(VLOOKUP(tabPontoPed[[#This Row],[CÓDIGO]],tabExcluirDoEstoque[#Data],1,FALSE),"sim",""),"")</f>
        <v/>
      </c>
      <c r="T222" s="43">
        <f>IF(AND(tabPontoPed[[#This Row],[MENSAL]]&gt;0,tabPontoPed[[#This Row],[CÁLCULO]]&gt;0), ABS( tabPontoPed[[#This Row],[MENSAL]] - tabPontoPed[[#This Row],[CÁLCULO]] ) / tabPontoPed[[#This Row],[MENSAL]], -1 )</f>
        <v>0.66</v>
      </c>
      <c r="U222" s="58">
        <v>125</v>
      </c>
      <c r="V222" s="35">
        <f>IF(AND(tabPontoPed[[#This Row],[MENSAL]]&gt;0,tabPontoPed[[#This Row],[CÁLCULO]]&gt;0), IF( tabPontoPed[[#This Row],[MENSAL]] - tabPontoPed[[#This Row],[CÁLCULO]] &lt; 0, -1, IF( tabPontoPed[[#This Row],[MENSAL]] - tabPontoPed[[#This Row],[CÁLCULO]] &gt; 0, 1, -8)), -9 )</f>
        <v>1</v>
      </c>
      <c r="W222" s="35"/>
      <c r="X222" s="49" t="s">
        <v>1564</v>
      </c>
      <c r="Y222" s="51">
        <v>44391.599108796298</v>
      </c>
      <c r="Z222" s="72">
        <f>tabPontoPed[CÁLC_4M] - tabPontoPed[CÁLCULO]</f>
        <v>13</v>
      </c>
      <c r="AA222" s="79" t="str">
        <f>IF(tabPontoPed[MENSAL]-tabPontoPed[ATA MENSAL] = 0,"sim","")</f>
        <v/>
      </c>
      <c r="AB222" s="79"/>
      <c r="AC222" s="47" t="str">
        <f t="shared" si="3"/>
        <v>*</v>
      </c>
    </row>
    <row r="223" spans="1:29" x14ac:dyDescent="0.25">
      <c r="A223" s="36">
        <v>12652</v>
      </c>
      <c r="B223" s="68" t="s">
        <v>209</v>
      </c>
      <c r="C223" s="33" t="s">
        <v>1317</v>
      </c>
      <c r="D223" s="32">
        <v>52</v>
      </c>
      <c r="E223" s="37">
        <v>6</v>
      </c>
      <c r="F223" s="38" t="str">
        <f>VLOOKUP(tabPontoPed[[#This Row],[GRUPO]],tabGrupos[#Data],2,FALSE)</f>
        <v>EQUIP.E MAT. P/REFEITORIO, COPA E COZINHA</v>
      </c>
      <c r="G223" s="32" t="str">
        <f>VLOOKUP(tabPontoPed[[#This Row],[GRUPO]],tabGrupos[#Data],3,FALSE)</f>
        <v>ADM</v>
      </c>
      <c r="H223" s="33" t="s">
        <v>1311</v>
      </c>
      <c r="I223" s="80">
        <v>4</v>
      </c>
      <c r="J223" s="39">
        <v>500</v>
      </c>
      <c r="K223" s="41">
        <f>tabPontoPed[[#This Row],[QTDMÊS]] * tabPontoPed[[#This Row],[MENSAL]]</f>
        <v>2000</v>
      </c>
      <c r="L223" s="83"/>
      <c r="M223" s="81"/>
      <c r="N223" s="34" t="s">
        <v>1009</v>
      </c>
      <c r="O223" s="76" t="s">
        <v>1740</v>
      </c>
      <c r="P223" s="77">
        <v>0</v>
      </c>
      <c r="Q223" s="57">
        <v>215</v>
      </c>
      <c r="R223" s="42">
        <v>172</v>
      </c>
      <c r="S223" s="69" t="str">
        <f>_xlfn.IFNA(IF(VLOOKUP(tabPontoPed[[#This Row],[CÓDIGO]],tabExcluirDoEstoque[#Data],1,FALSE),"sim",""),"")</f>
        <v/>
      </c>
      <c r="T223" s="43">
        <f>IF(AND(tabPontoPed[[#This Row],[MENSAL]]&gt;0,tabPontoPed[[#This Row],[CÁLCULO]]&gt;0), ABS( tabPontoPed[[#This Row],[MENSAL]] - tabPontoPed[[#This Row],[CÁLCULO]] ) / tabPontoPed[[#This Row],[MENSAL]], -1 )</f>
        <v>0.65600000000000003</v>
      </c>
      <c r="U223" s="58">
        <v>651</v>
      </c>
      <c r="V223" s="35">
        <f>IF(AND(tabPontoPed[[#This Row],[MENSAL]]&gt;0,tabPontoPed[[#This Row],[CÁLCULO]]&gt;0), IF( tabPontoPed[[#This Row],[MENSAL]] - tabPontoPed[[#This Row],[CÁLCULO]] &lt; 0, -1, IF( tabPontoPed[[#This Row],[MENSAL]] - tabPontoPed[[#This Row],[CÁLCULO]] &gt; 0, 1, -8)), -9 )</f>
        <v>1</v>
      </c>
      <c r="W223" s="35"/>
      <c r="X223" s="49" t="s">
        <v>1564</v>
      </c>
      <c r="Y223" s="51">
        <v>44391.599108796298</v>
      </c>
      <c r="Z223" s="72">
        <f>tabPontoPed[CÁLC_4M] - tabPontoPed[CÁLCULO]</f>
        <v>43</v>
      </c>
      <c r="AA223" s="79" t="str">
        <f>IF(tabPontoPed[MENSAL]-tabPontoPed[ATA MENSAL] = 0,"sim","")</f>
        <v/>
      </c>
      <c r="AB223" s="79"/>
      <c r="AC223" s="47" t="str">
        <f t="shared" si="3"/>
        <v>*</v>
      </c>
    </row>
    <row r="224" spans="1:29" x14ac:dyDescent="0.25">
      <c r="A224" s="36">
        <v>119621</v>
      </c>
      <c r="B224" s="68" t="s">
        <v>951</v>
      </c>
      <c r="C224" s="33" t="s">
        <v>1317</v>
      </c>
      <c r="D224" s="32">
        <v>74</v>
      </c>
      <c r="E224" s="37">
        <v>9</v>
      </c>
      <c r="F224" s="38" t="str">
        <f>VLOOKUP(tabPontoPed[[#This Row],[GRUPO]],tabGrupos[#Data],2,FALSE)</f>
        <v>MADEIRAS,LAMINADOS,COMPENSADOS E AGLOMERADOS</v>
      </c>
      <c r="G224" s="32" t="str">
        <f>VLOOKUP(tabPontoPed[[#This Row],[GRUPO]],tabGrupos[#Data],3,FALSE)</f>
        <v>MCO</v>
      </c>
      <c r="H224" s="33" t="s">
        <v>1311</v>
      </c>
      <c r="I224" s="80">
        <v>4</v>
      </c>
      <c r="J224" s="39">
        <v>125</v>
      </c>
      <c r="K224" s="41">
        <f>tabPontoPed[[#This Row],[QTDMÊS]] * tabPontoPed[[#This Row],[MENSAL]]</f>
        <v>500</v>
      </c>
      <c r="L224" s="83"/>
      <c r="M224" s="81"/>
      <c r="N224" s="34" t="s">
        <v>1009</v>
      </c>
      <c r="O224" s="76" t="s">
        <v>1714</v>
      </c>
      <c r="P224" s="77">
        <v>0</v>
      </c>
      <c r="Q224" s="57">
        <v>24</v>
      </c>
      <c r="R224" s="42">
        <v>43</v>
      </c>
      <c r="S224" s="69" t="str">
        <f>_xlfn.IFNA(IF(VLOOKUP(tabPontoPed[[#This Row],[CÓDIGO]],tabExcluirDoEstoque[#Data],1,FALSE),"sim",""),"")</f>
        <v/>
      </c>
      <c r="T224" s="43">
        <f>IF(AND(tabPontoPed[[#This Row],[MENSAL]]&gt;0,tabPontoPed[[#This Row],[CÁLCULO]]&gt;0), ABS( tabPontoPed[[#This Row],[MENSAL]] - tabPontoPed[[#This Row],[CÁLCULO]] ) / tabPontoPed[[#This Row],[MENSAL]], -1 )</f>
        <v>0.65600000000000003</v>
      </c>
      <c r="U224" s="58">
        <v>242</v>
      </c>
      <c r="V224" s="35">
        <f>IF(AND(tabPontoPed[[#This Row],[MENSAL]]&gt;0,tabPontoPed[[#This Row],[CÁLCULO]]&gt;0), IF( tabPontoPed[[#This Row],[MENSAL]] - tabPontoPed[[#This Row],[CÁLCULO]] &lt; 0, -1, IF( tabPontoPed[[#This Row],[MENSAL]] - tabPontoPed[[#This Row],[CÁLCULO]] &gt; 0, 1, -8)), -9 )</f>
        <v>1</v>
      </c>
      <c r="W224" s="35"/>
      <c r="X224" s="49" t="s">
        <v>1564</v>
      </c>
      <c r="Y224" s="51">
        <v>44391.599108796298</v>
      </c>
      <c r="Z224" s="72">
        <f>tabPontoPed[CÁLC_4M] - tabPontoPed[CÁLCULO]</f>
        <v>-19</v>
      </c>
      <c r="AA224" s="79" t="str">
        <f>IF(tabPontoPed[MENSAL]-tabPontoPed[ATA MENSAL] = 0,"sim","")</f>
        <v/>
      </c>
      <c r="AB224" s="79" t="s">
        <v>1614</v>
      </c>
      <c r="AC224" s="47" t="str">
        <f t="shared" si="3"/>
        <v>*</v>
      </c>
    </row>
    <row r="225" spans="1:29" x14ac:dyDescent="0.25">
      <c r="A225" s="36">
        <v>24477</v>
      </c>
      <c r="B225" s="68" t="s">
        <v>55</v>
      </c>
      <c r="C225" s="33" t="s">
        <v>1317</v>
      </c>
      <c r="D225" s="32">
        <v>57</v>
      </c>
      <c r="E225" s="37">
        <v>2</v>
      </c>
      <c r="F225" s="38" t="str">
        <f>VLOOKUP(tabPontoPed[[#This Row],[GRUPO]],tabGrupos[#Data],2,FALSE)</f>
        <v>MAQ. E EQUIP. P/ IND. GRAFICA COMP. ACESS. E PAPEI</v>
      </c>
      <c r="G225" s="32" t="str">
        <f>VLOOKUP(tabPontoPed[[#This Row],[GRUPO]],tabGrupos[#Data],3,FALSE)</f>
        <v>EDU</v>
      </c>
      <c r="H225" s="33" t="s">
        <v>1311</v>
      </c>
      <c r="I225" s="80">
        <v>4</v>
      </c>
      <c r="J225" s="39">
        <v>834</v>
      </c>
      <c r="K225" s="41">
        <f>tabPontoPed[[#This Row],[QTDMÊS]] * tabPontoPed[[#This Row],[MENSAL]]</f>
        <v>3336</v>
      </c>
      <c r="L225" s="83"/>
      <c r="M225" s="81"/>
      <c r="N225" s="34" t="s">
        <v>1009</v>
      </c>
      <c r="O225" s="76" t="s">
        <v>1718</v>
      </c>
      <c r="P225" s="77">
        <v>0</v>
      </c>
      <c r="Q225" s="57">
        <v>308</v>
      </c>
      <c r="R225" s="42">
        <v>287</v>
      </c>
      <c r="S225" s="69" t="str">
        <f>_xlfn.IFNA(IF(VLOOKUP(tabPontoPed[[#This Row],[CÓDIGO]],tabExcluirDoEstoque[#Data],1,FALSE),"sim",""),"")</f>
        <v/>
      </c>
      <c r="T225" s="43">
        <f>IF(AND(tabPontoPed[[#This Row],[MENSAL]]&gt;0,tabPontoPed[[#This Row],[CÁLCULO]]&gt;0), ABS( tabPontoPed[[#This Row],[MENSAL]] - tabPontoPed[[#This Row],[CÁLCULO]] ) / tabPontoPed[[#This Row],[MENSAL]], -1 )</f>
        <v>0.65587529976019188</v>
      </c>
      <c r="U225" s="58">
        <v>838</v>
      </c>
      <c r="V225" s="35">
        <f>IF(AND(tabPontoPed[[#This Row],[MENSAL]]&gt;0,tabPontoPed[[#This Row],[CÁLCULO]]&gt;0), IF( tabPontoPed[[#This Row],[MENSAL]] - tabPontoPed[[#This Row],[CÁLCULO]] &lt; 0, -1, IF( tabPontoPed[[#This Row],[MENSAL]] - tabPontoPed[[#This Row],[CÁLCULO]] &gt; 0, 1, -8)), -9 )</f>
        <v>1</v>
      </c>
      <c r="W225" s="35"/>
      <c r="X225" s="49" t="s">
        <v>1564</v>
      </c>
      <c r="Y225" s="51">
        <v>44391.599108796298</v>
      </c>
      <c r="Z225" s="72">
        <f>tabPontoPed[CÁLC_4M] - tabPontoPed[CÁLCULO]</f>
        <v>21</v>
      </c>
      <c r="AA225" s="79" t="str">
        <f>IF(tabPontoPed[MENSAL]-tabPontoPed[ATA MENSAL] = 0,"sim","")</f>
        <v/>
      </c>
      <c r="AB225" s="79" t="s">
        <v>1614</v>
      </c>
      <c r="AC225" s="47" t="str">
        <f t="shared" si="3"/>
        <v>*</v>
      </c>
    </row>
    <row r="226" spans="1:29" x14ac:dyDescent="0.25">
      <c r="A226" s="36">
        <v>23996</v>
      </c>
      <c r="B226" s="68" t="s">
        <v>53</v>
      </c>
      <c r="C226" s="33" t="s">
        <v>1317</v>
      </c>
      <c r="D226" s="32">
        <v>57</v>
      </c>
      <c r="E226" s="37">
        <v>2</v>
      </c>
      <c r="F226" s="38" t="str">
        <f>VLOOKUP(tabPontoPed[[#This Row],[GRUPO]],tabGrupos[#Data],2,FALSE)</f>
        <v>MAQ. E EQUIP. P/ IND. GRAFICA COMP. ACESS. E PAPEI</v>
      </c>
      <c r="G226" s="32" t="str">
        <f>VLOOKUP(tabPontoPed[[#This Row],[GRUPO]],tabGrupos[#Data],3,FALSE)</f>
        <v>EDU</v>
      </c>
      <c r="H226" s="33" t="s">
        <v>1311</v>
      </c>
      <c r="I226" s="80">
        <v>4</v>
      </c>
      <c r="J226" s="39">
        <v>834</v>
      </c>
      <c r="K226" s="41">
        <f>tabPontoPed[[#This Row],[QTDMÊS]] * tabPontoPed[[#This Row],[MENSAL]]</f>
        <v>3336</v>
      </c>
      <c r="L226" s="83"/>
      <c r="M226" s="81"/>
      <c r="N226" s="34" t="s">
        <v>1009</v>
      </c>
      <c r="O226" s="76" t="s">
        <v>1718</v>
      </c>
      <c r="P226" s="77">
        <v>0</v>
      </c>
      <c r="Q226" s="57">
        <v>306</v>
      </c>
      <c r="R226" s="42">
        <v>287</v>
      </c>
      <c r="S226" s="69" t="str">
        <f>_xlfn.IFNA(IF(VLOOKUP(tabPontoPed[[#This Row],[CÓDIGO]],tabExcluirDoEstoque[#Data],1,FALSE),"sim",""),"")</f>
        <v/>
      </c>
      <c r="T226" s="43">
        <f>IF(AND(tabPontoPed[[#This Row],[MENSAL]]&gt;0,tabPontoPed[[#This Row],[CÁLCULO]]&gt;0), ABS( tabPontoPed[[#This Row],[MENSAL]] - tabPontoPed[[#This Row],[CÁLCULO]] ) / tabPontoPed[[#This Row],[MENSAL]], -1 )</f>
        <v>0.65587529976019188</v>
      </c>
      <c r="U226" s="58">
        <v>801</v>
      </c>
      <c r="V226" s="35">
        <f>IF(AND(tabPontoPed[[#This Row],[MENSAL]]&gt;0,tabPontoPed[[#This Row],[CÁLCULO]]&gt;0), IF( tabPontoPed[[#This Row],[MENSAL]] - tabPontoPed[[#This Row],[CÁLCULO]] &lt; 0, -1, IF( tabPontoPed[[#This Row],[MENSAL]] - tabPontoPed[[#This Row],[CÁLCULO]] &gt; 0, 1, -8)), -9 )</f>
        <v>1</v>
      </c>
      <c r="W226" s="35"/>
      <c r="X226" s="49" t="s">
        <v>1564</v>
      </c>
      <c r="Y226" s="51">
        <v>44391.599108796298</v>
      </c>
      <c r="Z226" s="72">
        <f>tabPontoPed[CÁLC_4M] - tabPontoPed[CÁLCULO]</f>
        <v>19</v>
      </c>
      <c r="AA226" s="79" t="str">
        <f>IF(tabPontoPed[MENSAL]-tabPontoPed[ATA MENSAL] = 0,"sim","")</f>
        <v/>
      </c>
      <c r="AB226" s="79" t="s">
        <v>1614</v>
      </c>
      <c r="AC226" s="47" t="str">
        <f t="shared" si="3"/>
        <v>*</v>
      </c>
    </row>
    <row r="227" spans="1:29" x14ac:dyDescent="0.25">
      <c r="A227" s="36">
        <v>138459</v>
      </c>
      <c r="B227" s="68" t="s">
        <v>1528</v>
      </c>
      <c r="C227" s="33">
        <v>1</v>
      </c>
      <c r="D227" s="32">
        <v>45</v>
      </c>
      <c r="E227" s="37">
        <v>10</v>
      </c>
      <c r="F227" s="38" t="str">
        <f>VLOOKUP(tabPontoPed[[#This Row],[GRUPO]],tabGrupos[#Data],2,FALSE)</f>
        <v>MAQ., EQUIP., COMP., ACES., MAT. PARA ESCRIT.E ESCOLAR</v>
      </c>
      <c r="G227" s="32" t="str">
        <f>VLOOKUP(tabPontoPed[[#This Row],[GRUPO]],tabGrupos[#Data],3,FALSE)</f>
        <v>EDU</v>
      </c>
      <c r="H227" s="33" t="s">
        <v>1311</v>
      </c>
      <c r="I227" s="80">
        <v>4</v>
      </c>
      <c r="J227" s="39">
        <v>5679</v>
      </c>
      <c r="K227" s="41">
        <f>tabPontoPed[[#This Row],[QTDMÊS]] * tabPontoPed[[#This Row],[MENSAL]]</f>
        <v>22716</v>
      </c>
      <c r="L227" s="83"/>
      <c r="M227" s="81"/>
      <c r="N227" s="34" t="s">
        <v>1009</v>
      </c>
      <c r="O227" s="76" t="s">
        <v>1696</v>
      </c>
      <c r="P227" s="77">
        <v>0</v>
      </c>
      <c r="Q227" s="57">
        <v>1545</v>
      </c>
      <c r="R227" s="42">
        <v>1959</v>
      </c>
      <c r="S227" s="69" t="str">
        <f>_xlfn.IFNA(IF(VLOOKUP(tabPontoPed[[#This Row],[CÓDIGO]],tabExcluirDoEstoque[#Data],1,FALSE),"sim",""),"")</f>
        <v/>
      </c>
      <c r="T227" s="43">
        <f>IF(AND(tabPontoPed[[#This Row],[MENSAL]]&gt;0,tabPontoPed[[#This Row],[CÁLCULO]]&gt;0), ABS( tabPontoPed[[#This Row],[MENSAL]] - tabPontoPed[[#This Row],[CÁLCULO]] ) / tabPontoPed[[#This Row],[MENSAL]], -1 )</f>
        <v>0.65504490227152667</v>
      </c>
      <c r="U227" s="58">
        <v>7916</v>
      </c>
      <c r="V227" s="35">
        <f>IF(AND(tabPontoPed[[#This Row],[MENSAL]]&gt;0,tabPontoPed[[#This Row],[CÁLCULO]]&gt;0), IF( tabPontoPed[[#This Row],[MENSAL]] - tabPontoPed[[#This Row],[CÁLCULO]] &lt; 0, -1, IF( tabPontoPed[[#This Row],[MENSAL]] - tabPontoPed[[#This Row],[CÁLCULO]] &gt; 0, 1, -8)), -9 )</f>
        <v>1</v>
      </c>
      <c r="W227" s="35"/>
      <c r="X227" s="49" t="s">
        <v>1564</v>
      </c>
      <c r="Y227" s="51">
        <v>44391.599108796298</v>
      </c>
      <c r="Z227" s="72">
        <f>tabPontoPed[CÁLC_4M] - tabPontoPed[CÁLCULO]</f>
        <v>-414</v>
      </c>
      <c r="AA227" s="79" t="str">
        <f>IF(tabPontoPed[MENSAL]-tabPontoPed[ATA MENSAL] = 0,"sim","")</f>
        <v/>
      </c>
      <c r="AB227" s="79"/>
      <c r="AC227" s="47" t="str">
        <f t="shared" si="3"/>
        <v>*</v>
      </c>
    </row>
    <row r="228" spans="1:29" x14ac:dyDescent="0.25">
      <c r="A228" s="36">
        <v>23875</v>
      </c>
      <c r="B228" s="68" t="s">
        <v>84</v>
      </c>
      <c r="C228" s="33" t="s">
        <v>1317</v>
      </c>
      <c r="D228" s="32">
        <v>57</v>
      </c>
      <c r="E228" s="37">
        <v>16</v>
      </c>
      <c r="F228" s="38" t="str">
        <f>VLOOKUP(tabPontoPed[[#This Row],[GRUPO]],tabGrupos[#Data],2,FALSE)</f>
        <v>MAQ. E EQUIP. P/ IND. GRAFICA COMP. ACESS. E PAPEI</v>
      </c>
      <c r="G228" s="32" t="str">
        <f>VLOOKUP(tabPontoPed[[#This Row],[GRUPO]],tabGrupos[#Data],3,FALSE)</f>
        <v>EDU</v>
      </c>
      <c r="H228" s="33" t="s">
        <v>1311</v>
      </c>
      <c r="I228" s="80">
        <v>4</v>
      </c>
      <c r="J228" s="39">
        <v>2084</v>
      </c>
      <c r="K228" s="41">
        <f>tabPontoPed[[#This Row],[QTDMÊS]] * tabPontoPed[[#This Row],[MENSAL]]</f>
        <v>8336</v>
      </c>
      <c r="L228" s="83"/>
      <c r="M228" s="81"/>
      <c r="N228" s="34" t="s">
        <v>1009</v>
      </c>
      <c r="O228" s="76" t="s">
        <v>1718</v>
      </c>
      <c r="P228" s="77">
        <v>0</v>
      </c>
      <c r="Q228" s="57">
        <v>881</v>
      </c>
      <c r="R228" s="42">
        <v>720</v>
      </c>
      <c r="S228" s="69" t="str">
        <f>_xlfn.IFNA(IF(VLOOKUP(tabPontoPed[[#This Row],[CÓDIGO]],tabExcluirDoEstoque[#Data],1,FALSE),"sim",""),"")</f>
        <v/>
      </c>
      <c r="T228" s="43">
        <f>IF(AND(tabPontoPed[[#This Row],[MENSAL]]&gt;0,tabPontoPed[[#This Row],[CÁLCULO]]&gt;0), ABS( tabPontoPed[[#This Row],[MENSAL]] - tabPontoPed[[#This Row],[CÁLCULO]] ) / tabPontoPed[[#This Row],[MENSAL]], -1 )</f>
        <v>0.65451055662188096</v>
      </c>
      <c r="U228" s="58">
        <v>1452</v>
      </c>
      <c r="V228" s="35">
        <f>IF(AND(tabPontoPed[[#This Row],[MENSAL]]&gt;0,tabPontoPed[[#This Row],[CÁLCULO]]&gt;0), IF( tabPontoPed[[#This Row],[MENSAL]] - tabPontoPed[[#This Row],[CÁLCULO]] &lt; 0, -1, IF( tabPontoPed[[#This Row],[MENSAL]] - tabPontoPed[[#This Row],[CÁLCULO]] &gt; 0, 1, -8)), -9 )</f>
        <v>1</v>
      </c>
      <c r="W228" s="35"/>
      <c r="X228" s="49" t="s">
        <v>1564</v>
      </c>
      <c r="Y228" s="51">
        <v>44391.599108796298</v>
      </c>
      <c r="Z228" s="72">
        <f>tabPontoPed[CÁLC_4M] - tabPontoPed[CÁLCULO]</f>
        <v>161</v>
      </c>
      <c r="AA228" s="79" t="str">
        <f>IF(tabPontoPed[MENSAL]-tabPontoPed[ATA MENSAL] = 0,"sim","")</f>
        <v/>
      </c>
      <c r="AB228" s="79" t="s">
        <v>1614</v>
      </c>
      <c r="AC228" s="47" t="str">
        <f t="shared" si="3"/>
        <v>*</v>
      </c>
    </row>
    <row r="229" spans="1:29" x14ac:dyDescent="0.25">
      <c r="A229" s="36">
        <v>44398</v>
      </c>
      <c r="B229" s="68" t="s">
        <v>336</v>
      </c>
      <c r="C229" s="33" t="s">
        <v>1317</v>
      </c>
      <c r="D229" s="32">
        <v>61</v>
      </c>
      <c r="E229" s="37">
        <v>3</v>
      </c>
      <c r="F229" s="38" t="str">
        <f>VLOOKUP(tabPontoPed[[#This Row],[GRUPO]],tabGrupos[#Data],2,FALSE)</f>
        <v>MATERIAL HIDRAULICO, CANOS, TUBOS, MANGUEIRAS, CONEXOES E ACESS.</v>
      </c>
      <c r="G229" s="32" t="str">
        <f>VLOOKUP(tabPontoPed[[#This Row],[GRUPO]],tabGrupos[#Data],3,FALSE)</f>
        <v>MHI</v>
      </c>
      <c r="H229" s="33" t="s">
        <v>1311</v>
      </c>
      <c r="I229" s="80">
        <v>4</v>
      </c>
      <c r="J229" s="39">
        <v>167</v>
      </c>
      <c r="K229" s="41">
        <f>tabPontoPed[[#This Row],[QTDMÊS]] * tabPontoPed[[#This Row],[MENSAL]]</f>
        <v>668</v>
      </c>
      <c r="L229" s="83"/>
      <c r="M229" s="81"/>
      <c r="N229" s="34" t="s">
        <v>1009</v>
      </c>
      <c r="O229" s="76" t="s">
        <v>1668</v>
      </c>
      <c r="P229" s="77">
        <v>0</v>
      </c>
      <c r="Q229" s="57">
        <v>73</v>
      </c>
      <c r="R229" s="42">
        <v>58</v>
      </c>
      <c r="S229" s="69" t="str">
        <f>_xlfn.IFNA(IF(VLOOKUP(tabPontoPed[[#This Row],[CÓDIGO]],tabExcluirDoEstoque[#Data],1,FALSE),"sim",""),"")</f>
        <v/>
      </c>
      <c r="T229" s="43">
        <f>IF(AND(tabPontoPed[[#This Row],[MENSAL]]&gt;0,tabPontoPed[[#This Row],[CÁLCULO]]&gt;0), ABS( tabPontoPed[[#This Row],[MENSAL]] - tabPontoPed[[#This Row],[CÁLCULO]] ) / tabPontoPed[[#This Row],[MENSAL]], -1 )</f>
        <v>0.65269461077844315</v>
      </c>
      <c r="U229" s="58">
        <v>152</v>
      </c>
      <c r="V229" s="35">
        <f>IF(AND(tabPontoPed[[#This Row],[MENSAL]]&gt;0,tabPontoPed[[#This Row],[CÁLCULO]]&gt;0), IF( tabPontoPed[[#This Row],[MENSAL]] - tabPontoPed[[#This Row],[CÁLCULO]] &lt; 0, -1, IF( tabPontoPed[[#This Row],[MENSAL]] - tabPontoPed[[#This Row],[CÁLCULO]] &gt; 0, 1, -8)), -9 )</f>
        <v>1</v>
      </c>
      <c r="W229" s="35"/>
      <c r="X229" s="48" t="s">
        <v>1564</v>
      </c>
      <c r="Y229" s="53">
        <v>44391.599108796298</v>
      </c>
      <c r="Z229" s="72">
        <f>tabPontoPed[CÁLC_4M] - tabPontoPed[CÁLCULO]</f>
        <v>15</v>
      </c>
      <c r="AA229" s="79" t="str">
        <f>IF(tabPontoPed[MENSAL]-tabPontoPed[ATA MENSAL] = 0,"sim","")</f>
        <v/>
      </c>
      <c r="AB229" s="79" t="s">
        <v>1614</v>
      </c>
      <c r="AC229" s="47" t="str">
        <f t="shared" si="3"/>
        <v>*</v>
      </c>
    </row>
    <row r="230" spans="1:29" x14ac:dyDescent="0.25">
      <c r="A230" s="36">
        <v>25559</v>
      </c>
      <c r="B230" s="68" t="s">
        <v>56</v>
      </c>
      <c r="C230" s="33" t="s">
        <v>1317</v>
      </c>
      <c r="D230" s="32">
        <v>57</v>
      </c>
      <c r="E230" s="37">
        <v>2</v>
      </c>
      <c r="F230" s="38" t="str">
        <f>VLOOKUP(tabPontoPed[[#This Row],[GRUPO]],tabGrupos[#Data],2,FALSE)</f>
        <v>MAQ. E EQUIP. P/ IND. GRAFICA COMP. ACESS. E PAPEI</v>
      </c>
      <c r="G230" s="32" t="str">
        <f>VLOOKUP(tabPontoPed[[#This Row],[GRUPO]],tabGrupos[#Data],3,FALSE)</f>
        <v>EDU</v>
      </c>
      <c r="H230" s="33" t="s">
        <v>1311</v>
      </c>
      <c r="I230" s="80">
        <v>4</v>
      </c>
      <c r="J230" s="39">
        <v>834</v>
      </c>
      <c r="K230" s="41">
        <f>tabPontoPed[[#This Row],[QTDMÊS]] * tabPontoPed[[#This Row],[MENSAL]]</f>
        <v>3336</v>
      </c>
      <c r="L230" s="83"/>
      <c r="M230" s="81"/>
      <c r="N230" s="34" t="s">
        <v>1009</v>
      </c>
      <c r="O230" s="76" t="s">
        <v>1718</v>
      </c>
      <c r="P230" s="77">
        <v>0</v>
      </c>
      <c r="Q230" s="57">
        <v>330</v>
      </c>
      <c r="R230" s="42">
        <v>291</v>
      </c>
      <c r="S230" s="69" t="str">
        <f>_xlfn.IFNA(IF(VLOOKUP(tabPontoPed[[#This Row],[CÓDIGO]],tabExcluirDoEstoque[#Data],1,FALSE),"sim",""),"")</f>
        <v/>
      </c>
      <c r="T230" s="43">
        <f>IF(AND(tabPontoPed[[#This Row],[MENSAL]]&gt;0,tabPontoPed[[#This Row],[CÁLCULO]]&gt;0), ABS( tabPontoPed[[#This Row],[MENSAL]] - tabPontoPed[[#This Row],[CÁLCULO]] ) / tabPontoPed[[#This Row],[MENSAL]], -1 )</f>
        <v>0.65107913669064743</v>
      </c>
      <c r="U230" s="58">
        <v>631</v>
      </c>
      <c r="V230" s="35">
        <f>IF(AND(tabPontoPed[[#This Row],[MENSAL]]&gt;0,tabPontoPed[[#This Row],[CÁLCULO]]&gt;0), IF( tabPontoPed[[#This Row],[MENSAL]] - tabPontoPed[[#This Row],[CÁLCULO]] &lt; 0, -1, IF( tabPontoPed[[#This Row],[MENSAL]] - tabPontoPed[[#This Row],[CÁLCULO]] &gt; 0, 1, -8)), -9 )</f>
        <v>1</v>
      </c>
      <c r="W230" s="35"/>
      <c r="X230" s="49" t="s">
        <v>1564</v>
      </c>
      <c r="Y230" s="51">
        <v>44391.599108796298</v>
      </c>
      <c r="Z230" s="72">
        <f>tabPontoPed[CÁLC_4M] - tabPontoPed[CÁLCULO]</f>
        <v>39</v>
      </c>
      <c r="AA230" s="79" t="str">
        <f>IF(tabPontoPed[MENSAL]-tabPontoPed[ATA MENSAL] = 0,"sim","")</f>
        <v/>
      </c>
      <c r="AB230" s="79" t="s">
        <v>1614</v>
      </c>
      <c r="AC230" s="47" t="str">
        <f t="shared" si="3"/>
        <v>*</v>
      </c>
    </row>
    <row r="231" spans="1:29" x14ac:dyDescent="0.25">
      <c r="A231" s="36">
        <v>116466</v>
      </c>
      <c r="B231" s="68" t="s">
        <v>260</v>
      </c>
      <c r="C231" s="33" t="s">
        <v>1317</v>
      </c>
      <c r="D231" s="32">
        <v>69</v>
      </c>
      <c r="E231" s="37">
        <v>3</v>
      </c>
      <c r="F231" s="38" t="str">
        <f>VLOOKUP(tabPontoPed[[#This Row],[GRUPO]],tabGrupos[#Data],2,FALSE)</f>
        <v>METAIS,LAMINAD.,PERFILADOS E ARTEFATOS METALICOS</v>
      </c>
      <c r="G231" s="32" t="str">
        <f>VLOOKUP(tabPontoPed[[#This Row],[GRUPO]],tabGrupos[#Data],3,FALSE)</f>
        <v>MSE</v>
      </c>
      <c r="H231" s="33" t="s">
        <v>1311</v>
      </c>
      <c r="I231" s="80">
        <v>4</v>
      </c>
      <c r="J231" s="39">
        <v>709</v>
      </c>
      <c r="K231" s="41">
        <f>tabPontoPed[[#This Row],[QTDMÊS]] * tabPontoPed[[#This Row],[MENSAL]]</f>
        <v>2836</v>
      </c>
      <c r="L231" s="83"/>
      <c r="M231" s="81"/>
      <c r="N231" s="34" t="s">
        <v>1009</v>
      </c>
      <c r="O231" s="76" t="s">
        <v>1618</v>
      </c>
      <c r="P231" s="77">
        <v>0</v>
      </c>
      <c r="Q231" s="57">
        <v>150</v>
      </c>
      <c r="R231" s="42">
        <v>250</v>
      </c>
      <c r="S231" s="69" t="str">
        <f>_xlfn.IFNA(IF(VLOOKUP(tabPontoPed[[#This Row],[CÓDIGO]],tabExcluirDoEstoque[#Data],1,FALSE),"sim",""),"")</f>
        <v/>
      </c>
      <c r="T231" s="43">
        <f>IF(AND(tabPontoPed[[#This Row],[MENSAL]]&gt;0,tabPontoPed[[#This Row],[CÁLCULO]]&gt;0), ABS( tabPontoPed[[#This Row],[MENSAL]] - tabPontoPed[[#This Row],[CÁLCULO]] ) / tabPontoPed[[#This Row],[MENSAL]], -1 )</f>
        <v>0.64739069111424541</v>
      </c>
      <c r="U231" s="58">
        <v>1000</v>
      </c>
      <c r="V231" s="35">
        <f>IF(AND(tabPontoPed[[#This Row],[MENSAL]]&gt;0,tabPontoPed[[#This Row],[CÁLCULO]]&gt;0), IF( tabPontoPed[[#This Row],[MENSAL]] - tabPontoPed[[#This Row],[CÁLCULO]] &lt; 0, -1, IF( tabPontoPed[[#This Row],[MENSAL]] - tabPontoPed[[#This Row],[CÁLCULO]] &gt; 0, 1, -8)), -9 )</f>
        <v>1</v>
      </c>
      <c r="W231" s="35"/>
      <c r="X231" s="48" t="s">
        <v>1564</v>
      </c>
      <c r="Y231" s="53">
        <v>44391.599108796298</v>
      </c>
      <c r="Z231" s="72">
        <f>tabPontoPed[CÁLC_4M] - tabPontoPed[CÁLCULO]</f>
        <v>-100</v>
      </c>
      <c r="AA231" s="79" t="str">
        <f>IF(tabPontoPed[MENSAL]-tabPontoPed[ATA MENSAL] = 0,"sim","")</f>
        <v/>
      </c>
      <c r="AB231" s="79"/>
      <c r="AC231" s="47" t="str">
        <f t="shared" si="3"/>
        <v>*</v>
      </c>
    </row>
    <row r="232" spans="1:29" x14ac:dyDescent="0.25">
      <c r="A232" s="36">
        <v>76583</v>
      </c>
      <c r="B232" s="68" t="s">
        <v>395</v>
      </c>
      <c r="C232" s="33" t="s">
        <v>1317</v>
      </c>
      <c r="D232" s="32">
        <v>74</v>
      </c>
      <c r="E232" s="37">
        <v>9</v>
      </c>
      <c r="F232" s="38" t="str">
        <f>VLOOKUP(tabPontoPed[[#This Row],[GRUPO]],tabGrupos[#Data],2,FALSE)</f>
        <v>MADEIRAS,LAMINADOS,COMPENSADOS E AGLOMERADOS</v>
      </c>
      <c r="G232" s="32" t="str">
        <f>VLOOKUP(tabPontoPed[[#This Row],[GRUPO]],tabGrupos[#Data],3,FALSE)</f>
        <v>MCO</v>
      </c>
      <c r="H232" s="33" t="s">
        <v>1311</v>
      </c>
      <c r="I232" s="80">
        <v>4</v>
      </c>
      <c r="J232" s="39">
        <v>17</v>
      </c>
      <c r="K232" s="41">
        <f>tabPontoPed[[#This Row],[QTDMÊS]] * tabPontoPed[[#This Row],[MENSAL]]</f>
        <v>68</v>
      </c>
      <c r="L232" s="83"/>
      <c r="M232" s="81"/>
      <c r="N232" s="34" t="s">
        <v>1009</v>
      </c>
      <c r="O232" s="76" t="s">
        <v>1709</v>
      </c>
      <c r="P232" s="77">
        <v>0</v>
      </c>
      <c r="Q232" s="57">
        <v>12</v>
      </c>
      <c r="R232" s="42">
        <v>6</v>
      </c>
      <c r="S232" s="69" t="str">
        <f>_xlfn.IFNA(IF(VLOOKUP(tabPontoPed[[#This Row],[CÓDIGO]],tabExcluirDoEstoque[#Data],1,FALSE),"sim",""),"")</f>
        <v/>
      </c>
      <c r="T232" s="43">
        <f>IF(AND(tabPontoPed[[#This Row],[MENSAL]]&gt;0,tabPontoPed[[#This Row],[CÁLCULO]]&gt;0), ABS( tabPontoPed[[#This Row],[MENSAL]] - tabPontoPed[[#This Row],[CÁLCULO]] ) / tabPontoPed[[#This Row],[MENSAL]], -1 )</f>
        <v>0.6470588235294118</v>
      </c>
      <c r="U232" s="58">
        <v>45</v>
      </c>
      <c r="V232" s="35">
        <f>IF(AND(tabPontoPed[[#This Row],[MENSAL]]&gt;0,tabPontoPed[[#This Row],[CÁLCULO]]&gt;0), IF( tabPontoPed[[#This Row],[MENSAL]] - tabPontoPed[[#This Row],[CÁLCULO]] &lt; 0, -1, IF( tabPontoPed[[#This Row],[MENSAL]] - tabPontoPed[[#This Row],[CÁLCULO]] &gt; 0, 1, -8)), -9 )</f>
        <v>1</v>
      </c>
      <c r="W232" s="35"/>
      <c r="X232" s="49" t="s">
        <v>1564</v>
      </c>
      <c r="Y232" s="51">
        <v>44391.599108796298</v>
      </c>
      <c r="Z232" s="72">
        <f>tabPontoPed[CÁLC_4M] - tabPontoPed[CÁLCULO]</f>
        <v>6</v>
      </c>
      <c r="AA232" s="79" t="str">
        <f>IF(tabPontoPed[MENSAL]-tabPontoPed[ATA MENSAL] = 0,"sim","")</f>
        <v/>
      </c>
      <c r="AB232" s="79" t="s">
        <v>1614</v>
      </c>
      <c r="AC232" s="47" t="str">
        <f t="shared" si="3"/>
        <v>*</v>
      </c>
    </row>
    <row r="233" spans="1:29" x14ac:dyDescent="0.25">
      <c r="A233" s="36">
        <v>112155</v>
      </c>
      <c r="B233" s="68" t="s">
        <v>139</v>
      </c>
      <c r="C233" s="33" t="s">
        <v>1317</v>
      </c>
      <c r="D233" s="32">
        <v>55</v>
      </c>
      <c r="E233" s="37">
        <v>37</v>
      </c>
      <c r="F233" s="38" t="str">
        <f>VLOOKUP(tabPontoPed[[#This Row],[GRUPO]],tabGrupos[#Data],2,FALSE)</f>
        <v>EQUIP. MAT. P/ GERACAO, TRANSM. DISTR. RETIF...</v>
      </c>
      <c r="G233" s="32" t="str">
        <f>VLOOKUP(tabPontoPed[[#This Row],[GRUPO]],tabGrupos[#Data],3,FALSE)</f>
        <v>MEL</v>
      </c>
      <c r="H233" s="33" t="s">
        <v>1311</v>
      </c>
      <c r="I233" s="80">
        <v>4</v>
      </c>
      <c r="J233" s="39">
        <v>17</v>
      </c>
      <c r="K233" s="41">
        <f>tabPontoPed[[#This Row],[QTDMÊS]] * tabPontoPed[[#This Row],[MENSAL]]</f>
        <v>68</v>
      </c>
      <c r="L233" s="83"/>
      <c r="M233" s="81"/>
      <c r="N233" s="34" t="s">
        <v>1009</v>
      </c>
      <c r="O233" s="76" t="s">
        <v>1715</v>
      </c>
      <c r="P233" s="77">
        <v>0</v>
      </c>
      <c r="Q233" s="57">
        <v>13</v>
      </c>
      <c r="R233" s="42">
        <v>6</v>
      </c>
      <c r="S233" s="69" t="str">
        <f>_xlfn.IFNA(IF(VLOOKUP(tabPontoPed[[#This Row],[CÓDIGO]],tabExcluirDoEstoque[#Data],1,FALSE),"sim",""),"")</f>
        <v/>
      </c>
      <c r="T233" s="43">
        <f>IF(AND(tabPontoPed[[#This Row],[MENSAL]]&gt;0,tabPontoPed[[#This Row],[CÁLCULO]]&gt;0), ABS( tabPontoPed[[#This Row],[MENSAL]] - tabPontoPed[[#This Row],[CÁLCULO]] ) / tabPontoPed[[#This Row],[MENSAL]], -1 )</f>
        <v>0.6470588235294118</v>
      </c>
      <c r="U233" s="58">
        <v>25</v>
      </c>
      <c r="V233" s="35">
        <f>IF(AND(tabPontoPed[[#This Row],[MENSAL]]&gt;0,tabPontoPed[[#This Row],[CÁLCULO]]&gt;0), IF( tabPontoPed[[#This Row],[MENSAL]] - tabPontoPed[[#This Row],[CÁLCULO]] &lt; 0, -1, IF( tabPontoPed[[#This Row],[MENSAL]] - tabPontoPed[[#This Row],[CÁLCULO]] &gt; 0, 1, -8)), -9 )</f>
        <v>1</v>
      </c>
      <c r="W233" s="35"/>
      <c r="X233" s="49" t="s">
        <v>1564</v>
      </c>
      <c r="Y233" s="51">
        <v>44391.599108796298</v>
      </c>
      <c r="Z233" s="72">
        <f>tabPontoPed[CÁLC_4M] - tabPontoPed[CÁLCULO]</f>
        <v>7</v>
      </c>
      <c r="AA233" s="79" t="str">
        <f>IF(tabPontoPed[MENSAL]-tabPontoPed[ATA MENSAL] = 0,"sim","")</f>
        <v/>
      </c>
      <c r="AB233" s="79" t="s">
        <v>1614</v>
      </c>
      <c r="AC233" s="47" t="str">
        <f t="shared" si="3"/>
        <v>*</v>
      </c>
    </row>
    <row r="234" spans="1:29" x14ac:dyDescent="0.25">
      <c r="A234" s="36">
        <v>27764</v>
      </c>
      <c r="B234" s="68" t="s">
        <v>721</v>
      </c>
      <c r="C234" s="33" t="s">
        <v>1317</v>
      </c>
      <c r="D234" s="32">
        <v>61</v>
      </c>
      <c r="E234" s="37">
        <v>2</v>
      </c>
      <c r="F234" s="38" t="str">
        <f>VLOOKUP(tabPontoPed[[#This Row],[GRUPO]],tabGrupos[#Data],2,FALSE)</f>
        <v>MATERIAL HIDRAULICO, CANOS, TUBOS, MANGUEIRAS, CONEXOES E ACESS.</v>
      </c>
      <c r="G234" s="32" t="str">
        <f>VLOOKUP(tabPontoPed[[#This Row],[GRUPO]],tabGrupos[#Data],3,FALSE)</f>
        <v>MHI</v>
      </c>
      <c r="H234" s="33" t="s">
        <v>1311</v>
      </c>
      <c r="I234" s="80">
        <v>4</v>
      </c>
      <c r="J234" s="39">
        <v>17</v>
      </c>
      <c r="K234" s="41">
        <f>tabPontoPed[[#This Row],[QTDMÊS]] * tabPontoPed[[#This Row],[MENSAL]]</f>
        <v>68</v>
      </c>
      <c r="L234" s="83"/>
      <c r="M234" s="81"/>
      <c r="N234" s="34" t="s">
        <v>1009</v>
      </c>
      <c r="O234" s="76"/>
      <c r="P234" s="77">
        <v>0</v>
      </c>
      <c r="Q234" s="57">
        <v>0</v>
      </c>
      <c r="R234" s="42">
        <v>6</v>
      </c>
      <c r="S234" s="69" t="str">
        <f>_xlfn.IFNA(IF(VLOOKUP(tabPontoPed[[#This Row],[CÓDIGO]],tabExcluirDoEstoque[#Data],1,FALSE),"sim",""),"")</f>
        <v/>
      </c>
      <c r="T234" s="43">
        <f>IF(AND(tabPontoPed[[#This Row],[MENSAL]]&gt;0,tabPontoPed[[#This Row],[CÁLCULO]]&gt;0), ABS( tabPontoPed[[#This Row],[MENSAL]] - tabPontoPed[[#This Row],[CÁLCULO]] ) / tabPontoPed[[#This Row],[MENSAL]], -1 )</f>
        <v>0.6470588235294118</v>
      </c>
      <c r="U234" s="58">
        <v>30</v>
      </c>
      <c r="V234" s="35">
        <f>IF(AND(tabPontoPed[[#This Row],[MENSAL]]&gt;0,tabPontoPed[[#This Row],[CÁLCULO]]&gt;0), IF( tabPontoPed[[#This Row],[MENSAL]] - tabPontoPed[[#This Row],[CÁLCULO]] &lt; 0, -1, IF( tabPontoPed[[#This Row],[MENSAL]] - tabPontoPed[[#This Row],[CÁLCULO]] &gt; 0, 1, -8)), -9 )</f>
        <v>1</v>
      </c>
      <c r="W234" s="35"/>
      <c r="X234" s="49" t="s">
        <v>1564</v>
      </c>
      <c r="Y234" s="51">
        <v>44391.599108796298</v>
      </c>
      <c r="Z234" s="72">
        <f>tabPontoPed[CÁLC_4M] - tabPontoPed[CÁLCULO]</f>
        <v>-6</v>
      </c>
      <c r="AA234" s="79" t="str">
        <f>IF(tabPontoPed[MENSAL]-tabPontoPed[ATA MENSAL] = 0,"sim","")</f>
        <v/>
      </c>
      <c r="AB234" s="79"/>
      <c r="AC234" s="47" t="str">
        <f t="shared" si="3"/>
        <v>*</v>
      </c>
    </row>
    <row r="235" spans="1:29" x14ac:dyDescent="0.25">
      <c r="A235" s="36">
        <v>12891</v>
      </c>
      <c r="B235" s="68" t="s">
        <v>295</v>
      </c>
      <c r="C235" s="33" t="s">
        <v>1317</v>
      </c>
      <c r="D235" s="32">
        <v>61</v>
      </c>
      <c r="E235" s="37">
        <v>8</v>
      </c>
      <c r="F235" s="38" t="str">
        <f>VLOOKUP(tabPontoPed[[#This Row],[GRUPO]],tabGrupos[#Data],2,FALSE)</f>
        <v>MATERIAL HIDRAULICO, CANOS, TUBOS, MANGUEIRAS, CONEXOES E ACESS.</v>
      </c>
      <c r="G235" s="32" t="str">
        <f>VLOOKUP(tabPontoPed[[#This Row],[GRUPO]],tabGrupos[#Data],3,FALSE)</f>
        <v>MHI</v>
      </c>
      <c r="H235" s="33" t="s">
        <v>1311</v>
      </c>
      <c r="I235" s="80">
        <v>4</v>
      </c>
      <c r="J235" s="39">
        <v>17</v>
      </c>
      <c r="K235" s="41">
        <f>tabPontoPed[[#This Row],[QTDMÊS]] * tabPontoPed[[#This Row],[MENSAL]]</f>
        <v>68</v>
      </c>
      <c r="L235" s="83"/>
      <c r="M235" s="81"/>
      <c r="N235" s="34" t="s">
        <v>1009</v>
      </c>
      <c r="O235" s="76" t="s">
        <v>1678</v>
      </c>
      <c r="P235" s="77">
        <v>0</v>
      </c>
      <c r="Q235" s="57">
        <v>3</v>
      </c>
      <c r="R235" s="42">
        <v>6</v>
      </c>
      <c r="S235" s="69" t="str">
        <f>_xlfn.IFNA(IF(VLOOKUP(tabPontoPed[[#This Row],[CÓDIGO]],tabExcluirDoEstoque[#Data],1,FALSE),"sim",""),"")</f>
        <v/>
      </c>
      <c r="T235" s="43">
        <f>IF(AND(tabPontoPed[[#This Row],[MENSAL]]&gt;0,tabPontoPed[[#This Row],[CÁLCULO]]&gt;0), ABS( tabPontoPed[[#This Row],[MENSAL]] - tabPontoPed[[#This Row],[CÁLCULO]] ) / tabPontoPed[[#This Row],[MENSAL]], -1 )</f>
        <v>0.6470588235294118</v>
      </c>
      <c r="U235" s="58">
        <v>12</v>
      </c>
      <c r="V235" s="35">
        <f>IF(AND(tabPontoPed[[#This Row],[MENSAL]]&gt;0,tabPontoPed[[#This Row],[CÁLCULO]]&gt;0), IF( tabPontoPed[[#This Row],[MENSAL]] - tabPontoPed[[#This Row],[CÁLCULO]] &lt; 0, -1, IF( tabPontoPed[[#This Row],[MENSAL]] - tabPontoPed[[#This Row],[CÁLCULO]] &gt; 0, 1, -8)), -9 )</f>
        <v>1</v>
      </c>
      <c r="W235" s="35"/>
      <c r="X235" s="48" t="s">
        <v>1564</v>
      </c>
      <c r="Y235" s="53">
        <v>44391.599108796298</v>
      </c>
      <c r="Z235" s="72">
        <f>tabPontoPed[CÁLC_4M] - tabPontoPed[CÁLCULO]</f>
        <v>-3</v>
      </c>
      <c r="AA235" s="79" t="str">
        <f>IF(tabPontoPed[MENSAL]-tabPontoPed[ATA MENSAL] = 0,"sim","")</f>
        <v/>
      </c>
      <c r="AB235" s="79" t="s">
        <v>1614</v>
      </c>
      <c r="AC235" s="47" t="str">
        <f t="shared" si="3"/>
        <v>*</v>
      </c>
    </row>
    <row r="236" spans="1:29" x14ac:dyDescent="0.25">
      <c r="A236" s="36">
        <v>88726</v>
      </c>
      <c r="B236" s="68" t="s">
        <v>357</v>
      </c>
      <c r="C236" s="33" t="s">
        <v>1317</v>
      </c>
      <c r="D236" s="32">
        <v>55</v>
      </c>
      <c r="E236" s="37">
        <v>26</v>
      </c>
      <c r="F236" s="38" t="str">
        <f>VLOOKUP(tabPontoPed[[#This Row],[GRUPO]],tabGrupos[#Data],2,FALSE)</f>
        <v>EQUIP. MAT. P/ GERACAO, TRANSM. DISTR. RETIF...</v>
      </c>
      <c r="G236" s="32" t="str">
        <f>VLOOKUP(tabPontoPed[[#This Row],[GRUPO]],tabGrupos[#Data],3,FALSE)</f>
        <v>MEL</v>
      </c>
      <c r="H236" s="33" t="s">
        <v>1311</v>
      </c>
      <c r="I236" s="80">
        <v>4</v>
      </c>
      <c r="J236" s="39">
        <v>14</v>
      </c>
      <c r="K236" s="41">
        <f>tabPontoPed[[#This Row],[QTDMÊS]] * tabPontoPed[[#This Row],[MENSAL]]</f>
        <v>56</v>
      </c>
      <c r="L236" s="83"/>
      <c r="M236" s="81"/>
      <c r="N236" s="34" t="s">
        <v>1009</v>
      </c>
      <c r="O236" s="76" t="s">
        <v>1670</v>
      </c>
      <c r="P236" s="77">
        <v>0</v>
      </c>
      <c r="Q236" s="57">
        <v>2</v>
      </c>
      <c r="R236" s="42">
        <v>5</v>
      </c>
      <c r="S236" s="69" t="str">
        <f>_xlfn.IFNA(IF(VLOOKUP(tabPontoPed[[#This Row],[CÓDIGO]],tabExcluirDoEstoque[#Data],1,FALSE),"sim",""),"")</f>
        <v/>
      </c>
      <c r="T236" s="43">
        <f>IF(AND(tabPontoPed[[#This Row],[MENSAL]]&gt;0,tabPontoPed[[#This Row],[CÁLCULO]]&gt;0), ABS( tabPontoPed[[#This Row],[MENSAL]] - tabPontoPed[[#This Row],[CÁLCULO]] ) / tabPontoPed[[#This Row],[MENSAL]], -1 )</f>
        <v>0.6428571428571429</v>
      </c>
      <c r="U236" s="58">
        <v>23</v>
      </c>
      <c r="V236" s="35">
        <f>IF(AND(tabPontoPed[[#This Row],[MENSAL]]&gt;0,tabPontoPed[[#This Row],[CÁLCULO]]&gt;0), IF( tabPontoPed[[#This Row],[MENSAL]] - tabPontoPed[[#This Row],[CÁLCULO]] &lt; 0, -1, IF( tabPontoPed[[#This Row],[MENSAL]] - tabPontoPed[[#This Row],[CÁLCULO]] &gt; 0, 1, -8)), -9 )</f>
        <v>1</v>
      </c>
      <c r="W236" s="35"/>
      <c r="X236" s="49" t="s">
        <v>1564</v>
      </c>
      <c r="Y236" s="51">
        <v>44391.599108796298</v>
      </c>
      <c r="Z236" s="72">
        <f>tabPontoPed[CÁLC_4M] - tabPontoPed[CÁLCULO]</f>
        <v>-3</v>
      </c>
      <c r="AA236" s="79" t="str">
        <f>IF(tabPontoPed[MENSAL]-tabPontoPed[ATA MENSAL] = 0,"sim","")</f>
        <v/>
      </c>
      <c r="AB236" s="79" t="s">
        <v>1614</v>
      </c>
      <c r="AC236" s="47" t="str">
        <f t="shared" si="3"/>
        <v>*</v>
      </c>
    </row>
    <row r="237" spans="1:29" x14ac:dyDescent="0.25">
      <c r="A237" s="36">
        <v>134567</v>
      </c>
      <c r="B237" s="68" t="s">
        <v>857</v>
      </c>
      <c r="C237" s="33" t="s">
        <v>1317</v>
      </c>
      <c r="D237" s="32">
        <v>67</v>
      </c>
      <c r="E237" s="37">
        <v>9</v>
      </c>
      <c r="F237" s="38" t="str">
        <f>VLOOKUP(tabPontoPed[[#This Row],[GRUPO]],tabGrupos[#Data],2,FALSE)</f>
        <v>PARAFUSOS ELEM. VEDACAO UNIAO CONEX . FIXACAO</v>
      </c>
      <c r="G237" s="32" t="str">
        <f>VLOOKUP(tabPontoPed[[#This Row],[GRUPO]],tabGrupos[#Data],3,FALSE)</f>
        <v>MSE</v>
      </c>
      <c r="H237" s="33" t="s">
        <v>1311</v>
      </c>
      <c r="I237" s="80">
        <v>4</v>
      </c>
      <c r="J237" s="39">
        <v>554</v>
      </c>
      <c r="K237" s="41">
        <f>tabPontoPed[[#This Row],[QTDMÊS]] * tabPontoPed[[#This Row],[MENSAL]]</f>
        <v>2216</v>
      </c>
      <c r="L237" s="83"/>
      <c r="M237" s="81"/>
      <c r="N237" s="34" t="s">
        <v>1009</v>
      </c>
      <c r="O237" s="76" t="s">
        <v>1682</v>
      </c>
      <c r="P237" s="77">
        <v>0</v>
      </c>
      <c r="Q237" s="57">
        <v>280</v>
      </c>
      <c r="R237" s="42">
        <v>198</v>
      </c>
      <c r="S237" s="69" t="str">
        <f>_xlfn.IFNA(IF(VLOOKUP(tabPontoPed[[#This Row],[CÓDIGO]],tabExcluirDoEstoque[#Data],1,FALSE),"sim",""),"")</f>
        <v/>
      </c>
      <c r="T237" s="43">
        <f>IF(AND(tabPontoPed[[#This Row],[MENSAL]]&gt;0,tabPontoPed[[#This Row],[CÁLCULO]]&gt;0), ABS( tabPontoPed[[#This Row],[MENSAL]] - tabPontoPed[[#This Row],[CÁLCULO]] ) / tabPontoPed[[#This Row],[MENSAL]], -1 )</f>
        <v>0.64259927797833938</v>
      </c>
      <c r="U237" s="58">
        <v>650</v>
      </c>
      <c r="V237" s="35">
        <f>IF(AND(tabPontoPed[[#This Row],[MENSAL]]&gt;0,tabPontoPed[[#This Row],[CÁLCULO]]&gt;0), IF( tabPontoPed[[#This Row],[MENSAL]] - tabPontoPed[[#This Row],[CÁLCULO]] &lt; 0, -1, IF( tabPontoPed[[#This Row],[MENSAL]] - tabPontoPed[[#This Row],[CÁLCULO]] &gt; 0, 1, -8)), -9 )</f>
        <v>1</v>
      </c>
      <c r="W237" s="35"/>
      <c r="X237" s="49" t="s">
        <v>1564</v>
      </c>
      <c r="Y237" s="51">
        <v>44391.599108796298</v>
      </c>
      <c r="Z237" s="72">
        <f>tabPontoPed[CÁLC_4M] - tabPontoPed[CÁLCULO]</f>
        <v>82</v>
      </c>
      <c r="AA237" s="79" t="str">
        <f>IF(tabPontoPed[MENSAL]-tabPontoPed[ATA MENSAL] = 0,"sim","")</f>
        <v/>
      </c>
      <c r="AB237" s="79"/>
      <c r="AC237" s="47" t="str">
        <f t="shared" si="3"/>
        <v>*</v>
      </c>
    </row>
    <row r="238" spans="1:29" x14ac:dyDescent="0.25">
      <c r="A238" s="36">
        <v>4680</v>
      </c>
      <c r="B238" s="68" t="s">
        <v>401</v>
      </c>
      <c r="C238" s="33" t="s">
        <v>1317</v>
      </c>
      <c r="D238" s="32">
        <v>20</v>
      </c>
      <c r="E238" s="37">
        <v>3</v>
      </c>
      <c r="F238" s="38" t="str">
        <f>VLOOKUP(tabPontoPed[[#This Row],[GRUPO]],tabGrupos[#Data],2,FALSE)</f>
        <v>MATERIAIS DE CONSUMO HOSPITALAR</v>
      </c>
      <c r="G238" s="32" t="str">
        <f>VLOOKUP(tabPontoPed[[#This Row],[GRUPO]],tabGrupos[#Data],3,FALSE)</f>
        <v>SAU</v>
      </c>
      <c r="H238" s="33" t="s">
        <v>1311</v>
      </c>
      <c r="I238" s="80">
        <v>4</v>
      </c>
      <c r="J238" s="39">
        <v>805</v>
      </c>
      <c r="K238" s="41">
        <f>tabPontoPed[[#This Row],[QTDMÊS]] * tabPontoPed[[#This Row],[MENSAL]]</f>
        <v>3220</v>
      </c>
      <c r="L238" s="83"/>
      <c r="M238" s="81"/>
      <c r="N238" s="34" t="s">
        <v>1009</v>
      </c>
      <c r="O238" s="76" t="s">
        <v>1765</v>
      </c>
      <c r="P238" s="77">
        <v>0</v>
      </c>
      <c r="Q238" s="57">
        <v>534</v>
      </c>
      <c r="R238" s="42">
        <v>288</v>
      </c>
      <c r="S238" s="69" t="str">
        <f>_xlfn.IFNA(IF(VLOOKUP(tabPontoPed[[#This Row],[CÓDIGO]],tabExcluirDoEstoque[#Data],1,FALSE),"sim",""),"")</f>
        <v/>
      </c>
      <c r="T238" s="43">
        <f>IF(AND(tabPontoPed[[#This Row],[MENSAL]]&gt;0,tabPontoPed[[#This Row],[CÁLCULO]]&gt;0), ABS( tabPontoPed[[#This Row],[MENSAL]] - tabPontoPed[[#This Row],[CÁLCULO]] ) / tabPontoPed[[#This Row],[MENSAL]], -1 )</f>
        <v>0.64223602484472053</v>
      </c>
      <c r="U238" s="58">
        <v>627</v>
      </c>
      <c r="V238" s="35">
        <f>IF(AND(tabPontoPed[[#This Row],[MENSAL]]&gt;0,tabPontoPed[[#This Row],[CÁLCULO]]&gt;0), IF( tabPontoPed[[#This Row],[MENSAL]] - tabPontoPed[[#This Row],[CÁLCULO]] &lt; 0, -1, IF( tabPontoPed[[#This Row],[MENSAL]] - tabPontoPed[[#This Row],[CÁLCULO]] &gt; 0, 1, -8)), -9 )</f>
        <v>1</v>
      </c>
      <c r="W238" s="35"/>
      <c r="X238" s="48" t="s">
        <v>1564</v>
      </c>
      <c r="Y238" s="53">
        <v>44391.599108796298</v>
      </c>
      <c r="Z238" s="72">
        <f>tabPontoPed[CÁLC_4M] - tabPontoPed[CÁLCULO]</f>
        <v>246</v>
      </c>
      <c r="AA238" s="79" t="str">
        <f>IF(tabPontoPed[MENSAL]-tabPontoPed[ATA MENSAL] = 0,"sim","")</f>
        <v/>
      </c>
      <c r="AB238" s="79"/>
      <c r="AC238" s="47" t="str">
        <f t="shared" si="3"/>
        <v>*</v>
      </c>
    </row>
    <row r="239" spans="1:29" x14ac:dyDescent="0.25">
      <c r="A239" s="36">
        <v>13094</v>
      </c>
      <c r="B239" s="68" t="s">
        <v>505</v>
      </c>
      <c r="C239" s="33" t="s">
        <v>1317</v>
      </c>
      <c r="D239" s="32">
        <v>51</v>
      </c>
      <c r="E239" s="37">
        <v>11</v>
      </c>
      <c r="F239" s="38" t="str">
        <f>VLOOKUP(tabPontoPed[[#This Row],[GRUPO]],tabGrupos[#Data],2,FALSE)</f>
        <v>MAT.E EQUIP. P/ CONSTR.CIVIL E CONSERV. DE VIAS PUBL.</v>
      </c>
      <c r="G239" s="32" t="str">
        <f>VLOOKUP(tabPontoPed[[#This Row],[GRUPO]],tabGrupos[#Data],3,FALSE)</f>
        <v>MCO</v>
      </c>
      <c r="H239" s="33" t="s">
        <v>1311</v>
      </c>
      <c r="I239" s="80">
        <v>4</v>
      </c>
      <c r="J239" s="39">
        <v>117</v>
      </c>
      <c r="K239" s="41">
        <f>tabPontoPed[[#This Row],[QTDMÊS]] * tabPontoPed[[#This Row],[MENSAL]]</f>
        <v>468</v>
      </c>
      <c r="L239" s="83"/>
      <c r="M239" s="81"/>
      <c r="N239" s="34" t="s">
        <v>1009</v>
      </c>
      <c r="O239" s="76" t="s">
        <v>1695</v>
      </c>
      <c r="P239" s="77">
        <v>0</v>
      </c>
      <c r="Q239" s="57">
        <v>50</v>
      </c>
      <c r="R239" s="42">
        <v>42</v>
      </c>
      <c r="S239" s="69" t="str">
        <f>_xlfn.IFNA(IF(VLOOKUP(tabPontoPed[[#This Row],[CÓDIGO]],tabExcluirDoEstoque[#Data],1,FALSE),"sim",""),"")</f>
        <v/>
      </c>
      <c r="T239" s="43">
        <f>IF(AND(tabPontoPed[[#This Row],[MENSAL]]&gt;0,tabPontoPed[[#This Row],[CÁLCULO]]&gt;0), ABS( tabPontoPed[[#This Row],[MENSAL]] - tabPontoPed[[#This Row],[CÁLCULO]] ) / tabPontoPed[[#This Row],[MENSAL]], -1 )</f>
        <v>0.64102564102564108</v>
      </c>
      <c r="U239" s="58">
        <v>200</v>
      </c>
      <c r="V239" s="35">
        <f>IF(AND(tabPontoPed[[#This Row],[MENSAL]]&gt;0,tabPontoPed[[#This Row],[CÁLCULO]]&gt;0), IF( tabPontoPed[[#This Row],[MENSAL]] - tabPontoPed[[#This Row],[CÁLCULO]] &lt; 0, -1, IF( tabPontoPed[[#This Row],[MENSAL]] - tabPontoPed[[#This Row],[CÁLCULO]] &gt; 0, 1, -8)), -9 )</f>
        <v>1</v>
      </c>
      <c r="W239" s="35"/>
      <c r="X239" s="49" t="s">
        <v>1564</v>
      </c>
      <c r="Y239" s="51">
        <v>44391.599108796298</v>
      </c>
      <c r="Z239" s="72">
        <f>tabPontoPed[CÁLC_4M] - tabPontoPed[CÁLCULO]</f>
        <v>8</v>
      </c>
      <c r="AA239" s="79" t="str">
        <f>IF(tabPontoPed[MENSAL]-tabPontoPed[ATA MENSAL] = 0,"sim","")</f>
        <v/>
      </c>
      <c r="AB239" s="79" t="s">
        <v>1614</v>
      </c>
      <c r="AC239" s="47" t="str">
        <f t="shared" si="3"/>
        <v>*</v>
      </c>
    </row>
    <row r="240" spans="1:29" x14ac:dyDescent="0.25">
      <c r="A240" s="36">
        <v>17362</v>
      </c>
      <c r="B240" s="68" t="s">
        <v>199</v>
      </c>
      <c r="C240" s="33" t="s">
        <v>1317</v>
      </c>
      <c r="D240" s="32">
        <v>57</v>
      </c>
      <c r="E240" s="37">
        <v>15</v>
      </c>
      <c r="F240" s="38" t="str">
        <f>VLOOKUP(tabPontoPed[[#This Row],[GRUPO]],tabGrupos[#Data],2,FALSE)</f>
        <v>MAQ. E EQUIP. P/ IND. GRAFICA COMP. ACESS. E PAPEI</v>
      </c>
      <c r="G240" s="32" t="str">
        <f>VLOOKUP(tabPontoPed[[#This Row],[GRUPO]],tabGrupos[#Data],3,FALSE)</f>
        <v>EDU</v>
      </c>
      <c r="H240" s="33" t="s">
        <v>1311</v>
      </c>
      <c r="I240" s="80">
        <v>4</v>
      </c>
      <c r="J240" s="39">
        <v>1000</v>
      </c>
      <c r="K240" s="41">
        <f>tabPontoPed[[#This Row],[QTDMÊS]] * tabPontoPed[[#This Row],[MENSAL]]</f>
        <v>4000</v>
      </c>
      <c r="L240" s="83"/>
      <c r="M240" s="81"/>
      <c r="N240" s="34" t="s">
        <v>1009</v>
      </c>
      <c r="O240" s="76" t="s">
        <v>1696</v>
      </c>
      <c r="P240" s="77">
        <v>0</v>
      </c>
      <c r="Q240" s="57">
        <v>481</v>
      </c>
      <c r="R240" s="42">
        <v>360</v>
      </c>
      <c r="S240" s="69" t="str">
        <f>_xlfn.IFNA(IF(VLOOKUP(tabPontoPed[[#This Row],[CÓDIGO]],tabExcluirDoEstoque[#Data],1,FALSE),"sim",""),"")</f>
        <v/>
      </c>
      <c r="T240" s="43">
        <f>IF(AND(tabPontoPed[[#This Row],[MENSAL]]&gt;0,tabPontoPed[[#This Row],[CÁLCULO]]&gt;0), ABS( tabPontoPed[[#This Row],[MENSAL]] - tabPontoPed[[#This Row],[CÁLCULO]] ) / tabPontoPed[[#This Row],[MENSAL]], -1 )</f>
        <v>0.64</v>
      </c>
      <c r="U240" s="58">
        <v>791</v>
      </c>
      <c r="V240" s="35">
        <f>IF(AND(tabPontoPed[[#This Row],[MENSAL]]&gt;0,tabPontoPed[[#This Row],[CÁLCULO]]&gt;0), IF( tabPontoPed[[#This Row],[MENSAL]] - tabPontoPed[[#This Row],[CÁLCULO]] &lt; 0, -1, IF( tabPontoPed[[#This Row],[MENSAL]] - tabPontoPed[[#This Row],[CÁLCULO]] &gt; 0, 1, -8)), -9 )</f>
        <v>1</v>
      </c>
      <c r="W240" s="35"/>
      <c r="X240" s="49" t="s">
        <v>1564</v>
      </c>
      <c r="Y240" s="51">
        <v>44391.599108796298</v>
      </c>
      <c r="Z240" s="72">
        <f>tabPontoPed[CÁLC_4M] - tabPontoPed[CÁLCULO]</f>
        <v>121</v>
      </c>
      <c r="AA240" s="79" t="str">
        <f>IF(tabPontoPed[MENSAL]-tabPontoPed[ATA MENSAL] = 0,"sim","")</f>
        <v/>
      </c>
      <c r="AB240" s="79"/>
      <c r="AC240" s="47" t="str">
        <f t="shared" si="3"/>
        <v>*</v>
      </c>
    </row>
    <row r="241" spans="1:29" x14ac:dyDescent="0.25">
      <c r="A241" s="36">
        <v>95121</v>
      </c>
      <c r="B241" s="68" t="s">
        <v>767</v>
      </c>
      <c r="C241" s="33" t="s">
        <v>1317</v>
      </c>
      <c r="D241" s="32">
        <v>61</v>
      </c>
      <c r="E241" s="37">
        <v>8</v>
      </c>
      <c r="F241" s="38" t="str">
        <f>VLOOKUP(tabPontoPed[[#This Row],[GRUPO]],tabGrupos[#Data],2,FALSE)</f>
        <v>MATERIAL HIDRAULICO, CANOS, TUBOS, MANGUEIRAS, CONEXOES E ACESS.</v>
      </c>
      <c r="G241" s="32" t="str">
        <f>VLOOKUP(tabPontoPed[[#This Row],[GRUPO]],tabGrupos[#Data],3,FALSE)</f>
        <v>MHI</v>
      </c>
      <c r="H241" s="33" t="s">
        <v>1311</v>
      </c>
      <c r="I241" s="80">
        <v>4</v>
      </c>
      <c r="J241" s="39">
        <v>25</v>
      </c>
      <c r="K241" s="41">
        <f>tabPontoPed[[#This Row],[QTDMÊS]] * tabPontoPed[[#This Row],[MENSAL]]</f>
        <v>100</v>
      </c>
      <c r="L241" s="83"/>
      <c r="M241" s="81"/>
      <c r="N241" s="34" t="s">
        <v>1009</v>
      </c>
      <c r="O241" s="76" t="s">
        <v>1691</v>
      </c>
      <c r="P241" s="77">
        <v>0</v>
      </c>
      <c r="Q241" s="57">
        <v>3</v>
      </c>
      <c r="R241" s="42">
        <v>9</v>
      </c>
      <c r="S241" s="69" t="str">
        <f>_xlfn.IFNA(IF(VLOOKUP(tabPontoPed[[#This Row],[CÓDIGO]],tabExcluirDoEstoque[#Data],1,FALSE),"sim",""),"")</f>
        <v/>
      </c>
      <c r="T241" s="43">
        <f>IF(AND(tabPontoPed[[#This Row],[MENSAL]]&gt;0,tabPontoPed[[#This Row],[CÁLCULO]]&gt;0), ABS( tabPontoPed[[#This Row],[MENSAL]] - tabPontoPed[[#This Row],[CÁLCULO]] ) / tabPontoPed[[#This Row],[MENSAL]], -1 )</f>
        <v>0.64</v>
      </c>
      <c r="U241" s="58">
        <v>41</v>
      </c>
      <c r="V241" s="35">
        <f>IF(AND(tabPontoPed[[#This Row],[MENSAL]]&gt;0,tabPontoPed[[#This Row],[CÁLCULO]]&gt;0), IF( tabPontoPed[[#This Row],[MENSAL]] - tabPontoPed[[#This Row],[CÁLCULO]] &lt; 0, -1, IF( tabPontoPed[[#This Row],[MENSAL]] - tabPontoPed[[#This Row],[CÁLCULO]] &gt; 0, 1, -8)), -9 )</f>
        <v>1</v>
      </c>
      <c r="W241" s="35"/>
      <c r="X241" s="49" t="s">
        <v>1564</v>
      </c>
      <c r="Y241" s="51">
        <v>44391.599108796298</v>
      </c>
      <c r="Z241" s="72">
        <f>tabPontoPed[CÁLC_4M] - tabPontoPed[CÁLCULO]</f>
        <v>-6</v>
      </c>
      <c r="AA241" s="79" t="str">
        <f>IF(tabPontoPed[MENSAL]-tabPontoPed[ATA MENSAL] = 0,"sim","")</f>
        <v/>
      </c>
      <c r="AB241" s="79" t="s">
        <v>1614</v>
      </c>
      <c r="AC241" s="47" t="str">
        <f t="shared" si="3"/>
        <v>*</v>
      </c>
    </row>
    <row r="242" spans="1:29" x14ac:dyDescent="0.25">
      <c r="A242" s="36">
        <v>59018</v>
      </c>
      <c r="B242" s="68" t="s">
        <v>256</v>
      </c>
      <c r="C242" s="33" t="s">
        <v>1317</v>
      </c>
      <c r="D242" s="32">
        <v>69</v>
      </c>
      <c r="E242" s="37">
        <v>3</v>
      </c>
      <c r="F242" s="38" t="str">
        <f>VLOOKUP(tabPontoPed[[#This Row],[GRUPO]],tabGrupos[#Data],2,FALSE)</f>
        <v>METAIS,LAMINAD.,PERFILADOS E ARTEFATOS METALICOS</v>
      </c>
      <c r="G242" s="32" t="str">
        <f>VLOOKUP(tabPontoPed[[#This Row],[GRUPO]],tabGrupos[#Data],3,FALSE)</f>
        <v>MSE</v>
      </c>
      <c r="H242" s="33" t="s">
        <v>1311</v>
      </c>
      <c r="I242" s="80">
        <v>4</v>
      </c>
      <c r="J242" s="39">
        <v>25</v>
      </c>
      <c r="K242" s="41">
        <f>tabPontoPed[[#This Row],[QTDMÊS]] * tabPontoPed[[#This Row],[MENSAL]]</f>
        <v>100</v>
      </c>
      <c r="L242" s="83"/>
      <c r="M242" s="81"/>
      <c r="N242" s="34" t="s">
        <v>1009</v>
      </c>
      <c r="O242" s="76" t="s">
        <v>1687</v>
      </c>
      <c r="P242" s="77">
        <v>0</v>
      </c>
      <c r="Q242" s="57">
        <v>14</v>
      </c>
      <c r="R242" s="42">
        <v>41</v>
      </c>
      <c r="S242" s="69" t="str">
        <f>_xlfn.IFNA(IF(VLOOKUP(tabPontoPed[[#This Row],[CÓDIGO]],tabExcluirDoEstoque[#Data],1,FALSE),"sim",""),"")</f>
        <v/>
      </c>
      <c r="T242" s="43">
        <f>IF(AND(tabPontoPed[[#This Row],[MENSAL]]&gt;0,tabPontoPed[[#This Row],[CÁLCULO]]&gt;0), ABS( tabPontoPed[[#This Row],[MENSAL]] - tabPontoPed[[#This Row],[CÁLCULO]] ) / tabPontoPed[[#This Row],[MENSAL]], -1 )</f>
        <v>0.64</v>
      </c>
      <c r="U242" s="58">
        <v>270</v>
      </c>
      <c r="V242" s="35">
        <f>IF(AND(tabPontoPed[[#This Row],[MENSAL]]&gt;0,tabPontoPed[[#This Row],[CÁLCULO]]&gt;0), IF( tabPontoPed[[#This Row],[MENSAL]] - tabPontoPed[[#This Row],[CÁLCULO]] &lt; 0, -1, IF( tabPontoPed[[#This Row],[MENSAL]] - tabPontoPed[[#This Row],[CÁLCULO]] &gt; 0, 1, -8)), -9 )</f>
        <v>-1</v>
      </c>
      <c r="W242" s="35"/>
      <c r="X242" s="48" t="s">
        <v>1564</v>
      </c>
      <c r="Y242" s="53">
        <v>44391.599108796298</v>
      </c>
      <c r="Z242" s="72">
        <f>tabPontoPed[CÁLC_4M] - tabPontoPed[CÁLCULO]</f>
        <v>-27</v>
      </c>
      <c r="AA242" s="79" t="str">
        <f>IF(tabPontoPed[MENSAL]-tabPontoPed[ATA MENSAL] = 0,"sim","")</f>
        <v/>
      </c>
      <c r="AB242" s="79" t="s">
        <v>1614</v>
      </c>
      <c r="AC242" s="47" t="str">
        <f t="shared" si="3"/>
        <v>*</v>
      </c>
    </row>
    <row r="243" spans="1:29" x14ac:dyDescent="0.25">
      <c r="A243" s="36">
        <v>119181</v>
      </c>
      <c r="B243" s="68" t="s">
        <v>676</v>
      </c>
      <c r="C243" s="33" t="s">
        <v>1317</v>
      </c>
      <c r="D243" s="32">
        <v>55</v>
      </c>
      <c r="E243" s="37">
        <v>37</v>
      </c>
      <c r="F243" s="38" t="str">
        <f>VLOOKUP(tabPontoPed[[#This Row],[GRUPO]],tabGrupos[#Data],2,FALSE)</f>
        <v>EQUIP. MAT. P/ GERACAO, TRANSM. DISTR. RETIF...</v>
      </c>
      <c r="G243" s="32" t="str">
        <f>VLOOKUP(tabPontoPed[[#This Row],[GRUPO]],tabGrupos[#Data],3,FALSE)</f>
        <v>MEL</v>
      </c>
      <c r="H243" s="33" t="s">
        <v>1311</v>
      </c>
      <c r="I243" s="80">
        <v>4</v>
      </c>
      <c r="J243" s="39">
        <v>58</v>
      </c>
      <c r="K243" s="41">
        <f>tabPontoPed[[#This Row],[QTDMÊS]] * tabPontoPed[[#This Row],[MENSAL]]</f>
        <v>232</v>
      </c>
      <c r="L243" s="83"/>
      <c r="M243" s="81"/>
      <c r="N243" s="34" t="s">
        <v>1009</v>
      </c>
      <c r="O243" s="76" t="s">
        <v>1715</v>
      </c>
      <c r="P243" s="77">
        <v>0</v>
      </c>
      <c r="Q243" s="57">
        <v>23</v>
      </c>
      <c r="R243" s="42">
        <v>21</v>
      </c>
      <c r="S243" s="69" t="str">
        <f>_xlfn.IFNA(IF(VLOOKUP(tabPontoPed[[#This Row],[CÓDIGO]],tabExcluirDoEstoque[#Data],1,FALSE),"sim",""),"")</f>
        <v/>
      </c>
      <c r="T243" s="43">
        <f>IF(AND(tabPontoPed[[#This Row],[MENSAL]]&gt;0,tabPontoPed[[#This Row],[CÁLCULO]]&gt;0), ABS( tabPontoPed[[#This Row],[MENSAL]] - tabPontoPed[[#This Row],[CÁLCULO]] ) / tabPontoPed[[#This Row],[MENSAL]], -1 )</f>
        <v>0.63793103448275867</v>
      </c>
      <c r="U243" s="58">
        <v>36</v>
      </c>
      <c r="V243" s="35">
        <f>IF(AND(tabPontoPed[[#This Row],[MENSAL]]&gt;0,tabPontoPed[[#This Row],[CÁLCULO]]&gt;0), IF( tabPontoPed[[#This Row],[MENSAL]] - tabPontoPed[[#This Row],[CÁLCULO]] &lt; 0, -1, IF( tabPontoPed[[#This Row],[MENSAL]] - tabPontoPed[[#This Row],[CÁLCULO]] &gt; 0, 1, -8)), -9 )</f>
        <v>1</v>
      </c>
      <c r="W243" s="35"/>
      <c r="X243" s="48" t="s">
        <v>1564</v>
      </c>
      <c r="Y243" s="53">
        <v>44391.599108796298</v>
      </c>
      <c r="Z243" s="72">
        <f>tabPontoPed[CÁLC_4M] - tabPontoPed[CÁLCULO]</f>
        <v>2</v>
      </c>
      <c r="AA243" s="79" t="str">
        <f>IF(tabPontoPed[MENSAL]-tabPontoPed[ATA MENSAL] = 0,"sim","")</f>
        <v/>
      </c>
      <c r="AB243" s="79"/>
      <c r="AC243" s="47" t="str">
        <f t="shared" si="3"/>
        <v>*</v>
      </c>
    </row>
    <row r="244" spans="1:29" x14ac:dyDescent="0.25">
      <c r="A244" s="36">
        <v>27140</v>
      </c>
      <c r="B244" s="68" t="s">
        <v>44</v>
      </c>
      <c r="C244" s="33" t="s">
        <v>1317</v>
      </c>
      <c r="D244" s="32">
        <v>57</v>
      </c>
      <c r="E244" s="37">
        <v>2</v>
      </c>
      <c r="F244" s="38" t="str">
        <f>VLOOKUP(tabPontoPed[[#This Row],[GRUPO]],tabGrupos[#Data],2,FALSE)</f>
        <v>MAQ. E EQUIP. P/ IND. GRAFICA COMP. ACESS. E PAPEI</v>
      </c>
      <c r="G244" s="32" t="str">
        <f>VLOOKUP(tabPontoPed[[#This Row],[GRUPO]],tabGrupos[#Data],3,FALSE)</f>
        <v>EDU</v>
      </c>
      <c r="H244" s="33" t="s">
        <v>1311</v>
      </c>
      <c r="I244" s="80">
        <v>4</v>
      </c>
      <c r="J244" s="39">
        <v>834</v>
      </c>
      <c r="K244" s="41">
        <f>tabPontoPed[[#This Row],[QTDMÊS]] * tabPontoPed[[#This Row],[MENSAL]]</f>
        <v>3336</v>
      </c>
      <c r="L244" s="83"/>
      <c r="M244" s="81"/>
      <c r="N244" s="34" t="s">
        <v>1009</v>
      </c>
      <c r="O244" s="76" t="s">
        <v>1718</v>
      </c>
      <c r="P244" s="77">
        <v>0</v>
      </c>
      <c r="Q244" s="57">
        <v>346</v>
      </c>
      <c r="R244" s="42">
        <v>304</v>
      </c>
      <c r="S244" s="69" t="str">
        <f>_xlfn.IFNA(IF(VLOOKUP(tabPontoPed[[#This Row],[CÓDIGO]],tabExcluirDoEstoque[#Data],1,FALSE),"sim",""),"")</f>
        <v/>
      </c>
      <c r="T244" s="43">
        <f>IF(AND(tabPontoPed[[#This Row],[MENSAL]]&gt;0,tabPontoPed[[#This Row],[CÁLCULO]]&gt;0), ABS( tabPontoPed[[#This Row],[MENSAL]] - tabPontoPed[[#This Row],[CÁLCULO]] ) / tabPontoPed[[#This Row],[MENSAL]], -1 )</f>
        <v>0.63549160671462834</v>
      </c>
      <c r="U244" s="58">
        <v>643</v>
      </c>
      <c r="V244" s="35">
        <f>IF(AND(tabPontoPed[[#This Row],[MENSAL]]&gt;0,tabPontoPed[[#This Row],[CÁLCULO]]&gt;0), IF( tabPontoPed[[#This Row],[MENSAL]] - tabPontoPed[[#This Row],[CÁLCULO]] &lt; 0, -1, IF( tabPontoPed[[#This Row],[MENSAL]] - tabPontoPed[[#This Row],[CÁLCULO]] &gt; 0, 1, -8)), -9 )</f>
        <v>1</v>
      </c>
      <c r="W244" s="35"/>
      <c r="X244" s="49" t="s">
        <v>1564</v>
      </c>
      <c r="Y244" s="51">
        <v>44391.599108796298</v>
      </c>
      <c r="Z244" s="72">
        <f>tabPontoPed[CÁLC_4M] - tabPontoPed[CÁLCULO]</f>
        <v>42</v>
      </c>
      <c r="AA244" s="79" t="str">
        <f>IF(tabPontoPed[MENSAL]-tabPontoPed[ATA MENSAL] = 0,"sim","")</f>
        <v/>
      </c>
      <c r="AB244" s="79" t="s">
        <v>1614</v>
      </c>
      <c r="AC244" s="47" t="str">
        <f t="shared" si="3"/>
        <v>*</v>
      </c>
    </row>
    <row r="245" spans="1:29" x14ac:dyDescent="0.25">
      <c r="A245" s="36">
        <v>106376</v>
      </c>
      <c r="B245" s="68" t="s">
        <v>526</v>
      </c>
      <c r="C245" s="33" t="s">
        <v>1317</v>
      </c>
      <c r="D245" s="32">
        <v>51</v>
      </c>
      <c r="E245" s="37">
        <v>17</v>
      </c>
      <c r="F245" s="38" t="str">
        <f>VLOOKUP(tabPontoPed[[#This Row],[GRUPO]],tabGrupos[#Data],2,FALSE)</f>
        <v>MAT.E EQUIP. P/ CONSTR.CIVIL E CONSERV. DE VIAS PUBL.</v>
      </c>
      <c r="G245" s="32" t="str">
        <f>VLOOKUP(tabPontoPed[[#This Row],[GRUPO]],tabGrupos[#Data],3,FALSE)</f>
        <v>MCO</v>
      </c>
      <c r="H245" s="33" t="s">
        <v>1311</v>
      </c>
      <c r="I245" s="80">
        <v>4</v>
      </c>
      <c r="J245" s="39">
        <v>293</v>
      </c>
      <c r="K245" s="41">
        <f>tabPontoPed[[#This Row],[QTDMÊS]] * tabPontoPed[[#This Row],[MENSAL]]</f>
        <v>1172</v>
      </c>
      <c r="L245" s="83"/>
      <c r="M245" s="81"/>
      <c r="N245" s="34" t="s">
        <v>1009</v>
      </c>
      <c r="O245" s="76" t="s">
        <v>1689</v>
      </c>
      <c r="P245" s="77">
        <v>0</v>
      </c>
      <c r="Q245" s="57">
        <v>112</v>
      </c>
      <c r="R245" s="42">
        <v>107</v>
      </c>
      <c r="S245" s="69" t="str">
        <f>_xlfn.IFNA(IF(VLOOKUP(tabPontoPed[[#This Row],[CÓDIGO]],tabExcluirDoEstoque[#Data],1,FALSE),"sim",""),"")</f>
        <v/>
      </c>
      <c r="T245" s="43">
        <f>IF(AND(tabPontoPed[[#This Row],[MENSAL]]&gt;0,tabPontoPed[[#This Row],[CÁLCULO]]&gt;0), ABS( tabPontoPed[[#This Row],[MENSAL]] - tabPontoPed[[#This Row],[CÁLCULO]] ) / tabPontoPed[[#This Row],[MENSAL]], -1 )</f>
        <v>0.6348122866894198</v>
      </c>
      <c r="U245" s="58">
        <v>240</v>
      </c>
      <c r="V245" s="35">
        <f>IF(AND(tabPontoPed[[#This Row],[MENSAL]]&gt;0,tabPontoPed[[#This Row],[CÁLCULO]]&gt;0), IF( tabPontoPed[[#This Row],[MENSAL]] - tabPontoPed[[#This Row],[CÁLCULO]] &lt; 0, -1, IF( tabPontoPed[[#This Row],[MENSAL]] - tabPontoPed[[#This Row],[CÁLCULO]] &gt; 0, 1, -8)), -9 )</f>
        <v>1</v>
      </c>
      <c r="W245" s="35"/>
      <c r="X245" s="49" t="s">
        <v>1564</v>
      </c>
      <c r="Y245" s="51">
        <v>44391.599108796298</v>
      </c>
      <c r="Z245" s="72">
        <f>tabPontoPed[CÁLC_4M] - tabPontoPed[CÁLCULO]</f>
        <v>5</v>
      </c>
      <c r="AA245" s="79" t="str">
        <f>IF(tabPontoPed[MENSAL]-tabPontoPed[ATA MENSAL] = 0,"sim","")</f>
        <v/>
      </c>
      <c r="AB245" s="79"/>
      <c r="AC245" s="47" t="str">
        <f t="shared" si="3"/>
        <v>*</v>
      </c>
    </row>
    <row r="246" spans="1:29" x14ac:dyDescent="0.25">
      <c r="A246" s="36">
        <v>136273</v>
      </c>
      <c r="B246" s="68" t="s">
        <v>1298</v>
      </c>
      <c r="C246" s="33" t="s">
        <v>1317</v>
      </c>
      <c r="D246" s="32">
        <v>51</v>
      </c>
      <c r="E246" s="37">
        <v>11</v>
      </c>
      <c r="F246" s="38" t="str">
        <f>VLOOKUP(tabPontoPed[[#This Row],[GRUPO]],tabGrupos[#Data],2,FALSE)</f>
        <v>MAT.E EQUIP. P/ CONSTR.CIVIL E CONSERV. DE VIAS PUBL.</v>
      </c>
      <c r="G246" s="32" t="str">
        <f>VLOOKUP(tabPontoPed[[#This Row],[GRUPO]],tabGrupos[#Data],3,FALSE)</f>
        <v>MCO</v>
      </c>
      <c r="H246" s="33" t="s">
        <v>1311</v>
      </c>
      <c r="I246" s="80">
        <v>4</v>
      </c>
      <c r="J246" s="39">
        <v>155</v>
      </c>
      <c r="K246" s="41">
        <f>tabPontoPed[[#This Row],[QTDMÊS]] * tabPontoPed[[#This Row],[MENSAL]]</f>
        <v>620</v>
      </c>
      <c r="L246" s="83"/>
      <c r="M246" s="81"/>
      <c r="N246" s="34" t="s">
        <v>1009</v>
      </c>
      <c r="O246" s="76" t="s">
        <v>1675</v>
      </c>
      <c r="P246" s="77">
        <v>0</v>
      </c>
      <c r="Q246" s="57">
        <v>84</v>
      </c>
      <c r="R246" s="42">
        <v>57</v>
      </c>
      <c r="S246" s="69" t="str">
        <f>_xlfn.IFNA(IF(VLOOKUP(tabPontoPed[[#This Row],[CÓDIGO]],tabExcluirDoEstoque[#Data],1,FALSE),"sim",""),"")</f>
        <v/>
      </c>
      <c r="T246" s="43">
        <f>IF(AND(tabPontoPed[[#This Row],[MENSAL]]&gt;0,tabPontoPed[[#This Row],[CÁLCULO]]&gt;0), ABS( tabPontoPed[[#This Row],[MENSAL]] - tabPontoPed[[#This Row],[CÁLCULO]] ) / tabPontoPed[[#This Row],[MENSAL]], -1 )</f>
        <v>0.63225806451612898</v>
      </c>
      <c r="U246" s="58">
        <v>300</v>
      </c>
      <c r="V246" s="35">
        <f>IF(AND(tabPontoPed[[#This Row],[MENSAL]]&gt;0,tabPontoPed[[#This Row],[CÁLCULO]]&gt;0), IF( tabPontoPed[[#This Row],[MENSAL]] - tabPontoPed[[#This Row],[CÁLCULO]] &lt; 0, -1, IF( tabPontoPed[[#This Row],[MENSAL]] - tabPontoPed[[#This Row],[CÁLCULO]] &gt; 0, 1, -8)), -9 )</f>
        <v>1</v>
      </c>
      <c r="W246" s="35"/>
      <c r="X246" s="49" t="s">
        <v>1564</v>
      </c>
      <c r="Y246" s="51">
        <v>44391.599108796298</v>
      </c>
      <c r="Z246" s="72">
        <f>tabPontoPed[CÁLC_4M] - tabPontoPed[CÁLCULO]</f>
        <v>27</v>
      </c>
      <c r="AA246" s="79" t="str">
        <f>IF(tabPontoPed[MENSAL]-tabPontoPed[ATA MENSAL] = 0,"sim","")</f>
        <v/>
      </c>
      <c r="AB246" s="79"/>
      <c r="AC246" s="47" t="str">
        <f t="shared" si="3"/>
        <v>*</v>
      </c>
    </row>
    <row r="247" spans="1:29" x14ac:dyDescent="0.25">
      <c r="A247" s="36">
        <v>13180</v>
      </c>
      <c r="B247" s="68" t="s">
        <v>511</v>
      </c>
      <c r="C247" s="33" t="s">
        <v>1317</v>
      </c>
      <c r="D247" s="32">
        <v>51</v>
      </c>
      <c r="E247" s="37">
        <v>12</v>
      </c>
      <c r="F247" s="38" t="str">
        <f>VLOOKUP(tabPontoPed[[#This Row],[GRUPO]],tabGrupos[#Data],2,FALSE)</f>
        <v>MAT.E EQUIP. P/ CONSTR.CIVIL E CONSERV. DE VIAS PUBL.</v>
      </c>
      <c r="G247" s="32" t="str">
        <f>VLOOKUP(tabPontoPed[[#This Row],[GRUPO]],tabGrupos[#Data],3,FALSE)</f>
        <v>MCO</v>
      </c>
      <c r="H247" s="33" t="s">
        <v>1311</v>
      </c>
      <c r="I247" s="80">
        <v>4</v>
      </c>
      <c r="J247" s="39">
        <v>43</v>
      </c>
      <c r="K247" s="41">
        <f>tabPontoPed[[#This Row],[QTDMÊS]] * tabPontoPed[[#This Row],[MENSAL]]</f>
        <v>172</v>
      </c>
      <c r="L247" s="83"/>
      <c r="M247" s="81"/>
      <c r="N247" s="34" t="s">
        <v>1009</v>
      </c>
      <c r="O247" s="76" t="s">
        <v>1695</v>
      </c>
      <c r="P247" s="77">
        <v>0</v>
      </c>
      <c r="Q247" s="57">
        <v>16</v>
      </c>
      <c r="R247" s="42">
        <v>16</v>
      </c>
      <c r="S247" s="69" t="str">
        <f>_xlfn.IFNA(IF(VLOOKUP(tabPontoPed[[#This Row],[CÓDIGO]],tabExcluirDoEstoque[#Data],1,FALSE),"sim",""),"")</f>
        <v/>
      </c>
      <c r="T247" s="43">
        <f>IF(AND(tabPontoPed[[#This Row],[MENSAL]]&gt;0,tabPontoPed[[#This Row],[CÁLCULO]]&gt;0), ABS( tabPontoPed[[#This Row],[MENSAL]] - tabPontoPed[[#This Row],[CÁLCULO]] ) / tabPontoPed[[#This Row],[MENSAL]], -1 )</f>
        <v>0.62790697674418605</v>
      </c>
      <c r="U247" s="58">
        <v>41</v>
      </c>
      <c r="V247" s="35">
        <f>IF(AND(tabPontoPed[[#This Row],[MENSAL]]&gt;0,tabPontoPed[[#This Row],[CÁLCULO]]&gt;0), IF( tabPontoPed[[#This Row],[MENSAL]] - tabPontoPed[[#This Row],[CÁLCULO]] &lt; 0, -1, IF( tabPontoPed[[#This Row],[MENSAL]] - tabPontoPed[[#This Row],[CÁLCULO]] &gt; 0, 1, -8)), -9 )</f>
        <v>1</v>
      </c>
      <c r="W247" s="35"/>
      <c r="X247" s="48" t="s">
        <v>1564</v>
      </c>
      <c r="Y247" s="53">
        <v>44391.599108796298</v>
      </c>
      <c r="Z247" s="72">
        <f>tabPontoPed[CÁLC_4M] - tabPontoPed[CÁLCULO]</f>
        <v>0</v>
      </c>
      <c r="AA247" s="79" t="str">
        <f>IF(tabPontoPed[MENSAL]-tabPontoPed[ATA MENSAL] = 0,"sim","")</f>
        <v/>
      </c>
      <c r="AB247" s="79"/>
      <c r="AC247" s="47" t="str">
        <f t="shared" si="3"/>
        <v>*</v>
      </c>
    </row>
    <row r="248" spans="1:29" x14ac:dyDescent="0.25">
      <c r="A248" s="36">
        <v>32933</v>
      </c>
      <c r="B248" s="68" t="s">
        <v>91</v>
      </c>
      <c r="C248" s="33" t="s">
        <v>1317</v>
      </c>
      <c r="D248" s="32">
        <v>57</v>
      </c>
      <c r="E248" s="37">
        <v>16</v>
      </c>
      <c r="F248" s="38" t="str">
        <f>VLOOKUP(tabPontoPed[[#This Row],[GRUPO]],tabGrupos[#Data],2,FALSE)</f>
        <v>MAQ. E EQUIP. P/ IND. GRAFICA COMP. ACESS. E PAPEI</v>
      </c>
      <c r="G248" s="32" t="str">
        <f>VLOOKUP(tabPontoPed[[#This Row],[GRUPO]],tabGrupos[#Data],3,FALSE)</f>
        <v>EDU</v>
      </c>
      <c r="H248" s="33" t="s">
        <v>1311</v>
      </c>
      <c r="I248" s="80">
        <v>4</v>
      </c>
      <c r="J248" s="39">
        <v>2084</v>
      </c>
      <c r="K248" s="41">
        <f>tabPontoPed[[#This Row],[QTDMÊS]] * tabPontoPed[[#This Row],[MENSAL]]</f>
        <v>8336</v>
      </c>
      <c r="L248" s="83"/>
      <c r="M248" s="81"/>
      <c r="N248" s="34" t="s">
        <v>1009</v>
      </c>
      <c r="O248" s="76" t="s">
        <v>1718</v>
      </c>
      <c r="P248" s="77">
        <v>0</v>
      </c>
      <c r="Q248" s="57">
        <v>954</v>
      </c>
      <c r="R248" s="42">
        <v>778</v>
      </c>
      <c r="S248" s="69" t="str">
        <f>_xlfn.IFNA(IF(VLOOKUP(tabPontoPed[[#This Row],[CÓDIGO]],tabExcluirDoEstoque[#Data],1,FALSE),"sim",""),"")</f>
        <v/>
      </c>
      <c r="T248" s="43">
        <f>IF(AND(tabPontoPed[[#This Row],[MENSAL]]&gt;0,tabPontoPed[[#This Row],[CÁLCULO]]&gt;0), ABS( tabPontoPed[[#This Row],[MENSAL]] - tabPontoPed[[#This Row],[CÁLCULO]] ) / tabPontoPed[[#This Row],[MENSAL]], -1 )</f>
        <v>0.62667946257197693</v>
      </c>
      <c r="U248" s="58">
        <v>1500</v>
      </c>
      <c r="V248" s="35">
        <f>IF(AND(tabPontoPed[[#This Row],[MENSAL]]&gt;0,tabPontoPed[[#This Row],[CÁLCULO]]&gt;0), IF( tabPontoPed[[#This Row],[MENSAL]] - tabPontoPed[[#This Row],[CÁLCULO]] &lt; 0, -1, IF( tabPontoPed[[#This Row],[MENSAL]] - tabPontoPed[[#This Row],[CÁLCULO]] &gt; 0, 1, -8)), -9 )</f>
        <v>1</v>
      </c>
      <c r="W248" s="35"/>
      <c r="X248" s="49" t="s">
        <v>1564</v>
      </c>
      <c r="Y248" s="51">
        <v>44391.599108796298</v>
      </c>
      <c r="Z248" s="72">
        <f>tabPontoPed[CÁLC_4M] - tabPontoPed[CÁLCULO]</f>
        <v>176</v>
      </c>
      <c r="AA248" s="79" t="str">
        <f>IF(tabPontoPed[MENSAL]-tabPontoPed[ATA MENSAL] = 0,"sim","")</f>
        <v/>
      </c>
      <c r="AB248" s="79" t="s">
        <v>1614</v>
      </c>
      <c r="AC248" s="47" t="str">
        <f t="shared" si="3"/>
        <v>*</v>
      </c>
    </row>
    <row r="249" spans="1:29" x14ac:dyDescent="0.25">
      <c r="A249" s="36">
        <v>23846</v>
      </c>
      <c r="B249" s="68" t="s">
        <v>89</v>
      </c>
      <c r="C249" s="33" t="s">
        <v>1317</v>
      </c>
      <c r="D249" s="32">
        <v>57</v>
      </c>
      <c r="E249" s="37">
        <v>16</v>
      </c>
      <c r="F249" s="38" t="str">
        <f>VLOOKUP(tabPontoPed[[#This Row],[GRUPO]],tabGrupos[#Data],2,FALSE)</f>
        <v>MAQ. E EQUIP. P/ IND. GRAFICA COMP. ACESS. E PAPEI</v>
      </c>
      <c r="G249" s="32" t="str">
        <f>VLOOKUP(tabPontoPed[[#This Row],[GRUPO]],tabGrupos[#Data],3,FALSE)</f>
        <v>EDU</v>
      </c>
      <c r="H249" s="33" t="s">
        <v>1311</v>
      </c>
      <c r="I249" s="80">
        <v>4</v>
      </c>
      <c r="J249" s="39">
        <v>2084</v>
      </c>
      <c r="K249" s="41">
        <f>tabPontoPed[[#This Row],[QTDMÊS]] * tabPontoPed[[#This Row],[MENSAL]]</f>
        <v>8336</v>
      </c>
      <c r="L249" s="83"/>
      <c r="M249" s="81"/>
      <c r="N249" s="34" t="s">
        <v>1009</v>
      </c>
      <c r="O249" s="76" t="s">
        <v>1718</v>
      </c>
      <c r="P249" s="77">
        <v>0</v>
      </c>
      <c r="Q249" s="57">
        <v>962</v>
      </c>
      <c r="R249" s="42">
        <v>779</v>
      </c>
      <c r="S249" s="69" t="str">
        <f>_xlfn.IFNA(IF(VLOOKUP(tabPontoPed[[#This Row],[CÓDIGO]],tabExcluirDoEstoque[#Data],1,FALSE),"sim",""),"")</f>
        <v/>
      </c>
      <c r="T249" s="43">
        <f>IF(AND(tabPontoPed[[#This Row],[MENSAL]]&gt;0,tabPontoPed[[#This Row],[CÁLCULO]]&gt;0), ABS( tabPontoPed[[#This Row],[MENSAL]] - tabPontoPed[[#This Row],[CÁLCULO]] ) / tabPontoPed[[#This Row],[MENSAL]], -1 )</f>
        <v>0.6261996161228407</v>
      </c>
      <c r="U249" s="58">
        <v>1522</v>
      </c>
      <c r="V249" s="35">
        <f>IF(AND(tabPontoPed[[#This Row],[MENSAL]]&gt;0,tabPontoPed[[#This Row],[CÁLCULO]]&gt;0), IF( tabPontoPed[[#This Row],[MENSAL]] - tabPontoPed[[#This Row],[CÁLCULO]] &lt; 0, -1, IF( tabPontoPed[[#This Row],[MENSAL]] - tabPontoPed[[#This Row],[CÁLCULO]] &gt; 0, 1, -8)), -9 )</f>
        <v>1</v>
      </c>
      <c r="W249" s="35"/>
      <c r="X249" s="49" t="s">
        <v>1564</v>
      </c>
      <c r="Y249" s="51">
        <v>44391.599108796298</v>
      </c>
      <c r="Z249" s="72">
        <f>tabPontoPed[CÁLC_4M] - tabPontoPed[CÁLCULO]</f>
        <v>183</v>
      </c>
      <c r="AA249" s="79" t="str">
        <f>IF(tabPontoPed[MENSAL]-tabPontoPed[ATA MENSAL] = 0,"sim","")</f>
        <v/>
      </c>
      <c r="AB249" s="79" t="s">
        <v>1614</v>
      </c>
      <c r="AC249" s="47" t="str">
        <f t="shared" si="3"/>
        <v>*</v>
      </c>
    </row>
    <row r="250" spans="1:29" x14ac:dyDescent="0.25">
      <c r="A250" s="36">
        <v>105293</v>
      </c>
      <c r="B250" s="68" t="s">
        <v>508</v>
      </c>
      <c r="C250" s="33" t="s">
        <v>1317</v>
      </c>
      <c r="D250" s="32">
        <v>51</v>
      </c>
      <c r="E250" s="37">
        <v>11</v>
      </c>
      <c r="F250" s="38" t="str">
        <f>VLOOKUP(tabPontoPed[[#This Row],[GRUPO]],tabGrupos[#Data],2,FALSE)</f>
        <v>MAT.E EQUIP. P/ CONSTR.CIVIL E CONSERV. DE VIAS PUBL.</v>
      </c>
      <c r="G250" s="32" t="str">
        <f>VLOOKUP(tabPontoPed[[#This Row],[GRUPO]],tabGrupos[#Data],3,FALSE)</f>
        <v>MCO</v>
      </c>
      <c r="H250" s="33" t="s">
        <v>1311</v>
      </c>
      <c r="I250" s="80">
        <v>4</v>
      </c>
      <c r="J250" s="39">
        <v>163</v>
      </c>
      <c r="K250" s="41">
        <f>tabPontoPed[[#This Row],[QTDMÊS]] * tabPontoPed[[#This Row],[MENSAL]]</f>
        <v>652</v>
      </c>
      <c r="L250" s="83"/>
      <c r="M250" s="81"/>
      <c r="N250" s="34" t="s">
        <v>1009</v>
      </c>
      <c r="O250" s="76" t="s">
        <v>1675</v>
      </c>
      <c r="P250" s="77">
        <v>0</v>
      </c>
      <c r="Q250" s="57">
        <v>52</v>
      </c>
      <c r="R250" s="42">
        <v>61</v>
      </c>
      <c r="S250" s="69" t="str">
        <f>_xlfn.IFNA(IF(VLOOKUP(tabPontoPed[[#This Row],[CÓDIGO]],tabExcluirDoEstoque[#Data],1,FALSE),"sim",""),"")</f>
        <v/>
      </c>
      <c r="T250" s="43">
        <f>IF(AND(tabPontoPed[[#This Row],[MENSAL]]&gt;0,tabPontoPed[[#This Row],[CÁLCULO]]&gt;0), ABS( tabPontoPed[[#This Row],[MENSAL]] - tabPontoPed[[#This Row],[CÁLCULO]] ) / tabPontoPed[[#This Row],[MENSAL]], -1 )</f>
        <v>0.62576687116564422</v>
      </c>
      <c r="U250" s="58">
        <v>300</v>
      </c>
      <c r="V250" s="35">
        <f>IF(AND(tabPontoPed[[#This Row],[MENSAL]]&gt;0,tabPontoPed[[#This Row],[CÁLCULO]]&gt;0), IF( tabPontoPed[[#This Row],[MENSAL]] - tabPontoPed[[#This Row],[CÁLCULO]] &lt; 0, -1, IF( tabPontoPed[[#This Row],[MENSAL]] - tabPontoPed[[#This Row],[CÁLCULO]] &gt; 0, 1, -8)), -9 )</f>
        <v>1</v>
      </c>
      <c r="W250" s="35"/>
      <c r="X250" s="49" t="s">
        <v>1564</v>
      </c>
      <c r="Y250" s="51">
        <v>44391.599108796298</v>
      </c>
      <c r="Z250" s="72">
        <f>tabPontoPed[CÁLC_4M] - tabPontoPed[CÁLCULO]</f>
        <v>-9</v>
      </c>
      <c r="AA250" s="79" t="str">
        <f>IF(tabPontoPed[MENSAL]-tabPontoPed[ATA MENSAL] = 0,"sim","")</f>
        <v/>
      </c>
      <c r="AB250" s="79"/>
      <c r="AC250" s="47" t="str">
        <f t="shared" si="3"/>
        <v>*</v>
      </c>
    </row>
    <row r="251" spans="1:29" x14ac:dyDescent="0.25">
      <c r="A251" s="36">
        <v>67375</v>
      </c>
      <c r="B251" s="68" t="s">
        <v>1519</v>
      </c>
      <c r="C251" s="33">
        <v>1</v>
      </c>
      <c r="D251" s="32">
        <v>51</v>
      </c>
      <c r="E251" s="37">
        <v>17</v>
      </c>
      <c r="F251" s="38" t="str">
        <f>VLOOKUP(tabPontoPed[[#This Row],[GRUPO]],tabGrupos[#Data],2,FALSE)</f>
        <v>MAT.E EQUIP. P/ CONSTR.CIVIL E CONSERV. DE VIAS PUBL.</v>
      </c>
      <c r="G251" s="32" t="str">
        <f>VLOOKUP(tabPontoPed[[#This Row],[GRUPO]],tabGrupos[#Data],3,FALSE)</f>
        <v>MCO</v>
      </c>
      <c r="H251" s="33" t="s">
        <v>1311</v>
      </c>
      <c r="I251" s="80">
        <v>4</v>
      </c>
      <c r="J251" s="39">
        <v>8</v>
      </c>
      <c r="K251" s="41">
        <f>tabPontoPed[[#This Row],[QTDMÊS]] * tabPontoPed[[#This Row],[MENSAL]]</f>
        <v>32</v>
      </c>
      <c r="L251" s="83"/>
      <c r="M251" s="81"/>
      <c r="N251" s="34" t="s">
        <v>1009</v>
      </c>
      <c r="O251" s="76" t="s">
        <v>1689</v>
      </c>
      <c r="P251" s="77">
        <v>0</v>
      </c>
      <c r="Q251" s="57">
        <v>6</v>
      </c>
      <c r="R251" s="42">
        <v>3</v>
      </c>
      <c r="S251" s="69" t="str">
        <f>_xlfn.IFNA(IF(VLOOKUP(tabPontoPed[[#This Row],[CÓDIGO]],tabExcluirDoEstoque[#Data],1,FALSE),"sim",""),"")</f>
        <v/>
      </c>
      <c r="T251" s="43">
        <f>IF(AND(tabPontoPed[[#This Row],[MENSAL]]&gt;0,tabPontoPed[[#This Row],[CÁLCULO]]&gt;0), ABS( tabPontoPed[[#This Row],[MENSAL]] - tabPontoPed[[#This Row],[CÁLCULO]] ) / tabPontoPed[[#This Row],[MENSAL]], -1 )</f>
        <v>0.625</v>
      </c>
      <c r="U251" s="58">
        <v>22</v>
      </c>
      <c r="V251" s="35">
        <f>IF(AND(tabPontoPed[[#This Row],[MENSAL]]&gt;0,tabPontoPed[[#This Row],[CÁLCULO]]&gt;0), IF( tabPontoPed[[#This Row],[MENSAL]] - tabPontoPed[[#This Row],[CÁLCULO]] &lt; 0, -1, IF( tabPontoPed[[#This Row],[MENSAL]] - tabPontoPed[[#This Row],[CÁLCULO]] &gt; 0, 1, -8)), -9 )</f>
        <v>1</v>
      </c>
      <c r="W251" s="35"/>
      <c r="X251" s="49" t="s">
        <v>1564</v>
      </c>
      <c r="Y251" s="51">
        <v>44391.599108796298</v>
      </c>
      <c r="Z251" s="72">
        <f>tabPontoPed[CÁLC_4M] - tabPontoPed[CÁLCULO]</f>
        <v>3</v>
      </c>
      <c r="AA251" s="79" t="str">
        <f>IF(tabPontoPed[MENSAL]-tabPontoPed[ATA MENSAL] = 0,"sim","")</f>
        <v/>
      </c>
      <c r="AB251" s="79"/>
      <c r="AC251" s="47" t="str">
        <f t="shared" si="3"/>
        <v>*</v>
      </c>
    </row>
    <row r="252" spans="1:29" x14ac:dyDescent="0.25">
      <c r="A252" s="36">
        <v>12992</v>
      </c>
      <c r="B252" s="68" t="s">
        <v>102</v>
      </c>
      <c r="C252" s="33" t="s">
        <v>1317</v>
      </c>
      <c r="D252" s="32">
        <v>55</v>
      </c>
      <c r="E252" s="37">
        <v>7</v>
      </c>
      <c r="F252" s="38" t="str">
        <f>VLOOKUP(tabPontoPed[[#This Row],[GRUPO]],tabGrupos[#Data],2,FALSE)</f>
        <v>EQUIP. MAT. P/ GERACAO, TRANSM. DISTR. RETIF...</v>
      </c>
      <c r="G252" s="32" t="str">
        <f>VLOOKUP(tabPontoPed[[#This Row],[GRUPO]],tabGrupos[#Data],3,FALSE)</f>
        <v>MEL</v>
      </c>
      <c r="H252" s="33" t="s">
        <v>1311</v>
      </c>
      <c r="I252" s="80">
        <v>4</v>
      </c>
      <c r="J252" s="39">
        <v>8</v>
      </c>
      <c r="K252" s="41">
        <f>tabPontoPed[[#This Row],[QTDMÊS]] * tabPontoPed[[#This Row],[MENSAL]]</f>
        <v>32</v>
      </c>
      <c r="L252" s="83"/>
      <c r="M252" s="81"/>
      <c r="N252" s="34" t="s">
        <v>1009</v>
      </c>
      <c r="O252" s="76" t="s">
        <v>1676</v>
      </c>
      <c r="P252" s="77">
        <v>0</v>
      </c>
      <c r="Q252" s="57">
        <v>3</v>
      </c>
      <c r="R252" s="42">
        <v>3</v>
      </c>
      <c r="S252" s="69" t="str">
        <f>_xlfn.IFNA(IF(VLOOKUP(tabPontoPed[[#This Row],[CÓDIGO]],tabExcluirDoEstoque[#Data],1,FALSE),"sim",""),"")</f>
        <v/>
      </c>
      <c r="T252" s="43">
        <f>IF(AND(tabPontoPed[[#This Row],[MENSAL]]&gt;0,tabPontoPed[[#This Row],[CÁLCULO]]&gt;0), ABS( tabPontoPed[[#This Row],[MENSAL]] - tabPontoPed[[#This Row],[CÁLCULO]] ) / tabPontoPed[[#This Row],[MENSAL]], -1 )</f>
        <v>0.625</v>
      </c>
      <c r="U252" s="58">
        <v>7</v>
      </c>
      <c r="V252" s="35">
        <f>IF(AND(tabPontoPed[[#This Row],[MENSAL]]&gt;0,tabPontoPed[[#This Row],[CÁLCULO]]&gt;0), IF( tabPontoPed[[#This Row],[MENSAL]] - tabPontoPed[[#This Row],[CÁLCULO]] &lt; 0, -1, IF( tabPontoPed[[#This Row],[MENSAL]] - tabPontoPed[[#This Row],[CÁLCULO]] &gt; 0, 1, -8)), -9 )</f>
        <v>1</v>
      </c>
      <c r="W252" s="35"/>
      <c r="X252" s="49" t="s">
        <v>1564</v>
      </c>
      <c r="Y252" s="51">
        <v>44391.599108796298</v>
      </c>
      <c r="Z252" s="72">
        <f>tabPontoPed[CÁLC_4M] - tabPontoPed[CÁLCULO]</f>
        <v>0</v>
      </c>
      <c r="AA252" s="79" t="str">
        <f>IF(tabPontoPed[MENSAL]-tabPontoPed[ATA MENSAL] = 0,"sim","")</f>
        <v/>
      </c>
      <c r="AB252" s="79"/>
      <c r="AC252" s="47" t="str">
        <f t="shared" si="3"/>
        <v>*</v>
      </c>
    </row>
    <row r="253" spans="1:29" x14ac:dyDescent="0.25">
      <c r="A253" s="36">
        <v>133846</v>
      </c>
      <c r="B253" s="68" t="s">
        <v>79</v>
      </c>
      <c r="C253" s="33" t="s">
        <v>1317</v>
      </c>
      <c r="D253" s="32">
        <v>57</v>
      </c>
      <c r="E253" s="37">
        <v>16</v>
      </c>
      <c r="F253" s="38" t="str">
        <f>VLOOKUP(tabPontoPed[[#This Row],[GRUPO]],tabGrupos[#Data],2,FALSE)</f>
        <v>MAQ. E EQUIP. P/ IND. GRAFICA COMP. ACESS. E PAPEI</v>
      </c>
      <c r="G253" s="32" t="str">
        <f>VLOOKUP(tabPontoPed[[#This Row],[GRUPO]],tabGrupos[#Data],3,FALSE)</f>
        <v>EDU</v>
      </c>
      <c r="H253" s="33" t="s">
        <v>1311</v>
      </c>
      <c r="I253" s="80">
        <v>4</v>
      </c>
      <c r="J253" s="39">
        <v>2084</v>
      </c>
      <c r="K253" s="41">
        <f>tabPontoPed[[#This Row],[QTDMÊS]] * tabPontoPed[[#This Row],[MENSAL]]</f>
        <v>8336</v>
      </c>
      <c r="L253" s="83"/>
      <c r="M253" s="81"/>
      <c r="N253" s="34" t="s">
        <v>1009</v>
      </c>
      <c r="O253" s="76" t="s">
        <v>1718</v>
      </c>
      <c r="P253" s="77">
        <v>0</v>
      </c>
      <c r="Q253" s="57">
        <v>873</v>
      </c>
      <c r="R253" s="42">
        <v>789</v>
      </c>
      <c r="S253" s="69" t="str">
        <f>_xlfn.IFNA(IF(VLOOKUP(tabPontoPed[[#This Row],[CÓDIGO]],tabExcluirDoEstoque[#Data],1,FALSE),"sim",""),"")</f>
        <v/>
      </c>
      <c r="T253" s="43">
        <f>IF(AND(tabPontoPed[[#This Row],[MENSAL]]&gt;0,tabPontoPed[[#This Row],[CÁLCULO]]&gt;0), ABS( tabPontoPed[[#This Row],[MENSAL]] - tabPontoPed[[#This Row],[CÁLCULO]] ) / tabPontoPed[[#This Row],[MENSAL]], -1 )</f>
        <v>0.62140115163147791</v>
      </c>
      <c r="U253" s="58">
        <v>1618</v>
      </c>
      <c r="V253" s="35">
        <f>IF(AND(tabPontoPed[[#This Row],[MENSAL]]&gt;0,tabPontoPed[[#This Row],[CÁLCULO]]&gt;0), IF( tabPontoPed[[#This Row],[MENSAL]] - tabPontoPed[[#This Row],[CÁLCULO]] &lt; 0, -1, IF( tabPontoPed[[#This Row],[MENSAL]] - tabPontoPed[[#This Row],[CÁLCULO]] &gt; 0, 1, -8)), -9 )</f>
        <v>1</v>
      </c>
      <c r="W253" s="35"/>
      <c r="X253" s="48" t="s">
        <v>1564</v>
      </c>
      <c r="Y253" s="53">
        <v>44391.599108796298</v>
      </c>
      <c r="Z253" s="72">
        <f>tabPontoPed[CÁLC_4M] - tabPontoPed[CÁLCULO]</f>
        <v>84</v>
      </c>
      <c r="AA253" s="79" t="str">
        <f>IF(tabPontoPed[MENSAL]-tabPontoPed[ATA MENSAL] = 0,"sim","")</f>
        <v/>
      </c>
      <c r="AB253" s="79" t="s">
        <v>1614</v>
      </c>
      <c r="AC253" s="47" t="str">
        <f t="shared" si="3"/>
        <v>*</v>
      </c>
    </row>
    <row r="254" spans="1:29" x14ac:dyDescent="0.25">
      <c r="A254" s="36">
        <v>20135</v>
      </c>
      <c r="B254" s="68" t="s">
        <v>872</v>
      </c>
      <c r="C254" s="33" t="s">
        <v>1317</v>
      </c>
      <c r="D254" s="32">
        <v>69</v>
      </c>
      <c r="E254" s="37">
        <v>1</v>
      </c>
      <c r="F254" s="38" t="str">
        <f>VLOOKUP(tabPontoPed[[#This Row],[GRUPO]],tabGrupos[#Data],2,FALSE)</f>
        <v>METAIS,LAMINAD.,PERFILADOS E ARTEFATOS METALICOS</v>
      </c>
      <c r="G254" s="32" t="str">
        <f>VLOOKUP(tabPontoPed[[#This Row],[GRUPO]],tabGrupos[#Data],3,FALSE)</f>
        <v>MSE</v>
      </c>
      <c r="H254" s="33" t="s">
        <v>1311</v>
      </c>
      <c r="I254" s="80">
        <v>4</v>
      </c>
      <c r="J254" s="39">
        <v>50</v>
      </c>
      <c r="K254" s="41">
        <f>tabPontoPed[[#This Row],[QTDMÊS]] * tabPontoPed[[#This Row],[MENSAL]]</f>
        <v>200</v>
      </c>
      <c r="L254" s="83"/>
      <c r="M254" s="81"/>
      <c r="N254" s="34" t="s">
        <v>1009</v>
      </c>
      <c r="O254" s="76" t="s">
        <v>1713</v>
      </c>
      <c r="P254" s="77">
        <v>0</v>
      </c>
      <c r="Q254" s="57">
        <v>18</v>
      </c>
      <c r="R254" s="42">
        <v>19</v>
      </c>
      <c r="S254" s="69" t="str">
        <f>_xlfn.IFNA(IF(VLOOKUP(tabPontoPed[[#This Row],[CÓDIGO]],tabExcluirDoEstoque[#Data],1,FALSE),"sim",""),"")</f>
        <v/>
      </c>
      <c r="T254" s="43">
        <f>IF(AND(tabPontoPed[[#This Row],[MENSAL]]&gt;0,tabPontoPed[[#This Row],[CÁLCULO]]&gt;0), ABS( tabPontoPed[[#This Row],[MENSAL]] - tabPontoPed[[#This Row],[CÁLCULO]] ) / tabPontoPed[[#This Row],[MENSAL]], -1 )</f>
        <v>0.62</v>
      </c>
      <c r="U254" s="58">
        <v>25</v>
      </c>
      <c r="V254" s="35">
        <f>IF(AND(tabPontoPed[[#This Row],[MENSAL]]&gt;0,tabPontoPed[[#This Row],[CÁLCULO]]&gt;0), IF( tabPontoPed[[#This Row],[MENSAL]] - tabPontoPed[[#This Row],[CÁLCULO]] &lt; 0, -1, IF( tabPontoPed[[#This Row],[MENSAL]] - tabPontoPed[[#This Row],[CÁLCULO]] &gt; 0, 1, -8)), -9 )</f>
        <v>1</v>
      </c>
      <c r="W254" s="35"/>
      <c r="X254" s="48" t="s">
        <v>1564</v>
      </c>
      <c r="Y254" s="53">
        <v>44391.599108796298</v>
      </c>
      <c r="Z254" s="72">
        <f>tabPontoPed[CÁLC_4M] - tabPontoPed[CÁLCULO]</f>
        <v>-1</v>
      </c>
      <c r="AA254" s="79" t="str">
        <f>IF(tabPontoPed[MENSAL]-tabPontoPed[ATA MENSAL] = 0,"sim","")</f>
        <v/>
      </c>
      <c r="AB254" s="79"/>
      <c r="AC254" s="47" t="str">
        <f t="shared" si="3"/>
        <v>*</v>
      </c>
    </row>
    <row r="255" spans="1:29" x14ac:dyDescent="0.25">
      <c r="A255" s="36">
        <v>102276</v>
      </c>
      <c r="B255" s="68" t="s">
        <v>339</v>
      </c>
      <c r="C255" s="33" t="s">
        <v>1317</v>
      </c>
      <c r="D255" s="32">
        <v>61</v>
      </c>
      <c r="E255" s="37">
        <v>3</v>
      </c>
      <c r="F255" s="38" t="str">
        <f>VLOOKUP(tabPontoPed[[#This Row],[GRUPO]],tabGrupos[#Data],2,FALSE)</f>
        <v>MATERIAL HIDRAULICO, CANOS, TUBOS, MANGUEIRAS, CONEXOES E ACESS.</v>
      </c>
      <c r="G255" s="32" t="str">
        <f>VLOOKUP(tabPontoPed[[#This Row],[GRUPO]],tabGrupos[#Data],3,FALSE)</f>
        <v>MHI</v>
      </c>
      <c r="H255" s="33" t="s">
        <v>1311</v>
      </c>
      <c r="I255" s="80">
        <v>4</v>
      </c>
      <c r="J255" s="39">
        <v>21</v>
      </c>
      <c r="K255" s="41">
        <f>tabPontoPed[[#This Row],[QTDMÊS]] * tabPontoPed[[#This Row],[MENSAL]]</f>
        <v>84</v>
      </c>
      <c r="L255" s="83"/>
      <c r="M255" s="81"/>
      <c r="N255" s="34" t="s">
        <v>1009</v>
      </c>
      <c r="O255" s="76" t="s">
        <v>1668</v>
      </c>
      <c r="P255" s="77">
        <v>0</v>
      </c>
      <c r="Q255" s="57">
        <v>17</v>
      </c>
      <c r="R255" s="42">
        <v>8</v>
      </c>
      <c r="S255" s="69" t="str">
        <f>_xlfn.IFNA(IF(VLOOKUP(tabPontoPed[[#This Row],[CÓDIGO]],tabExcluirDoEstoque[#Data],1,FALSE),"sim",""),"")</f>
        <v/>
      </c>
      <c r="T255" s="43">
        <f>IF(AND(tabPontoPed[[#This Row],[MENSAL]]&gt;0,tabPontoPed[[#This Row],[CÁLCULO]]&gt;0), ABS( tabPontoPed[[#This Row],[MENSAL]] - tabPontoPed[[#This Row],[CÁLCULO]] ) / tabPontoPed[[#This Row],[MENSAL]], -1 )</f>
        <v>0.61904761904761907</v>
      </c>
      <c r="U255" s="58">
        <v>36</v>
      </c>
      <c r="V255" s="35">
        <f>IF(AND(tabPontoPed[[#This Row],[MENSAL]]&gt;0,tabPontoPed[[#This Row],[CÁLCULO]]&gt;0), IF( tabPontoPed[[#This Row],[MENSAL]] - tabPontoPed[[#This Row],[CÁLCULO]] &lt; 0, -1, IF( tabPontoPed[[#This Row],[MENSAL]] - tabPontoPed[[#This Row],[CÁLCULO]] &gt; 0, 1, -8)), -9 )</f>
        <v>1</v>
      </c>
      <c r="W255" s="35"/>
      <c r="X255" s="49" t="s">
        <v>1564</v>
      </c>
      <c r="Y255" s="51">
        <v>44391.599108796298</v>
      </c>
      <c r="Z255" s="72">
        <f>tabPontoPed[CÁLC_4M] - tabPontoPed[CÁLCULO]</f>
        <v>9</v>
      </c>
      <c r="AA255" s="79" t="str">
        <f>IF(tabPontoPed[MENSAL]-tabPontoPed[ATA MENSAL] = 0,"sim","")</f>
        <v/>
      </c>
      <c r="AB255" s="79"/>
      <c r="AC255" s="47" t="str">
        <f t="shared" si="3"/>
        <v>*</v>
      </c>
    </row>
    <row r="256" spans="1:29" x14ac:dyDescent="0.25">
      <c r="A256" s="36">
        <v>12886</v>
      </c>
      <c r="B256" s="68" t="s">
        <v>734</v>
      </c>
      <c r="C256" s="33" t="s">
        <v>1317</v>
      </c>
      <c r="D256" s="32">
        <v>61</v>
      </c>
      <c r="E256" s="37">
        <v>8</v>
      </c>
      <c r="F256" s="38" t="str">
        <f>VLOOKUP(tabPontoPed[[#This Row],[GRUPO]],tabGrupos[#Data],2,FALSE)</f>
        <v>MATERIAL HIDRAULICO, CANOS, TUBOS, MANGUEIRAS, CONEXOES E ACESS.</v>
      </c>
      <c r="G256" s="32" t="str">
        <f>VLOOKUP(tabPontoPed[[#This Row],[GRUPO]],tabGrupos[#Data],3,FALSE)</f>
        <v>MHI</v>
      </c>
      <c r="H256" s="33" t="s">
        <v>1311</v>
      </c>
      <c r="I256" s="80">
        <v>4</v>
      </c>
      <c r="J256" s="39">
        <v>42</v>
      </c>
      <c r="K256" s="41">
        <f>tabPontoPed[[#This Row],[QTDMÊS]] * tabPontoPed[[#This Row],[MENSAL]]</f>
        <v>168</v>
      </c>
      <c r="L256" s="83"/>
      <c r="M256" s="81"/>
      <c r="N256" s="34" t="s">
        <v>1009</v>
      </c>
      <c r="O256" s="76" t="s">
        <v>1691</v>
      </c>
      <c r="P256" s="77">
        <v>0</v>
      </c>
      <c r="Q256" s="57">
        <v>13</v>
      </c>
      <c r="R256" s="42">
        <v>16</v>
      </c>
      <c r="S256" s="69" t="str">
        <f>_xlfn.IFNA(IF(VLOOKUP(tabPontoPed[[#This Row],[CÓDIGO]],tabExcluirDoEstoque[#Data],1,FALSE),"sim",""),"")</f>
        <v/>
      </c>
      <c r="T256" s="43">
        <f>IF(AND(tabPontoPed[[#This Row],[MENSAL]]&gt;0,tabPontoPed[[#This Row],[CÁLCULO]]&gt;0), ABS( tabPontoPed[[#This Row],[MENSAL]] - tabPontoPed[[#This Row],[CÁLCULO]] ) / tabPontoPed[[#This Row],[MENSAL]], -1 )</f>
        <v>0.61904761904761907</v>
      </c>
      <c r="U256" s="58">
        <v>49</v>
      </c>
      <c r="V256" s="35">
        <f>IF(AND(tabPontoPed[[#This Row],[MENSAL]]&gt;0,tabPontoPed[[#This Row],[CÁLCULO]]&gt;0), IF( tabPontoPed[[#This Row],[MENSAL]] - tabPontoPed[[#This Row],[CÁLCULO]] &lt; 0, -1, IF( tabPontoPed[[#This Row],[MENSAL]] - tabPontoPed[[#This Row],[CÁLCULO]] &gt; 0, 1, -8)), -9 )</f>
        <v>1</v>
      </c>
      <c r="W256" s="35"/>
      <c r="X256" s="49" t="s">
        <v>1564</v>
      </c>
      <c r="Y256" s="51">
        <v>44391.599108796298</v>
      </c>
      <c r="Z256" s="72">
        <f>tabPontoPed[CÁLC_4M] - tabPontoPed[CÁLCULO]</f>
        <v>-3</v>
      </c>
      <c r="AA256" s="79" t="str">
        <f>IF(tabPontoPed[MENSAL]-tabPontoPed[ATA MENSAL] = 0,"sim","")</f>
        <v/>
      </c>
      <c r="AB256" s="79" t="s">
        <v>1614</v>
      </c>
      <c r="AC256" s="47" t="str">
        <f t="shared" si="3"/>
        <v>*</v>
      </c>
    </row>
    <row r="257" spans="1:34" x14ac:dyDescent="0.25">
      <c r="A257" s="36">
        <v>29964</v>
      </c>
      <c r="B257" s="68" t="s">
        <v>73</v>
      </c>
      <c r="C257" s="33" t="s">
        <v>1317</v>
      </c>
      <c r="D257" s="32">
        <v>57</v>
      </c>
      <c r="E257" s="37">
        <v>15</v>
      </c>
      <c r="F257" s="38" t="str">
        <f>VLOOKUP(tabPontoPed[[#This Row],[GRUPO]],tabGrupos[#Data],2,FALSE)</f>
        <v>MAQ. E EQUIP. P/ IND. GRAFICA COMP. ACESS. E PAPEI</v>
      </c>
      <c r="G257" s="32" t="str">
        <f>VLOOKUP(tabPontoPed[[#This Row],[GRUPO]],tabGrupos[#Data],3,FALSE)</f>
        <v>EDU</v>
      </c>
      <c r="H257" s="33" t="s">
        <v>1311</v>
      </c>
      <c r="I257" s="80">
        <v>4</v>
      </c>
      <c r="J257" s="39">
        <v>834</v>
      </c>
      <c r="K257" s="41">
        <f>tabPontoPed[[#This Row],[QTDMÊS]] * tabPontoPed[[#This Row],[MENSAL]]</f>
        <v>3336</v>
      </c>
      <c r="L257" s="83"/>
      <c r="M257" s="81"/>
      <c r="N257" s="34" t="s">
        <v>1009</v>
      </c>
      <c r="O257" s="76" t="s">
        <v>1718</v>
      </c>
      <c r="P257" s="77">
        <v>0</v>
      </c>
      <c r="Q257" s="57">
        <v>314</v>
      </c>
      <c r="R257" s="42">
        <v>318</v>
      </c>
      <c r="S257" s="69" t="str">
        <f>_xlfn.IFNA(IF(VLOOKUP(tabPontoPed[[#This Row],[CÓDIGO]],tabExcluirDoEstoque[#Data],1,FALSE),"sim",""),"")</f>
        <v/>
      </c>
      <c r="T257" s="43">
        <f>IF(AND(tabPontoPed[[#This Row],[MENSAL]]&gt;0,tabPontoPed[[#This Row],[CÁLCULO]]&gt;0), ABS( tabPontoPed[[#This Row],[MENSAL]] - tabPontoPed[[#This Row],[CÁLCULO]] ) / tabPontoPed[[#This Row],[MENSAL]], -1 )</f>
        <v>0.61870503597122306</v>
      </c>
      <c r="U257" s="58">
        <v>713</v>
      </c>
      <c r="V257" s="35">
        <f>IF(AND(tabPontoPed[[#This Row],[MENSAL]]&gt;0,tabPontoPed[[#This Row],[CÁLCULO]]&gt;0), IF( tabPontoPed[[#This Row],[MENSAL]] - tabPontoPed[[#This Row],[CÁLCULO]] &lt; 0, -1, IF( tabPontoPed[[#This Row],[MENSAL]] - tabPontoPed[[#This Row],[CÁLCULO]] &gt; 0, 1, -8)), -9 )</f>
        <v>1</v>
      </c>
      <c r="W257" s="35"/>
      <c r="X257" s="49" t="s">
        <v>1564</v>
      </c>
      <c r="Y257" s="51">
        <v>44391.599108796298</v>
      </c>
      <c r="Z257" s="72">
        <f>tabPontoPed[CÁLC_4M] - tabPontoPed[CÁLCULO]</f>
        <v>-4</v>
      </c>
      <c r="AA257" s="79" t="str">
        <f>IF(tabPontoPed[MENSAL]-tabPontoPed[ATA MENSAL] = 0,"sim","")</f>
        <v/>
      </c>
      <c r="AB257" s="79" t="s">
        <v>1614</v>
      </c>
      <c r="AC257" s="47" t="str">
        <f t="shared" si="3"/>
        <v>*</v>
      </c>
    </row>
    <row r="258" spans="1:34" x14ac:dyDescent="0.25">
      <c r="A258" s="36">
        <v>23862</v>
      </c>
      <c r="B258" s="68" t="s">
        <v>83</v>
      </c>
      <c r="C258" s="33" t="s">
        <v>1317</v>
      </c>
      <c r="D258" s="32">
        <v>57</v>
      </c>
      <c r="E258" s="37">
        <v>16</v>
      </c>
      <c r="F258" s="38" t="str">
        <f>VLOOKUP(tabPontoPed[[#This Row],[GRUPO]],tabGrupos[#Data],2,FALSE)</f>
        <v>MAQ. E EQUIP. P/ IND. GRAFICA COMP. ACESS. E PAPEI</v>
      </c>
      <c r="G258" s="32" t="str">
        <f>VLOOKUP(tabPontoPed[[#This Row],[GRUPO]],tabGrupos[#Data],3,FALSE)</f>
        <v>EDU</v>
      </c>
      <c r="H258" s="33" t="s">
        <v>1311</v>
      </c>
      <c r="I258" s="80">
        <v>4</v>
      </c>
      <c r="J258" s="39">
        <v>2084</v>
      </c>
      <c r="K258" s="41">
        <f>tabPontoPed[[#This Row],[QTDMÊS]] * tabPontoPed[[#This Row],[MENSAL]]</f>
        <v>8336</v>
      </c>
      <c r="L258" s="83"/>
      <c r="M258" s="81"/>
      <c r="N258" s="34" t="s">
        <v>1009</v>
      </c>
      <c r="O258" s="76" t="s">
        <v>1718</v>
      </c>
      <c r="P258" s="77">
        <v>0</v>
      </c>
      <c r="Q258" s="57">
        <v>1014</v>
      </c>
      <c r="R258" s="42">
        <v>796</v>
      </c>
      <c r="S258" s="69" t="str">
        <f>_xlfn.IFNA(IF(VLOOKUP(tabPontoPed[[#This Row],[CÓDIGO]],tabExcluirDoEstoque[#Data],1,FALSE),"sim",""),"")</f>
        <v/>
      </c>
      <c r="T258" s="43">
        <f>IF(AND(tabPontoPed[[#This Row],[MENSAL]]&gt;0,tabPontoPed[[#This Row],[CÁLCULO]]&gt;0), ABS( tabPontoPed[[#This Row],[MENSAL]] - tabPontoPed[[#This Row],[CÁLCULO]] ) / tabPontoPed[[#This Row],[MENSAL]], -1 )</f>
        <v>0.61804222648752394</v>
      </c>
      <c r="U258" s="58">
        <v>1520</v>
      </c>
      <c r="V258" s="35">
        <f>IF(AND(tabPontoPed[[#This Row],[MENSAL]]&gt;0,tabPontoPed[[#This Row],[CÁLCULO]]&gt;0), IF( tabPontoPed[[#This Row],[MENSAL]] - tabPontoPed[[#This Row],[CÁLCULO]] &lt; 0, -1, IF( tabPontoPed[[#This Row],[MENSAL]] - tabPontoPed[[#This Row],[CÁLCULO]] &gt; 0, 1, -8)), -9 )</f>
        <v>1</v>
      </c>
      <c r="W258" s="35"/>
      <c r="X258" s="49" t="s">
        <v>1564</v>
      </c>
      <c r="Y258" s="51">
        <v>44391.599108796298</v>
      </c>
      <c r="Z258" s="72">
        <f>tabPontoPed[CÁLC_4M] - tabPontoPed[CÁLCULO]</f>
        <v>218</v>
      </c>
      <c r="AA258" s="79" t="str">
        <f>IF(tabPontoPed[MENSAL]-tabPontoPed[ATA MENSAL] = 0,"sim","")</f>
        <v/>
      </c>
      <c r="AB258" s="79" t="s">
        <v>1614</v>
      </c>
      <c r="AC258" s="47" t="str">
        <f t="shared" si="3"/>
        <v>*</v>
      </c>
    </row>
    <row r="259" spans="1:34" x14ac:dyDescent="0.25">
      <c r="A259" s="36">
        <v>17704</v>
      </c>
      <c r="B259" s="68" t="s">
        <v>514</v>
      </c>
      <c r="C259" s="33" t="s">
        <v>1317</v>
      </c>
      <c r="D259" s="32">
        <v>51</v>
      </c>
      <c r="E259" s="37">
        <v>12</v>
      </c>
      <c r="F259" s="38" t="str">
        <f>VLOOKUP(tabPontoPed[[#This Row],[GRUPO]],tabGrupos[#Data],2,FALSE)</f>
        <v>MAT.E EQUIP. P/ CONSTR.CIVIL E CONSERV. DE VIAS PUBL.</v>
      </c>
      <c r="G259" s="32" t="str">
        <f>VLOOKUP(tabPontoPed[[#This Row],[GRUPO]],tabGrupos[#Data],3,FALSE)</f>
        <v>MCO</v>
      </c>
      <c r="H259" s="33" t="s">
        <v>1311</v>
      </c>
      <c r="I259" s="80">
        <v>4</v>
      </c>
      <c r="J259" s="39">
        <v>34</v>
      </c>
      <c r="K259" s="41">
        <f>tabPontoPed[[#This Row],[QTDMÊS]] * tabPontoPed[[#This Row],[MENSAL]]</f>
        <v>136</v>
      </c>
      <c r="L259" s="83"/>
      <c r="M259" s="81"/>
      <c r="N259" s="34" t="s">
        <v>1009</v>
      </c>
      <c r="O259" s="76" t="s">
        <v>1695</v>
      </c>
      <c r="P259" s="77">
        <v>0</v>
      </c>
      <c r="Q259" s="57">
        <v>12</v>
      </c>
      <c r="R259" s="42">
        <v>13</v>
      </c>
      <c r="S259" s="69" t="str">
        <f>_xlfn.IFNA(IF(VLOOKUP(tabPontoPed[[#This Row],[CÓDIGO]],tabExcluirDoEstoque[#Data],1,FALSE),"sim",""),"")</f>
        <v/>
      </c>
      <c r="T259" s="43">
        <f>IF(AND(tabPontoPed[[#This Row],[MENSAL]]&gt;0,tabPontoPed[[#This Row],[CÁLCULO]]&gt;0), ABS( tabPontoPed[[#This Row],[MENSAL]] - tabPontoPed[[#This Row],[CÁLCULO]] ) / tabPontoPed[[#This Row],[MENSAL]], -1 )</f>
        <v>0.61764705882352944</v>
      </c>
      <c r="U259" s="58">
        <v>28</v>
      </c>
      <c r="V259" s="35">
        <f>IF(AND(tabPontoPed[[#This Row],[MENSAL]]&gt;0,tabPontoPed[[#This Row],[CÁLCULO]]&gt;0), IF( tabPontoPed[[#This Row],[MENSAL]] - tabPontoPed[[#This Row],[CÁLCULO]] &lt; 0, -1, IF( tabPontoPed[[#This Row],[MENSAL]] - tabPontoPed[[#This Row],[CÁLCULO]] &gt; 0, 1, -8)), -9 )</f>
        <v>1</v>
      </c>
      <c r="W259" s="35"/>
      <c r="X259" s="49" t="s">
        <v>1564</v>
      </c>
      <c r="Y259" s="51">
        <v>44391.599108796298</v>
      </c>
      <c r="Z259" s="72">
        <f>tabPontoPed[CÁLC_4M] - tabPontoPed[CÁLCULO]</f>
        <v>-1</v>
      </c>
      <c r="AA259" s="79" t="str">
        <f>IF(tabPontoPed[MENSAL]-tabPontoPed[ATA MENSAL] = 0,"sim","")</f>
        <v/>
      </c>
      <c r="AB259" s="79" t="s">
        <v>1614</v>
      </c>
      <c r="AC259" s="47" t="str">
        <f t="shared" ref="AC259:AC322" si="4">"*"</f>
        <v>*</v>
      </c>
    </row>
    <row r="260" spans="1:34" x14ac:dyDescent="0.25">
      <c r="A260" s="36">
        <v>29956</v>
      </c>
      <c r="B260" s="68" t="s">
        <v>69</v>
      </c>
      <c r="C260" s="33" t="s">
        <v>1317</v>
      </c>
      <c r="D260" s="32">
        <v>57</v>
      </c>
      <c r="E260" s="37">
        <v>15</v>
      </c>
      <c r="F260" s="38" t="str">
        <f>VLOOKUP(tabPontoPed[[#This Row],[GRUPO]],tabGrupos[#Data],2,FALSE)</f>
        <v>MAQ. E EQUIP. P/ IND. GRAFICA COMP. ACESS. E PAPEI</v>
      </c>
      <c r="G260" s="32" t="str">
        <f>VLOOKUP(tabPontoPed[[#This Row],[GRUPO]],tabGrupos[#Data],3,FALSE)</f>
        <v>EDU</v>
      </c>
      <c r="H260" s="33" t="s">
        <v>1311</v>
      </c>
      <c r="I260" s="80">
        <v>4</v>
      </c>
      <c r="J260" s="39">
        <v>834</v>
      </c>
      <c r="K260" s="41">
        <f>tabPontoPed[[#This Row],[QTDMÊS]] * tabPontoPed[[#This Row],[MENSAL]]</f>
        <v>3336</v>
      </c>
      <c r="L260" s="83"/>
      <c r="M260" s="81"/>
      <c r="N260" s="34" t="s">
        <v>1009</v>
      </c>
      <c r="O260" s="76" t="s">
        <v>1718</v>
      </c>
      <c r="P260" s="77">
        <v>0</v>
      </c>
      <c r="Q260" s="57">
        <v>312</v>
      </c>
      <c r="R260" s="42">
        <v>319</v>
      </c>
      <c r="S260" s="69" t="str">
        <f>_xlfn.IFNA(IF(VLOOKUP(tabPontoPed[[#This Row],[CÓDIGO]],tabExcluirDoEstoque[#Data],1,FALSE),"sim",""),"")</f>
        <v/>
      </c>
      <c r="T260" s="43">
        <f>IF(AND(tabPontoPed[[#This Row],[MENSAL]]&gt;0,tabPontoPed[[#This Row],[CÁLCULO]]&gt;0), ABS( tabPontoPed[[#This Row],[MENSAL]] - tabPontoPed[[#This Row],[CÁLCULO]] ) / tabPontoPed[[#This Row],[MENSAL]], -1 )</f>
        <v>0.61750599520383698</v>
      </c>
      <c r="U260" s="58">
        <v>708</v>
      </c>
      <c r="V260" s="35">
        <f>IF(AND(tabPontoPed[[#This Row],[MENSAL]]&gt;0,tabPontoPed[[#This Row],[CÁLCULO]]&gt;0), IF( tabPontoPed[[#This Row],[MENSAL]] - tabPontoPed[[#This Row],[CÁLCULO]] &lt; 0, -1, IF( tabPontoPed[[#This Row],[MENSAL]] - tabPontoPed[[#This Row],[CÁLCULO]] &gt; 0, 1, -8)), -9 )</f>
        <v>1</v>
      </c>
      <c r="W260" s="35"/>
      <c r="X260" s="49" t="s">
        <v>1564</v>
      </c>
      <c r="Y260" s="51">
        <v>44391.599108796298</v>
      </c>
      <c r="Z260" s="72">
        <f>tabPontoPed[CÁLC_4M] - tabPontoPed[CÁLCULO]</f>
        <v>-7</v>
      </c>
      <c r="AA260" s="79" t="str">
        <f>IF(tabPontoPed[MENSAL]-tabPontoPed[ATA MENSAL] = 0,"sim","")</f>
        <v/>
      </c>
      <c r="AB260" s="79" t="s">
        <v>1614</v>
      </c>
      <c r="AC260" s="47" t="str">
        <f t="shared" si="4"/>
        <v>*</v>
      </c>
    </row>
    <row r="261" spans="1:34" x14ac:dyDescent="0.25">
      <c r="A261" s="36">
        <v>20104</v>
      </c>
      <c r="B261" s="68" t="s">
        <v>912</v>
      </c>
      <c r="C261" s="33" t="s">
        <v>1317</v>
      </c>
      <c r="D261" s="32">
        <v>70</v>
      </c>
      <c r="E261" s="37">
        <v>31</v>
      </c>
      <c r="F261" s="38" t="str">
        <f>VLOOKUP(tabPontoPed[[#This Row],[GRUPO]],tabGrupos[#Data],2,FALSE)</f>
        <v>FERRAMENTAS MAQ.FERRAMENTAS,ELETR.PECAS E ACESSORI</v>
      </c>
      <c r="G261" s="32" t="str">
        <f>VLOOKUP(tabPontoPed[[#This Row],[GRUPO]],tabGrupos[#Data],3,FALSE)</f>
        <v>MAN</v>
      </c>
      <c r="H261" s="33" t="s">
        <v>1311</v>
      </c>
      <c r="I261" s="80">
        <v>4</v>
      </c>
      <c r="J261" s="39">
        <v>13</v>
      </c>
      <c r="K261" s="41">
        <f>tabPontoPed[[#This Row],[QTDMÊS]] * tabPontoPed[[#This Row],[MENSAL]]</f>
        <v>52</v>
      </c>
      <c r="L261" s="83"/>
      <c r="M261" s="81"/>
      <c r="N261" s="34" t="s">
        <v>1009</v>
      </c>
      <c r="O261" s="76" t="s">
        <v>1708</v>
      </c>
      <c r="P261" s="77">
        <v>0</v>
      </c>
      <c r="Q261" s="57">
        <v>4</v>
      </c>
      <c r="R261" s="42">
        <v>5</v>
      </c>
      <c r="S261" s="69" t="str">
        <f>_xlfn.IFNA(IF(VLOOKUP(tabPontoPed[[#This Row],[CÓDIGO]],tabExcluirDoEstoque[#Data],1,FALSE),"sim",""),"")</f>
        <v/>
      </c>
      <c r="T261" s="43">
        <f>IF(AND(tabPontoPed[[#This Row],[MENSAL]]&gt;0,tabPontoPed[[#This Row],[CÁLCULO]]&gt;0), ABS( tabPontoPed[[#This Row],[MENSAL]] - tabPontoPed[[#This Row],[CÁLCULO]] ) / tabPontoPed[[#This Row],[MENSAL]], -1 )</f>
        <v>0.61538461538461542</v>
      </c>
      <c r="U261" s="58">
        <v>24</v>
      </c>
      <c r="V261" s="35">
        <f>IF(AND(tabPontoPed[[#This Row],[MENSAL]]&gt;0,tabPontoPed[[#This Row],[CÁLCULO]]&gt;0), IF( tabPontoPed[[#This Row],[MENSAL]] - tabPontoPed[[#This Row],[CÁLCULO]] &lt; 0, -1, IF( tabPontoPed[[#This Row],[MENSAL]] - tabPontoPed[[#This Row],[CÁLCULO]] &gt; 0, 1, -8)), -9 )</f>
        <v>1</v>
      </c>
      <c r="W261" s="35"/>
      <c r="X261" s="48" t="s">
        <v>1564</v>
      </c>
      <c r="Y261" s="53">
        <v>44391.599108796298</v>
      </c>
      <c r="Z261" s="72">
        <f>tabPontoPed[CÁLC_4M] - tabPontoPed[CÁLCULO]</f>
        <v>-1</v>
      </c>
      <c r="AA261" s="79" t="str">
        <f>IF(tabPontoPed[MENSAL]-tabPontoPed[ATA MENSAL] = 0,"sim","")</f>
        <v/>
      </c>
      <c r="AB261" s="79"/>
      <c r="AC261" s="47" t="str">
        <f t="shared" si="4"/>
        <v>*</v>
      </c>
    </row>
    <row r="262" spans="1:34" x14ac:dyDescent="0.25">
      <c r="A262" s="36">
        <v>30165</v>
      </c>
      <c r="B262" s="68" t="s">
        <v>90</v>
      </c>
      <c r="C262" s="33" t="s">
        <v>1317</v>
      </c>
      <c r="D262" s="32">
        <v>57</v>
      </c>
      <c r="E262" s="37">
        <v>16</v>
      </c>
      <c r="F262" s="38" t="str">
        <f>VLOOKUP(tabPontoPed[[#This Row],[GRUPO]],tabGrupos[#Data],2,FALSE)</f>
        <v>MAQ. E EQUIP. P/ IND. GRAFICA COMP. ACESS. E PAPEI</v>
      </c>
      <c r="G262" s="32" t="str">
        <f>VLOOKUP(tabPontoPed[[#This Row],[GRUPO]],tabGrupos[#Data],3,FALSE)</f>
        <v>EDU</v>
      </c>
      <c r="H262" s="33" t="s">
        <v>1311</v>
      </c>
      <c r="I262" s="80">
        <v>4</v>
      </c>
      <c r="J262" s="39">
        <v>2084</v>
      </c>
      <c r="K262" s="41">
        <f>tabPontoPed[[#This Row],[QTDMÊS]] * tabPontoPed[[#This Row],[MENSAL]]</f>
        <v>8336</v>
      </c>
      <c r="L262" s="83"/>
      <c r="M262" s="81"/>
      <c r="N262" s="34" t="s">
        <v>1009</v>
      </c>
      <c r="O262" s="76" t="s">
        <v>1718</v>
      </c>
      <c r="P262" s="77">
        <v>0</v>
      </c>
      <c r="Q262" s="57">
        <v>1018</v>
      </c>
      <c r="R262" s="42">
        <v>804</v>
      </c>
      <c r="S262" s="69" t="str">
        <f>_xlfn.IFNA(IF(VLOOKUP(tabPontoPed[[#This Row],[CÓDIGO]],tabExcluirDoEstoque[#Data],1,FALSE),"sim",""),"")</f>
        <v/>
      </c>
      <c r="T262" s="43">
        <f>IF(AND(tabPontoPed[[#This Row],[MENSAL]]&gt;0,tabPontoPed[[#This Row],[CÁLCULO]]&gt;0), ABS( tabPontoPed[[#This Row],[MENSAL]] - tabPontoPed[[#This Row],[CÁLCULO]] ) / tabPontoPed[[#This Row],[MENSAL]], -1 )</f>
        <v>0.61420345489443373</v>
      </c>
      <c r="U262" s="58">
        <v>1528</v>
      </c>
      <c r="V262" s="35">
        <f>IF(AND(tabPontoPed[[#This Row],[MENSAL]]&gt;0,tabPontoPed[[#This Row],[CÁLCULO]]&gt;0), IF( tabPontoPed[[#This Row],[MENSAL]] - tabPontoPed[[#This Row],[CÁLCULO]] &lt; 0, -1, IF( tabPontoPed[[#This Row],[MENSAL]] - tabPontoPed[[#This Row],[CÁLCULO]] &gt; 0, 1, -8)), -9 )</f>
        <v>1</v>
      </c>
      <c r="W262" s="35"/>
      <c r="X262" s="49" t="s">
        <v>1564</v>
      </c>
      <c r="Y262" s="51">
        <v>44391.599108796298</v>
      </c>
      <c r="Z262" s="72">
        <f>tabPontoPed[CÁLC_4M] - tabPontoPed[CÁLCULO]</f>
        <v>214</v>
      </c>
      <c r="AA262" s="79" t="str">
        <f>IF(tabPontoPed[MENSAL]-tabPontoPed[ATA MENSAL] = 0,"sim","")</f>
        <v/>
      </c>
      <c r="AB262" s="79" t="s">
        <v>1614</v>
      </c>
      <c r="AC262" s="47" t="str">
        <f t="shared" si="4"/>
        <v>*</v>
      </c>
    </row>
    <row r="263" spans="1:34" x14ac:dyDescent="0.25">
      <c r="A263" s="36">
        <v>133848</v>
      </c>
      <c r="B263" s="68" t="s">
        <v>81</v>
      </c>
      <c r="C263" s="33" t="s">
        <v>1317</v>
      </c>
      <c r="D263" s="32">
        <v>57</v>
      </c>
      <c r="E263" s="37">
        <v>16</v>
      </c>
      <c r="F263" s="38" t="str">
        <f>VLOOKUP(tabPontoPed[[#This Row],[GRUPO]],tabGrupos[#Data],2,FALSE)</f>
        <v>MAQ. E EQUIP. P/ IND. GRAFICA COMP. ACESS. E PAPEI</v>
      </c>
      <c r="G263" s="32" t="str">
        <f>VLOOKUP(tabPontoPed[[#This Row],[GRUPO]],tabGrupos[#Data],3,FALSE)</f>
        <v>EDU</v>
      </c>
      <c r="H263" s="33" t="s">
        <v>1311</v>
      </c>
      <c r="I263" s="80">
        <v>4</v>
      </c>
      <c r="J263" s="39">
        <v>2084</v>
      </c>
      <c r="K263" s="41">
        <f>tabPontoPed[[#This Row],[QTDMÊS]] * tabPontoPed[[#This Row],[MENSAL]]</f>
        <v>8336</v>
      </c>
      <c r="L263" s="83"/>
      <c r="M263" s="81"/>
      <c r="N263" s="34" t="s">
        <v>1009</v>
      </c>
      <c r="O263" s="76" t="s">
        <v>1718</v>
      </c>
      <c r="P263" s="77">
        <v>0</v>
      </c>
      <c r="Q263" s="57">
        <v>877</v>
      </c>
      <c r="R263" s="42">
        <v>806</v>
      </c>
      <c r="S263" s="69" t="str">
        <f>_xlfn.IFNA(IF(VLOOKUP(tabPontoPed[[#This Row],[CÓDIGO]],tabExcluirDoEstoque[#Data],1,FALSE),"sim",""),"")</f>
        <v/>
      </c>
      <c r="T263" s="43">
        <f>IF(AND(tabPontoPed[[#This Row],[MENSAL]]&gt;0,tabPontoPed[[#This Row],[CÁLCULO]]&gt;0), ABS( tabPontoPed[[#This Row],[MENSAL]] - tabPontoPed[[#This Row],[CÁLCULO]] ) / tabPontoPed[[#This Row],[MENSAL]], -1 )</f>
        <v>0.61324376199616126</v>
      </c>
      <c r="U263" s="58">
        <v>1720</v>
      </c>
      <c r="V263" s="35">
        <f>IF(AND(tabPontoPed[[#This Row],[MENSAL]]&gt;0,tabPontoPed[[#This Row],[CÁLCULO]]&gt;0), IF( tabPontoPed[[#This Row],[MENSAL]] - tabPontoPed[[#This Row],[CÁLCULO]] &lt; 0, -1, IF( tabPontoPed[[#This Row],[MENSAL]] - tabPontoPed[[#This Row],[CÁLCULO]] &gt; 0, 1, -8)), -9 )</f>
        <v>1</v>
      </c>
      <c r="W263" s="35"/>
      <c r="X263" s="48" t="s">
        <v>1564</v>
      </c>
      <c r="Y263" s="53">
        <v>44391.599108796298</v>
      </c>
      <c r="Z263" s="72">
        <f>tabPontoPed[CÁLC_4M] - tabPontoPed[CÁLCULO]</f>
        <v>71</v>
      </c>
      <c r="AA263" s="79" t="str">
        <f>IF(tabPontoPed[MENSAL]-tabPontoPed[ATA MENSAL] = 0,"sim","")</f>
        <v/>
      </c>
      <c r="AB263" s="79" t="s">
        <v>1614</v>
      </c>
      <c r="AC263" s="47" t="str">
        <f t="shared" si="4"/>
        <v>*</v>
      </c>
    </row>
    <row r="264" spans="1:34" x14ac:dyDescent="0.25">
      <c r="A264" s="36">
        <v>29962</v>
      </c>
      <c r="B264" s="68" t="s">
        <v>72</v>
      </c>
      <c r="C264" s="33" t="s">
        <v>1317</v>
      </c>
      <c r="D264" s="32">
        <v>57</v>
      </c>
      <c r="E264" s="37">
        <v>15</v>
      </c>
      <c r="F264" s="38" t="str">
        <f>VLOOKUP(tabPontoPed[[#This Row],[GRUPO]],tabGrupos[#Data],2,FALSE)</f>
        <v>MAQ. E EQUIP. P/ IND. GRAFICA COMP. ACESS. E PAPEI</v>
      </c>
      <c r="G264" s="32" t="str">
        <f>VLOOKUP(tabPontoPed[[#This Row],[GRUPO]],tabGrupos[#Data],3,FALSE)</f>
        <v>EDU</v>
      </c>
      <c r="H264" s="33" t="s">
        <v>1311</v>
      </c>
      <c r="I264" s="80">
        <v>4</v>
      </c>
      <c r="J264" s="39">
        <v>834</v>
      </c>
      <c r="K264" s="41">
        <f>tabPontoPed[[#This Row],[QTDMÊS]] * tabPontoPed[[#This Row],[MENSAL]]</f>
        <v>3336</v>
      </c>
      <c r="L264" s="83"/>
      <c r="M264" s="81"/>
      <c r="N264" s="34" t="s">
        <v>1009</v>
      </c>
      <c r="O264" s="76" t="s">
        <v>1718</v>
      </c>
      <c r="P264" s="77">
        <v>0</v>
      </c>
      <c r="Q264" s="57">
        <v>329</v>
      </c>
      <c r="R264" s="42">
        <v>323</v>
      </c>
      <c r="S264" s="69" t="str">
        <f>_xlfn.IFNA(IF(VLOOKUP(tabPontoPed[[#This Row],[CÓDIGO]],tabExcluirDoEstoque[#Data],1,FALSE),"sim",""),"")</f>
        <v/>
      </c>
      <c r="T264" s="43">
        <f>IF(AND(tabPontoPed[[#This Row],[MENSAL]]&gt;0,tabPontoPed[[#This Row],[CÁLCULO]]&gt;0), ABS( tabPontoPed[[#This Row],[MENSAL]] - tabPontoPed[[#This Row],[CÁLCULO]] ) / tabPontoPed[[#This Row],[MENSAL]], -1 )</f>
        <v>0.61270983213429253</v>
      </c>
      <c r="U264" s="58">
        <v>733</v>
      </c>
      <c r="V264" s="35">
        <f>IF(AND(tabPontoPed[[#This Row],[MENSAL]]&gt;0,tabPontoPed[[#This Row],[CÁLCULO]]&gt;0), IF( tabPontoPed[[#This Row],[MENSAL]] - tabPontoPed[[#This Row],[CÁLCULO]] &lt; 0, -1, IF( tabPontoPed[[#This Row],[MENSAL]] - tabPontoPed[[#This Row],[CÁLCULO]] &gt; 0, 1, -8)), -9 )</f>
        <v>1</v>
      </c>
      <c r="W264" s="35"/>
      <c r="X264" s="49" t="s">
        <v>1564</v>
      </c>
      <c r="Y264" s="51">
        <v>44391.599108796298</v>
      </c>
      <c r="Z264" s="72">
        <f>tabPontoPed[CÁLC_4M] - tabPontoPed[CÁLCULO]</f>
        <v>6</v>
      </c>
      <c r="AA264" s="79" t="str">
        <f>IF(tabPontoPed[MENSAL]-tabPontoPed[ATA MENSAL] = 0,"sim","")</f>
        <v/>
      </c>
      <c r="AB264" s="79" t="s">
        <v>1614</v>
      </c>
      <c r="AC264" s="47" t="str">
        <f t="shared" si="4"/>
        <v>*</v>
      </c>
    </row>
    <row r="265" spans="1:34" x14ac:dyDescent="0.25">
      <c r="A265" s="36">
        <v>78181</v>
      </c>
      <c r="B265" s="68" t="s">
        <v>379</v>
      </c>
      <c r="C265" s="33" t="s">
        <v>1317</v>
      </c>
      <c r="D265" s="32">
        <v>72</v>
      </c>
      <c r="E265" s="37">
        <v>8</v>
      </c>
      <c r="F265" s="38" t="str">
        <f>VLOOKUP(tabPontoPed[[#This Row],[GRUPO]],tabGrupos[#Data],2,FALSE)</f>
        <v>MAQ.EQUIP.E MATERIAIS P/ HIGIEN.LIMP.POLIM.E LUBR.</v>
      </c>
      <c r="G265" s="32" t="str">
        <f>VLOOKUP(tabPontoPed[[#This Row],[GRUPO]],tabGrupos[#Data],3,FALSE)</f>
        <v>ADM</v>
      </c>
      <c r="H265" s="33" t="s">
        <v>1311</v>
      </c>
      <c r="I265" s="80">
        <v>4</v>
      </c>
      <c r="J265" s="39">
        <v>18</v>
      </c>
      <c r="K265" s="41">
        <f>tabPontoPed[[#This Row],[QTDMÊS]] * tabPontoPed[[#This Row],[MENSAL]]</f>
        <v>72</v>
      </c>
      <c r="L265" s="83"/>
      <c r="M265" s="81"/>
      <c r="N265" s="34" t="s">
        <v>1009</v>
      </c>
      <c r="O265" s="76" t="s">
        <v>1744</v>
      </c>
      <c r="P265" s="77">
        <v>0</v>
      </c>
      <c r="Q265" s="57">
        <v>8</v>
      </c>
      <c r="R265" s="42">
        <v>7</v>
      </c>
      <c r="S265" s="69" t="str">
        <f>_xlfn.IFNA(IF(VLOOKUP(tabPontoPed[[#This Row],[CÓDIGO]],tabExcluirDoEstoque[#Data],1,FALSE),"sim",""),"")</f>
        <v/>
      </c>
      <c r="T265" s="43">
        <f>IF(AND(tabPontoPed[[#This Row],[MENSAL]]&gt;0,tabPontoPed[[#This Row],[CÁLCULO]]&gt;0), ABS( tabPontoPed[[#This Row],[MENSAL]] - tabPontoPed[[#This Row],[CÁLCULO]] ) / tabPontoPed[[#This Row],[MENSAL]], -1 )</f>
        <v>0.61111111111111116</v>
      </c>
      <c r="U265" s="58">
        <v>11</v>
      </c>
      <c r="V265" s="35">
        <f>IF(AND(tabPontoPed[[#This Row],[MENSAL]]&gt;0,tabPontoPed[[#This Row],[CÁLCULO]]&gt;0), IF( tabPontoPed[[#This Row],[MENSAL]] - tabPontoPed[[#This Row],[CÁLCULO]] &lt; 0, -1, IF( tabPontoPed[[#This Row],[MENSAL]] - tabPontoPed[[#This Row],[CÁLCULO]] &gt; 0, 1, -8)), -9 )</f>
        <v>1</v>
      </c>
      <c r="W265" s="35"/>
      <c r="X265" s="49" t="s">
        <v>1564</v>
      </c>
      <c r="Y265" s="51">
        <v>44391.599108796298</v>
      </c>
      <c r="Z265" s="72">
        <f>tabPontoPed[CÁLC_4M] - tabPontoPed[CÁLCULO]</f>
        <v>1</v>
      </c>
      <c r="AA265" s="79" t="str">
        <f>IF(tabPontoPed[MENSAL]-tabPontoPed[ATA MENSAL] = 0,"sim","")</f>
        <v/>
      </c>
      <c r="AB265" s="79"/>
      <c r="AC265" s="47" t="str">
        <f t="shared" si="4"/>
        <v>*</v>
      </c>
    </row>
    <row r="266" spans="1:34" x14ac:dyDescent="0.25">
      <c r="A266" s="36">
        <v>134547</v>
      </c>
      <c r="B266" s="68" t="s">
        <v>241</v>
      </c>
      <c r="C266" s="33" t="s">
        <v>1317</v>
      </c>
      <c r="D266" s="32">
        <v>51</v>
      </c>
      <c r="E266" s="37">
        <v>19</v>
      </c>
      <c r="F266" s="38" t="str">
        <f>VLOOKUP(tabPontoPed[[#This Row],[GRUPO]],tabGrupos[#Data],2,FALSE)</f>
        <v>MAT.E EQUIP. P/ CONSTR.CIVIL E CONSERV. DE VIAS PUBL.</v>
      </c>
      <c r="G266" s="32" t="str">
        <f>VLOOKUP(tabPontoPed[[#This Row],[GRUPO]],tabGrupos[#Data],3,FALSE)</f>
        <v>MCO</v>
      </c>
      <c r="H266" s="33" t="s">
        <v>1311</v>
      </c>
      <c r="I266" s="80">
        <v>4</v>
      </c>
      <c r="J266" s="39">
        <v>100</v>
      </c>
      <c r="K266" s="41">
        <f>tabPontoPed[[#This Row],[QTDMÊS]] * tabPontoPed[[#This Row],[MENSAL]]</f>
        <v>400</v>
      </c>
      <c r="L266" s="83"/>
      <c r="M266" s="81"/>
      <c r="N266" s="34" t="s">
        <v>1009</v>
      </c>
      <c r="O266" s="76" t="s">
        <v>1693</v>
      </c>
      <c r="P266" s="77">
        <v>0</v>
      </c>
      <c r="Q266" s="57">
        <v>17</v>
      </c>
      <c r="R266" s="42">
        <v>39</v>
      </c>
      <c r="S266" s="69" t="str">
        <f>_xlfn.IFNA(IF(VLOOKUP(tabPontoPed[[#This Row],[CÓDIGO]],tabExcluirDoEstoque[#Data],1,FALSE),"sim",""),"")</f>
        <v/>
      </c>
      <c r="T266" s="43">
        <f>IF(AND(tabPontoPed[[#This Row],[MENSAL]]&gt;0,tabPontoPed[[#This Row],[CÁLCULO]]&gt;0), ABS( tabPontoPed[[#This Row],[MENSAL]] - tabPontoPed[[#This Row],[CÁLCULO]] ) / tabPontoPed[[#This Row],[MENSAL]], -1 )</f>
        <v>0.61</v>
      </c>
      <c r="U266" s="58">
        <v>117</v>
      </c>
      <c r="V266" s="35">
        <f>IF(AND(tabPontoPed[[#This Row],[MENSAL]]&gt;0,tabPontoPed[[#This Row],[CÁLCULO]]&gt;0), IF( tabPontoPed[[#This Row],[MENSAL]] - tabPontoPed[[#This Row],[CÁLCULO]] &lt; 0, -1, IF( tabPontoPed[[#This Row],[MENSAL]] - tabPontoPed[[#This Row],[CÁLCULO]] &gt; 0, 1, -8)), -9 )</f>
        <v>1</v>
      </c>
      <c r="W266" s="35"/>
      <c r="X266" s="49" t="s">
        <v>1564</v>
      </c>
      <c r="Y266" s="51">
        <v>44391.599108796298</v>
      </c>
      <c r="Z266" s="72">
        <f>tabPontoPed[CÁLC_4M] - tabPontoPed[CÁLCULO]</f>
        <v>-22</v>
      </c>
      <c r="AA266" s="79" t="str">
        <f>IF(tabPontoPed[MENSAL]-tabPontoPed[ATA MENSAL] = 0,"sim","")</f>
        <v/>
      </c>
      <c r="AB266" s="79" t="s">
        <v>1614</v>
      </c>
      <c r="AC266" s="47" t="str">
        <f t="shared" si="4"/>
        <v>*</v>
      </c>
    </row>
    <row r="267" spans="1:34" x14ac:dyDescent="0.25">
      <c r="A267" s="36">
        <v>138352</v>
      </c>
      <c r="B267" s="68" t="s">
        <v>1499</v>
      </c>
      <c r="C267" s="33">
        <v>1</v>
      </c>
      <c r="D267" s="32">
        <v>72</v>
      </c>
      <c r="E267" s="37">
        <v>9</v>
      </c>
      <c r="F267" s="38" t="str">
        <f>VLOOKUP(tabPontoPed[[#This Row],[GRUPO]],tabGrupos[#Data],2,FALSE)</f>
        <v>MAQ.EQUIP.E MATERIAIS P/ HIGIEN.LIMP.POLIM.E LUBR.</v>
      </c>
      <c r="G267" s="32" t="str">
        <f>VLOOKUP(tabPontoPed[[#This Row],[GRUPO]],tabGrupos[#Data],3,FALSE)</f>
        <v>ADM</v>
      </c>
      <c r="H267" s="33" t="s">
        <v>1311</v>
      </c>
      <c r="I267" s="80">
        <v>4</v>
      </c>
      <c r="J267" s="39">
        <v>23</v>
      </c>
      <c r="K267" s="41">
        <f>tabPontoPed[[#This Row],[QTDMÊS]] * tabPontoPed[[#This Row],[MENSAL]]</f>
        <v>92</v>
      </c>
      <c r="L267" s="83"/>
      <c r="M267" s="81"/>
      <c r="N267" s="34" t="s">
        <v>1009</v>
      </c>
      <c r="O267" s="76" t="s">
        <v>1575</v>
      </c>
      <c r="P267" s="77">
        <v>0</v>
      </c>
      <c r="Q267" s="57">
        <v>11</v>
      </c>
      <c r="R267" s="42">
        <v>9</v>
      </c>
      <c r="S267" s="69" t="str">
        <f>_xlfn.IFNA(IF(VLOOKUP(tabPontoPed[[#This Row],[CÓDIGO]],tabExcluirDoEstoque[#Data],1,FALSE),"sim",""),"")</f>
        <v/>
      </c>
      <c r="T267" s="43">
        <f>IF(AND(tabPontoPed[[#This Row],[MENSAL]]&gt;0,tabPontoPed[[#This Row],[CÁLCULO]]&gt;0), ABS( tabPontoPed[[#This Row],[MENSAL]] - tabPontoPed[[#This Row],[CÁLCULO]] ) / tabPontoPed[[#This Row],[MENSAL]], -1 )</f>
        <v>0.60869565217391308</v>
      </c>
      <c r="U267" s="58">
        <v>15</v>
      </c>
      <c r="V267" s="35">
        <f>IF(AND(tabPontoPed[[#This Row],[MENSAL]]&gt;0,tabPontoPed[[#This Row],[CÁLCULO]]&gt;0), IF( tabPontoPed[[#This Row],[MENSAL]] - tabPontoPed[[#This Row],[CÁLCULO]] &lt; 0, -1, IF( tabPontoPed[[#This Row],[MENSAL]] - tabPontoPed[[#This Row],[CÁLCULO]] &gt; 0, 1, -8)), -9 )</f>
        <v>1</v>
      </c>
      <c r="W267" s="35"/>
      <c r="X267" s="49" t="s">
        <v>1564</v>
      </c>
      <c r="Y267" s="51">
        <v>44391.599108796298</v>
      </c>
      <c r="Z267" s="72">
        <f>tabPontoPed[CÁLC_4M] - tabPontoPed[CÁLCULO]</f>
        <v>2</v>
      </c>
      <c r="AA267" s="79" t="str">
        <f>IF(tabPontoPed[MENSAL]-tabPontoPed[ATA MENSAL] = 0,"sim","")</f>
        <v/>
      </c>
      <c r="AB267" s="79"/>
      <c r="AC267" s="47" t="str">
        <f t="shared" si="4"/>
        <v>*</v>
      </c>
    </row>
    <row r="268" spans="1:34" x14ac:dyDescent="0.25">
      <c r="A268" s="36">
        <v>75938</v>
      </c>
      <c r="B268" s="68" t="s">
        <v>74</v>
      </c>
      <c r="C268" s="33" t="s">
        <v>1317</v>
      </c>
      <c r="D268" s="32">
        <v>57</v>
      </c>
      <c r="E268" s="37">
        <v>15</v>
      </c>
      <c r="F268" s="38" t="str">
        <f>VLOOKUP(tabPontoPed[[#This Row],[GRUPO]],tabGrupos[#Data],2,FALSE)</f>
        <v>MAQ. E EQUIP. P/ IND. GRAFICA COMP. ACESS. E PAPEI</v>
      </c>
      <c r="G268" s="32" t="str">
        <f>VLOOKUP(tabPontoPed[[#This Row],[GRUPO]],tabGrupos[#Data],3,FALSE)</f>
        <v>EDU</v>
      </c>
      <c r="H268" s="33" t="s">
        <v>1311</v>
      </c>
      <c r="I268" s="80">
        <v>4</v>
      </c>
      <c r="J268" s="39">
        <v>834</v>
      </c>
      <c r="K268" s="41">
        <f>tabPontoPed[[#This Row],[QTDMÊS]] * tabPontoPed[[#This Row],[MENSAL]]</f>
        <v>3336</v>
      </c>
      <c r="L268" s="83"/>
      <c r="M268" s="81"/>
      <c r="N268" s="34" t="s">
        <v>1009</v>
      </c>
      <c r="O268" s="76" t="s">
        <v>1718</v>
      </c>
      <c r="P268" s="77">
        <v>0</v>
      </c>
      <c r="Q268" s="57">
        <v>335</v>
      </c>
      <c r="R268" s="42">
        <v>329</v>
      </c>
      <c r="S268" s="69" t="str">
        <f>_xlfn.IFNA(IF(VLOOKUP(tabPontoPed[[#This Row],[CÓDIGO]],tabExcluirDoEstoque[#Data],1,FALSE),"sim",""),"")</f>
        <v/>
      </c>
      <c r="T268" s="43">
        <f>IF(AND(tabPontoPed[[#This Row],[MENSAL]]&gt;0,tabPontoPed[[#This Row],[CÁLCULO]]&gt;0), ABS( tabPontoPed[[#This Row],[MENSAL]] - tabPontoPed[[#This Row],[CÁLCULO]] ) / tabPontoPed[[#This Row],[MENSAL]], -1 )</f>
        <v>0.60551558752997603</v>
      </c>
      <c r="U268" s="58">
        <v>753</v>
      </c>
      <c r="V268" s="35">
        <f>IF(AND(tabPontoPed[[#This Row],[MENSAL]]&gt;0,tabPontoPed[[#This Row],[CÁLCULO]]&gt;0), IF( tabPontoPed[[#This Row],[MENSAL]] - tabPontoPed[[#This Row],[CÁLCULO]] &lt; 0, -1, IF( tabPontoPed[[#This Row],[MENSAL]] - tabPontoPed[[#This Row],[CÁLCULO]] &gt; 0, 1, -8)), -9 )</f>
        <v>1</v>
      </c>
      <c r="W268" s="35"/>
      <c r="X268" s="48" t="s">
        <v>1564</v>
      </c>
      <c r="Y268" s="53">
        <v>44391.599108796298</v>
      </c>
      <c r="Z268" s="72">
        <f>tabPontoPed[CÁLC_4M] - tabPontoPed[CÁLCULO]</f>
        <v>6</v>
      </c>
      <c r="AA268" s="79" t="str">
        <f>IF(tabPontoPed[MENSAL]-tabPontoPed[ATA MENSAL] = 0,"sim","")</f>
        <v/>
      </c>
      <c r="AB268" s="79" t="s">
        <v>1614</v>
      </c>
      <c r="AC268" s="47" t="str">
        <f t="shared" si="4"/>
        <v>*</v>
      </c>
      <c r="AH268" s="86"/>
    </row>
    <row r="269" spans="1:34" x14ac:dyDescent="0.25">
      <c r="A269" s="36">
        <v>64253</v>
      </c>
      <c r="B269" s="68" t="s">
        <v>898</v>
      </c>
      <c r="C269" s="33" t="s">
        <v>1317</v>
      </c>
      <c r="D269" s="32">
        <v>69</v>
      </c>
      <c r="E269" s="37">
        <v>17</v>
      </c>
      <c r="F269" s="38" t="str">
        <f>VLOOKUP(tabPontoPed[[#This Row],[GRUPO]],tabGrupos[#Data],2,FALSE)</f>
        <v>METAIS,LAMINAD.,PERFILADOS E ARTEFATOS METALICOS</v>
      </c>
      <c r="G269" s="32" t="str">
        <f>VLOOKUP(tabPontoPed[[#This Row],[GRUPO]],tabGrupos[#Data],3,FALSE)</f>
        <v>MSE</v>
      </c>
      <c r="H269" s="33" t="s">
        <v>1311</v>
      </c>
      <c r="I269" s="80">
        <v>4</v>
      </c>
      <c r="J269" s="39">
        <v>167</v>
      </c>
      <c r="K269" s="41">
        <f>tabPontoPed[[#This Row],[QTDMÊS]] * tabPontoPed[[#This Row],[MENSAL]]</f>
        <v>668</v>
      </c>
      <c r="L269" s="83"/>
      <c r="M269" s="81"/>
      <c r="N269" s="34" t="s">
        <v>1009</v>
      </c>
      <c r="O269" s="76" t="s">
        <v>1713</v>
      </c>
      <c r="P269" s="77">
        <v>0</v>
      </c>
      <c r="Q269" s="57">
        <v>63</v>
      </c>
      <c r="R269" s="42">
        <v>66</v>
      </c>
      <c r="S269" s="69" t="str">
        <f>_xlfn.IFNA(IF(VLOOKUP(tabPontoPed[[#This Row],[CÓDIGO]],tabExcluirDoEstoque[#Data],1,FALSE),"sim",""),"")</f>
        <v/>
      </c>
      <c r="T269" s="43">
        <f>IF(AND(tabPontoPed[[#This Row],[MENSAL]]&gt;0,tabPontoPed[[#This Row],[CÁLCULO]]&gt;0), ABS( tabPontoPed[[#This Row],[MENSAL]] - tabPontoPed[[#This Row],[CÁLCULO]] ) / tabPontoPed[[#This Row],[MENSAL]], -1 )</f>
        <v>0.60479041916167664</v>
      </c>
      <c r="U269" s="58">
        <v>144</v>
      </c>
      <c r="V269" s="35">
        <f>IF(AND(tabPontoPed[[#This Row],[MENSAL]]&gt;0,tabPontoPed[[#This Row],[CÁLCULO]]&gt;0), IF( tabPontoPed[[#This Row],[MENSAL]] - tabPontoPed[[#This Row],[CÁLCULO]] &lt; 0, -1, IF( tabPontoPed[[#This Row],[MENSAL]] - tabPontoPed[[#This Row],[CÁLCULO]] &gt; 0, 1, -8)), -9 )</f>
        <v>1</v>
      </c>
      <c r="W269" s="35"/>
      <c r="X269" s="49" t="s">
        <v>1564</v>
      </c>
      <c r="Y269" s="51">
        <v>44391.599108796298</v>
      </c>
      <c r="Z269" s="72">
        <f>tabPontoPed[CÁLC_4M] - tabPontoPed[CÁLCULO]</f>
        <v>-3</v>
      </c>
      <c r="AA269" s="79" t="str">
        <f>IF(tabPontoPed[MENSAL]-tabPontoPed[ATA MENSAL] = 0,"sim","")</f>
        <v/>
      </c>
      <c r="AB269" s="79" t="s">
        <v>1614</v>
      </c>
      <c r="AC269" s="47" t="str">
        <f t="shared" si="4"/>
        <v>*</v>
      </c>
    </row>
    <row r="270" spans="1:34" x14ac:dyDescent="0.25">
      <c r="A270" s="36">
        <v>32927</v>
      </c>
      <c r="B270" s="68" t="s">
        <v>202</v>
      </c>
      <c r="C270" s="33" t="s">
        <v>1317</v>
      </c>
      <c r="D270" s="32">
        <v>57</v>
      </c>
      <c r="E270" s="37">
        <v>15</v>
      </c>
      <c r="F270" s="38" t="str">
        <f>VLOOKUP(tabPontoPed[[#This Row],[GRUPO]],tabGrupos[#Data],2,FALSE)</f>
        <v>MAQ. E EQUIP. P/ IND. GRAFICA COMP. ACESS. E PAPEI</v>
      </c>
      <c r="G270" s="32" t="str">
        <f>VLOOKUP(tabPontoPed[[#This Row],[GRUPO]],tabGrupos[#Data],3,FALSE)</f>
        <v>EDU</v>
      </c>
      <c r="H270" s="33" t="s">
        <v>1311</v>
      </c>
      <c r="I270" s="80">
        <v>4</v>
      </c>
      <c r="J270" s="39">
        <v>793</v>
      </c>
      <c r="K270" s="41">
        <f>tabPontoPed[[#This Row],[QTDMÊS]] * tabPontoPed[[#This Row],[MENSAL]]</f>
        <v>3172</v>
      </c>
      <c r="L270" s="83"/>
      <c r="M270" s="81"/>
      <c r="N270" s="34" t="s">
        <v>1009</v>
      </c>
      <c r="O270" s="76" t="s">
        <v>1696</v>
      </c>
      <c r="P270" s="77">
        <v>0</v>
      </c>
      <c r="Q270" s="57">
        <v>366</v>
      </c>
      <c r="R270" s="42">
        <v>315</v>
      </c>
      <c r="S270" s="69" t="str">
        <f>_xlfn.IFNA(IF(VLOOKUP(tabPontoPed[[#This Row],[CÓDIGO]],tabExcluirDoEstoque[#Data],1,FALSE),"sim",""),"")</f>
        <v/>
      </c>
      <c r="T270" s="43">
        <f>IF(AND(tabPontoPed[[#This Row],[MENSAL]]&gt;0,tabPontoPed[[#This Row],[CÁLCULO]]&gt;0), ABS( tabPontoPed[[#This Row],[MENSAL]] - tabPontoPed[[#This Row],[CÁLCULO]] ) / tabPontoPed[[#This Row],[MENSAL]], -1 )</f>
        <v>0.60277427490542246</v>
      </c>
      <c r="U270" s="58">
        <v>766</v>
      </c>
      <c r="V270" s="35">
        <f>IF(AND(tabPontoPed[[#This Row],[MENSAL]]&gt;0,tabPontoPed[[#This Row],[CÁLCULO]]&gt;0), IF( tabPontoPed[[#This Row],[MENSAL]] - tabPontoPed[[#This Row],[CÁLCULO]] &lt; 0, -1, IF( tabPontoPed[[#This Row],[MENSAL]] - tabPontoPed[[#This Row],[CÁLCULO]] &gt; 0, 1, -8)), -9 )</f>
        <v>1</v>
      </c>
      <c r="W270" s="35"/>
      <c r="X270" s="49" t="s">
        <v>1564</v>
      </c>
      <c r="Y270" s="51">
        <v>44391.599108796298</v>
      </c>
      <c r="Z270" s="72">
        <f>tabPontoPed[CÁLC_4M] - tabPontoPed[CÁLCULO]</f>
        <v>51</v>
      </c>
      <c r="AA270" s="79" t="str">
        <f>IF(tabPontoPed[MENSAL]-tabPontoPed[ATA MENSAL] = 0,"sim","")</f>
        <v/>
      </c>
      <c r="AB270" s="79"/>
      <c r="AC270" s="47" t="str">
        <f t="shared" si="4"/>
        <v>*</v>
      </c>
    </row>
    <row r="271" spans="1:34" x14ac:dyDescent="0.25">
      <c r="A271" s="36">
        <v>124261</v>
      </c>
      <c r="B271" s="68" t="s">
        <v>75</v>
      </c>
      <c r="C271" s="33" t="s">
        <v>1317</v>
      </c>
      <c r="D271" s="32">
        <v>57</v>
      </c>
      <c r="E271" s="37">
        <v>15</v>
      </c>
      <c r="F271" s="38" t="str">
        <f>VLOOKUP(tabPontoPed[[#This Row],[GRUPO]],tabGrupos[#Data],2,FALSE)</f>
        <v>MAQ. E EQUIP. P/ IND. GRAFICA COMP. ACESS. E PAPEI</v>
      </c>
      <c r="G271" s="32" t="str">
        <f>VLOOKUP(tabPontoPed[[#This Row],[GRUPO]],tabGrupos[#Data],3,FALSE)</f>
        <v>EDU</v>
      </c>
      <c r="H271" s="33" t="s">
        <v>1311</v>
      </c>
      <c r="I271" s="80">
        <v>4</v>
      </c>
      <c r="J271" s="39">
        <v>834</v>
      </c>
      <c r="K271" s="41">
        <f>tabPontoPed[[#This Row],[QTDMÊS]] * tabPontoPed[[#This Row],[MENSAL]]</f>
        <v>3336</v>
      </c>
      <c r="L271" s="83"/>
      <c r="M271" s="81"/>
      <c r="N271" s="34" t="s">
        <v>1009</v>
      </c>
      <c r="O271" s="76" t="s">
        <v>1718</v>
      </c>
      <c r="P271" s="77">
        <v>0</v>
      </c>
      <c r="Q271" s="57">
        <v>354</v>
      </c>
      <c r="R271" s="42">
        <v>333</v>
      </c>
      <c r="S271" s="69" t="str">
        <f>_xlfn.IFNA(IF(VLOOKUP(tabPontoPed[[#This Row],[CÓDIGO]],tabExcluirDoEstoque[#Data],1,FALSE),"sim",""),"")</f>
        <v/>
      </c>
      <c r="T271" s="43">
        <f>IF(AND(tabPontoPed[[#This Row],[MENSAL]]&gt;0,tabPontoPed[[#This Row],[CÁLCULO]]&gt;0), ABS( tabPontoPed[[#This Row],[MENSAL]] - tabPontoPed[[#This Row],[CÁLCULO]] ) / tabPontoPed[[#This Row],[MENSAL]], -1 )</f>
        <v>0.60071942446043169</v>
      </c>
      <c r="U271" s="58">
        <v>698</v>
      </c>
      <c r="V271" s="35">
        <f>IF(AND(tabPontoPed[[#This Row],[MENSAL]]&gt;0,tabPontoPed[[#This Row],[CÁLCULO]]&gt;0), IF( tabPontoPed[[#This Row],[MENSAL]] - tabPontoPed[[#This Row],[CÁLCULO]] &lt; 0, -1, IF( tabPontoPed[[#This Row],[MENSAL]] - tabPontoPed[[#This Row],[CÁLCULO]] &gt; 0, 1, -8)), -9 )</f>
        <v>1</v>
      </c>
      <c r="W271" s="35"/>
      <c r="X271" s="49" t="s">
        <v>1564</v>
      </c>
      <c r="Y271" s="51">
        <v>44391.599108796298</v>
      </c>
      <c r="Z271" s="72">
        <f>tabPontoPed[CÁLC_4M] - tabPontoPed[CÁLCULO]</f>
        <v>21</v>
      </c>
      <c r="AA271" s="79" t="str">
        <f>IF(tabPontoPed[MENSAL]-tabPontoPed[ATA MENSAL] = 0,"sim","")</f>
        <v/>
      </c>
      <c r="AB271" s="79" t="s">
        <v>1614</v>
      </c>
      <c r="AC271" s="47" t="str">
        <f t="shared" si="4"/>
        <v>*</v>
      </c>
    </row>
    <row r="272" spans="1:34" x14ac:dyDescent="0.25">
      <c r="A272" s="36">
        <v>17370</v>
      </c>
      <c r="B272" s="68" t="s">
        <v>200</v>
      </c>
      <c r="C272" s="33" t="s">
        <v>1317</v>
      </c>
      <c r="D272" s="32">
        <v>57</v>
      </c>
      <c r="E272" s="37">
        <v>15</v>
      </c>
      <c r="F272" s="38" t="str">
        <f>VLOOKUP(tabPontoPed[[#This Row],[GRUPO]],tabGrupos[#Data],2,FALSE)</f>
        <v>MAQ. E EQUIP. P/ IND. GRAFICA COMP. ACESS. E PAPEI</v>
      </c>
      <c r="G272" s="32" t="str">
        <f>VLOOKUP(tabPontoPed[[#This Row],[GRUPO]],tabGrupos[#Data],3,FALSE)</f>
        <v>EDU</v>
      </c>
      <c r="H272" s="33" t="s">
        <v>1311</v>
      </c>
      <c r="I272" s="80">
        <v>4</v>
      </c>
      <c r="J272" s="39">
        <v>785</v>
      </c>
      <c r="K272" s="41">
        <f>tabPontoPed[[#This Row],[QTDMÊS]] * tabPontoPed[[#This Row],[MENSAL]]</f>
        <v>3140</v>
      </c>
      <c r="L272" s="83"/>
      <c r="M272" s="81"/>
      <c r="N272" s="34" t="s">
        <v>1009</v>
      </c>
      <c r="O272" s="76" t="s">
        <v>1696</v>
      </c>
      <c r="P272" s="77">
        <v>0</v>
      </c>
      <c r="Q272" s="57">
        <v>361</v>
      </c>
      <c r="R272" s="42">
        <v>314</v>
      </c>
      <c r="S272" s="69" t="str">
        <f>_xlfn.IFNA(IF(VLOOKUP(tabPontoPed[[#This Row],[CÓDIGO]],tabExcluirDoEstoque[#Data],1,FALSE),"sim",""),"")</f>
        <v/>
      </c>
      <c r="T272" s="43">
        <f>IF(AND(tabPontoPed[[#This Row],[MENSAL]]&gt;0,tabPontoPed[[#This Row],[CÁLCULO]]&gt;0), ABS( tabPontoPed[[#This Row],[MENSAL]] - tabPontoPed[[#This Row],[CÁLCULO]] ) / tabPontoPed[[#This Row],[MENSAL]], -1 )</f>
        <v>0.6</v>
      </c>
      <c r="U272" s="58">
        <v>741</v>
      </c>
      <c r="V272" s="35">
        <f>IF(AND(tabPontoPed[[#This Row],[MENSAL]]&gt;0,tabPontoPed[[#This Row],[CÁLCULO]]&gt;0), IF( tabPontoPed[[#This Row],[MENSAL]] - tabPontoPed[[#This Row],[CÁLCULO]] &lt; 0, -1, IF( tabPontoPed[[#This Row],[MENSAL]] - tabPontoPed[[#This Row],[CÁLCULO]] &gt; 0, 1, -8)), -9 )</f>
        <v>1</v>
      </c>
      <c r="W272" s="35"/>
      <c r="X272" s="49" t="s">
        <v>1564</v>
      </c>
      <c r="Y272" s="51">
        <v>44391.599108796298</v>
      </c>
      <c r="Z272" s="72">
        <f>tabPontoPed[CÁLC_4M] - tabPontoPed[CÁLCULO]</f>
        <v>47</v>
      </c>
      <c r="AA272" s="79" t="str">
        <f>IF(tabPontoPed[MENSAL]-tabPontoPed[ATA MENSAL] = 0,"sim","")</f>
        <v/>
      </c>
      <c r="AB272" s="79"/>
      <c r="AC272" s="47" t="str">
        <f t="shared" si="4"/>
        <v>*</v>
      </c>
    </row>
    <row r="273" spans="1:29" x14ac:dyDescent="0.25">
      <c r="A273" s="36">
        <v>81455</v>
      </c>
      <c r="B273" s="68" t="s">
        <v>988</v>
      </c>
      <c r="C273" s="33" t="s">
        <v>1317</v>
      </c>
      <c r="D273" s="32">
        <v>83</v>
      </c>
      <c r="E273" s="37">
        <v>4</v>
      </c>
      <c r="F273" s="38" t="str">
        <f>VLOOKUP(tabPontoPed[[#This Row],[GRUPO]],tabGrupos[#Data],2,FALSE)</f>
        <v>ABRASIVOS</v>
      </c>
      <c r="G273" s="32" t="str">
        <f>VLOOKUP(tabPontoPed[[#This Row],[GRUPO]],tabGrupos[#Data],3,FALSE)</f>
        <v>MAN</v>
      </c>
      <c r="H273" s="33" t="s">
        <v>1311</v>
      </c>
      <c r="I273" s="80">
        <v>4</v>
      </c>
      <c r="J273" s="39">
        <v>30</v>
      </c>
      <c r="K273" s="41">
        <f>tabPontoPed[[#This Row],[QTDMÊS]] * tabPontoPed[[#This Row],[MENSAL]]</f>
        <v>120</v>
      </c>
      <c r="L273" s="83"/>
      <c r="M273" s="81"/>
      <c r="N273" s="34" t="s">
        <v>1009</v>
      </c>
      <c r="O273" s="76" t="s">
        <v>1710</v>
      </c>
      <c r="P273" s="77">
        <v>0</v>
      </c>
      <c r="Q273" s="57">
        <v>18</v>
      </c>
      <c r="R273" s="42">
        <v>12</v>
      </c>
      <c r="S273" s="69" t="str">
        <f>_xlfn.IFNA(IF(VLOOKUP(tabPontoPed[[#This Row],[CÓDIGO]],tabExcluirDoEstoque[#Data],1,FALSE),"sim",""),"")</f>
        <v/>
      </c>
      <c r="T273" s="43">
        <f>IF(AND(tabPontoPed[[#This Row],[MENSAL]]&gt;0,tabPontoPed[[#This Row],[CÁLCULO]]&gt;0), ABS( tabPontoPed[[#This Row],[MENSAL]] - tabPontoPed[[#This Row],[CÁLCULO]] ) / tabPontoPed[[#This Row],[MENSAL]], -1 )</f>
        <v>0.6</v>
      </c>
      <c r="U273" s="58">
        <v>50</v>
      </c>
      <c r="V273" s="35">
        <f>IF(AND(tabPontoPed[[#This Row],[MENSAL]]&gt;0,tabPontoPed[[#This Row],[CÁLCULO]]&gt;0), IF( tabPontoPed[[#This Row],[MENSAL]] - tabPontoPed[[#This Row],[CÁLCULO]] &lt; 0, -1, IF( tabPontoPed[[#This Row],[MENSAL]] - tabPontoPed[[#This Row],[CÁLCULO]] &gt; 0, 1, -8)), -9 )</f>
        <v>1</v>
      </c>
      <c r="W273" s="35"/>
      <c r="X273" s="49" t="s">
        <v>1564</v>
      </c>
      <c r="Y273" s="51">
        <v>44391.599108796298</v>
      </c>
      <c r="Z273" s="72">
        <f>tabPontoPed[CÁLC_4M] - tabPontoPed[CÁLCULO]</f>
        <v>6</v>
      </c>
      <c r="AA273" s="79" t="str">
        <f>IF(tabPontoPed[MENSAL]-tabPontoPed[ATA MENSAL] = 0,"sim","")</f>
        <v/>
      </c>
      <c r="AB273" s="79"/>
      <c r="AC273" s="47" t="str">
        <f t="shared" si="4"/>
        <v>*</v>
      </c>
    </row>
    <row r="274" spans="1:29" x14ac:dyDescent="0.25">
      <c r="A274" s="36">
        <v>132232</v>
      </c>
      <c r="B274" s="68" t="s">
        <v>521</v>
      </c>
      <c r="C274" s="33" t="s">
        <v>1317</v>
      </c>
      <c r="D274" s="32">
        <v>51</v>
      </c>
      <c r="E274" s="37">
        <v>13</v>
      </c>
      <c r="F274" s="38" t="str">
        <f>VLOOKUP(tabPontoPed[[#This Row],[GRUPO]],tabGrupos[#Data],2,FALSE)</f>
        <v>MAT.E EQUIP. P/ CONSTR.CIVIL E CONSERV. DE VIAS PUBL.</v>
      </c>
      <c r="G274" s="32" t="str">
        <f>VLOOKUP(tabPontoPed[[#This Row],[GRUPO]],tabGrupos[#Data],3,FALSE)</f>
        <v>MCO</v>
      </c>
      <c r="H274" s="33" t="s">
        <v>1311</v>
      </c>
      <c r="I274" s="80">
        <v>4</v>
      </c>
      <c r="J274" s="39">
        <v>5</v>
      </c>
      <c r="K274" s="41">
        <f>tabPontoPed[[#This Row],[QTDMÊS]] * tabPontoPed[[#This Row],[MENSAL]]</f>
        <v>20</v>
      </c>
      <c r="L274" s="83"/>
      <c r="M274" s="81"/>
      <c r="N274" s="34" t="s">
        <v>1009</v>
      </c>
      <c r="O274" s="76" t="s">
        <v>1692</v>
      </c>
      <c r="P274" s="77">
        <v>0</v>
      </c>
      <c r="Q274" s="57">
        <v>0</v>
      </c>
      <c r="R274" s="42">
        <v>2</v>
      </c>
      <c r="S274" s="69" t="str">
        <f>_xlfn.IFNA(IF(VLOOKUP(tabPontoPed[[#This Row],[CÓDIGO]],tabExcluirDoEstoque[#Data],1,FALSE),"sim",""),"")</f>
        <v/>
      </c>
      <c r="T274" s="43">
        <f>IF(AND(tabPontoPed[[#This Row],[MENSAL]]&gt;0,tabPontoPed[[#This Row],[CÁLCULO]]&gt;0), ABS( tabPontoPed[[#This Row],[MENSAL]] - tabPontoPed[[#This Row],[CÁLCULO]] ) / tabPontoPed[[#This Row],[MENSAL]], -1 )</f>
        <v>0.6</v>
      </c>
      <c r="U274" s="58">
        <v>12</v>
      </c>
      <c r="V274" s="35">
        <f>IF(AND(tabPontoPed[[#This Row],[MENSAL]]&gt;0,tabPontoPed[[#This Row],[CÁLCULO]]&gt;0), IF( tabPontoPed[[#This Row],[MENSAL]] - tabPontoPed[[#This Row],[CÁLCULO]] &lt; 0, -1, IF( tabPontoPed[[#This Row],[MENSAL]] - tabPontoPed[[#This Row],[CÁLCULO]] &gt; 0, 1, -8)), -9 )</f>
        <v>1</v>
      </c>
      <c r="W274" s="35"/>
      <c r="X274" s="48" t="s">
        <v>1564</v>
      </c>
      <c r="Y274" s="53">
        <v>44391.599108796298</v>
      </c>
      <c r="Z274" s="72">
        <f>tabPontoPed[CÁLC_4M] - tabPontoPed[CÁLCULO]</f>
        <v>-2</v>
      </c>
      <c r="AA274" s="79" t="str">
        <f>IF(tabPontoPed[MENSAL]-tabPontoPed[ATA MENSAL] = 0,"sim","")</f>
        <v/>
      </c>
      <c r="AB274" s="79" t="s">
        <v>1614</v>
      </c>
      <c r="AC274" s="47" t="str">
        <f t="shared" si="4"/>
        <v>*</v>
      </c>
    </row>
    <row r="275" spans="1:29" x14ac:dyDescent="0.25">
      <c r="A275" s="36">
        <v>80298</v>
      </c>
      <c r="B275" s="68" t="s">
        <v>215</v>
      </c>
      <c r="C275" s="33" t="s">
        <v>1317</v>
      </c>
      <c r="D275" s="32">
        <v>51</v>
      </c>
      <c r="E275" s="37">
        <v>30</v>
      </c>
      <c r="F275" s="38" t="str">
        <f>VLOOKUP(tabPontoPed[[#This Row],[GRUPO]],tabGrupos[#Data],2,FALSE)</f>
        <v>MAT.E EQUIP. P/ CONSTR.CIVIL E CONSERV. DE VIAS PUBL.</v>
      </c>
      <c r="G275" s="32" t="str">
        <f>VLOOKUP(tabPontoPed[[#This Row],[GRUPO]],tabGrupos[#Data],3,FALSE)</f>
        <v>MCO</v>
      </c>
      <c r="H275" s="33" t="s">
        <v>1311</v>
      </c>
      <c r="I275" s="80">
        <v>4</v>
      </c>
      <c r="J275" s="39">
        <v>5</v>
      </c>
      <c r="K275" s="41">
        <f>tabPontoPed[[#This Row],[QTDMÊS]] * tabPontoPed[[#This Row],[MENSAL]]</f>
        <v>20</v>
      </c>
      <c r="L275" s="83"/>
      <c r="M275" s="81"/>
      <c r="N275" s="34" t="s">
        <v>1009</v>
      </c>
      <c r="O275" s="76" t="s">
        <v>1686</v>
      </c>
      <c r="P275" s="77">
        <v>0</v>
      </c>
      <c r="Q275" s="57">
        <v>2</v>
      </c>
      <c r="R275" s="42">
        <v>2</v>
      </c>
      <c r="S275" s="69" t="str">
        <f>_xlfn.IFNA(IF(VLOOKUP(tabPontoPed[[#This Row],[CÓDIGO]],tabExcluirDoEstoque[#Data],1,FALSE),"sim",""),"")</f>
        <v/>
      </c>
      <c r="T275" s="43">
        <f>IF(AND(tabPontoPed[[#This Row],[MENSAL]]&gt;0,tabPontoPed[[#This Row],[CÁLCULO]]&gt;0), ABS( tabPontoPed[[#This Row],[MENSAL]] - tabPontoPed[[#This Row],[CÁLCULO]] ) / tabPontoPed[[#This Row],[MENSAL]], -1 )</f>
        <v>0.6</v>
      </c>
      <c r="U275" s="58">
        <v>9</v>
      </c>
      <c r="V275" s="35">
        <f>IF(AND(tabPontoPed[[#This Row],[MENSAL]]&gt;0,tabPontoPed[[#This Row],[CÁLCULO]]&gt;0), IF( tabPontoPed[[#This Row],[MENSAL]] - tabPontoPed[[#This Row],[CÁLCULO]] &lt; 0, -1, IF( tabPontoPed[[#This Row],[MENSAL]] - tabPontoPed[[#This Row],[CÁLCULO]] &gt; 0, 1, -8)), -9 )</f>
        <v>1</v>
      </c>
      <c r="W275" s="35"/>
      <c r="X275" s="49" t="s">
        <v>1564</v>
      </c>
      <c r="Y275" s="51">
        <v>44391.599108796298</v>
      </c>
      <c r="Z275" s="72">
        <f>tabPontoPed[CÁLC_4M] - tabPontoPed[CÁLCULO]</f>
        <v>0</v>
      </c>
      <c r="AA275" s="79" t="str">
        <f>IF(tabPontoPed[MENSAL]-tabPontoPed[ATA MENSAL] = 0,"sim","")</f>
        <v/>
      </c>
      <c r="AB275" s="79"/>
      <c r="AC275" s="47" t="str">
        <f t="shared" si="4"/>
        <v>*</v>
      </c>
    </row>
    <row r="276" spans="1:29" x14ac:dyDescent="0.25">
      <c r="A276" s="36">
        <v>88730</v>
      </c>
      <c r="B276" s="68" t="s">
        <v>347</v>
      </c>
      <c r="C276" s="33" t="s">
        <v>1317</v>
      </c>
      <c r="D276" s="32">
        <v>55</v>
      </c>
      <c r="E276" s="37">
        <v>26</v>
      </c>
      <c r="F276" s="38" t="str">
        <f>VLOOKUP(tabPontoPed[[#This Row],[GRUPO]],tabGrupos[#Data],2,FALSE)</f>
        <v>EQUIP. MAT. P/ GERACAO, TRANSM. DISTR. RETIF...</v>
      </c>
      <c r="G276" s="32" t="str">
        <f>VLOOKUP(tabPontoPed[[#This Row],[GRUPO]],tabGrupos[#Data],3,FALSE)</f>
        <v>MEL</v>
      </c>
      <c r="H276" s="33" t="s">
        <v>1311</v>
      </c>
      <c r="I276" s="80">
        <v>4</v>
      </c>
      <c r="J276" s="39">
        <v>5</v>
      </c>
      <c r="K276" s="41">
        <f>tabPontoPed[[#This Row],[QTDMÊS]] * tabPontoPed[[#This Row],[MENSAL]]</f>
        <v>20</v>
      </c>
      <c r="L276" s="83"/>
      <c r="M276" s="81"/>
      <c r="N276" s="34" t="s">
        <v>1009</v>
      </c>
      <c r="O276" s="76" t="s">
        <v>1670</v>
      </c>
      <c r="P276" s="77">
        <v>0</v>
      </c>
      <c r="Q276" s="57">
        <v>2</v>
      </c>
      <c r="R276" s="42">
        <v>2</v>
      </c>
      <c r="S276" s="69" t="str">
        <f>_xlfn.IFNA(IF(VLOOKUP(tabPontoPed[[#This Row],[CÓDIGO]],tabExcluirDoEstoque[#Data],1,FALSE),"sim",""),"")</f>
        <v/>
      </c>
      <c r="T276" s="43">
        <f>IF(AND(tabPontoPed[[#This Row],[MENSAL]]&gt;0,tabPontoPed[[#This Row],[CÁLCULO]]&gt;0), ABS( tabPontoPed[[#This Row],[MENSAL]] - tabPontoPed[[#This Row],[CÁLCULO]] ) / tabPontoPed[[#This Row],[MENSAL]], -1 )</f>
        <v>0.6</v>
      </c>
      <c r="U276" s="58">
        <v>6</v>
      </c>
      <c r="V276" s="35">
        <f>IF(AND(tabPontoPed[[#This Row],[MENSAL]]&gt;0,tabPontoPed[[#This Row],[CÁLCULO]]&gt;0), IF( tabPontoPed[[#This Row],[MENSAL]] - tabPontoPed[[#This Row],[CÁLCULO]] &lt; 0, -1, IF( tabPontoPed[[#This Row],[MENSAL]] - tabPontoPed[[#This Row],[CÁLCULO]] &gt; 0, 1, -8)), -9 )</f>
        <v>1</v>
      </c>
      <c r="W276" s="35"/>
      <c r="X276" s="49" t="s">
        <v>1564</v>
      </c>
      <c r="Y276" s="51">
        <v>44391.599108796298</v>
      </c>
      <c r="Z276" s="72">
        <f>tabPontoPed[CÁLC_4M] - tabPontoPed[CÁLCULO]</f>
        <v>0</v>
      </c>
      <c r="AA276" s="79" t="str">
        <f>IF(tabPontoPed[MENSAL]-tabPontoPed[ATA MENSAL] = 0,"sim","")</f>
        <v/>
      </c>
      <c r="AB276" s="79" t="s">
        <v>1614</v>
      </c>
      <c r="AC276" s="47" t="str">
        <f t="shared" si="4"/>
        <v>*</v>
      </c>
    </row>
    <row r="277" spans="1:29" x14ac:dyDescent="0.25">
      <c r="A277" s="36">
        <v>12971</v>
      </c>
      <c r="B277" s="68" t="s">
        <v>20</v>
      </c>
      <c r="C277" s="33" t="s">
        <v>1317</v>
      </c>
      <c r="D277" s="32">
        <v>55</v>
      </c>
      <c r="E277" s="37">
        <v>31</v>
      </c>
      <c r="F277" s="38" t="str">
        <f>VLOOKUP(tabPontoPed[[#This Row],[GRUPO]],tabGrupos[#Data],2,FALSE)</f>
        <v>EQUIP. MAT. P/ GERACAO, TRANSM. DISTR. RETIF...</v>
      </c>
      <c r="G277" s="32" t="str">
        <f>VLOOKUP(tabPontoPed[[#This Row],[GRUPO]],tabGrupos[#Data],3,FALSE)</f>
        <v>MEL</v>
      </c>
      <c r="H277" s="33" t="s">
        <v>1311</v>
      </c>
      <c r="I277" s="80">
        <v>4</v>
      </c>
      <c r="J277" s="39">
        <v>20</v>
      </c>
      <c r="K277" s="41">
        <f>tabPontoPed[[#This Row],[QTDMÊS]] * tabPontoPed[[#This Row],[MENSAL]]</f>
        <v>80</v>
      </c>
      <c r="L277" s="83"/>
      <c r="M277" s="81"/>
      <c r="N277" s="34" t="s">
        <v>1009</v>
      </c>
      <c r="O277" s="76" t="s">
        <v>1676</v>
      </c>
      <c r="P277" s="77">
        <v>0</v>
      </c>
      <c r="Q277" s="57">
        <v>2</v>
      </c>
      <c r="R277" s="42">
        <v>8</v>
      </c>
      <c r="S277" s="69" t="str">
        <f>_xlfn.IFNA(IF(VLOOKUP(tabPontoPed[[#This Row],[CÓDIGO]],tabExcluirDoEstoque[#Data],1,FALSE),"sim",""),"")</f>
        <v/>
      </c>
      <c r="T277" s="43">
        <f>IF(AND(tabPontoPed[[#This Row],[MENSAL]]&gt;0,tabPontoPed[[#This Row],[CÁLCULO]]&gt;0), ABS( tabPontoPed[[#This Row],[MENSAL]] - tabPontoPed[[#This Row],[CÁLCULO]] ) / tabPontoPed[[#This Row],[MENSAL]], -1 )</f>
        <v>0.6</v>
      </c>
      <c r="U277" s="58">
        <v>48</v>
      </c>
      <c r="V277" s="35">
        <f>IF(AND(tabPontoPed[[#This Row],[MENSAL]]&gt;0,tabPontoPed[[#This Row],[CÁLCULO]]&gt;0), IF( tabPontoPed[[#This Row],[MENSAL]] - tabPontoPed[[#This Row],[CÁLCULO]] &lt; 0, -1, IF( tabPontoPed[[#This Row],[MENSAL]] - tabPontoPed[[#This Row],[CÁLCULO]] &gt; 0, 1, -8)), -9 )</f>
        <v>1</v>
      </c>
      <c r="W277" s="35"/>
      <c r="X277" s="48" t="s">
        <v>1564</v>
      </c>
      <c r="Y277" s="53">
        <v>44391.599108796298</v>
      </c>
      <c r="Z277" s="72">
        <f>tabPontoPed[CÁLC_4M] - tabPontoPed[CÁLCULO]</f>
        <v>-6</v>
      </c>
      <c r="AA277" s="79" t="str">
        <f>IF(tabPontoPed[MENSAL]-tabPontoPed[ATA MENSAL] = 0,"sim","")</f>
        <v/>
      </c>
      <c r="AB277" s="79"/>
      <c r="AC277" s="47" t="str">
        <f t="shared" si="4"/>
        <v>*</v>
      </c>
    </row>
    <row r="278" spans="1:29" x14ac:dyDescent="0.25">
      <c r="A278" s="36">
        <v>120995</v>
      </c>
      <c r="B278" s="68" t="s">
        <v>655</v>
      </c>
      <c r="C278" s="33" t="s">
        <v>1317</v>
      </c>
      <c r="D278" s="32">
        <v>55</v>
      </c>
      <c r="E278" s="37">
        <v>32</v>
      </c>
      <c r="F278" s="38" t="str">
        <f>VLOOKUP(tabPontoPed[[#This Row],[GRUPO]],tabGrupos[#Data],2,FALSE)</f>
        <v>EQUIP. MAT. P/ GERACAO, TRANSM. DISTR. RETIF...</v>
      </c>
      <c r="G278" s="32" t="str">
        <f>VLOOKUP(tabPontoPed[[#This Row],[GRUPO]],tabGrupos[#Data],3,FALSE)</f>
        <v>MEL</v>
      </c>
      <c r="H278" s="33" t="s">
        <v>1311</v>
      </c>
      <c r="I278" s="80">
        <v>4</v>
      </c>
      <c r="J278" s="39">
        <v>10</v>
      </c>
      <c r="K278" s="41">
        <f>tabPontoPed[[#This Row],[QTDMÊS]] * tabPontoPed[[#This Row],[MENSAL]]</f>
        <v>40</v>
      </c>
      <c r="L278" s="83"/>
      <c r="M278" s="81"/>
      <c r="N278" s="34" t="s">
        <v>1009</v>
      </c>
      <c r="O278" s="76" t="s">
        <v>1682</v>
      </c>
      <c r="P278" s="77">
        <v>0</v>
      </c>
      <c r="Q278" s="57">
        <v>8</v>
      </c>
      <c r="R278" s="42">
        <v>4</v>
      </c>
      <c r="S278" s="69" t="str">
        <f>_xlfn.IFNA(IF(VLOOKUP(tabPontoPed[[#This Row],[CÓDIGO]],tabExcluirDoEstoque[#Data],1,FALSE),"sim",""),"")</f>
        <v/>
      </c>
      <c r="T278" s="43">
        <f>IF(AND(tabPontoPed[[#This Row],[MENSAL]]&gt;0,tabPontoPed[[#This Row],[CÁLCULO]]&gt;0), ABS( tabPontoPed[[#This Row],[MENSAL]] - tabPontoPed[[#This Row],[CÁLCULO]] ) / tabPontoPed[[#This Row],[MENSAL]], -1 )</f>
        <v>0.6</v>
      </c>
      <c r="U278" s="58">
        <v>20</v>
      </c>
      <c r="V278" s="35">
        <f>IF(AND(tabPontoPed[[#This Row],[MENSAL]]&gt;0,tabPontoPed[[#This Row],[CÁLCULO]]&gt;0), IF( tabPontoPed[[#This Row],[MENSAL]] - tabPontoPed[[#This Row],[CÁLCULO]] &lt; 0, -1, IF( tabPontoPed[[#This Row],[MENSAL]] - tabPontoPed[[#This Row],[CÁLCULO]] &gt; 0, 1, -8)), -9 )</f>
        <v>1</v>
      </c>
      <c r="W278" s="35"/>
      <c r="X278" s="49" t="s">
        <v>1564</v>
      </c>
      <c r="Y278" s="51">
        <v>44391.599108796298</v>
      </c>
      <c r="Z278" s="72">
        <f>tabPontoPed[CÁLC_4M] - tabPontoPed[CÁLCULO]</f>
        <v>4</v>
      </c>
      <c r="AA278" s="79" t="str">
        <f>IF(tabPontoPed[MENSAL]-tabPontoPed[ATA MENSAL] = 0,"sim","")</f>
        <v/>
      </c>
      <c r="AB278" s="79"/>
      <c r="AC278" s="47" t="str">
        <f t="shared" si="4"/>
        <v>*</v>
      </c>
    </row>
    <row r="279" spans="1:29" x14ac:dyDescent="0.25">
      <c r="A279" s="36">
        <v>54587</v>
      </c>
      <c r="B279" s="68" t="s">
        <v>277</v>
      </c>
      <c r="C279" s="33" t="s">
        <v>1317</v>
      </c>
      <c r="D279" s="32">
        <v>61</v>
      </c>
      <c r="E279" s="37">
        <v>2</v>
      </c>
      <c r="F279" s="38" t="str">
        <f>VLOOKUP(tabPontoPed[[#This Row],[GRUPO]],tabGrupos[#Data],2,FALSE)</f>
        <v>MATERIAL HIDRAULICO, CANOS, TUBOS, MANGUEIRAS, CONEXOES E ACESS.</v>
      </c>
      <c r="G279" s="32" t="str">
        <f>VLOOKUP(tabPontoPed[[#This Row],[GRUPO]],tabGrupos[#Data],3,FALSE)</f>
        <v>MHI</v>
      </c>
      <c r="H279" s="33" t="s">
        <v>1311</v>
      </c>
      <c r="I279" s="80">
        <v>4</v>
      </c>
      <c r="J279" s="39">
        <v>5</v>
      </c>
      <c r="K279" s="41">
        <f>tabPontoPed[[#This Row],[QTDMÊS]] * tabPontoPed[[#This Row],[MENSAL]]</f>
        <v>20</v>
      </c>
      <c r="L279" s="83"/>
      <c r="M279" s="81"/>
      <c r="N279" s="34" t="s">
        <v>1009</v>
      </c>
      <c r="O279" s="76" t="s">
        <v>1678</v>
      </c>
      <c r="P279" s="77">
        <v>0</v>
      </c>
      <c r="Q279" s="57">
        <v>3</v>
      </c>
      <c r="R279" s="42">
        <v>2</v>
      </c>
      <c r="S279" s="69" t="str">
        <f>_xlfn.IFNA(IF(VLOOKUP(tabPontoPed[[#This Row],[CÓDIGO]],tabExcluirDoEstoque[#Data],1,FALSE),"sim",""),"")</f>
        <v/>
      </c>
      <c r="T279" s="43">
        <f>IF(AND(tabPontoPed[[#This Row],[MENSAL]]&gt;0,tabPontoPed[[#This Row],[CÁLCULO]]&gt;0), ABS( tabPontoPed[[#This Row],[MENSAL]] - tabPontoPed[[#This Row],[CÁLCULO]] ) / tabPontoPed[[#This Row],[MENSAL]], -1 )</f>
        <v>0.6</v>
      </c>
      <c r="U279" s="58">
        <v>6</v>
      </c>
      <c r="V279" s="35">
        <f>IF(AND(tabPontoPed[[#This Row],[MENSAL]]&gt;0,tabPontoPed[[#This Row],[CÁLCULO]]&gt;0), IF( tabPontoPed[[#This Row],[MENSAL]] - tabPontoPed[[#This Row],[CÁLCULO]] &lt; 0, -1, IF( tabPontoPed[[#This Row],[MENSAL]] - tabPontoPed[[#This Row],[CÁLCULO]] &gt; 0, 1, -8)), -9 )</f>
        <v>1</v>
      </c>
      <c r="W279" s="35"/>
      <c r="X279" s="49" t="s">
        <v>1564</v>
      </c>
      <c r="Y279" s="51">
        <v>44391.599108796298</v>
      </c>
      <c r="Z279" s="72">
        <f>tabPontoPed[CÁLC_4M] - tabPontoPed[CÁLCULO]</f>
        <v>1</v>
      </c>
      <c r="AA279" s="79" t="str">
        <f>IF(tabPontoPed[MENSAL]-tabPontoPed[ATA MENSAL] = 0,"sim","")</f>
        <v/>
      </c>
      <c r="AB279" s="79" t="s">
        <v>1614</v>
      </c>
      <c r="AC279" s="47" t="str">
        <f t="shared" si="4"/>
        <v>*</v>
      </c>
    </row>
    <row r="280" spans="1:29" x14ac:dyDescent="0.25">
      <c r="A280" s="36">
        <v>13560</v>
      </c>
      <c r="B280" s="68" t="s">
        <v>252</v>
      </c>
      <c r="C280" s="33" t="s">
        <v>1317</v>
      </c>
      <c r="D280" s="32">
        <v>61</v>
      </c>
      <c r="E280" s="37">
        <v>2</v>
      </c>
      <c r="F280" s="38" t="str">
        <f>VLOOKUP(tabPontoPed[[#This Row],[GRUPO]],tabGrupos[#Data],2,FALSE)</f>
        <v>MATERIAL HIDRAULICO, CANOS, TUBOS, MANGUEIRAS, CONEXOES E ACESS.</v>
      </c>
      <c r="G280" s="32" t="str">
        <f>VLOOKUP(tabPontoPed[[#This Row],[GRUPO]],tabGrupos[#Data],3,FALSE)</f>
        <v>MHI</v>
      </c>
      <c r="H280" s="33" t="s">
        <v>1311</v>
      </c>
      <c r="I280" s="80">
        <v>4</v>
      </c>
      <c r="J280" s="39">
        <v>5</v>
      </c>
      <c r="K280" s="41">
        <f>tabPontoPed[[#This Row],[QTDMÊS]] * tabPontoPed[[#This Row],[MENSAL]]</f>
        <v>20</v>
      </c>
      <c r="L280" s="83"/>
      <c r="M280" s="81"/>
      <c r="N280" s="34" t="s">
        <v>1009</v>
      </c>
      <c r="O280" s="76" t="s">
        <v>1687</v>
      </c>
      <c r="P280" s="77">
        <v>0</v>
      </c>
      <c r="Q280" s="57">
        <v>1</v>
      </c>
      <c r="R280" s="42">
        <v>2</v>
      </c>
      <c r="S280" s="69" t="str">
        <f>_xlfn.IFNA(IF(VLOOKUP(tabPontoPed[[#This Row],[CÓDIGO]],tabExcluirDoEstoque[#Data],1,FALSE),"sim",""),"")</f>
        <v/>
      </c>
      <c r="T280" s="43">
        <f>IF(AND(tabPontoPed[[#This Row],[MENSAL]]&gt;0,tabPontoPed[[#This Row],[CÁLCULO]]&gt;0), ABS( tabPontoPed[[#This Row],[MENSAL]] - tabPontoPed[[#This Row],[CÁLCULO]] ) / tabPontoPed[[#This Row],[MENSAL]], -1 )</f>
        <v>0.6</v>
      </c>
      <c r="U280" s="58">
        <v>6</v>
      </c>
      <c r="V280" s="35">
        <f>IF(AND(tabPontoPed[[#This Row],[MENSAL]]&gt;0,tabPontoPed[[#This Row],[CÁLCULO]]&gt;0), IF( tabPontoPed[[#This Row],[MENSAL]] - tabPontoPed[[#This Row],[CÁLCULO]] &lt; 0, -1, IF( tabPontoPed[[#This Row],[MENSAL]] - tabPontoPed[[#This Row],[CÁLCULO]] &gt; 0, 1, -8)), -9 )</f>
        <v>1</v>
      </c>
      <c r="W280" s="35"/>
      <c r="X280" s="49" t="s">
        <v>1564</v>
      </c>
      <c r="Y280" s="51">
        <v>44391.599108796298</v>
      </c>
      <c r="Z280" s="72">
        <f>tabPontoPed[CÁLC_4M] - tabPontoPed[CÁLCULO]</f>
        <v>-1</v>
      </c>
      <c r="AA280" s="79" t="str">
        <f>IF(tabPontoPed[MENSAL]-tabPontoPed[ATA MENSAL] = 0,"sim","")</f>
        <v/>
      </c>
      <c r="AB280" s="79" t="s">
        <v>1614</v>
      </c>
      <c r="AC280" s="47" t="str">
        <f t="shared" si="4"/>
        <v>*</v>
      </c>
    </row>
    <row r="281" spans="1:29" x14ac:dyDescent="0.25">
      <c r="A281" s="36">
        <v>77110</v>
      </c>
      <c r="B281" s="68" t="s">
        <v>765</v>
      </c>
      <c r="C281" s="33" t="s">
        <v>1317</v>
      </c>
      <c r="D281" s="32">
        <v>61</v>
      </c>
      <c r="E281" s="37">
        <v>8</v>
      </c>
      <c r="F281" s="38" t="str">
        <f>VLOOKUP(tabPontoPed[[#This Row],[GRUPO]],tabGrupos[#Data],2,FALSE)</f>
        <v>MATERIAL HIDRAULICO, CANOS, TUBOS, MANGUEIRAS, CONEXOES E ACESS.</v>
      </c>
      <c r="G281" s="32" t="str">
        <f>VLOOKUP(tabPontoPed[[#This Row],[GRUPO]],tabGrupos[#Data],3,FALSE)</f>
        <v>MHI</v>
      </c>
      <c r="H281" s="33" t="s">
        <v>1311</v>
      </c>
      <c r="I281" s="80">
        <v>4</v>
      </c>
      <c r="J281" s="39">
        <v>5</v>
      </c>
      <c r="K281" s="41">
        <f>tabPontoPed[[#This Row],[QTDMÊS]] * tabPontoPed[[#This Row],[MENSAL]]</f>
        <v>20</v>
      </c>
      <c r="L281" s="83"/>
      <c r="M281" s="81"/>
      <c r="N281" s="34" t="s">
        <v>1009</v>
      </c>
      <c r="O281" s="76" t="s">
        <v>1691</v>
      </c>
      <c r="P281" s="77">
        <v>0</v>
      </c>
      <c r="Q281" s="57">
        <v>3</v>
      </c>
      <c r="R281" s="42">
        <v>2</v>
      </c>
      <c r="S281" s="69" t="str">
        <f>_xlfn.IFNA(IF(VLOOKUP(tabPontoPed[[#This Row],[CÓDIGO]],tabExcluirDoEstoque[#Data],1,FALSE),"sim",""),"")</f>
        <v/>
      </c>
      <c r="T281" s="43">
        <f>IF(AND(tabPontoPed[[#This Row],[MENSAL]]&gt;0,tabPontoPed[[#This Row],[CÁLCULO]]&gt;0), ABS( tabPontoPed[[#This Row],[MENSAL]] - tabPontoPed[[#This Row],[CÁLCULO]] ) / tabPontoPed[[#This Row],[MENSAL]], -1 )</f>
        <v>0.6</v>
      </c>
      <c r="U281" s="58">
        <v>5</v>
      </c>
      <c r="V281" s="35">
        <f>IF(AND(tabPontoPed[[#This Row],[MENSAL]]&gt;0,tabPontoPed[[#This Row],[CÁLCULO]]&gt;0), IF( tabPontoPed[[#This Row],[MENSAL]] - tabPontoPed[[#This Row],[CÁLCULO]] &lt; 0, -1, IF( tabPontoPed[[#This Row],[MENSAL]] - tabPontoPed[[#This Row],[CÁLCULO]] &gt; 0, 1, -8)), -9 )</f>
        <v>1</v>
      </c>
      <c r="W281" s="35"/>
      <c r="X281" s="48" t="s">
        <v>1564</v>
      </c>
      <c r="Y281" s="53">
        <v>44391.599108796298</v>
      </c>
      <c r="Z281" s="72">
        <f>tabPontoPed[CÁLC_4M] - tabPontoPed[CÁLCULO]</f>
        <v>1</v>
      </c>
      <c r="AA281" s="79" t="str">
        <f>IF(tabPontoPed[MENSAL]-tabPontoPed[ATA MENSAL] = 0,"sim","")</f>
        <v/>
      </c>
      <c r="AB281" s="79" t="s">
        <v>1614</v>
      </c>
      <c r="AC281" s="47" t="str">
        <f t="shared" si="4"/>
        <v>*</v>
      </c>
    </row>
    <row r="282" spans="1:29" x14ac:dyDescent="0.25">
      <c r="A282" s="36">
        <v>12948</v>
      </c>
      <c r="B282" s="68" t="s">
        <v>736</v>
      </c>
      <c r="C282" s="33" t="s">
        <v>1317</v>
      </c>
      <c r="D282" s="32">
        <v>61</v>
      </c>
      <c r="E282" s="37">
        <v>8</v>
      </c>
      <c r="F282" s="38" t="str">
        <f>VLOOKUP(tabPontoPed[[#This Row],[GRUPO]],tabGrupos[#Data],2,FALSE)</f>
        <v>MATERIAL HIDRAULICO, CANOS, TUBOS, MANGUEIRAS, CONEXOES E ACESS.</v>
      </c>
      <c r="G282" s="32" t="str">
        <f>VLOOKUP(tabPontoPed[[#This Row],[GRUPO]],tabGrupos[#Data],3,FALSE)</f>
        <v>MHI</v>
      </c>
      <c r="H282" s="33" t="s">
        <v>1311</v>
      </c>
      <c r="I282" s="80">
        <v>4</v>
      </c>
      <c r="J282" s="39">
        <v>5</v>
      </c>
      <c r="K282" s="41">
        <f>tabPontoPed[[#This Row],[QTDMÊS]] * tabPontoPed[[#This Row],[MENSAL]]</f>
        <v>20</v>
      </c>
      <c r="L282" s="83"/>
      <c r="M282" s="81"/>
      <c r="N282" s="34" t="s">
        <v>1009</v>
      </c>
      <c r="O282" s="76" t="s">
        <v>1691</v>
      </c>
      <c r="P282" s="77">
        <v>0</v>
      </c>
      <c r="Q282" s="57">
        <v>1</v>
      </c>
      <c r="R282" s="42">
        <v>2</v>
      </c>
      <c r="S282" s="69" t="str">
        <f>_xlfn.IFNA(IF(VLOOKUP(tabPontoPed[[#This Row],[CÓDIGO]],tabExcluirDoEstoque[#Data],1,FALSE),"sim",""),"")</f>
        <v/>
      </c>
      <c r="T282" s="43">
        <f>IF(AND(tabPontoPed[[#This Row],[MENSAL]]&gt;0,tabPontoPed[[#This Row],[CÁLCULO]]&gt;0), ABS( tabPontoPed[[#This Row],[MENSAL]] - tabPontoPed[[#This Row],[CÁLCULO]] ) / tabPontoPed[[#This Row],[MENSAL]], -1 )</f>
        <v>0.6</v>
      </c>
      <c r="U282" s="58">
        <v>5</v>
      </c>
      <c r="V282" s="35">
        <f>IF(AND(tabPontoPed[[#This Row],[MENSAL]]&gt;0,tabPontoPed[[#This Row],[CÁLCULO]]&gt;0), IF( tabPontoPed[[#This Row],[MENSAL]] - tabPontoPed[[#This Row],[CÁLCULO]] &lt; 0, -1, IF( tabPontoPed[[#This Row],[MENSAL]] - tabPontoPed[[#This Row],[CÁLCULO]] &gt; 0, 1, -8)), -9 )</f>
        <v>1</v>
      </c>
      <c r="W282" s="35"/>
      <c r="X282" s="49" t="s">
        <v>1564</v>
      </c>
      <c r="Y282" s="51">
        <v>44391.599108796298</v>
      </c>
      <c r="Z282" s="72">
        <f>tabPontoPed[CÁLC_4M] - tabPontoPed[CÁLCULO]</f>
        <v>-1</v>
      </c>
      <c r="AA282" s="79" t="str">
        <f>IF(tabPontoPed[MENSAL]-tabPontoPed[ATA MENSAL] = 0,"sim","")</f>
        <v/>
      </c>
      <c r="AB282" s="79" t="s">
        <v>1614</v>
      </c>
      <c r="AC282" s="47" t="str">
        <f t="shared" si="4"/>
        <v>*</v>
      </c>
    </row>
    <row r="283" spans="1:29" x14ac:dyDescent="0.25">
      <c r="A283" s="36">
        <v>12956</v>
      </c>
      <c r="B283" s="68" t="s">
        <v>738</v>
      </c>
      <c r="C283" s="33" t="s">
        <v>1317</v>
      </c>
      <c r="D283" s="32">
        <v>61</v>
      </c>
      <c r="E283" s="37">
        <v>8</v>
      </c>
      <c r="F283" s="38" t="str">
        <f>VLOOKUP(tabPontoPed[[#This Row],[GRUPO]],tabGrupos[#Data],2,FALSE)</f>
        <v>MATERIAL HIDRAULICO, CANOS, TUBOS, MANGUEIRAS, CONEXOES E ACESS.</v>
      </c>
      <c r="G283" s="32" t="str">
        <f>VLOOKUP(tabPontoPed[[#This Row],[GRUPO]],tabGrupos[#Data],3,FALSE)</f>
        <v>MHI</v>
      </c>
      <c r="H283" s="33" t="s">
        <v>1311</v>
      </c>
      <c r="I283" s="80">
        <v>4</v>
      </c>
      <c r="J283" s="39">
        <v>100</v>
      </c>
      <c r="K283" s="41">
        <f>tabPontoPed[[#This Row],[QTDMÊS]] * tabPontoPed[[#This Row],[MENSAL]]</f>
        <v>400</v>
      </c>
      <c r="L283" s="83"/>
      <c r="M283" s="81"/>
      <c r="N283" s="34" t="s">
        <v>1009</v>
      </c>
      <c r="O283" s="76" t="s">
        <v>1691</v>
      </c>
      <c r="P283" s="77">
        <v>0</v>
      </c>
      <c r="Q283" s="57">
        <v>38</v>
      </c>
      <c r="R283" s="42">
        <v>40</v>
      </c>
      <c r="S283" s="69" t="str">
        <f>_xlfn.IFNA(IF(VLOOKUP(tabPontoPed[[#This Row],[CÓDIGO]],tabExcluirDoEstoque[#Data],1,FALSE),"sim",""),"")</f>
        <v/>
      </c>
      <c r="T283" s="43">
        <f>IF(AND(tabPontoPed[[#This Row],[MENSAL]]&gt;0,tabPontoPed[[#This Row],[CÁLCULO]]&gt;0), ABS( tabPontoPed[[#This Row],[MENSAL]] - tabPontoPed[[#This Row],[CÁLCULO]] ) / tabPontoPed[[#This Row],[MENSAL]], -1 )</f>
        <v>0.6</v>
      </c>
      <c r="U283" s="58">
        <v>103</v>
      </c>
      <c r="V283" s="35">
        <f>IF(AND(tabPontoPed[[#This Row],[MENSAL]]&gt;0,tabPontoPed[[#This Row],[CÁLCULO]]&gt;0), IF( tabPontoPed[[#This Row],[MENSAL]] - tabPontoPed[[#This Row],[CÁLCULO]] &lt; 0, -1, IF( tabPontoPed[[#This Row],[MENSAL]] - tabPontoPed[[#This Row],[CÁLCULO]] &gt; 0, 1, -8)), -9 )</f>
        <v>1</v>
      </c>
      <c r="W283" s="35"/>
      <c r="X283" s="48" t="s">
        <v>1564</v>
      </c>
      <c r="Y283" s="53">
        <v>44391.599108796298</v>
      </c>
      <c r="Z283" s="72">
        <f>tabPontoPed[CÁLC_4M] - tabPontoPed[CÁLCULO]</f>
        <v>-2</v>
      </c>
      <c r="AA283" s="79" t="str">
        <f>IF(tabPontoPed[MENSAL]-tabPontoPed[ATA MENSAL] = 0,"sim","")</f>
        <v/>
      </c>
      <c r="AB283" s="79"/>
      <c r="AC283" s="47" t="str">
        <f t="shared" si="4"/>
        <v>*</v>
      </c>
    </row>
    <row r="284" spans="1:29" x14ac:dyDescent="0.25">
      <c r="A284" s="36">
        <v>13095</v>
      </c>
      <c r="B284" s="68" t="s">
        <v>741</v>
      </c>
      <c r="C284" s="33" t="s">
        <v>1317</v>
      </c>
      <c r="D284" s="32">
        <v>61</v>
      </c>
      <c r="E284" s="37">
        <v>8</v>
      </c>
      <c r="F284" s="38" t="str">
        <f>VLOOKUP(tabPontoPed[[#This Row],[GRUPO]],tabGrupos[#Data],2,FALSE)</f>
        <v>MATERIAL HIDRAULICO, CANOS, TUBOS, MANGUEIRAS, CONEXOES E ACESS.</v>
      </c>
      <c r="G284" s="32" t="str">
        <f>VLOOKUP(tabPontoPed[[#This Row],[GRUPO]],tabGrupos[#Data],3,FALSE)</f>
        <v>MHI</v>
      </c>
      <c r="H284" s="33" t="s">
        <v>1311</v>
      </c>
      <c r="I284" s="80">
        <v>4</v>
      </c>
      <c r="J284" s="39">
        <v>20</v>
      </c>
      <c r="K284" s="41">
        <f>tabPontoPed[[#This Row],[QTDMÊS]] * tabPontoPed[[#This Row],[MENSAL]]</f>
        <v>80</v>
      </c>
      <c r="L284" s="83"/>
      <c r="M284" s="81"/>
      <c r="N284" s="34" t="s">
        <v>1009</v>
      </c>
      <c r="O284" s="76" t="s">
        <v>1691</v>
      </c>
      <c r="P284" s="77">
        <v>0</v>
      </c>
      <c r="Q284" s="57">
        <v>6</v>
      </c>
      <c r="R284" s="42">
        <v>8</v>
      </c>
      <c r="S284" s="69" t="str">
        <f>_xlfn.IFNA(IF(VLOOKUP(tabPontoPed[[#This Row],[CÓDIGO]],tabExcluirDoEstoque[#Data],1,FALSE),"sim",""),"")</f>
        <v/>
      </c>
      <c r="T284" s="43">
        <f>IF(AND(tabPontoPed[[#This Row],[MENSAL]]&gt;0,tabPontoPed[[#This Row],[CÁLCULO]]&gt;0), ABS( tabPontoPed[[#This Row],[MENSAL]] - tabPontoPed[[#This Row],[CÁLCULO]] ) / tabPontoPed[[#This Row],[MENSAL]], -1 )</f>
        <v>0.6</v>
      </c>
      <c r="U284" s="58">
        <v>26</v>
      </c>
      <c r="V284" s="35">
        <f>IF(AND(tabPontoPed[[#This Row],[MENSAL]]&gt;0,tabPontoPed[[#This Row],[CÁLCULO]]&gt;0), IF( tabPontoPed[[#This Row],[MENSAL]] - tabPontoPed[[#This Row],[CÁLCULO]] &lt; 0, -1, IF( tabPontoPed[[#This Row],[MENSAL]] - tabPontoPed[[#This Row],[CÁLCULO]] &gt; 0, 1, -8)), -9 )</f>
        <v>1</v>
      </c>
      <c r="W284" s="35"/>
      <c r="X284" s="49" t="s">
        <v>1564</v>
      </c>
      <c r="Y284" s="51">
        <v>44391.599108796298</v>
      </c>
      <c r="Z284" s="72">
        <f>tabPontoPed[CÁLC_4M] - tabPontoPed[CÁLCULO]</f>
        <v>-2</v>
      </c>
      <c r="AA284" s="79" t="str">
        <f>IF(tabPontoPed[MENSAL]-tabPontoPed[ATA MENSAL] = 0,"sim","")</f>
        <v/>
      </c>
      <c r="AB284" s="79"/>
      <c r="AC284" s="47" t="str">
        <f t="shared" si="4"/>
        <v>*</v>
      </c>
    </row>
    <row r="285" spans="1:29" x14ac:dyDescent="0.25">
      <c r="A285" s="36">
        <v>13563</v>
      </c>
      <c r="B285" s="68" t="s">
        <v>787</v>
      </c>
      <c r="C285" s="33" t="s">
        <v>1317</v>
      </c>
      <c r="D285" s="32">
        <v>61</v>
      </c>
      <c r="E285" s="37">
        <v>15</v>
      </c>
      <c r="F285" s="38" t="str">
        <f>VLOOKUP(tabPontoPed[[#This Row],[GRUPO]],tabGrupos[#Data],2,FALSE)</f>
        <v>MATERIAL HIDRAULICO, CANOS, TUBOS, MANGUEIRAS, CONEXOES E ACESS.</v>
      </c>
      <c r="G285" s="32" t="str">
        <f>VLOOKUP(tabPontoPed[[#This Row],[GRUPO]],tabGrupos[#Data],3,FALSE)</f>
        <v>MHI</v>
      </c>
      <c r="H285" s="33" t="s">
        <v>1311</v>
      </c>
      <c r="I285" s="80">
        <v>4</v>
      </c>
      <c r="J285" s="39">
        <v>40</v>
      </c>
      <c r="K285" s="41">
        <f>tabPontoPed[[#This Row],[QTDMÊS]] * tabPontoPed[[#This Row],[MENSAL]]</f>
        <v>160</v>
      </c>
      <c r="L285" s="83"/>
      <c r="M285" s="81"/>
      <c r="N285" s="34" t="s">
        <v>1009</v>
      </c>
      <c r="O285" s="76" t="s">
        <v>1679</v>
      </c>
      <c r="P285" s="77">
        <v>0</v>
      </c>
      <c r="Q285" s="57">
        <v>22</v>
      </c>
      <c r="R285" s="42">
        <v>16</v>
      </c>
      <c r="S285" s="69" t="str">
        <f>_xlfn.IFNA(IF(VLOOKUP(tabPontoPed[[#This Row],[CÓDIGO]],tabExcluirDoEstoque[#Data],1,FALSE),"sim",""),"")</f>
        <v/>
      </c>
      <c r="T285" s="43">
        <f>IF(AND(tabPontoPed[[#This Row],[MENSAL]]&gt;0,tabPontoPed[[#This Row],[CÁLCULO]]&gt;0), ABS( tabPontoPed[[#This Row],[MENSAL]] - tabPontoPed[[#This Row],[CÁLCULO]] ) / tabPontoPed[[#This Row],[MENSAL]], -1 )</f>
        <v>0.6</v>
      </c>
      <c r="U285" s="58">
        <v>30</v>
      </c>
      <c r="V285" s="35">
        <f>IF(AND(tabPontoPed[[#This Row],[MENSAL]]&gt;0,tabPontoPed[[#This Row],[CÁLCULO]]&gt;0), IF( tabPontoPed[[#This Row],[MENSAL]] - tabPontoPed[[#This Row],[CÁLCULO]] &lt; 0, -1, IF( tabPontoPed[[#This Row],[MENSAL]] - tabPontoPed[[#This Row],[CÁLCULO]] &gt; 0, 1, -8)), -9 )</f>
        <v>1</v>
      </c>
      <c r="W285" s="35"/>
      <c r="X285" s="48" t="s">
        <v>1564</v>
      </c>
      <c r="Y285" s="53">
        <v>44391.599108796298</v>
      </c>
      <c r="Z285" s="72">
        <f>tabPontoPed[CÁLC_4M] - tabPontoPed[CÁLCULO]</f>
        <v>6</v>
      </c>
      <c r="AA285" s="79" t="str">
        <f>IF(tabPontoPed[MENSAL]-tabPontoPed[ATA MENSAL] = 0,"sim","")</f>
        <v/>
      </c>
      <c r="AB285" s="79"/>
      <c r="AC285" s="47" t="str">
        <f t="shared" si="4"/>
        <v>*</v>
      </c>
    </row>
    <row r="286" spans="1:29" x14ac:dyDescent="0.25">
      <c r="A286" s="36">
        <v>27760</v>
      </c>
      <c r="B286" s="68" t="s">
        <v>790</v>
      </c>
      <c r="C286" s="33" t="s">
        <v>1317</v>
      </c>
      <c r="D286" s="32">
        <v>61</v>
      </c>
      <c r="E286" s="37">
        <v>15</v>
      </c>
      <c r="F286" s="38" t="str">
        <f>VLOOKUP(tabPontoPed[[#This Row],[GRUPO]],tabGrupos[#Data],2,FALSE)</f>
        <v>MATERIAL HIDRAULICO, CANOS, TUBOS, MANGUEIRAS, CONEXOES E ACESS.</v>
      </c>
      <c r="G286" s="32" t="str">
        <f>VLOOKUP(tabPontoPed[[#This Row],[GRUPO]],tabGrupos[#Data],3,FALSE)</f>
        <v>MHI</v>
      </c>
      <c r="H286" s="33" t="s">
        <v>1311</v>
      </c>
      <c r="I286" s="80">
        <v>4</v>
      </c>
      <c r="J286" s="39">
        <v>5</v>
      </c>
      <c r="K286" s="41">
        <f>tabPontoPed[[#This Row],[QTDMÊS]] * tabPontoPed[[#This Row],[MENSAL]]</f>
        <v>20</v>
      </c>
      <c r="L286" s="83"/>
      <c r="M286" s="81"/>
      <c r="N286" s="34" t="s">
        <v>1009</v>
      </c>
      <c r="O286" s="76" t="s">
        <v>1691</v>
      </c>
      <c r="P286" s="77">
        <v>0</v>
      </c>
      <c r="Q286" s="57">
        <v>1</v>
      </c>
      <c r="R286" s="42">
        <v>2</v>
      </c>
      <c r="S286" s="69" t="str">
        <f>_xlfn.IFNA(IF(VLOOKUP(tabPontoPed[[#This Row],[CÓDIGO]],tabExcluirDoEstoque[#Data],1,FALSE),"sim",""),"")</f>
        <v/>
      </c>
      <c r="T286" s="43">
        <f>IF(AND(tabPontoPed[[#This Row],[MENSAL]]&gt;0,tabPontoPed[[#This Row],[CÁLCULO]]&gt;0), ABS( tabPontoPed[[#This Row],[MENSAL]] - tabPontoPed[[#This Row],[CÁLCULO]] ) / tabPontoPed[[#This Row],[MENSAL]], -1 )</f>
        <v>0.6</v>
      </c>
      <c r="U286" s="58">
        <v>4</v>
      </c>
      <c r="V286" s="35">
        <f>IF(AND(tabPontoPed[[#This Row],[MENSAL]]&gt;0,tabPontoPed[[#This Row],[CÁLCULO]]&gt;0), IF( tabPontoPed[[#This Row],[MENSAL]] - tabPontoPed[[#This Row],[CÁLCULO]] &lt; 0, -1, IF( tabPontoPed[[#This Row],[MENSAL]] - tabPontoPed[[#This Row],[CÁLCULO]] &gt; 0, 1, -8)), -9 )</f>
        <v>1</v>
      </c>
      <c r="W286" s="35"/>
      <c r="X286" s="49" t="s">
        <v>1564</v>
      </c>
      <c r="Y286" s="51">
        <v>44391.599108796298</v>
      </c>
      <c r="Z286" s="72">
        <f>tabPontoPed[CÁLC_4M] - tabPontoPed[CÁLCULO]</f>
        <v>-1</v>
      </c>
      <c r="AA286" s="79" t="str">
        <f>IF(tabPontoPed[MENSAL]-tabPontoPed[ATA MENSAL] = 0,"sim","")</f>
        <v/>
      </c>
      <c r="AB286" s="79" t="s">
        <v>1614</v>
      </c>
      <c r="AC286" s="47" t="str">
        <f t="shared" si="4"/>
        <v>*</v>
      </c>
    </row>
    <row r="287" spans="1:29" x14ac:dyDescent="0.25">
      <c r="A287" s="36">
        <v>13120</v>
      </c>
      <c r="B287" s="68" t="s">
        <v>786</v>
      </c>
      <c r="C287" s="33" t="s">
        <v>1317</v>
      </c>
      <c r="D287" s="32">
        <v>61</v>
      </c>
      <c r="E287" s="37">
        <v>15</v>
      </c>
      <c r="F287" s="38" t="str">
        <f>VLOOKUP(tabPontoPed[[#This Row],[GRUPO]],tabGrupos[#Data],2,FALSE)</f>
        <v>MATERIAL HIDRAULICO, CANOS, TUBOS, MANGUEIRAS, CONEXOES E ACESS.</v>
      </c>
      <c r="G287" s="32" t="str">
        <f>VLOOKUP(tabPontoPed[[#This Row],[GRUPO]],tabGrupos[#Data],3,FALSE)</f>
        <v>MHI</v>
      </c>
      <c r="H287" s="33" t="s">
        <v>1311</v>
      </c>
      <c r="I287" s="80">
        <v>4</v>
      </c>
      <c r="J287" s="39">
        <v>5</v>
      </c>
      <c r="K287" s="41">
        <f>tabPontoPed[[#This Row],[QTDMÊS]] * tabPontoPed[[#This Row],[MENSAL]]</f>
        <v>20</v>
      </c>
      <c r="L287" s="83"/>
      <c r="M287" s="81"/>
      <c r="N287" s="34" t="s">
        <v>1009</v>
      </c>
      <c r="O287" s="76" t="s">
        <v>1691</v>
      </c>
      <c r="P287" s="77">
        <v>0</v>
      </c>
      <c r="Q287" s="57">
        <v>1</v>
      </c>
      <c r="R287" s="42">
        <v>2</v>
      </c>
      <c r="S287" s="69" t="str">
        <f>_xlfn.IFNA(IF(VLOOKUP(tabPontoPed[[#This Row],[CÓDIGO]],tabExcluirDoEstoque[#Data],1,FALSE),"sim",""),"")</f>
        <v/>
      </c>
      <c r="T287" s="43">
        <f>IF(AND(tabPontoPed[[#This Row],[MENSAL]]&gt;0,tabPontoPed[[#This Row],[CÁLCULO]]&gt;0), ABS( tabPontoPed[[#This Row],[MENSAL]] - tabPontoPed[[#This Row],[CÁLCULO]] ) / tabPontoPed[[#This Row],[MENSAL]], -1 )</f>
        <v>0.6</v>
      </c>
      <c r="U287" s="58">
        <v>7</v>
      </c>
      <c r="V287" s="35">
        <f>IF(AND(tabPontoPed[[#This Row],[MENSAL]]&gt;0,tabPontoPed[[#This Row],[CÁLCULO]]&gt;0), IF( tabPontoPed[[#This Row],[MENSAL]] - tabPontoPed[[#This Row],[CÁLCULO]] &lt; 0, -1, IF( tabPontoPed[[#This Row],[MENSAL]] - tabPontoPed[[#This Row],[CÁLCULO]] &gt; 0, 1, -8)), -9 )</f>
        <v>1</v>
      </c>
      <c r="W287" s="35"/>
      <c r="X287" s="49" t="s">
        <v>1564</v>
      </c>
      <c r="Y287" s="51">
        <v>44391.599108796298</v>
      </c>
      <c r="Z287" s="72">
        <f>tabPontoPed[CÁLC_4M] - tabPontoPed[CÁLCULO]</f>
        <v>-1</v>
      </c>
      <c r="AA287" s="79" t="str">
        <f>IF(tabPontoPed[MENSAL]-tabPontoPed[ATA MENSAL] = 0,"sim","")</f>
        <v/>
      </c>
      <c r="AB287" s="79"/>
      <c r="AC287" s="47" t="str">
        <f t="shared" si="4"/>
        <v>*</v>
      </c>
    </row>
    <row r="288" spans="1:29" x14ac:dyDescent="0.25">
      <c r="A288" s="36">
        <v>58436</v>
      </c>
      <c r="B288" s="68" t="s">
        <v>878</v>
      </c>
      <c r="C288" s="33" t="s">
        <v>1317</v>
      </c>
      <c r="D288" s="32">
        <v>69</v>
      </c>
      <c r="E288" s="37">
        <v>2</v>
      </c>
      <c r="F288" s="38" t="str">
        <f>VLOOKUP(tabPontoPed[[#This Row],[GRUPO]],tabGrupos[#Data],2,FALSE)</f>
        <v>METAIS,LAMINAD.,PERFILADOS E ARTEFATOS METALICOS</v>
      </c>
      <c r="G288" s="32" t="str">
        <f>VLOOKUP(tabPontoPed[[#This Row],[GRUPO]],tabGrupos[#Data],3,FALSE)</f>
        <v>MSE</v>
      </c>
      <c r="H288" s="33" t="s">
        <v>1311</v>
      </c>
      <c r="I288" s="80">
        <v>4</v>
      </c>
      <c r="J288" s="39">
        <v>15</v>
      </c>
      <c r="K288" s="41">
        <f>tabPontoPed[[#This Row],[QTDMÊS]] * tabPontoPed[[#This Row],[MENSAL]]</f>
        <v>60</v>
      </c>
      <c r="L288" s="83"/>
      <c r="M288" s="81"/>
      <c r="N288" s="34" t="s">
        <v>1009</v>
      </c>
      <c r="O288" s="76" t="s">
        <v>1576</v>
      </c>
      <c r="P288" s="77">
        <v>0</v>
      </c>
      <c r="Q288" s="57">
        <v>0</v>
      </c>
      <c r="R288" s="42">
        <v>6</v>
      </c>
      <c r="S288" s="69" t="str">
        <f>_xlfn.IFNA(IF(VLOOKUP(tabPontoPed[[#This Row],[CÓDIGO]],tabExcluirDoEstoque[#Data],1,FALSE),"sim",""),"")</f>
        <v/>
      </c>
      <c r="T288" s="43">
        <f>IF(AND(tabPontoPed[[#This Row],[MENSAL]]&gt;0,tabPontoPed[[#This Row],[CÁLCULO]]&gt;0), ABS( tabPontoPed[[#This Row],[MENSAL]] - tabPontoPed[[#This Row],[CÁLCULO]] ) / tabPontoPed[[#This Row],[MENSAL]], -1 )</f>
        <v>0.6</v>
      </c>
      <c r="U288" s="58">
        <v>62</v>
      </c>
      <c r="V288" s="35">
        <f>IF(AND(tabPontoPed[[#This Row],[MENSAL]]&gt;0,tabPontoPed[[#This Row],[CÁLCULO]]&gt;0), IF( tabPontoPed[[#This Row],[MENSAL]] - tabPontoPed[[#This Row],[CÁLCULO]] &lt; 0, -1, IF( tabPontoPed[[#This Row],[MENSAL]] - tabPontoPed[[#This Row],[CÁLCULO]] &gt; 0, 1, -8)), -9 )</f>
        <v>1</v>
      </c>
      <c r="W288" s="35"/>
      <c r="X288" s="49" t="s">
        <v>1564</v>
      </c>
      <c r="Y288" s="51">
        <v>44391.599108796298</v>
      </c>
      <c r="Z288" s="72">
        <f>tabPontoPed[CÁLC_4M] - tabPontoPed[CÁLCULO]</f>
        <v>-6</v>
      </c>
      <c r="AA288" s="79" t="str">
        <f>IF(tabPontoPed[MENSAL]-tabPontoPed[ATA MENSAL] = 0,"sim","")</f>
        <v/>
      </c>
      <c r="AB288" s="79"/>
      <c r="AC288" s="47" t="str">
        <f t="shared" si="4"/>
        <v>*</v>
      </c>
    </row>
    <row r="289" spans="1:29" x14ac:dyDescent="0.25">
      <c r="A289" s="36">
        <v>107926</v>
      </c>
      <c r="B289" s="68" t="s">
        <v>968</v>
      </c>
      <c r="C289" s="33" t="s">
        <v>1317</v>
      </c>
      <c r="D289" s="32">
        <v>78</v>
      </c>
      <c r="E289" s="37">
        <v>2</v>
      </c>
      <c r="F289" s="38" t="str">
        <f>VLOOKUP(tabPontoPed[[#This Row],[GRUPO]],tabGrupos[#Data],2,FALSE)</f>
        <v>MOBILIARIO E COFRE</v>
      </c>
      <c r="G289" s="32" t="str">
        <f>VLOOKUP(tabPontoPed[[#This Row],[GRUPO]],tabGrupos[#Data],3,FALSE)</f>
        <v>ADM</v>
      </c>
      <c r="H289" s="33" t="s">
        <v>1311</v>
      </c>
      <c r="I289" s="80">
        <v>4</v>
      </c>
      <c r="J289" s="39">
        <v>209</v>
      </c>
      <c r="K289" s="41">
        <f>tabPontoPed[[#This Row],[QTDMÊS]] * tabPontoPed[[#This Row],[MENSAL]]</f>
        <v>836</v>
      </c>
      <c r="L289" s="83"/>
      <c r="M289" s="81"/>
      <c r="N289" s="34" t="s">
        <v>1009</v>
      </c>
      <c r="O289" s="76"/>
      <c r="P289" s="77">
        <v>0</v>
      </c>
      <c r="Q289" s="57">
        <v>0</v>
      </c>
      <c r="R289" s="42">
        <v>84</v>
      </c>
      <c r="S289" s="69" t="str">
        <f>_xlfn.IFNA(IF(VLOOKUP(tabPontoPed[[#This Row],[CÓDIGO]],tabExcluirDoEstoque[#Data],1,FALSE),"sim",""),"")</f>
        <v/>
      </c>
      <c r="T289" s="43">
        <f>IF(AND(tabPontoPed[[#This Row],[MENSAL]]&gt;0,tabPontoPed[[#This Row],[CÁLCULO]]&gt;0), ABS( tabPontoPed[[#This Row],[MENSAL]] - tabPontoPed[[#This Row],[CÁLCULO]] ) / tabPontoPed[[#This Row],[MENSAL]], -1 )</f>
        <v>0.59808612440191389</v>
      </c>
      <c r="U289" s="58">
        <v>1000</v>
      </c>
      <c r="V289" s="35">
        <f>IF(AND(tabPontoPed[[#This Row],[MENSAL]]&gt;0,tabPontoPed[[#This Row],[CÁLCULO]]&gt;0), IF( tabPontoPed[[#This Row],[MENSAL]] - tabPontoPed[[#This Row],[CÁLCULO]] &lt; 0, -1, IF( tabPontoPed[[#This Row],[MENSAL]] - tabPontoPed[[#This Row],[CÁLCULO]] &gt; 0, 1, -8)), -9 )</f>
        <v>1</v>
      </c>
      <c r="W289" s="35"/>
      <c r="X289" s="48" t="s">
        <v>1564</v>
      </c>
      <c r="Y289" s="53">
        <v>44391.599108796298</v>
      </c>
      <c r="Z289" s="72">
        <f>tabPontoPed[CÁLC_4M] - tabPontoPed[CÁLCULO]</f>
        <v>-84</v>
      </c>
      <c r="AA289" s="79" t="str">
        <f>IF(tabPontoPed[MENSAL]-tabPontoPed[ATA MENSAL] = 0,"sim","")</f>
        <v/>
      </c>
      <c r="AB289" s="79"/>
      <c r="AC289" s="47" t="str">
        <f t="shared" si="4"/>
        <v>*</v>
      </c>
    </row>
    <row r="290" spans="1:29" x14ac:dyDescent="0.25">
      <c r="A290" s="36">
        <v>136554</v>
      </c>
      <c r="B290" s="68" t="s">
        <v>1478</v>
      </c>
      <c r="C290" s="33" t="s">
        <v>1317</v>
      </c>
      <c r="D290" s="32">
        <v>51</v>
      </c>
      <c r="E290" s="37">
        <v>9</v>
      </c>
      <c r="F290" s="38" t="str">
        <f>VLOOKUP(tabPontoPed[[#This Row],[GRUPO]],tabGrupos[#Data],2,FALSE)</f>
        <v>MAT.E EQUIP. P/ CONSTR.CIVIL E CONSERV. DE VIAS PUBL.</v>
      </c>
      <c r="G290" s="32" t="str">
        <f>VLOOKUP(tabPontoPed[[#This Row],[GRUPO]],tabGrupos[#Data],3,FALSE)</f>
        <v>MCO</v>
      </c>
      <c r="H290" s="33" t="s">
        <v>1311</v>
      </c>
      <c r="I290" s="80">
        <v>4</v>
      </c>
      <c r="J290" s="39">
        <v>87</v>
      </c>
      <c r="K290" s="41">
        <f>tabPontoPed[[#This Row],[QTDMÊS]] * tabPontoPed[[#This Row],[MENSAL]]</f>
        <v>348</v>
      </c>
      <c r="L290" s="83"/>
      <c r="M290" s="81"/>
      <c r="N290" s="34" t="s">
        <v>1009</v>
      </c>
      <c r="O290" s="76" t="s">
        <v>1675</v>
      </c>
      <c r="P290" s="77">
        <v>0</v>
      </c>
      <c r="Q290" s="57">
        <v>12</v>
      </c>
      <c r="R290" s="42">
        <v>35</v>
      </c>
      <c r="S290" s="69" t="str">
        <f>_xlfn.IFNA(IF(VLOOKUP(tabPontoPed[[#This Row],[CÓDIGO]],tabExcluirDoEstoque[#Data],1,FALSE),"sim",""),"")</f>
        <v/>
      </c>
      <c r="T290" s="43">
        <f>IF(AND(tabPontoPed[[#This Row],[MENSAL]]&gt;0,tabPontoPed[[#This Row],[CÁLCULO]]&gt;0), ABS( tabPontoPed[[#This Row],[MENSAL]] - tabPontoPed[[#This Row],[CÁLCULO]] ) / tabPontoPed[[#This Row],[MENSAL]], -1 )</f>
        <v>0.5977011494252874</v>
      </c>
      <c r="U290" s="58">
        <v>200</v>
      </c>
      <c r="V290" s="70">
        <f>IF(AND(tabPontoPed[[#This Row],[MENSAL]]&gt;0,tabPontoPed[[#This Row],[CÁLCULO]]&gt;0), IF( tabPontoPed[[#This Row],[MENSAL]] - tabPontoPed[[#This Row],[CÁLCULO]] &lt; 0, -1, IF( tabPontoPed[[#This Row],[MENSAL]] - tabPontoPed[[#This Row],[CÁLCULO]] &gt; 0, 1, -8)), -9 )</f>
        <v>1</v>
      </c>
      <c r="W290" s="70"/>
      <c r="X290" s="48" t="s">
        <v>1564</v>
      </c>
      <c r="Y290" s="53">
        <v>44391.599108796298</v>
      </c>
      <c r="Z290" s="72">
        <f>tabPontoPed[CÁLC_4M] - tabPontoPed[CÁLCULO]</f>
        <v>-23</v>
      </c>
      <c r="AA290" s="79" t="str">
        <f>IF(tabPontoPed[MENSAL]-tabPontoPed[ATA MENSAL] = 0,"sim","")</f>
        <v/>
      </c>
      <c r="AB290" s="79"/>
      <c r="AC290" s="47" t="str">
        <f t="shared" si="4"/>
        <v>*</v>
      </c>
    </row>
    <row r="291" spans="1:29" x14ac:dyDescent="0.25">
      <c r="A291" s="36">
        <v>66168</v>
      </c>
      <c r="B291" s="68" t="s">
        <v>341</v>
      </c>
      <c r="C291" s="33" t="s">
        <v>1317</v>
      </c>
      <c r="D291" s="32">
        <v>69</v>
      </c>
      <c r="E291" s="37">
        <v>17</v>
      </c>
      <c r="F291" s="38" t="str">
        <f>VLOOKUP(tabPontoPed[[#This Row],[GRUPO]],tabGrupos[#Data],2,FALSE)</f>
        <v>METAIS,LAMINAD.,PERFILADOS E ARTEFATOS METALICOS</v>
      </c>
      <c r="G291" s="32" t="str">
        <f>VLOOKUP(tabPontoPed[[#This Row],[GRUPO]],tabGrupos[#Data],3,FALSE)</f>
        <v>MSE</v>
      </c>
      <c r="H291" s="33" t="s">
        <v>1311</v>
      </c>
      <c r="I291" s="80">
        <v>4</v>
      </c>
      <c r="J291" s="39">
        <v>74</v>
      </c>
      <c r="K291" s="41">
        <f>tabPontoPed[[#This Row],[QTDMÊS]] * tabPontoPed[[#This Row],[MENSAL]]</f>
        <v>296</v>
      </c>
      <c r="L291" s="83"/>
      <c r="M291" s="81"/>
      <c r="N291" s="34" t="s">
        <v>1009</v>
      </c>
      <c r="O291" s="76" t="s">
        <v>1701</v>
      </c>
      <c r="P291" s="77">
        <v>0</v>
      </c>
      <c r="Q291" s="57">
        <v>40</v>
      </c>
      <c r="R291" s="42">
        <v>30</v>
      </c>
      <c r="S291" s="69" t="str">
        <f>_xlfn.IFNA(IF(VLOOKUP(tabPontoPed[[#This Row],[CÓDIGO]],tabExcluirDoEstoque[#Data],1,FALSE),"sim",""),"")</f>
        <v/>
      </c>
      <c r="T291" s="43">
        <f>IF(AND(tabPontoPed[[#This Row],[MENSAL]]&gt;0,tabPontoPed[[#This Row],[CÁLCULO]]&gt;0), ABS( tabPontoPed[[#This Row],[MENSAL]] - tabPontoPed[[#This Row],[CÁLCULO]] ) / tabPontoPed[[#This Row],[MENSAL]], -1 )</f>
        <v>0.59459459459459463</v>
      </c>
      <c r="U291" s="58">
        <v>197</v>
      </c>
      <c r="V291" s="35">
        <f>IF(AND(tabPontoPed[[#This Row],[MENSAL]]&gt;0,tabPontoPed[[#This Row],[CÁLCULO]]&gt;0), IF( tabPontoPed[[#This Row],[MENSAL]] - tabPontoPed[[#This Row],[CÁLCULO]] &lt; 0, -1, IF( tabPontoPed[[#This Row],[MENSAL]] - tabPontoPed[[#This Row],[CÁLCULO]] &gt; 0, 1, -8)), -9 )</f>
        <v>1</v>
      </c>
      <c r="W291" s="35"/>
      <c r="X291" s="48" t="s">
        <v>1564</v>
      </c>
      <c r="Y291" s="53">
        <v>44391.599108796298</v>
      </c>
      <c r="Z291" s="72">
        <f>tabPontoPed[CÁLC_4M] - tabPontoPed[CÁLCULO]</f>
        <v>10</v>
      </c>
      <c r="AA291" s="79" t="str">
        <f>IF(tabPontoPed[MENSAL]-tabPontoPed[ATA MENSAL] = 0,"sim","")</f>
        <v/>
      </c>
      <c r="AB291" s="79"/>
      <c r="AC291" s="47" t="str">
        <f t="shared" si="4"/>
        <v>*</v>
      </c>
    </row>
    <row r="292" spans="1:29" x14ac:dyDescent="0.25">
      <c r="A292" s="36">
        <v>23692</v>
      </c>
      <c r="B292" s="68" t="s">
        <v>88</v>
      </c>
      <c r="C292" s="33" t="s">
        <v>1317</v>
      </c>
      <c r="D292" s="32">
        <v>57</v>
      </c>
      <c r="E292" s="37">
        <v>16</v>
      </c>
      <c r="F292" s="38" t="str">
        <f>VLOOKUP(tabPontoPed[[#This Row],[GRUPO]],tabGrupos[#Data],2,FALSE)</f>
        <v>MAQ. E EQUIP. P/ IND. GRAFICA COMP. ACESS. E PAPEI</v>
      </c>
      <c r="G292" s="32" t="str">
        <f>VLOOKUP(tabPontoPed[[#This Row],[GRUPO]],tabGrupos[#Data],3,FALSE)</f>
        <v>EDU</v>
      </c>
      <c r="H292" s="33" t="s">
        <v>1311</v>
      </c>
      <c r="I292" s="80">
        <v>4</v>
      </c>
      <c r="J292" s="39">
        <v>2084</v>
      </c>
      <c r="K292" s="41">
        <f>tabPontoPed[[#This Row],[QTDMÊS]] * tabPontoPed[[#This Row],[MENSAL]]</f>
        <v>8336</v>
      </c>
      <c r="L292" s="83"/>
      <c r="M292" s="81"/>
      <c r="N292" s="34" t="s">
        <v>1009</v>
      </c>
      <c r="O292" s="76" t="s">
        <v>1718</v>
      </c>
      <c r="P292" s="77">
        <v>0</v>
      </c>
      <c r="Q292" s="57">
        <v>1169</v>
      </c>
      <c r="R292" s="42">
        <v>847</v>
      </c>
      <c r="S292" s="69" t="str">
        <f>_xlfn.IFNA(IF(VLOOKUP(tabPontoPed[[#This Row],[CÓDIGO]],tabExcluirDoEstoque[#Data],1,FALSE),"sim",""),"")</f>
        <v/>
      </c>
      <c r="T292" s="43">
        <f>IF(AND(tabPontoPed[[#This Row],[MENSAL]]&gt;0,tabPontoPed[[#This Row],[CÁLCULO]]&gt;0), ABS( tabPontoPed[[#This Row],[MENSAL]] - tabPontoPed[[#This Row],[CÁLCULO]] ) / tabPontoPed[[#This Row],[MENSAL]], -1 )</f>
        <v>0.59357005758157388</v>
      </c>
      <c r="U292" s="58">
        <v>2268</v>
      </c>
      <c r="V292" s="35">
        <f>IF(AND(tabPontoPed[[#This Row],[MENSAL]]&gt;0,tabPontoPed[[#This Row],[CÁLCULO]]&gt;0), IF( tabPontoPed[[#This Row],[MENSAL]] - tabPontoPed[[#This Row],[CÁLCULO]] &lt; 0, -1, IF( tabPontoPed[[#This Row],[MENSAL]] - tabPontoPed[[#This Row],[CÁLCULO]] &gt; 0, 1, -8)), -9 )</f>
        <v>1</v>
      </c>
      <c r="W292" s="35"/>
      <c r="X292" s="49" t="s">
        <v>1564</v>
      </c>
      <c r="Y292" s="51">
        <v>44391.599108796298</v>
      </c>
      <c r="Z292" s="72">
        <f>tabPontoPed[CÁLC_4M] - tabPontoPed[CÁLCULO]</f>
        <v>322</v>
      </c>
      <c r="AA292" s="79" t="str">
        <f>IF(tabPontoPed[MENSAL]-tabPontoPed[ATA MENSAL] = 0,"sim","")</f>
        <v/>
      </c>
      <c r="AB292" s="79" t="s">
        <v>1614</v>
      </c>
      <c r="AC292" s="47" t="str">
        <f t="shared" si="4"/>
        <v>*</v>
      </c>
    </row>
    <row r="293" spans="1:29" x14ac:dyDescent="0.25">
      <c r="A293" s="36">
        <v>29961</v>
      </c>
      <c r="B293" s="68" t="s">
        <v>71</v>
      </c>
      <c r="C293" s="33" t="s">
        <v>1317</v>
      </c>
      <c r="D293" s="32">
        <v>57</v>
      </c>
      <c r="E293" s="37">
        <v>15</v>
      </c>
      <c r="F293" s="38" t="str">
        <f>VLOOKUP(tabPontoPed[[#This Row],[GRUPO]],tabGrupos[#Data],2,FALSE)</f>
        <v>MAQ. E EQUIP. P/ IND. GRAFICA COMP. ACESS. E PAPEI</v>
      </c>
      <c r="G293" s="32" t="str">
        <f>VLOOKUP(tabPontoPed[[#This Row],[GRUPO]],tabGrupos[#Data],3,FALSE)</f>
        <v>EDU</v>
      </c>
      <c r="H293" s="33" t="s">
        <v>1311</v>
      </c>
      <c r="I293" s="80">
        <v>4</v>
      </c>
      <c r="J293" s="39">
        <v>834</v>
      </c>
      <c r="K293" s="41">
        <f>tabPontoPed[[#This Row],[QTDMÊS]] * tabPontoPed[[#This Row],[MENSAL]]</f>
        <v>3336</v>
      </c>
      <c r="L293" s="83"/>
      <c r="M293" s="81"/>
      <c r="N293" s="34" t="s">
        <v>1009</v>
      </c>
      <c r="O293" s="76" t="s">
        <v>1718</v>
      </c>
      <c r="P293" s="77">
        <v>0</v>
      </c>
      <c r="Q293" s="57">
        <v>343</v>
      </c>
      <c r="R293" s="42">
        <v>341</v>
      </c>
      <c r="S293" s="69" t="str">
        <f>_xlfn.IFNA(IF(VLOOKUP(tabPontoPed[[#This Row],[CÓDIGO]],tabExcluirDoEstoque[#Data],1,FALSE),"sim",""),"")</f>
        <v/>
      </c>
      <c r="T293" s="43">
        <f>IF(AND(tabPontoPed[[#This Row],[MENSAL]]&gt;0,tabPontoPed[[#This Row],[CÁLCULO]]&gt;0), ABS( tabPontoPed[[#This Row],[MENSAL]] - tabPontoPed[[#This Row],[CÁLCULO]] ) / tabPontoPed[[#This Row],[MENSAL]], -1 )</f>
        <v>0.59112709832134291</v>
      </c>
      <c r="U293" s="58">
        <v>773</v>
      </c>
      <c r="V293" s="35">
        <f>IF(AND(tabPontoPed[[#This Row],[MENSAL]]&gt;0,tabPontoPed[[#This Row],[CÁLCULO]]&gt;0), IF( tabPontoPed[[#This Row],[MENSAL]] - tabPontoPed[[#This Row],[CÁLCULO]] &lt; 0, -1, IF( tabPontoPed[[#This Row],[MENSAL]] - tabPontoPed[[#This Row],[CÁLCULO]] &gt; 0, 1, -8)), -9 )</f>
        <v>1</v>
      </c>
      <c r="W293" s="35"/>
      <c r="X293" s="49" t="s">
        <v>1564</v>
      </c>
      <c r="Y293" s="51">
        <v>44391.599108796298</v>
      </c>
      <c r="Z293" s="72">
        <f>tabPontoPed[CÁLC_4M] - tabPontoPed[CÁLCULO]</f>
        <v>2</v>
      </c>
      <c r="AA293" s="79" t="str">
        <f>IF(tabPontoPed[MENSAL]-tabPontoPed[ATA MENSAL] = 0,"sim","")</f>
        <v/>
      </c>
      <c r="AB293" s="79" t="s">
        <v>1614</v>
      </c>
      <c r="AC293" s="47" t="str">
        <f t="shared" si="4"/>
        <v>*</v>
      </c>
    </row>
    <row r="294" spans="1:29" x14ac:dyDescent="0.25">
      <c r="A294" s="36">
        <v>54680</v>
      </c>
      <c r="B294" s="68" t="s">
        <v>1505</v>
      </c>
      <c r="C294" s="33">
        <v>1</v>
      </c>
      <c r="D294" s="32">
        <v>51</v>
      </c>
      <c r="E294" s="37">
        <v>30</v>
      </c>
      <c r="F294" s="38" t="str">
        <f>VLOOKUP(tabPontoPed[[#This Row],[GRUPO]],tabGrupos[#Data],2,FALSE)</f>
        <v>MAT.E EQUIP. P/ CONSTR.CIVIL E CONSERV. DE VIAS PUBL.</v>
      </c>
      <c r="G294" s="32" t="str">
        <f>VLOOKUP(tabPontoPed[[#This Row],[GRUPO]],tabGrupos[#Data],3,FALSE)</f>
        <v>MCO</v>
      </c>
      <c r="H294" s="33" t="s">
        <v>1311</v>
      </c>
      <c r="I294" s="80">
        <v>4</v>
      </c>
      <c r="J294" s="39">
        <v>34</v>
      </c>
      <c r="K294" s="41">
        <f>tabPontoPed[[#This Row],[QTDMÊS]] * tabPontoPed[[#This Row],[MENSAL]]</f>
        <v>136</v>
      </c>
      <c r="L294" s="83"/>
      <c r="M294" s="81"/>
      <c r="N294" s="34" t="s">
        <v>1009</v>
      </c>
      <c r="O294" s="76" t="s">
        <v>1706</v>
      </c>
      <c r="P294" s="77">
        <v>0</v>
      </c>
      <c r="Q294" s="57">
        <v>0</v>
      </c>
      <c r="R294" s="42">
        <v>14</v>
      </c>
      <c r="S294" s="69" t="str">
        <f>_xlfn.IFNA(IF(VLOOKUP(tabPontoPed[[#This Row],[CÓDIGO]],tabExcluirDoEstoque[#Data],1,FALSE),"sim",""),"")</f>
        <v/>
      </c>
      <c r="T294" s="43">
        <f>IF(AND(tabPontoPed[[#This Row],[MENSAL]]&gt;0,tabPontoPed[[#This Row],[CÁLCULO]]&gt;0), ABS( tabPontoPed[[#This Row],[MENSAL]] - tabPontoPed[[#This Row],[CÁLCULO]] ) / tabPontoPed[[#This Row],[MENSAL]], -1 )</f>
        <v>0.58823529411764708</v>
      </c>
      <c r="U294" s="58">
        <v>164</v>
      </c>
      <c r="V294" s="35">
        <f>IF(AND(tabPontoPed[[#This Row],[MENSAL]]&gt;0,tabPontoPed[[#This Row],[CÁLCULO]]&gt;0), IF( tabPontoPed[[#This Row],[MENSAL]] - tabPontoPed[[#This Row],[CÁLCULO]] &lt; 0, -1, IF( tabPontoPed[[#This Row],[MENSAL]] - tabPontoPed[[#This Row],[CÁLCULO]] &gt; 0, 1, -8)), -9 )</f>
        <v>1</v>
      </c>
      <c r="W294" s="35"/>
      <c r="X294" s="49" t="s">
        <v>1564</v>
      </c>
      <c r="Y294" s="51">
        <v>44391.599108796298</v>
      </c>
      <c r="Z294" s="72">
        <f>tabPontoPed[CÁLC_4M] - tabPontoPed[CÁLCULO]</f>
        <v>-14</v>
      </c>
      <c r="AA294" s="79" t="str">
        <f>IF(tabPontoPed[MENSAL]-tabPontoPed[ATA MENSAL] = 0,"sim","")</f>
        <v/>
      </c>
      <c r="AB294" s="79" t="s">
        <v>1614</v>
      </c>
      <c r="AC294" s="47" t="str">
        <f t="shared" si="4"/>
        <v>*</v>
      </c>
    </row>
    <row r="295" spans="1:29" x14ac:dyDescent="0.25">
      <c r="A295" s="36">
        <v>12884</v>
      </c>
      <c r="B295" s="68" t="s">
        <v>285</v>
      </c>
      <c r="C295" s="33" t="s">
        <v>1317</v>
      </c>
      <c r="D295" s="32">
        <v>61</v>
      </c>
      <c r="E295" s="37">
        <v>8</v>
      </c>
      <c r="F295" s="38" t="str">
        <f>VLOOKUP(tabPontoPed[[#This Row],[GRUPO]],tabGrupos[#Data],2,FALSE)</f>
        <v>MATERIAL HIDRAULICO, CANOS, TUBOS, MANGUEIRAS, CONEXOES E ACESS.</v>
      </c>
      <c r="G295" s="32" t="str">
        <f>VLOOKUP(tabPontoPed[[#This Row],[GRUPO]],tabGrupos[#Data],3,FALSE)</f>
        <v>MHI</v>
      </c>
      <c r="H295" s="33" t="s">
        <v>1311</v>
      </c>
      <c r="I295" s="80">
        <v>4</v>
      </c>
      <c r="J295" s="39">
        <v>34</v>
      </c>
      <c r="K295" s="41">
        <f>tabPontoPed[[#This Row],[QTDMÊS]] * tabPontoPed[[#This Row],[MENSAL]]</f>
        <v>136</v>
      </c>
      <c r="L295" s="83"/>
      <c r="M295" s="81"/>
      <c r="N295" s="34" t="s">
        <v>1009</v>
      </c>
      <c r="O295" s="76" t="s">
        <v>1678</v>
      </c>
      <c r="P295" s="77">
        <v>0</v>
      </c>
      <c r="Q295" s="57">
        <v>8</v>
      </c>
      <c r="R295" s="42">
        <v>14</v>
      </c>
      <c r="S295" s="69" t="str">
        <f>_xlfn.IFNA(IF(VLOOKUP(tabPontoPed[[#This Row],[CÓDIGO]],tabExcluirDoEstoque[#Data],1,FALSE),"sim",""),"")</f>
        <v/>
      </c>
      <c r="T295" s="43">
        <f>IF(AND(tabPontoPed[[#This Row],[MENSAL]]&gt;0,tabPontoPed[[#This Row],[CÁLCULO]]&gt;0), ABS( tabPontoPed[[#This Row],[MENSAL]] - tabPontoPed[[#This Row],[CÁLCULO]] ) / tabPontoPed[[#This Row],[MENSAL]], -1 )</f>
        <v>0.58823529411764708</v>
      </c>
      <c r="U295" s="58">
        <v>25</v>
      </c>
      <c r="V295" s="35">
        <f>IF(AND(tabPontoPed[[#This Row],[MENSAL]]&gt;0,tabPontoPed[[#This Row],[CÁLCULO]]&gt;0), IF( tabPontoPed[[#This Row],[MENSAL]] - tabPontoPed[[#This Row],[CÁLCULO]] &lt; 0, -1, IF( tabPontoPed[[#This Row],[MENSAL]] - tabPontoPed[[#This Row],[CÁLCULO]] &gt; 0, 1, -8)), -9 )</f>
        <v>1</v>
      </c>
      <c r="W295" s="35"/>
      <c r="X295" s="49" t="s">
        <v>1564</v>
      </c>
      <c r="Y295" s="51">
        <v>44391.599108796298</v>
      </c>
      <c r="Z295" s="72">
        <f>tabPontoPed[CÁLC_4M] - tabPontoPed[CÁLCULO]</f>
        <v>-6</v>
      </c>
      <c r="AA295" s="79" t="str">
        <f>IF(tabPontoPed[MENSAL]-tabPontoPed[ATA MENSAL] = 0,"sim","")</f>
        <v/>
      </c>
      <c r="AB295" s="79" t="s">
        <v>1614</v>
      </c>
      <c r="AC295" s="47" t="str">
        <f t="shared" si="4"/>
        <v>*</v>
      </c>
    </row>
    <row r="296" spans="1:29" x14ac:dyDescent="0.25">
      <c r="A296" s="36">
        <v>16956</v>
      </c>
      <c r="B296" s="68" t="s">
        <v>745</v>
      </c>
      <c r="C296" s="33" t="s">
        <v>1317</v>
      </c>
      <c r="D296" s="32">
        <v>61</v>
      </c>
      <c r="E296" s="37">
        <v>8</v>
      </c>
      <c r="F296" s="38" t="str">
        <f>VLOOKUP(tabPontoPed[[#This Row],[GRUPO]],tabGrupos[#Data],2,FALSE)</f>
        <v>MATERIAL HIDRAULICO, CANOS, TUBOS, MANGUEIRAS, CONEXOES E ACESS.</v>
      </c>
      <c r="G296" s="32" t="str">
        <f>VLOOKUP(tabPontoPed[[#This Row],[GRUPO]],tabGrupos[#Data],3,FALSE)</f>
        <v>MHI</v>
      </c>
      <c r="H296" s="33" t="s">
        <v>1311</v>
      </c>
      <c r="I296" s="80">
        <v>4</v>
      </c>
      <c r="J296" s="39">
        <v>17</v>
      </c>
      <c r="K296" s="41">
        <f>tabPontoPed[[#This Row],[QTDMÊS]] * tabPontoPed[[#This Row],[MENSAL]]</f>
        <v>68</v>
      </c>
      <c r="L296" s="83"/>
      <c r="M296" s="81"/>
      <c r="N296" s="34" t="s">
        <v>1009</v>
      </c>
      <c r="O296" s="76" t="s">
        <v>1691</v>
      </c>
      <c r="P296" s="77">
        <v>0</v>
      </c>
      <c r="Q296" s="57">
        <v>12</v>
      </c>
      <c r="R296" s="42">
        <v>7</v>
      </c>
      <c r="S296" s="69" t="str">
        <f>_xlfn.IFNA(IF(VLOOKUP(tabPontoPed[[#This Row],[CÓDIGO]],tabExcluirDoEstoque[#Data],1,FALSE),"sim",""),"")</f>
        <v/>
      </c>
      <c r="T296" s="43">
        <f>IF(AND(tabPontoPed[[#This Row],[MENSAL]]&gt;0,tabPontoPed[[#This Row],[CÁLCULO]]&gt;0), ABS( tabPontoPed[[#This Row],[MENSAL]] - tabPontoPed[[#This Row],[CÁLCULO]] ) / tabPontoPed[[#This Row],[MENSAL]], -1 )</f>
        <v>0.58823529411764708</v>
      </c>
      <c r="U296" s="58">
        <v>24</v>
      </c>
      <c r="V296" s="35">
        <f>IF(AND(tabPontoPed[[#This Row],[MENSAL]]&gt;0,tabPontoPed[[#This Row],[CÁLCULO]]&gt;0), IF( tabPontoPed[[#This Row],[MENSAL]] - tabPontoPed[[#This Row],[CÁLCULO]] &lt; 0, -1, IF( tabPontoPed[[#This Row],[MENSAL]] - tabPontoPed[[#This Row],[CÁLCULO]] &gt; 0, 1, -8)), -9 )</f>
        <v>1</v>
      </c>
      <c r="W296" s="35"/>
      <c r="X296" s="49" t="s">
        <v>1564</v>
      </c>
      <c r="Y296" s="51">
        <v>44391.599108796298</v>
      </c>
      <c r="Z296" s="72">
        <f>tabPontoPed[CÁLC_4M] - tabPontoPed[CÁLCULO]</f>
        <v>5</v>
      </c>
      <c r="AA296" s="79" t="str">
        <f>IF(tabPontoPed[MENSAL]-tabPontoPed[ATA MENSAL] = 0,"sim","")</f>
        <v/>
      </c>
      <c r="AB296" s="79" t="s">
        <v>1614</v>
      </c>
      <c r="AC296" s="47" t="str">
        <f t="shared" si="4"/>
        <v>*</v>
      </c>
    </row>
    <row r="297" spans="1:29" x14ac:dyDescent="0.25">
      <c r="A297" s="36">
        <v>88849</v>
      </c>
      <c r="B297" s="68" t="s">
        <v>833</v>
      </c>
      <c r="C297" s="33" t="s">
        <v>1317</v>
      </c>
      <c r="D297" s="32">
        <v>67</v>
      </c>
      <c r="E297" s="37">
        <v>5</v>
      </c>
      <c r="F297" s="38" t="str">
        <f>VLOOKUP(tabPontoPed[[#This Row],[GRUPO]],tabGrupos[#Data],2,FALSE)</f>
        <v>PARAFUSOS ELEM. VEDACAO UNIAO CONEX . FIXACAO</v>
      </c>
      <c r="G297" s="32" t="str">
        <f>VLOOKUP(tabPontoPed[[#This Row],[GRUPO]],tabGrupos[#Data],3,FALSE)</f>
        <v>MSE</v>
      </c>
      <c r="H297" s="33" t="s">
        <v>1311</v>
      </c>
      <c r="I297" s="80">
        <v>4</v>
      </c>
      <c r="J297" s="39">
        <v>17</v>
      </c>
      <c r="K297" s="41">
        <f>tabPontoPed[[#This Row],[QTDMÊS]] * tabPontoPed[[#This Row],[MENSAL]]</f>
        <v>68</v>
      </c>
      <c r="L297" s="83"/>
      <c r="M297" s="81"/>
      <c r="N297" s="34" t="s">
        <v>1009</v>
      </c>
      <c r="O297" s="76"/>
      <c r="P297" s="77">
        <v>0</v>
      </c>
      <c r="Q297" s="57">
        <v>2</v>
      </c>
      <c r="R297" s="42">
        <v>7</v>
      </c>
      <c r="S297" s="69" t="str">
        <f>_xlfn.IFNA(IF(VLOOKUP(tabPontoPed[[#This Row],[CÓDIGO]],tabExcluirDoEstoque[#Data],1,FALSE),"sim",""),"")</f>
        <v/>
      </c>
      <c r="T297" s="43">
        <f>IF(AND(tabPontoPed[[#This Row],[MENSAL]]&gt;0,tabPontoPed[[#This Row],[CÁLCULO]]&gt;0), ABS( tabPontoPed[[#This Row],[MENSAL]] - tabPontoPed[[#This Row],[CÁLCULO]] ) / tabPontoPed[[#This Row],[MENSAL]], -1 )</f>
        <v>0.58823529411764708</v>
      </c>
      <c r="U297" s="58">
        <v>54</v>
      </c>
      <c r="V297" s="35">
        <f>IF(AND(tabPontoPed[[#This Row],[MENSAL]]&gt;0,tabPontoPed[[#This Row],[CÁLCULO]]&gt;0), IF( tabPontoPed[[#This Row],[MENSAL]] - tabPontoPed[[#This Row],[CÁLCULO]] &lt; 0, -1, IF( tabPontoPed[[#This Row],[MENSAL]] - tabPontoPed[[#This Row],[CÁLCULO]] &gt; 0, 1, -8)), -9 )</f>
        <v>1</v>
      </c>
      <c r="W297" s="35"/>
      <c r="X297" s="49" t="s">
        <v>1564</v>
      </c>
      <c r="Y297" s="51">
        <v>44391.599108796298</v>
      </c>
      <c r="Z297" s="72">
        <f>tabPontoPed[CÁLC_4M] - tabPontoPed[CÁLCULO]</f>
        <v>-5</v>
      </c>
      <c r="AA297" s="79" t="str">
        <f>IF(tabPontoPed[MENSAL]-tabPontoPed[ATA MENSAL] = 0,"sim","")</f>
        <v/>
      </c>
      <c r="AB297" s="79"/>
      <c r="AC297" s="47" t="str">
        <f t="shared" si="4"/>
        <v>*</v>
      </c>
    </row>
    <row r="298" spans="1:29" x14ac:dyDescent="0.25">
      <c r="A298" s="36">
        <v>133845</v>
      </c>
      <c r="B298" s="68" t="s">
        <v>78</v>
      </c>
      <c r="C298" s="33" t="s">
        <v>1317</v>
      </c>
      <c r="D298" s="32">
        <v>57</v>
      </c>
      <c r="E298" s="37">
        <v>16</v>
      </c>
      <c r="F298" s="38" t="str">
        <f>VLOOKUP(tabPontoPed[[#This Row],[GRUPO]],tabGrupos[#Data],2,FALSE)</f>
        <v>MAQ. E EQUIP. P/ IND. GRAFICA COMP. ACESS. E PAPEI</v>
      </c>
      <c r="G298" s="32" t="str">
        <f>VLOOKUP(tabPontoPed[[#This Row],[GRUPO]],tabGrupos[#Data],3,FALSE)</f>
        <v>EDU</v>
      </c>
      <c r="H298" s="33" t="s">
        <v>1311</v>
      </c>
      <c r="I298" s="80">
        <v>4</v>
      </c>
      <c r="J298" s="39">
        <v>2084</v>
      </c>
      <c r="K298" s="41">
        <f>tabPontoPed[[#This Row],[QTDMÊS]] * tabPontoPed[[#This Row],[MENSAL]]</f>
        <v>8336</v>
      </c>
      <c r="L298" s="83"/>
      <c r="M298" s="81"/>
      <c r="N298" s="34" t="s">
        <v>1009</v>
      </c>
      <c r="O298" s="76" t="s">
        <v>1718</v>
      </c>
      <c r="P298" s="77">
        <v>0</v>
      </c>
      <c r="Q298" s="57">
        <v>981</v>
      </c>
      <c r="R298" s="42">
        <v>860</v>
      </c>
      <c r="S298" s="69" t="str">
        <f>_xlfn.IFNA(IF(VLOOKUP(tabPontoPed[[#This Row],[CÓDIGO]],tabExcluirDoEstoque[#Data],1,FALSE),"sim",""),"")</f>
        <v/>
      </c>
      <c r="T298" s="43">
        <f>IF(AND(tabPontoPed[[#This Row],[MENSAL]]&gt;0,tabPontoPed[[#This Row],[CÁLCULO]]&gt;0), ABS( tabPontoPed[[#This Row],[MENSAL]] - tabPontoPed[[#This Row],[CÁLCULO]] ) / tabPontoPed[[#This Row],[MENSAL]], -1 )</f>
        <v>0.58733205374280228</v>
      </c>
      <c r="U298" s="58">
        <v>1820</v>
      </c>
      <c r="V298" s="35">
        <f>IF(AND(tabPontoPed[[#This Row],[MENSAL]]&gt;0,tabPontoPed[[#This Row],[CÁLCULO]]&gt;0), IF( tabPontoPed[[#This Row],[MENSAL]] - tabPontoPed[[#This Row],[CÁLCULO]] &lt; 0, -1, IF( tabPontoPed[[#This Row],[MENSAL]] - tabPontoPed[[#This Row],[CÁLCULO]] &gt; 0, 1, -8)), -9 )</f>
        <v>1</v>
      </c>
      <c r="W298" s="35"/>
      <c r="X298" s="48" t="s">
        <v>1564</v>
      </c>
      <c r="Y298" s="53">
        <v>44391.599108796298</v>
      </c>
      <c r="Z298" s="72">
        <f>tabPontoPed[CÁLC_4M] - tabPontoPed[CÁLCULO]</f>
        <v>121</v>
      </c>
      <c r="AA298" s="79" t="str">
        <f>IF(tabPontoPed[MENSAL]-tabPontoPed[ATA MENSAL] = 0,"sim","")</f>
        <v/>
      </c>
      <c r="AB298" s="79" t="s">
        <v>1614</v>
      </c>
      <c r="AC298" s="47" t="str">
        <f t="shared" si="4"/>
        <v>*</v>
      </c>
    </row>
    <row r="299" spans="1:29" x14ac:dyDescent="0.25">
      <c r="A299" s="36">
        <v>116874</v>
      </c>
      <c r="B299" s="68" t="s">
        <v>141</v>
      </c>
      <c r="C299" s="33" t="s">
        <v>1317</v>
      </c>
      <c r="D299" s="32">
        <v>55</v>
      </c>
      <c r="E299" s="37">
        <v>37</v>
      </c>
      <c r="F299" s="38" t="str">
        <f>VLOOKUP(tabPontoPed[[#This Row],[GRUPO]],tabGrupos[#Data],2,FALSE)</f>
        <v>EQUIP. MAT. P/ GERACAO, TRANSM. DISTR. RETIF...</v>
      </c>
      <c r="G299" s="32" t="str">
        <f>VLOOKUP(tabPontoPed[[#This Row],[GRUPO]],tabGrupos[#Data],3,FALSE)</f>
        <v>MEL</v>
      </c>
      <c r="H299" s="33" t="s">
        <v>1311</v>
      </c>
      <c r="I299" s="80">
        <v>4</v>
      </c>
      <c r="J299" s="39">
        <v>109</v>
      </c>
      <c r="K299" s="41">
        <f>tabPontoPed[[#This Row],[QTDMÊS]] * tabPontoPed[[#This Row],[MENSAL]]</f>
        <v>436</v>
      </c>
      <c r="L299" s="83"/>
      <c r="M299" s="81"/>
      <c r="N299" s="34" t="s">
        <v>1009</v>
      </c>
      <c r="O299" s="76" t="s">
        <v>1715</v>
      </c>
      <c r="P299" s="77">
        <v>0</v>
      </c>
      <c r="Q299" s="57">
        <v>178</v>
      </c>
      <c r="R299" s="42">
        <v>173</v>
      </c>
      <c r="S299" s="69" t="str">
        <f>_xlfn.IFNA(IF(VLOOKUP(tabPontoPed[[#This Row],[CÓDIGO]],tabExcluirDoEstoque[#Data],1,FALSE),"sim",""),"")</f>
        <v/>
      </c>
      <c r="T299" s="43">
        <f>IF(AND(tabPontoPed[[#This Row],[MENSAL]]&gt;0,tabPontoPed[[#This Row],[CÁLCULO]]&gt;0), ABS( tabPontoPed[[#This Row],[MENSAL]] - tabPontoPed[[#This Row],[CÁLCULO]] ) / tabPontoPed[[#This Row],[MENSAL]], -1 )</f>
        <v>0.58715596330275233</v>
      </c>
      <c r="U299" s="58">
        <v>270</v>
      </c>
      <c r="V299" s="35">
        <f>IF(AND(tabPontoPed[[#This Row],[MENSAL]]&gt;0,tabPontoPed[[#This Row],[CÁLCULO]]&gt;0), IF( tabPontoPed[[#This Row],[MENSAL]] - tabPontoPed[[#This Row],[CÁLCULO]] &lt; 0, -1, IF( tabPontoPed[[#This Row],[MENSAL]] - tabPontoPed[[#This Row],[CÁLCULO]] &gt; 0, 1, -8)), -9 )</f>
        <v>-1</v>
      </c>
      <c r="W299" s="35"/>
      <c r="X299" s="49" t="s">
        <v>1564</v>
      </c>
      <c r="Y299" s="51">
        <v>44391.599108796298</v>
      </c>
      <c r="Z299" s="72">
        <f>tabPontoPed[CÁLC_4M] - tabPontoPed[CÁLCULO]</f>
        <v>5</v>
      </c>
      <c r="AA299" s="79" t="str">
        <f>IF(tabPontoPed[MENSAL]-tabPontoPed[ATA MENSAL] = 0,"sim","")</f>
        <v/>
      </c>
      <c r="AB299" s="79"/>
      <c r="AC299" s="47" t="str">
        <f t="shared" si="4"/>
        <v>*</v>
      </c>
    </row>
    <row r="300" spans="1:29" x14ac:dyDescent="0.25">
      <c r="A300" s="36">
        <v>106128</v>
      </c>
      <c r="B300" s="68" t="s">
        <v>342</v>
      </c>
      <c r="C300" s="33" t="s">
        <v>1317</v>
      </c>
      <c r="D300" s="32">
        <v>50</v>
      </c>
      <c r="E300" s="37">
        <v>2</v>
      </c>
      <c r="F300" s="38" t="str">
        <f>VLOOKUP(tabPontoPed[[#This Row],[GRUPO]],tabGrupos[#Data],2,FALSE)</f>
        <v>EQUIP. P/ COND. VENT. PURIF. DE AR, COMPONENTES E ACES.</v>
      </c>
      <c r="G300" s="32" t="str">
        <f>VLOOKUP(tabPontoPed[[#This Row],[GRUPO]],tabGrupos[#Data],3,FALSE)</f>
        <v>MAN</v>
      </c>
      <c r="H300" s="33" t="s">
        <v>1311</v>
      </c>
      <c r="I300" s="80">
        <v>4</v>
      </c>
      <c r="J300" s="39">
        <v>12</v>
      </c>
      <c r="K300" s="41">
        <f>tabPontoPed[[#This Row],[QTDMÊS]] * tabPontoPed[[#This Row],[MENSAL]]</f>
        <v>48</v>
      </c>
      <c r="L300" s="83"/>
      <c r="M300" s="81"/>
      <c r="N300" s="34" t="s">
        <v>1009</v>
      </c>
      <c r="O300" s="76" t="s">
        <v>1670</v>
      </c>
      <c r="P300" s="77">
        <v>0</v>
      </c>
      <c r="Q300" s="57">
        <v>5</v>
      </c>
      <c r="R300" s="42">
        <v>5</v>
      </c>
      <c r="S300" s="69" t="str">
        <f>_xlfn.IFNA(IF(VLOOKUP(tabPontoPed[[#This Row],[CÓDIGO]],tabExcluirDoEstoque[#Data],1,FALSE),"sim",""),"")</f>
        <v>sim</v>
      </c>
      <c r="T300" s="43">
        <f>IF(AND(tabPontoPed[[#This Row],[MENSAL]]&gt;0,tabPontoPed[[#This Row],[CÁLCULO]]&gt;0), ABS( tabPontoPed[[#This Row],[MENSAL]] - tabPontoPed[[#This Row],[CÁLCULO]] ) / tabPontoPed[[#This Row],[MENSAL]], -1 )</f>
        <v>0.58333333333333337</v>
      </c>
      <c r="U300" s="58">
        <v>13</v>
      </c>
      <c r="V300" s="35">
        <f>IF(AND(tabPontoPed[[#This Row],[MENSAL]]&gt;0,tabPontoPed[[#This Row],[CÁLCULO]]&gt;0), IF( tabPontoPed[[#This Row],[MENSAL]] - tabPontoPed[[#This Row],[CÁLCULO]] &lt; 0, -1, IF( tabPontoPed[[#This Row],[MENSAL]] - tabPontoPed[[#This Row],[CÁLCULO]] &gt; 0, 1, -8)), -9 )</f>
        <v>1</v>
      </c>
      <c r="W300" s="35"/>
      <c r="X300" s="48" t="s">
        <v>1564</v>
      </c>
      <c r="Y300" s="53">
        <v>44391.599108796298</v>
      </c>
      <c r="Z300" s="72">
        <f>tabPontoPed[CÁLC_4M] - tabPontoPed[CÁLCULO]</f>
        <v>0</v>
      </c>
      <c r="AA300" s="79" t="str">
        <f>IF(tabPontoPed[MENSAL]-tabPontoPed[ATA MENSAL] = 0,"sim","")</f>
        <v/>
      </c>
      <c r="AB300" s="79"/>
      <c r="AC300" s="47" t="str">
        <f t="shared" si="4"/>
        <v>*</v>
      </c>
    </row>
    <row r="301" spans="1:29" x14ac:dyDescent="0.25">
      <c r="A301" s="36">
        <v>12989</v>
      </c>
      <c r="B301" s="68" t="s">
        <v>617</v>
      </c>
      <c r="C301" s="33" t="s">
        <v>1317</v>
      </c>
      <c r="D301" s="32">
        <v>55</v>
      </c>
      <c r="E301" s="37">
        <v>7</v>
      </c>
      <c r="F301" s="38" t="str">
        <f>VLOOKUP(tabPontoPed[[#This Row],[GRUPO]],tabGrupos[#Data],2,FALSE)</f>
        <v>EQUIP. MAT. P/ GERACAO, TRANSM. DISTR. RETIF...</v>
      </c>
      <c r="G301" s="32" t="str">
        <f>VLOOKUP(tabPontoPed[[#This Row],[GRUPO]],tabGrupos[#Data],3,FALSE)</f>
        <v>MEL</v>
      </c>
      <c r="H301" s="33" t="s">
        <v>1311</v>
      </c>
      <c r="I301" s="80">
        <v>4</v>
      </c>
      <c r="J301" s="39">
        <v>19</v>
      </c>
      <c r="K301" s="41">
        <f>tabPontoPed[[#This Row],[QTDMÊS]] * tabPontoPed[[#This Row],[MENSAL]]</f>
        <v>76</v>
      </c>
      <c r="L301" s="83"/>
      <c r="M301" s="81"/>
      <c r="N301" s="34" t="s">
        <v>1009</v>
      </c>
      <c r="O301" s="76" t="s">
        <v>1471</v>
      </c>
      <c r="P301" s="77">
        <v>0</v>
      </c>
      <c r="Q301" s="57">
        <v>5</v>
      </c>
      <c r="R301" s="42">
        <v>8</v>
      </c>
      <c r="S301" s="69" t="str">
        <f>_xlfn.IFNA(IF(VLOOKUP(tabPontoPed[[#This Row],[CÓDIGO]],tabExcluirDoEstoque[#Data],1,FALSE),"sim",""),"")</f>
        <v/>
      </c>
      <c r="T301" s="43">
        <f>IF(AND(tabPontoPed[[#This Row],[MENSAL]]&gt;0,tabPontoPed[[#This Row],[CÁLCULO]]&gt;0), ABS( tabPontoPed[[#This Row],[MENSAL]] - tabPontoPed[[#This Row],[CÁLCULO]] ) / tabPontoPed[[#This Row],[MENSAL]], -1 )</f>
        <v>0.57894736842105265</v>
      </c>
      <c r="U301" s="58">
        <v>29</v>
      </c>
      <c r="V301" s="35">
        <f>IF(AND(tabPontoPed[[#This Row],[MENSAL]]&gt;0,tabPontoPed[[#This Row],[CÁLCULO]]&gt;0), IF( tabPontoPed[[#This Row],[MENSAL]] - tabPontoPed[[#This Row],[CÁLCULO]] &lt; 0, -1, IF( tabPontoPed[[#This Row],[MENSAL]] - tabPontoPed[[#This Row],[CÁLCULO]] &gt; 0, 1, -8)), -9 )</f>
        <v>1</v>
      </c>
      <c r="W301" s="35"/>
      <c r="X301" s="49" t="s">
        <v>1564</v>
      </c>
      <c r="Y301" s="51">
        <v>44391.599108796298</v>
      </c>
      <c r="Z301" s="72">
        <f>tabPontoPed[CÁLC_4M] - tabPontoPed[CÁLCULO]</f>
        <v>-3</v>
      </c>
      <c r="AA301" s="79" t="str">
        <f>IF(tabPontoPed[MENSAL]-tabPontoPed[ATA MENSAL] = 0,"sim","")</f>
        <v/>
      </c>
      <c r="AB301" s="79"/>
      <c r="AC301" s="47" t="str">
        <f t="shared" si="4"/>
        <v>*</v>
      </c>
    </row>
    <row r="302" spans="1:29" x14ac:dyDescent="0.25">
      <c r="A302" s="36">
        <v>93453</v>
      </c>
      <c r="B302" s="68" t="s">
        <v>45</v>
      </c>
      <c r="C302" s="33" t="s">
        <v>1317</v>
      </c>
      <c r="D302" s="32">
        <v>57</v>
      </c>
      <c r="E302" s="37">
        <v>2</v>
      </c>
      <c r="F302" s="38" t="str">
        <f>VLOOKUP(tabPontoPed[[#This Row],[GRUPO]],tabGrupos[#Data],2,FALSE)</f>
        <v>MAQ. E EQUIP. P/ IND. GRAFICA COMP. ACESS. E PAPEI</v>
      </c>
      <c r="G302" s="32" t="str">
        <f>VLOOKUP(tabPontoPed[[#This Row],[GRUPO]],tabGrupos[#Data],3,FALSE)</f>
        <v>EDU</v>
      </c>
      <c r="H302" s="33" t="s">
        <v>1311</v>
      </c>
      <c r="I302" s="80">
        <v>4</v>
      </c>
      <c r="J302" s="39">
        <v>850</v>
      </c>
      <c r="K302" s="41">
        <f>tabPontoPed[[#This Row],[QTDMÊS]] * tabPontoPed[[#This Row],[MENSAL]]</f>
        <v>3400</v>
      </c>
      <c r="L302" s="83"/>
      <c r="M302" s="81"/>
      <c r="N302" s="34" t="s">
        <v>1009</v>
      </c>
      <c r="O302" s="76" t="s">
        <v>1718</v>
      </c>
      <c r="P302" s="77">
        <v>0</v>
      </c>
      <c r="Q302" s="57">
        <v>387</v>
      </c>
      <c r="R302" s="42">
        <v>359</v>
      </c>
      <c r="S302" s="69" t="str">
        <f>_xlfn.IFNA(IF(VLOOKUP(tabPontoPed[[#This Row],[CÓDIGO]],tabExcluirDoEstoque[#Data],1,FALSE),"sim",""),"")</f>
        <v/>
      </c>
      <c r="T302" s="43">
        <f>IF(AND(tabPontoPed[[#This Row],[MENSAL]]&gt;0,tabPontoPed[[#This Row],[CÁLCULO]]&gt;0), ABS( tabPontoPed[[#This Row],[MENSAL]] - tabPontoPed[[#This Row],[CÁLCULO]] ) / tabPontoPed[[#This Row],[MENSAL]], -1 )</f>
        <v>0.5776470588235294</v>
      </c>
      <c r="U302" s="58">
        <v>720</v>
      </c>
      <c r="V302" s="35">
        <f>IF(AND(tabPontoPed[[#This Row],[MENSAL]]&gt;0,tabPontoPed[[#This Row],[CÁLCULO]]&gt;0), IF( tabPontoPed[[#This Row],[MENSAL]] - tabPontoPed[[#This Row],[CÁLCULO]] &lt; 0, -1, IF( tabPontoPed[[#This Row],[MENSAL]] - tabPontoPed[[#This Row],[CÁLCULO]] &gt; 0, 1, -8)), -9 )</f>
        <v>1</v>
      </c>
      <c r="W302" s="35"/>
      <c r="X302" s="49" t="s">
        <v>1564</v>
      </c>
      <c r="Y302" s="51">
        <v>44391.599108796298</v>
      </c>
      <c r="Z302" s="72">
        <f>tabPontoPed[CÁLC_4M] - tabPontoPed[CÁLCULO]</f>
        <v>28</v>
      </c>
      <c r="AA302" s="79" t="str">
        <f>IF(tabPontoPed[MENSAL]-tabPontoPed[ATA MENSAL] = 0,"sim","")</f>
        <v/>
      </c>
      <c r="AB302" s="79"/>
      <c r="AC302" s="47" t="str">
        <f t="shared" si="4"/>
        <v>*</v>
      </c>
    </row>
    <row r="303" spans="1:29" x14ac:dyDescent="0.25">
      <c r="A303" s="36">
        <v>93461</v>
      </c>
      <c r="B303" s="68" t="s">
        <v>48</v>
      </c>
      <c r="C303" s="33" t="s">
        <v>1317</v>
      </c>
      <c r="D303" s="32">
        <v>57</v>
      </c>
      <c r="E303" s="37">
        <v>2</v>
      </c>
      <c r="F303" s="38" t="str">
        <f>VLOOKUP(tabPontoPed[[#This Row],[GRUPO]],tabGrupos[#Data],2,FALSE)</f>
        <v>MAQ. E EQUIP. P/ IND. GRAFICA COMP. ACESS. E PAPEI</v>
      </c>
      <c r="G303" s="32" t="str">
        <f>VLOOKUP(tabPontoPed[[#This Row],[GRUPO]],tabGrupos[#Data],3,FALSE)</f>
        <v>EDU</v>
      </c>
      <c r="H303" s="33" t="s">
        <v>1311</v>
      </c>
      <c r="I303" s="80">
        <v>4</v>
      </c>
      <c r="J303" s="39">
        <v>850</v>
      </c>
      <c r="K303" s="41">
        <f>tabPontoPed[[#This Row],[QTDMÊS]] * tabPontoPed[[#This Row],[MENSAL]]</f>
        <v>3400</v>
      </c>
      <c r="L303" s="83"/>
      <c r="M303" s="81"/>
      <c r="N303" s="34" t="s">
        <v>1009</v>
      </c>
      <c r="O303" s="76" t="s">
        <v>1718</v>
      </c>
      <c r="P303" s="77">
        <v>0</v>
      </c>
      <c r="Q303" s="57">
        <v>378</v>
      </c>
      <c r="R303" s="42">
        <v>359</v>
      </c>
      <c r="S303" s="69" t="str">
        <f>_xlfn.IFNA(IF(VLOOKUP(tabPontoPed[[#This Row],[CÓDIGO]],tabExcluirDoEstoque[#Data],1,FALSE),"sim",""),"")</f>
        <v/>
      </c>
      <c r="T303" s="43">
        <f>IF(AND(tabPontoPed[[#This Row],[MENSAL]]&gt;0,tabPontoPed[[#This Row],[CÁLCULO]]&gt;0), ABS( tabPontoPed[[#This Row],[MENSAL]] - tabPontoPed[[#This Row],[CÁLCULO]] ) / tabPontoPed[[#This Row],[MENSAL]], -1 )</f>
        <v>0.5776470588235294</v>
      </c>
      <c r="U303" s="58">
        <v>726</v>
      </c>
      <c r="V303" s="35">
        <f>IF(AND(tabPontoPed[[#This Row],[MENSAL]]&gt;0,tabPontoPed[[#This Row],[CÁLCULO]]&gt;0), IF( tabPontoPed[[#This Row],[MENSAL]] - tabPontoPed[[#This Row],[CÁLCULO]] &lt; 0, -1, IF( tabPontoPed[[#This Row],[MENSAL]] - tabPontoPed[[#This Row],[CÁLCULO]] &gt; 0, 1, -8)), -9 )</f>
        <v>1</v>
      </c>
      <c r="W303" s="35"/>
      <c r="X303" s="49" t="s">
        <v>1564</v>
      </c>
      <c r="Y303" s="51">
        <v>44391.599108796298</v>
      </c>
      <c r="Z303" s="72">
        <f>tabPontoPed[CÁLC_4M] - tabPontoPed[CÁLCULO]</f>
        <v>19</v>
      </c>
      <c r="AA303" s="79" t="str">
        <f>IF(tabPontoPed[MENSAL]-tabPontoPed[ATA MENSAL] = 0,"sim","")</f>
        <v/>
      </c>
      <c r="AB303" s="79"/>
      <c r="AC303" s="47" t="str">
        <f t="shared" si="4"/>
        <v>*</v>
      </c>
    </row>
    <row r="304" spans="1:29" x14ac:dyDescent="0.25">
      <c r="A304" s="36">
        <v>93454</v>
      </c>
      <c r="B304" s="68" t="s">
        <v>46</v>
      </c>
      <c r="C304" s="33" t="s">
        <v>1317</v>
      </c>
      <c r="D304" s="32">
        <v>57</v>
      </c>
      <c r="E304" s="37">
        <v>2</v>
      </c>
      <c r="F304" s="38" t="str">
        <f>VLOOKUP(tabPontoPed[[#This Row],[GRUPO]],tabGrupos[#Data],2,FALSE)</f>
        <v>MAQ. E EQUIP. P/ IND. GRAFICA COMP. ACESS. E PAPEI</v>
      </c>
      <c r="G304" s="32" t="str">
        <f>VLOOKUP(tabPontoPed[[#This Row],[GRUPO]],tabGrupos[#Data],3,FALSE)</f>
        <v>EDU</v>
      </c>
      <c r="H304" s="33" t="s">
        <v>1311</v>
      </c>
      <c r="I304" s="80">
        <v>4</v>
      </c>
      <c r="J304" s="39">
        <v>850</v>
      </c>
      <c r="K304" s="41">
        <f>tabPontoPed[[#This Row],[QTDMÊS]] * tabPontoPed[[#This Row],[MENSAL]]</f>
        <v>3400</v>
      </c>
      <c r="L304" s="83"/>
      <c r="M304" s="81"/>
      <c r="N304" s="34" t="s">
        <v>1009</v>
      </c>
      <c r="O304" s="76" t="s">
        <v>1718</v>
      </c>
      <c r="P304" s="77">
        <v>0</v>
      </c>
      <c r="Q304" s="57">
        <v>403</v>
      </c>
      <c r="R304" s="42">
        <v>360</v>
      </c>
      <c r="S304" s="69" t="str">
        <f>_xlfn.IFNA(IF(VLOOKUP(tabPontoPed[[#This Row],[CÓDIGO]],tabExcluirDoEstoque[#Data],1,FALSE),"sim",""),"")</f>
        <v/>
      </c>
      <c r="T304" s="43">
        <f>IF(AND(tabPontoPed[[#This Row],[MENSAL]]&gt;0,tabPontoPed[[#This Row],[CÁLCULO]]&gt;0), ABS( tabPontoPed[[#This Row],[MENSAL]] - tabPontoPed[[#This Row],[CÁLCULO]] ) / tabPontoPed[[#This Row],[MENSAL]], -1 )</f>
        <v>0.57647058823529407</v>
      </c>
      <c r="U304" s="58">
        <v>710</v>
      </c>
      <c r="V304" s="35">
        <f>IF(AND(tabPontoPed[[#This Row],[MENSAL]]&gt;0,tabPontoPed[[#This Row],[CÁLCULO]]&gt;0), IF( tabPontoPed[[#This Row],[MENSAL]] - tabPontoPed[[#This Row],[CÁLCULO]] &lt; 0, -1, IF( tabPontoPed[[#This Row],[MENSAL]] - tabPontoPed[[#This Row],[CÁLCULO]] &gt; 0, 1, -8)), -9 )</f>
        <v>1</v>
      </c>
      <c r="W304" s="35"/>
      <c r="X304" s="49" t="s">
        <v>1564</v>
      </c>
      <c r="Y304" s="51">
        <v>44391.599108796298</v>
      </c>
      <c r="Z304" s="72">
        <f>tabPontoPed[CÁLC_4M] - tabPontoPed[CÁLCULO]</f>
        <v>43</v>
      </c>
      <c r="AA304" s="79" t="str">
        <f>IF(tabPontoPed[MENSAL]-tabPontoPed[ATA MENSAL] = 0,"sim","")</f>
        <v/>
      </c>
      <c r="AB304" s="79"/>
      <c r="AC304" s="47" t="str">
        <f t="shared" si="4"/>
        <v>*</v>
      </c>
    </row>
    <row r="305" spans="1:29" x14ac:dyDescent="0.25">
      <c r="A305" s="36">
        <v>53446</v>
      </c>
      <c r="B305" s="68" t="s">
        <v>273</v>
      </c>
      <c r="C305" s="33" t="s">
        <v>1317</v>
      </c>
      <c r="D305" s="32">
        <v>51</v>
      </c>
      <c r="E305" s="37">
        <v>19</v>
      </c>
      <c r="F305" s="38" t="str">
        <f>VLOOKUP(tabPontoPed[[#This Row],[GRUPO]],tabGrupos[#Data],2,FALSE)</f>
        <v>MAT.E EQUIP. P/ CONSTR.CIVIL E CONSERV. DE VIAS PUBL.</v>
      </c>
      <c r="G305" s="32" t="str">
        <f>VLOOKUP(tabPontoPed[[#This Row],[GRUPO]],tabGrupos[#Data],3,FALSE)</f>
        <v>MCO</v>
      </c>
      <c r="H305" s="33" t="s">
        <v>1311</v>
      </c>
      <c r="I305" s="80">
        <v>4</v>
      </c>
      <c r="J305" s="39">
        <v>94</v>
      </c>
      <c r="K305" s="41">
        <f>tabPontoPed[[#This Row],[QTDMÊS]] * tabPontoPed[[#This Row],[MENSAL]]</f>
        <v>376</v>
      </c>
      <c r="L305" s="83"/>
      <c r="M305" s="81"/>
      <c r="N305" s="34" t="s">
        <v>1009</v>
      </c>
      <c r="O305" s="76" t="s">
        <v>1678</v>
      </c>
      <c r="P305" s="77">
        <v>0</v>
      </c>
      <c r="Q305" s="57">
        <v>1</v>
      </c>
      <c r="R305" s="42">
        <v>148</v>
      </c>
      <c r="S305" s="69" t="str">
        <f>_xlfn.IFNA(IF(VLOOKUP(tabPontoPed[[#This Row],[CÓDIGO]],tabExcluirDoEstoque[#Data],1,FALSE),"sim",""),"")</f>
        <v/>
      </c>
      <c r="T305" s="43">
        <f>IF(AND(tabPontoPed[[#This Row],[MENSAL]]&gt;0,tabPontoPed[[#This Row],[CÁLCULO]]&gt;0), ABS( tabPontoPed[[#This Row],[MENSAL]] - tabPontoPed[[#This Row],[CÁLCULO]] ) / tabPontoPed[[#This Row],[MENSAL]], -1 )</f>
        <v>0.57446808510638303</v>
      </c>
      <c r="U305" s="58">
        <v>366</v>
      </c>
      <c r="V305" s="35">
        <f>IF(AND(tabPontoPed[[#This Row],[MENSAL]]&gt;0,tabPontoPed[[#This Row],[CÁLCULO]]&gt;0), IF( tabPontoPed[[#This Row],[MENSAL]] - tabPontoPed[[#This Row],[CÁLCULO]] &lt; 0, -1, IF( tabPontoPed[[#This Row],[MENSAL]] - tabPontoPed[[#This Row],[CÁLCULO]] &gt; 0, 1, -8)), -9 )</f>
        <v>-1</v>
      </c>
      <c r="W305" s="35"/>
      <c r="X305" s="49" t="s">
        <v>1564</v>
      </c>
      <c r="Y305" s="51">
        <v>44391.599108796298</v>
      </c>
      <c r="Z305" s="72">
        <f>tabPontoPed[CÁLC_4M] - tabPontoPed[CÁLCULO]</f>
        <v>-147</v>
      </c>
      <c r="AA305" s="79" t="str">
        <f>IF(tabPontoPed[MENSAL]-tabPontoPed[ATA MENSAL] = 0,"sim","")</f>
        <v/>
      </c>
      <c r="AB305" s="79"/>
      <c r="AC305" s="47" t="str">
        <f t="shared" si="4"/>
        <v>*</v>
      </c>
    </row>
    <row r="306" spans="1:29" x14ac:dyDescent="0.25">
      <c r="A306" s="36">
        <v>93462</v>
      </c>
      <c r="B306" s="68" t="s">
        <v>49</v>
      </c>
      <c r="C306" s="33" t="s">
        <v>1317</v>
      </c>
      <c r="D306" s="32">
        <v>57</v>
      </c>
      <c r="E306" s="37">
        <v>2</v>
      </c>
      <c r="F306" s="38" t="str">
        <f>VLOOKUP(tabPontoPed[[#This Row],[GRUPO]],tabGrupos[#Data],2,FALSE)</f>
        <v>MAQ. E EQUIP. P/ IND. GRAFICA COMP. ACESS. E PAPEI</v>
      </c>
      <c r="G306" s="32" t="str">
        <f>VLOOKUP(tabPontoPed[[#This Row],[GRUPO]],tabGrupos[#Data],3,FALSE)</f>
        <v>EDU</v>
      </c>
      <c r="H306" s="33" t="s">
        <v>1311</v>
      </c>
      <c r="I306" s="80">
        <v>4</v>
      </c>
      <c r="J306" s="39">
        <v>850</v>
      </c>
      <c r="K306" s="41">
        <f>tabPontoPed[[#This Row],[QTDMÊS]] * tabPontoPed[[#This Row],[MENSAL]]</f>
        <v>3400</v>
      </c>
      <c r="L306" s="83"/>
      <c r="M306" s="81"/>
      <c r="N306" s="34" t="s">
        <v>1009</v>
      </c>
      <c r="O306" s="76" t="s">
        <v>1718</v>
      </c>
      <c r="P306" s="77">
        <v>0</v>
      </c>
      <c r="Q306" s="57">
        <v>401</v>
      </c>
      <c r="R306" s="42">
        <v>362</v>
      </c>
      <c r="S306" s="69" t="str">
        <f>_xlfn.IFNA(IF(VLOOKUP(tabPontoPed[[#This Row],[CÓDIGO]],tabExcluirDoEstoque[#Data],1,FALSE),"sim",""),"")</f>
        <v/>
      </c>
      <c r="T306" s="43">
        <f>IF(AND(tabPontoPed[[#This Row],[MENSAL]]&gt;0,tabPontoPed[[#This Row],[CÁLCULO]]&gt;0), ABS( tabPontoPed[[#This Row],[MENSAL]] - tabPontoPed[[#This Row],[CÁLCULO]] ) / tabPontoPed[[#This Row],[MENSAL]], -1 )</f>
        <v>0.57411764705882351</v>
      </c>
      <c r="U306" s="58">
        <v>730</v>
      </c>
      <c r="V306" s="35">
        <f>IF(AND(tabPontoPed[[#This Row],[MENSAL]]&gt;0,tabPontoPed[[#This Row],[CÁLCULO]]&gt;0), IF( tabPontoPed[[#This Row],[MENSAL]] - tabPontoPed[[#This Row],[CÁLCULO]] &lt; 0, -1, IF( tabPontoPed[[#This Row],[MENSAL]] - tabPontoPed[[#This Row],[CÁLCULO]] &gt; 0, 1, -8)), -9 )</f>
        <v>1</v>
      </c>
      <c r="W306" s="35"/>
      <c r="X306" s="49" t="s">
        <v>1564</v>
      </c>
      <c r="Y306" s="51">
        <v>44391.599108796298</v>
      </c>
      <c r="Z306" s="72">
        <f>tabPontoPed[CÁLC_4M] - tabPontoPed[CÁLCULO]</f>
        <v>39</v>
      </c>
      <c r="AA306" s="79" t="str">
        <f>IF(tabPontoPed[MENSAL]-tabPontoPed[ATA MENSAL] = 0,"sim","")</f>
        <v/>
      </c>
      <c r="AB306" s="79"/>
      <c r="AC306" s="47" t="str">
        <f t="shared" si="4"/>
        <v>*</v>
      </c>
    </row>
    <row r="307" spans="1:29" x14ac:dyDescent="0.25">
      <c r="A307" s="36">
        <v>93456</v>
      </c>
      <c r="B307" s="68" t="s">
        <v>47</v>
      </c>
      <c r="C307" s="33" t="s">
        <v>1317</v>
      </c>
      <c r="D307" s="32">
        <v>57</v>
      </c>
      <c r="E307" s="37">
        <v>2</v>
      </c>
      <c r="F307" s="38" t="str">
        <f>VLOOKUP(tabPontoPed[[#This Row],[GRUPO]],tabGrupos[#Data],2,FALSE)</f>
        <v>MAQ. E EQUIP. P/ IND. GRAFICA COMP. ACESS. E PAPEI</v>
      </c>
      <c r="G307" s="32" t="str">
        <f>VLOOKUP(tabPontoPed[[#This Row],[GRUPO]],tabGrupos[#Data],3,FALSE)</f>
        <v>EDU</v>
      </c>
      <c r="H307" s="33" t="s">
        <v>1311</v>
      </c>
      <c r="I307" s="80">
        <v>4</v>
      </c>
      <c r="J307" s="39">
        <v>850</v>
      </c>
      <c r="K307" s="41">
        <f>tabPontoPed[[#This Row],[QTDMÊS]] * tabPontoPed[[#This Row],[MENSAL]]</f>
        <v>3400</v>
      </c>
      <c r="L307" s="83"/>
      <c r="M307" s="81"/>
      <c r="N307" s="34" t="s">
        <v>1009</v>
      </c>
      <c r="O307" s="76" t="s">
        <v>1718</v>
      </c>
      <c r="P307" s="77">
        <v>0</v>
      </c>
      <c r="Q307" s="57">
        <v>400</v>
      </c>
      <c r="R307" s="42">
        <v>363</v>
      </c>
      <c r="S307" s="69" t="str">
        <f>_xlfn.IFNA(IF(VLOOKUP(tabPontoPed[[#This Row],[CÓDIGO]],tabExcluirDoEstoque[#Data],1,FALSE),"sim",""),"")</f>
        <v/>
      </c>
      <c r="T307" s="43">
        <f>IF(AND(tabPontoPed[[#This Row],[MENSAL]]&gt;0,tabPontoPed[[#This Row],[CÁLCULO]]&gt;0), ABS( tabPontoPed[[#This Row],[MENSAL]] - tabPontoPed[[#This Row],[CÁLCULO]] ) / tabPontoPed[[#This Row],[MENSAL]], -1 )</f>
        <v>0.57294117647058829</v>
      </c>
      <c r="U307" s="58">
        <v>720</v>
      </c>
      <c r="V307" s="35">
        <f>IF(AND(tabPontoPed[[#This Row],[MENSAL]]&gt;0,tabPontoPed[[#This Row],[CÁLCULO]]&gt;0), IF( tabPontoPed[[#This Row],[MENSAL]] - tabPontoPed[[#This Row],[CÁLCULO]] &lt; 0, -1, IF( tabPontoPed[[#This Row],[MENSAL]] - tabPontoPed[[#This Row],[CÁLCULO]] &gt; 0, 1, -8)), -9 )</f>
        <v>1</v>
      </c>
      <c r="W307" s="35"/>
      <c r="X307" s="49" t="s">
        <v>1564</v>
      </c>
      <c r="Y307" s="51">
        <v>44391.599108796298</v>
      </c>
      <c r="Z307" s="72">
        <f>tabPontoPed[CÁLC_4M] - tabPontoPed[CÁLCULO]</f>
        <v>37</v>
      </c>
      <c r="AA307" s="79" t="str">
        <f>IF(tabPontoPed[MENSAL]-tabPontoPed[ATA MENSAL] = 0,"sim","")</f>
        <v/>
      </c>
      <c r="AB307" s="79"/>
      <c r="AC307" s="47" t="str">
        <f t="shared" si="4"/>
        <v>*</v>
      </c>
    </row>
    <row r="308" spans="1:29" x14ac:dyDescent="0.25">
      <c r="A308" s="36">
        <v>133843</v>
      </c>
      <c r="B308" s="68" t="s">
        <v>77</v>
      </c>
      <c r="C308" s="33" t="s">
        <v>1317</v>
      </c>
      <c r="D308" s="32">
        <v>57</v>
      </c>
      <c r="E308" s="37">
        <v>16</v>
      </c>
      <c r="F308" s="38" t="str">
        <f>VLOOKUP(tabPontoPed[[#This Row],[GRUPO]],tabGrupos[#Data],2,FALSE)</f>
        <v>MAQ. E EQUIP. P/ IND. GRAFICA COMP. ACESS. E PAPEI</v>
      </c>
      <c r="G308" s="32" t="str">
        <f>VLOOKUP(tabPontoPed[[#This Row],[GRUPO]],tabGrupos[#Data],3,FALSE)</f>
        <v>EDU</v>
      </c>
      <c r="H308" s="33" t="s">
        <v>1311</v>
      </c>
      <c r="I308" s="80">
        <v>4</v>
      </c>
      <c r="J308" s="39">
        <v>2084</v>
      </c>
      <c r="K308" s="41">
        <f>tabPontoPed[[#This Row],[QTDMÊS]] * tabPontoPed[[#This Row],[MENSAL]]</f>
        <v>8336</v>
      </c>
      <c r="L308" s="83"/>
      <c r="M308" s="81"/>
      <c r="N308" s="34" t="s">
        <v>1009</v>
      </c>
      <c r="O308" s="76" t="s">
        <v>1718</v>
      </c>
      <c r="P308" s="77">
        <v>0</v>
      </c>
      <c r="Q308" s="57">
        <v>1041</v>
      </c>
      <c r="R308" s="42">
        <v>891</v>
      </c>
      <c r="S308" s="69" t="str">
        <f>_xlfn.IFNA(IF(VLOOKUP(tabPontoPed[[#This Row],[CÓDIGO]],tabExcluirDoEstoque[#Data],1,FALSE),"sim",""),"")</f>
        <v/>
      </c>
      <c r="T308" s="43">
        <f>IF(AND(tabPontoPed[[#This Row],[MENSAL]]&gt;0,tabPontoPed[[#This Row],[CÁLCULO]]&gt;0), ABS( tabPontoPed[[#This Row],[MENSAL]] - tabPontoPed[[#This Row],[CÁLCULO]] ) / tabPontoPed[[#This Row],[MENSAL]], -1 )</f>
        <v>0.57245681381957769</v>
      </c>
      <c r="U308" s="58">
        <v>1785</v>
      </c>
      <c r="V308" s="35">
        <f>IF(AND(tabPontoPed[[#This Row],[MENSAL]]&gt;0,tabPontoPed[[#This Row],[CÁLCULO]]&gt;0), IF( tabPontoPed[[#This Row],[MENSAL]] - tabPontoPed[[#This Row],[CÁLCULO]] &lt; 0, -1, IF( tabPontoPed[[#This Row],[MENSAL]] - tabPontoPed[[#This Row],[CÁLCULO]] &gt; 0, 1, -8)), -9 )</f>
        <v>1</v>
      </c>
      <c r="W308" s="35"/>
      <c r="X308" s="48" t="s">
        <v>1564</v>
      </c>
      <c r="Y308" s="53">
        <v>44391.599108796298</v>
      </c>
      <c r="Z308" s="72">
        <f>tabPontoPed[CÁLC_4M] - tabPontoPed[CÁLCULO]</f>
        <v>150</v>
      </c>
      <c r="AA308" s="79" t="str">
        <f>IF(tabPontoPed[MENSAL]-tabPontoPed[ATA MENSAL] = 0,"sim","")</f>
        <v/>
      </c>
      <c r="AB308" s="79" t="s">
        <v>1614</v>
      </c>
      <c r="AC308" s="47" t="str">
        <f t="shared" si="4"/>
        <v>*</v>
      </c>
    </row>
    <row r="309" spans="1:29" x14ac:dyDescent="0.25">
      <c r="A309" s="36">
        <v>17371</v>
      </c>
      <c r="B309" s="68" t="s">
        <v>201</v>
      </c>
      <c r="C309" s="33" t="s">
        <v>1317</v>
      </c>
      <c r="D309" s="32">
        <v>57</v>
      </c>
      <c r="E309" s="37">
        <v>15</v>
      </c>
      <c r="F309" s="38" t="str">
        <f>VLOOKUP(tabPontoPed[[#This Row],[GRUPO]],tabGrupos[#Data],2,FALSE)</f>
        <v>MAQ. E EQUIP. P/ IND. GRAFICA COMP. ACESS. E PAPEI</v>
      </c>
      <c r="G309" s="32" t="str">
        <f>VLOOKUP(tabPontoPed[[#This Row],[GRUPO]],tabGrupos[#Data],3,FALSE)</f>
        <v>EDU</v>
      </c>
      <c r="H309" s="33" t="s">
        <v>1311</v>
      </c>
      <c r="I309" s="80">
        <v>4</v>
      </c>
      <c r="J309" s="39">
        <v>750</v>
      </c>
      <c r="K309" s="41">
        <f>tabPontoPed[[#This Row],[QTDMÊS]] * tabPontoPed[[#This Row],[MENSAL]]</f>
        <v>3000</v>
      </c>
      <c r="L309" s="83"/>
      <c r="M309" s="81"/>
      <c r="N309" s="34" t="s">
        <v>1009</v>
      </c>
      <c r="O309" s="76" t="s">
        <v>1696</v>
      </c>
      <c r="P309" s="77">
        <v>0</v>
      </c>
      <c r="Q309" s="57">
        <v>372</v>
      </c>
      <c r="R309" s="42">
        <v>321</v>
      </c>
      <c r="S309" s="69" t="str">
        <f>_xlfn.IFNA(IF(VLOOKUP(tabPontoPed[[#This Row],[CÓDIGO]],tabExcluirDoEstoque[#Data],1,FALSE),"sim",""),"")</f>
        <v/>
      </c>
      <c r="T309" s="43">
        <f>IF(AND(tabPontoPed[[#This Row],[MENSAL]]&gt;0,tabPontoPed[[#This Row],[CÁLCULO]]&gt;0), ABS( tabPontoPed[[#This Row],[MENSAL]] - tabPontoPed[[#This Row],[CÁLCULO]] ) / tabPontoPed[[#This Row],[MENSAL]], -1 )</f>
        <v>0.57199999999999995</v>
      </c>
      <c r="U309" s="58">
        <v>801</v>
      </c>
      <c r="V309" s="35">
        <f>IF(AND(tabPontoPed[[#This Row],[MENSAL]]&gt;0,tabPontoPed[[#This Row],[CÁLCULO]]&gt;0), IF( tabPontoPed[[#This Row],[MENSAL]] - tabPontoPed[[#This Row],[CÁLCULO]] &lt; 0, -1, IF( tabPontoPed[[#This Row],[MENSAL]] - tabPontoPed[[#This Row],[CÁLCULO]] &gt; 0, 1, -8)), -9 )</f>
        <v>1</v>
      </c>
      <c r="W309" s="35"/>
      <c r="X309" s="49" t="s">
        <v>1564</v>
      </c>
      <c r="Y309" s="51">
        <v>44391.599108796298</v>
      </c>
      <c r="Z309" s="72">
        <f>tabPontoPed[CÁLC_4M] - tabPontoPed[CÁLCULO]</f>
        <v>51</v>
      </c>
      <c r="AA309" s="79" t="str">
        <f>IF(tabPontoPed[MENSAL]-tabPontoPed[ATA MENSAL] = 0,"sim","")</f>
        <v/>
      </c>
      <c r="AB309" s="79" t="s">
        <v>1614</v>
      </c>
      <c r="AC309" s="47" t="str">
        <f t="shared" si="4"/>
        <v>*</v>
      </c>
    </row>
    <row r="310" spans="1:29" x14ac:dyDescent="0.25">
      <c r="A310" s="36">
        <v>12673</v>
      </c>
      <c r="B310" s="68" t="s">
        <v>926</v>
      </c>
      <c r="C310" s="33" t="s">
        <v>1317</v>
      </c>
      <c r="D310" s="32">
        <v>72</v>
      </c>
      <c r="E310" s="37">
        <v>5</v>
      </c>
      <c r="F310" s="38" t="str">
        <f>VLOOKUP(tabPontoPed[[#This Row],[GRUPO]],tabGrupos[#Data],2,FALSE)</f>
        <v>MAQ.EQUIP.E MATERIAIS P/ HIGIEN.LIMP.POLIM.E LUBR.</v>
      </c>
      <c r="G310" s="32" t="str">
        <f>VLOOKUP(tabPontoPed[[#This Row],[GRUPO]],tabGrupos[#Data],3,FALSE)</f>
        <v>ADM</v>
      </c>
      <c r="H310" s="33" t="s">
        <v>1311</v>
      </c>
      <c r="I310" s="80">
        <v>4</v>
      </c>
      <c r="J310" s="39">
        <v>7</v>
      </c>
      <c r="K310" s="41">
        <f>tabPontoPed[[#This Row],[QTDMÊS]] * tabPontoPed[[#This Row],[MENSAL]]</f>
        <v>28</v>
      </c>
      <c r="L310" s="83"/>
      <c r="M310" s="81"/>
      <c r="N310" s="34" t="s">
        <v>1009</v>
      </c>
      <c r="O310" s="76" t="s">
        <v>1728</v>
      </c>
      <c r="P310" s="77">
        <v>0</v>
      </c>
      <c r="Q310" s="57">
        <v>2</v>
      </c>
      <c r="R310" s="42">
        <v>3</v>
      </c>
      <c r="S310" s="69" t="str">
        <f>_xlfn.IFNA(IF(VLOOKUP(tabPontoPed[[#This Row],[CÓDIGO]],tabExcluirDoEstoque[#Data],1,FALSE),"sim",""),"")</f>
        <v>sim</v>
      </c>
      <c r="T310" s="43">
        <f>IF(AND(tabPontoPed[[#This Row],[MENSAL]]&gt;0,tabPontoPed[[#This Row],[CÁLCULO]]&gt;0), ABS( tabPontoPed[[#This Row],[MENSAL]] - tabPontoPed[[#This Row],[CÁLCULO]] ) / tabPontoPed[[#This Row],[MENSAL]], -1 )</f>
        <v>0.5714285714285714</v>
      </c>
      <c r="U310" s="58">
        <v>10</v>
      </c>
      <c r="V310" s="35">
        <f>IF(AND(tabPontoPed[[#This Row],[MENSAL]]&gt;0,tabPontoPed[[#This Row],[CÁLCULO]]&gt;0), IF( tabPontoPed[[#This Row],[MENSAL]] - tabPontoPed[[#This Row],[CÁLCULO]] &lt; 0, -1, IF( tabPontoPed[[#This Row],[MENSAL]] - tabPontoPed[[#This Row],[CÁLCULO]] &gt; 0, 1, -8)), -9 )</f>
        <v>1</v>
      </c>
      <c r="W310" s="35"/>
      <c r="X310" s="49" t="s">
        <v>1564</v>
      </c>
      <c r="Y310" s="51">
        <v>44391.599108796298</v>
      </c>
      <c r="Z310" s="72">
        <f>tabPontoPed[CÁLC_4M] - tabPontoPed[CÁLCULO]</f>
        <v>-1</v>
      </c>
      <c r="AA310" s="79" t="str">
        <f>IF(tabPontoPed[MENSAL]-tabPontoPed[ATA MENSAL] = 0,"sim","")</f>
        <v/>
      </c>
      <c r="AB310" s="79"/>
      <c r="AC310" s="47" t="str">
        <f t="shared" si="4"/>
        <v>*</v>
      </c>
    </row>
    <row r="311" spans="1:29" x14ac:dyDescent="0.25">
      <c r="A311" s="36">
        <v>112159</v>
      </c>
      <c r="B311" s="68" t="s">
        <v>106</v>
      </c>
      <c r="C311" s="33" t="s">
        <v>1317</v>
      </c>
      <c r="D311" s="32">
        <v>55</v>
      </c>
      <c r="E311" s="37">
        <v>7</v>
      </c>
      <c r="F311" s="38" t="str">
        <f>VLOOKUP(tabPontoPed[[#This Row],[GRUPO]],tabGrupos[#Data],2,FALSE)</f>
        <v>EQUIP. MAT. P/ GERACAO, TRANSM. DISTR. RETIF...</v>
      </c>
      <c r="G311" s="32" t="str">
        <f>VLOOKUP(tabPontoPed[[#This Row],[GRUPO]],tabGrupos[#Data],3,FALSE)</f>
        <v>MEL</v>
      </c>
      <c r="H311" s="33" t="s">
        <v>1311</v>
      </c>
      <c r="I311" s="80">
        <v>4</v>
      </c>
      <c r="J311" s="39">
        <v>7</v>
      </c>
      <c r="K311" s="41">
        <f>tabPontoPed[[#This Row],[QTDMÊS]] * tabPontoPed[[#This Row],[MENSAL]]</f>
        <v>28</v>
      </c>
      <c r="L311" s="83"/>
      <c r="M311" s="81"/>
      <c r="N311" s="34" t="s">
        <v>1009</v>
      </c>
      <c r="O311" s="76" t="s">
        <v>1676</v>
      </c>
      <c r="P311" s="77">
        <v>0</v>
      </c>
      <c r="Q311" s="57">
        <v>3</v>
      </c>
      <c r="R311" s="42">
        <v>3</v>
      </c>
      <c r="S311" s="69" t="str">
        <f>_xlfn.IFNA(IF(VLOOKUP(tabPontoPed[[#This Row],[CÓDIGO]],tabExcluirDoEstoque[#Data],1,FALSE),"sim",""),"")</f>
        <v/>
      </c>
      <c r="T311" s="43">
        <f>IF(AND(tabPontoPed[[#This Row],[MENSAL]]&gt;0,tabPontoPed[[#This Row],[CÁLCULO]]&gt;0), ABS( tabPontoPed[[#This Row],[MENSAL]] - tabPontoPed[[#This Row],[CÁLCULO]] ) / tabPontoPed[[#This Row],[MENSAL]], -1 )</f>
        <v>0.5714285714285714</v>
      </c>
      <c r="U311" s="58">
        <v>10</v>
      </c>
      <c r="V311" s="35">
        <f>IF(AND(tabPontoPed[[#This Row],[MENSAL]]&gt;0,tabPontoPed[[#This Row],[CÁLCULO]]&gt;0), IF( tabPontoPed[[#This Row],[MENSAL]] - tabPontoPed[[#This Row],[CÁLCULO]] &lt; 0, -1, IF( tabPontoPed[[#This Row],[MENSAL]] - tabPontoPed[[#This Row],[CÁLCULO]] &gt; 0, 1, -8)), -9 )</f>
        <v>1</v>
      </c>
      <c r="W311" s="35"/>
      <c r="X311" s="49" t="s">
        <v>1564</v>
      </c>
      <c r="Y311" s="51">
        <v>44391.599108796298</v>
      </c>
      <c r="Z311" s="72">
        <f>tabPontoPed[CÁLC_4M] - tabPontoPed[CÁLCULO]</f>
        <v>0</v>
      </c>
      <c r="AA311" s="79" t="str">
        <f>IF(tabPontoPed[MENSAL]-tabPontoPed[ATA MENSAL] = 0,"sim","")</f>
        <v/>
      </c>
      <c r="AB311" s="79"/>
      <c r="AC311" s="47" t="str">
        <f t="shared" si="4"/>
        <v>*</v>
      </c>
    </row>
    <row r="312" spans="1:29" x14ac:dyDescent="0.25">
      <c r="A312" s="36">
        <v>107889</v>
      </c>
      <c r="B312" s="68" t="s">
        <v>18</v>
      </c>
      <c r="C312" s="33" t="s">
        <v>1317</v>
      </c>
      <c r="D312" s="32">
        <v>55</v>
      </c>
      <c r="E312" s="37">
        <v>9</v>
      </c>
      <c r="F312" s="38" t="str">
        <f>VLOOKUP(tabPontoPed[[#This Row],[GRUPO]],tabGrupos[#Data],2,FALSE)</f>
        <v>EQUIP. MAT. P/ GERACAO, TRANSM. DISTR. RETIF...</v>
      </c>
      <c r="G312" s="32" t="str">
        <f>VLOOKUP(tabPontoPed[[#This Row],[GRUPO]],tabGrupos[#Data],3,FALSE)</f>
        <v>MEL</v>
      </c>
      <c r="H312" s="33" t="s">
        <v>1311</v>
      </c>
      <c r="I312" s="80">
        <v>4</v>
      </c>
      <c r="J312" s="39">
        <v>21</v>
      </c>
      <c r="K312" s="41">
        <f>tabPontoPed[[#This Row],[QTDMÊS]] * tabPontoPed[[#This Row],[MENSAL]]</f>
        <v>84</v>
      </c>
      <c r="L312" s="83"/>
      <c r="M312" s="81"/>
      <c r="N312" s="34" t="s">
        <v>1009</v>
      </c>
      <c r="O312" s="76" t="s">
        <v>1715</v>
      </c>
      <c r="P312" s="77">
        <v>0</v>
      </c>
      <c r="Q312" s="57">
        <v>7</v>
      </c>
      <c r="R312" s="42">
        <v>9</v>
      </c>
      <c r="S312" s="69" t="str">
        <f>_xlfn.IFNA(IF(VLOOKUP(tabPontoPed[[#This Row],[CÓDIGO]],tabExcluirDoEstoque[#Data],1,FALSE),"sim",""),"")</f>
        <v/>
      </c>
      <c r="T312" s="43">
        <f>IF(AND(tabPontoPed[[#This Row],[MENSAL]]&gt;0,tabPontoPed[[#This Row],[CÁLCULO]]&gt;0), ABS( tabPontoPed[[#This Row],[MENSAL]] - tabPontoPed[[#This Row],[CÁLCULO]] ) / tabPontoPed[[#This Row],[MENSAL]], -1 )</f>
        <v>0.5714285714285714</v>
      </c>
      <c r="U312" s="58">
        <v>22</v>
      </c>
      <c r="V312" s="35">
        <f>IF(AND(tabPontoPed[[#This Row],[MENSAL]]&gt;0,tabPontoPed[[#This Row],[CÁLCULO]]&gt;0), IF( tabPontoPed[[#This Row],[MENSAL]] - tabPontoPed[[#This Row],[CÁLCULO]] &lt; 0, -1, IF( tabPontoPed[[#This Row],[MENSAL]] - tabPontoPed[[#This Row],[CÁLCULO]] &gt; 0, 1, -8)), -9 )</f>
        <v>1</v>
      </c>
      <c r="W312" s="35"/>
      <c r="X312" s="48" t="s">
        <v>1564</v>
      </c>
      <c r="Y312" s="53">
        <v>44391.599108796298</v>
      </c>
      <c r="Z312" s="72">
        <f>tabPontoPed[CÁLC_4M] - tabPontoPed[CÁLCULO]</f>
        <v>-2</v>
      </c>
      <c r="AA312" s="79" t="str">
        <f>IF(tabPontoPed[MENSAL]-tabPontoPed[ATA MENSAL] = 0,"sim","")</f>
        <v/>
      </c>
      <c r="AB312" s="79" t="s">
        <v>1614</v>
      </c>
      <c r="AC312" s="47" t="str">
        <f t="shared" si="4"/>
        <v>*</v>
      </c>
    </row>
    <row r="313" spans="1:29" x14ac:dyDescent="0.25">
      <c r="A313" s="36">
        <v>12813</v>
      </c>
      <c r="B313" s="68" t="s">
        <v>282</v>
      </c>
      <c r="C313" s="33" t="s">
        <v>1317</v>
      </c>
      <c r="D313" s="32">
        <v>61</v>
      </c>
      <c r="E313" s="37">
        <v>8</v>
      </c>
      <c r="F313" s="38" t="str">
        <f>VLOOKUP(tabPontoPed[[#This Row],[GRUPO]],tabGrupos[#Data],2,FALSE)</f>
        <v>MATERIAL HIDRAULICO, CANOS, TUBOS, MANGUEIRAS, CONEXOES E ACESS.</v>
      </c>
      <c r="G313" s="32" t="str">
        <f>VLOOKUP(tabPontoPed[[#This Row],[GRUPO]],tabGrupos[#Data],3,FALSE)</f>
        <v>MHI</v>
      </c>
      <c r="H313" s="33" t="s">
        <v>1311</v>
      </c>
      <c r="I313" s="80">
        <v>4</v>
      </c>
      <c r="J313" s="39">
        <v>7</v>
      </c>
      <c r="K313" s="41">
        <f>tabPontoPed[[#This Row],[QTDMÊS]] * tabPontoPed[[#This Row],[MENSAL]]</f>
        <v>28</v>
      </c>
      <c r="L313" s="83"/>
      <c r="M313" s="81"/>
      <c r="N313" s="34" t="s">
        <v>1009</v>
      </c>
      <c r="O313" s="76" t="s">
        <v>1678</v>
      </c>
      <c r="P313" s="77">
        <v>0</v>
      </c>
      <c r="Q313" s="57">
        <v>0</v>
      </c>
      <c r="R313" s="42">
        <v>3</v>
      </c>
      <c r="S313" s="69" t="str">
        <f>_xlfn.IFNA(IF(VLOOKUP(tabPontoPed[[#This Row],[CÓDIGO]],tabExcluirDoEstoque[#Data],1,FALSE),"sim",""),"")</f>
        <v/>
      </c>
      <c r="T313" s="43">
        <f>IF(AND(tabPontoPed[[#This Row],[MENSAL]]&gt;0,tabPontoPed[[#This Row],[CÁLCULO]]&gt;0), ABS( tabPontoPed[[#This Row],[MENSAL]] - tabPontoPed[[#This Row],[CÁLCULO]] ) / tabPontoPed[[#This Row],[MENSAL]], -1 )</f>
        <v>0.5714285714285714</v>
      </c>
      <c r="U313" s="58">
        <v>16</v>
      </c>
      <c r="V313" s="35">
        <f>IF(AND(tabPontoPed[[#This Row],[MENSAL]]&gt;0,tabPontoPed[[#This Row],[CÁLCULO]]&gt;0), IF( tabPontoPed[[#This Row],[MENSAL]] - tabPontoPed[[#This Row],[CÁLCULO]] &lt; 0, -1, IF( tabPontoPed[[#This Row],[MENSAL]] - tabPontoPed[[#This Row],[CÁLCULO]] &gt; 0, 1, -8)), -9 )</f>
        <v>1</v>
      </c>
      <c r="W313" s="35"/>
      <c r="X313" s="49" t="s">
        <v>1564</v>
      </c>
      <c r="Y313" s="51">
        <v>44391.599108796298</v>
      </c>
      <c r="Z313" s="72">
        <f>tabPontoPed[CÁLC_4M] - tabPontoPed[CÁLCULO]</f>
        <v>-3</v>
      </c>
      <c r="AA313" s="79" t="str">
        <f>IF(tabPontoPed[MENSAL]-tabPontoPed[ATA MENSAL] = 0,"sim","")</f>
        <v/>
      </c>
      <c r="AB313" s="79" t="s">
        <v>1614</v>
      </c>
      <c r="AC313" s="47" t="str">
        <f t="shared" si="4"/>
        <v>*</v>
      </c>
    </row>
    <row r="314" spans="1:29" x14ac:dyDescent="0.25">
      <c r="A314" s="36">
        <v>28306</v>
      </c>
      <c r="B314" s="68" t="s">
        <v>748</v>
      </c>
      <c r="C314" s="33" t="s">
        <v>1317</v>
      </c>
      <c r="D314" s="32">
        <v>61</v>
      </c>
      <c r="E314" s="37">
        <v>8</v>
      </c>
      <c r="F314" s="38" t="str">
        <f>VLOOKUP(tabPontoPed[[#This Row],[GRUPO]],tabGrupos[#Data],2,FALSE)</f>
        <v>MATERIAL HIDRAULICO, CANOS, TUBOS, MANGUEIRAS, CONEXOES E ACESS.</v>
      </c>
      <c r="G314" s="32" t="str">
        <f>VLOOKUP(tabPontoPed[[#This Row],[GRUPO]],tabGrupos[#Data],3,FALSE)</f>
        <v>MHI</v>
      </c>
      <c r="H314" s="33" t="s">
        <v>1311</v>
      </c>
      <c r="I314" s="80">
        <v>4</v>
      </c>
      <c r="J314" s="39">
        <v>7</v>
      </c>
      <c r="K314" s="41">
        <f>tabPontoPed[[#This Row],[QTDMÊS]] * tabPontoPed[[#This Row],[MENSAL]]</f>
        <v>28</v>
      </c>
      <c r="L314" s="83"/>
      <c r="M314" s="81"/>
      <c r="N314" s="34" t="s">
        <v>1009</v>
      </c>
      <c r="O314" s="76" t="s">
        <v>1691</v>
      </c>
      <c r="P314" s="77">
        <v>0</v>
      </c>
      <c r="Q314" s="57">
        <v>2</v>
      </c>
      <c r="R314" s="42">
        <v>3</v>
      </c>
      <c r="S314" s="69" t="str">
        <f>_xlfn.IFNA(IF(VLOOKUP(tabPontoPed[[#This Row],[CÓDIGO]],tabExcluirDoEstoque[#Data],1,FALSE),"sim",""),"")</f>
        <v/>
      </c>
      <c r="T314" s="43">
        <f>IF(AND(tabPontoPed[[#This Row],[MENSAL]]&gt;0,tabPontoPed[[#This Row],[CÁLCULO]]&gt;0), ABS( tabPontoPed[[#This Row],[MENSAL]] - tabPontoPed[[#This Row],[CÁLCULO]] ) / tabPontoPed[[#This Row],[MENSAL]], -1 )</f>
        <v>0.5714285714285714</v>
      </c>
      <c r="U314" s="58">
        <v>13</v>
      </c>
      <c r="V314" s="35">
        <f>IF(AND(tabPontoPed[[#This Row],[MENSAL]]&gt;0,tabPontoPed[[#This Row],[CÁLCULO]]&gt;0), IF( tabPontoPed[[#This Row],[MENSAL]] - tabPontoPed[[#This Row],[CÁLCULO]] &lt; 0, -1, IF( tabPontoPed[[#This Row],[MENSAL]] - tabPontoPed[[#This Row],[CÁLCULO]] &gt; 0, 1, -8)), -9 )</f>
        <v>1</v>
      </c>
      <c r="W314" s="35"/>
      <c r="X314" s="48" t="s">
        <v>1564</v>
      </c>
      <c r="Y314" s="53">
        <v>44391.599108796298</v>
      </c>
      <c r="Z314" s="72">
        <f>tabPontoPed[CÁLC_4M] - tabPontoPed[CÁLCULO]</f>
        <v>-1</v>
      </c>
      <c r="AA314" s="79" t="str">
        <f>IF(tabPontoPed[MENSAL]-tabPontoPed[ATA MENSAL] = 0,"sim","")</f>
        <v/>
      </c>
      <c r="AB314" s="79" t="s">
        <v>1614</v>
      </c>
      <c r="AC314" s="47" t="str">
        <f t="shared" si="4"/>
        <v>*</v>
      </c>
    </row>
    <row r="315" spans="1:29" x14ac:dyDescent="0.25">
      <c r="A315" s="36">
        <v>134566</v>
      </c>
      <c r="B315" s="68" t="s">
        <v>871</v>
      </c>
      <c r="C315" s="33" t="s">
        <v>1317</v>
      </c>
      <c r="D315" s="32">
        <v>67</v>
      </c>
      <c r="E315" s="37">
        <v>18</v>
      </c>
      <c r="F315" s="38" t="str">
        <f>VLOOKUP(tabPontoPed[[#This Row],[GRUPO]],tabGrupos[#Data],2,FALSE)</f>
        <v>PARAFUSOS ELEM. VEDACAO UNIAO CONEX . FIXACAO</v>
      </c>
      <c r="G315" s="32" t="str">
        <f>VLOOKUP(tabPontoPed[[#This Row],[GRUPO]],tabGrupos[#Data],3,FALSE)</f>
        <v>MSE</v>
      </c>
      <c r="H315" s="33" t="s">
        <v>1311</v>
      </c>
      <c r="I315" s="80">
        <v>4</v>
      </c>
      <c r="J315" s="39">
        <v>91</v>
      </c>
      <c r="K315" s="41">
        <f>tabPontoPed[[#This Row],[QTDMÊS]] * tabPontoPed[[#This Row],[MENSAL]]</f>
        <v>364</v>
      </c>
      <c r="L315" s="83"/>
      <c r="M315" s="81"/>
      <c r="N315" s="34" t="s">
        <v>1009</v>
      </c>
      <c r="O315" s="76"/>
      <c r="P315" s="77">
        <v>0</v>
      </c>
      <c r="Q315" s="57">
        <v>61</v>
      </c>
      <c r="R315" s="42">
        <v>39</v>
      </c>
      <c r="S315" s="69" t="str">
        <f>_xlfn.IFNA(IF(VLOOKUP(tabPontoPed[[#This Row],[CÓDIGO]],tabExcluirDoEstoque[#Data],1,FALSE),"sim",""),"")</f>
        <v/>
      </c>
      <c r="T315" s="43">
        <f>IF(AND(tabPontoPed[[#This Row],[MENSAL]]&gt;0,tabPontoPed[[#This Row],[CÁLCULO]]&gt;0), ABS( tabPontoPed[[#This Row],[MENSAL]] - tabPontoPed[[#This Row],[CÁLCULO]] ) / tabPontoPed[[#This Row],[MENSAL]], -1 )</f>
        <v>0.5714285714285714</v>
      </c>
      <c r="U315" s="58">
        <v>201</v>
      </c>
      <c r="V315" s="35">
        <f>IF(AND(tabPontoPed[[#This Row],[MENSAL]]&gt;0,tabPontoPed[[#This Row],[CÁLCULO]]&gt;0), IF( tabPontoPed[[#This Row],[MENSAL]] - tabPontoPed[[#This Row],[CÁLCULO]] &lt; 0, -1, IF( tabPontoPed[[#This Row],[MENSAL]] - tabPontoPed[[#This Row],[CÁLCULO]] &gt; 0, 1, -8)), -9 )</f>
        <v>1</v>
      </c>
      <c r="W315" s="35"/>
      <c r="X315" s="49" t="s">
        <v>1564</v>
      </c>
      <c r="Y315" s="51">
        <v>44391.599108796298</v>
      </c>
      <c r="Z315" s="72">
        <f>tabPontoPed[CÁLC_4M] - tabPontoPed[CÁLCULO]</f>
        <v>22</v>
      </c>
      <c r="AA315" s="79" t="str">
        <f>IF(tabPontoPed[MENSAL]-tabPontoPed[ATA MENSAL] = 0,"sim","")</f>
        <v/>
      </c>
      <c r="AB315" s="79"/>
      <c r="AC315" s="47" t="str">
        <f t="shared" si="4"/>
        <v>*</v>
      </c>
    </row>
    <row r="316" spans="1:29" x14ac:dyDescent="0.25">
      <c r="A316" s="36">
        <v>13221</v>
      </c>
      <c r="B316" s="68" t="s">
        <v>816</v>
      </c>
      <c r="C316" s="33" t="s">
        <v>1317</v>
      </c>
      <c r="D316" s="32">
        <v>67</v>
      </c>
      <c r="E316" s="37">
        <v>1</v>
      </c>
      <c r="F316" s="38" t="str">
        <f>VLOOKUP(tabPontoPed[[#This Row],[GRUPO]],tabGrupos[#Data],2,FALSE)</f>
        <v>PARAFUSOS ELEM. VEDACAO UNIAO CONEX . FIXACAO</v>
      </c>
      <c r="G316" s="32" t="str">
        <f>VLOOKUP(tabPontoPed[[#This Row],[GRUPO]],tabGrupos[#Data],3,FALSE)</f>
        <v>MSE</v>
      </c>
      <c r="H316" s="33" t="s">
        <v>1311</v>
      </c>
      <c r="I316" s="80">
        <v>4</v>
      </c>
      <c r="J316" s="39">
        <v>316</v>
      </c>
      <c r="K316" s="41">
        <f>tabPontoPed[[#This Row],[QTDMÊS]] * tabPontoPed[[#This Row],[MENSAL]]</f>
        <v>1264</v>
      </c>
      <c r="L316" s="83"/>
      <c r="M316" s="81"/>
      <c r="N316" s="34" t="s">
        <v>1009</v>
      </c>
      <c r="O316" s="76" t="s">
        <v>1668</v>
      </c>
      <c r="P316" s="77">
        <v>0</v>
      </c>
      <c r="Q316" s="57">
        <v>28</v>
      </c>
      <c r="R316" s="42">
        <v>136</v>
      </c>
      <c r="S316" s="69" t="str">
        <f>_xlfn.IFNA(IF(VLOOKUP(tabPontoPed[[#This Row],[CÓDIGO]],tabExcluirDoEstoque[#Data],1,FALSE),"sim",""),"")</f>
        <v/>
      </c>
      <c r="T316" s="43">
        <f>IF(AND(tabPontoPed[[#This Row],[MENSAL]]&gt;0,tabPontoPed[[#This Row],[CÁLCULO]]&gt;0), ABS( tabPontoPed[[#This Row],[MENSAL]] - tabPontoPed[[#This Row],[CÁLCULO]] ) / tabPontoPed[[#This Row],[MENSAL]], -1 )</f>
        <v>0.569620253164557</v>
      </c>
      <c r="U316" s="58">
        <v>600</v>
      </c>
      <c r="V316" s="35">
        <f>IF(AND(tabPontoPed[[#This Row],[MENSAL]]&gt;0,tabPontoPed[[#This Row],[CÁLCULO]]&gt;0), IF( tabPontoPed[[#This Row],[MENSAL]] - tabPontoPed[[#This Row],[CÁLCULO]] &lt; 0, -1, IF( tabPontoPed[[#This Row],[MENSAL]] - tabPontoPed[[#This Row],[CÁLCULO]] &gt; 0, 1, -8)), -9 )</f>
        <v>1</v>
      </c>
      <c r="W316" s="35"/>
      <c r="X316" s="48" t="s">
        <v>1564</v>
      </c>
      <c r="Y316" s="53">
        <v>44391.599108796298</v>
      </c>
      <c r="Z316" s="72">
        <f>tabPontoPed[CÁLC_4M] - tabPontoPed[CÁLCULO]</f>
        <v>-108</v>
      </c>
      <c r="AA316" s="79" t="str">
        <f>IF(tabPontoPed[MENSAL]-tabPontoPed[ATA MENSAL] = 0,"sim","")</f>
        <v/>
      </c>
      <c r="AB316" s="79"/>
      <c r="AC316" s="47" t="str">
        <f t="shared" si="4"/>
        <v>*</v>
      </c>
    </row>
    <row r="317" spans="1:29" x14ac:dyDescent="0.25">
      <c r="A317" s="36">
        <v>133849</v>
      </c>
      <c r="B317" s="68" t="s">
        <v>94</v>
      </c>
      <c r="C317" s="33" t="s">
        <v>1317</v>
      </c>
      <c r="D317" s="32">
        <v>57</v>
      </c>
      <c r="E317" s="37">
        <v>16</v>
      </c>
      <c r="F317" s="38" t="str">
        <f>VLOOKUP(tabPontoPed[[#This Row],[GRUPO]],tabGrupos[#Data],2,FALSE)</f>
        <v>MAQ. E EQUIP. P/ IND. GRAFICA COMP. ACESS. E PAPEI</v>
      </c>
      <c r="G317" s="32" t="str">
        <f>VLOOKUP(tabPontoPed[[#This Row],[GRUPO]],tabGrupos[#Data],3,FALSE)</f>
        <v>EDU</v>
      </c>
      <c r="H317" s="33" t="s">
        <v>1311</v>
      </c>
      <c r="I317" s="80">
        <v>4</v>
      </c>
      <c r="J317" s="39">
        <v>2084</v>
      </c>
      <c r="K317" s="41">
        <f>tabPontoPed[[#This Row],[QTDMÊS]] * tabPontoPed[[#This Row],[MENSAL]]</f>
        <v>8336</v>
      </c>
      <c r="L317" s="83"/>
      <c r="M317" s="81"/>
      <c r="N317" s="34" t="s">
        <v>1009</v>
      </c>
      <c r="O317" s="76" t="s">
        <v>1718</v>
      </c>
      <c r="P317" s="77">
        <v>0</v>
      </c>
      <c r="Q317" s="57">
        <v>1035</v>
      </c>
      <c r="R317" s="42">
        <v>903</v>
      </c>
      <c r="S317" s="69" t="str">
        <f>_xlfn.IFNA(IF(VLOOKUP(tabPontoPed[[#This Row],[CÓDIGO]],tabExcluirDoEstoque[#Data],1,FALSE),"sim",""),"")</f>
        <v/>
      </c>
      <c r="T317" s="43">
        <f>IF(AND(tabPontoPed[[#This Row],[MENSAL]]&gt;0,tabPontoPed[[#This Row],[CÁLCULO]]&gt;0), ABS( tabPontoPed[[#This Row],[MENSAL]] - tabPontoPed[[#This Row],[CÁLCULO]] ) / tabPontoPed[[#This Row],[MENSAL]], -1 )</f>
        <v>0.56669865642994244</v>
      </c>
      <c r="U317" s="58">
        <v>1903</v>
      </c>
      <c r="V317" s="35">
        <f>IF(AND(tabPontoPed[[#This Row],[MENSAL]]&gt;0,tabPontoPed[[#This Row],[CÁLCULO]]&gt;0), IF( tabPontoPed[[#This Row],[MENSAL]] - tabPontoPed[[#This Row],[CÁLCULO]] &lt; 0, -1, IF( tabPontoPed[[#This Row],[MENSAL]] - tabPontoPed[[#This Row],[CÁLCULO]] &gt; 0, 1, -8)), -9 )</f>
        <v>1</v>
      </c>
      <c r="W317" s="35"/>
      <c r="X317" s="48" t="s">
        <v>1564</v>
      </c>
      <c r="Y317" s="53">
        <v>44391.599108796298</v>
      </c>
      <c r="Z317" s="72">
        <f>tabPontoPed[CÁLC_4M] - tabPontoPed[CÁLCULO]</f>
        <v>132</v>
      </c>
      <c r="AA317" s="79" t="str">
        <f>IF(tabPontoPed[MENSAL]-tabPontoPed[ATA MENSAL] = 0,"sim","")</f>
        <v/>
      </c>
      <c r="AB317" s="79" t="s">
        <v>1614</v>
      </c>
      <c r="AC317" s="47" t="str">
        <f t="shared" si="4"/>
        <v>*</v>
      </c>
    </row>
    <row r="318" spans="1:29" x14ac:dyDescent="0.25">
      <c r="A318" s="36">
        <v>16363</v>
      </c>
      <c r="B318" s="68" t="s">
        <v>225</v>
      </c>
      <c r="C318" s="33" t="s">
        <v>1317</v>
      </c>
      <c r="D318" s="32">
        <v>74</v>
      </c>
      <c r="E318" s="37">
        <v>8</v>
      </c>
      <c r="F318" s="38" t="str">
        <f>VLOOKUP(tabPontoPed[[#This Row],[GRUPO]],tabGrupos[#Data],2,FALSE)</f>
        <v>MADEIRAS,LAMINADOS,COMPENSADOS E AGLOMERADOS</v>
      </c>
      <c r="G318" s="32" t="str">
        <f>VLOOKUP(tabPontoPed[[#This Row],[GRUPO]],tabGrupos[#Data],3,FALSE)</f>
        <v>MCO</v>
      </c>
      <c r="H318" s="33" t="s">
        <v>1311</v>
      </c>
      <c r="I318" s="80">
        <v>4</v>
      </c>
      <c r="J318" s="39">
        <v>30</v>
      </c>
      <c r="K318" s="41">
        <f>tabPontoPed[[#This Row],[QTDMÊS]] * tabPontoPed[[#This Row],[MENSAL]]</f>
        <v>120</v>
      </c>
      <c r="L318" s="83"/>
      <c r="M318" s="81"/>
      <c r="N318" s="34" t="s">
        <v>1009</v>
      </c>
      <c r="O318" s="76" t="s">
        <v>1669</v>
      </c>
      <c r="P318" s="77">
        <v>0</v>
      </c>
      <c r="Q318" s="57">
        <v>16</v>
      </c>
      <c r="R318" s="42">
        <v>13</v>
      </c>
      <c r="S318" s="69" t="str">
        <f>_xlfn.IFNA(IF(VLOOKUP(tabPontoPed[[#This Row],[CÓDIGO]],tabExcluirDoEstoque[#Data],1,FALSE),"sim",""),"")</f>
        <v/>
      </c>
      <c r="T318" s="43">
        <f>IF(AND(tabPontoPed[[#This Row],[MENSAL]]&gt;0,tabPontoPed[[#This Row],[CÁLCULO]]&gt;0), ABS( tabPontoPed[[#This Row],[MENSAL]] - tabPontoPed[[#This Row],[CÁLCULO]] ) / tabPontoPed[[#This Row],[MENSAL]], -1 )</f>
        <v>0.56666666666666665</v>
      </c>
      <c r="U318" s="58">
        <v>36</v>
      </c>
      <c r="V318" s="35">
        <f>IF(AND(tabPontoPed[[#This Row],[MENSAL]]&gt;0,tabPontoPed[[#This Row],[CÁLCULO]]&gt;0), IF( tabPontoPed[[#This Row],[MENSAL]] - tabPontoPed[[#This Row],[CÁLCULO]] &lt; 0, -1, IF( tabPontoPed[[#This Row],[MENSAL]] - tabPontoPed[[#This Row],[CÁLCULO]] &gt; 0, 1, -8)), -9 )</f>
        <v>1</v>
      </c>
      <c r="W318" s="35"/>
      <c r="X318" s="48" t="s">
        <v>1564</v>
      </c>
      <c r="Y318" s="53">
        <v>44391.599108796298</v>
      </c>
      <c r="Z318" s="72">
        <f>tabPontoPed[CÁLC_4M] - tabPontoPed[CÁLCULO]</f>
        <v>3</v>
      </c>
      <c r="AA318" s="79" t="str">
        <f>IF(tabPontoPed[MENSAL]-tabPontoPed[ATA MENSAL] = 0,"sim","")</f>
        <v/>
      </c>
      <c r="AB318" s="79"/>
      <c r="AC318" s="47" t="str">
        <f t="shared" si="4"/>
        <v>*</v>
      </c>
    </row>
    <row r="319" spans="1:29" x14ac:dyDescent="0.25">
      <c r="A319" s="36">
        <v>132405</v>
      </c>
      <c r="B319" s="68" t="s">
        <v>703</v>
      </c>
      <c r="C319" s="33" t="s">
        <v>1317</v>
      </c>
      <c r="D319" s="32">
        <v>57</v>
      </c>
      <c r="E319" s="37">
        <v>6</v>
      </c>
      <c r="F319" s="38" t="str">
        <f>VLOOKUP(tabPontoPed[[#This Row],[GRUPO]],tabGrupos[#Data],2,FALSE)</f>
        <v>MAQ. E EQUIP. P/ IND. GRAFICA COMP. ACESS. E PAPEI</v>
      </c>
      <c r="G319" s="32" t="str">
        <f>VLOOKUP(tabPontoPed[[#This Row],[GRUPO]],tabGrupos[#Data],3,FALSE)</f>
        <v>EDU</v>
      </c>
      <c r="H319" s="33" t="s">
        <v>1311</v>
      </c>
      <c r="I319" s="80">
        <v>4</v>
      </c>
      <c r="J319" s="39">
        <v>16</v>
      </c>
      <c r="K319" s="41">
        <f>tabPontoPed[[#This Row],[QTDMÊS]] * tabPontoPed[[#This Row],[MENSAL]]</f>
        <v>64</v>
      </c>
      <c r="L319" s="83"/>
      <c r="M319" s="81"/>
      <c r="N319" s="34" t="s">
        <v>1009</v>
      </c>
      <c r="O319" s="76"/>
      <c r="P319" s="77">
        <v>0</v>
      </c>
      <c r="Q319" s="57">
        <v>6</v>
      </c>
      <c r="R319" s="42">
        <v>7</v>
      </c>
      <c r="S319" s="69" t="str">
        <f>_xlfn.IFNA(IF(VLOOKUP(tabPontoPed[[#This Row],[CÓDIGO]],tabExcluirDoEstoque[#Data],1,FALSE),"sim",""),"")</f>
        <v/>
      </c>
      <c r="T319" s="43">
        <f>IF(AND(tabPontoPed[[#This Row],[MENSAL]]&gt;0,tabPontoPed[[#This Row],[CÁLCULO]]&gt;0), ABS( tabPontoPed[[#This Row],[MENSAL]] - tabPontoPed[[#This Row],[CÁLCULO]] ) / tabPontoPed[[#This Row],[MENSAL]], -1 )</f>
        <v>0.5625</v>
      </c>
      <c r="U319" s="58">
        <v>13</v>
      </c>
      <c r="V319" s="35">
        <f>IF(AND(tabPontoPed[[#This Row],[MENSAL]]&gt;0,tabPontoPed[[#This Row],[CÁLCULO]]&gt;0), IF( tabPontoPed[[#This Row],[MENSAL]] - tabPontoPed[[#This Row],[CÁLCULO]] &lt; 0, -1, IF( tabPontoPed[[#This Row],[MENSAL]] - tabPontoPed[[#This Row],[CÁLCULO]] &gt; 0, 1, -8)), -9 )</f>
        <v>1</v>
      </c>
      <c r="W319" s="35"/>
      <c r="X319" s="49" t="s">
        <v>1564</v>
      </c>
      <c r="Y319" s="51">
        <v>44391.599108796298</v>
      </c>
      <c r="Z319" s="72">
        <f>tabPontoPed[CÁLC_4M] - tabPontoPed[CÁLCULO]</f>
        <v>-1</v>
      </c>
      <c r="AA319" s="79" t="str">
        <f>IF(tabPontoPed[MENSAL]-tabPontoPed[ATA MENSAL] = 0,"sim","")</f>
        <v/>
      </c>
      <c r="AB319" s="79"/>
      <c r="AC319" s="47" t="str">
        <f t="shared" si="4"/>
        <v>*</v>
      </c>
    </row>
    <row r="320" spans="1:29" x14ac:dyDescent="0.25">
      <c r="A320" s="36">
        <v>109944</v>
      </c>
      <c r="B320" s="68" t="s">
        <v>399</v>
      </c>
      <c r="C320" s="33" t="s">
        <v>1317</v>
      </c>
      <c r="D320" s="32">
        <v>74</v>
      </c>
      <c r="E320" s="37">
        <v>8</v>
      </c>
      <c r="F320" s="38" t="str">
        <f>VLOOKUP(tabPontoPed[[#This Row],[GRUPO]],tabGrupos[#Data],2,FALSE)</f>
        <v>MADEIRAS,LAMINADOS,COMPENSADOS E AGLOMERADOS</v>
      </c>
      <c r="G320" s="32" t="str">
        <f>VLOOKUP(tabPontoPed[[#This Row],[GRUPO]],tabGrupos[#Data],3,FALSE)</f>
        <v>MCO</v>
      </c>
      <c r="H320" s="33" t="s">
        <v>1311</v>
      </c>
      <c r="I320" s="80">
        <v>4</v>
      </c>
      <c r="J320" s="39">
        <v>50</v>
      </c>
      <c r="K320" s="41">
        <f>tabPontoPed[[#This Row],[QTDMÊS]] * tabPontoPed[[#This Row],[MENSAL]]</f>
        <v>200</v>
      </c>
      <c r="L320" s="83"/>
      <c r="M320" s="81"/>
      <c r="N320" s="34" t="s">
        <v>1009</v>
      </c>
      <c r="O320" s="76" t="s">
        <v>1709</v>
      </c>
      <c r="P320" s="77">
        <v>0</v>
      </c>
      <c r="Q320" s="57">
        <v>13</v>
      </c>
      <c r="R320" s="42">
        <v>22</v>
      </c>
      <c r="S320" s="69" t="str">
        <f>_xlfn.IFNA(IF(VLOOKUP(tabPontoPed[[#This Row],[CÓDIGO]],tabExcluirDoEstoque[#Data],1,FALSE),"sim",""),"")</f>
        <v/>
      </c>
      <c r="T320" s="43">
        <f>IF(AND(tabPontoPed[[#This Row],[MENSAL]]&gt;0,tabPontoPed[[#This Row],[CÁLCULO]]&gt;0), ABS( tabPontoPed[[#This Row],[MENSAL]] - tabPontoPed[[#This Row],[CÁLCULO]] ) / tabPontoPed[[#This Row],[MENSAL]], -1 )</f>
        <v>0.56000000000000005</v>
      </c>
      <c r="U320" s="58">
        <v>100</v>
      </c>
      <c r="V320" s="35">
        <f>IF(AND(tabPontoPed[[#This Row],[MENSAL]]&gt;0,tabPontoPed[[#This Row],[CÁLCULO]]&gt;0), IF( tabPontoPed[[#This Row],[MENSAL]] - tabPontoPed[[#This Row],[CÁLCULO]] &lt; 0, -1, IF( tabPontoPed[[#This Row],[MENSAL]] - tabPontoPed[[#This Row],[CÁLCULO]] &gt; 0, 1, -8)), -9 )</f>
        <v>1</v>
      </c>
      <c r="W320" s="35"/>
      <c r="X320" s="48" t="s">
        <v>1564</v>
      </c>
      <c r="Y320" s="53">
        <v>44391.599108796298</v>
      </c>
      <c r="Z320" s="72">
        <f>tabPontoPed[CÁLC_4M] - tabPontoPed[CÁLCULO]</f>
        <v>-9</v>
      </c>
      <c r="AA320" s="79" t="str">
        <f>IF(tabPontoPed[MENSAL]-tabPontoPed[ATA MENSAL] = 0,"sim","")</f>
        <v/>
      </c>
      <c r="AB320" s="79"/>
      <c r="AC320" s="47" t="str">
        <f t="shared" si="4"/>
        <v>*</v>
      </c>
    </row>
    <row r="321" spans="1:29" x14ac:dyDescent="0.25">
      <c r="A321" s="36">
        <v>64627</v>
      </c>
      <c r="B321" s="68" t="s">
        <v>265</v>
      </c>
      <c r="C321" s="33" t="s">
        <v>1317</v>
      </c>
      <c r="D321" s="32">
        <v>69</v>
      </c>
      <c r="E321" s="37">
        <v>8</v>
      </c>
      <c r="F321" s="38" t="str">
        <f>VLOOKUP(tabPontoPed[[#This Row],[GRUPO]],tabGrupos[#Data],2,FALSE)</f>
        <v>METAIS,LAMINAD.,PERFILADOS E ARTEFATOS METALICOS</v>
      </c>
      <c r="G321" s="32" t="str">
        <f>VLOOKUP(tabPontoPed[[#This Row],[GRUPO]],tabGrupos[#Data],3,FALSE)</f>
        <v>MSE</v>
      </c>
      <c r="H321" s="33" t="s">
        <v>1311</v>
      </c>
      <c r="I321" s="80">
        <v>4</v>
      </c>
      <c r="J321" s="39">
        <v>50</v>
      </c>
      <c r="K321" s="41">
        <f>tabPontoPed[[#This Row],[QTDMÊS]] * tabPontoPed[[#This Row],[MENSAL]]</f>
        <v>200</v>
      </c>
      <c r="L321" s="83"/>
      <c r="M321" s="81"/>
      <c r="N321" s="34" t="s">
        <v>1009</v>
      </c>
      <c r="O321" s="76" t="s">
        <v>1681</v>
      </c>
      <c r="P321" s="77">
        <v>0</v>
      </c>
      <c r="Q321" s="57">
        <v>53</v>
      </c>
      <c r="R321" s="42">
        <v>22</v>
      </c>
      <c r="S321" s="69" t="str">
        <f>_xlfn.IFNA(IF(VLOOKUP(tabPontoPed[[#This Row],[CÓDIGO]],tabExcluirDoEstoque[#Data],1,FALSE),"sim",""),"")</f>
        <v/>
      </c>
      <c r="T321" s="43">
        <f>IF(AND(tabPontoPed[[#This Row],[MENSAL]]&gt;0,tabPontoPed[[#This Row],[CÁLCULO]]&gt;0), ABS( tabPontoPed[[#This Row],[MENSAL]] - tabPontoPed[[#This Row],[CÁLCULO]] ) / tabPontoPed[[#This Row],[MENSAL]], -1 )</f>
        <v>0.56000000000000005</v>
      </c>
      <c r="U321" s="58">
        <v>200</v>
      </c>
      <c r="V321" s="35">
        <f>IF(AND(tabPontoPed[[#This Row],[MENSAL]]&gt;0,tabPontoPed[[#This Row],[CÁLCULO]]&gt;0), IF( tabPontoPed[[#This Row],[MENSAL]] - tabPontoPed[[#This Row],[CÁLCULO]] &lt; 0, -1, IF( tabPontoPed[[#This Row],[MENSAL]] - tabPontoPed[[#This Row],[CÁLCULO]] &gt; 0, 1, -8)), -9 )</f>
        <v>1</v>
      </c>
      <c r="W321" s="35"/>
      <c r="X321" s="49" t="s">
        <v>1564</v>
      </c>
      <c r="Y321" s="51">
        <v>44391.599108796298</v>
      </c>
      <c r="Z321" s="72">
        <f>tabPontoPed[CÁLC_4M] - tabPontoPed[CÁLCULO]</f>
        <v>31</v>
      </c>
      <c r="AA321" s="79" t="str">
        <f>IF(tabPontoPed[MENSAL]-tabPontoPed[ATA MENSAL] = 0,"sim","")</f>
        <v/>
      </c>
      <c r="AB321" s="79" t="s">
        <v>1614</v>
      </c>
      <c r="AC321" s="47" t="str">
        <f t="shared" si="4"/>
        <v>*</v>
      </c>
    </row>
    <row r="322" spans="1:29" x14ac:dyDescent="0.25">
      <c r="A322" s="36">
        <v>29959</v>
      </c>
      <c r="B322" s="68" t="s">
        <v>70</v>
      </c>
      <c r="C322" s="33" t="s">
        <v>1317</v>
      </c>
      <c r="D322" s="32">
        <v>57</v>
      </c>
      <c r="E322" s="37">
        <v>15</v>
      </c>
      <c r="F322" s="38" t="str">
        <f>VLOOKUP(tabPontoPed[[#This Row],[GRUPO]],tabGrupos[#Data],2,FALSE)</f>
        <v>MAQ. E EQUIP. P/ IND. GRAFICA COMP. ACESS. E PAPEI</v>
      </c>
      <c r="G322" s="32" t="str">
        <f>VLOOKUP(tabPontoPed[[#This Row],[GRUPO]],tabGrupos[#Data],3,FALSE)</f>
        <v>EDU</v>
      </c>
      <c r="H322" s="33" t="s">
        <v>1311</v>
      </c>
      <c r="I322" s="80">
        <v>4</v>
      </c>
      <c r="J322" s="39">
        <v>834</v>
      </c>
      <c r="K322" s="41">
        <f>tabPontoPed[[#This Row],[QTDMÊS]] * tabPontoPed[[#This Row],[MENSAL]]</f>
        <v>3336</v>
      </c>
      <c r="L322" s="83"/>
      <c r="M322" s="81"/>
      <c r="N322" s="34" t="s">
        <v>1009</v>
      </c>
      <c r="O322" s="76" t="s">
        <v>1718</v>
      </c>
      <c r="P322" s="77">
        <v>0</v>
      </c>
      <c r="Q322" s="57">
        <v>390</v>
      </c>
      <c r="R322" s="42">
        <v>369</v>
      </c>
      <c r="S322" s="69" t="str">
        <f>_xlfn.IFNA(IF(VLOOKUP(tabPontoPed[[#This Row],[CÓDIGO]],tabExcluirDoEstoque[#Data],1,FALSE),"sim",""),"")</f>
        <v/>
      </c>
      <c r="T322" s="43">
        <f>IF(AND(tabPontoPed[[#This Row],[MENSAL]]&gt;0,tabPontoPed[[#This Row],[CÁLCULO]]&gt;0), ABS( tabPontoPed[[#This Row],[MENSAL]] - tabPontoPed[[#This Row],[CÁLCULO]] ) / tabPontoPed[[#This Row],[MENSAL]], -1 )</f>
        <v>0.55755395683453235</v>
      </c>
      <c r="U322" s="58">
        <v>793</v>
      </c>
      <c r="V322" s="35">
        <f>IF(AND(tabPontoPed[[#This Row],[MENSAL]]&gt;0,tabPontoPed[[#This Row],[CÁLCULO]]&gt;0), IF( tabPontoPed[[#This Row],[MENSAL]] - tabPontoPed[[#This Row],[CÁLCULO]] &lt; 0, -1, IF( tabPontoPed[[#This Row],[MENSAL]] - tabPontoPed[[#This Row],[CÁLCULO]] &gt; 0, 1, -8)), -9 )</f>
        <v>1</v>
      </c>
      <c r="W322" s="35"/>
      <c r="X322" s="49" t="s">
        <v>1564</v>
      </c>
      <c r="Y322" s="51">
        <v>44391.599108796298</v>
      </c>
      <c r="Z322" s="72">
        <f>tabPontoPed[CÁLC_4M] - tabPontoPed[CÁLCULO]</f>
        <v>21</v>
      </c>
      <c r="AA322" s="79" t="str">
        <f>IF(tabPontoPed[MENSAL]-tabPontoPed[ATA MENSAL] = 0,"sim","")</f>
        <v/>
      </c>
      <c r="AB322" s="79" t="s">
        <v>1614</v>
      </c>
      <c r="AC322" s="47" t="str">
        <f t="shared" si="4"/>
        <v>*</v>
      </c>
    </row>
    <row r="323" spans="1:29" x14ac:dyDescent="0.25">
      <c r="A323" s="36">
        <v>72222</v>
      </c>
      <c r="B323" s="68" t="s">
        <v>702</v>
      </c>
      <c r="C323" s="33" t="s">
        <v>1317</v>
      </c>
      <c r="D323" s="32">
        <v>57</v>
      </c>
      <c r="E323" s="37">
        <v>6</v>
      </c>
      <c r="F323" s="38" t="str">
        <f>VLOOKUP(tabPontoPed[[#This Row],[GRUPO]],tabGrupos[#Data],2,FALSE)</f>
        <v>MAQ. E EQUIP. P/ IND. GRAFICA COMP. ACESS. E PAPEI</v>
      </c>
      <c r="G323" s="32" t="str">
        <f>VLOOKUP(tabPontoPed[[#This Row],[GRUPO]],tabGrupos[#Data],3,FALSE)</f>
        <v>EDU</v>
      </c>
      <c r="H323" s="33" t="s">
        <v>1311</v>
      </c>
      <c r="I323" s="80">
        <v>4</v>
      </c>
      <c r="J323" s="39">
        <v>18</v>
      </c>
      <c r="K323" s="41">
        <f>tabPontoPed[[#This Row],[QTDMÊS]] * tabPontoPed[[#This Row],[MENSAL]]</f>
        <v>72</v>
      </c>
      <c r="L323" s="83"/>
      <c r="M323" s="81"/>
      <c r="N323" s="34" t="s">
        <v>1009</v>
      </c>
      <c r="O323" s="76"/>
      <c r="P323" s="77">
        <v>0</v>
      </c>
      <c r="Q323" s="57">
        <v>9</v>
      </c>
      <c r="R323" s="42">
        <v>8</v>
      </c>
      <c r="S323" s="69" t="str">
        <f>_xlfn.IFNA(IF(VLOOKUP(tabPontoPed[[#This Row],[CÓDIGO]],tabExcluirDoEstoque[#Data],1,FALSE),"sim",""),"")</f>
        <v/>
      </c>
      <c r="T323" s="43">
        <f>IF(AND(tabPontoPed[[#This Row],[MENSAL]]&gt;0,tabPontoPed[[#This Row],[CÁLCULO]]&gt;0), ABS( tabPontoPed[[#This Row],[MENSAL]] - tabPontoPed[[#This Row],[CÁLCULO]] ) / tabPontoPed[[#This Row],[MENSAL]], -1 )</f>
        <v>0.55555555555555558</v>
      </c>
      <c r="U323" s="58">
        <v>13</v>
      </c>
      <c r="V323" s="35">
        <f>IF(AND(tabPontoPed[[#This Row],[MENSAL]]&gt;0,tabPontoPed[[#This Row],[CÁLCULO]]&gt;0), IF( tabPontoPed[[#This Row],[MENSAL]] - tabPontoPed[[#This Row],[CÁLCULO]] &lt; 0, -1, IF( tabPontoPed[[#This Row],[MENSAL]] - tabPontoPed[[#This Row],[CÁLCULO]] &gt; 0, 1, -8)), -9 )</f>
        <v>1</v>
      </c>
      <c r="W323" s="35"/>
      <c r="X323" s="49" t="s">
        <v>1564</v>
      </c>
      <c r="Y323" s="51">
        <v>44391.599108796298</v>
      </c>
      <c r="Z323" s="72">
        <f>tabPontoPed[CÁLC_4M] - tabPontoPed[CÁLCULO]</f>
        <v>1</v>
      </c>
      <c r="AA323" s="79" t="str">
        <f>IF(tabPontoPed[MENSAL]-tabPontoPed[ATA MENSAL] = 0,"sim","")</f>
        <v/>
      </c>
      <c r="AB323" s="79"/>
      <c r="AC323" s="47" t="str">
        <f t="shared" ref="AC323:AC386" si="5">"*"</f>
        <v>*</v>
      </c>
    </row>
    <row r="324" spans="1:29" x14ac:dyDescent="0.25">
      <c r="A324" s="36">
        <v>19871</v>
      </c>
      <c r="B324" s="68" t="s">
        <v>904</v>
      </c>
      <c r="C324" s="33" t="s">
        <v>1317</v>
      </c>
      <c r="D324" s="32">
        <v>70</v>
      </c>
      <c r="E324" s="37">
        <v>31</v>
      </c>
      <c r="F324" s="38" t="str">
        <f>VLOOKUP(tabPontoPed[[#This Row],[GRUPO]],tabGrupos[#Data],2,FALSE)</f>
        <v>FERRAMENTAS MAQ.FERRAMENTAS,ELETR.PECAS E ACESSORI</v>
      </c>
      <c r="G324" s="32" t="str">
        <f>VLOOKUP(tabPontoPed[[#This Row],[GRUPO]],tabGrupos[#Data],3,FALSE)</f>
        <v>MAN</v>
      </c>
      <c r="H324" s="33" t="s">
        <v>1311</v>
      </c>
      <c r="I324" s="80">
        <v>4</v>
      </c>
      <c r="J324" s="39">
        <v>9</v>
      </c>
      <c r="K324" s="41">
        <f>tabPontoPed[[#This Row],[QTDMÊS]] * tabPontoPed[[#This Row],[MENSAL]]</f>
        <v>36</v>
      </c>
      <c r="L324" s="83"/>
      <c r="M324" s="81"/>
      <c r="N324" s="34" t="s">
        <v>1009</v>
      </c>
      <c r="O324" s="76" t="s">
        <v>1708</v>
      </c>
      <c r="P324" s="77">
        <v>0</v>
      </c>
      <c r="Q324" s="57">
        <v>3</v>
      </c>
      <c r="R324" s="42">
        <v>4</v>
      </c>
      <c r="S324" s="69" t="str">
        <f>_xlfn.IFNA(IF(VLOOKUP(tabPontoPed[[#This Row],[CÓDIGO]],tabExcluirDoEstoque[#Data],1,FALSE),"sim",""),"")</f>
        <v/>
      </c>
      <c r="T324" s="43">
        <f>IF(AND(tabPontoPed[[#This Row],[MENSAL]]&gt;0,tabPontoPed[[#This Row],[CÁLCULO]]&gt;0), ABS( tabPontoPed[[#This Row],[MENSAL]] - tabPontoPed[[#This Row],[CÁLCULO]] ) / tabPontoPed[[#This Row],[MENSAL]], -1 )</f>
        <v>0.55555555555555558</v>
      </c>
      <c r="U324" s="58">
        <v>10</v>
      </c>
      <c r="V324" s="35">
        <f>IF(AND(tabPontoPed[[#This Row],[MENSAL]]&gt;0,tabPontoPed[[#This Row],[CÁLCULO]]&gt;0), IF( tabPontoPed[[#This Row],[MENSAL]] - tabPontoPed[[#This Row],[CÁLCULO]] &lt; 0, -1, IF( tabPontoPed[[#This Row],[MENSAL]] - tabPontoPed[[#This Row],[CÁLCULO]] &gt; 0, 1, -8)), -9 )</f>
        <v>1</v>
      </c>
      <c r="W324" s="35"/>
      <c r="X324" s="49" t="s">
        <v>1564</v>
      </c>
      <c r="Y324" s="51">
        <v>44391.599108796298</v>
      </c>
      <c r="Z324" s="72">
        <f>tabPontoPed[CÁLC_4M] - tabPontoPed[CÁLCULO]</f>
        <v>-1</v>
      </c>
      <c r="AA324" s="79" t="str">
        <f>IF(tabPontoPed[MENSAL]-tabPontoPed[ATA MENSAL] = 0,"sim","")</f>
        <v/>
      </c>
      <c r="AB324" s="79"/>
      <c r="AC324" s="47" t="str">
        <f t="shared" si="5"/>
        <v>*</v>
      </c>
    </row>
    <row r="325" spans="1:29" x14ac:dyDescent="0.25">
      <c r="A325" s="36">
        <v>102832</v>
      </c>
      <c r="B325" s="68" t="s">
        <v>1404</v>
      </c>
      <c r="C325" s="33"/>
      <c r="D325" s="32">
        <v>51</v>
      </c>
      <c r="E325" s="37">
        <v>42</v>
      </c>
      <c r="F325" s="38" t="str">
        <f>VLOOKUP(tabPontoPed[[#This Row],[GRUPO]],tabGrupos[#Data],2,FALSE)</f>
        <v>MAT.E EQUIP. P/ CONSTR.CIVIL E CONSERV. DE VIAS PUBL.</v>
      </c>
      <c r="G325" s="32" t="str">
        <f>VLOOKUP(tabPontoPed[[#This Row],[GRUPO]],tabGrupos[#Data],3,FALSE)</f>
        <v>MCO</v>
      </c>
      <c r="H325" s="33" t="s">
        <v>1311</v>
      </c>
      <c r="I325" s="80">
        <v>4</v>
      </c>
      <c r="J325" s="39">
        <v>9</v>
      </c>
      <c r="K325" s="41">
        <f>tabPontoPed[[#This Row],[QTDMÊS]] * tabPontoPed[[#This Row],[MENSAL]]</f>
        <v>36</v>
      </c>
      <c r="L325" s="83"/>
      <c r="M325" s="81"/>
      <c r="N325" s="34" t="s">
        <v>1009</v>
      </c>
      <c r="O325" s="76" t="s">
        <v>1678</v>
      </c>
      <c r="P325" s="77">
        <v>0</v>
      </c>
      <c r="Q325" s="57">
        <v>10</v>
      </c>
      <c r="R325" s="42">
        <v>4</v>
      </c>
      <c r="S325" s="69" t="str">
        <f>_xlfn.IFNA(IF(VLOOKUP(tabPontoPed[[#This Row],[CÓDIGO]],tabExcluirDoEstoque[#Data],1,FALSE),"sim",""),"")</f>
        <v/>
      </c>
      <c r="T325" s="43">
        <f>IF(AND(tabPontoPed[[#This Row],[MENSAL]]&gt;0,tabPontoPed[[#This Row],[CÁLCULO]]&gt;0), ABS( tabPontoPed[[#This Row],[MENSAL]] - tabPontoPed[[#This Row],[CÁLCULO]] ) / tabPontoPed[[#This Row],[MENSAL]], -1 )</f>
        <v>0.55555555555555558</v>
      </c>
      <c r="U325" s="58">
        <v>35</v>
      </c>
      <c r="V325" s="35">
        <f>IF(AND(tabPontoPed[[#This Row],[MENSAL]]&gt;0,tabPontoPed[[#This Row],[CÁLCULO]]&gt;0), IF( tabPontoPed[[#This Row],[MENSAL]] - tabPontoPed[[#This Row],[CÁLCULO]] &lt; 0, -1, IF( tabPontoPed[[#This Row],[MENSAL]] - tabPontoPed[[#This Row],[CÁLCULO]] &gt; 0, 1, -8)), -9 )</f>
        <v>1</v>
      </c>
      <c r="W325" s="35"/>
      <c r="X325" s="49" t="s">
        <v>1564</v>
      </c>
      <c r="Y325" s="51">
        <v>44391.599108796298</v>
      </c>
      <c r="Z325" s="72">
        <f>tabPontoPed[CÁLC_4M] - tabPontoPed[CÁLCULO]</f>
        <v>6</v>
      </c>
      <c r="AA325" s="79" t="str">
        <f>IF(tabPontoPed[MENSAL]-tabPontoPed[ATA MENSAL] = 0,"sim","")</f>
        <v/>
      </c>
      <c r="AB325" s="79" t="s">
        <v>1614</v>
      </c>
      <c r="AC325" s="47" t="str">
        <f t="shared" si="5"/>
        <v>*</v>
      </c>
    </row>
    <row r="326" spans="1:29" x14ac:dyDescent="0.25">
      <c r="A326" s="36">
        <v>28308</v>
      </c>
      <c r="B326" s="68" t="s">
        <v>750</v>
      </c>
      <c r="C326" s="33" t="s">
        <v>1317</v>
      </c>
      <c r="D326" s="32">
        <v>61</v>
      </c>
      <c r="E326" s="37">
        <v>8</v>
      </c>
      <c r="F326" s="38" t="str">
        <f>VLOOKUP(tabPontoPed[[#This Row],[GRUPO]],tabGrupos[#Data],2,FALSE)</f>
        <v>MATERIAL HIDRAULICO, CANOS, TUBOS, MANGUEIRAS, CONEXOES E ACESS.</v>
      </c>
      <c r="G326" s="32" t="str">
        <f>VLOOKUP(tabPontoPed[[#This Row],[GRUPO]],tabGrupos[#Data],3,FALSE)</f>
        <v>MHI</v>
      </c>
      <c r="H326" s="33" t="s">
        <v>1311</v>
      </c>
      <c r="I326" s="80">
        <v>4</v>
      </c>
      <c r="J326" s="39">
        <v>9</v>
      </c>
      <c r="K326" s="41">
        <f>tabPontoPed[[#This Row],[QTDMÊS]] * tabPontoPed[[#This Row],[MENSAL]]</f>
        <v>36</v>
      </c>
      <c r="L326" s="83"/>
      <c r="M326" s="81"/>
      <c r="N326" s="34" t="s">
        <v>1009</v>
      </c>
      <c r="O326" s="76" t="s">
        <v>1691</v>
      </c>
      <c r="P326" s="77">
        <v>0</v>
      </c>
      <c r="Q326" s="57">
        <v>5</v>
      </c>
      <c r="R326" s="42">
        <v>4</v>
      </c>
      <c r="S326" s="69" t="str">
        <f>_xlfn.IFNA(IF(VLOOKUP(tabPontoPed[[#This Row],[CÓDIGO]],tabExcluirDoEstoque[#Data],1,FALSE),"sim",""),"")</f>
        <v/>
      </c>
      <c r="T326" s="43">
        <f>IF(AND(tabPontoPed[[#This Row],[MENSAL]]&gt;0,tabPontoPed[[#This Row],[CÁLCULO]]&gt;0), ABS( tabPontoPed[[#This Row],[MENSAL]] - tabPontoPed[[#This Row],[CÁLCULO]] ) / tabPontoPed[[#This Row],[MENSAL]], -1 )</f>
        <v>0.55555555555555558</v>
      </c>
      <c r="U326" s="58">
        <v>14</v>
      </c>
      <c r="V326" s="35">
        <f>IF(AND(tabPontoPed[[#This Row],[MENSAL]]&gt;0,tabPontoPed[[#This Row],[CÁLCULO]]&gt;0), IF( tabPontoPed[[#This Row],[MENSAL]] - tabPontoPed[[#This Row],[CÁLCULO]] &lt; 0, -1, IF( tabPontoPed[[#This Row],[MENSAL]] - tabPontoPed[[#This Row],[CÁLCULO]] &gt; 0, 1, -8)), -9 )</f>
        <v>1</v>
      </c>
      <c r="W326" s="35"/>
      <c r="X326" s="49" t="s">
        <v>1564</v>
      </c>
      <c r="Y326" s="51">
        <v>44391.599108796298</v>
      </c>
      <c r="Z326" s="72">
        <f>tabPontoPed[CÁLC_4M] - tabPontoPed[CÁLCULO]</f>
        <v>1</v>
      </c>
      <c r="AA326" s="79" t="str">
        <f>IF(tabPontoPed[MENSAL]-tabPontoPed[ATA MENSAL] = 0,"sim","")</f>
        <v/>
      </c>
      <c r="AB326" s="79" t="s">
        <v>1614</v>
      </c>
      <c r="AC326" s="47" t="str">
        <f t="shared" si="5"/>
        <v>*</v>
      </c>
    </row>
    <row r="327" spans="1:29" x14ac:dyDescent="0.25">
      <c r="A327" s="36">
        <v>13117</v>
      </c>
      <c r="B327" s="68" t="s">
        <v>317</v>
      </c>
      <c r="C327" s="33" t="s">
        <v>1317</v>
      </c>
      <c r="D327" s="32">
        <v>61</v>
      </c>
      <c r="E327" s="37">
        <v>15</v>
      </c>
      <c r="F327" s="38" t="str">
        <f>VLOOKUP(tabPontoPed[[#This Row],[GRUPO]],tabGrupos[#Data],2,FALSE)</f>
        <v>MATERIAL HIDRAULICO, CANOS, TUBOS, MANGUEIRAS, CONEXOES E ACESS.</v>
      </c>
      <c r="G327" s="32" t="str">
        <f>VLOOKUP(tabPontoPed[[#This Row],[GRUPO]],tabGrupos[#Data],3,FALSE)</f>
        <v>MHI</v>
      </c>
      <c r="H327" s="33" t="s">
        <v>1311</v>
      </c>
      <c r="I327" s="80">
        <v>4</v>
      </c>
      <c r="J327" s="39">
        <v>9</v>
      </c>
      <c r="K327" s="41">
        <f>tabPontoPed[[#This Row],[QTDMÊS]] * tabPontoPed[[#This Row],[MENSAL]]</f>
        <v>36</v>
      </c>
      <c r="L327" s="83"/>
      <c r="M327" s="81"/>
      <c r="N327" s="34" t="s">
        <v>1009</v>
      </c>
      <c r="O327" s="76" t="s">
        <v>1678</v>
      </c>
      <c r="P327" s="77">
        <v>0</v>
      </c>
      <c r="Q327" s="57">
        <v>3</v>
      </c>
      <c r="R327" s="42">
        <v>4</v>
      </c>
      <c r="S327" s="69" t="str">
        <f>_xlfn.IFNA(IF(VLOOKUP(tabPontoPed[[#This Row],[CÓDIGO]],tabExcluirDoEstoque[#Data],1,FALSE),"sim",""),"")</f>
        <v/>
      </c>
      <c r="T327" s="43">
        <f>IF(AND(tabPontoPed[[#This Row],[MENSAL]]&gt;0,tabPontoPed[[#This Row],[CÁLCULO]]&gt;0), ABS( tabPontoPed[[#This Row],[MENSAL]] - tabPontoPed[[#This Row],[CÁLCULO]] ) / tabPontoPed[[#This Row],[MENSAL]], -1 )</f>
        <v>0.55555555555555558</v>
      </c>
      <c r="U327" s="58">
        <v>14</v>
      </c>
      <c r="V327" s="35">
        <f>IF(AND(tabPontoPed[[#This Row],[MENSAL]]&gt;0,tabPontoPed[[#This Row],[CÁLCULO]]&gt;0), IF( tabPontoPed[[#This Row],[MENSAL]] - tabPontoPed[[#This Row],[CÁLCULO]] &lt; 0, -1, IF( tabPontoPed[[#This Row],[MENSAL]] - tabPontoPed[[#This Row],[CÁLCULO]] &gt; 0, 1, -8)), -9 )</f>
        <v>1</v>
      </c>
      <c r="W327" s="35"/>
      <c r="X327" s="49" t="s">
        <v>1564</v>
      </c>
      <c r="Y327" s="51">
        <v>44391.599108796298</v>
      </c>
      <c r="Z327" s="72">
        <f>tabPontoPed[CÁLC_4M] - tabPontoPed[CÁLCULO]</f>
        <v>-1</v>
      </c>
      <c r="AA327" s="79" t="str">
        <f>IF(tabPontoPed[MENSAL]-tabPontoPed[ATA MENSAL] = 0,"sim","")</f>
        <v/>
      </c>
      <c r="AB327" s="79" t="s">
        <v>1614</v>
      </c>
      <c r="AC327" s="47" t="str">
        <f t="shared" si="5"/>
        <v>*</v>
      </c>
    </row>
    <row r="328" spans="1:29" x14ac:dyDescent="0.25">
      <c r="A328" s="36">
        <v>17454</v>
      </c>
      <c r="B328" s="68" t="s">
        <v>43</v>
      </c>
      <c r="C328" s="33" t="s">
        <v>1317</v>
      </c>
      <c r="D328" s="32">
        <v>57</v>
      </c>
      <c r="E328" s="37">
        <v>2</v>
      </c>
      <c r="F328" s="38" t="str">
        <f>VLOOKUP(tabPontoPed[[#This Row],[GRUPO]],tabGrupos[#Data],2,FALSE)</f>
        <v>MAQ. E EQUIP. P/ IND. GRAFICA COMP. ACESS. E PAPEI</v>
      </c>
      <c r="G328" s="32" t="str">
        <f>VLOOKUP(tabPontoPed[[#This Row],[GRUPO]],tabGrupos[#Data],3,FALSE)</f>
        <v>EDU</v>
      </c>
      <c r="H328" s="33" t="s">
        <v>1311</v>
      </c>
      <c r="I328" s="80">
        <v>4</v>
      </c>
      <c r="J328" s="39">
        <v>716</v>
      </c>
      <c r="K328" s="41">
        <f>tabPontoPed[[#This Row],[QTDMÊS]] * tabPontoPed[[#This Row],[MENSAL]]</f>
        <v>2864</v>
      </c>
      <c r="L328" s="83"/>
      <c r="M328" s="81"/>
      <c r="N328" s="34" t="s">
        <v>1009</v>
      </c>
      <c r="O328" s="76" t="s">
        <v>1718</v>
      </c>
      <c r="P328" s="77">
        <v>0</v>
      </c>
      <c r="Q328" s="57">
        <v>337</v>
      </c>
      <c r="R328" s="42">
        <v>319</v>
      </c>
      <c r="S328" s="69" t="str">
        <f>_xlfn.IFNA(IF(VLOOKUP(tabPontoPed[[#This Row],[CÓDIGO]],tabExcluirDoEstoque[#Data],1,FALSE),"sim",""),"")</f>
        <v/>
      </c>
      <c r="T328" s="43">
        <f>IF(AND(tabPontoPed[[#This Row],[MENSAL]]&gt;0,tabPontoPed[[#This Row],[CÁLCULO]]&gt;0), ABS( tabPontoPed[[#This Row],[MENSAL]] - tabPontoPed[[#This Row],[CÁLCULO]] ) / tabPontoPed[[#This Row],[MENSAL]], -1 )</f>
        <v>0.5544692737430168</v>
      </c>
      <c r="U328" s="58">
        <v>695</v>
      </c>
      <c r="V328" s="35">
        <f>IF(AND(tabPontoPed[[#This Row],[MENSAL]]&gt;0,tabPontoPed[[#This Row],[CÁLCULO]]&gt;0), IF( tabPontoPed[[#This Row],[MENSAL]] - tabPontoPed[[#This Row],[CÁLCULO]] &lt; 0, -1, IF( tabPontoPed[[#This Row],[MENSAL]] - tabPontoPed[[#This Row],[CÁLCULO]] &gt; 0, 1, -8)), -9 )</f>
        <v>1</v>
      </c>
      <c r="W328" s="35"/>
      <c r="X328" s="49" t="s">
        <v>1564</v>
      </c>
      <c r="Y328" s="51">
        <v>44391.599108796298</v>
      </c>
      <c r="Z328" s="72">
        <f>tabPontoPed[CÁLC_4M] - tabPontoPed[CÁLCULO]</f>
        <v>18</v>
      </c>
      <c r="AA328" s="79" t="str">
        <f>IF(tabPontoPed[MENSAL]-tabPontoPed[ATA MENSAL] = 0,"sim","")</f>
        <v/>
      </c>
      <c r="AB328" s="79"/>
      <c r="AC328" s="47" t="str">
        <f t="shared" si="5"/>
        <v>*</v>
      </c>
    </row>
    <row r="329" spans="1:29" x14ac:dyDescent="0.25">
      <c r="A329" s="36">
        <v>98080</v>
      </c>
      <c r="B329" s="68" t="s">
        <v>605</v>
      </c>
      <c r="C329" s="33" t="s">
        <v>1317</v>
      </c>
      <c r="D329" s="32">
        <v>54</v>
      </c>
      <c r="E329" s="37">
        <v>19</v>
      </c>
      <c r="F329" s="38" t="str">
        <f>VLOOKUP(tabPontoPed[[#This Row],[GRUPO]],tabGrupos[#Data],2,FALSE)</f>
        <v>EQUIP PROT IND, INST MAT P/ SINAL, CONTR, COMB ...</v>
      </c>
      <c r="G329" s="32" t="str">
        <f>VLOOKUP(tabPontoPed[[#This Row],[GRUPO]],tabGrupos[#Data],3,FALSE)</f>
        <v>MAN</v>
      </c>
      <c r="H329" s="33" t="s">
        <v>1311</v>
      </c>
      <c r="I329" s="80">
        <v>4</v>
      </c>
      <c r="J329" s="39">
        <v>100</v>
      </c>
      <c r="K329" s="41">
        <f>tabPontoPed[[#This Row],[QTDMÊS]] * tabPontoPed[[#This Row],[MENSAL]]</f>
        <v>400</v>
      </c>
      <c r="L329" s="83"/>
      <c r="M329" s="81"/>
      <c r="N329" s="34" t="s">
        <v>1009</v>
      </c>
      <c r="O329" s="76" t="s">
        <v>1719</v>
      </c>
      <c r="P329" s="77">
        <v>0</v>
      </c>
      <c r="Q329" s="57">
        <v>41</v>
      </c>
      <c r="R329" s="42">
        <v>45</v>
      </c>
      <c r="S329" s="69" t="str">
        <f>_xlfn.IFNA(IF(VLOOKUP(tabPontoPed[[#This Row],[CÓDIGO]],tabExcluirDoEstoque[#Data],1,FALSE),"sim",""),"")</f>
        <v/>
      </c>
      <c r="T329" s="43">
        <f>IF(AND(tabPontoPed[[#This Row],[MENSAL]]&gt;0,tabPontoPed[[#This Row],[CÁLCULO]]&gt;0), ABS( tabPontoPed[[#This Row],[MENSAL]] - tabPontoPed[[#This Row],[CÁLCULO]] ) / tabPontoPed[[#This Row],[MENSAL]], -1 )</f>
        <v>0.55000000000000004</v>
      </c>
      <c r="U329" s="58">
        <v>127</v>
      </c>
      <c r="V329" s="35">
        <f>IF(AND(tabPontoPed[[#This Row],[MENSAL]]&gt;0,tabPontoPed[[#This Row],[CÁLCULO]]&gt;0), IF( tabPontoPed[[#This Row],[MENSAL]] - tabPontoPed[[#This Row],[CÁLCULO]] &lt; 0, -1, IF( tabPontoPed[[#This Row],[MENSAL]] - tabPontoPed[[#This Row],[CÁLCULO]] &gt; 0, 1, -8)), -9 )</f>
        <v>1</v>
      </c>
      <c r="W329" s="35"/>
      <c r="X329" s="49" t="s">
        <v>1564</v>
      </c>
      <c r="Y329" s="51">
        <v>44391.599108796298</v>
      </c>
      <c r="Z329" s="72">
        <f>tabPontoPed[CÁLC_4M] - tabPontoPed[CÁLCULO]</f>
        <v>-4</v>
      </c>
      <c r="AA329" s="79" t="str">
        <f>IF(tabPontoPed[MENSAL]-tabPontoPed[ATA MENSAL] = 0,"sim","")</f>
        <v/>
      </c>
      <c r="AB329" s="79"/>
      <c r="AC329" s="47" t="str">
        <f t="shared" si="5"/>
        <v>*</v>
      </c>
    </row>
    <row r="330" spans="1:29" x14ac:dyDescent="0.25">
      <c r="A330" s="36">
        <v>122304</v>
      </c>
      <c r="B330" s="68" t="s">
        <v>168</v>
      </c>
      <c r="C330" s="33" t="s">
        <v>1317</v>
      </c>
      <c r="D330" s="32">
        <v>83</v>
      </c>
      <c r="E330" s="37">
        <v>4</v>
      </c>
      <c r="F330" s="38" t="str">
        <f>VLOOKUP(tabPontoPed[[#This Row],[GRUPO]],tabGrupos[#Data],2,FALSE)</f>
        <v>ABRASIVOS</v>
      </c>
      <c r="G330" s="32" t="str">
        <f>VLOOKUP(tabPontoPed[[#This Row],[GRUPO]],tabGrupos[#Data],3,FALSE)</f>
        <v>MAN</v>
      </c>
      <c r="H330" s="33" t="s">
        <v>1311</v>
      </c>
      <c r="I330" s="80">
        <v>4</v>
      </c>
      <c r="J330" s="39">
        <v>100</v>
      </c>
      <c r="K330" s="41">
        <f>tabPontoPed[[#This Row],[QTDMÊS]] * tabPontoPed[[#This Row],[MENSAL]]</f>
        <v>400</v>
      </c>
      <c r="L330" s="83"/>
      <c r="M330" s="81"/>
      <c r="N330" s="34" t="s">
        <v>1009</v>
      </c>
      <c r="O330" s="76" t="s">
        <v>1743</v>
      </c>
      <c r="P330" s="77">
        <v>0</v>
      </c>
      <c r="Q330" s="57">
        <v>213</v>
      </c>
      <c r="R330" s="42">
        <v>155</v>
      </c>
      <c r="S330" s="69" t="str">
        <f>_xlfn.IFNA(IF(VLOOKUP(tabPontoPed[[#This Row],[CÓDIGO]],tabExcluirDoEstoque[#Data],1,FALSE),"sim",""),"")</f>
        <v/>
      </c>
      <c r="T330" s="43">
        <f>IF(AND(tabPontoPed[[#This Row],[MENSAL]]&gt;0,tabPontoPed[[#This Row],[CÁLCULO]]&gt;0), ABS( tabPontoPed[[#This Row],[MENSAL]] - tabPontoPed[[#This Row],[CÁLCULO]] ) / tabPontoPed[[#This Row],[MENSAL]], -1 )</f>
        <v>0.55000000000000004</v>
      </c>
      <c r="U330" s="58">
        <v>414</v>
      </c>
      <c r="V330" s="35">
        <f>IF(AND(tabPontoPed[[#This Row],[MENSAL]]&gt;0,tabPontoPed[[#This Row],[CÁLCULO]]&gt;0), IF( tabPontoPed[[#This Row],[MENSAL]] - tabPontoPed[[#This Row],[CÁLCULO]] &lt; 0, -1, IF( tabPontoPed[[#This Row],[MENSAL]] - tabPontoPed[[#This Row],[CÁLCULO]] &gt; 0, 1, -8)), -9 )</f>
        <v>-1</v>
      </c>
      <c r="W330" s="35"/>
      <c r="X330" s="49" t="s">
        <v>1564</v>
      </c>
      <c r="Y330" s="51">
        <v>44391.599108796298</v>
      </c>
      <c r="Z330" s="72">
        <f>tabPontoPed[CÁLC_4M] - tabPontoPed[CÁLCULO]</f>
        <v>58</v>
      </c>
      <c r="AA330" s="79" t="str">
        <f>IF(tabPontoPed[MENSAL]-tabPontoPed[ATA MENSAL] = 0,"sim","")</f>
        <v/>
      </c>
      <c r="AB330" s="79"/>
      <c r="AC330" s="47" t="str">
        <f t="shared" si="5"/>
        <v>*</v>
      </c>
    </row>
    <row r="331" spans="1:29" x14ac:dyDescent="0.25">
      <c r="A331" s="36">
        <v>112162</v>
      </c>
      <c r="B331" s="68" t="s">
        <v>16</v>
      </c>
      <c r="C331" s="33" t="s">
        <v>1317</v>
      </c>
      <c r="D331" s="32">
        <v>55</v>
      </c>
      <c r="E331" s="37">
        <v>7</v>
      </c>
      <c r="F331" s="38" t="str">
        <f>VLOOKUP(tabPontoPed[[#This Row],[GRUPO]],tabGrupos[#Data],2,FALSE)</f>
        <v>EQUIP. MAT. P/ GERACAO, TRANSM. DISTR. RETIF...</v>
      </c>
      <c r="G331" s="32" t="str">
        <f>VLOOKUP(tabPontoPed[[#This Row],[GRUPO]],tabGrupos[#Data],3,FALSE)</f>
        <v>MEL</v>
      </c>
      <c r="H331" s="33" t="s">
        <v>1311</v>
      </c>
      <c r="I331" s="80">
        <v>4</v>
      </c>
      <c r="J331" s="39">
        <v>20</v>
      </c>
      <c r="K331" s="41">
        <f>tabPontoPed[[#This Row],[QTDMÊS]] * tabPontoPed[[#This Row],[MENSAL]]</f>
        <v>80</v>
      </c>
      <c r="L331" s="83"/>
      <c r="M331" s="81"/>
      <c r="N331" s="34" t="s">
        <v>1009</v>
      </c>
      <c r="O331" s="76" t="s">
        <v>1676</v>
      </c>
      <c r="P331" s="77">
        <v>0</v>
      </c>
      <c r="Q331" s="57">
        <v>2</v>
      </c>
      <c r="R331" s="42">
        <v>9</v>
      </c>
      <c r="S331" s="69" t="str">
        <f>_xlfn.IFNA(IF(VLOOKUP(tabPontoPed[[#This Row],[CÓDIGO]],tabExcluirDoEstoque[#Data],1,FALSE),"sim",""),"")</f>
        <v/>
      </c>
      <c r="T331" s="43">
        <f>IF(AND(tabPontoPed[[#This Row],[MENSAL]]&gt;0,tabPontoPed[[#This Row],[CÁLCULO]]&gt;0), ABS( tabPontoPed[[#This Row],[MENSAL]] - tabPontoPed[[#This Row],[CÁLCULO]] ) / tabPontoPed[[#This Row],[MENSAL]], -1 )</f>
        <v>0.55000000000000004</v>
      </c>
      <c r="U331" s="58">
        <v>50</v>
      </c>
      <c r="V331" s="35">
        <f>IF(AND(tabPontoPed[[#This Row],[MENSAL]]&gt;0,tabPontoPed[[#This Row],[CÁLCULO]]&gt;0), IF( tabPontoPed[[#This Row],[MENSAL]] - tabPontoPed[[#This Row],[CÁLCULO]] &lt; 0, -1, IF( tabPontoPed[[#This Row],[MENSAL]] - tabPontoPed[[#This Row],[CÁLCULO]] &gt; 0, 1, -8)), -9 )</f>
        <v>1</v>
      </c>
      <c r="W331" s="35"/>
      <c r="X331" s="49" t="s">
        <v>1564</v>
      </c>
      <c r="Y331" s="51">
        <v>44391.599108796298</v>
      </c>
      <c r="Z331" s="72">
        <f>tabPontoPed[CÁLC_4M] - tabPontoPed[CÁLCULO]</f>
        <v>-7</v>
      </c>
      <c r="AA331" s="79" t="str">
        <f>IF(tabPontoPed[MENSAL]-tabPontoPed[ATA MENSAL] = 0,"sim","")</f>
        <v/>
      </c>
      <c r="AB331" s="79"/>
      <c r="AC331" s="47" t="str">
        <f t="shared" si="5"/>
        <v>*</v>
      </c>
    </row>
    <row r="332" spans="1:29" x14ac:dyDescent="0.25">
      <c r="A332" s="36">
        <v>138054</v>
      </c>
      <c r="B332" s="68" t="s">
        <v>1493</v>
      </c>
      <c r="C332" s="33">
        <v>1</v>
      </c>
      <c r="D332" s="32">
        <v>61</v>
      </c>
      <c r="E332" s="37">
        <v>10</v>
      </c>
      <c r="F332" s="38" t="str">
        <f>VLOOKUP(tabPontoPed[[#This Row],[GRUPO]],tabGrupos[#Data],2,FALSE)</f>
        <v>MATERIAL HIDRAULICO, CANOS, TUBOS, MANGUEIRAS, CONEXOES E ACESS.</v>
      </c>
      <c r="G332" s="32" t="str">
        <f>VLOOKUP(tabPontoPed[[#This Row],[GRUPO]],tabGrupos[#Data],3,FALSE)</f>
        <v>MHI</v>
      </c>
      <c r="H332" s="33" t="s">
        <v>1311</v>
      </c>
      <c r="I332" s="80">
        <v>4</v>
      </c>
      <c r="J332" s="39">
        <v>20</v>
      </c>
      <c r="K332" s="41">
        <f>tabPontoPed[[#This Row],[QTDMÊS]] * tabPontoPed[[#This Row],[MENSAL]]</f>
        <v>80</v>
      </c>
      <c r="L332" s="83"/>
      <c r="M332" s="81"/>
      <c r="N332" s="34" t="s">
        <v>1009</v>
      </c>
      <c r="O332" s="76" t="s">
        <v>1679</v>
      </c>
      <c r="P332" s="77">
        <v>0</v>
      </c>
      <c r="Q332" s="57">
        <v>8</v>
      </c>
      <c r="R332" s="42">
        <v>9</v>
      </c>
      <c r="S332" s="69" t="str">
        <f>_xlfn.IFNA(IF(VLOOKUP(tabPontoPed[[#This Row],[CÓDIGO]],tabExcluirDoEstoque[#Data],1,FALSE),"sim",""),"")</f>
        <v/>
      </c>
      <c r="T332" s="43">
        <f>IF(AND(tabPontoPed[[#This Row],[MENSAL]]&gt;0,tabPontoPed[[#This Row],[CÁLCULO]]&gt;0), ABS( tabPontoPed[[#This Row],[MENSAL]] - tabPontoPed[[#This Row],[CÁLCULO]] ) / tabPontoPed[[#This Row],[MENSAL]], -1 )</f>
        <v>0.55000000000000004</v>
      </c>
      <c r="U332" s="58">
        <v>16</v>
      </c>
      <c r="V332" s="35">
        <f>IF(AND(tabPontoPed[[#This Row],[MENSAL]]&gt;0,tabPontoPed[[#This Row],[CÁLCULO]]&gt;0), IF( tabPontoPed[[#This Row],[MENSAL]] - tabPontoPed[[#This Row],[CÁLCULO]] &lt; 0, -1, IF( tabPontoPed[[#This Row],[MENSAL]] - tabPontoPed[[#This Row],[CÁLCULO]] &gt; 0, 1, -8)), -9 )</f>
        <v>1</v>
      </c>
      <c r="W332" s="35"/>
      <c r="X332" s="49" t="s">
        <v>1564</v>
      </c>
      <c r="Y332" s="51">
        <v>44391.599108796298</v>
      </c>
      <c r="Z332" s="72">
        <f>tabPontoPed[CÁLC_4M] - tabPontoPed[CÁLCULO]</f>
        <v>-1</v>
      </c>
      <c r="AA332" s="79" t="str">
        <f>IF(tabPontoPed[MENSAL]-tabPontoPed[ATA MENSAL] = 0,"sim","")</f>
        <v/>
      </c>
      <c r="AB332" s="79"/>
      <c r="AC332" s="47" t="str">
        <f t="shared" si="5"/>
        <v>*</v>
      </c>
    </row>
    <row r="333" spans="1:29" x14ac:dyDescent="0.25">
      <c r="A333" s="36">
        <v>119318</v>
      </c>
      <c r="B333" s="68" t="s">
        <v>402</v>
      </c>
      <c r="C333" s="33" t="s">
        <v>1317</v>
      </c>
      <c r="D333" s="32">
        <v>45</v>
      </c>
      <c r="E333" s="37">
        <v>8</v>
      </c>
      <c r="F333" s="38" t="str">
        <f>VLOOKUP(tabPontoPed[[#This Row],[GRUPO]],tabGrupos[#Data],2,FALSE)</f>
        <v>MAQ., EQUIP., COMP., ACES., MAT. PARA ESCRIT.E ESCOLAR</v>
      </c>
      <c r="G333" s="32" t="str">
        <f>VLOOKUP(tabPontoPed[[#This Row],[GRUPO]],tabGrupos[#Data],3,FALSE)</f>
        <v>EDU</v>
      </c>
      <c r="H333" s="33" t="s">
        <v>1311</v>
      </c>
      <c r="I333" s="80">
        <v>4</v>
      </c>
      <c r="J333" s="39">
        <v>11</v>
      </c>
      <c r="K333" s="41">
        <f>tabPontoPed[[#This Row],[QTDMÊS]] * tabPontoPed[[#This Row],[MENSAL]]</f>
        <v>44</v>
      </c>
      <c r="L333" s="83"/>
      <c r="M333" s="81"/>
      <c r="N333" s="34" t="s">
        <v>1009</v>
      </c>
      <c r="O333" s="76"/>
      <c r="P333" s="77">
        <v>0</v>
      </c>
      <c r="Q333" s="57">
        <v>8</v>
      </c>
      <c r="R333" s="42">
        <v>5</v>
      </c>
      <c r="S333" s="69" t="str">
        <f>_xlfn.IFNA(IF(VLOOKUP(tabPontoPed[[#This Row],[CÓDIGO]],tabExcluirDoEstoque[#Data],1,FALSE),"sim",""),"")</f>
        <v/>
      </c>
      <c r="T333" s="43">
        <f>IF(AND(tabPontoPed[[#This Row],[MENSAL]]&gt;0,tabPontoPed[[#This Row],[CÁLCULO]]&gt;0), ABS( tabPontoPed[[#This Row],[MENSAL]] - tabPontoPed[[#This Row],[CÁLCULO]] ) / tabPontoPed[[#This Row],[MENSAL]], -1 )</f>
        <v>0.54545454545454541</v>
      </c>
      <c r="U333" s="58">
        <v>12</v>
      </c>
      <c r="V333" s="35">
        <f>IF(AND(tabPontoPed[[#This Row],[MENSAL]]&gt;0,tabPontoPed[[#This Row],[CÁLCULO]]&gt;0), IF( tabPontoPed[[#This Row],[MENSAL]] - tabPontoPed[[#This Row],[CÁLCULO]] &lt; 0, -1, IF( tabPontoPed[[#This Row],[MENSAL]] - tabPontoPed[[#This Row],[CÁLCULO]] &gt; 0, 1, -8)), -9 )</f>
        <v>1</v>
      </c>
      <c r="W333" s="35"/>
      <c r="X333" s="49" t="s">
        <v>1564</v>
      </c>
      <c r="Y333" s="51">
        <v>44391.599108796298</v>
      </c>
      <c r="Z333" s="72">
        <f>tabPontoPed[CÁLC_4M] - tabPontoPed[CÁLCULO]</f>
        <v>3</v>
      </c>
      <c r="AA333" s="79" t="str">
        <f>IF(tabPontoPed[MENSAL]-tabPontoPed[ATA MENSAL] = 0,"sim","")</f>
        <v/>
      </c>
      <c r="AB333" s="79"/>
      <c r="AC333" s="47" t="str">
        <f t="shared" si="5"/>
        <v>*</v>
      </c>
    </row>
    <row r="334" spans="1:29" x14ac:dyDescent="0.25">
      <c r="A334" s="36">
        <v>87247</v>
      </c>
      <c r="B334" s="68" t="s">
        <v>515</v>
      </c>
      <c r="C334" s="33" t="s">
        <v>1317</v>
      </c>
      <c r="D334" s="32">
        <v>51</v>
      </c>
      <c r="E334" s="37">
        <v>12</v>
      </c>
      <c r="F334" s="38" t="str">
        <f>VLOOKUP(tabPontoPed[[#This Row],[GRUPO]],tabGrupos[#Data],2,FALSE)</f>
        <v>MAT.E EQUIP. P/ CONSTR.CIVIL E CONSERV. DE VIAS PUBL.</v>
      </c>
      <c r="G334" s="32" t="str">
        <f>VLOOKUP(tabPontoPed[[#This Row],[GRUPO]],tabGrupos[#Data],3,FALSE)</f>
        <v>MCO</v>
      </c>
      <c r="H334" s="33" t="s">
        <v>1311</v>
      </c>
      <c r="I334" s="80">
        <v>4</v>
      </c>
      <c r="J334" s="39">
        <v>11</v>
      </c>
      <c r="K334" s="41">
        <f>tabPontoPed[[#This Row],[QTDMÊS]] * tabPontoPed[[#This Row],[MENSAL]]</f>
        <v>44</v>
      </c>
      <c r="L334" s="83"/>
      <c r="M334" s="81"/>
      <c r="N334" s="34" t="s">
        <v>1009</v>
      </c>
      <c r="O334" s="76"/>
      <c r="P334" s="77">
        <v>0</v>
      </c>
      <c r="Q334" s="57">
        <v>0</v>
      </c>
      <c r="R334" s="42">
        <v>5</v>
      </c>
      <c r="S334" s="69" t="str">
        <f>_xlfn.IFNA(IF(VLOOKUP(tabPontoPed[[#This Row],[CÓDIGO]],tabExcluirDoEstoque[#Data],1,FALSE),"sim",""),"")</f>
        <v/>
      </c>
      <c r="T334" s="43">
        <f>IF(AND(tabPontoPed[[#This Row],[MENSAL]]&gt;0,tabPontoPed[[#This Row],[CÁLCULO]]&gt;0), ABS( tabPontoPed[[#This Row],[MENSAL]] - tabPontoPed[[#This Row],[CÁLCULO]] ) / tabPontoPed[[#This Row],[MENSAL]], -1 )</f>
        <v>0.54545454545454541</v>
      </c>
      <c r="U334" s="58">
        <v>50</v>
      </c>
      <c r="V334" s="35">
        <f>IF(AND(tabPontoPed[[#This Row],[MENSAL]]&gt;0,tabPontoPed[[#This Row],[CÁLCULO]]&gt;0), IF( tabPontoPed[[#This Row],[MENSAL]] - tabPontoPed[[#This Row],[CÁLCULO]] &lt; 0, -1, IF( tabPontoPed[[#This Row],[MENSAL]] - tabPontoPed[[#This Row],[CÁLCULO]] &gt; 0, 1, -8)), -9 )</f>
        <v>1</v>
      </c>
      <c r="W334" s="35"/>
      <c r="X334" s="49" t="s">
        <v>1564</v>
      </c>
      <c r="Y334" s="51">
        <v>44391.599108796298</v>
      </c>
      <c r="Z334" s="72">
        <f>tabPontoPed[CÁLC_4M] - tabPontoPed[CÁLCULO]</f>
        <v>-5</v>
      </c>
      <c r="AA334" s="79" t="str">
        <f>IF(tabPontoPed[MENSAL]-tabPontoPed[ATA MENSAL] = 0,"sim","")</f>
        <v/>
      </c>
      <c r="AB334" s="79"/>
      <c r="AC334" s="47" t="str">
        <f t="shared" si="5"/>
        <v>*</v>
      </c>
    </row>
    <row r="335" spans="1:29" x14ac:dyDescent="0.25">
      <c r="A335" s="36">
        <v>15167</v>
      </c>
      <c r="B335" s="68" t="s">
        <v>365</v>
      </c>
      <c r="C335" s="33" t="s">
        <v>1317</v>
      </c>
      <c r="D335" s="32">
        <v>55</v>
      </c>
      <c r="E335" s="37">
        <v>49</v>
      </c>
      <c r="F335" s="38" t="str">
        <f>VLOOKUP(tabPontoPed[[#This Row],[GRUPO]],tabGrupos[#Data],2,FALSE)</f>
        <v>EQUIP. MAT. P/ GERACAO, TRANSM. DISTR. RETIF...</v>
      </c>
      <c r="G335" s="32" t="str">
        <f>VLOOKUP(tabPontoPed[[#This Row],[GRUPO]],tabGrupos[#Data],3,FALSE)</f>
        <v>MEL</v>
      </c>
      <c r="H335" s="33" t="s">
        <v>1311</v>
      </c>
      <c r="I335" s="80">
        <v>4</v>
      </c>
      <c r="J335" s="39">
        <v>55</v>
      </c>
      <c r="K335" s="41">
        <f>tabPontoPed[[#This Row],[QTDMÊS]] * tabPontoPed[[#This Row],[MENSAL]]</f>
        <v>220</v>
      </c>
      <c r="L335" s="83"/>
      <c r="M335" s="81"/>
      <c r="N335" s="34" t="s">
        <v>1009</v>
      </c>
      <c r="O335" s="76" t="s">
        <v>1670</v>
      </c>
      <c r="P335" s="77">
        <v>0</v>
      </c>
      <c r="Q335" s="57">
        <v>21</v>
      </c>
      <c r="R335" s="42">
        <v>25</v>
      </c>
      <c r="S335" s="69" t="str">
        <f>_xlfn.IFNA(IF(VLOOKUP(tabPontoPed[[#This Row],[CÓDIGO]],tabExcluirDoEstoque[#Data],1,FALSE),"sim",""),"")</f>
        <v/>
      </c>
      <c r="T335" s="43">
        <f>IF(AND(tabPontoPed[[#This Row],[MENSAL]]&gt;0,tabPontoPed[[#This Row],[CÁLCULO]]&gt;0), ABS( tabPontoPed[[#This Row],[MENSAL]] - tabPontoPed[[#This Row],[CÁLCULO]] ) / tabPontoPed[[#This Row],[MENSAL]], -1 )</f>
        <v>0.54545454545454541</v>
      </c>
      <c r="U335" s="58">
        <v>67</v>
      </c>
      <c r="V335" s="35">
        <f>IF(AND(tabPontoPed[[#This Row],[MENSAL]]&gt;0,tabPontoPed[[#This Row],[CÁLCULO]]&gt;0), IF( tabPontoPed[[#This Row],[MENSAL]] - tabPontoPed[[#This Row],[CÁLCULO]] &lt; 0, -1, IF( tabPontoPed[[#This Row],[MENSAL]] - tabPontoPed[[#This Row],[CÁLCULO]] &gt; 0, 1, -8)), -9 )</f>
        <v>1</v>
      </c>
      <c r="W335" s="35"/>
      <c r="X335" s="49" t="s">
        <v>1564</v>
      </c>
      <c r="Y335" s="51">
        <v>44391.599108796298</v>
      </c>
      <c r="Z335" s="72">
        <f>tabPontoPed[CÁLC_4M] - tabPontoPed[CÁLCULO]</f>
        <v>-4</v>
      </c>
      <c r="AA335" s="79" t="str">
        <f>IF(tabPontoPed[MENSAL]-tabPontoPed[ATA MENSAL] = 0,"sim","")</f>
        <v/>
      </c>
      <c r="AB335" s="79"/>
      <c r="AC335" s="47" t="str">
        <f t="shared" si="5"/>
        <v>*</v>
      </c>
    </row>
    <row r="336" spans="1:29" x14ac:dyDescent="0.25">
      <c r="A336" s="36">
        <v>133850</v>
      </c>
      <c r="B336" s="68" t="s">
        <v>82</v>
      </c>
      <c r="C336" s="33" t="s">
        <v>1317</v>
      </c>
      <c r="D336" s="32">
        <v>57</v>
      </c>
      <c r="E336" s="37">
        <v>16</v>
      </c>
      <c r="F336" s="38" t="str">
        <f>VLOOKUP(tabPontoPed[[#This Row],[GRUPO]],tabGrupos[#Data],2,FALSE)</f>
        <v>MAQ. E EQUIP. P/ IND. GRAFICA COMP. ACESS. E PAPEI</v>
      </c>
      <c r="G336" s="32" t="str">
        <f>VLOOKUP(tabPontoPed[[#This Row],[GRUPO]],tabGrupos[#Data],3,FALSE)</f>
        <v>EDU</v>
      </c>
      <c r="H336" s="33" t="s">
        <v>1311</v>
      </c>
      <c r="I336" s="80">
        <v>4</v>
      </c>
      <c r="J336" s="39">
        <v>2084</v>
      </c>
      <c r="K336" s="41">
        <f>tabPontoPed[[#This Row],[QTDMÊS]] * tabPontoPed[[#This Row],[MENSAL]]</f>
        <v>8336</v>
      </c>
      <c r="L336" s="83"/>
      <c r="M336" s="81"/>
      <c r="N336" s="34" t="s">
        <v>1009</v>
      </c>
      <c r="O336" s="76" t="s">
        <v>1718</v>
      </c>
      <c r="P336" s="77">
        <v>0</v>
      </c>
      <c r="Q336" s="57">
        <v>1106</v>
      </c>
      <c r="R336" s="42">
        <v>955</v>
      </c>
      <c r="S336" s="69" t="str">
        <f>_xlfn.IFNA(IF(VLOOKUP(tabPontoPed[[#This Row],[CÓDIGO]],tabExcluirDoEstoque[#Data],1,FALSE),"sim",""),"")</f>
        <v/>
      </c>
      <c r="T336" s="43">
        <f>IF(AND(tabPontoPed[[#This Row],[MENSAL]]&gt;0,tabPontoPed[[#This Row],[CÁLCULO]]&gt;0), ABS( tabPontoPed[[#This Row],[MENSAL]] - tabPontoPed[[#This Row],[CÁLCULO]] ) / tabPontoPed[[#This Row],[MENSAL]], -1 )</f>
        <v>0.54174664107485604</v>
      </c>
      <c r="U336" s="58">
        <v>1890</v>
      </c>
      <c r="V336" s="35">
        <f>IF(AND(tabPontoPed[[#This Row],[MENSAL]]&gt;0,tabPontoPed[[#This Row],[CÁLCULO]]&gt;0), IF( tabPontoPed[[#This Row],[MENSAL]] - tabPontoPed[[#This Row],[CÁLCULO]] &lt; 0, -1, IF( tabPontoPed[[#This Row],[MENSAL]] - tabPontoPed[[#This Row],[CÁLCULO]] &gt; 0, 1, -8)), -9 )</f>
        <v>1</v>
      </c>
      <c r="W336" s="35"/>
      <c r="X336" s="48" t="s">
        <v>1564</v>
      </c>
      <c r="Y336" s="53">
        <v>44391.599108796298</v>
      </c>
      <c r="Z336" s="72">
        <f>tabPontoPed[CÁLC_4M] - tabPontoPed[CÁLCULO]</f>
        <v>151</v>
      </c>
      <c r="AA336" s="79" t="str">
        <f>IF(tabPontoPed[MENSAL]-tabPontoPed[ATA MENSAL] = 0,"sim","")</f>
        <v/>
      </c>
      <c r="AB336" s="79" t="s">
        <v>1614</v>
      </c>
      <c r="AC336" s="47" t="str">
        <f t="shared" si="5"/>
        <v>*</v>
      </c>
    </row>
    <row r="337" spans="1:29" x14ac:dyDescent="0.25">
      <c r="A337" s="36">
        <v>100907</v>
      </c>
      <c r="B337" s="68" t="s">
        <v>941</v>
      </c>
      <c r="C337" s="33" t="s">
        <v>1317</v>
      </c>
      <c r="D337" s="32">
        <v>73</v>
      </c>
      <c r="E337" s="37">
        <v>1</v>
      </c>
      <c r="F337" s="38" t="str">
        <f>VLOOKUP(tabPontoPed[[#This Row],[GRUPO]],tabGrupos[#Data],2,FALSE)</f>
        <v>EMBALAG., RECIP., ACESSOR., EQUIP., MATER. P/ACONDICIO</v>
      </c>
      <c r="G337" s="32" t="str">
        <f>VLOOKUP(tabPontoPed[[#This Row],[GRUPO]],tabGrupos[#Data],3,FALSE)</f>
        <v>EDU</v>
      </c>
      <c r="H337" s="33" t="s">
        <v>1311</v>
      </c>
      <c r="I337" s="80">
        <v>4</v>
      </c>
      <c r="J337" s="39">
        <v>24</v>
      </c>
      <c r="K337" s="41">
        <f>tabPontoPed[[#This Row],[QTDMÊS]] * tabPontoPed[[#This Row],[MENSAL]]</f>
        <v>96</v>
      </c>
      <c r="L337" s="83"/>
      <c r="M337" s="81"/>
      <c r="N337" s="34" t="s">
        <v>1009</v>
      </c>
      <c r="O337" s="76"/>
      <c r="P337" s="77">
        <v>0</v>
      </c>
      <c r="Q337" s="57">
        <v>10</v>
      </c>
      <c r="R337" s="42">
        <v>11</v>
      </c>
      <c r="S337" s="69" t="str">
        <f>_xlfn.IFNA(IF(VLOOKUP(tabPontoPed[[#This Row],[CÓDIGO]],tabExcluirDoEstoque[#Data],1,FALSE),"sim",""),"")</f>
        <v/>
      </c>
      <c r="T337" s="43">
        <f>IF(AND(tabPontoPed[[#This Row],[MENSAL]]&gt;0,tabPontoPed[[#This Row],[CÁLCULO]]&gt;0), ABS( tabPontoPed[[#This Row],[MENSAL]] - tabPontoPed[[#This Row],[CÁLCULO]] ) / tabPontoPed[[#This Row],[MENSAL]], -1 )</f>
        <v>0.54166666666666663</v>
      </c>
      <c r="U337" s="58">
        <v>61</v>
      </c>
      <c r="V337" s="35">
        <f>IF(AND(tabPontoPed[[#This Row],[MENSAL]]&gt;0,tabPontoPed[[#This Row],[CÁLCULO]]&gt;0), IF( tabPontoPed[[#This Row],[MENSAL]] - tabPontoPed[[#This Row],[CÁLCULO]] &lt; 0, -1, IF( tabPontoPed[[#This Row],[MENSAL]] - tabPontoPed[[#This Row],[CÁLCULO]] &gt; 0, 1, -8)), -9 )</f>
        <v>1</v>
      </c>
      <c r="W337" s="35"/>
      <c r="X337" s="49" t="s">
        <v>1564</v>
      </c>
      <c r="Y337" s="51">
        <v>44391.599108796298</v>
      </c>
      <c r="Z337" s="72">
        <f>tabPontoPed[CÁLC_4M] - tabPontoPed[CÁLCULO]</f>
        <v>-1</v>
      </c>
      <c r="AA337" s="79" t="str">
        <f>IF(tabPontoPed[MENSAL]-tabPontoPed[ATA MENSAL] = 0,"sim","")</f>
        <v/>
      </c>
      <c r="AB337" s="79"/>
      <c r="AC337" s="47" t="str">
        <f t="shared" si="5"/>
        <v>*</v>
      </c>
    </row>
    <row r="338" spans="1:29" x14ac:dyDescent="0.25">
      <c r="A338" s="36">
        <v>133844</v>
      </c>
      <c r="B338" s="68" t="s">
        <v>93</v>
      </c>
      <c r="C338" s="33" t="s">
        <v>1317</v>
      </c>
      <c r="D338" s="32">
        <v>57</v>
      </c>
      <c r="E338" s="37">
        <v>16</v>
      </c>
      <c r="F338" s="38" t="str">
        <f>VLOOKUP(tabPontoPed[[#This Row],[GRUPO]],tabGrupos[#Data],2,FALSE)</f>
        <v>MAQ. E EQUIP. P/ IND. GRAFICA COMP. ACESS. E PAPEI</v>
      </c>
      <c r="G338" s="32" t="str">
        <f>VLOOKUP(tabPontoPed[[#This Row],[GRUPO]],tabGrupos[#Data],3,FALSE)</f>
        <v>EDU</v>
      </c>
      <c r="H338" s="33" t="s">
        <v>1311</v>
      </c>
      <c r="I338" s="80">
        <v>4</v>
      </c>
      <c r="J338" s="39">
        <v>2084</v>
      </c>
      <c r="K338" s="41">
        <f>tabPontoPed[[#This Row],[QTDMÊS]] * tabPontoPed[[#This Row],[MENSAL]]</f>
        <v>8336</v>
      </c>
      <c r="L338" s="83"/>
      <c r="M338" s="81"/>
      <c r="N338" s="34" t="s">
        <v>1009</v>
      </c>
      <c r="O338" s="76" t="s">
        <v>1718</v>
      </c>
      <c r="P338" s="77">
        <v>0</v>
      </c>
      <c r="Q338" s="57">
        <v>1114</v>
      </c>
      <c r="R338" s="42">
        <v>956</v>
      </c>
      <c r="S338" s="69" t="str">
        <f>_xlfn.IFNA(IF(VLOOKUP(tabPontoPed[[#This Row],[CÓDIGO]],tabExcluirDoEstoque[#Data],1,FALSE),"sim",""),"")</f>
        <v/>
      </c>
      <c r="T338" s="43">
        <f>IF(AND(tabPontoPed[[#This Row],[MENSAL]]&gt;0,tabPontoPed[[#This Row],[CÁLCULO]]&gt;0), ABS( tabPontoPed[[#This Row],[MENSAL]] - tabPontoPed[[#This Row],[CÁLCULO]] ) / tabPontoPed[[#This Row],[MENSAL]], -1 )</f>
        <v>0.5412667946257198</v>
      </c>
      <c r="U338" s="58">
        <v>1865</v>
      </c>
      <c r="V338" s="35">
        <f>IF(AND(tabPontoPed[[#This Row],[MENSAL]]&gt;0,tabPontoPed[[#This Row],[CÁLCULO]]&gt;0), IF( tabPontoPed[[#This Row],[MENSAL]] - tabPontoPed[[#This Row],[CÁLCULO]] &lt; 0, -1, IF( tabPontoPed[[#This Row],[MENSAL]] - tabPontoPed[[#This Row],[CÁLCULO]] &gt; 0, 1, -8)), -9 )</f>
        <v>1</v>
      </c>
      <c r="W338" s="35"/>
      <c r="X338" s="48" t="s">
        <v>1564</v>
      </c>
      <c r="Y338" s="53">
        <v>44391.599108796298</v>
      </c>
      <c r="Z338" s="72">
        <f>tabPontoPed[CÁLC_4M] - tabPontoPed[CÁLCULO]</f>
        <v>158</v>
      </c>
      <c r="AA338" s="79" t="str">
        <f>IF(tabPontoPed[MENSAL]-tabPontoPed[ATA MENSAL] = 0,"sim","")</f>
        <v/>
      </c>
      <c r="AB338" s="79" t="s">
        <v>1614</v>
      </c>
      <c r="AC338" s="47" t="str">
        <f t="shared" si="5"/>
        <v>*</v>
      </c>
    </row>
    <row r="339" spans="1:29" x14ac:dyDescent="0.25">
      <c r="A339" s="36">
        <v>13165</v>
      </c>
      <c r="B339" s="68" t="s">
        <v>780</v>
      </c>
      <c r="C339" s="33" t="s">
        <v>1317</v>
      </c>
      <c r="D339" s="32">
        <v>61</v>
      </c>
      <c r="E339" s="37">
        <v>14</v>
      </c>
      <c r="F339" s="38" t="str">
        <f>VLOOKUP(tabPontoPed[[#This Row],[GRUPO]],tabGrupos[#Data],2,FALSE)</f>
        <v>MATERIAL HIDRAULICO, CANOS, TUBOS, MANGUEIRAS, CONEXOES E ACESS.</v>
      </c>
      <c r="G339" s="32" t="str">
        <f>VLOOKUP(tabPontoPed[[#This Row],[GRUPO]],tabGrupos[#Data],3,FALSE)</f>
        <v>MHI</v>
      </c>
      <c r="H339" s="33" t="s">
        <v>1311</v>
      </c>
      <c r="I339" s="80">
        <v>4</v>
      </c>
      <c r="J339" s="39">
        <v>61</v>
      </c>
      <c r="K339" s="41">
        <f>tabPontoPed[[#This Row],[QTDMÊS]] * tabPontoPed[[#This Row],[MENSAL]]</f>
        <v>244</v>
      </c>
      <c r="L339" s="83"/>
      <c r="M339" s="81"/>
      <c r="N339" s="34" t="s">
        <v>1009</v>
      </c>
      <c r="O339" s="76" t="s">
        <v>1691</v>
      </c>
      <c r="P339" s="77">
        <v>0</v>
      </c>
      <c r="Q339" s="57">
        <v>29</v>
      </c>
      <c r="R339" s="42">
        <v>28</v>
      </c>
      <c r="S339" s="69" t="str">
        <f>_xlfn.IFNA(IF(VLOOKUP(tabPontoPed[[#This Row],[CÓDIGO]],tabExcluirDoEstoque[#Data],1,FALSE),"sim",""),"")</f>
        <v/>
      </c>
      <c r="T339" s="43">
        <f>IF(AND(tabPontoPed[[#This Row],[MENSAL]]&gt;0,tabPontoPed[[#This Row],[CÁLCULO]]&gt;0), ABS( tabPontoPed[[#This Row],[MENSAL]] - tabPontoPed[[#This Row],[CÁLCULO]] ) / tabPontoPed[[#This Row],[MENSAL]], -1 )</f>
        <v>0.54098360655737709</v>
      </c>
      <c r="U339" s="58">
        <v>54</v>
      </c>
      <c r="V339" s="35">
        <f>IF(AND(tabPontoPed[[#This Row],[MENSAL]]&gt;0,tabPontoPed[[#This Row],[CÁLCULO]]&gt;0), IF( tabPontoPed[[#This Row],[MENSAL]] - tabPontoPed[[#This Row],[CÁLCULO]] &lt; 0, -1, IF( tabPontoPed[[#This Row],[MENSAL]] - tabPontoPed[[#This Row],[CÁLCULO]] &gt; 0, 1, -8)), -9 )</f>
        <v>1</v>
      </c>
      <c r="W339" s="35"/>
      <c r="X339" s="48" t="s">
        <v>1564</v>
      </c>
      <c r="Y339" s="53">
        <v>44391.599108796298</v>
      </c>
      <c r="Z339" s="72">
        <f>tabPontoPed[CÁLC_4M] - tabPontoPed[CÁLCULO]</f>
        <v>1</v>
      </c>
      <c r="AA339" s="79" t="str">
        <f>IF(tabPontoPed[MENSAL]-tabPontoPed[ATA MENSAL] = 0,"sim","")</f>
        <v/>
      </c>
      <c r="AB339" s="79"/>
      <c r="AC339" s="47" t="str">
        <f t="shared" si="5"/>
        <v>*</v>
      </c>
    </row>
    <row r="340" spans="1:29" x14ac:dyDescent="0.25">
      <c r="A340" s="36">
        <v>52129</v>
      </c>
      <c r="B340" s="68" t="s">
        <v>902</v>
      </c>
      <c r="C340" s="33" t="s">
        <v>1317</v>
      </c>
      <c r="D340" s="32">
        <v>70</v>
      </c>
      <c r="E340" s="37">
        <v>30</v>
      </c>
      <c r="F340" s="38" t="str">
        <f>VLOOKUP(tabPontoPed[[#This Row],[GRUPO]],tabGrupos[#Data],2,FALSE)</f>
        <v>FERRAMENTAS MAQ.FERRAMENTAS,ELETR.PECAS E ACESSORI</v>
      </c>
      <c r="G340" s="32" t="str">
        <f>VLOOKUP(tabPontoPed[[#This Row],[GRUPO]],tabGrupos[#Data],3,FALSE)</f>
        <v>MAN</v>
      </c>
      <c r="H340" s="33" t="s">
        <v>1311</v>
      </c>
      <c r="I340" s="80">
        <v>4</v>
      </c>
      <c r="J340" s="39">
        <v>37</v>
      </c>
      <c r="K340" s="41">
        <f>tabPontoPed[[#This Row],[QTDMÊS]] * tabPontoPed[[#This Row],[MENSAL]]</f>
        <v>148</v>
      </c>
      <c r="L340" s="83"/>
      <c r="M340" s="81"/>
      <c r="N340" s="34" t="s">
        <v>1009</v>
      </c>
      <c r="O340" s="76" t="s">
        <v>1708</v>
      </c>
      <c r="P340" s="77">
        <v>0</v>
      </c>
      <c r="Q340" s="57">
        <v>13</v>
      </c>
      <c r="R340" s="42">
        <v>17</v>
      </c>
      <c r="S340" s="69" t="str">
        <f>_xlfn.IFNA(IF(VLOOKUP(tabPontoPed[[#This Row],[CÓDIGO]],tabExcluirDoEstoque[#Data],1,FALSE),"sim",""),"")</f>
        <v/>
      </c>
      <c r="T340" s="43">
        <f>IF(AND(tabPontoPed[[#This Row],[MENSAL]]&gt;0,tabPontoPed[[#This Row],[CÁLCULO]]&gt;0), ABS( tabPontoPed[[#This Row],[MENSAL]] - tabPontoPed[[#This Row],[CÁLCULO]] ) / tabPontoPed[[#This Row],[MENSAL]], -1 )</f>
        <v>0.54054054054054057</v>
      </c>
      <c r="U340" s="58">
        <v>50</v>
      </c>
      <c r="V340" s="35">
        <f>IF(AND(tabPontoPed[[#This Row],[MENSAL]]&gt;0,tabPontoPed[[#This Row],[CÁLCULO]]&gt;0), IF( tabPontoPed[[#This Row],[MENSAL]] - tabPontoPed[[#This Row],[CÁLCULO]] &lt; 0, -1, IF( tabPontoPed[[#This Row],[MENSAL]] - tabPontoPed[[#This Row],[CÁLCULO]] &gt; 0, 1, -8)), -9 )</f>
        <v>1</v>
      </c>
      <c r="W340" s="35"/>
      <c r="X340" s="48" t="s">
        <v>1564</v>
      </c>
      <c r="Y340" s="53">
        <v>44391.599108796298</v>
      </c>
      <c r="Z340" s="72">
        <f>tabPontoPed[CÁLC_4M] - tabPontoPed[CÁLCULO]</f>
        <v>-4</v>
      </c>
      <c r="AA340" s="79" t="str">
        <f>IF(tabPontoPed[MENSAL]-tabPontoPed[ATA MENSAL] = 0,"sim","")</f>
        <v/>
      </c>
      <c r="AB340" s="79"/>
      <c r="AC340" s="47" t="str">
        <f t="shared" si="5"/>
        <v>*</v>
      </c>
    </row>
    <row r="341" spans="1:29" x14ac:dyDescent="0.25">
      <c r="A341" s="36">
        <v>35227</v>
      </c>
      <c r="B341" s="68" t="s">
        <v>288</v>
      </c>
      <c r="C341" s="33" t="s">
        <v>1317</v>
      </c>
      <c r="D341" s="32">
        <v>61</v>
      </c>
      <c r="E341" s="37">
        <v>8</v>
      </c>
      <c r="F341" s="38" t="str">
        <f>VLOOKUP(tabPontoPed[[#This Row],[GRUPO]],tabGrupos[#Data],2,FALSE)</f>
        <v>MATERIAL HIDRAULICO, CANOS, TUBOS, MANGUEIRAS, CONEXOES E ACESS.</v>
      </c>
      <c r="G341" s="32" t="str">
        <f>VLOOKUP(tabPontoPed[[#This Row],[GRUPO]],tabGrupos[#Data],3,FALSE)</f>
        <v>MHI</v>
      </c>
      <c r="H341" s="33" t="s">
        <v>1311</v>
      </c>
      <c r="I341" s="80">
        <v>4</v>
      </c>
      <c r="J341" s="39">
        <v>13</v>
      </c>
      <c r="K341" s="41">
        <f>tabPontoPed[[#This Row],[QTDMÊS]] * tabPontoPed[[#This Row],[MENSAL]]</f>
        <v>52</v>
      </c>
      <c r="L341" s="83"/>
      <c r="M341" s="81"/>
      <c r="N341" s="34" t="s">
        <v>1009</v>
      </c>
      <c r="O341" s="76" t="s">
        <v>1678</v>
      </c>
      <c r="P341" s="77">
        <v>0</v>
      </c>
      <c r="Q341" s="57">
        <v>3</v>
      </c>
      <c r="R341" s="42">
        <v>6</v>
      </c>
      <c r="S341" s="69" t="str">
        <f>_xlfn.IFNA(IF(VLOOKUP(tabPontoPed[[#This Row],[CÓDIGO]],tabExcluirDoEstoque[#Data],1,FALSE),"sim",""),"")</f>
        <v>sim</v>
      </c>
      <c r="T341" s="43">
        <f>IF(AND(tabPontoPed[[#This Row],[MENSAL]]&gt;0,tabPontoPed[[#This Row],[CÁLCULO]]&gt;0), ABS( tabPontoPed[[#This Row],[MENSAL]] - tabPontoPed[[#This Row],[CÁLCULO]] ) / tabPontoPed[[#This Row],[MENSAL]], -1 )</f>
        <v>0.53846153846153844</v>
      </c>
      <c r="U341" s="58">
        <v>17</v>
      </c>
      <c r="V341" s="35">
        <f>IF(AND(tabPontoPed[[#This Row],[MENSAL]]&gt;0,tabPontoPed[[#This Row],[CÁLCULO]]&gt;0), IF( tabPontoPed[[#This Row],[MENSAL]] - tabPontoPed[[#This Row],[CÁLCULO]] &lt; 0, -1, IF( tabPontoPed[[#This Row],[MENSAL]] - tabPontoPed[[#This Row],[CÁLCULO]] &gt; 0, 1, -8)), -9 )</f>
        <v>1</v>
      </c>
      <c r="W341" s="35"/>
      <c r="X341" s="49" t="s">
        <v>1564</v>
      </c>
      <c r="Y341" s="51">
        <v>44391.599108796298</v>
      </c>
      <c r="Z341" s="72">
        <f>tabPontoPed[CÁLC_4M] - tabPontoPed[CÁLCULO]</f>
        <v>-3</v>
      </c>
      <c r="AA341" s="79" t="str">
        <f>IF(tabPontoPed[MENSAL]-tabPontoPed[ATA MENSAL] = 0,"sim","")</f>
        <v/>
      </c>
      <c r="AB341" s="79" t="s">
        <v>1614</v>
      </c>
      <c r="AC341" s="47" t="str">
        <f t="shared" si="5"/>
        <v>*</v>
      </c>
    </row>
    <row r="342" spans="1:29" x14ac:dyDescent="0.25">
      <c r="A342" s="36">
        <v>138461</v>
      </c>
      <c r="B342" s="68" t="s">
        <v>1524</v>
      </c>
      <c r="C342" s="33">
        <v>1</v>
      </c>
      <c r="D342" s="32">
        <v>45</v>
      </c>
      <c r="E342" s="37">
        <v>9</v>
      </c>
      <c r="F342" s="38" t="str">
        <f>VLOOKUP(tabPontoPed[[#This Row],[GRUPO]],tabGrupos[#Data],2,FALSE)</f>
        <v>MAQ., EQUIP., COMP., ACES., MAT. PARA ESCRIT.E ESCOLAR</v>
      </c>
      <c r="G342" s="32" t="str">
        <f>VLOOKUP(tabPontoPed[[#This Row],[GRUPO]],tabGrupos[#Data],3,FALSE)</f>
        <v>EDU</v>
      </c>
      <c r="H342" s="33" t="s">
        <v>1311</v>
      </c>
      <c r="I342" s="80">
        <v>4</v>
      </c>
      <c r="J342" s="39">
        <v>3095</v>
      </c>
      <c r="K342" s="41">
        <f>tabPontoPed[[#This Row],[QTDMÊS]] * tabPontoPed[[#This Row],[MENSAL]]</f>
        <v>12380</v>
      </c>
      <c r="L342" s="83"/>
      <c r="M342" s="81"/>
      <c r="N342" s="34" t="s">
        <v>1009</v>
      </c>
      <c r="O342" s="76"/>
      <c r="P342" s="77">
        <v>0</v>
      </c>
      <c r="Q342" s="57">
        <v>522</v>
      </c>
      <c r="R342" s="42">
        <v>1436</v>
      </c>
      <c r="S342" s="69" t="str">
        <f>_xlfn.IFNA(IF(VLOOKUP(tabPontoPed[[#This Row],[CÓDIGO]],tabExcluirDoEstoque[#Data],1,FALSE),"sim",""),"")</f>
        <v/>
      </c>
      <c r="T342" s="43">
        <f>IF(AND(tabPontoPed[[#This Row],[MENSAL]]&gt;0,tabPontoPed[[#This Row],[CÁLCULO]]&gt;0), ABS( tabPontoPed[[#This Row],[MENSAL]] - tabPontoPed[[#This Row],[CÁLCULO]] ) / tabPontoPed[[#This Row],[MENSAL]], -1 )</f>
        <v>0.53602584814216481</v>
      </c>
      <c r="U342" s="58">
        <v>11236</v>
      </c>
      <c r="V342" s="35">
        <f>IF(AND(tabPontoPed[[#This Row],[MENSAL]]&gt;0,tabPontoPed[[#This Row],[CÁLCULO]]&gt;0), IF( tabPontoPed[[#This Row],[MENSAL]] - tabPontoPed[[#This Row],[CÁLCULO]] &lt; 0, -1, IF( tabPontoPed[[#This Row],[MENSAL]] - tabPontoPed[[#This Row],[CÁLCULO]] &gt; 0, 1, -8)), -9 )</f>
        <v>1</v>
      </c>
      <c r="W342" s="35"/>
      <c r="X342" s="49" t="s">
        <v>1564</v>
      </c>
      <c r="Y342" s="51">
        <v>44391.599108796298</v>
      </c>
      <c r="Z342" s="72">
        <f>tabPontoPed[CÁLC_4M] - tabPontoPed[CÁLCULO]</f>
        <v>-914</v>
      </c>
      <c r="AA342" s="79" t="str">
        <f>IF(tabPontoPed[MENSAL]-tabPontoPed[ATA MENSAL] = 0,"sim","")</f>
        <v/>
      </c>
      <c r="AB342" s="79"/>
      <c r="AC342" s="47" t="str">
        <f t="shared" si="5"/>
        <v>*</v>
      </c>
    </row>
    <row r="343" spans="1:29" x14ac:dyDescent="0.25">
      <c r="A343" s="36">
        <v>78416</v>
      </c>
      <c r="B343" s="68" t="s">
        <v>867</v>
      </c>
      <c r="C343" s="33" t="s">
        <v>1317</v>
      </c>
      <c r="D343" s="32">
        <v>67</v>
      </c>
      <c r="E343" s="37">
        <v>18</v>
      </c>
      <c r="F343" s="38" t="str">
        <f>VLOOKUP(tabPontoPed[[#This Row],[GRUPO]],tabGrupos[#Data],2,FALSE)</f>
        <v>PARAFUSOS ELEM. VEDACAO UNIAO CONEX . FIXACAO</v>
      </c>
      <c r="G343" s="32" t="str">
        <f>VLOOKUP(tabPontoPed[[#This Row],[GRUPO]],tabGrupos[#Data],3,FALSE)</f>
        <v>MSE</v>
      </c>
      <c r="H343" s="33" t="s">
        <v>1311</v>
      </c>
      <c r="I343" s="80">
        <v>4</v>
      </c>
      <c r="J343" s="39">
        <v>43</v>
      </c>
      <c r="K343" s="41">
        <f>tabPontoPed[[#This Row],[QTDMÊS]] * tabPontoPed[[#This Row],[MENSAL]]</f>
        <v>172</v>
      </c>
      <c r="L343" s="83"/>
      <c r="M343" s="81"/>
      <c r="N343" s="34" t="s">
        <v>1009</v>
      </c>
      <c r="O343" s="76"/>
      <c r="P343" s="77">
        <v>0</v>
      </c>
      <c r="Q343" s="57">
        <v>15</v>
      </c>
      <c r="R343" s="42">
        <v>20</v>
      </c>
      <c r="S343" s="69" t="str">
        <f>_xlfn.IFNA(IF(VLOOKUP(tabPontoPed[[#This Row],[CÓDIGO]],tabExcluirDoEstoque[#Data],1,FALSE),"sim",""),"")</f>
        <v/>
      </c>
      <c r="T343" s="43">
        <f>IF(AND(tabPontoPed[[#This Row],[MENSAL]]&gt;0,tabPontoPed[[#This Row],[CÁLCULO]]&gt;0), ABS( tabPontoPed[[#This Row],[MENSAL]] - tabPontoPed[[#This Row],[CÁLCULO]] ) / tabPontoPed[[#This Row],[MENSAL]], -1 )</f>
        <v>0.53488372093023251</v>
      </c>
      <c r="U343" s="58">
        <v>100</v>
      </c>
      <c r="V343" s="35">
        <f>IF(AND(tabPontoPed[[#This Row],[MENSAL]]&gt;0,tabPontoPed[[#This Row],[CÁLCULO]]&gt;0), IF( tabPontoPed[[#This Row],[MENSAL]] - tabPontoPed[[#This Row],[CÁLCULO]] &lt; 0, -1, IF( tabPontoPed[[#This Row],[MENSAL]] - tabPontoPed[[#This Row],[CÁLCULO]] &gt; 0, 1, -8)), -9 )</f>
        <v>1</v>
      </c>
      <c r="W343" s="35"/>
      <c r="X343" s="48" t="s">
        <v>1564</v>
      </c>
      <c r="Y343" s="53">
        <v>44391.599108796298</v>
      </c>
      <c r="Z343" s="72">
        <f>tabPontoPed[CÁLC_4M] - tabPontoPed[CÁLCULO]</f>
        <v>-5</v>
      </c>
      <c r="AA343" s="79" t="str">
        <f>IF(tabPontoPed[MENSAL]-tabPontoPed[ATA MENSAL] = 0,"sim","")</f>
        <v/>
      </c>
      <c r="AB343" s="79"/>
      <c r="AC343" s="47" t="str">
        <f t="shared" si="5"/>
        <v>*</v>
      </c>
    </row>
    <row r="344" spans="1:29" x14ac:dyDescent="0.25">
      <c r="A344" s="36">
        <v>50797</v>
      </c>
      <c r="B344" s="68" t="s">
        <v>37</v>
      </c>
      <c r="C344" s="33" t="s">
        <v>1317</v>
      </c>
      <c r="D344" s="32">
        <v>61</v>
      </c>
      <c r="E344" s="37">
        <v>16</v>
      </c>
      <c r="F344" s="38" t="str">
        <f>VLOOKUP(tabPontoPed[[#This Row],[GRUPO]],tabGrupos[#Data],2,FALSE)</f>
        <v>MATERIAL HIDRAULICO, CANOS, TUBOS, MANGUEIRAS, CONEXOES E ACESS.</v>
      </c>
      <c r="G344" s="32" t="str">
        <f>VLOOKUP(tabPontoPed[[#This Row],[GRUPO]],tabGrupos[#Data],3,FALSE)</f>
        <v>MHI</v>
      </c>
      <c r="H344" s="33" t="s">
        <v>1311</v>
      </c>
      <c r="I344" s="80">
        <v>4</v>
      </c>
      <c r="J344" s="39">
        <v>15</v>
      </c>
      <c r="K344" s="41">
        <f>tabPontoPed[[#This Row],[QTDMÊS]] * tabPontoPed[[#This Row],[MENSAL]]</f>
        <v>60</v>
      </c>
      <c r="L344" s="83"/>
      <c r="M344" s="81"/>
      <c r="N344" s="34" t="s">
        <v>1009</v>
      </c>
      <c r="O344" s="76" t="s">
        <v>1715</v>
      </c>
      <c r="P344" s="77">
        <v>0</v>
      </c>
      <c r="Q344" s="57">
        <v>9</v>
      </c>
      <c r="R344" s="42">
        <v>7</v>
      </c>
      <c r="S344" s="69" t="str">
        <f>_xlfn.IFNA(IF(VLOOKUP(tabPontoPed[[#This Row],[CÓDIGO]],tabExcluirDoEstoque[#Data],1,FALSE),"sim",""),"")</f>
        <v/>
      </c>
      <c r="T344" s="43">
        <f>IF(AND(tabPontoPed[[#This Row],[MENSAL]]&gt;0,tabPontoPed[[#This Row],[CÁLCULO]]&gt;0), ABS( tabPontoPed[[#This Row],[MENSAL]] - tabPontoPed[[#This Row],[CÁLCULO]] ) / tabPontoPed[[#This Row],[MENSAL]], -1 )</f>
        <v>0.53333333333333333</v>
      </c>
      <c r="U344" s="58">
        <v>20</v>
      </c>
      <c r="V344" s="35">
        <f>IF(AND(tabPontoPed[[#This Row],[MENSAL]]&gt;0,tabPontoPed[[#This Row],[CÁLCULO]]&gt;0), IF( tabPontoPed[[#This Row],[MENSAL]] - tabPontoPed[[#This Row],[CÁLCULO]] &lt; 0, -1, IF( tabPontoPed[[#This Row],[MENSAL]] - tabPontoPed[[#This Row],[CÁLCULO]] &gt; 0, 1, -8)), -9 )</f>
        <v>1</v>
      </c>
      <c r="W344" s="35"/>
      <c r="X344" s="49" t="s">
        <v>1564</v>
      </c>
      <c r="Y344" s="51">
        <v>44391.599108796298</v>
      </c>
      <c r="Z344" s="72">
        <f>tabPontoPed[CÁLC_4M] - tabPontoPed[CÁLCULO]</f>
        <v>2</v>
      </c>
      <c r="AA344" s="79" t="str">
        <f>IF(tabPontoPed[MENSAL]-tabPontoPed[ATA MENSAL] = 0,"sim","")</f>
        <v/>
      </c>
      <c r="AB344" s="79"/>
      <c r="AC344" s="47" t="str">
        <f t="shared" si="5"/>
        <v>*</v>
      </c>
    </row>
    <row r="345" spans="1:29" ht="18.75" x14ac:dyDescent="0.25">
      <c r="A345" s="36">
        <v>12877</v>
      </c>
      <c r="B345" s="68" t="s">
        <v>175</v>
      </c>
      <c r="C345" s="33" t="s">
        <v>1317</v>
      </c>
      <c r="D345" s="32">
        <v>76</v>
      </c>
      <c r="E345" s="37">
        <v>10</v>
      </c>
      <c r="F345" s="38" t="str">
        <f>VLOOKUP(tabPontoPed[[#This Row],[GRUPO]],tabGrupos[#Data],2,FALSE)</f>
        <v>EQUIP. E MATERIAIS P/PINTURAS E IMPERMEABILIZACAO</v>
      </c>
      <c r="G345" s="32" t="str">
        <f>VLOOKUP(tabPontoPed[[#This Row],[GRUPO]],tabGrupos[#Data],3,FALSE)</f>
        <v>MPI</v>
      </c>
      <c r="H345" s="33" t="s">
        <v>1311</v>
      </c>
      <c r="I345" s="80">
        <v>4</v>
      </c>
      <c r="J345" s="39">
        <v>15</v>
      </c>
      <c r="K345" s="41">
        <f>tabPontoPed[[#This Row],[QTDMÊS]] * tabPontoPed[[#This Row],[MENSAL]]</f>
        <v>60</v>
      </c>
      <c r="L345" s="83"/>
      <c r="M345" s="81"/>
      <c r="N345" s="34" t="s">
        <v>1009</v>
      </c>
      <c r="O345" s="76" t="s">
        <v>1723</v>
      </c>
      <c r="P345" s="77">
        <v>0</v>
      </c>
      <c r="Q345" s="57">
        <v>35</v>
      </c>
      <c r="R345" s="42">
        <v>23</v>
      </c>
      <c r="S345" s="69" t="str">
        <f>_xlfn.IFNA(IF(VLOOKUP(tabPontoPed[[#This Row],[CÓDIGO]],tabExcluirDoEstoque[#Data],1,FALSE),"sim",""),"")</f>
        <v/>
      </c>
      <c r="T345" s="43">
        <f>IF(AND(tabPontoPed[[#This Row],[MENSAL]]&gt;0,tabPontoPed[[#This Row],[CÁLCULO]]&gt;0), ABS( tabPontoPed[[#This Row],[MENSAL]] - tabPontoPed[[#This Row],[CÁLCULO]] ) / tabPontoPed[[#This Row],[MENSAL]], -1 )</f>
        <v>0.53333333333333333</v>
      </c>
      <c r="U345" s="58">
        <v>49</v>
      </c>
      <c r="V345" s="35">
        <f>IF(AND(tabPontoPed[[#This Row],[MENSAL]]&gt;0,tabPontoPed[[#This Row],[CÁLCULO]]&gt;0), IF( tabPontoPed[[#This Row],[MENSAL]] - tabPontoPed[[#This Row],[CÁLCULO]] &lt; 0, -1, IF( tabPontoPed[[#This Row],[MENSAL]] - tabPontoPed[[#This Row],[CÁLCULO]] &gt; 0, 1, -8)), -9 )</f>
        <v>-1</v>
      </c>
      <c r="W345" s="45"/>
      <c r="X345" s="48" t="s">
        <v>1564</v>
      </c>
      <c r="Y345" s="53">
        <v>44391.599108796298</v>
      </c>
      <c r="Z345" s="72">
        <f>tabPontoPed[CÁLC_4M] - tabPontoPed[CÁLCULO]</f>
        <v>12</v>
      </c>
      <c r="AA345" s="79" t="str">
        <f>IF(tabPontoPed[MENSAL]-tabPontoPed[ATA MENSAL] = 0,"sim","")</f>
        <v/>
      </c>
      <c r="AB345" s="79"/>
      <c r="AC345" s="47" t="str">
        <f t="shared" si="5"/>
        <v>*</v>
      </c>
    </row>
    <row r="346" spans="1:29" x14ac:dyDescent="0.25">
      <c r="A346" s="36">
        <v>132407</v>
      </c>
      <c r="B346" s="68" t="s">
        <v>704</v>
      </c>
      <c r="C346" s="33" t="s">
        <v>1317</v>
      </c>
      <c r="D346" s="32">
        <v>57</v>
      </c>
      <c r="E346" s="37">
        <v>6</v>
      </c>
      <c r="F346" s="38" t="str">
        <f>VLOOKUP(tabPontoPed[[#This Row],[GRUPO]],tabGrupos[#Data],2,FALSE)</f>
        <v>MAQ. E EQUIP. P/ IND. GRAFICA COMP. ACESS. E PAPEI</v>
      </c>
      <c r="G346" s="32" t="str">
        <f>VLOOKUP(tabPontoPed[[#This Row],[GRUPO]],tabGrupos[#Data],3,FALSE)</f>
        <v>EDU</v>
      </c>
      <c r="H346" s="33" t="s">
        <v>1311</v>
      </c>
      <c r="I346" s="80">
        <v>4</v>
      </c>
      <c r="J346" s="39">
        <v>17</v>
      </c>
      <c r="K346" s="41">
        <f>tabPontoPed[[#This Row],[QTDMÊS]] * tabPontoPed[[#This Row],[MENSAL]]</f>
        <v>68</v>
      </c>
      <c r="L346" s="83"/>
      <c r="M346" s="81"/>
      <c r="N346" s="34" t="s">
        <v>1009</v>
      </c>
      <c r="O346" s="76"/>
      <c r="P346" s="77">
        <v>0</v>
      </c>
      <c r="Q346" s="57">
        <v>8</v>
      </c>
      <c r="R346" s="42">
        <v>8</v>
      </c>
      <c r="S346" s="69" t="str">
        <f>_xlfn.IFNA(IF(VLOOKUP(tabPontoPed[[#This Row],[CÓDIGO]],tabExcluirDoEstoque[#Data],1,FALSE),"sim",""),"")</f>
        <v/>
      </c>
      <c r="T346" s="43">
        <f>IF(AND(tabPontoPed[[#This Row],[MENSAL]]&gt;0,tabPontoPed[[#This Row],[CÁLCULO]]&gt;0), ABS( tabPontoPed[[#This Row],[MENSAL]] - tabPontoPed[[#This Row],[CÁLCULO]] ) / tabPontoPed[[#This Row],[MENSAL]], -1 )</f>
        <v>0.52941176470588236</v>
      </c>
      <c r="U346" s="58">
        <v>15</v>
      </c>
      <c r="V346" s="35">
        <f>IF(AND(tabPontoPed[[#This Row],[MENSAL]]&gt;0,tabPontoPed[[#This Row],[CÁLCULO]]&gt;0), IF( tabPontoPed[[#This Row],[MENSAL]] - tabPontoPed[[#This Row],[CÁLCULO]] &lt; 0, -1, IF( tabPontoPed[[#This Row],[MENSAL]] - tabPontoPed[[#This Row],[CÁLCULO]] &gt; 0, 1, -8)), -9 )</f>
        <v>1</v>
      </c>
      <c r="W346" s="35"/>
      <c r="X346" s="49" t="s">
        <v>1564</v>
      </c>
      <c r="Y346" s="51">
        <v>44391.599108796298</v>
      </c>
      <c r="Z346" s="72">
        <f>tabPontoPed[CÁLC_4M] - tabPontoPed[CÁLCULO]</f>
        <v>0</v>
      </c>
      <c r="AA346" s="79" t="str">
        <f>IF(tabPontoPed[MENSAL]-tabPontoPed[ATA MENSAL] = 0,"sim","")</f>
        <v/>
      </c>
      <c r="AB346" s="79"/>
      <c r="AC346" s="47" t="str">
        <f t="shared" si="5"/>
        <v>*</v>
      </c>
    </row>
    <row r="347" spans="1:29" x14ac:dyDescent="0.25">
      <c r="A347" s="36">
        <v>63991</v>
      </c>
      <c r="B347" s="68" t="s">
        <v>710</v>
      </c>
      <c r="C347" s="33" t="s">
        <v>1317</v>
      </c>
      <c r="D347" s="32">
        <v>58</v>
      </c>
      <c r="E347" s="37">
        <v>8</v>
      </c>
      <c r="F347" s="38" t="str">
        <f>VLOOKUP(tabPontoPed[[#This Row],[GRUPO]],tabGrupos[#Data],2,FALSE)</f>
        <v>EQUIP. E MAT. P/ RECREACAO, ATLETISMO, DESPORTO...</v>
      </c>
      <c r="G347" s="32" t="str">
        <f>VLOOKUP(tabPontoPed[[#This Row],[GRUPO]],tabGrupos[#Data],3,FALSE)</f>
        <v>EDU</v>
      </c>
      <c r="H347" s="33" t="s">
        <v>1311</v>
      </c>
      <c r="I347" s="80">
        <v>4</v>
      </c>
      <c r="J347" s="39">
        <v>485</v>
      </c>
      <c r="K347" s="41">
        <f>tabPontoPed[[#This Row],[QTDMÊS]] * tabPontoPed[[#This Row],[MENSAL]]</f>
        <v>1940</v>
      </c>
      <c r="L347" s="83"/>
      <c r="M347" s="81"/>
      <c r="N347" s="34" t="s">
        <v>1009</v>
      </c>
      <c r="O347" s="76"/>
      <c r="P347" s="77">
        <v>0</v>
      </c>
      <c r="Q347" s="57">
        <v>85</v>
      </c>
      <c r="R347" s="42">
        <v>229</v>
      </c>
      <c r="S347" s="69" t="str">
        <f>_xlfn.IFNA(IF(VLOOKUP(tabPontoPed[[#This Row],[CÓDIGO]],tabExcluirDoEstoque[#Data],1,FALSE),"sim",""),"")</f>
        <v/>
      </c>
      <c r="T347" s="43">
        <f>IF(AND(tabPontoPed[[#This Row],[MENSAL]]&gt;0,tabPontoPed[[#This Row],[CÁLCULO]]&gt;0), ABS( tabPontoPed[[#This Row],[MENSAL]] - tabPontoPed[[#This Row],[CÁLCULO]] ) / tabPontoPed[[#This Row],[MENSAL]], -1 )</f>
        <v>0.52783505154639176</v>
      </c>
      <c r="U347" s="58">
        <v>1965</v>
      </c>
      <c r="V347" s="35">
        <f>IF(AND(tabPontoPed[[#This Row],[MENSAL]]&gt;0,tabPontoPed[[#This Row],[CÁLCULO]]&gt;0), IF( tabPontoPed[[#This Row],[MENSAL]] - tabPontoPed[[#This Row],[CÁLCULO]] &lt; 0, -1, IF( tabPontoPed[[#This Row],[MENSAL]] - tabPontoPed[[#This Row],[CÁLCULO]] &gt; 0, 1, -8)), -9 )</f>
        <v>1</v>
      </c>
      <c r="W347" s="35"/>
      <c r="X347" s="49" t="s">
        <v>1564</v>
      </c>
      <c r="Y347" s="51">
        <v>44391.599108796298</v>
      </c>
      <c r="Z347" s="72">
        <f>tabPontoPed[CÁLC_4M] - tabPontoPed[CÁLCULO]</f>
        <v>-144</v>
      </c>
      <c r="AA347" s="79" t="str">
        <f>IF(tabPontoPed[MENSAL]-tabPontoPed[ATA MENSAL] = 0,"sim","")</f>
        <v/>
      </c>
      <c r="AB347" s="79"/>
      <c r="AC347" s="47" t="str">
        <f t="shared" si="5"/>
        <v>*</v>
      </c>
    </row>
    <row r="348" spans="1:29" x14ac:dyDescent="0.25">
      <c r="A348" s="36">
        <v>133847</v>
      </c>
      <c r="B348" s="68" t="s">
        <v>80</v>
      </c>
      <c r="C348" s="33" t="s">
        <v>1317</v>
      </c>
      <c r="D348" s="32">
        <v>57</v>
      </c>
      <c r="E348" s="37">
        <v>16</v>
      </c>
      <c r="F348" s="38" t="str">
        <f>VLOOKUP(tabPontoPed[[#This Row],[GRUPO]],tabGrupos[#Data],2,FALSE)</f>
        <v>MAQ. E EQUIP. P/ IND. GRAFICA COMP. ACESS. E PAPEI</v>
      </c>
      <c r="G348" s="32" t="str">
        <f>VLOOKUP(tabPontoPed[[#This Row],[GRUPO]],tabGrupos[#Data],3,FALSE)</f>
        <v>EDU</v>
      </c>
      <c r="H348" s="33" t="s">
        <v>1311</v>
      </c>
      <c r="I348" s="80">
        <v>4</v>
      </c>
      <c r="J348" s="39">
        <v>2084</v>
      </c>
      <c r="K348" s="41">
        <f>tabPontoPed[[#This Row],[QTDMÊS]] * tabPontoPed[[#This Row],[MENSAL]]</f>
        <v>8336</v>
      </c>
      <c r="L348" s="83"/>
      <c r="M348" s="81"/>
      <c r="N348" s="34" t="s">
        <v>1009</v>
      </c>
      <c r="O348" s="76" t="s">
        <v>1718</v>
      </c>
      <c r="P348" s="77">
        <v>0</v>
      </c>
      <c r="Q348" s="57">
        <v>1165</v>
      </c>
      <c r="R348" s="42">
        <v>992</v>
      </c>
      <c r="S348" s="69" t="str">
        <f>_xlfn.IFNA(IF(VLOOKUP(tabPontoPed[[#This Row],[CÓDIGO]],tabExcluirDoEstoque[#Data],1,FALSE),"sim",""),"")</f>
        <v/>
      </c>
      <c r="T348" s="43">
        <f>IF(AND(tabPontoPed[[#This Row],[MENSAL]]&gt;0,tabPontoPed[[#This Row],[CÁLCULO]]&gt;0), ABS( tabPontoPed[[#This Row],[MENSAL]] - tabPontoPed[[#This Row],[CÁLCULO]] ) / tabPontoPed[[#This Row],[MENSAL]], -1 )</f>
        <v>0.52399232245681382</v>
      </c>
      <c r="U348" s="58">
        <v>1968</v>
      </c>
      <c r="V348" s="35">
        <f>IF(AND(tabPontoPed[[#This Row],[MENSAL]]&gt;0,tabPontoPed[[#This Row],[CÁLCULO]]&gt;0), IF( tabPontoPed[[#This Row],[MENSAL]] - tabPontoPed[[#This Row],[CÁLCULO]] &lt; 0, -1, IF( tabPontoPed[[#This Row],[MENSAL]] - tabPontoPed[[#This Row],[CÁLCULO]] &gt; 0, 1, -8)), -9 )</f>
        <v>1</v>
      </c>
      <c r="W348" s="35"/>
      <c r="X348" s="48" t="s">
        <v>1564</v>
      </c>
      <c r="Y348" s="53">
        <v>44391.599108796298</v>
      </c>
      <c r="Z348" s="72">
        <f>tabPontoPed[CÁLC_4M] - tabPontoPed[CÁLCULO]</f>
        <v>173</v>
      </c>
      <c r="AA348" s="79" t="str">
        <f>IF(tabPontoPed[MENSAL]-tabPontoPed[ATA MENSAL] = 0,"sim","")</f>
        <v/>
      </c>
      <c r="AB348" s="79" t="s">
        <v>1614</v>
      </c>
      <c r="AC348" s="47" t="str">
        <f t="shared" si="5"/>
        <v>*</v>
      </c>
    </row>
    <row r="349" spans="1:29" x14ac:dyDescent="0.25">
      <c r="A349" s="36">
        <v>20106</v>
      </c>
      <c r="B349" s="68" t="s">
        <v>913</v>
      </c>
      <c r="C349" s="33" t="s">
        <v>1317</v>
      </c>
      <c r="D349" s="32">
        <v>70</v>
      </c>
      <c r="E349" s="37">
        <v>31</v>
      </c>
      <c r="F349" s="38" t="str">
        <f>VLOOKUP(tabPontoPed[[#This Row],[GRUPO]],tabGrupos[#Data],2,FALSE)</f>
        <v>FERRAMENTAS MAQ.FERRAMENTAS,ELETR.PECAS E ACESSORI</v>
      </c>
      <c r="G349" s="32" t="str">
        <f>VLOOKUP(tabPontoPed[[#This Row],[GRUPO]],tabGrupos[#Data],3,FALSE)</f>
        <v>MAN</v>
      </c>
      <c r="H349" s="33" t="s">
        <v>1311</v>
      </c>
      <c r="I349" s="80">
        <v>4</v>
      </c>
      <c r="J349" s="39">
        <v>21</v>
      </c>
      <c r="K349" s="41">
        <f>tabPontoPed[[#This Row],[QTDMÊS]] * tabPontoPed[[#This Row],[MENSAL]]</f>
        <v>84</v>
      </c>
      <c r="L349" s="83"/>
      <c r="M349" s="81"/>
      <c r="N349" s="34" t="s">
        <v>1009</v>
      </c>
      <c r="O349" s="76" t="s">
        <v>1708</v>
      </c>
      <c r="P349" s="77">
        <v>0</v>
      </c>
      <c r="Q349" s="57">
        <v>11</v>
      </c>
      <c r="R349" s="42">
        <v>10</v>
      </c>
      <c r="S349" s="69" t="str">
        <f>_xlfn.IFNA(IF(VLOOKUP(tabPontoPed[[#This Row],[CÓDIGO]],tabExcluirDoEstoque[#Data],1,FALSE),"sim",""),"")</f>
        <v/>
      </c>
      <c r="T349" s="43">
        <f>IF(AND(tabPontoPed[[#This Row],[MENSAL]]&gt;0,tabPontoPed[[#This Row],[CÁLCULO]]&gt;0), ABS( tabPontoPed[[#This Row],[MENSAL]] - tabPontoPed[[#This Row],[CÁLCULO]] ) / tabPontoPed[[#This Row],[MENSAL]], -1 )</f>
        <v>0.52380952380952384</v>
      </c>
      <c r="U349" s="58">
        <v>22</v>
      </c>
      <c r="V349" s="35">
        <f>IF(AND(tabPontoPed[[#This Row],[MENSAL]]&gt;0,tabPontoPed[[#This Row],[CÁLCULO]]&gt;0), IF( tabPontoPed[[#This Row],[MENSAL]] - tabPontoPed[[#This Row],[CÁLCULO]] &lt; 0, -1, IF( tabPontoPed[[#This Row],[MENSAL]] - tabPontoPed[[#This Row],[CÁLCULO]] &gt; 0, 1, -8)), -9 )</f>
        <v>1</v>
      </c>
      <c r="W349" s="35"/>
      <c r="X349" s="49" t="s">
        <v>1564</v>
      </c>
      <c r="Y349" s="51">
        <v>44391.599108796298</v>
      </c>
      <c r="Z349" s="72">
        <f>tabPontoPed[CÁLC_4M] - tabPontoPed[CÁLCULO]</f>
        <v>1</v>
      </c>
      <c r="AA349" s="79" t="str">
        <f>IF(tabPontoPed[MENSAL]-tabPontoPed[ATA MENSAL] = 0,"sim","")</f>
        <v/>
      </c>
      <c r="AB349" s="79"/>
      <c r="AC349" s="47" t="str">
        <f t="shared" si="5"/>
        <v>*</v>
      </c>
    </row>
    <row r="350" spans="1:29" x14ac:dyDescent="0.25">
      <c r="A350" s="36">
        <v>112158</v>
      </c>
      <c r="B350" s="68" t="s">
        <v>105</v>
      </c>
      <c r="C350" s="33" t="s">
        <v>1317</v>
      </c>
      <c r="D350" s="32">
        <v>55</v>
      </c>
      <c r="E350" s="37">
        <v>7</v>
      </c>
      <c r="F350" s="38" t="str">
        <f>VLOOKUP(tabPontoPed[[#This Row],[GRUPO]],tabGrupos[#Data],2,FALSE)</f>
        <v>EQUIP. MAT. P/ GERACAO, TRANSM. DISTR. RETIF...</v>
      </c>
      <c r="G350" s="32" t="str">
        <f>VLOOKUP(tabPontoPed[[#This Row],[GRUPO]],tabGrupos[#Data],3,FALSE)</f>
        <v>MEL</v>
      </c>
      <c r="H350" s="33" t="s">
        <v>1311</v>
      </c>
      <c r="I350" s="80">
        <v>4</v>
      </c>
      <c r="J350" s="39">
        <v>21</v>
      </c>
      <c r="K350" s="41">
        <f>tabPontoPed[[#This Row],[QTDMÊS]] * tabPontoPed[[#This Row],[MENSAL]]</f>
        <v>84</v>
      </c>
      <c r="L350" s="83"/>
      <c r="M350" s="81"/>
      <c r="N350" s="34" t="s">
        <v>1009</v>
      </c>
      <c r="O350" s="76" t="s">
        <v>1676</v>
      </c>
      <c r="P350" s="77">
        <v>0</v>
      </c>
      <c r="Q350" s="57">
        <v>9</v>
      </c>
      <c r="R350" s="42">
        <v>10</v>
      </c>
      <c r="S350" s="69" t="str">
        <f>_xlfn.IFNA(IF(VLOOKUP(tabPontoPed[[#This Row],[CÓDIGO]],tabExcluirDoEstoque[#Data],1,FALSE),"sim",""),"")</f>
        <v/>
      </c>
      <c r="T350" s="43">
        <f>IF(AND(tabPontoPed[[#This Row],[MENSAL]]&gt;0,tabPontoPed[[#This Row],[CÁLCULO]]&gt;0), ABS( tabPontoPed[[#This Row],[MENSAL]] - tabPontoPed[[#This Row],[CÁLCULO]] ) / tabPontoPed[[#This Row],[MENSAL]], -1 )</f>
        <v>0.52380952380952384</v>
      </c>
      <c r="U350" s="58">
        <v>35</v>
      </c>
      <c r="V350" s="35">
        <f>IF(AND(tabPontoPed[[#This Row],[MENSAL]]&gt;0,tabPontoPed[[#This Row],[CÁLCULO]]&gt;0), IF( tabPontoPed[[#This Row],[MENSAL]] - tabPontoPed[[#This Row],[CÁLCULO]] &lt; 0, -1, IF( tabPontoPed[[#This Row],[MENSAL]] - tabPontoPed[[#This Row],[CÁLCULO]] &gt; 0, 1, -8)), -9 )</f>
        <v>1</v>
      </c>
      <c r="W350" s="35"/>
      <c r="X350" s="49" t="s">
        <v>1564</v>
      </c>
      <c r="Y350" s="51">
        <v>44391.599108796298</v>
      </c>
      <c r="Z350" s="72">
        <f>tabPontoPed[CÁLC_4M] - tabPontoPed[CÁLCULO]</f>
        <v>-1</v>
      </c>
      <c r="AA350" s="79" t="str">
        <f>IF(tabPontoPed[MENSAL]-tabPontoPed[ATA MENSAL] = 0,"sim","")</f>
        <v/>
      </c>
      <c r="AB350" s="79" t="s">
        <v>1614</v>
      </c>
      <c r="AC350" s="47" t="str">
        <f t="shared" si="5"/>
        <v>*</v>
      </c>
    </row>
    <row r="351" spans="1:29" x14ac:dyDescent="0.25">
      <c r="A351" s="36">
        <v>59942</v>
      </c>
      <c r="B351" s="68" t="s">
        <v>261</v>
      </c>
      <c r="C351" s="33" t="s">
        <v>1317</v>
      </c>
      <c r="D351" s="32">
        <v>69</v>
      </c>
      <c r="E351" s="37">
        <v>8</v>
      </c>
      <c r="F351" s="38" t="str">
        <f>VLOOKUP(tabPontoPed[[#This Row],[GRUPO]],tabGrupos[#Data],2,FALSE)</f>
        <v>METAIS,LAMINAD.,PERFILADOS E ARTEFATOS METALICOS</v>
      </c>
      <c r="G351" s="32" t="str">
        <f>VLOOKUP(tabPontoPed[[#This Row],[GRUPO]],tabGrupos[#Data],3,FALSE)</f>
        <v>MSE</v>
      </c>
      <c r="H351" s="33" t="s">
        <v>1311</v>
      </c>
      <c r="I351" s="80">
        <v>4</v>
      </c>
      <c r="J351" s="39">
        <v>44</v>
      </c>
      <c r="K351" s="41">
        <f>tabPontoPed[[#This Row],[QTDMÊS]] * tabPontoPed[[#This Row],[MENSAL]]</f>
        <v>176</v>
      </c>
      <c r="L351" s="83"/>
      <c r="M351" s="81"/>
      <c r="N351" s="34" t="s">
        <v>1009</v>
      </c>
      <c r="O351" s="76" t="s">
        <v>1681</v>
      </c>
      <c r="P351" s="77">
        <v>0</v>
      </c>
      <c r="Q351" s="57">
        <v>37</v>
      </c>
      <c r="R351" s="42">
        <v>21</v>
      </c>
      <c r="S351" s="69" t="str">
        <f>_xlfn.IFNA(IF(VLOOKUP(tabPontoPed[[#This Row],[CÓDIGO]],tabExcluirDoEstoque[#Data],1,FALSE),"sim",""),"")</f>
        <v/>
      </c>
      <c r="T351" s="43">
        <f>IF(AND(tabPontoPed[[#This Row],[MENSAL]]&gt;0,tabPontoPed[[#This Row],[CÁLCULO]]&gt;0), ABS( tabPontoPed[[#This Row],[MENSAL]] - tabPontoPed[[#This Row],[CÁLCULO]] ) / tabPontoPed[[#This Row],[MENSAL]], -1 )</f>
        <v>0.52272727272727271</v>
      </c>
      <c r="U351" s="58">
        <v>65</v>
      </c>
      <c r="V351" s="35">
        <f>IF(AND(tabPontoPed[[#This Row],[MENSAL]]&gt;0,tabPontoPed[[#This Row],[CÁLCULO]]&gt;0), IF( tabPontoPed[[#This Row],[MENSAL]] - tabPontoPed[[#This Row],[CÁLCULO]] &lt; 0, -1, IF( tabPontoPed[[#This Row],[MENSAL]] - tabPontoPed[[#This Row],[CÁLCULO]] &gt; 0, 1, -8)), -9 )</f>
        <v>1</v>
      </c>
      <c r="W351" s="35"/>
      <c r="X351" s="49" t="s">
        <v>1564</v>
      </c>
      <c r="Y351" s="51">
        <v>44391.599108796298</v>
      </c>
      <c r="Z351" s="72">
        <f>tabPontoPed[CÁLC_4M] - tabPontoPed[CÁLCULO]</f>
        <v>16</v>
      </c>
      <c r="AA351" s="79" t="str">
        <f>IF(tabPontoPed[MENSAL]-tabPontoPed[ATA MENSAL] = 0,"sim","")</f>
        <v/>
      </c>
      <c r="AB351" s="79"/>
      <c r="AC351" s="47" t="str">
        <f t="shared" si="5"/>
        <v>*</v>
      </c>
    </row>
    <row r="352" spans="1:29" x14ac:dyDescent="0.25">
      <c r="A352" s="36">
        <v>13559</v>
      </c>
      <c r="B352" s="68" t="s">
        <v>251</v>
      </c>
      <c r="C352" s="33" t="s">
        <v>1317</v>
      </c>
      <c r="D352" s="32">
        <v>61</v>
      </c>
      <c r="E352" s="37">
        <v>2</v>
      </c>
      <c r="F352" s="38" t="str">
        <f>VLOOKUP(tabPontoPed[[#This Row],[GRUPO]],tabGrupos[#Data],2,FALSE)</f>
        <v>MATERIAL HIDRAULICO, CANOS, TUBOS, MANGUEIRAS, CONEXOES E ACESS.</v>
      </c>
      <c r="G352" s="32" t="str">
        <f>VLOOKUP(tabPontoPed[[#This Row],[GRUPO]],tabGrupos[#Data],3,FALSE)</f>
        <v>MHI</v>
      </c>
      <c r="H352" s="33" t="s">
        <v>1311</v>
      </c>
      <c r="I352" s="80">
        <v>4</v>
      </c>
      <c r="J352" s="39">
        <v>25</v>
      </c>
      <c r="K352" s="41">
        <f>tabPontoPed[[#This Row],[QTDMÊS]] * tabPontoPed[[#This Row],[MENSAL]]</f>
        <v>100</v>
      </c>
      <c r="L352" s="83"/>
      <c r="M352" s="81"/>
      <c r="N352" s="34" t="s">
        <v>1009</v>
      </c>
      <c r="O352" s="76" t="s">
        <v>1687</v>
      </c>
      <c r="P352" s="77">
        <v>0</v>
      </c>
      <c r="Q352" s="57">
        <v>12</v>
      </c>
      <c r="R352" s="42">
        <v>12</v>
      </c>
      <c r="S352" s="69" t="str">
        <f>_xlfn.IFNA(IF(VLOOKUP(tabPontoPed[[#This Row],[CÓDIGO]],tabExcluirDoEstoque[#Data],1,FALSE),"sim",""),"")</f>
        <v/>
      </c>
      <c r="T352" s="43">
        <f>IF(AND(tabPontoPed[[#This Row],[MENSAL]]&gt;0,tabPontoPed[[#This Row],[CÁLCULO]]&gt;0), ABS( tabPontoPed[[#This Row],[MENSAL]] - tabPontoPed[[#This Row],[CÁLCULO]] ) / tabPontoPed[[#This Row],[MENSAL]], -1 )</f>
        <v>0.52</v>
      </c>
      <c r="U352" s="58">
        <v>22</v>
      </c>
      <c r="V352" s="35">
        <f>IF(AND(tabPontoPed[[#This Row],[MENSAL]]&gt;0,tabPontoPed[[#This Row],[CÁLCULO]]&gt;0), IF( tabPontoPed[[#This Row],[MENSAL]] - tabPontoPed[[#This Row],[CÁLCULO]] &lt; 0, -1, IF( tabPontoPed[[#This Row],[MENSAL]] - tabPontoPed[[#This Row],[CÁLCULO]] &gt; 0, 1, -8)), -9 )</f>
        <v>1</v>
      </c>
      <c r="W352" s="35"/>
      <c r="X352" s="48" t="s">
        <v>1564</v>
      </c>
      <c r="Y352" s="53">
        <v>44391.599108796298</v>
      </c>
      <c r="Z352" s="72">
        <f>tabPontoPed[CÁLC_4M] - tabPontoPed[CÁLCULO]</f>
        <v>0</v>
      </c>
      <c r="AA352" s="79" t="str">
        <f>IF(tabPontoPed[MENSAL]-tabPontoPed[ATA MENSAL] = 0,"sim","")</f>
        <v/>
      </c>
      <c r="AB352" s="79" t="s">
        <v>1614</v>
      </c>
      <c r="AC352" s="47" t="str">
        <f t="shared" si="5"/>
        <v>*</v>
      </c>
    </row>
    <row r="353" spans="1:29" x14ac:dyDescent="0.25">
      <c r="A353" s="36">
        <v>133451</v>
      </c>
      <c r="B353" s="68" t="s">
        <v>450</v>
      </c>
      <c r="C353" s="33" t="s">
        <v>1317</v>
      </c>
      <c r="D353" s="32">
        <v>45</v>
      </c>
      <c r="E353" s="37">
        <v>11</v>
      </c>
      <c r="F353" s="38" t="str">
        <f>VLOOKUP(tabPontoPed[[#This Row],[GRUPO]],tabGrupos[#Data],2,FALSE)</f>
        <v>MAQ., EQUIP., COMP., ACES., MAT. PARA ESCRIT.E ESCOLAR</v>
      </c>
      <c r="G353" s="32" t="str">
        <f>VLOOKUP(tabPontoPed[[#This Row],[GRUPO]],tabGrupos[#Data],3,FALSE)</f>
        <v>EDU</v>
      </c>
      <c r="H353" s="33" t="s">
        <v>1311</v>
      </c>
      <c r="I353" s="80">
        <v>4</v>
      </c>
      <c r="J353" s="39">
        <v>79</v>
      </c>
      <c r="K353" s="41">
        <f>tabPontoPed[[#This Row],[QTDMÊS]] * tabPontoPed[[#This Row],[MENSAL]]</f>
        <v>316</v>
      </c>
      <c r="L353" s="83"/>
      <c r="M353" s="81"/>
      <c r="N353" s="34" t="s">
        <v>1009</v>
      </c>
      <c r="O353" s="76" t="s">
        <v>1696</v>
      </c>
      <c r="P353" s="77">
        <v>0</v>
      </c>
      <c r="Q353" s="57">
        <v>38</v>
      </c>
      <c r="R353" s="42">
        <v>38</v>
      </c>
      <c r="S353" s="69" t="str">
        <f>_xlfn.IFNA(IF(VLOOKUP(tabPontoPed[[#This Row],[CÓDIGO]],tabExcluirDoEstoque[#Data],1,FALSE),"sim",""),"")</f>
        <v/>
      </c>
      <c r="T353" s="43">
        <f>IF(AND(tabPontoPed[[#This Row],[MENSAL]]&gt;0,tabPontoPed[[#This Row],[CÁLCULO]]&gt;0), ABS( tabPontoPed[[#This Row],[MENSAL]] - tabPontoPed[[#This Row],[CÁLCULO]] ) / tabPontoPed[[#This Row],[MENSAL]], -1 )</f>
        <v>0.51898734177215189</v>
      </c>
      <c r="U353" s="58">
        <v>85</v>
      </c>
      <c r="V353" s="35">
        <f>IF(AND(tabPontoPed[[#This Row],[MENSAL]]&gt;0,tabPontoPed[[#This Row],[CÁLCULO]]&gt;0), IF( tabPontoPed[[#This Row],[MENSAL]] - tabPontoPed[[#This Row],[CÁLCULO]] &lt; 0, -1, IF( tabPontoPed[[#This Row],[MENSAL]] - tabPontoPed[[#This Row],[CÁLCULO]] &gt; 0, 1, -8)), -9 )</f>
        <v>1</v>
      </c>
      <c r="W353" s="35"/>
      <c r="X353" s="49" t="s">
        <v>1564</v>
      </c>
      <c r="Y353" s="51">
        <v>44391.599108796298</v>
      </c>
      <c r="Z353" s="72">
        <f>tabPontoPed[CÁLC_4M] - tabPontoPed[CÁLCULO]</f>
        <v>0</v>
      </c>
      <c r="AA353" s="79" t="str">
        <f>IF(tabPontoPed[MENSAL]-tabPontoPed[ATA MENSAL] = 0,"sim","")</f>
        <v/>
      </c>
      <c r="AB353" s="79"/>
      <c r="AC353" s="47" t="str">
        <f t="shared" si="5"/>
        <v>*</v>
      </c>
    </row>
    <row r="354" spans="1:29" x14ac:dyDescent="0.25">
      <c r="A354" s="36">
        <v>133366</v>
      </c>
      <c r="B354" s="68" t="s">
        <v>856</v>
      </c>
      <c r="C354" s="33" t="s">
        <v>1317</v>
      </c>
      <c r="D354" s="32">
        <v>67</v>
      </c>
      <c r="E354" s="37">
        <v>9</v>
      </c>
      <c r="F354" s="38" t="str">
        <f>VLOOKUP(tabPontoPed[[#This Row],[GRUPO]],tabGrupos[#Data],2,FALSE)</f>
        <v>PARAFUSOS ELEM. VEDACAO UNIAO CONEX . FIXACAO</v>
      </c>
      <c r="G354" s="32" t="str">
        <f>VLOOKUP(tabPontoPed[[#This Row],[GRUPO]],tabGrupos[#Data],3,FALSE)</f>
        <v>MSE</v>
      </c>
      <c r="H354" s="33" t="s">
        <v>1311</v>
      </c>
      <c r="I354" s="80">
        <v>4</v>
      </c>
      <c r="J354" s="39">
        <v>320</v>
      </c>
      <c r="K354" s="41">
        <f>tabPontoPed[[#This Row],[QTDMÊS]] * tabPontoPed[[#This Row],[MENSAL]]</f>
        <v>1280</v>
      </c>
      <c r="L354" s="83"/>
      <c r="M354" s="81"/>
      <c r="N354" s="34" t="s">
        <v>1009</v>
      </c>
      <c r="O354" s="76"/>
      <c r="P354" s="77">
        <v>0</v>
      </c>
      <c r="Q354" s="57">
        <v>243</v>
      </c>
      <c r="R354" s="42">
        <v>155</v>
      </c>
      <c r="S354" s="69" t="str">
        <f>_xlfn.IFNA(IF(VLOOKUP(tabPontoPed[[#This Row],[CÓDIGO]],tabExcluirDoEstoque[#Data],1,FALSE),"sim",""),"")</f>
        <v/>
      </c>
      <c r="T354" s="43">
        <f>IF(AND(tabPontoPed[[#This Row],[MENSAL]]&gt;0,tabPontoPed[[#This Row],[CÁLCULO]]&gt;0), ABS( tabPontoPed[[#This Row],[MENSAL]] - tabPontoPed[[#This Row],[CÁLCULO]] ) / tabPontoPed[[#This Row],[MENSAL]], -1 )</f>
        <v>0.515625</v>
      </c>
      <c r="U354" s="58">
        <v>350</v>
      </c>
      <c r="V354" s="35">
        <f>IF(AND(tabPontoPed[[#This Row],[MENSAL]]&gt;0,tabPontoPed[[#This Row],[CÁLCULO]]&gt;0), IF( tabPontoPed[[#This Row],[MENSAL]] - tabPontoPed[[#This Row],[CÁLCULO]] &lt; 0, -1, IF( tabPontoPed[[#This Row],[MENSAL]] - tabPontoPed[[#This Row],[CÁLCULO]] &gt; 0, 1, -8)), -9 )</f>
        <v>1</v>
      </c>
      <c r="W354" s="35"/>
      <c r="X354" s="48" t="s">
        <v>1564</v>
      </c>
      <c r="Y354" s="53">
        <v>44391.599108796298</v>
      </c>
      <c r="Z354" s="72">
        <f>tabPontoPed[CÁLC_4M] - tabPontoPed[CÁLCULO]</f>
        <v>88</v>
      </c>
      <c r="AA354" s="79" t="str">
        <f>IF(tabPontoPed[MENSAL]-tabPontoPed[ATA MENSAL] = 0,"sim","")</f>
        <v/>
      </c>
      <c r="AB354" s="79"/>
      <c r="AC354" s="47" t="str">
        <f t="shared" si="5"/>
        <v>*</v>
      </c>
    </row>
    <row r="355" spans="1:29" x14ac:dyDescent="0.25">
      <c r="A355" s="36">
        <v>13562</v>
      </c>
      <c r="B355" s="68" t="s">
        <v>254</v>
      </c>
      <c r="C355" s="33" t="s">
        <v>1317</v>
      </c>
      <c r="D355" s="32">
        <v>61</v>
      </c>
      <c r="E355" s="37">
        <v>2</v>
      </c>
      <c r="F355" s="38" t="str">
        <f>VLOOKUP(tabPontoPed[[#This Row],[GRUPO]],tabGrupos[#Data],2,FALSE)</f>
        <v>MATERIAL HIDRAULICO, CANOS, TUBOS, MANGUEIRAS, CONEXOES E ACESS.</v>
      </c>
      <c r="G355" s="32" t="str">
        <f>VLOOKUP(tabPontoPed[[#This Row],[GRUPO]],tabGrupos[#Data],3,FALSE)</f>
        <v>MHI</v>
      </c>
      <c r="H355" s="33" t="s">
        <v>1311</v>
      </c>
      <c r="I355" s="80">
        <v>4</v>
      </c>
      <c r="J355" s="39">
        <v>72</v>
      </c>
      <c r="K355" s="41">
        <f>tabPontoPed[[#This Row],[QTDMÊS]] * tabPontoPed[[#This Row],[MENSAL]]</f>
        <v>288</v>
      </c>
      <c r="L355" s="83"/>
      <c r="M355" s="81"/>
      <c r="N355" s="34" t="s">
        <v>1009</v>
      </c>
      <c r="O355" s="76" t="s">
        <v>1687</v>
      </c>
      <c r="P355" s="77">
        <v>0</v>
      </c>
      <c r="Q355" s="57">
        <v>24</v>
      </c>
      <c r="R355" s="42">
        <v>35</v>
      </c>
      <c r="S355" s="69" t="str">
        <f>_xlfn.IFNA(IF(VLOOKUP(tabPontoPed[[#This Row],[CÓDIGO]],tabExcluirDoEstoque[#Data],1,FALSE),"sim",""),"")</f>
        <v/>
      </c>
      <c r="T355" s="43">
        <f>IF(AND(tabPontoPed[[#This Row],[MENSAL]]&gt;0,tabPontoPed[[#This Row],[CÁLCULO]]&gt;0), ABS( tabPontoPed[[#This Row],[MENSAL]] - tabPontoPed[[#This Row],[CÁLCULO]] ) / tabPontoPed[[#This Row],[MENSAL]], -1 )</f>
        <v>0.51388888888888884</v>
      </c>
      <c r="U355" s="58">
        <v>82</v>
      </c>
      <c r="V355" s="35">
        <f>IF(AND(tabPontoPed[[#This Row],[MENSAL]]&gt;0,tabPontoPed[[#This Row],[CÁLCULO]]&gt;0), IF( tabPontoPed[[#This Row],[MENSAL]] - tabPontoPed[[#This Row],[CÁLCULO]] &lt; 0, -1, IF( tabPontoPed[[#This Row],[MENSAL]] - tabPontoPed[[#This Row],[CÁLCULO]] &gt; 0, 1, -8)), -9 )</f>
        <v>1</v>
      </c>
      <c r="W355" s="35"/>
      <c r="X355" s="49" t="s">
        <v>1564</v>
      </c>
      <c r="Y355" s="51">
        <v>44391.599108796298</v>
      </c>
      <c r="Z355" s="72">
        <f>tabPontoPed[CÁLC_4M] - tabPontoPed[CÁLCULO]</f>
        <v>-11</v>
      </c>
      <c r="AA355" s="79" t="str">
        <f>IF(tabPontoPed[MENSAL]-tabPontoPed[ATA MENSAL] = 0,"sim","")</f>
        <v/>
      </c>
      <c r="AB355" s="79"/>
      <c r="AC355" s="47" t="str">
        <f t="shared" si="5"/>
        <v>*</v>
      </c>
    </row>
    <row r="356" spans="1:29" x14ac:dyDescent="0.25">
      <c r="A356" s="36">
        <v>32534</v>
      </c>
      <c r="B356" s="68" t="s">
        <v>1107</v>
      </c>
      <c r="C356" s="33" t="s">
        <v>1317</v>
      </c>
      <c r="D356" s="32">
        <v>51</v>
      </c>
      <c r="E356" s="37">
        <v>7</v>
      </c>
      <c r="F356" s="38" t="str">
        <f>VLOOKUP(tabPontoPed[[#This Row],[GRUPO]],tabGrupos[#Data],2,FALSE)</f>
        <v>MAT.E EQUIP. P/ CONSTR.CIVIL E CONSERV. DE VIAS PUBL.</v>
      </c>
      <c r="G356" s="32" t="str">
        <f>VLOOKUP(tabPontoPed[[#This Row],[GRUPO]],tabGrupos[#Data],3,FALSE)</f>
        <v>MCO</v>
      </c>
      <c r="H356" s="33" t="s">
        <v>1321</v>
      </c>
      <c r="I356" s="80">
        <v>4</v>
      </c>
      <c r="J356" s="39">
        <v>125</v>
      </c>
      <c r="K356" s="41">
        <f>tabPontoPed[[#This Row],[QTDMÊS]] * tabPontoPed[[#This Row],[MENSAL]]</f>
        <v>500</v>
      </c>
      <c r="L356" s="83"/>
      <c r="M356" s="81"/>
      <c r="N356" s="34" t="s">
        <v>1009</v>
      </c>
      <c r="O356" s="76" t="s">
        <v>1657</v>
      </c>
      <c r="P356" s="77">
        <v>0</v>
      </c>
      <c r="Q356" s="57">
        <v>0</v>
      </c>
      <c r="R356" s="42">
        <v>61</v>
      </c>
      <c r="S356" s="69" t="str">
        <f>_xlfn.IFNA(IF(VLOOKUP(tabPontoPed[[#This Row],[CÓDIGO]],tabExcluirDoEstoque[#Data],1,FALSE),"sim",""),"")</f>
        <v/>
      </c>
      <c r="T356" s="43">
        <f>IF(AND(tabPontoPed[[#This Row],[MENSAL]]&gt;0,tabPontoPed[[#This Row],[CÁLCULO]]&gt;0), ABS( tabPontoPed[[#This Row],[MENSAL]] - tabPontoPed[[#This Row],[CÁLCULO]] ) / tabPontoPed[[#This Row],[MENSAL]], -1 )</f>
        <v>0.51200000000000001</v>
      </c>
      <c r="U356" s="58">
        <v>553</v>
      </c>
      <c r="V356" s="35">
        <f>IF(AND(tabPontoPed[[#This Row],[MENSAL]]&gt;0,tabPontoPed[[#This Row],[CÁLCULO]]&gt;0), IF( tabPontoPed[[#This Row],[MENSAL]] - tabPontoPed[[#This Row],[CÁLCULO]] &lt; 0, -1, IF( tabPontoPed[[#This Row],[MENSAL]] - tabPontoPed[[#This Row],[CÁLCULO]] &gt; 0, 1, -8)), -9 )</f>
        <v>1</v>
      </c>
      <c r="W356" s="35"/>
      <c r="X356" s="49" t="s">
        <v>1450</v>
      </c>
      <c r="Y356" s="51">
        <v>43867.359409722223</v>
      </c>
      <c r="Z356" s="72">
        <f>tabPontoPed[CÁLC_4M] - tabPontoPed[CÁLCULO]</f>
        <v>-61</v>
      </c>
      <c r="AA356" s="79" t="str">
        <f>IF(tabPontoPed[MENSAL]-tabPontoPed[ATA MENSAL] = 0,"sim","")</f>
        <v/>
      </c>
      <c r="AB356" s="79"/>
      <c r="AC356" s="47" t="str">
        <f t="shared" si="5"/>
        <v>*</v>
      </c>
    </row>
    <row r="357" spans="1:29" x14ac:dyDescent="0.25">
      <c r="A357" s="36">
        <v>20584</v>
      </c>
      <c r="B357" s="68" t="s">
        <v>849</v>
      </c>
      <c r="C357" s="33" t="s">
        <v>1317</v>
      </c>
      <c r="D357" s="32">
        <v>67</v>
      </c>
      <c r="E357" s="37">
        <v>7</v>
      </c>
      <c r="F357" s="38" t="str">
        <f>VLOOKUP(tabPontoPed[[#This Row],[GRUPO]],tabGrupos[#Data],2,FALSE)</f>
        <v>PARAFUSOS ELEM. VEDACAO UNIAO CONEX . FIXACAO</v>
      </c>
      <c r="G357" s="32" t="str">
        <f>VLOOKUP(tabPontoPed[[#This Row],[GRUPO]],tabGrupos[#Data],3,FALSE)</f>
        <v>MSE</v>
      </c>
      <c r="H357" s="33" t="s">
        <v>1311</v>
      </c>
      <c r="I357" s="80">
        <v>4</v>
      </c>
      <c r="J357" s="39">
        <v>255</v>
      </c>
      <c r="K357" s="41">
        <f>tabPontoPed[[#This Row],[QTDMÊS]] * tabPontoPed[[#This Row],[MENSAL]]</f>
        <v>1020</v>
      </c>
      <c r="L357" s="83"/>
      <c r="M357" s="81"/>
      <c r="N357" s="34" t="s">
        <v>1009</v>
      </c>
      <c r="O357" s="76"/>
      <c r="P357" s="77">
        <v>0</v>
      </c>
      <c r="Q357" s="57">
        <v>125</v>
      </c>
      <c r="R357" s="42">
        <v>125</v>
      </c>
      <c r="S357" s="69" t="str">
        <f>_xlfn.IFNA(IF(VLOOKUP(tabPontoPed[[#This Row],[CÓDIGO]],tabExcluirDoEstoque[#Data],1,FALSE),"sim",""),"")</f>
        <v/>
      </c>
      <c r="T357" s="43">
        <f>IF(AND(tabPontoPed[[#This Row],[MENSAL]]&gt;0,tabPontoPed[[#This Row],[CÁLCULO]]&gt;0), ABS( tabPontoPed[[#This Row],[MENSAL]] - tabPontoPed[[#This Row],[CÁLCULO]] ) / tabPontoPed[[#This Row],[MENSAL]], -1 )</f>
        <v>0.50980392156862742</v>
      </c>
      <c r="U357" s="58">
        <v>300</v>
      </c>
      <c r="V357" s="35">
        <f>IF(AND(tabPontoPed[[#This Row],[MENSAL]]&gt;0,tabPontoPed[[#This Row],[CÁLCULO]]&gt;0), IF( tabPontoPed[[#This Row],[MENSAL]] - tabPontoPed[[#This Row],[CÁLCULO]] &lt; 0, -1, IF( tabPontoPed[[#This Row],[MENSAL]] - tabPontoPed[[#This Row],[CÁLCULO]] &gt; 0, 1, -8)), -9 )</f>
        <v>1</v>
      </c>
      <c r="W357" s="35"/>
      <c r="X357" s="48" t="s">
        <v>1564</v>
      </c>
      <c r="Y357" s="53">
        <v>44391.599108796298</v>
      </c>
      <c r="Z357" s="72">
        <f>tabPontoPed[CÁLC_4M] - tabPontoPed[CÁLCULO]</f>
        <v>0</v>
      </c>
      <c r="AA357" s="79" t="str">
        <f>IF(tabPontoPed[MENSAL]-tabPontoPed[ATA MENSAL] = 0,"sim","")</f>
        <v/>
      </c>
      <c r="AB357" s="79"/>
      <c r="AC357" s="47" t="str">
        <f t="shared" si="5"/>
        <v>*</v>
      </c>
    </row>
    <row r="358" spans="1:29" x14ac:dyDescent="0.25">
      <c r="A358" s="36">
        <v>80387</v>
      </c>
      <c r="B358" s="68" t="s">
        <v>169</v>
      </c>
      <c r="C358" s="33" t="s">
        <v>1317</v>
      </c>
      <c r="D358" s="32">
        <v>83</v>
      </c>
      <c r="E358" s="37">
        <v>4</v>
      </c>
      <c r="F358" s="38" t="str">
        <f>VLOOKUP(tabPontoPed[[#This Row],[GRUPO]],tabGrupos[#Data],2,FALSE)</f>
        <v>ABRASIVOS</v>
      </c>
      <c r="G358" s="32" t="str">
        <f>VLOOKUP(tabPontoPed[[#This Row],[GRUPO]],tabGrupos[#Data],3,FALSE)</f>
        <v>MAN</v>
      </c>
      <c r="H358" s="33" t="s">
        <v>1311</v>
      </c>
      <c r="I358" s="80">
        <v>4</v>
      </c>
      <c r="J358" s="39">
        <v>55</v>
      </c>
      <c r="K358" s="41">
        <f>tabPontoPed[[#This Row],[QTDMÊS]] * tabPontoPed[[#This Row],[MENSAL]]</f>
        <v>220</v>
      </c>
      <c r="L358" s="83"/>
      <c r="M358" s="81"/>
      <c r="N358" s="34" t="s">
        <v>1009</v>
      </c>
      <c r="O358" s="76" t="s">
        <v>1576</v>
      </c>
      <c r="P358" s="77">
        <v>0</v>
      </c>
      <c r="Q358" s="57">
        <v>23</v>
      </c>
      <c r="R358" s="42">
        <v>27</v>
      </c>
      <c r="S358" s="69" t="str">
        <f>_xlfn.IFNA(IF(VLOOKUP(tabPontoPed[[#This Row],[CÓDIGO]],tabExcluirDoEstoque[#Data],1,FALSE),"sim",""),"")</f>
        <v/>
      </c>
      <c r="T358" s="43">
        <f>IF(AND(tabPontoPed[[#This Row],[MENSAL]]&gt;0,tabPontoPed[[#This Row],[CÁLCULO]]&gt;0), ABS( tabPontoPed[[#This Row],[MENSAL]] - tabPontoPed[[#This Row],[CÁLCULO]] ) / tabPontoPed[[#This Row],[MENSAL]], -1 )</f>
        <v>0.50909090909090904</v>
      </c>
      <c r="U358" s="58">
        <v>60</v>
      </c>
      <c r="V358" s="35">
        <f>IF(AND(tabPontoPed[[#This Row],[MENSAL]]&gt;0,tabPontoPed[[#This Row],[CÁLCULO]]&gt;0), IF( tabPontoPed[[#This Row],[MENSAL]] - tabPontoPed[[#This Row],[CÁLCULO]] &lt; 0, -1, IF( tabPontoPed[[#This Row],[MENSAL]] - tabPontoPed[[#This Row],[CÁLCULO]] &gt; 0, 1, -8)), -9 )</f>
        <v>1</v>
      </c>
      <c r="W358" s="35"/>
      <c r="X358" s="48" t="s">
        <v>1564</v>
      </c>
      <c r="Y358" s="53">
        <v>44391.599108796298</v>
      </c>
      <c r="Z358" s="72">
        <f>tabPontoPed[CÁLC_4M] - tabPontoPed[CÁLCULO]</f>
        <v>-4</v>
      </c>
      <c r="AA358" s="79" t="str">
        <f>IF(tabPontoPed[MENSAL]-tabPontoPed[ATA MENSAL] = 0,"sim","")</f>
        <v/>
      </c>
      <c r="AB358" s="79"/>
      <c r="AC358" s="47" t="str">
        <f t="shared" si="5"/>
        <v>*</v>
      </c>
    </row>
    <row r="359" spans="1:29" x14ac:dyDescent="0.25">
      <c r="A359" s="36">
        <v>12635</v>
      </c>
      <c r="B359" s="68" t="s">
        <v>86</v>
      </c>
      <c r="C359" s="33" t="s">
        <v>1317</v>
      </c>
      <c r="D359" s="32">
        <v>57</v>
      </c>
      <c r="E359" s="37">
        <v>16</v>
      </c>
      <c r="F359" s="38" t="str">
        <f>VLOOKUP(tabPontoPed[[#This Row],[GRUPO]],tabGrupos[#Data],2,FALSE)</f>
        <v>MAQ. E EQUIP. P/ IND. GRAFICA COMP. ACESS. E PAPEI</v>
      </c>
      <c r="G359" s="32" t="str">
        <f>VLOOKUP(tabPontoPed[[#This Row],[GRUPO]],tabGrupos[#Data],3,FALSE)</f>
        <v>EDU</v>
      </c>
      <c r="H359" s="33" t="s">
        <v>1311</v>
      </c>
      <c r="I359" s="80">
        <v>4</v>
      </c>
      <c r="J359" s="39">
        <v>2084</v>
      </c>
      <c r="K359" s="41">
        <f>tabPontoPed[[#This Row],[QTDMÊS]] * tabPontoPed[[#This Row],[MENSAL]]</f>
        <v>8336</v>
      </c>
      <c r="L359" s="83"/>
      <c r="M359" s="81"/>
      <c r="N359" s="34" t="s">
        <v>1009</v>
      </c>
      <c r="O359" s="76" t="s">
        <v>1718</v>
      </c>
      <c r="P359" s="77">
        <v>0</v>
      </c>
      <c r="Q359" s="57">
        <v>1425</v>
      </c>
      <c r="R359" s="42">
        <v>1026</v>
      </c>
      <c r="S359" s="69" t="str">
        <f>_xlfn.IFNA(IF(VLOOKUP(tabPontoPed[[#This Row],[CÓDIGO]],tabExcluirDoEstoque[#Data],1,FALSE),"sim",""),"")</f>
        <v/>
      </c>
      <c r="T359" s="43">
        <f>IF(AND(tabPontoPed[[#This Row],[MENSAL]]&gt;0,tabPontoPed[[#This Row],[CÁLCULO]]&gt;0), ABS( tabPontoPed[[#This Row],[MENSAL]] - tabPontoPed[[#This Row],[CÁLCULO]] ) / tabPontoPed[[#This Row],[MENSAL]], -1 )</f>
        <v>0.50767754318618041</v>
      </c>
      <c r="U359" s="58">
        <v>2803</v>
      </c>
      <c r="V359" s="35">
        <f>IF(AND(tabPontoPed[[#This Row],[MENSAL]]&gt;0,tabPontoPed[[#This Row],[CÁLCULO]]&gt;0), IF( tabPontoPed[[#This Row],[MENSAL]] - tabPontoPed[[#This Row],[CÁLCULO]] &lt; 0, -1, IF( tabPontoPed[[#This Row],[MENSAL]] - tabPontoPed[[#This Row],[CÁLCULO]] &gt; 0, 1, -8)), -9 )</f>
        <v>1</v>
      </c>
      <c r="W359" s="35"/>
      <c r="X359" s="49" t="s">
        <v>1564</v>
      </c>
      <c r="Y359" s="51">
        <v>44391.599108796298</v>
      </c>
      <c r="Z359" s="72">
        <f>tabPontoPed[CÁLC_4M] - tabPontoPed[CÁLCULO]</f>
        <v>399</v>
      </c>
      <c r="AA359" s="79" t="str">
        <f>IF(tabPontoPed[MENSAL]-tabPontoPed[ATA MENSAL] = 0,"sim","")</f>
        <v/>
      </c>
      <c r="AB359" s="79" t="s">
        <v>1614</v>
      </c>
      <c r="AC359" s="47" t="str">
        <f t="shared" si="5"/>
        <v>*</v>
      </c>
    </row>
    <row r="360" spans="1:29" x14ac:dyDescent="0.25">
      <c r="A360" s="36">
        <v>125269</v>
      </c>
      <c r="B360" s="68" t="s">
        <v>207</v>
      </c>
      <c r="C360" s="33" t="s">
        <v>1317</v>
      </c>
      <c r="D360" s="32">
        <v>60</v>
      </c>
      <c r="E360" s="37">
        <v>21</v>
      </c>
      <c r="F360" s="38" t="str">
        <f>VLOOKUP(tabPontoPed[[#This Row],[GRUPO]],tabGrupos[#Data],2,FALSE)</f>
        <v>COMPUT.SOFT. PROCES. EQUIP. SUPRI. COMP. ACESS. INFORMAT</v>
      </c>
      <c r="G360" s="32" t="str">
        <f>VLOOKUP(tabPontoPed[[#This Row],[GRUPO]],tabGrupos[#Data],3,FALSE)</f>
        <v>INF</v>
      </c>
      <c r="H360" s="33" t="s">
        <v>1311</v>
      </c>
      <c r="I360" s="80">
        <v>4</v>
      </c>
      <c r="J360" s="39">
        <v>67</v>
      </c>
      <c r="K360" s="41">
        <f>tabPontoPed[[#This Row],[QTDMÊS]] * tabPontoPed[[#This Row],[MENSAL]]</f>
        <v>268</v>
      </c>
      <c r="L360" s="83"/>
      <c r="M360" s="81"/>
      <c r="N360" s="34" t="s">
        <v>1009</v>
      </c>
      <c r="O360" s="76" t="s">
        <v>1757</v>
      </c>
      <c r="P360" s="77">
        <v>0</v>
      </c>
      <c r="Q360" s="57">
        <v>112</v>
      </c>
      <c r="R360" s="42">
        <v>101</v>
      </c>
      <c r="S360" s="69" t="str">
        <f>_xlfn.IFNA(IF(VLOOKUP(tabPontoPed[[#This Row],[CÓDIGO]],tabExcluirDoEstoque[#Data],1,FALSE),"sim",""),"")</f>
        <v/>
      </c>
      <c r="T360" s="43">
        <f>IF(AND(tabPontoPed[[#This Row],[MENSAL]]&gt;0,tabPontoPed[[#This Row],[CÁLCULO]]&gt;0), ABS( tabPontoPed[[#This Row],[MENSAL]] - tabPontoPed[[#This Row],[CÁLCULO]] ) / tabPontoPed[[#This Row],[MENSAL]], -1 )</f>
        <v>0.5074626865671642</v>
      </c>
      <c r="U360" s="58">
        <v>250</v>
      </c>
      <c r="V360" s="35">
        <f>IF(AND(tabPontoPed[[#This Row],[MENSAL]]&gt;0,tabPontoPed[[#This Row],[CÁLCULO]]&gt;0), IF( tabPontoPed[[#This Row],[MENSAL]] - tabPontoPed[[#This Row],[CÁLCULO]] &lt; 0, -1, IF( tabPontoPed[[#This Row],[MENSAL]] - tabPontoPed[[#This Row],[CÁLCULO]] &gt; 0, 1, -8)), -9 )</f>
        <v>-1</v>
      </c>
      <c r="W360" s="35"/>
      <c r="X360" s="48" t="s">
        <v>1564</v>
      </c>
      <c r="Y360" s="53">
        <v>44391.599108796298</v>
      </c>
      <c r="Z360" s="72">
        <f>tabPontoPed[CÁLC_4M] - tabPontoPed[CÁLCULO]</f>
        <v>11</v>
      </c>
      <c r="AA360" s="79" t="str">
        <f>IF(tabPontoPed[MENSAL]-tabPontoPed[ATA MENSAL] = 0,"sim","")</f>
        <v/>
      </c>
      <c r="AB360" s="79"/>
      <c r="AC360" s="47" t="str">
        <f t="shared" si="5"/>
        <v>*</v>
      </c>
    </row>
    <row r="361" spans="1:29" x14ac:dyDescent="0.25">
      <c r="A361" s="36">
        <v>132646</v>
      </c>
      <c r="B361" s="68" t="s">
        <v>428</v>
      </c>
      <c r="C361" s="33" t="s">
        <v>1317</v>
      </c>
      <c r="D361" s="32">
        <v>45</v>
      </c>
      <c r="E361" s="37">
        <v>10</v>
      </c>
      <c r="F361" s="38" t="str">
        <f>VLOOKUP(tabPontoPed[[#This Row],[GRUPO]],tabGrupos[#Data],2,FALSE)</f>
        <v>MAQ., EQUIP., COMP., ACES., MAT. PARA ESCRIT.E ESCOLAR</v>
      </c>
      <c r="G361" s="32" t="str">
        <f>VLOOKUP(tabPontoPed[[#This Row],[GRUPO]],tabGrupos[#Data],3,FALSE)</f>
        <v>EDU</v>
      </c>
      <c r="H361" s="33" t="s">
        <v>1311</v>
      </c>
      <c r="I361" s="80">
        <v>4</v>
      </c>
      <c r="J361" s="39">
        <v>1240</v>
      </c>
      <c r="K361" s="41">
        <f>tabPontoPed[[#This Row],[QTDMÊS]] * tabPontoPed[[#This Row],[MENSAL]]</f>
        <v>4960</v>
      </c>
      <c r="L361" s="83"/>
      <c r="M361" s="81"/>
      <c r="N361" s="34" t="s">
        <v>1009</v>
      </c>
      <c r="O361" s="76"/>
      <c r="P361" s="77">
        <v>0</v>
      </c>
      <c r="Q361" s="57">
        <v>502</v>
      </c>
      <c r="R361" s="42">
        <v>1869</v>
      </c>
      <c r="S361" s="69" t="str">
        <f>_xlfn.IFNA(IF(VLOOKUP(tabPontoPed[[#This Row],[CÓDIGO]],tabExcluirDoEstoque[#Data],1,FALSE),"sim",""),"")</f>
        <v/>
      </c>
      <c r="T361" s="43">
        <f>IF(AND(tabPontoPed[[#This Row],[MENSAL]]&gt;0,tabPontoPed[[#This Row],[CÁLCULO]]&gt;0), ABS( tabPontoPed[[#This Row],[MENSAL]] - tabPontoPed[[#This Row],[CÁLCULO]] ) / tabPontoPed[[#This Row],[MENSAL]], -1 )</f>
        <v>0.50725806451612898</v>
      </c>
      <c r="U361" s="58">
        <v>16503</v>
      </c>
      <c r="V361" s="35">
        <f>IF(AND(tabPontoPed[[#This Row],[MENSAL]]&gt;0,tabPontoPed[[#This Row],[CÁLCULO]]&gt;0), IF( tabPontoPed[[#This Row],[MENSAL]] - tabPontoPed[[#This Row],[CÁLCULO]] &lt; 0, -1, IF( tabPontoPed[[#This Row],[MENSAL]] - tabPontoPed[[#This Row],[CÁLCULO]] &gt; 0, 1, -8)), -9 )</f>
        <v>-1</v>
      </c>
      <c r="W361" s="35"/>
      <c r="X361" s="49" t="s">
        <v>1564</v>
      </c>
      <c r="Y361" s="51">
        <v>44391.599108796298</v>
      </c>
      <c r="Z361" s="72">
        <f>tabPontoPed[CÁLC_4M] - tabPontoPed[CÁLCULO]</f>
        <v>-1367</v>
      </c>
      <c r="AA361" s="79" t="str">
        <f>IF(tabPontoPed[MENSAL]-tabPontoPed[ATA MENSAL] = 0,"sim","")</f>
        <v/>
      </c>
      <c r="AB361" s="79"/>
      <c r="AC361" s="47" t="str">
        <f t="shared" si="5"/>
        <v>*</v>
      </c>
    </row>
    <row r="362" spans="1:29" x14ac:dyDescent="0.25">
      <c r="A362" s="36">
        <v>134569</v>
      </c>
      <c r="B362" s="68" t="s">
        <v>970</v>
      </c>
      <c r="C362" s="33" t="s">
        <v>1317</v>
      </c>
      <c r="D362" s="32">
        <v>78</v>
      </c>
      <c r="E362" s="37">
        <v>2</v>
      </c>
      <c r="F362" s="38" t="str">
        <f>VLOOKUP(tabPontoPed[[#This Row],[GRUPO]],tabGrupos[#Data],2,FALSE)</f>
        <v>MOBILIARIO E COFRE</v>
      </c>
      <c r="G362" s="32" t="str">
        <f>VLOOKUP(tabPontoPed[[#This Row],[GRUPO]],tabGrupos[#Data],3,FALSE)</f>
        <v>ADM</v>
      </c>
      <c r="H362" s="33" t="s">
        <v>1311</v>
      </c>
      <c r="I362" s="80">
        <v>4</v>
      </c>
      <c r="J362" s="39">
        <v>8</v>
      </c>
      <c r="K362" s="41">
        <f>tabPontoPed[[#This Row],[QTDMÊS]] * tabPontoPed[[#This Row],[MENSAL]]</f>
        <v>32</v>
      </c>
      <c r="L362" s="83"/>
      <c r="M362" s="81"/>
      <c r="N362" s="34" t="s">
        <v>1009</v>
      </c>
      <c r="O362" s="76"/>
      <c r="P362" s="77">
        <v>0</v>
      </c>
      <c r="Q362" s="57">
        <v>5</v>
      </c>
      <c r="R362" s="42">
        <v>4</v>
      </c>
      <c r="S362" s="69" t="str">
        <f>_xlfn.IFNA(IF(VLOOKUP(tabPontoPed[[#This Row],[CÓDIGO]],tabExcluirDoEstoque[#Data],1,FALSE),"sim",""),"")</f>
        <v/>
      </c>
      <c r="T362" s="43">
        <f>IF(AND(tabPontoPed[[#This Row],[MENSAL]]&gt;0,tabPontoPed[[#This Row],[CÁLCULO]]&gt;0), ABS( tabPontoPed[[#This Row],[MENSAL]] - tabPontoPed[[#This Row],[CÁLCULO]] ) / tabPontoPed[[#This Row],[MENSAL]], -1 )</f>
        <v>0.5</v>
      </c>
      <c r="U362" s="58">
        <v>20</v>
      </c>
      <c r="V362" s="35">
        <f>IF(AND(tabPontoPed[[#This Row],[MENSAL]]&gt;0,tabPontoPed[[#This Row],[CÁLCULO]]&gt;0), IF( tabPontoPed[[#This Row],[MENSAL]] - tabPontoPed[[#This Row],[CÁLCULO]] &lt; 0, -1, IF( tabPontoPed[[#This Row],[MENSAL]] - tabPontoPed[[#This Row],[CÁLCULO]] &gt; 0, 1, -8)), -9 )</f>
        <v>1</v>
      </c>
      <c r="W362" s="35"/>
      <c r="X362" s="49" t="s">
        <v>1564</v>
      </c>
      <c r="Y362" s="51">
        <v>44391.599108796298</v>
      </c>
      <c r="Z362" s="72">
        <f>tabPontoPed[CÁLC_4M] - tabPontoPed[CÁLCULO]</f>
        <v>1</v>
      </c>
      <c r="AA362" s="79" t="str">
        <f>IF(tabPontoPed[MENSAL]-tabPontoPed[ATA MENSAL] = 0,"sim","")</f>
        <v/>
      </c>
      <c r="AB362" s="79"/>
      <c r="AC362" s="47" t="str">
        <f t="shared" si="5"/>
        <v>*</v>
      </c>
    </row>
    <row r="363" spans="1:29" x14ac:dyDescent="0.25">
      <c r="A363" s="36">
        <v>20167</v>
      </c>
      <c r="B363" s="68" t="s">
        <v>974</v>
      </c>
      <c r="C363" s="33" t="s">
        <v>1317</v>
      </c>
      <c r="D363" s="32">
        <v>79</v>
      </c>
      <c r="E363" s="37">
        <v>5</v>
      </c>
      <c r="F363" s="38" t="str">
        <f>VLOOKUP(tabPontoPed[[#This Row],[GRUPO]],tabGrupos[#Data],2,FALSE)</f>
        <v>ART. DOMEST. DECO. GUARNI. DE AMBI.TECI. VEICULOS</v>
      </c>
      <c r="G363" s="32" t="str">
        <f>VLOOKUP(tabPontoPed[[#This Row],[GRUPO]],tabGrupos[#Data],3,FALSE)</f>
        <v>ADM</v>
      </c>
      <c r="H363" s="33" t="s">
        <v>1311</v>
      </c>
      <c r="I363" s="80">
        <v>4</v>
      </c>
      <c r="J363" s="39">
        <v>2</v>
      </c>
      <c r="K363" s="41">
        <f>tabPontoPed[[#This Row],[QTDMÊS]] * tabPontoPed[[#This Row],[MENSAL]]</f>
        <v>8</v>
      </c>
      <c r="L363" s="83"/>
      <c r="M363" s="81"/>
      <c r="N363" s="34" t="s">
        <v>1009</v>
      </c>
      <c r="O363" s="76"/>
      <c r="P363" s="77">
        <v>0</v>
      </c>
      <c r="Q363" s="57">
        <v>2</v>
      </c>
      <c r="R363" s="42">
        <v>1</v>
      </c>
      <c r="S363" s="69" t="str">
        <f>_xlfn.IFNA(IF(VLOOKUP(tabPontoPed[[#This Row],[CÓDIGO]],tabExcluirDoEstoque[#Data],1,FALSE),"sim",""),"")</f>
        <v/>
      </c>
      <c r="T363" s="43">
        <f>IF(AND(tabPontoPed[[#This Row],[MENSAL]]&gt;0,tabPontoPed[[#This Row],[CÁLCULO]]&gt;0), ABS( tabPontoPed[[#This Row],[MENSAL]] - tabPontoPed[[#This Row],[CÁLCULO]] ) / tabPontoPed[[#This Row],[MENSAL]], -1 )</f>
        <v>0.5</v>
      </c>
      <c r="U363" s="58">
        <v>3</v>
      </c>
      <c r="V363" s="35">
        <f>IF(AND(tabPontoPed[[#This Row],[MENSAL]]&gt;0,tabPontoPed[[#This Row],[CÁLCULO]]&gt;0), IF( tabPontoPed[[#This Row],[MENSAL]] - tabPontoPed[[#This Row],[CÁLCULO]] &lt; 0, -1, IF( tabPontoPed[[#This Row],[MENSAL]] - tabPontoPed[[#This Row],[CÁLCULO]] &gt; 0, 1, -8)), -9 )</f>
        <v>1</v>
      </c>
      <c r="W363" s="35"/>
      <c r="X363" s="49" t="s">
        <v>1564</v>
      </c>
      <c r="Y363" s="51">
        <v>44391.599108796298</v>
      </c>
      <c r="Z363" s="72">
        <f>tabPontoPed[CÁLC_4M] - tabPontoPed[CÁLCULO]</f>
        <v>1</v>
      </c>
      <c r="AA363" s="79" t="str">
        <f>IF(tabPontoPed[MENSAL]-tabPontoPed[ATA MENSAL] = 0,"sim","")</f>
        <v/>
      </c>
      <c r="AB363" s="79"/>
      <c r="AC363" s="47" t="str">
        <f t="shared" si="5"/>
        <v>*</v>
      </c>
    </row>
    <row r="364" spans="1:29" x14ac:dyDescent="0.25">
      <c r="A364" s="36">
        <v>19883</v>
      </c>
      <c r="B364" s="68" t="s">
        <v>906</v>
      </c>
      <c r="C364" s="33" t="s">
        <v>1317</v>
      </c>
      <c r="D364" s="32">
        <v>70</v>
      </c>
      <c r="E364" s="37">
        <v>31</v>
      </c>
      <c r="F364" s="38" t="str">
        <f>VLOOKUP(tabPontoPed[[#This Row],[GRUPO]],tabGrupos[#Data],2,FALSE)</f>
        <v>FERRAMENTAS MAQ.FERRAMENTAS,ELETR.PECAS E ACESSORI</v>
      </c>
      <c r="G364" s="32" t="str">
        <f>VLOOKUP(tabPontoPed[[#This Row],[GRUPO]],tabGrupos[#Data],3,FALSE)</f>
        <v>MAN</v>
      </c>
      <c r="H364" s="33" t="s">
        <v>1311</v>
      </c>
      <c r="I364" s="80">
        <v>4</v>
      </c>
      <c r="J364" s="39">
        <v>4</v>
      </c>
      <c r="K364" s="41">
        <f>tabPontoPed[[#This Row],[QTDMÊS]] * tabPontoPed[[#This Row],[MENSAL]]</f>
        <v>16</v>
      </c>
      <c r="L364" s="83"/>
      <c r="M364" s="81"/>
      <c r="N364" s="34" t="s">
        <v>1009</v>
      </c>
      <c r="O364" s="76"/>
      <c r="P364" s="77">
        <v>0</v>
      </c>
      <c r="Q364" s="57">
        <v>5</v>
      </c>
      <c r="R364" s="42">
        <v>6</v>
      </c>
      <c r="S364" s="69" t="str">
        <f>_xlfn.IFNA(IF(VLOOKUP(tabPontoPed[[#This Row],[CÓDIGO]],tabExcluirDoEstoque[#Data],1,FALSE),"sim",""),"")</f>
        <v/>
      </c>
      <c r="T364" s="43">
        <f>IF(AND(tabPontoPed[[#This Row],[MENSAL]]&gt;0,tabPontoPed[[#This Row],[CÁLCULO]]&gt;0), ABS( tabPontoPed[[#This Row],[MENSAL]] - tabPontoPed[[#This Row],[CÁLCULO]] ) / tabPontoPed[[#This Row],[MENSAL]], -1 )</f>
        <v>0.5</v>
      </c>
      <c r="U364" s="58">
        <v>16</v>
      </c>
      <c r="V364" s="35">
        <f>IF(AND(tabPontoPed[[#This Row],[MENSAL]]&gt;0,tabPontoPed[[#This Row],[CÁLCULO]]&gt;0), IF( tabPontoPed[[#This Row],[MENSAL]] - tabPontoPed[[#This Row],[CÁLCULO]] &lt; 0, -1, IF( tabPontoPed[[#This Row],[MENSAL]] - tabPontoPed[[#This Row],[CÁLCULO]] &gt; 0, 1, -8)), -9 )</f>
        <v>-1</v>
      </c>
      <c r="W364" s="35"/>
      <c r="X364" s="49" t="s">
        <v>1564</v>
      </c>
      <c r="Y364" s="51">
        <v>44391.599108796298</v>
      </c>
      <c r="Z364" s="72">
        <f>tabPontoPed[CÁLC_4M] - tabPontoPed[CÁLCULO]</f>
        <v>-1</v>
      </c>
      <c r="AA364" s="79" t="str">
        <f>IF(tabPontoPed[MENSAL]-tabPontoPed[ATA MENSAL] = 0,"sim","")</f>
        <v/>
      </c>
      <c r="AB364" s="79"/>
      <c r="AC364" s="47" t="str">
        <f t="shared" si="5"/>
        <v>*</v>
      </c>
    </row>
    <row r="365" spans="1:29" x14ac:dyDescent="0.25">
      <c r="A365" s="36">
        <v>98359</v>
      </c>
      <c r="B365" s="68" t="s">
        <v>398</v>
      </c>
      <c r="C365" s="33" t="s">
        <v>1317</v>
      </c>
      <c r="D365" s="32">
        <v>70</v>
      </c>
      <c r="E365" s="37">
        <v>47</v>
      </c>
      <c r="F365" s="38" t="str">
        <f>VLOOKUP(tabPontoPed[[#This Row],[GRUPO]],tabGrupos[#Data],2,FALSE)</f>
        <v>FERRAMENTAS MAQ.FERRAMENTAS,ELETR.PECAS E ACESSORI</v>
      </c>
      <c r="G365" s="32" t="str">
        <f>VLOOKUP(tabPontoPed[[#This Row],[GRUPO]],tabGrupos[#Data],3,FALSE)</f>
        <v>MAN</v>
      </c>
      <c r="H365" s="33" t="s">
        <v>1311</v>
      </c>
      <c r="I365" s="80">
        <v>4</v>
      </c>
      <c r="J365" s="39">
        <v>10</v>
      </c>
      <c r="K365" s="41">
        <f>tabPontoPed[[#This Row],[QTDMÊS]] * tabPontoPed[[#This Row],[MENSAL]]</f>
        <v>40</v>
      </c>
      <c r="L365" s="83"/>
      <c r="M365" s="81"/>
      <c r="N365" s="34" t="s">
        <v>1009</v>
      </c>
      <c r="O365" s="76" t="s">
        <v>1697</v>
      </c>
      <c r="P365" s="77">
        <v>0</v>
      </c>
      <c r="Q365" s="57">
        <v>5</v>
      </c>
      <c r="R365" s="42">
        <v>5</v>
      </c>
      <c r="S365" s="69" t="str">
        <f>_xlfn.IFNA(IF(VLOOKUP(tabPontoPed[[#This Row],[CÓDIGO]],tabExcluirDoEstoque[#Data],1,FALSE),"sim",""),"")</f>
        <v/>
      </c>
      <c r="T365" s="43">
        <f>IF(AND(tabPontoPed[[#This Row],[MENSAL]]&gt;0,tabPontoPed[[#This Row],[CÁLCULO]]&gt;0), ABS( tabPontoPed[[#This Row],[MENSAL]] - tabPontoPed[[#This Row],[CÁLCULO]] ) / tabPontoPed[[#This Row],[MENSAL]], -1 )</f>
        <v>0.5</v>
      </c>
      <c r="U365" s="58">
        <v>20</v>
      </c>
      <c r="V365" s="35">
        <f>IF(AND(tabPontoPed[[#This Row],[MENSAL]]&gt;0,tabPontoPed[[#This Row],[CÁLCULO]]&gt;0), IF( tabPontoPed[[#This Row],[MENSAL]] - tabPontoPed[[#This Row],[CÁLCULO]] &lt; 0, -1, IF( tabPontoPed[[#This Row],[MENSAL]] - tabPontoPed[[#This Row],[CÁLCULO]] &gt; 0, 1, -8)), -9 )</f>
        <v>1</v>
      </c>
      <c r="W365" s="35"/>
      <c r="X365" s="49" t="s">
        <v>1564</v>
      </c>
      <c r="Y365" s="51">
        <v>44391.599108796298</v>
      </c>
      <c r="Z365" s="72">
        <f>tabPontoPed[CÁLC_4M] - tabPontoPed[CÁLCULO]</f>
        <v>0</v>
      </c>
      <c r="AA365" s="79" t="str">
        <f>IF(tabPontoPed[MENSAL]-tabPontoPed[ATA MENSAL] = 0,"sim","")</f>
        <v/>
      </c>
      <c r="AB365" s="79"/>
      <c r="AC365" s="47" t="str">
        <f t="shared" si="5"/>
        <v>*</v>
      </c>
    </row>
    <row r="366" spans="1:29" x14ac:dyDescent="0.25">
      <c r="A366" s="36">
        <v>24551</v>
      </c>
      <c r="B366" s="68" t="s">
        <v>982</v>
      </c>
      <c r="C366" s="33" t="s">
        <v>1317</v>
      </c>
      <c r="D366" s="32">
        <v>83</v>
      </c>
      <c r="E366" s="37">
        <v>3</v>
      </c>
      <c r="F366" s="38" t="str">
        <f>VLOOKUP(tabPontoPed[[#This Row],[GRUPO]],tabGrupos[#Data],2,FALSE)</f>
        <v>ABRASIVOS</v>
      </c>
      <c r="G366" s="32" t="str">
        <f>VLOOKUP(tabPontoPed[[#This Row],[GRUPO]],tabGrupos[#Data],3,FALSE)</f>
        <v>MAN</v>
      </c>
      <c r="H366" s="33" t="s">
        <v>1311</v>
      </c>
      <c r="I366" s="80">
        <v>4</v>
      </c>
      <c r="J366" s="39">
        <v>4</v>
      </c>
      <c r="K366" s="41">
        <f>tabPontoPed[[#This Row],[QTDMÊS]] * tabPontoPed[[#This Row],[MENSAL]]</f>
        <v>16</v>
      </c>
      <c r="L366" s="83"/>
      <c r="M366" s="81"/>
      <c r="N366" s="34" t="s">
        <v>1009</v>
      </c>
      <c r="O366" s="76"/>
      <c r="P366" s="77">
        <v>0</v>
      </c>
      <c r="Q366" s="57">
        <v>0</v>
      </c>
      <c r="R366" s="42">
        <v>2</v>
      </c>
      <c r="S366" s="69" t="str">
        <f>_xlfn.IFNA(IF(VLOOKUP(tabPontoPed[[#This Row],[CÓDIGO]],tabExcluirDoEstoque[#Data],1,FALSE),"sim",""),"")</f>
        <v/>
      </c>
      <c r="T366" s="43">
        <f>IF(AND(tabPontoPed[[#This Row],[MENSAL]]&gt;0,tabPontoPed[[#This Row],[CÁLCULO]]&gt;0), ABS( tabPontoPed[[#This Row],[MENSAL]] - tabPontoPed[[#This Row],[CÁLCULO]] ) / tabPontoPed[[#This Row],[MENSAL]], -1 )</f>
        <v>0.5</v>
      </c>
      <c r="U366" s="58">
        <v>10</v>
      </c>
      <c r="V366" s="35">
        <f>IF(AND(tabPontoPed[[#This Row],[MENSAL]]&gt;0,tabPontoPed[[#This Row],[CÁLCULO]]&gt;0), IF( tabPontoPed[[#This Row],[MENSAL]] - tabPontoPed[[#This Row],[CÁLCULO]] &lt; 0, -1, IF( tabPontoPed[[#This Row],[MENSAL]] - tabPontoPed[[#This Row],[CÁLCULO]] &gt; 0, 1, -8)), -9 )</f>
        <v>1</v>
      </c>
      <c r="W366" s="35"/>
      <c r="X366" s="49" t="s">
        <v>1564</v>
      </c>
      <c r="Y366" s="51">
        <v>44391.599108796298</v>
      </c>
      <c r="Z366" s="72">
        <f>tabPontoPed[CÁLC_4M] - tabPontoPed[CÁLCULO]</f>
        <v>-2</v>
      </c>
      <c r="AA366" s="79" t="str">
        <f>IF(tabPontoPed[MENSAL]-tabPontoPed[ATA MENSAL] = 0,"sim","")</f>
        <v/>
      </c>
      <c r="AB366" s="79"/>
      <c r="AC366" s="47" t="str">
        <f t="shared" si="5"/>
        <v>*</v>
      </c>
    </row>
    <row r="367" spans="1:29" x14ac:dyDescent="0.25">
      <c r="A367" s="36">
        <v>40251</v>
      </c>
      <c r="B367" s="68" t="s">
        <v>987</v>
      </c>
      <c r="C367" s="33" t="s">
        <v>1317</v>
      </c>
      <c r="D367" s="32">
        <v>83</v>
      </c>
      <c r="E367" s="37">
        <v>4</v>
      </c>
      <c r="F367" s="38" t="str">
        <f>VLOOKUP(tabPontoPed[[#This Row],[GRUPO]],tabGrupos[#Data],2,FALSE)</f>
        <v>ABRASIVOS</v>
      </c>
      <c r="G367" s="32" t="str">
        <f>VLOOKUP(tabPontoPed[[#This Row],[GRUPO]],tabGrupos[#Data],3,FALSE)</f>
        <v>MAN</v>
      </c>
      <c r="H367" s="33" t="s">
        <v>1311</v>
      </c>
      <c r="I367" s="80">
        <v>4</v>
      </c>
      <c r="J367" s="39">
        <v>50</v>
      </c>
      <c r="K367" s="41">
        <f>tabPontoPed[[#This Row],[QTDMÊS]] * tabPontoPed[[#This Row],[MENSAL]]</f>
        <v>200</v>
      </c>
      <c r="L367" s="83"/>
      <c r="M367" s="81"/>
      <c r="N367" s="34" t="s">
        <v>1009</v>
      </c>
      <c r="O367" s="76" t="s">
        <v>1699</v>
      </c>
      <c r="P367" s="77">
        <v>0</v>
      </c>
      <c r="Q367" s="57">
        <v>33</v>
      </c>
      <c r="R367" s="42">
        <v>25</v>
      </c>
      <c r="S367" s="69" t="str">
        <f>_xlfn.IFNA(IF(VLOOKUP(tabPontoPed[[#This Row],[CÓDIGO]],tabExcluirDoEstoque[#Data],1,FALSE),"sim",""),"")</f>
        <v/>
      </c>
      <c r="T367" s="43">
        <f>IF(AND(tabPontoPed[[#This Row],[MENSAL]]&gt;0,tabPontoPed[[#This Row],[CÁLCULO]]&gt;0), ABS( tabPontoPed[[#This Row],[MENSAL]] - tabPontoPed[[#This Row],[CÁLCULO]] ) / tabPontoPed[[#This Row],[MENSAL]], -1 )</f>
        <v>0.5</v>
      </c>
      <c r="U367" s="58">
        <v>51</v>
      </c>
      <c r="V367" s="35">
        <f>IF(AND(tabPontoPed[[#This Row],[MENSAL]]&gt;0,tabPontoPed[[#This Row],[CÁLCULO]]&gt;0), IF( tabPontoPed[[#This Row],[MENSAL]] - tabPontoPed[[#This Row],[CÁLCULO]] &lt; 0, -1, IF( tabPontoPed[[#This Row],[MENSAL]] - tabPontoPed[[#This Row],[CÁLCULO]] &gt; 0, 1, -8)), -9 )</f>
        <v>1</v>
      </c>
      <c r="W367" s="35"/>
      <c r="X367" s="49" t="s">
        <v>1564</v>
      </c>
      <c r="Y367" s="51">
        <v>44391.599108796298</v>
      </c>
      <c r="Z367" s="72">
        <f>tabPontoPed[CÁLC_4M] - tabPontoPed[CÁLCULO]</f>
        <v>8</v>
      </c>
      <c r="AA367" s="79" t="str">
        <f>IF(tabPontoPed[MENSAL]-tabPontoPed[ATA MENSAL] = 0,"sim","")</f>
        <v/>
      </c>
      <c r="AB367" s="79" t="s">
        <v>1614</v>
      </c>
      <c r="AC367" s="47" t="str">
        <f t="shared" si="5"/>
        <v>*</v>
      </c>
    </row>
    <row r="368" spans="1:29" x14ac:dyDescent="0.25">
      <c r="A368" s="36">
        <v>14001</v>
      </c>
      <c r="B368" s="68" t="s">
        <v>495</v>
      </c>
      <c r="C368" s="33" t="s">
        <v>1317</v>
      </c>
      <c r="D368" s="32">
        <v>51</v>
      </c>
      <c r="E368" s="37">
        <v>3</v>
      </c>
      <c r="F368" s="38" t="str">
        <f>VLOOKUP(tabPontoPed[[#This Row],[GRUPO]],tabGrupos[#Data],2,FALSE)</f>
        <v>MAT.E EQUIP. P/ CONSTR.CIVIL E CONSERV. DE VIAS PUBL.</v>
      </c>
      <c r="G368" s="32" t="str">
        <f>VLOOKUP(tabPontoPed[[#This Row],[GRUPO]],tabGrupos[#Data],3,FALSE)</f>
        <v>MCO</v>
      </c>
      <c r="H368" s="33" t="s">
        <v>1311</v>
      </c>
      <c r="I368" s="80">
        <v>4</v>
      </c>
      <c r="J368" s="39">
        <v>18</v>
      </c>
      <c r="K368" s="41">
        <f>tabPontoPed[[#This Row],[QTDMÊS]] * tabPontoPed[[#This Row],[MENSAL]]</f>
        <v>72</v>
      </c>
      <c r="L368" s="83"/>
      <c r="M368" s="81"/>
      <c r="N368" s="34" t="s">
        <v>1009</v>
      </c>
      <c r="O368" s="76" t="s">
        <v>1689</v>
      </c>
      <c r="P368" s="77">
        <v>0</v>
      </c>
      <c r="Q368" s="57">
        <v>17</v>
      </c>
      <c r="R368" s="42">
        <v>27</v>
      </c>
      <c r="S368" s="69" t="str">
        <f>_xlfn.IFNA(IF(VLOOKUP(tabPontoPed[[#This Row],[CÓDIGO]],tabExcluirDoEstoque[#Data],1,FALSE),"sim",""),"")</f>
        <v/>
      </c>
      <c r="T368" s="43">
        <f>IF(AND(tabPontoPed[[#This Row],[MENSAL]]&gt;0,tabPontoPed[[#This Row],[CÁLCULO]]&gt;0), ABS( tabPontoPed[[#This Row],[MENSAL]] - tabPontoPed[[#This Row],[CÁLCULO]] ) / tabPontoPed[[#This Row],[MENSAL]], -1 )</f>
        <v>0.5</v>
      </c>
      <c r="U368" s="58">
        <v>69</v>
      </c>
      <c r="V368" s="35">
        <f>IF(AND(tabPontoPed[[#This Row],[MENSAL]]&gt;0,tabPontoPed[[#This Row],[CÁLCULO]]&gt;0), IF( tabPontoPed[[#This Row],[MENSAL]] - tabPontoPed[[#This Row],[CÁLCULO]] &lt; 0, -1, IF( tabPontoPed[[#This Row],[MENSAL]] - tabPontoPed[[#This Row],[CÁLCULO]] &gt; 0, 1, -8)), -9 )</f>
        <v>-1</v>
      </c>
      <c r="W368" s="35"/>
      <c r="X368" s="49" t="s">
        <v>1564</v>
      </c>
      <c r="Y368" s="51">
        <v>44391.599108796298</v>
      </c>
      <c r="Z368" s="72">
        <f>tabPontoPed[CÁLC_4M] - tabPontoPed[CÁLCULO]</f>
        <v>-10</v>
      </c>
      <c r="AA368" s="79" t="str">
        <f>IF(tabPontoPed[MENSAL]-tabPontoPed[ATA MENSAL] = 0,"sim","")</f>
        <v/>
      </c>
      <c r="AB368" s="79"/>
      <c r="AC368" s="47" t="str">
        <f t="shared" si="5"/>
        <v>*</v>
      </c>
    </row>
    <row r="369" spans="1:29" x14ac:dyDescent="0.25">
      <c r="A369" s="36">
        <v>63382</v>
      </c>
      <c r="B369" s="68" t="s">
        <v>550</v>
      </c>
      <c r="C369" s="33" t="s">
        <v>1317</v>
      </c>
      <c r="D369" s="32">
        <v>51</v>
      </c>
      <c r="E369" s="37">
        <v>33</v>
      </c>
      <c r="F369" s="38" t="str">
        <f>VLOOKUP(tabPontoPed[[#This Row],[GRUPO]],tabGrupos[#Data],2,FALSE)</f>
        <v>MAT.E EQUIP. P/ CONSTR.CIVIL E CONSERV. DE VIAS PUBL.</v>
      </c>
      <c r="G369" s="32" t="str">
        <f>VLOOKUP(tabPontoPed[[#This Row],[GRUPO]],tabGrupos[#Data],3,FALSE)</f>
        <v>MCO</v>
      </c>
      <c r="H369" s="33" t="s">
        <v>1311</v>
      </c>
      <c r="I369" s="80">
        <v>4</v>
      </c>
      <c r="J369" s="39">
        <v>2</v>
      </c>
      <c r="K369" s="41">
        <f>tabPontoPed[[#This Row],[QTDMÊS]] * tabPontoPed[[#This Row],[MENSAL]]</f>
        <v>8</v>
      </c>
      <c r="L369" s="83"/>
      <c r="M369" s="81"/>
      <c r="N369" s="34" t="s">
        <v>1009</v>
      </c>
      <c r="O369" s="76" t="s">
        <v>1688</v>
      </c>
      <c r="P369" s="77">
        <v>0</v>
      </c>
      <c r="Q369" s="57">
        <v>1</v>
      </c>
      <c r="R369" s="42">
        <v>3</v>
      </c>
      <c r="S369" s="69" t="str">
        <f>_xlfn.IFNA(IF(VLOOKUP(tabPontoPed[[#This Row],[CÓDIGO]],tabExcluirDoEstoque[#Data],1,FALSE),"sim",""),"")</f>
        <v/>
      </c>
      <c r="T369" s="43">
        <f>IF(AND(tabPontoPed[[#This Row],[MENSAL]]&gt;0,tabPontoPed[[#This Row],[CÁLCULO]]&gt;0), ABS( tabPontoPed[[#This Row],[MENSAL]] - tabPontoPed[[#This Row],[CÁLCULO]] ) / tabPontoPed[[#This Row],[MENSAL]], -1 )</f>
        <v>0.5</v>
      </c>
      <c r="U369" s="58">
        <v>10</v>
      </c>
      <c r="V369" s="35">
        <f>IF(AND(tabPontoPed[[#This Row],[MENSAL]]&gt;0,tabPontoPed[[#This Row],[CÁLCULO]]&gt;0), IF( tabPontoPed[[#This Row],[MENSAL]] - tabPontoPed[[#This Row],[CÁLCULO]] &lt; 0, -1, IF( tabPontoPed[[#This Row],[MENSAL]] - tabPontoPed[[#This Row],[CÁLCULO]] &gt; 0, 1, -8)), -9 )</f>
        <v>-1</v>
      </c>
      <c r="W369" s="35"/>
      <c r="X369" s="49" t="s">
        <v>1564</v>
      </c>
      <c r="Y369" s="51">
        <v>44391.599108796298</v>
      </c>
      <c r="Z369" s="72">
        <f>tabPontoPed[CÁLC_4M] - tabPontoPed[CÁLCULO]</f>
        <v>-2</v>
      </c>
      <c r="AA369" s="79" t="str">
        <f>IF(tabPontoPed[MENSAL]-tabPontoPed[ATA MENSAL] = 0,"sim","")</f>
        <v/>
      </c>
      <c r="AB369" s="79"/>
      <c r="AC369" s="47" t="str">
        <f t="shared" si="5"/>
        <v>*</v>
      </c>
    </row>
    <row r="370" spans="1:29" x14ac:dyDescent="0.25">
      <c r="A370" s="36">
        <v>88735</v>
      </c>
      <c r="B370" s="68" t="s">
        <v>348</v>
      </c>
      <c r="C370" s="33" t="s">
        <v>1317</v>
      </c>
      <c r="D370" s="32">
        <v>55</v>
      </c>
      <c r="E370" s="37">
        <v>26</v>
      </c>
      <c r="F370" s="38" t="str">
        <f>VLOOKUP(tabPontoPed[[#This Row],[GRUPO]],tabGrupos[#Data],2,FALSE)</f>
        <v>EQUIP. MAT. P/ GERACAO, TRANSM. DISTR. RETIF...</v>
      </c>
      <c r="G370" s="32" t="str">
        <f>VLOOKUP(tabPontoPed[[#This Row],[GRUPO]],tabGrupos[#Data],3,FALSE)</f>
        <v>MEL</v>
      </c>
      <c r="H370" s="33" t="s">
        <v>1311</v>
      </c>
      <c r="I370" s="80">
        <v>4</v>
      </c>
      <c r="J370" s="39">
        <v>4</v>
      </c>
      <c r="K370" s="41">
        <f>tabPontoPed[[#This Row],[QTDMÊS]] * tabPontoPed[[#This Row],[MENSAL]]</f>
        <v>16</v>
      </c>
      <c r="L370" s="83"/>
      <c r="M370" s="81"/>
      <c r="N370" s="34" t="s">
        <v>1009</v>
      </c>
      <c r="O370" s="76" t="s">
        <v>1670</v>
      </c>
      <c r="P370" s="77">
        <v>0</v>
      </c>
      <c r="Q370" s="57">
        <v>1</v>
      </c>
      <c r="R370" s="42">
        <v>2</v>
      </c>
      <c r="S370" s="69" t="str">
        <f>_xlfn.IFNA(IF(VLOOKUP(tabPontoPed[[#This Row],[CÓDIGO]],tabExcluirDoEstoque[#Data],1,FALSE),"sim",""),"")</f>
        <v/>
      </c>
      <c r="T370" s="43">
        <f>IF(AND(tabPontoPed[[#This Row],[MENSAL]]&gt;0,tabPontoPed[[#This Row],[CÁLCULO]]&gt;0), ABS( tabPontoPed[[#This Row],[MENSAL]] - tabPontoPed[[#This Row],[CÁLCULO]] ) / tabPontoPed[[#This Row],[MENSAL]], -1 )</f>
        <v>0.5</v>
      </c>
      <c r="U370" s="58">
        <v>4</v>
      </c>
      <c r="V370" s="35">
        <f>IF(AND(tabPontoPed[[#This Row],[MENSAL]]&gt;0,tabPontoPed[[#This Row],[CÁLCULO]]&gt;0), IF( tabPontoPed[[#This Row],[MENSAL]] - tabPontoPed[[#This Row],[CÁLCULO]] &lt; 0, -1, IF( tabPontoPed[[#This Row],[MENSAL]] - tabPontoPed[[#This Row],[CÁLCULO]] &gt; 0, 1, -8)), -9 )</f>
        <v>1</v>
      </c>
      <c r="W370" s="35"/>
      <c r="X370" s="49" t="s">
        <v>1564</v>
      </c>
      <c r="Y370" s="51">
        <v>44391.599108796298</v>
      </c>
      <c r="Z370" s="72">
        <f>tabPontoPed[CÁLC_4M] - tabPontoPed[CÁLCULO]</f>
        <v>-1</v>
      </c>
      <c r="AA370" s="79" t="str">
        <f>IF(tabPontoPed[MENSAL]-tabPontoPed[ATA MENSAL] = 0,"sim","")</f>
        <v/>
      </c>
      <c r="AB370" s="79"/>
      <c r="AC370" s="47" t="str">
        <f t="shared" si="5"/>
        <v>*</v>
      </c>
    </row>
    <row r="371" spans="1:29" x14ac:dyDescent="0.25">
      <c r="A371" s="36">
        <v>117734</v>
      </c>
      <c r="B371" s="68" t="s">
        <v>645</v>
      </c>
      <c r="C371" s="33" t="s">
        <v>1317</v>
      </c>
      <c r="D371" s="32">
        <v>55</v>
      </c>
      <c r="E371" s="37">
        <v>31</v>
      </c>
      <c r="F371" s="38" t="str">
        <f>VLOOKUP(tabPontoPed[[#This Row],[GRUPO]],tabGrupos[#Data],2,FALSE)</f>
        <v>EQUIP. MAT. P/ GERACAO, TRANSM. DISTR. RETIF...</v>
      </c>
      <c r="G371" s="32" t="str">
        <f>VLOOKUP(tabPontoPed[[#This Row],[GRUPO]],tabGrupos[#Data],3,FALSE)</f>
        <v>MEL</v>
      </c>
      <c r="H371" s="33" t="s">
        <v>1311</v>
      </c>
      <c r="I371" s="80">
        <v>4</v>
      </c>
      <c r="J371" s="39">
        <v>2</v>
      </c>
      <c r="K371" s="41">
        <f>tabPontoPed[[#This Row],[QTDMÊS]] * tabPontoPed[[#This Row],[MENSAL]]</f>
        <v>8</v>
      </c>
      <c r="L371" s="83"/>
      <c r="M371" s="81"/>
      <c r="N371" s="34" t="s">
        <v>1009</v>
      </c>
      <c r="O371" s="76"/>
      <c r="P371" s="77">
        <v>0</v>
      </c>
      <c r="Q371" s="57">
        <v>0</v>
      </c>
      <c r="R371" s="42">
        <v>1</v>
      </c>
      <c r="S371" s="69" t="str">
        <f>_xlfn.IFNA(IF(VLOOKUP(tabPontoPed[[#This Row],[CÓDIGO]],tabExcluirDoEstoque[#Data],1,FALSE),"sim",""),"")</f>
        <v/>
      </c>
      <c r="T371" s="43">
        <f>IF(AND(tabPontoPed[[#This Row],[MENSAL]]&gt;0,tabPontoPed[[#This Row],[CÁLCULO]]&gt;0), ABS( tabPontoPed[[#This Row],[MENSAL]] - tabPontoPed[[#This Row],[CÁLCULO]] ) / tabPontoPed[[#This Row],[MENSAL]], -1 )</f>
        <v>0.5</v>
      </c>
      <c r="U371" s="58">
        <v>2</v>
      </c>
      <c r="V371" s="35">
        <f>IF(AND(tabPontoPed[[#This Row],[MENSAL]]&gt;0,tabPontoPed[[#This Row],[CÁLCULO]]&gt;0), IF( tabPontoPed[[#This Row],[MENSAL]] - tabPontoPed[[#This Row],[CÁLCULO]] &lt; 0, -1, IF( tabPontoPed[[#This Row],[MENSAL]] - tabPontoPed[[#This Row],[CÁLCULO]] &gt; 0, 1, -8)), -9 )</f>
        <v>1</v>
      </c>
      <c r="W371" s="35"/>
      <c r="X371" s="48" t="s">
        <v>1564</v>
      </c>
      <c r="Y371" s="53">
        <v>44391.599108796298</v>
      </c>
      <c r="Z371" s="72">
        <f>tabPontoPed[CÁLC_4M] - tabPontoPed[CÁLCULO]</f>
        <v>-1</v>
      </c>
      <c r="AA371" s="79" t="str">
        <f>IF(tabPontoPed[MENSAL]-tabPontoPed[ATA MENSAL] = 0,"sim","")</f>
        <v/>
      </c>
      <c r="AB371" s="79"/>
      <c r="AC371" s="47" t="str">
        <f t="shared" si="5"/>
        <v>*</v>
      </c>
    </row>
    <row r="372" spans="1:29" x14ac:dyDescent="0.25">
      <c r="A372" s="36">
        <v>51222</v>
      </c>
      <c r="B372" s="68" t="s">
        <v>687</v>
      </c>
      <c r="C372" s="33" t="s">
        <v>1317</v>
      </c>
      <c r="D372" s="32">
        <v>55</v>
      </c>
      <c r="E372" s="37">
        <v>49</v>
      </c>
      <c r="F372" s="38" t="str">
        <f>VLOOKUP(tabPontoPed[[#This Row],[GRUPO]],tabGrupos[#Data],2,FALSE)</f>
        <v>EQUIP. MAT. P/ GERACAO, TRANSM. DISTR. RETIF...</v>
      </c>
      <c r="G372" s="32" t="str">
        <f>VLOOKUP(tabPontoPed[[#This Row],[GRUPO]],tabGrupos[#Data],3,FALSE)</f>
        <v>MEL</v>
      </c>
      <c r="H372" s="33" t="s">
        <v>1311</v>
      </c>
      <c r="I372" s="80">
        <v>4</v>
      </c>
      <c r="J372" s="39">
        <v>2</v>
      </c>
      <c r="K372" s="41">
        <f>tabPontoPed[[#This Row],[QTDMÊS]] * tabPontoPed[[#This Row],[MENSAL]]</f>
        <v>8</v>
      </c>
      <c r="L372" s="83"/>
      <c r="M372" s="81"/>
      <c r="N372" s="34" t="s">
        <v>1009</v>
      </c>
      <c r="O372" s="76"/>
      <c r="P372" s="77">
        <v>0</v>
      </c>
      <c r="Q372" s="57">
        <v>0</v>
      </c>
      <c r="R372" s="42">
        <v>1</v>
      </c>
      <c r="S372" s="69" t="str">
        <f>_xlfn.IFNA(IF(VLOOKUP(tabPontoPed[[#This Row],[CÓDIGO]],tabExcluirDoEstoque[#Data],1,FALSE),"sim",""),"")</f>
        <v/>
      </c>
      <c r="T372" s="43">
        <f>IF(AND(tabPontoPed[[#This Row],[MENSAL]]&gt;0,tabPontoPed[[#This Row],[CÁLCULO]]&gt;0), ABS( tabPontoPed[[#This Row],[MENSAL]] - tabPontoPed[[#This Row],[CÁLCULO]] ) / tabPontoPed[[#This Row],[MENSAL]], -1 )</f>
        <v>0.5</v>
      </c>
      <c r="U372" s="58">
        <v>4</v>
      </c>
      <c r="V372" s="35">
        <f>IF(AND(tabPontoPed[[#This Row],[MENSAL]]&gt;0,tabPontoPed[[#This Row],[CÁLCULO]]&gt;0), IF( tabPontoPed[[#This Row],[MENSAL]] - tabPontoPed[[#This Row],[CÁLCULO]] &lt; 0, -1, IF( tabPontoPed[[#This Row],[MENSAL]] - tabPontoPed[[#This Row],[CÁLCULO]] &gt; 0, 1, -8)), -9 )</f>
        <v>1</v>
      </c>
      <c r="W372" s="35"/>
      <c r="X372" s="49" t="s">
        <v>1564</v>
      </c>
      <c r="Y372" s="51">
        <v>44391.599108796298</v>
      </c>
      <c r="Z372" s="72">
        <f>tabPontoPed[CÁLC_4M] - tabPontoPed[CÁLCULO]</f>
        <v>-1</v>
      </c>
      <c r="AA372" s="79" t="str">
        <f>IF(tabPontoPed[MENSAL]-tabPontoPed[ATA MENSAL] = 0,"sim","")</f>
        <v/>
      </c>
      <c r="AB372" s="79"/>
      <c r="AC372" s="47" t="str">
        <f t="shared" si="5"/>
        <v>*</v>
      </c>
    </row>
    <row r="373" spans="1:29" x14ac:dyDescent="0.25">
      <c r="A373" s="36">
        <v>135088</v>
      </c>
      <c r="B373" s="68" t="s">
        <v>1467</v>
      </c>
      <c r="C373" s="33" t="s">
        <v>1317</v>
      </c>
      <c r="D373" s="32">
        <v>55</v>
      </c>
      <c r="E373" s="37">
        <v>66</v>
      </c>
      <c r="F373" s="38" t="str">
        <f>VLOOKUP(tabPontoPed[[#This Row],[GRUPO]],tabGrupos[#Data],2,FALSE)</f>
        <v>EQUIP. MAT. P/ GERACAO, TRANSM. DISTR. RETIF...</v>
      </c>
      <c r="G373" s="32" t="str">
        <f>VLOOKUP(tabPontoPed[[#This Row],[GRUPO]],tabGrupos[#Data],3,FALSE)</f>
        <v>MEL</v>
      </c>
      <c r="H373" s="33" t="s">
        <v>1311</v>
      </c>
      <c r="I373" s="80">
        <v>4</v>
      </c>
      <c r="J373" s="39">
        <v>40</v>
      </c>
      <c r="K373" s="41">
        <f>tabPontoPed[[#This Row],[QTDMÊS]] * tabPontoPed[[#This Row],[MENSAL]]</f>
        <v>160</v>
      </c>
      <c r="L373" s="83"/>
      <c r="M373" s="81"/>
      <c r="N373" s="34" t="s">
        <v>1009</v>
      </c>
      <c r="O373" s="76" t="s">
        <v>1733</v>
      </c>
      <c r="P373" s="77">
        <v>0</v>
      </c>
      <c r="Q373" s="57">
        <v>9</v>
      </c>
      <c r="R373" s="42">
        <v>60</v>
      </c>
      <c r="S373" s="69" t="str">
        <f>_xlfn.IFNA(IF(VLOOKUP(tabPontoPed[[#This Row],[CÓDIGO]],tabExcluirDoEstoque[#Data],1,FALSE),"sim",""),"")</f>
        <v/>
      </c>
      <c r="T373" s="43">
        <f>IF(AND(tabPontoPed[[#This Row],[MENSAL]]&gt;0,tabPontoPed[[#This Row],[CÁLCULO]]&gt;0), ABS( tabPontoPed[[#This Row],[MENSAL]] - tabPontoPed[[#This Row],[CÁLCULO]] ) / tabPontoPed[[#This Row],[MENSAL]], -1 )</f>
        <v>0.5</v>
      </c>
      <c r="U373" s="58">
        <v>456</v>
      </c>
      <c r="V373" s="47">
        <v>0</v>
      </c>
      <c r="W373" s="35"/>
      <c r="X373" s="49" t="s">
        <v>1564</v>
      </c>
      <c r="Y373" s="51">
        <v>44391.599108796298</v>
      </c>
      <c r="Z373" s="72">
        <f>tabPontoPed[CÁLC_4M] - tabPontoPed[CÁLCULO]</f>
        <v>-51</v>
      </c>
      <c r="AA373" s="79" t="str">
        <f>IF(tabPontoPed[MENSAL]-tabPontoPed[ATA MENSAL] = 0,"sim","")</f>
        <v/>
      </c>
      <c r="AB373" s="79"/>
      <c r="AC373" s="47" t="str">
        <f t="shared" si="5"/>
        <v>*</v>
      </c>
    </row>
    <row r="374" spans="1:29" x14ac:dyDescent="0.25">
      <c r="A374" s="36">
        <v>54018</v>
      </c>
      <c r="B374" s="68" t="s">
        <v>757</v>
      </c>
      <c r="C374" s="33" t="s">
        <v>1317</v>
      </c>
      <c r="D374" s="32">
        <v>61</v>
      </c>
      <c r="E374" s="37">
        <v>8</v>
      </c>
      <c r="F374" s="38" t="str">
        <f>VLOOKUP(tabPontoPed[[#This Row],[GRUPO]],tabGrupos[#Data],2,FALSE)</f>
        <v>MATERIAL HIDRAULICO, CANOS, TUBOS, MANGUEIRAS, CONEXOES E ACESS.</v>
      </c>
      <c r="G374" s="32" t="str">
        <f>VLOOKUP(tabPontoPed[[#This Row],[GRUPO]],tabGrupos[#Data],3,FALSE)</f>
        <v>MHI</v>
      </c>
      <c r="H374" s="33" t="s">
        <v>1311</v>
      </c>
      <c r="I374" s="80">
        <v>4</v>
      </c>
      <c r="J374" s="39">
        <v>2</v>
      </c>
      <c r="K374" s="41">
        <f>tabPontoPed[[#This Row],[QTDMÊS]] * tabPontoPed[[#This Row],[MENSAL]]</f>
        <v>8</v>
      </c>
      <c r="L374" s="83"/>
      <c r="M374" s="81"/>
      <c r="N374" s="34" t="s">
        <v>1009</v>
      </c>
      <c r="O374" s="76"/>
      <c r="P374" s="77">
        <v>0</v>
      </c>
      <c r="Q374" s="57">
        <v>6</v>
      </c>
      <c r="R374" s="42">
        <v>3</v>
      </c>
      <c r="S374" s="69" t="str">
        <f>_xlfn.IFNA(IF(VLOOKUP(tabPontoPed[[#This Row],[CÓDIGO]],tabExcluirDoEstoque[#Data],1,FALSE),"sim",""),"")</f>
        <v/>
      </c>
      <c r="T374" s="43">
        <f>IF(AND(tabPontoPed[[#This Row],[MENSAL]]&gt;0,tabPontoPed[[#This Row],[CÁLCULO]]&gt;0), ABS( tabPontoPed[[#This Row],[MENSAL]] - tabPontoPed[[#This Row],[CÁLCULO]] ) / tabPontoPed[[#This Row],[MENSAL]], -1 )</f>
        <v>0.5</v>
      </c>
      <c r="U374" s="58">
        <v>18</v>
      </c>
      <c r="V374" s="35">
        <f>IF(AND(tabPontoPed[[#This Row],[MENSAL]]&gt;0,tabPontoPed[[#This Row],[CÁLCULO]]&gt;0), IF( tabPontoPed[[#This Row],[MENSAL]] - tabPontoPed[[#This Row],[CÁLCULO]] &lt; 0, -1, IF( tabPontoPed[[#This Row],[MENSAL]] - tabPontoPed[[#This Row],[CÁLCULO]] &gt; 0, 1, -8)), -9 )</f>
        <v>-1</v>
      </c>
      <c r="W374" s="35"/>
      <c r="X374" s="49" t="s">
        <v>1564</v>
      </c>
      <c r="Y374" s="51">
        <v>44391.599108796298</v>
      </c>
      <c r="Z374" s="72">
        <f>tabPontoPed[CÁLC_4M] - tabPontoPed[CÁLCULO]</f>
        <v>3</v>
      </c>
      <c r="AA374" s="79" t="str">
        <f>IF(tabPontoPed[MENSAL]-tabPontoPed[ATA MENSAL] = 0,"sim","")</f>
        <v/>
      </c>
      <c r="AB374" s="79"/>
      <c r="AC374" s="47" t="str">
        <f t="shared" si="5"/>
        <v>*</v>
      </c>
    </row>
    <row r="375" spans="1:29" x14ac:dyDescent="0.25">
      <c r="A375" s="36">
        <v>44789</v>
      </c>
      <c r="B375" s="68" t="s">
        <v>754</v>
      </c>
      <c r="C375" s="33" t="s">
        <v>1317</v>
      </c>
      <c r="D375" s="32">
        <v>61</v>
      </c>
      <c r="E375" s="37">
        <v>8</v>
      </c>
      <c r="F375" s="38" t="str">
        <f>VLOOKUP(tabPontoPed[[#This Row],[GRUPO]],tabGrupos[#Data],2,FALSE)</f>
        <v>MATERIAL HIDRAULICO, CANOS, TUBOS, MANGUEIRAS, CONEXOES E ACESS.</v>
      </c>
      <c r="G375" s="32" t="str">
        <f>VLOOKUP(tabPontoPed[[#This Row],[GRUPO]],tabGrupos[#Data],3,FALSE)</f>
        <v>MHI</v>
      </c>
      <c r="H375" s="33" t="s">
        <v>1311</v>
      </c>
      <c r="I375" s="80">
        <v>4</v>
      </c>
      <c r="J375" s="39">
        <v>2</v>
      </c>
      <c r="K375" s="41">
        <f>tabPontoPed[[#This Row],[QTDMÊS]] * tabPontoPed[[#This Row],[MENSAL]]</f>
        <v>8</v>
      </c>
      <c r="L375" s="83"/>
      <c r="M375" s="81"/>
      <c r="N375" s="34" t="s">
        <v>1009</v>
      </c>
      <c r="O375" s="76"/>
      <c r="P375" s="77">
        <v>0</v>
      </c>
      <c r="Q375" s="57">
        <v>3</v>
      </c>
      <c r="R375" s="42">
        <v>3</v>
      </c>
      <c r="S375" s="69" t="str">
        <f>_xlfn.IFNA(IF(VLOOKUP(tabPontoPed[[#This Row],[CÓDIGO]],tabExcluirDoEstoque[#Data],1,FALSE),"sim",""),"")</f>
        <v/>
      </c>
      <c r="T375" s="43">
        <f>IF(AND(tabPontoPed[[#This Row],[MENSAL]]&gt;0,tabPontoPed[[#This Row],[CÁLCULO]]&gt;0), ABS( tabPontoPed[[#This Row],[MENSAL]] - tabPontoPed[[#This Row],[CÁLCULO]] ) / tabPontoPed[[#This Row],[MENSAL]], -1 )</f>
        <v>0.5</v>
      </c>
      <c r="U375" s="58">
        <v>6</v>
      </c>
      <c r="V375" s="35">
        <f>IF(AND(tabPontoPed[[#This Row],[MENSAL]]&gt;0,tabPontoPed[[#This Row],[CÁLCULO]]&gt;0), IF( tabPontoPed[[#This Row],[MENSAL]] - tabPontoPed[[#This Row],[CÁLCULO]] &lt; 0, -1, IF( tabPontoPed[[#This Row],[MENSAL]] - tabPontoPed[[#This Row],[CÁLCULO]] &gt; 0, 1, -8)), -9 )</f>
        <v>-1</v>
      </c>
      <c r="W375" s="35"/>
      <c r="X375" s="48" t="s">
        <v>1564</v>
      </c>
      <c r="Y375" s="53">
        <v>44391.599108796298</v>
      </c>
      <c r="Z375" s="72">
        <f>tabPontoPed[CÁLC_4M] - tabPontoPed[CÁLCULO]</f>
        <v>0</v>
      </c>
      <c r="AA375" s="79" t="str">
        <f>IF(tabPontoPed[MENSAL]-tabPontoPed[ATA MENSAL] = 0,"sim","")</f>
        <v/>
      </c>
      <c r="AB375" s="79"/>
      <c r="AC375" s="47" t="str">
        <f t="shared" si="5"/>
        <v>*</v>
      </c>
    </row>
    <row r="376" spans="1:29" x14ac:dyDescent="0.25">
      <c r="A376" s="36">
        <v>61200</v>
      </c>
      <c r="B376" s="68" t="s">
        <v>291</v>
      </c>
      <c r="C376" s="33" t="s">
        <v>1317</v>
      </c>
      <c r="D376" s="32">
        <v>61</v>
      </c>
      <c r="E376" s="37">
        <v>8</v>
      </c>
      <c r="F376" s="38" t="str">
        <f>VLOOKUP(tabPontoPed[[#This Row],[GRUPO]],tabGrupos[#Data],2,FALSE)</f>
        <v>MATERIAL HIDRAULICO, CANOS, TUBOS, MANGUEIRAS, CONEXOES E ACESS.</v>
      </c>
      <c r="G376" s="32" t="str">
        <f>VLOOKUP(tabPontoPed[[#This Row],[GRUPO]],tabGrupos[#Data],3,FALSE)</f>
        <v>MHI</v>
      </c>
      <c r="H376" s="33" t="s">
        <v>1311</v>
      </c>
      <c r="I376" s="80">
        <v>4</v>
      </c>
      <c r="J376" s="39">
        <v>6</v>
      </c>
      <c r="K376" s="41">
        <f>tabPontoPed[[#This Row],[QTDMÊS]] * tabPontoPed[[#This Row],[MENSAL]]</f>
        <v>24</v>
      </c>
      <c r="L376" s="83"/>
      <c r="M376" s="81"/>
      <c r="N376" s="34" t="s">
        <v>1009</v>
      </c>
      <c r="O376" s="76" t="s">
        <v>1679</v>
      </c>
      <c r="P376" s="77">
        <v>0</v>
      </c>
      <c r="Q376" s="57">
        <v>3</v>
      </c>
      <c r="R376" s="42">
        <v>3</v>
      </c>
      <c r="S376" s="69" t="str">
        <f>_xlfn.IFNA(IF(VLOOKUP(tabPontoPed[[#This Row],[CÓDIGO]],tabExcluirDoEstoque[#Data],1,FALSE),"sim",""),"")</f>
        <v/>
      </c>
      <c r="T376" s="43">
        <f>IF(AND(tabPontoPed[[#This Row],[MENSAL]]&gt;0,tabPontoPed[[#This Row],[CÁLCULO]]&gt;0), ABS( tabPontoPed[[#This Row],[MENSAL]] - tabPontoPed[[#This Row],[CÁLCULO]] ) / tabPontoPed[[#This Row],[MENSAL]], -1 )</f>
        <v>0.5</v>
      </c>
      <c r="U376" s="58">
        <v>15</v>
      </c>
      <c r="V376" s="35">
        <f>IF(AND(tabPontoPed[[#This Row],[MENSAL]]&gt;0,tabPontoPed[[#This Row],[CÁLCULO]]&gt;0), IF( tabPontoPed[[#This Row],[MENSAL]] - tabPontoPed[[#This Row],[CÁLCULO]] &lt; 0, -1, IF( tabPontoPed[[#This Row],[MENSAL]] - tabPontoPed[[#This Row],[CÁLCULO]] &gt; 0, 1, -8)), -9 )</f>
        <v>1</v>
      </c>
      <c r="W376" s="35"/>
      <c r="X376" s="49" t="s">
        <v>1564</v>
      </c>
      <c r="Y376" s="51">
        <v>44391.599108796298</v>
      </c>
      <c r="Z376" s="72">
        <f>tabPontoPed[CÁLC_4M] - tabPontoPed[CÁLCULO]</f>
        <v>0</v>
      </c>
      <c r="AA376" s="79" t="str">
        <f>IF(tabPontoPed[MENSAL]-tabPontoPed[ATA MENSAL] = 0,"sim","")</f>
        <v/>
      </c>
      <c r="AB376" s="79"/>
      <c r="AC376" s="47" t="str">
        <f t="shared" si="5"/>
        <v>*</v>
      </c>
    </row>
    <row r="377" spans="1:29" x14ac:dyDescent="0.25">
      <c r="A377" s="36">
        <v>17422</v>
      </c>
      <c r="B377" s="68" t="s">
        <v>307</v>
      </c>
      <c r="C377" s="33" t="s">
        <v>1317</v>
      </c>
      <c r="D377" s="32">
        <v>61</v>
      </c>
      <c r="E377" s="37">
        <v>11</v>
      </c>
      <c r="F377" s="38" t="str">
        <f>VLOOKUP(tabPontoPed[[#This Row],[GRUPO]],tabGrupos[#Data],2,FALSE)</f>
        <v>MATERIAL HIDRAULICO, CANOS, TUBOS, MANGUEIRAS, CONEXOES E ACESS.</v>
      </c>
      <c r="G377" s="32" t="str">
        <f>VLOOKUP(tabPontoPed[[#This Row],[GRUPO]],tabGrupos[#Data],3,FALSE)</f>
        <v>MHI</v>
      </c>
      <c r="H377" s="33" t="s">
        <v>1311</v>
      </c>
      <c r="I377" s="80">
        <v>4</v>
      </c>
      <c r="J377" s="39">
        <v>4</v>
      </c>
      <c r="K377" s="41">
        <f>tabPontoPed[[#This Row],[QTDMÊS]] * tabPontoPed[[#This Row],[MENSAL]]</f>
        <v>16</v>
      </c>
      <c r="L377" s="83"/>
      <c r="M377" s="81"/>
      <c r="N377" s="34" t="s">
        <v>1009</v>
      </c>
      <c r="O377" s="76" t="s">
        <v>1679</v>
      </c>
      <c r="P377" s="77">
        <v>0</v>
      </c>
      <c r="Q377" s="57">
        <v>2</v>
      </c>
      <c r="R377" s="42">
        <v>2</v>
      </c>
      <c r="S377" s="69" t="str">
        <f>_xlfn.IFNA(IF(VLOOKUP(tabPontoPed[[#This Row],[CÓDIGO]],tabExcluirDoEstoque[#Data],1,FALSE),"sim",""),"")</f>
        <v/>
      </c>
      <c r="T377" s="43">
        <f>IF(AND(tabPontoPed[[#This Row],[MENSAL]]&gt;0,tabPontoPed[[#This Row],[CÁLCULO]]&gt;0), ABS( tabPontoPed[[#This Row],[MENSAL]] - tabPontoPed[[#This Row],[CÁLCULO]] ) / tabPontoPed[[#This Row],[MENSAL]], -1 )</f>
        <v>0.5</v>
      </c>
      <c r="U377" s="58">
        <v>4</v>
      </c>
      <c r="V377" s="35">
        <f>IF(AND(tabPontoPed[[#This Row],[MENSAL]]&gt;0,tabPontoPed[[#This Row],[CÁLCULO]]&gt;0), IF( tabPontoPed[[#This Row],[MENSAL]] - tabPontoPed[[#This Row],[CÁLCULO]] &lt; 0, -1, IF( tabPontoPed[[#This Row],[MENSAL]] - tabPontoPed[[#This Row],[CÁLCULO]] &gt; 0, 1, -8)), -9 )</f>
        <v>1</v>
      </c>
      <c r="W377" s="35"/>
      <c r="X377" s="49" t="s">
        <v>1564</v>
      </c>
      <c r="Y377" s="51">
        <v>44391.599108796298</v>
      </c>
      <c r="Z377" s="72">
        <f>tabPontoPed[CÁLC_4M] - tabPontoPed[CÁLCULO]</f>
        <v>0</v>
      </c>
      <c r="AA377" s="79" t="str">
        <f>IF(tabPontoPed[MENSAL]-tabPontoPed[ATA MENSAL] = 0,"sim","")</f>
        <v/>
      </c>
      <c r="AB377" s="79"/>
      <c r="AC377" s="47" t="str">
        <f t="shared" si="5"/>
        <v>*</v>
      </c>
    </row>
    <row r="378" spans="1:29" x14ac:dyDescent="0.25">
      <c r="A378" s="36">
        <v>15051</v>
      </c>
      <c r="B378" s="68" t="s">
        <v>777</v>
      </c>
      <c r="C378" s="33" t="s">
        <v>1317</v>
      </c>
      <c r="D378" s="32">
        <v>61</v>
      </c>
      <c r="E378" s="37">
        <v>11</v>
      </c>
      <c r="F378" s="38" t="str">
        <f>VLOOKUP(tabPontoPed[[#This Row],[GRUPO]],tabGrupos[#Data],2,FALSE)</f>
        <v>MATERIAL HIDRAULICO, CANOS, TUBOS, MANGUEIRAS, CONEXOES E ACESS.</v>
      </c>
      <c r="G378" s="32" t="str">
        <f>VLOOKUP(tabPontoPed[[#This Row],[GRUPO]],tabGrupos[#Data],3,FALSE)</f>
        <v>MHI</v>
      </c>
      <c r="H378" s="33" t="s">
        <v>1311</v>
      </c>
      <c r="I378" s="80">
        <v>4</v>
      </c>
      <c r="J378" s="39">
        <v>2</v>
      </c>
      <c r="K378" s="41">
        <f>tabPontoPed[[#This Row],[QTDMÊS]] * tabPontoPed[[#This Row],[MENSAL]]</f>
        <v>8</v>
      </c>
      <c r="L378" s="83"/>
      <c r="M378" s="81"/>
      <c r="N378" s="34" t="s">
        <v>1009</v>
      </c>
      <c r="O378" s="76" t="s">
        <v>1691</v>
      </c>
      <c r="P378" s="77">
        <v>0</v>
      </c>
      <c r="Q378" s="57">
        <v>1</v>
      </c>
      <c r="R378" s="42">
        <v>1</v>
      </c>
      <c r="S378" s="69" t="str">
        <f>_xlfn.IFNA(IF(VLOOKUP(tabPontoPed[[#This Row],[CÓDIGO]],tabExcluirDoEstoque[#Data],1,FALSE),"sim",""),"")</f>
        <v/>
      </c>
      <c r="T378" s="43">
        <f>IF(AND(tabPontoPed[[#This Row],[MENSAL]]&gt;0,tabPontoPed[[#This Row],[CÁLCULO]]&gt;0), ABS( tabPontoPed[[#This Row],[MENSAL]] - tabPontoPed[[#This Row],[CÁLCULO]] ) / tabPontoPed[[#This Row],[MENSAL]], -1 )</f>
        <v>0.5</v>
      </c>
      <c r="U378" s="58">
        <v>2</v>
      </c>
      <c r="V378" s="35">
        <f>IF(AND(tabPontoPed[[#This Row],[MENSAL]]&gt;0,tabPontoPed[[#This Row],[CÁLCULO]]&gt;0), IF( tabPontoPed[[#This Row],[MENSAL]] - tabPontoPed[[#This Row],[CÁLCULO]] &lt; 0, -1, IF( tabPontoPed[[#This Row],[MENSAL]] - tabPontoPed[[#This Row],[CÁLCULO]] &gt; 0, 1, -8)), -9 )</f>
        <v>1</v>
      </c>
      <c r="W378" s="35"/>
      <c r="X378" s="49" t="s">
        <v>1564</v>
      </c>
      <c r="Y378" s="51">
        <v>44391.599108796298</v>
      </c>
      <c r="Z378" s="72">
        <f>tabPontoPed[CÁLC_4M] - tabPontoPed[CÁLCULO]</f>
        <v>0</v>
      </c>
      <c r="AA378" s="79" t="str">
        <f>IF(tabPontoPed[MENSAL]-tabPontoPed[ATA MENSAL] = 0,"sim","")</f>
        <v/>
      </c>
      <c r="AB378" s="79"/>
      <c r="AC378" s="47" t="str">
        <f t="shared" si="5"/>
        <v>*</v>
      </c>
    </row>
    <row r="379" spans="1:29" x14ac:dyDescent="0.25">
      <c r="A379" s="36">
        <v>135414</v>
      </c>
      <c r="B379" s="68" t="s">
        <v>784</v>
      </c>
      <c r="C379" s="33" t="s">
        <v>1317</v>
      </c>
      <c r="D379" s="32">
        <v>61</v>
      </c>
      <c r="E379" s="37">
        <v>14</v>
      </c>
      <c r="F379" s="38" t="str">
        <f>VLOOKUP(tabPontoPed[[#This Row],[GRUPO]],tabGrupos[#Data],2,FALSE)</f>
        <v>MATERIAL HIDRAULICO, CANOS, TUBOS, MANGUEIRAS, CONEXOES E ACESS.</v>
      </c>
      <c r="G379" s="32" t="str">
        <f>VLOOKUP(tabPontoPed[[#This Row],[GRUPO]],tabGrupos[#Data],3,FALSE)</f>
        <v>MHI</v>
      </c>
      <c r="H379" s="33" t="s">
        <v>1311</v>
      </c>
      <c r="I379" s="80">
        <v>4</v>
      </c>
      <c r="J379" s="39">
        <v>34</v>
      </c>
      <c r="K379" s="41">
        <f>tabPontoPed[[#This Row],[QTDMÊS]] * tabPontoPed[[#This Row],[MENSAL]]</f>
        <v>136</v>
      </c>
      <c r="L379" s="83"/>
      <c r="M379" s="81"/>
      <c r="N379" s="34" t="s">
        <v>1009</v>
      </c>
      <c r="O379" s="76" t="s">
        <v>1690</v>
      </c>
      <c r="P379" s="77">
        <v>0</v>
      </c>
      <c r="Q379" s="57">
        <v>18</v>
      </c>
      <c r="R379" s="42">
        <v>17</v>
      </c>
      <c r="S379" s="69" t="str">
        <f>_xlfn.IFNA(IF(VLOOKUP(tabPontoPed[[#This Row],[CÓDIGO]],tabExcluirDoEstoque[#Data],1,FALSE),"sim",""),"")</f>
        <v/>
      </c>
      <c r="T379" s="43">
        <f>IF(AND(tabPontoPed[[#This Row],[MENSAL]]&gt;0,tabPontoPed[[#This Row],[CÁLCULO]]&gt;0), ABS( tabPontoPed[[#This Row],[MENSAL]] - tabPontoPed[[#This Row],[CÁLCULO]] ) / tabPontoPed[[#This Row],[MENSAL]], -1 )</f>
        <v>0.5</v>
      </c>
      <c r="U379" s="58">
        <v>32</v>
      </c>
      <c r="V379" s="35">
        <f>IF(AND(tabPontoPed[[#This Row],[MENSAL]]&gt;0,tabPontoPed[[#This Row],[CÁLCULO]]&gt;0), IF( tabPontoPed[[#This Row],[MENSAL]] - tabPontoPed[[#This Row],[CÁLCULO]] &lt; 0, -1, IF( tabPontoPed[[#This Row],[MENSAL]] - tabPontoPed[[#This Row],[CÁLCULO]] &gt; 0, 1, -8)), -9 )</f>
        <v>1</v>
      </c>
      <c r="W379" s="35"/>
      <c r="X379" s="49" t="s">
        <v>1564</v>
      </c>
      <c r="Y379" s="51">
        <v>44391.599108796298</v>
      </c>
      <c r="Z379" s="72">
        <f>tabPontoPed[CÁLC_4M] - tabPontoPed[CÁLCULO]</f>
        <v>1</v>
      </c>
      <c r="AA379" s="79" t="str">
        <f>IF(tabPontoPed[MENSAL]-tabPontoPed[ATA MENSAL] = 0,"sim","")</f>
        <v/>
      </c>
      <c r="AB379" s="79"/>
      <c r="AC379" s="47" t="str">
        <f t="shared" si="5"/>
        <v>*</v>
      </c>
    </row>
    <row r="380" spans="1:29" x14ac:dyDescent="0.25">
      <c r="A380" s="36">
        <v>25630</v>
      </c>
      <c r="B380" s="68" t="s">
        <v>325</v>
      </c>
      <c r="C380" s="33" t="s">
        <v>1317</v>
      </c>
      <c r="D380" s="32">
        <v>61</v>
      </c>
      <c r="E380" s="37">
        <v>15</v>
      </c>
      <c r="F380" s="38" t="str">
        <f>VLOOKUP(tabPontoPed[[#This Row],[GRUPO]],tabGrupos[#Data],2,FALSE)</f>
        <v>MATERIAL HIDRAULICO, CANOS, TUBOS, MANGUEIRAS, CONEXOES E ACESS.</v>
      </c>
      <c r="G380" s="32" t="str">
        <f>VLOOKUP(tabPontoPed[[#This Row],[GRUPO]],tabGrupos[#Data],3,FALSE)</f>
        <v>MHI</v>
      </c>
      <c r="H380" s="33" t="s">
        <v>1311</v>
      </c>
      <c r="I380" s="80">
        <v>4</v>
      </c>
      <c r="J380" s="39">
        <v>6</v>
      </c>
      <c r="K380" s="41">
        <f>tabPontoPed[[#This Row],[QTDMÊS]] * tabPontoPed[[#This Row],[MENSAL]]</f>
        <v>24</v>
      </c>
      <c r="L380" s="83"/>
      <c r="M380" s="81"/>
      <c r="N380" s="34" t="s">
        <v>1009</v>
      </c>
      <c r="O380" s="76" t="s">
        <v>1678</v>
      </c>
      <c r="P380" s="77">
        <v>0</v>
      </c>
      <c r="Q380" s="57">
        <v>10</v>
      </c>
      <c r="R380" s="42">
        <v>9</v>
      </c>
      <c r="S380" s="69" t="str">
        <f>_xlfn.IFNA(IF(VLOOKUP(tabPontoPed[[#This Row],[CÓDIGO]],tabExcluirDoEstoque[#Data],1,FALSE),"sim",""),"")</f>
        <v/>
      </c>
      <c r="T380" s="43">
        <f>IF(AND(tabPontoPed[[#This Row],[MENSAL]]&gt;0,tabPontoPed[[#This Row],[CÁLCULO]]&gt;0), ABS( tabPontoPed[[#This Row],[MENSAL]] - tabPontoPed[[#This Row],[CÁLCULO]] ) / tabPontoPed[[#This Row],[MENSAL]], -1 )</f>
        <v>0.5</v>
      </c>
      <c r="U380" s="58">
        <v>22</v>
      </c>
      <c r="V380" s="35">
        <f>IF(AND(tabPontoPed[[#This Row],[MENSAL]]&gt;0,tabPontoPed[[#This Row],[CÁLCULO]]&gt;0), IF( tabPontoPed[[#This Row],[MENSAL]] - tabPontoPed[[#This Row],[CÁLCULO]] &lt; 0, -1, IF( tabPontoPed[[#This Row],[MENSAL]] - tabPontoPed[[#This Row],[CÁLCULO]] &gt; 0, 1, -8)), -9 )</f>
        <v>-1</v>
      </c>
      <c r="W380" s="35"/>
      <c r="X380" s="49" t="s">
        <v>1564</v>
      </c>
      <c r="Y380" s="51">
        <v>44391.599108796298</v>
      </c>
      <c r="Z380" s="72">
        <f>tabPontoPed[CÁLC_4M] - tabPontoPed[CÁLCULO]</f>
        <v>1</v>
      </c>
      <c r="AA380" s="79" t="str">
        <f>IF(tabPontoPed[MENSAL]-tabPontoPed[ATA MENSAL] = 0,"sim","")</f>
        <v/>
      </c>
      <c r="AB380" s="79"/>
      <c r="AC380" s="47" t="str">
        <f t="shared" si="5"/>
        <v>*</v>
      </c>
    </row>
    <row r="381" spans="1:29" x14ac:dyDescent="0.25">
      <c r="A381" s="36">
        <v>81564</v>
      </c>
      <c r="B381" s="68" t="s">
        <v>794</v>
      </c>
      <c r="C381" s="33" t="s">
        <v>1317</v>
      </c>
      <c r="D381" s="32">
        <v>61</v>
      </c>
      <c r="E381" s="37">
        <v>15</v>
      </c>
      <c r="F381" s="38" t="str">
        <f>VLOOKUP(tabPontoPed[[#This Row],[GRUPO]],tabGrupos[#Data],2,FALSE)</f>
        <v>MATERIAL HIDRAULICO, CANOS, TUBOS, MANGUEIRAS, CONEXOES E ACESS.</v>
      </c>
      <c r="G381" s="32" t="str">
        <f>VLOOKUP(tabPontoPed[[#This Row],[GRUPO]],tabGrupos[#Data],3,FALSE)</f>
        <v>MHI</v>
      </c>
      <c r="H381" s="33" t="s">
        <v>1311</v>
      </c>
      <c r="I381" s="80">
        <v>4</v>
      </c>
      <c r="J381" s="39">
        <v>2</v>
      </c>
      <c r="K381" s="41">
        <f>tabPontoPed[[#This Row],[QTDMÊS]] * tabPontoPed[[#This Row],[MENSAL]]</f>
        <v>8</v>
      </c>
      <c r="L381" s="83"/>
      <c r="M381" s="81"/>
      <c r="N381" s="34" t="s">
        <v>1009</v>
      </c>
      <c r="O381" s="76" t="s">
        <v>1691</v>
      </c>
      <c r="P381" s="77">
        <v>0</v>
      </c>
      <c r="Q381" s="57">
        <v>0</v>
      </c>
      <c r="R381" s="42">
        <v>1</v>
      </c>
      <c r="S381" s="69" t="str">
        <f>_xlfn.IFNA(IF(VLOOKUP(tabPontoPed[[#This Row],[CÓDIGO]],tabExcluirDoEstoque[#Data],1,FALSE),"sim",""),"")</f>
        <v/>
      </c>
      <c r="T381" s="43">
        <f>IF(AND(tabPontoPed[[#This Row],[MENSAL]]&gt;0,tabPontoPed[[#This Row],[CÁLCULO]]&gt;0), ABS( tabPontoPed[[#This Row],[MENSAL]] - tabPontoPed[[#This Row],[CÁLCULO]] ) / tabPontoPed[[#This Row],[MENSAL]], -1 )</f>
        <v>0.5</v>
      </c>
      <c r="U381" s="58">
        <v>4</v>
      </c>
      <c r="V381" s="35">
        <f>IF(AND(tabPontoPed[[#This Row],[MENSAL]]&gt;0,tabPontoPed[[#This Row],[CÁLCULO]]&gt;0), IF( tabPontoPed[[#This Row],[MENSAL]] - tabPontoPed[[#This Row],[CÁLCULO]] &lt; 0, -1, IF( tabPontoPed[[#This Row],[MENSAL]] - tabPontoPed[[#This Row],[CÁLCULO]] &gt; 0, 1, -8)), -9 )</f>
        <v>1</v>
      </c>
      <c r="W381" s="35"/>
      <c r="X381" s="49" t="s">
        <v>1564</v>
      </c>
      <c r="Y381" s="51">
        <v>44391.599108796298</v>
      </c>
      <c r="Z381" s="72">
        <f>tabPontoPed[CÁLC_4M] - tabPontoPed[CÁLCULO]</f>
        <v>-1</v>
      </c>
      <c r="AA381" s="79" t="str">
        <f>IF(tabPontoPed[MENSAL]-tabPontoPed[ATA MENSAL] = 0,"sim","")</f>
        <v/>
      </c>
      <c r="AB381" s="79"/>
      <c r="AC381" s="47" t="str">
        <f t="shared" si="5"/>
        <v>*</v>
      </c>
    </row>
    <row r="382" spans="1:29" x14ac:dyDescent="0.25">
      <c r="A382" s="36">
        <v>81565</v>
      </c>
      <c r="B382" s="68" t="s">
        <v>795</v>
      </c>
      <c r="C382" s="33" t="s">
        <v>1317</v>
      </c>
      <c r="D382" s="32">
        <v>61</v>
      </c>
      <c r="E382" s="37">
        <v>15</v>
      </c>
      <c r="F382" s="38" t="str">
        <f>VLOOKUP(tabPontoPed[[#This Row],[GRUPO]],tabGrupos[#Data],2,FALSE)</f>
        <v>MATERIAL HIDRAULICO, CANOS, TUBOS, MANGUEIRAS, CONEXOES E ACESS.</v>
      </c>
      <c r="G382" s="32" t="str">
        <f>VLOOKUP(tabPontoPed[[#This Row],[GRUPO]],tabGrupos[#Data],3,FALSE)</f>
        <v>MHI</v>
      </c>
      <c r="H382" s="33" t="s">
        <v>1311</v>
      </c>
      <c r="I382" s="80">
        <v>4</v>
      </c>
      <c r="J382" s="39">
        <v>2</v>
      </c>
      <c r="K382" s="41">
        <f>tabPontoPed[[#This Row],[QTDMÊS]] * tabPontoPed[[#This Row],[MENSAL]]</f>
        <v>8</v>
      </c>
      <c r="L382" s="83"/>
      <c r="M382" s="81"/>
      <c r="N382" s="34" t="s">
        <v>1009</v>
      </c>
      <c r="O382" s="76" t="s">
        <v>1691</v>
      </c>
      <c r="P382" s="77">
        <v>0</v>
      </c>
      <c r="Q382" s="57">
        <v>0</v>
      </c>
      <c r="R382" s="42">
        <v>1</v>
      </c>
      <c r="S382" s="69" t="str">
        <f>_xlfn.IFNA(IF(VLOOKUP(tabPontoPed[[#This Row],[CÓDIGO]],tabExcluirDoEstoque[#Data],1,FALSE),"sim",""),"")</f>
        <v/>
      </c>
      <c r="T382" s="43">
        <f>IF(AND(tabPontoPed[[#This Row],[MENSAL]]&gt;0,tabPontoPed[[#This Row],[CÁLCULO]]&gt;0), ABS( tabPontoPed[[#This Row],[MENSAL]] - tabPontoPed[[#This Row],[CÁLCULO]] ) / tabPontoPed[[#This Row],[MENSAL]], -1 )</f>
        <v>0.5</v>
      </c>
      <c r="U382" s="58">
        <v>4</v>
      </c>
      <c r="V382" s="35">
        <f>IF(AND(tabPontoPed[[#This Row],[MENSAL]]&gt;0,tabPontoPed[[#This Row],[CÁLCULO]]&gt;0), IF( tabPontoPed[[#This Row],[MENSAL]] - tabPontoPed[[#This Row],[CÁLCULO]] &lt; 0, -1, IF( tabPontoPed[[#This Row],[MENSAL]] - tabPontoPed[[#This Row],[CÁLCULO]] &gt; 0, 1, -8)), -9 )</f>
        <v>1</v>
      </c>
      <c r="W382" s="35"/>
      <c r="X382" s="49" t="s">
        <v>1564</v>
      </c>
      <c r="Y382" s="51">
        <v>44391.599108796298</v>
      </c>
      <c r="Z382" s="72">
        <f>tabPontoPed[CÁLC_4M] - tabPontoPed[CÁLCULO]</f>
        <v>-1</v>
      </c>
      <c r="AA382" s="79" t="str">
        <f>IF(tabPontoPed[MENSAL]-tabPontoPed[ATA MENSAL] = 0,"sim","")</f>
        <v/>
      </c>
      <c r="AB382" s="79"/>
      <c r="AC382" s="47" t="str">
        <f t="shared" si="5"/>
        <v>*</v>
      </c>
    </row>
    <row r="383" spans="1:29" ht="18.75" x14ac:dyDescent="0.25">
      <c r="A383" s="36">
        <v>87586</v>
      </c>
      <c r="B383" s="68" t="s">
        <v>181</v>
      </c>
      <c r="C383" s="33" t="s">
        <v>1317</v>
      </c>
      <c r="D383" s="32">
        <v>76</v>
      </c>
      <c r="E383" s="37">
        <v>5</v>
      </c>
      <c r="F383" s="38" t="str">
        <f>VLOOKUP(tabPontoPed[[#This Row],[GRUPO]],tabGrupos[#Data],2,FALSE)</f>
        <v>EQUIP. E MATERIAIS P/PINTURAS E IMPERMEABILIZACAO</v>
      </c>
      <c r="G383" s="32" t="str">
        <f>VLOOKUP(tabPontoPed[[#This Row],[GRUPO]],tabGrupos[#Data],3,FALSE)</f>
        <v>MPI</v>
      </c>
      <c r="H383" s="33" t="s">
        <v>1311</v>
      </c>
      <c r="I383" s="80">
        <v>4</v>
      </c>
      <c r="J383" s="39">
        <v>2</v>
      </c>
      <c r="K383" s="41">
        <v>2</v>
      </c>
      <c r="L383" s="83"/>
      <c r="M383" s="81"/>
      <c r="N383" s="34" t="s">
        <v>1009</v>
      </c>
      <c r="O383" s="76" t="s">
        <v>1664</v>
      </c>
      <c r="P383" s="77">
        <v>0</v>
      </c>
      <c r="Q383" s="57">
        <v>3</v>
      </c>
      <c r="R383" s="42">
        <v>3</v>
      </c>
      <c r="S383" s="69" t="str">
        <f>_xlfn.IFNA(IF(VLOOKUP(tabPontoPed[[#This Row],[CÓDIGO]],tabExcluirDoEstoque[#Data],1,FALSE),"sim",""),"")</f>
        <v/>
      </c>
      <c r="T383" s="43">
        <f>IF(AND(tabPontoPed[[#This Row],[MENSAL]]&gt;0,tabPontoPed[[#This Row],[CÁLCULO]]&gt;0), ABS( tabPontoPed[[#This Row],[MENSAL]] - tabPontoPed[[#This Row],[CÁLCULO]] ) / tabPontoPed[[#This Row],[MENSAL]], -1 )</f>
        <v>0.5</v>
      </c>
      <c r="U383" s="58">
        <v>18</v>
      </c>
      <c r="V383" s="35">
        <f>IF(AND(tabPontoPed[[#This Row],[MENSAL]]&gt;0,tabPontoPed[[#This Row],[CÁLCULO]]&gt;0), IF( tabPontoPed[[#This Row],[MENSAL]] - tabPontoPed[[#This Row],[CÁLCULO]] &lt; 0, -1, IF( tabPontoPed[[#This Row],[MENSAL]] - tabPontoPed[[#This Row],[CÁLCULO]] &gt; 0, 1, -8)), -9 )</f>
        <v>-1</v>
      </c>
      <c r="W383" s="45"/>
      <c r="X383" s="50" t="s">
        <v>1564</v>
      </c>
      <c r="Y383" s="52">
        <v>44391.599108796298</v>
      </c>
      <c r="Z383" s="73">
        <f>tabPontoPed[CÁLC_4M] - tabPontoPed[CÁLCULO]</f>
        <v>0</v>
      </c>
      <c r="AA383" s="79" t="str">
        <f>IF(tabPontoPed[MENSAL]-tabPontoPed[ATA MENSAL] = 0,"sim","")</f>
        <v/>
      </c>
      <c r="AB383" s="79"/>
      <c r="AC383" s="47" t="str">
        <f t="shared" si="5"/>
        <v>*</v>
      </c>
    </row>
    <row r="384" spans="1:29" ht="18.75" x14ac:dyDescent="0.25">
      <c r="A384" s="36">
        <v>12812</v>
      </c>
      <c r="B384" s="68" t="s">
        <v>155</v>
      </c>
      <c r="C384" s="33" t="s">
        <v>1317</v>
      </c>
      <c r="D384" s="32">
        <v>76</v>
      </c>
      <c r="E384" s="37">
        <v>11</v>
      </c>
      <c r="F384" s="38" t="str">
        <f>VLOOKUP(tabPontoPed[[#This Row],[GRUPO]],tabGrupos[#Data],2,FALSE)</f>
        <v>EQUIP. E MATERIAIS P/PINTURAS E IMPERMEABILIZACAO</v>
      </c>
      <c r="G384" s="32" t="str">
        <f>VLOOKUP(tabPontoPed[[#This Row],[GRUPO]],tabGrupos[#Data],3,FALSE)</f>
        <v>MPI</v>
      </c>
      <c r="H384" s="33" t="s">
        <v>1311</v>
      </c>
      <c r="I384" s="80">
        <v>4</v>
      </c>
      <c r="J384" s="39">
        <v>4</v>
      </c>
      <c r="K384" s="41">
        <f>tabPontoPed[[#This Row],[QTDMÊS]] * tabPontoPed[[#This Row],[MENSAL]]</f>
        <v>16</v>
      </c>
      <c r="L384" s="83"/>
      <c r="M384" s="81"/>
      <c r="N384" s="34" t="s">
        <v>1009</v>
      </c>
      <c r="O384" s="76" t="s">
        <v>1732</v>
      </c>
      <c r="P384" s="77">
        <v>0</v>
      </c>
      <c r="Q384" s="57">
        <v>2</v>
      </c>
      <c r="R384" s="42">
        <v>2</v>
      </c>
      <c r="S384" s="69" t="str">
        <f>_xlfn.IFNA(IF(VLOOKUP(tabPontoPed[[#This Row],[CÓDIGO]],tabExcluirDoEstoque[#Data],1,FALSE),"sim",""),"")</f>
        <v>sim</v>
      </c>
      <c r="T384" s="43">
        <f>IF(AND(tabPontoPed[[#This Row],[MENSAL]]&gt;0,tabPontoPed[[#This Row],[CÁLCULO]]&gt;0), ABS( tabPontoPed[[#This Row],[MENSAL]] - tabPontoPed[[#This Row],[CÁLCULO]] ) / tabPontoPed[[#This Row],[MENSAL]], -1 )</f>
        <v>0.5</v>
      </c>
      <c r="U384" s="58">
        <v>7</v>
      </c>
      <c r="V384" s="35">
        <f>IF(AND(tabPontoPed[[#This Row],[MENSAL]]&gt;0,tabPontoPed[[#This Row],[CÁLCULO]]&gt;0), IF( tabPontoPed[[#This Row],[MENSAL]] - tabPontoPed[[#This Row],[CÁLCULO]] &lt; 0, -1, IF( tabPontoPed[[#This Row],[MENSAL]] - tabPontoPed[[#This Row],[CÁLCULO]] &gt; 0, 1, -8)), -9 )</f>
        <v>1</v>
      </c>
      <c r="W384" s="45"/>
      <c r="X384" s="50" t="s">
        <v>1564</v>
      </c>
      <c r="Y384" s="52">
        <v>44391.599108796298</v>
      </c>
      <c r="Z384" s="73">
        <f>tabPontoPed[CÁLC_4M] - tabPontoPed[CÁLCULO]</f>
        <v>0</v>
      </c>
      <c r="AA384" s="79" t="str">
        <f>IF(tabPontoPed[MENSAL]-tabPontoPed[ATA MENSAL] = 0,"sim","")</f>
        <v/>
      </c>
      <c r="AB384" s="79" t="s">
        <v>1614</v>
      </c>
      <c r="AC384" s="47" t="str">
        <f t="shared" si="5"/>
        <v>*</v>
      </c>
    </row>
    <row r="385" spans="1:29" ht="18.75" x14ac:dyDescent="0.25">
      <c r="A385" s="36">
        <v>128288</v>
      </c>
      <c r="B385" s="68" t="s">
        <v>964</v>
      </c>
      <c r="C385" s="33" t="s">
        <v>1317</v>
      </c>
      <c r="D385" s="32">
        <v>76</v>
      </c>
      <c r="E385" s="37">
        <v>13</v>
      </c>
      <c r="F385" s="38" t="str">
        <f>VLOOKUP(tabPontoPed[[#This Row],[GRUPO]],tabGrupos[#Data],2,FALSE)</f>
        <v>EQUIP. E MATERIAIS P/PINTURAS E IMPERMEABILIZACAO</v>
      </c>
      <c r="G385" s="32" t="str">
        <f>VLOOKUP(tabPontoPed[[#This Row],[GRUPO]],tabGrupos[#Data],3,FALSE)</f>
        <v>MPI</v>
      </c>
      <c r="H385" s="33" t="s">
        <v>1311</v>
      </c>
      <c r="I385" s="80">
        <v>4</v>
      </c>
      <c r="J385" s="39">
        <v>2</v>
      </c>
      <c r="K385" s="41">
        <f>tabPontoPed[[#This Row],[QTDMÊS]] * tabPontoPed[[#This Row],[MENSAL]]</f>
        <v>8</v>
      </c>
      <c r="L385" s="83"/>
      <c r="M385" s="81"/>
      <c r="N385" s="34" t="s">
        <v>1009</v>
      </c>
      <c r="O385" s="76" t="s">
        <v>1764</v>
      </c>
      <c r="P385" s="77">
        <v>0</v>
      </c>
      <c r="Q385" s="57">
        <v>2</v>
      </c>
      <c r="R385" s="42">
        <v>1</v>
      </c>
      <c r="S385" s="69" t="str">
        <f>_xlfn.IFNA(IF(VLOOKUP(tabPontoPed[[#This Row],[CÓDIGO]],tabExcluirDoEstoque[#Data],1,FALSE),"sim",""),"")</f>
        <v/>
      </c>
      <c r="T385" s="43">
        <f>IF(AND(tabPontoPed[[#This Row],[MENSAL]]&gt;0,tabPontoPed[[#This Row],[CÁLCULO]]&gt;0), ABS( tabPontoPed[[#This Row],[MENSAL]] - tabPontoPed[[#This Row],[CÁLCULO]] ) / tabPontoPed[[#This Row],[MENSAL]], -1 )</f>
        <v>0.5</v>
      </c>
      <c r="U385" s="58">
        <v>3</v>
      </c>
      <c r="V385" s="35">
        <f>IF(AND(tabPontoPed[[#This Row],[MENSAL]]&gt;0,tabPontoPed[[#This Row],[CÁLCULO]]&gt;0), IF( tabPontoPed[[#This Row],[MENSAL]] - tabPontoPed[[#This Row],[CÁLCULO]] &lt; 0, -1, IF( tabPontoPed[[#This Row],[MENSAL]] - tabPontoPed[[#This Row],[CÁLCULO]] &gt; 0, 1, -8)), -9 )</f>
        <v>1</v>
      </c>
      <c r="W385" s="45"/>
      <c r="X385" s="48" t="s">
        <v>1564</v>
      </c>
      <c r="Y385" s="53">
        <v>44391.599108796298</v>
      </c>
      <c r="Z385" s="72">
        <f>tabPontoPed[CÁLC_4M] - tabPontoPed[CÁLCULO]</f>
        <v>1</v>
      </c>
      <c r="AA385" s="79" t="str">
        <f>IF(tabPontoPed[MENSAL]-tabPontoPed[ATA MENSAL] = 0,"sim","")</f>
        <v/>
      </c>
      <c r="AB385" s="79"/>
      <c r="AC385" s="47" t="str">
        <f t="shared" si="5"/>
        <v>*</v>
      </c>
    </row>
    <row r="386" spans="1:29" x14ac:dyDescent="0.25">
      <c r="A386" s="36">
        <v>20537</v>
      </c>
      <c r="B386" s="68" t="s">
        <v>841</v>
      </c>
      <c r="C386" s="33" t="s">
        <v>1317</v>
      </c>
      <c r="D386" s="32">
        <v>67</v>
      </c>
      <c r="E386" s="37">
        <v>6</v>
      </c>
      <c r="F386" s="38" t="str">
        <f>VLOOKUP(tabPontoPed[[#This Row],[GRUPO]],tabGrupos[#Data],2,FALSE)</f>
        <v>PARAFUSOS ELEM. VEDACAO UNIAO CONEX . FIXACAO</v>
      </c>
      <c r="G386" s="32" t="str">
        <f>VLOOKUP(tabPontoPed[[#This Row],[GRUPO]],tabGrupos[#Data],3,FALSE)</f>
        <v>MSE</v>
      </c>
      <c r="H386" s="33" t="s">
        <v>1311</v>
      </c>
      <c r="I386" s="80">
        <v>4</v>
      </c>
      <c r="J386" s="39">
        <v>2</v>
      </c>
      <c r="K386" s="41">
        <f>tabPontoPed[[#This Row],[QTDMÊS]] * tabPontoPed[[#This Row],[MENSAL]]</f>
        <v>8</v>
      </c>
      <c r="L386" s="83"/>
      <c r="M386" s="81"/>
      <c r="N386" s="34" t="s">
        <v>1009</v>
      </c>
      <c r="O386" s="76"/>
      <c r="P386" s="77">
        <v>0</v>
      </c>
      <c r="Q386" s="57">
        <v>0</v>
      </c>
      <c r="R386" s="42">
        <v>1</v>
      </c>
      <c r="S386" s="69" t="str">
        <f>_xlfn.IFNA(IF(VLOOKUP(tabPontoPed[[#This Row],[CÓDIGO]],tabExcluirDoEstoque[#Data],1,FALSE),"sim",""),"")</f>
        <v/>
      </c>
      <c r="T386" s="43">
        <f>IF(AND(tabPontoPed[[#This Row],[MENSAL]]&gt;0,tabPontoPed[[#This Row],[CÁLCULO]]&gt;0), ABS( tabPontoPed[[#This Row],[MENSAL]] - tabPontoPed[[#This Row],[CÁLCULO]] ) / tabPontoPed[[#This Row],[MENSAL]], -1 )</f>
        <v>0.5</v>
      </c>
      <c r="U386" s="58">
        <v>1</v>
      </c>
      <c r="V386" s="35">
        <f>IF(AND(tabPontoPed[[#This Row],[MENSAL]]&gt;0,tabPontoPed[[#This Row],[CÁLCULO]]&gt;0), IF( tabPontoPed[[#This Row],[MENSAL]] - tabPontoPed[[#This Row],[CÁLCULO]] &lt; 0, -1, IF( tabPontoPed[[#This Row],[MENSAL]] - tabPontoPed[[#This Row],[CÁLCULO]] &gt; 0, 1, -8)), -9 )</f>
        <v>1</v>
      </c>
      <c r="W386" s="35"/>
      <c r="X386" s="49" t="s">
        <v>1564</v>
      </c>
      <c r="Y386" s="51">
        <v>44391.599108796298</v>
      </c>
      <c r="Z386" s="72">
        <f>tabPontoPed[CÁLC_4M] - tabPontoPed[CÁLCULO]</f>
        <v>-1</v>
      </c>
      <c r="AA386" s="79" t="str">
        <f>IF(tabPontoPed[MENSAL]-tabPontoPed[ATA MENSAL] = 0,"sim","")</f>
        <v/>
      </c>
      <c r="AB386" s="79"/>
      <c r="AC386" s="47" t="str">
        <f t="shared" si="5"/>
        <v>*</v>
      </c>
    </row>
    <row r="387" spans="1:29" x14ac:dyDescent="0.25">
      <c r="A387" s="36">
        <v>33612</v>
      </c>
      <c r="B387" s="68" t="s">
        <v>861</v>
      </c>
      <c r="C387" s="33" t="s">
        <v>1317</v>
      </c>
      <c r="D387" s="32">
        <v>67</v>
      </c>
      <c r="E387" s="37">
        <v>14</v>
      </c>
      <c r="F387" s="38" t="str">
        <f>VLOOKUP(tabPontoPed[[#This Row],[GRUPO]],tabGrupos[#Data],2,FALSE)</f>
        <v>PARAFUSOS ELEM. VEDACAO UNIAO CONEX . FIXACAO</v>
      </c>
      <c r="G387" s="32" t="str">
        <f>VLOOKUP(tabPontoPed[[#This Row],[GRUPO]],tabGrupos[#Data],3,FALSE)</f>
        <v>MSE</v>
      </c>
      <c r="H387" s="33" t="s">
        <v>1311</v>
      </c>
      <c r="I387" s="80">
        <v>4</v>
      </c>
      <c r="J387" s="39">
        <v>6</v>
      </c>
      <c r="K387" s="41">
        <f>tabPontoPed[[#This Row],[QTDMÊS]] * tabPontoPed[[#This Row],[MENSAL]]</f>
        <v>24</v>
      </c>
      <c r="L387" s="83"/>
      <c r="M387" s="81"/>
      <c r="N387" s="34" t="s">
        <v>1009</v>
      </c>
      <c r="O387" s="76"/>
      <c r="P387" s="77">
        <v>0</v>
      </c>
      <c r="Q387" s="57">
        <v>3</v>
      </c>
      <c r="R387" s="42">
        <v>3</v>
      </c>
      <c r="S387" s="69" t="str">
        <f>_xlfn.IFNA(IF(VLOOKUP(tabPontoPed[[#This Row],[CÓDIGO]],tabExcluirDoEstoque[#Data],1,FALSE),"sim",""),"")</f>
        <v/>
      </c>
      <c r="T387" s="43">
        <f>IF(AND(tabPontoPed[[#This Row],[MENSAL]]&gt;0,tabPontoPed[[#This Row],[CÁLCULO]]&gt;0), ABS( tabPontoPed[[#This Row],[MENSAL]] - tabPontoPed[[#This Row],[CÁLCULO]] ) / tabPontoPed[[#This Row],[MENSAL]], -1 )</f>
        <v>0.5</v>
      </c>
      <c r="U387" s="58">
        <v>10</v>
      </c>
      <c r="V387" s="35">
        <f>IF(AND(tabPontoPed[[#This Row],[MENSAL]]&gt;0,tabPontoPed[[#This Row],[CÁLCULO]]&gt;0), IF( tabPontoPed[[#This Row],[MENSAL]] - tabPontoPed[[#This Row],[CÁLCULO]] &lt; 0, -1, IF( tabPontoPed[[#This Row],[MENSAL]] - tabPontoPed[[#This Row],[CÁLCULO]] &gt; 0, 1, -8)), -9 )</f>
        <v>1</v>
      </c>
      <c r="W387" s="35"/>
      <c r="X387" s="49" t="s">
        <v>1564</v>
      </c>
      <c r="Y387" s="51">
        <v>44391.599108796298</v>
      </c>
      <c r="Z387" s="72">
        <f>tabPontoPed[CÁLC_4M] - tabPontoPed[CÁLCULO]</f>
        <v>0</v>
      </c>
      <c r="AA387" s="79" t="str">
        <f>IF(tabPontoPed[MENSAL]-tabPontoPed[ATA MENSAL] = 0,"sim","")</f>
        <v/>
      </c>
      <c r="AB387" s="79"/>
      <c r="AC387" s="47" t="str">
        <f t="shared" ref="AC387:AC450" si="6">"*"</f>
        <v>*</v>
      </c>
    </row>
    <row r="388" spans="1:29" x14ac:dyDescent="0.25">
      <c r="A388" s="36">
        <v>102690</v>
      </c>
      <c r="B388" s="68" t="s">
        <v>888</v>
      </c>
      <c r="C388" s="33" t="s">
        <v>1317</v>
      </c>
      <c r="D388" s="32">
        <v>69</v>
      </c>
      <c r="E388" s="37">
        <v>5</v>
      </c>
      <c r="F388" s="38" t="str">
        <f>VLOOKUP(tabPontoPed[[#This Row],[GRUPO]],tabGrupos[#Data],2,FALSE)</f>
        <v>METAIS,LAMINAD.,PERFILADOS E ARTEFATOS METALICOS</v>
      </c>
      <c r="G388" s="32" t="str">
        <f>VLOOKUP(tabPontoPed[[#This Row],[GRUPO]],tabGrupos[#Data],3,FALSE)</f>
        <v>MSE</v>
      </c>
      <c r="H388" s="33" t="s">
        <v>1311</v>
      </c>
      <c r="I388" s="80">
        <v>4</v>
      </c>
      <c r="J388" s="39">
        <v>2</v>
      </c>
      <c r="K388" s="41">
        <f>tabPontoPed[[#This Row],[QTDMÊS]] * tabPontoPed[[#This Row],[MENSAL]]</f>
        <v>8</v>
      </c>
      <c r="L388" s="83"/>
      <c r="M388" s="81"/>
      <c r="N388" s="34" t="s">
        <v>1009</v>
      </c>
      <c r="O388" s="76"/>
      <c r="P388" s="77">
        <v>0</v>
      </c>
      <c r="Q388" s="57">
        <v>2</v>
      </c>
      <c r="R388" s="42">
        <v>3</v>
      </c>
      <c r="S388" s="69" t="str">
        <f>_xlfn.IFNA(IF(VLOOKUP(tabPontoPed[[#This Row],[CÓDIGO]],tabExcluirDoEstoque[#Data],1,FALSE),"sim",""),"")</f>
        <v/>
      </c>
      <c r="T388" s="43">
        <f>IF(AND(tabPontoPed[[#This Row],[MENSAL]]&gt;0,tabPontoPed[[#This Row],[CÁLCULO]]&gt;0), ABS( tabPontoPed[[#This Row],[MENSAL]] - tabPontoPed[[#This Row],[CÁLCULO]] ) / tabPontoPed[[#This Row],[MENSAL]], -1 )</f>
        <v>0.5</v>
      </c>
      <c r="U388" s="58">
        <v>10</v>
      </c>
      <c r="V388" s="35">
        <f>IF(AND(tabPontoPed[[#This Row],[MENSAL]]&gt;0,tabPontoPed[[#This Row],[CÁLCULO]]&gt;0), IF( tabPontoPed[[#This Row],[MENSAL]] - tabPontoPed[[#This Row],[CÁLCULO]] &lt; 0, -1, IF( tabPontoPed[[#This Row],[MENSAL]] - tabPontoPed[[#This Row],[CÁLCULO]] &gt; 0, 1, -8)), -9 )</f>
        <v>-1</v>
      </c>
      <c r="W388" s="35"/>
      <c r="X388" s="49" t="s">
        <v>1564</v>
      </c>
      <c r="Y388" s="51">
        <v>44391.599108796298</v>
      </c>
      <c r="Z388" s="72">
        <f>tabPontoPed[CÁLC_4M] - tabPontoPed[CÁLCULO]</f>
        <v>-1</v>
      </c>
      <c r="AA388" s="79" t="str">
        <f>IF(tabPontoPed[MENSAL]-tabPontoPed[ATA MENSAL] = 0,"sim","")</f>
        <v/>
      </c>
      <c r="AB388" s="79"/>
      <c r="AC388" s="47" t="str">
        <f t="shared" si="6"/>
        <v>*</v>
      </c>
    </row>
    <row r="389" spans="1:29" x14ac:dyDescent="0.25">
      <c r="A389" s="36">
        <v>132303</v>
      </c>
      <c r="B389" s="68" t="s">
        <v>97</v>
      </c>
      <c r="C389" s="33" t="s">
        <v>1317</v>
      </c>
      <c r="D389" s="32">
        <v>57</v>
      </c>
      <c r="E389" s="37">
        <v>17</v>
      </c>
      <c r="F389" s="38" t="str">
        <f>VLOOKUP(tabPontoPed[[#This Row],[GRUPO]],tabGrupos[#Data],2,FALSE)</f>
        <v>MAQ. E EQUIP. P/ IND. GRAFICA COMP. ACESS. E PAPEI</v>
      </c>
      <c r="G389" s="32" t="str">
        <f>VLOOKUP(tabPontoPed[[#This Row],[GRUPO]],tabGrupos[#Data],3,FALSE)</f>
        <v>EDU</v>
      </c>
      <c r="H389" s="33" t="s">
        <v>1311</v>
      </c>
      <c r="I389" s="80">
        <v>4</v>
      </c>
      <c r="J389" s="39">
        <v>2084</v>
      </c>
      <c r="K389" s="41">
        <f>tabPontoPed[[#This Row],[QTDMÊS]] * tabPontoPed[[#This Row],[MENSAL]]</f>
        <v>8336</v>
      </c>
      <c r="L389" s="83"/>
      <c r="M389" s="81"/>
      <c r="N389" s="34" t="s">
        <v>1009</v>
      </c>
      <c r="O389" s="76" t="s">
        <v>1718</v>
      </c>
      <c r="P389" s="77">
        <v>0</v>
      </c>
      <c r="Q389" s="57">
        <v>411</v>
      </c>
      <c r="R389" s="42">
        <v>1052</v>
      </c>
      <c r="S389" s="69" t="str">
        <f>_xlfn.IFNA(IF(VLOOKUP(tabPontoPed[[#This Row],[CÓDIGO]],tabExcluirDoEstoque[#Data],1,FALSE),"sim",""),"")</f>
        <v/>
      </c>
      <c r="T389" s="43">
        <f>IF(AND(tabPontoPed[[#This Row],[MENSAL]]&gt;0,tabPontoPed[[#This Row],[CÁLCULO]]&gt;0), ABS( tabPontoPed[[#This Row],[MENSAL]] - tabPontoPed[[#This Row],[CÁLCULO]] ) / tabPontoPed[[#This Row],[MENSAL]], -1 )</f>
        <v>0.49520153550863721</v>
      </c>
      <c r="U389" s="58">
        <v>8151</v>
      </c>
      <c r="V389" s="35">
        <f>IF(AND(tabPontoPed[[#This Row],[MENSAL]]&gt;0,tabPontoPed[[#This Row],[CÁLCULO]]&gt;0), IF( tabPontoPed[[#This Row],[MENSAL]] - tabPontoPed[[#This Row],[CÁLCULO]] &lt; 0, -1, IF( tabPontoPed[[#This Row],[MENSAL]] - tabPontoPed[[#This Row],[CÁLCULO]] &gt; 0, 1, -8)), -9 )</f>
        <v>1</v>
      </c>
      <c r="W389" s="35"/>
      <c r="X389" s="48" t="s">
        <v>1564</v>
      </c>
      <c r="Y389" s="53">
        <v>44391.599108796298</v>
      </c>
      <c r="Z389" s="72">
        <f>tabPontoPed[CÁLC_4M] - tabPontoPed[CÁLCULO]</f>
        <v>-641</v>
      </c>
      <c r="AA389" s="79" t="str">
        <f>IF(tabPontoPed[MENSAL]-tabPontoPed[ATA MENSAL] = 0,"sim","")</f>
        <v/>
      </c>
      <c r="AB389" s="79" t="s">
        <v>1614</v>
      </c>
      <c r="AC389" s="47" t="str">
        <f t="shared" si="6"/>
        <v>*</v>
      </c>
    </row>
    <row r="390" spans="1:29" x14ac:dyDescent="0.25">
      <c r="A390" s="36">
        <v>20554</v>
      </c>
      <c r="B390" s="68" t="s">
        <v>845</v>
      </c>
      <c r="C390" s="33" t="s">
        <v>1317</v>
      </c>
      <c r="D390" s="32">
        <v>67</v>
      </c>
      <c r="E390" s="37">
        <v>7</v>
      </c>
      <c r="F390" s="38" t="str">
        <f>VLOOKUP(tabPontoPed[[#This Row],[GRUPO]],tabGrupos[#Data],2,FALSE)</f>
        <v>PARAFUSOS ELEM. VEDACAO UNIAO CONEX . FIXACAO</v>
      </c>
      <c r="G390" s="32" t="str">
        <f>VLOOKUP(tabPontoPed[[#This Row],[GRUPO]],tabGrupos[#Data],3,FALSE)</f>
        <v>MSE</v>
      </c>
      <c r="H390" s="33" t="s">
        <v>1311</v>
      </c>
      <c r="I390" s="80">
        <v>4</v>
      </c>
      <c r="J390" s="39">
        <v>1321</v>
      </c>
      <c r="K390" s="41">
        <f>tabPontoPed[[#This Row],[QTDMÊS]] * tabPontoPed[[#This Row],[MENSAL]]</f>
        <v>5284</v>
      </c>
      <c r="L390" s="83"/>
      <c r="M390" s="81"/>
      <c r="N390" s="34" t="s">
        <v>1009</v>
      </c>
      <c r="O390" s="76"/>
      <c r="P390" s="77">
        <v>0</v>
      </c>
      <c r="Q390" s="57">
        <v>675</v>
      </c>
      <c r="R390" s="42">
        <v>675</v>
      </c>
      <c r="S390" s="69" t="str">
        <f>_xlfn.IFNA(IF(VLOOKUP(tabPontoPed[[#This Row],[CÓDIGO]],tabExcluirDoEstoque[#Data],1,FALSE),"sim",""),"")</f>
        <v/>
      </c>
      <c r="T390" s="43">
        <f>IF(AND(tabPontoPed[[#This Row],[MENSAL]]&gt;0,tabPontoPed[[#This Row],[CÁLCULO]]&gt;0), ABS( tabPontoPed[[#This Row],[MENSAL]] - tabPontoPed[[#This Row],[CÁLCULO]] ) / tabPontoPed[[#This Row],[MENSAL]], -1 )</f>
        <v>0.48902346707040123</v>
      </c>
      <c r="U390" s="58">
        <v>1200</v>
      </c>
      <c r="V390" s="35">
        <f>IF(AND(tabPontoPed[[#This Row],[MENSAL]]&gt;0,tabPontoPed[[#This Row],[CÁLCULO]]&gt;0), IF( tabPontoPed[[#This Row],[MENSAL]] - tabPontoPed[[#This Row],[CÁLCULO]] &lt; 0, -1, IF( tabPontoPed[[#This Row],[MENSAL]] - tabPontoPed[[#This Row],[CÁLCULO]] &gt; 0, 1, -8)), -9 )</f>
        <v>1</v>
      </c>
      <c r="W390" s="35"/>
      <c r="X390" s="48" t="s">
        <v>1564</v>
      </c>
      <c r="Y390" s="53">
        <v>44391.599108796298</v>
      </c>
      <c r="Z390" s="72">
        <f>tabPontoPed[CÁLC_4M] - tabPontoPed[CÁLCULO]</f>
        <v>0</v>
      </c>
      <c r="AA390" s="79" t="str">
        <f>IF(tabPontoPed[MENSAL]-tabPontoPed[ATA MENSAL] = 0,"sim","")</f>
        <v/>
      </c>
      <c r="AB390" s="79"/>
      <c r="AC390" s="47" t="str">
        <f t="shared" si="6"/>
        <v>*</v>
      </c>
    </row>
    <row r="391" spans="1:29" x14ac:dyDescent="0.25">
      <c r="A391" s="36">
        <v>134558</v>
      </c>
      <c r="B391" s="68" t="s">
        <v>899</v>
      </c>
      <c r="C391" s="33" t="s">
        <v>1317</v>
      </c>
      <c r="D391" s="32">
        <v>70</v>
      </c>
      <c r="E391" s="37">
        <v>16</v>
      </c>
      <c r="F391" s="38" t="str">
        <f>VLOOKUP(tabPontoPed[[#This Row],[GRUPO]],tabGrupos[#Data],2,FALSE)</f>
        <v>FERRAMENTAS MAQ.FERRAMENTAS,ELETR.PECAS E ACESSORI</v>
      </c>
      <c r="G391" s="32" t="str">
        <f>VLOOKUP(tabPontoPed[[#This Row],[GRUPO]],tabGrupos[#Data],3,FALSE)</f>
        <v>MAN</v>
      </c>
      <c r="H391" s="33" t="s">
        <v>1311</v>
      </c>
      <c r="I391" s="80">
        <v>4</v>
      </c>
      <c r="J391" s="39">
        <v>45</v>
      </c>
      <c r="K391" s="41">
        <f>tabPontoPed[[#This Row],[QTDMÊS]] * tabPontoPed[[#This Row],[MENSAL]]</f>
        <v>180</v>
      </c>
      <c r="L391" s="83"/>
      <c r="M391" s="81"/>
      <c r="N391" s="34" t="s">
        <v>1009</v>
      </c>
      <c r="O391" s="76"/>
      <c r="P391" s="77">
        <v>0</v>
      </c>
      <c r="Q391" s="57">
        <v>0</v>
      </c>
      <c r="R391" s="42">
        <v>67</v>
      </c>
      <c r="S391" s="69" t="str">
        <f>_xlfn.IFNA(IF(VLOOKUP(tabPontoPed[[#This Row],[CÓDIGO]],tabExcluirDoEstoque[#Data],1,FALSE),"sim",""),"")</f>
        <v/>
      </c>
      <c r="T391" s="43">
        <f>IF(AND(tabPontoPed[[#This Row],[MENSAL]]&gt;0,tabPontoPed[[#This Row],[CÁLCULO]]&gt;0), ABS( tabPontoPed[[#This Row],[MENSAL]] - tabPontoPed[[#This Row],[CÁLCULO]] ) / tabPontoPed[[#This Row],[MENSAL]], -1 )</f>
        <v>0.48888888888888887</v>
      </c>
      <c r="U391" s="58">
        <v>800</v>
      </c>
      <c r="V391" s="35">
        <f>IF(AND(tabPontoPed[[#This Row],[MENSAL]]&gt;0,tabPontoPed[[#This Row],[CÁLCULO]]&gt;0), IF( tabPontoPed[[#This Row],[MENSAL]] - tabPontoPed[[#This Row],[CÁLCULO]] &lt; 0, -1, IF( tabPontoPed[[#This Row],[MENSAL]] - tabPontoPed[[#This Row],[CÁLCULO]] &gt; 0, 1, -8)), -9 )</f>
        <v>-1</v>
      </c>
      <c r="W391" s="35"/>
      <c r="X391" s="49" t="s">
        <v>1564</v>
      </c>
      <c r="Y391" s="51">
        <v>44391.599108796298</v>
      </c>
      <c r="Z391" s="72">
        <f>tabPontoPed[CÁLC_4M] - tabPontoPed[CÁLCULO]</f>
        <v>-67</v>
      </c>
      <c r="AA391" s="79" t="str">
        <f>IF(tabPontoPed[MENSAL]-tabPontoPed[ATA MENSAL] = 0,"sim","")</f>
        <v/>
      </c>
      <c r="AB391" s="79"/>
      <c r="AC391" s="47" t="str">
        <f t="shared" si="6"/>
        <v>*</v>
      </c>
    </row>
    <row r="392" spans="1:29" x14ac:dyDescent="0.25">
      <c r="A392" s="36">
        <v>51579</v>
      </c>
      <c r="B392" s="68" t="s">
        <v>42</v>
      </c>
      <c r="C392" s="33" t="s">
        <v>1317</v>
      </c>
      <c r="D392" s="32">
        <v>45</v>
      </c>
      <c r="E392" s="37">
        <v>12</v>
      </c>
      <c r="F392" s="38" t="str">
        <f>VLOOKUP(tabPontoPed[[#This Row],[GRUPO]],tabGrupos[#Data],2,FALSE)</f>
        <v>MAQ., EQUIP., COMP., ACES., MAT. PARA ESCRIT.E ESCOLAR</v>
      </c>
      <c r="G392" s="32" t="str">
        <f>VLOOKUP(tabPontoPed[[#This Row],[GRUPO]],tabGrupos[#Data],3,FALSE)</f>
        <v>EDU</v>
      </c>
      <c r="H392" s="33" t="s">
        <v>1311</v>
      </c>
      <c r="I392" s="80">
        <v>4</v>
      </c>
      <c r="J392" s="39">
        <v>125</v>
      </c>
      <c r="K392" s="41">
        <f>tabPontoPed[[#This Row],[QTDMÊS]] * tabPontoPed[[#This Row],[MENSAL]]</f>
        <v>500</v>
      </c>
      <c r="L392" s="83"/>
      <c r="M392" s="81"/>
      <c r="N392" s="34" t="s">
        <v>1009</v>
      </c>
      <c r="O392" s="76" t="s">
        <v>1696</v>
      </c>
      <c r="P392" s="77">
        <v>0</v>
      </c>
      <c r="Q392" s="57">
        <v>73</v>
      </c>
      <c r="R392" s="42">
        <v>64</v>
      </c>
      <c r="S392" s="69" t="str">
        <f>_xlfn.IFNA(IF(VLOOKUP(tabPontoPed[[#This Row],[CÓDIGO]],tabExcluirDoEstoque[#Data],1,FALSE),"sim",""),"")</f>
        <v/>
      </c>
      <c r="T392" s="43">
        <f>IF(AND(tabPontoPed[[#This Row],[MENSAL]]&gt;0,tabPontoPed[[#This Row],[CÁLCULO]]&gt;0), ABS( tabPontoPed[[#This Row],[MENSAL]] - tabPontoPed[[#This Row],[CÁLCULO]] ) / tabPontoPed[[#This Row],[MENSAL]], -1 )</f>
        <v>0.48799999999999999</v>
      </c>
      <c r="U392" s="58">
        <v>108</v>
      </c>
      <c r="V392" s="35">
        <f>IF(AND(tabPontoPed[[#This Row],[MENSAL]]&gt;0,tabPontoPed[[#This Row],[CÁLCULO]]&gt;0), IF( tabPontoPed[[#This Row],[MENSAL]] - tabPontoPed[[#This Row],[CÁLCULO]] &lt; 0, -1, IF( tabPontoPed[[#This Row],[MENSAL]] - tabPontoPed[[#This Row],[CÁLCULO]] &gt; 0, 1, -8)), -9 )</f>
        <v>1</v>
      </c>
      <c r="W392" s="35"/>
      <c r="X392" s="49" t="s">
        <v>1564</v>
      </c>
      <c r="Y392" s="51">
        <v>44391.599108796298</v>
      </c>
      <c r="Z392" s="72">
        <f>tabPontoPed[CÁLC_4M] - tabPontoPed[CÁLCULO]</f>
        <v>9</v>
      </c>
      <c r="AA392" s="79" t="str">
        <f>IF(tabPontoPed[MENSAL]-tabPontoPed[ATA MENSAL] = 0,"sim","")</f>
        <v/>
      </c>
      <c r="AB392" s="79" t="s">
        <v>1614</v>
      </c>
      <c r="AC392" s="47" t="str">
        <f t="shared" si="6"/>
        <v>*</v>
      </c>
    </row>
    <row r="393" spans="1:29" x14ac:dyDescent="0.25">
      <c r="A393" s="36">
        <v>106038</v>
      </c>
      <c r="B393" s="68" t="s">
        <v>719</v>
      </c>
      <c r="C393" s="33" t="s">
        <v>1317</v>
      </c>
      <c r="D393" s="32">
        <v>60</v>
      </c>
      <c r="E393" s="37">
        <v>21</v>
      </c>
      <c r="F393" s="38" t="str">
        <f>VLOOKUP(tabPontoPed[[#This Row],[GRUPO]],tabGrupos[#Data],2,FALSE)</f>
        <v>COMPUT.SOFT. PROCES. EQUIP. SUPRI. COMP. ACESS. INFORMAT</v>
      </c>
      <c r="G393" s="32" t="str">
        <f>VLOOKUP(tabPontoPed[[#This Row],[GRUPO]],tabGrupos[#Data],3,FALSE)</f>
        <v>INF</v>
      </c>
      <c r="H393" s="33" t="s">
        <v>1311</v>
      </c>
      <c r="I393" s="80">
        <v>4</v>
      </c>
      <c r="J393" s="39">
        <v>35</v>
      </c>
      <c r="K393" s="41">
        <f>tabPontoPed[[#This Row],[QTDMÊS]] * tabPontoPed[[#This Row],[MENSAL]]</f>
        <v>140</v>
      </c>
      <c r="L393" s="83"/>
      <c r="M393" s="81"/>
      <c r="N393" s="34" t="s">
        <v>1009</v>
      </c>
      <c r="O393" s="76"/>
      <c r="P393" s="77">
        <v>0</v>
      </c>
      <c r="Q393" s="57">
        <v>55</v>
      </c>
      <c r="R393" s="42">
        <v>52</v>
      </c>
      <c r="S393" s="69" t="str">
        <f>_xlfn.IFNA(IF(VLOOKUP(tabPontoPed[[#This Row],[CÓDIGO]],tabExcluirDoEstoque[#Data],1,FALSE),"sim",""),"")</f>
        <v/>
      </c>
      <c r="T393" s="43">
        <f>IF(AND(tabPontoPed[[#This Row],[MENSAL]]&gt;0,tabPontoPed[[#This Row],[CÁLCULO]]&gt;0), ABS( tabPontoPed[[#This Row],[MENSAL]] - tabPontoPed[[#This Row],[CÁLCULO]] ) / tabPontoPed[[#This Row],[MENSAL]], -1 )</f>
        <v>0.48571428571428571</v>
      </c>
      <c r="U393" s="58">
        <v>220</v>
      </c>
      <c r="V393" s="35">
        <f>IF(AND(tabPontoPed[[#This Row],[MENSAL]]&gt;0,tabPontoPed[[#This Row],[CÁLCULO]]&gt;0), IF( tabPontoPed[[#This Row],[MENSAL]] - tabPontoPed[[#This Row],[CÁLCULO]] &lt; 0, -1, IF( tabPontoPed[[#This Row],[MENSAL]] - tabPontoPed[[#This Row],[CÁLCULO]] &gt; 0, 1, -8)), -9 )</f>
        <v>-1</v>
      </c>
      <c r="W393" s="35"/>
      <c r="X393" s="49" t="s">
        <v>1564</v>
      </c>
      <c r="Y393" s="51">
        <v>44391.599108796298</v>
      </c>
      <c r="Z393" s="72">
        <f>tabPontoPed[CÁLC_4M] - tabPontoPed[CÁLCULO]</f>
        <v>3</v>
      </c>
      <c r="AA393" s="79" t="str">
        <f>IF(tabPontoPed[MENSAL]-tabPontoPed[ATA MENSAL] = 0,"sim","")</f>
        <v/>
      </c>
      <c r="AB393" s="79"/>
      <c r="AC393" s="47" t="str">
        <f t="shared" si="6"/>
        <v>*</v>
      </c>
    </row>
    <row r="394" spans="1:29" x14ac:dyDescent="0.25">
      <c r="A394" s="36">
        <v>19842</v>
      </c>
      <c r="B394" s="68" t="s">
        <v>815</v>
      </c>
      <c r="C394" s="33" t="s">
        <v>1317</v>
      </c>
      <c r="D394" s="32">
        <v>62</v>
      </c>
      <c r="E394" s="37">
        <v>12</v>
      </c>
      <c r="F394" s="38" t="str">
        <f>VLOOKUP(tabPontoPed[[#This Row],[GRUPO]],tabGrupos[#Data],2,FALSE)</f>
        <v>VEST., ART.P/ TOUC.E HIG. PES. MAQ., EQUIP., MAT.E ACES.</v>
      </c>
      <c r="G394" s="32" t="str">
        <f>VLOOKUP(tabPontoPed[[#This Row],[GRUPO]],tabGrupos[#Data],3,FALSE)</f>
        <v>ADM</v>
      </c>
      <c r="H394" s="33" t="s">
        <v>1311</v>
      </c>
      <c r="I394" s="80">
        <v>4</v>
      </c>
      <c r="J394" s="39">
        <v>532</v>
      </c>
      <c r="K394" s="41">
        <f>tabPontoPed[[#This Row],[QTDMÊS]] * tabPontoPed[[#This Row],[MENSAL]]</f>
        <v>2128</v>
      </c>
      <c r="L394" s="83"/>
      <c r="M394" s="81"/>
      <c r="N394" s="34" t="s">
        <v>1009</v>
      </c>
      <c r="O394" s="76" t="s">
        <v>1731</v>
      </c>
      <c r="P394" s="77">
        <v>0</v>
      </c>
      <c r="Q394" s="57">
        <v>401</v>
      </c>
      <c r="R394" s="42">
        <v>274</v>
      </c>
      <c r="S394" s="69" t="str">
        <f>_xlfn.IFNA(IF(VLOOKUP(tabPontoPed[[#This Row],[CÓDIGO]],tabExcluirDoEstoque[#Data],1,FALSE),"sim",""),"")</f>
        <v/>
      </c>
      <c r="T394" s="43">
        <f>IF(AND(tabPontoPed[[#This Row],[MENSAL]]&gt;0,tabPontoPed[[#This Row],[CÁLCULO]]&gt;0), ABS( tabPontoPed[[#This Row],[MENSAL]] - tabPontoPed[[#This Row],[CÁLCULO]] ) / tabPontoPed[[#This Row],[MENSAL]], -1 )</f>
        <v>0.48496240601503759</v>
      </c>
      <c r="U394" s="58">
        <v>438</v>
      </c>
      <c r="V394" s="35">
        <f>IF(AND(tabPontoPed[[#This Row],[MENSAL]]&gt;0,tabPontoPed[[#This Row],[CÁLCULO]]&gt;0), IF( tabPontoPed[[#This Row],[MENSAL]] - tabPontoPed[[#This Row],[CÁLCULO]] &lt; 0, -1, IF( tabPontoPed[[#This Row],[MENSAL]] - tabPontoPed[[#This Row],[CÁLCULO]] &gt; 0, 1, -8)), -9 )</f>
        <v>1</v>
      </c>
      <c r="W394" s="35"/>
      <c r="X394" s="49" t="s">
        <v>1564</v>
      </c>
      <c r="Y394" s="51">
        <v>44391.599108796298</v>
      </c>
      <c r="Z394" s="72">
        <f>tabPontoPed[CÁLC_4M] - tabPontoPed[CÁLCULO]</f>
        <v>127</v>
      </c>
      <c r="AA394" s="79" t="str">
        <f>IF(tabPontoPed[MENSAL]-tabPontoPed[ATA MENSAL] = 0,"sim","")</f>
        <v/>
      </c>
      <c r="AB394" s="79"/>
      <c r="AC394" s="47" t="str">
        <f t="shared" si="6"/>
        <v>*</v>
      </c>
    </row>
    <row r="395" spans="1:29" x14ac:dyDescent="0.25">
      <c r="A395" s="36">
        <v>125262</v>
      </c>
      <c r="B395" s="68" t="s">
        <v>534</v>
      </c>
      <c r="C395" s="33" t="s">
        <v>1317</v>
      </c>
      <c r="D395" s="32">
        <v>51</v>
      </c>
      <c r="E395" s="37">
        <v>21</v>
      </c>
      <c r="F395" s="38" t="str">
        <f>VLOOKUP(tabPontoPed[[#This Row],[GRUPO]],tabGrupos[#Data],2,FALSE)</f>
        <v>MAT.E EQUIP. P/ CONSTR.CIVIL E CONSERV. DE VIAS PUBL.</v>
      </c>
      <c r="G395" s="32" t="str">
        <f>VLOOKUP(tabPontoPed[[#This Row],[GRUPO]],tabGrupos[#Data],3,FALSE)</f>
        <v>MCO</v>
      </c>
      <c r="H395" s="33" t="s">
        <v>1311</v>
      </c>
      <c r="I395" s="80">
        <v>4</v>
      </c>
      <c r="J395" s="39">
        <v>62</v>
      </c>
      <c r="K395" s="41">
        <f>tabPontoPed[[#This Row],[QTDMÊS]] * tabPontoPed[[#This Row],[MENSAL]]</f>
        <v>248</v>
      </c>
      <c r="L395" s="83"/>
      <c r="M395" s="81"/>
      <c r="N395" s="34" t="s">
        <v>1009</v>
      </c>
      <c r="O395" s="76" t="s">
        <v>1702</v>
      </c>
      <c r="P395" s="77">
        <v>0</v>
      </c>
      <c r="Q395" s="57">
        <v>241</v>
      </c>
      <c r="R395" s="42">
        <v>92</v>
      </c>
      <c r="S395" s="69" t="str">
        <f>_xlfn.IFNA(IF(VLOOKUP(tabPontoPed[[#This Row],[CÓDIGO]],tabExcluirDoEstoque[#Data],1,FALSE),"sim",""),"")</f>
        <v/>
      </c>
      <c r="T395" s="43">
        <f>IF(AND(tabPontoPed[[#This Row],[MENSAL]]&gt;0,tabPontoPed[[#This Row],[CÁLCULO]]&gt;0), ABS( tabPontoPed[[#This Row],[MENSAL]] - tabPontoPed[[#This Row],[CÁLCULO]] ) / tabPontoPed[[#This Row],[MENSAL]], -1 )</f>
        <v>0.4838709677419355</v>
      </c>
      <c r="U395" s="58">
        <v>600</v>
      </c>
      <c r="V395" s="35">
        <f>IF(AND(tabPontoPed[[#This Row],[MENSAL]]&gt;0,tabPontoPed[[#This Row],[CÁLCULO]]&gt;0), IF( tabPontoPed[[#This Row],[MENSAL]] - tabPontoPed[[#This Row],[CÁLCULO]] &lt; 0, -1, IF( tabPontoPed[[#This Row],[MENSAL]] - tabPontoPed[[#This Row],[CÁLCULO]] &gt; 0, 1, -8)), -9 )</f>
        <v>-1</v>
      </c>
      <c r="W395" s="35"/>
      <c r="X395" s="49" t="s">
        <v>1564</v>
      </c>
      <c r="Y395" s="51">
        <v>44391.599108796298</v>
      </c>
      <c r="Z395" s="72">
        <f>tabPontoPed[CÁLC_4M] - tabPontoPed[CÁLCULO]</f>
        <v>149</v>
      </c>
      <c r="AA395" s="79" t="str">
        <f>IF(tabPontoPed[MENSAL]-tabPontoPed[ATA MENSAL] = 0,"sim","")</f>
        <v/>
      </c>
      <c r="AB395" s="79"/>
      <c r="AC395" s="47" t="str">
        <f t="shared" si="6"/>
        <v>*</v>
      </c>
    </row>
    <row r="396" spans="1:29" x14ac:dyDescent="0.25">
      <c r="A396" s="36">
        <v>13539</v>
      </c>
      <c r="B396" s="68" t="s">
        <v>477</v>
      </c>
      <c r="C396" s="33" t="s">
        <v>1317</v>
      </c>
      <c r="D396" s="32">
        <v>45</v>
      </c>
      <c r="E396" s="37">
        <v>17</v>
      </c>
      <c r="F396" s="38" t="str">
        <f>VLOOKUP(tabPontoPed[[#This Row],[GRUPO]],tabGrupos[#Data],2,FALSE)</f>
        <v>MAQ., EQUIP., COMP., ACES., MAT. PARA ESCRIT.E ESCOLAR</v>
      </c>
      <c r="G396" s="32" t="str">
        <f>VLOOKUP(tabPontoPed[[#This Row],[GRUPO]],tabGrupos[#Data],3,FALSE)</f>
        <v>EDU</v>
      </c>
      <c r="H396" s="33" t="s">
        <v>1311</v>
      </c>
      <c r="I396" s="80">
        <v>4</v>
      </c>
      <c r="J396" s="39">
        <v>257</v>
      </c>
      <c r="K396" s="41">
        <f>tabPontoPed[[#This Row],[QTDMÊS]] * tabPontoPed[[#This Row],[MENSAL]]</f>
        <v>1028</v>
      </c>
      <c r="L396" s="83"/>
      <c r="M396" s="81"/>
      <c r="N396" s="34" t="s">
        <v>1009</v>
      </c>
      <c r="O396" s="76"/>
      <c r="P396" s="77">
        <v>0</v>
      </c>
      <c r="Q396" s="57">
        <v>259</v>
      </c>
      <c r="R396" s="42">
        <v>134</v>
      </c>
      <c r="S396" s="69" t="str">
        <f>_xlfn.IFNA(IF(VLOOKUP(tabPontoPed[[#This Row],[CÓDIGO]],tabExcluirDoEstoque[#Data],1,FALSE),"sim",""),"")</f>
        <v/>
      </c>
      <c r="T396" s="43">
        <f>IF(AND(tabPontoPed[[#This Row],[MENSAL]]&gt;0,tabPontoPed[[#This Row],[CÁLCULO]]&gt;0), ABS( tabPontoPed[[#This Row],[MENSAL]] - tabPontoPed[[#This Row],[CÁLCULO]] ) / tabPontoPed[[#This Row],[MENSAL]], -1 )</f>
        <v>0.47859922178988329</v>
      </c>
      <c r="U396" s="58">
        <v>325</v>
      </c>
      <c r="V396" s="35">
        <f>IF(AND(tabPontoPed[[#This Row],[MENSAL]]&gt;0,tabPontoPed[[#This Row],[CÁLCULO]]&gt;0), IF( tabPontoPed[[#This Row],[MENSAL]] - tabPontoPed[[#This Row],[CÁLCULO]] &lt; 0, -1, IF( tabPontoPed[[#This Row],[MENSAL]] - tabPontoPed[[#This Row],[CÁLCULO]] &gt; 0, 1, -8)), -9 )</f>
        <v>1</v>
      </c>
      <c r="W396" s="35"/>
      <c r="X396" s="48" t="s">
        <v>1564</v>
      </c>
      <c r="Y396" s="53">
        <v>44391.599108796298</v>
      </c>
      <c r="Z396" s="72">
        <f>tabPontoPed[CÁLC_4M] - tabPontoPed[CÁLCULO]</f>
        <v>125</v>
      </c>
      <c r="AA396" s="79" t="str">
        <f>IF(tabPontoPed[MENSAL]-tabPontoPed[ATA MENSAL] = 0,"sim","")</f>
        <v/>
      </c>
      <c r="AB396" s="79"/>
      <c r="AC396" s="47" t="str">
        <f t="shared" si="6"/>
        <v>*</v>
      </c>
    </row>
    <row r="397" spans="1:29" x14ac:dyDescent="0.25">
      <c r="A397" s="36">
        <v>133450</v>
      </c>
      <c r="B397" s="68" t="s">
        <v>449</v>
      </c>
      <c r="C397" s="33" t="s">
        <v>1317</v>
      </c>
      <c r="D397" s="32">
        <v>45</v>
      </c>
      <c r="E397" s="37">
        <v>11</v>
      </c>
      <c r="F397" s="38" t="str">
        <f>VLOOKUP(tabPontoPed[[#This Row],[GRUPO]],tabGrupos[#Data],2,FALSE)</f>
        <v>MAQ., EQUIP., COMP., ACES., MAT. PARA ESCRIT.E ESCOLAR</v>
      </c>
      <c r="G397" s="32" t="str">
        <f>VLOOKUP(tabPontoPed[[#This Row],[GRUPO]],tabGrupos[#Data],3,FALSE)</f>
        <v>EDU</v>
      </c>
      <c r="H397" s="33" t="s">
        <v>1311</v>
      </c>
      <c r="I397" s="80">
        <v>4</v>
      </c>
      <c r="J397" s="39">
        <v>65</v>
      </c>
      <c r="K397" s="41">
        <f>tabPontoPed[[#This Row],[QTDMÊS]] * tabPontoPed[[#This Row],[MENSAL]]</f>
        <v>260</v>
      </c>
      <c r="L397" s="83"/>
      <c r="M397" s="81"/>
      <c r="N397" s="34" t="s">
        <v>1009</v>
      </c>
      <c r="O397" s="76"/>
      <c r="P397" s="77">
        <v>0</v>
      </c>
      <c r="Q397" s="57">
        <v>35</v>
      </c>
      <c r="R397" s="42">
        <v>34</v>
      </c>
      <c r="S397" s="69" t="str">
        <f>_xlfn.IFNA(IF(VLOOKUP(tabPontoPed[[#This Row],[CÓDIGO]],tabExcluirDoEstoque[#Data],1,FALSE),"sim",""),"")</f>
        <v/>
      </c>
      <c r="T397" s="43">
        <f>IF(AND(tabPontoPed[[#This Row],[MENSAL]]&gt;0,tabPontoPed[[#This Row],[CÁLCULO]]&gt;0), ABS( tabPontoPed[[#This Row],[MENSAL]] - tabPontoPed[[#This Row],[CÁLCULO]] ) / tabPontoPed[[#This Row],[MENSAL]], -1 )</f>
        <v>0.47692307692307695</v>
      </c>
      <c r="U397" s="58">
        <v>61</v>
      </c>
      <c r="V397" s="35">
        <f>IF(AND(tabPontoPed[[#This Row],[MENSAL]]&gt;0,tabPontoPed[[#This Row],[CÁLCULO]]&gt;0), IF( tabPontoPed[[#This Row],[MENSAL]] - tabPontoPed[[#This Row],[CÁLCULO]] &lt; 0, -1, IF( tabPontoPed[[#This Row],[MENSAL]] - tabPontoPed[[#This Row],[CÁLCULO]] &gt; 0, 1, -8)), -9 )</f>
        <v>1</v>
      </c>
      <c r="W397" s="35"/>
      <c r="X397" s="49" t="s">
        <v>1564</v>
      </c>
      <c r="Y397" s="51">
        <v>44391.599108796298</v>
      </c>
      <c r="Z397" s="72">
        <f>tabPontoPed[CÁLC_4M] - tabPontoPed[CÁLCULO]</f>
        <v>1</v>
      </c>
      <c r="AA397" s="79" t="str">
        <f>IF(tabPontoPed[MENSAL]-tabPontoPed[ATA MENSAL] = 0,"sim","")</f>
        <v/>
      </c>
      <c r="AB397" s="79"/>
      <c r="AC397" s="47" t="str">
        <f t="shared" si="6"/>
        <v>*</v>
      </c>
    </row>
    <row r="398" spans="1:29" x14ac:dyDescent="0.25">
      <c r="A398" s="36">
        <v>834</v>
      </c>
      <c r="B398" s="68" t="s">
        <v>65</v>
      </c>
      <c r="C398" s="33" t="s">
        <v>1317</v>
      </c>
      <c r="D398" s="32">
        <v>57</v>
      </c>
      <c r="E398" s="37">
        <v>2</v>
      </c>
      <c r="F398" s="38" t="str">
        <f>VLOOKUP(tabPontoPed[[#This Row],[GRUPO]],tabGrupos[#Data],2,FALSE)</f>
        <v>MAQ. E EQUIP. P/ IND. GRAFICA COMP. ACESS. E PAPEI</v>
      </c>
      <c r="G398" s="32" t="str">
        <f>VLOOKUP(tabPontoPed[[#This Row],[GRUPO]],tabGrupos[#Data],3,FALSE)</f>
        <v>EDU</v>
      </c>
      <c r="H398" s="33" t="s">
        <v>1311</v>
      </c>
      <c r="I398" s="80">
        <v>4</v>
      </c>
      <c r="J398" s="39">
        <v>1250</v>
      </c>
      <c r="K398" s="41">
        <f>tabPontoPed[[#This Row],[QTDMÊS]] * tabPontoPed[[#This Row],[MENSAL]]</f>
        <v>5000</v>
      </c>
      <c r="L398" s="83"/>
      <c r="M398" s="81"/>
      <c r="N398" s="34" t="s">
        <v>1009</v>
      </c>
      <c r="O398" s="76" t="s">
        <v>1632</v>
      </c>
      <c r="P398" s="77">
        <v>834</v>
      </c>
      <c r="Q398" s="57">
        <v>260</v>
      </c>
      <c r="R398" s="42">
        <v>657</v>
      </c>
      <c r="S398" s="69" t="str">
        <f>_xlfn.IFNA(IF(VLOOKUP(tabPontoPed[[#This Row],[CÓDIGO]],tabExcluirDoEstoque[#Data],1,FALSE),"sim",""),"")</f>
        <v/>
      </c>
      <c r="T398" s="43">
        <f>IF(AND(tabPontoPed[[#This Row],[MENSAL]]&gt;0,tabPontoPed[[#This Row],[CÁLCULO]]&gt;0), ABS( tabPontoPed[[#This Row],[MENSAL]] - tabPontoPed[[#This Row],[CÁLCULO]] ) / tabPontoPed[[#This Row],[MENSAL]], -1 )</f>
        <v>0.47439999999999999</v>
      </c>
      <c r="U398" s="58">
        <v>1333</v>
      </c>
      <c r="V398" s="35">
        <f>IF(AND(tabPontoPed[[#This Row],[MENSAL]]&gt;0,tabPontoPed[[#This Row],[CÁLCULO]]&gt;0), IF( tabPontoPed[[#This Row],[MENSAL]] - tabPontoPed[[#This Row],[CÁLCULO]] &lt; 0, -1, IF( tabPontoPed[[#This Row],[MENSAL]] - tabPontoPed[[#This Row],[CÁLCULO]] &gt; 0, 1, -8)), -9 )</f>
        <v>1</v>
      </c>
      <c r="W398" s="35"/>
      <c r="X398" s="48" t="s">
        <v>1564</v>
      </c>
      <c r="Y398" s="53">
        <v>44391.599108796298</v>
      </c>
      <c r="Z398" s="72">
        <f>tabPontoPed[CÁLC_4M] - tabPontoPed[CÁLCULO]</f>
        <v>-397</v>
      </c>
      <c r="AA398" s="79" t="str">
        <f>IF(tabPontoPed[MENSAL]-tabPontoPed[ATA MENSAL] = 0,"sim","")</f>
        <v/>
      </c>
      <c r="AB398" s="79"/>
      <c r="AC398" s="47" t="str">
        <f t="shared" si="6"/>
        <v>*</v>
      </c>
    </row>
    <row r="399" spans="1:29" x14ac:dyDescent="0.25">
      <c r="A399" s="36">
        <v>134373</v>
      </c>
      <c r="B399" s="68" t="s">
        <v>206</v>
      </c>
      <c r="C399" s="33" t="s">
        <v>1317</v>
      </c>
      <c r="D399" s="32">
        <v>55</v>
      </c>
      <c r="E399" s="37">
        <v>66</v>
      </c>
      <c r="F399" s="38" t="str">
        <f>VLOOKUP(tabPontoPed[[#This Row],[GRUPO]],tabGrupos[#Data],2,FALSE)</f>
        <v>EQUIP. MAT. P/ GERACAO, TRANSM. DISTR. RETIF...</v>
      </c>
      <c r="G399" s="32" t="str">
        <f>VLOOKUP(tabPontoPed[[#This Row],[GRUPO]],tabGrupos[#Data],3,FALSE)</f>
        <v>MEL</v>
      </c>
      <c r="H399" s="33" t="s">
        <v>1311</v>
      </c>
      <c r="I399" s="80">
        <v>4</v>
      </c>
      <c r="J399" s="39">
        <v>1000</v>
      </c>
      <c r="K399" s="41">
        <f>tabPontoPed[[#This Row],[QTDMÊS]] * tabPontoPed[[#This Row],[MENSAL]]</f>
        <v>4000</v>
      </c>
      <c r="L399" s="83"/>
      <c r="M399" s="81"/>
      <c r="N399" s="34" t="s">
        <v>1009</v>
      </c>
      <c r="O399" s="76" t="s">
        <v>1733</v>
      </c>
      <c r="P399" s="77">
        <v>0</v>
      </c>
      <c r="Q399" s="57">
        <v>501</v>
      </c>
      <c r="R399" s="42">
        <v>526</v>
      </c>
      <c r="S399" s="69" t="str">
        <f>_xlfn.IFNA(IF(VLOOKUP(tabPontoPed[[#This Row],[CÓDIGO]],tabExcluirDoEstoque[#Data],1,FALSE),"sim",""),"")</f>
        <v/>
      </c>
      <c r="T399" s="43">
        <f>IF(AND(tabPontoPed[[#This Row],[MENSAL]]&gt;0,tabPontoPed[[#This Row],[CÁLCULO]]&gt;0), ABS( tabPontoPed[[#This Row],[MENSAL]] - tabPontoPed[[#This Row],[CÁLCULO]] ) / tabPontoPed[[#This Row],[MENSAL]], -1 )</f>
        <v>0.47399999999999998</v>
      </c>
      <c r="U399" s="58">
        <v>1155</v>
      </c>
      <c r="V399" s="35">
        <f>IF(AND(tabPontoPed[[#This Row],[MENSAL]]&gt;0,tabPontoPed[[#This Row],[CÁLCULO]]&gt;0), IF( tabPontoPed[[#This Row],[MENSAL]] - tabPontoPed[[#This Row],[CÁLCULO]] &lt; 0, -1, IF( tabPontoPed[[#This Row],[MENSAL]] - tabPontoPed[[#This Row],[CÁLCULO]] &gt; 0, 1, -8)), -9 )</f>
        <v>1</v>
      </c>
      <c r="W399" s="35"/>
      <c r="X399" s="49" t="s">
        <v>1564</v>
      </c>
      <c r="Y399" s="51">
        <v>44391.599108796298</v>
      </c>
      <c r="Z399" s="72">
        <f>tabPontoPed[CÁLC_4M] - tabPontoPed[CÁLCULO]</f>
        <v>-25</v>
      </c>
      <c r="AA399" s="79" t="str">
        <f>IF(tabPontoPed[MENSAL]-tabPontoPed[ATA MENSAL] = 0,"sim","")</f>
        <v/>
      </c>
      <c r="AB399" s="79"/>
      <c r="AC399" s="47" t="str">
        <f t="shared" si="6"/>
        <v>*</v>
      </c>
    </row>
    <row r="400" spans="1:29" x14ac:dyDescent="0.25">
      <c r="A400" s="36">
        <v>129961</v>
      </c>
      <c r="B400" s="68" t="s">
        <v>356</v>
      </c>
      <c r="C400" s="33" t="s">
        <v>1317</v>
      </c>
      <c r="D400" s="32">
        <v>55</v>
      </c>
      <c r="E400" s="37">
        <v>26</v>
      </c>
      <c r="F400" s="38" t="str">
        <f>VLOOKUP(tabPontoPed[[#This Row],[GRUPO]],tabGrupos[#Data],2,FALSE)</f>
        <v>EQUIP. MAT. P/ GERACAO, TRANSM. DISTR. RETIF...</v>
      </c>
      <c r="G400" s="32" t="str">
        <f>VLOOKUP(tabPontoPed[[#This Row],[GRUPO]],tabGrupos[#Data],3,FALSE)</f>
        <v>MEL</v>
      </c>
      <c r="H400" s="33" t="s">
        <v>1311</v>
      </c>
      <c r="I400" s="80">
        <v>4</v>
      </c>
      <c r="J400" s="39">
        <v>1.9</v>
      </c>
      <c r="K400" s="41">
        <f>tabPontoPed[[#This Row],[QTDMÊS]] * tabPontoPed[[#This Row],[MENSAL]]</f>
        <v>7.6</v>
      </c>
      <c r="L400" s="83"/>
      <c r="M400" s="81"/>
      <c r="N400" s="34" t="s">
        <v>1009</v>
      </c>
      <c r="O400" s="76" t="s">
        <v>1677</v>
      </c>
      <c r="P400" s="77">
        <v>0</v>
      </c>
      <c r="Q400" s="57">
        <v>1</v>
      </c>
      <c r="R400" s="42">
        <v>1</v>
      </c>
      <c r="S400" s="69" t="str">
        <f>_xlfn.IFNA(IF(VLOOKUP(tabPontoPed[[#This Row],[CÓDIGO]],tabExcluirDoEstoque[#Data],1,FALSE),"sim",""),"")</f>
        <v/>
      </c>
      <c r="T400" s="43">
        <f>IF(AND(tabPontoPed[[#This Row],[MENSAL]]&gt;0,tabPontoPed[[#This Row],[CÁLCULO]]&gt;0), ABS( tabPontoPed[[#This Row],[MENSAL]] - tabPontoPed[[#This Row],[CÁLCULO]] ) / tabPontoPed[[#This Row],[MENSAL]], -1 )</f>
        <v>0.47368421052631576</v>
      </c>
      <c r="U400" s="58">
        <v>1</v>
      </c>
      <c r="V400" s="35">
        <f>IF(AND(tabPontoPed[[#This Row],[MENSAL]]&gt;0,tabPontoPed[[#This Row],[CÁLCULO]]&gt;0), IF( tabPontoPed[[#This Row],[MENSAL]] - tabPontoPed[[#This Row],[CÁLCULO]] &lt; 0, -1, IF( tabPontoPed[[#This Row],[MENSAL]] - tabPontoPed[[#This Row],[CÁLCULO]] &gt; 0, 1, -8)), -9 )</f>
        <v>1</v>
      </c>
      <c r="W400" s="35"/>
      <c r="X400" s="49" t="s">
        <v>1564</v>
      </c>
      <c r="Y400" s="51">
        <v>44391.599108796298</v>
      </c>
      <c r="Z400" s="72">
        <f>tabPontoPed[CÁLC_4M] - tabPontoPed[CÁLCULO]</f>
        <v>0</v>
      </c>
      <c r="AA400" s="79" t="str">
        <f>IF(tabPontoPed[MENSAL]-tabPontoPed[ATA MENSAL] = 0,"sim","")</f>
        <v/>
      </c>
      <c r="AB400" s="79"/>
      <c r="AC400" s="47" t="str">
        <f t="shared" si="6"/>
        <v>*</v>
      </c>
    </row>
    <row r="401" spans="1:29" x14ac:dyDescent="0.25">
      <c r="A401" s="36">
        <v>35555</v>
      </c>
      <c r="B401" s="68" t="s">
        <v>165</v>
      </c>
      <c r="C401" s="33" t="s">
        <v>1317</v>
      </c>
      <c r="D401" s="32">
        <v>83</v>
      </c>
      <c r="E401" s="37">
        <v>2</v>
      </c>
      <c r="F401" s="38" t="str">
        <f>VLOOKUP(tabPontoPed[[#This Row],[GRUPO]],tabGrupos[#Data],2,FALSE)</f>
        <v>ABRASIVOS</v>
      </c>
      <c r="G401" s="32" t="str">
        <f>VLOOKUP(tabPontoPed[[#This Row],[GRUPO]],tabGrupos[#Data],3,FALSE)</f>
        <v>MAN</v>
      </c>
      <c r="H401" s="33" t="s">
        <v>1311</v>
      </c>
      <c r="I401" s="80">
        <v>4</v>
      </c>
      <c r="J401" s="39">
        <v>17</v>
      </c>
      <c r="K401" s="41">
        <f>tabPontoPed[[#This Row],[QTDMÊS]] * tabPontoPed[[#This Row],[MENSAL]]</f>
        <v>68</v>
      </c>
      <c r="L401" s="83"/>
      <c r="M401" s="81"/>
      <c r="N401" s="34" t="s">
        <v>1009</v>
      </c>
      <c r="O401" s="76" t="s">
        <v>1658</v>
      </c>
      <c r="P401" s="77">
        <v>0</v>
      </c>
      <c r="Q401" s="57">
        <v>0</v>
      </c>
      <c r="R401" s="42">
        <v>9</v>
      </c>
      <c r="S401" s="69" t="str">
        <f>_xlfn.IFNA(IF(VLOOKUP(tabPontoPed[[#This Row],[CÓDIGO]],tabExcluirDoEstoque[#Data],1,FALSE),"sim",""),"")</f>
        <v/>
      </c>
      <c r="T401" s="43">
        <f>IF(AND(tabPontoPed[[#This Row],[MENSAL]]&gt;0,tabPontoPed[[#This Row],[CÁLCULO]]&gt;0), ABS( tabPontoPed[[#This Row],[MENSAL]] - tabPontoPed[[#This Row],[CÁLCULO]] ) / tabPontoPed[[#This Row],[MENSAL]], -1 )</f>
        <v>0.47058823529411764</v>
      </c>
      <c r="U401" s="58">
        <v>100</v>
      </c>
      <c r="V401" s="35">
        <f>IF(AND(tabPontoPed[[#This Row],[MENSAL]]&gt;0,tabPontoPed[[#This Row],[CÁLCULO]]&gt;0), IF( tabPontoPed[[#This Row],[MENSAL]] - tabPontoPed[[#This Row],[CÁLCULO]] &lt; 0, -1, IF( tabPontoPed[[#This Row],[MENSAL]] - tabPontoPed[[#This Row],[CÁLCULO]] &gt; 0, 1, -8)), -9 )</f>
        <v>1</v>
      </c>
      <c r="W401" s="35"/>
      <c r="X401" s="49" t="s">
        <v>1564</v>
      </c>
      <c r="Y401" s="51">
        <v>44391.599108796298</v>
      </c>
      <c r="Z401" s="72">
        <f>tabPontoPed[CÁLC_4M] - tabPontoPed[CÁLCULO]</f>
        <v>-9</v>
      </c>
      <c r="AA401" s="79" t="str">
        <f>IF(tabPontoPed[MENSAL]-tabPontoPed[ATA MENSAL] = 0,"sim","")</f>
        <v/>
      </c>
      <c r="AB401" s="79" t="s">
        <v>1614</v>
      </c>
      <c r="AC401" s="47" t="str">
        <f t="shared" si="6"/>
        <v>*</v>
      </c>
    </row>
    <row r="402" spans="1:29" x14ac:dyDescent="0.25">
      <c r="A402" s="36">
        <v>88876</v>
      </c>
      <c r="B402" s="68" t="s">
        <v>541</v>
      </c>
      <c r="C402" s="33" t="s">
        <v>1317</v>
      </c>
      <c r="D402" s="32">
        <v>51</v>
      </c>
      <c r="E402" s="37">
        <v>26</v>
      </c>
      <c r="F402" s="38" t="str">
        <f>VLOOKUP(tabPontoPed[[#This Row],[GRUPO]],tabGrupos[#Data],2,FALSE)</f>
        <v>MAT.E EQUIP. P/ CONSTR.CIVIL E CONSERV. DE VIAS PUBL.</v>
      </c>
      <c r="G402" s="32" t="str">
        <f>VLOOKUP(tabPontoPed[[#This Row],[GRUPO]],tabGrupos[#Data],3,FALSE)</f>
        <v>MCO</v>
      </c>
      <c r="H402" s="33" t="s">
        <v>1311</v>
      </c>
      <c r="I402" s="80">
        <v>4</v>
      </c>
      <c r="J402" s="39">
        <v>17</v>
      </c>
      <c r="K402" s="41">
        <f>tabPontoPed[[#This Row],[QTDMÊS]] * tabPontoPed[[#This Row],[MENSAL]]</f>
        <v>68</v>
      </c>
      <c r="L402" s="83"/>
      <c r="M402" s="81"/>
      <c r="N402" s="34" t="s">
        <v>1009</v>
      </c>
      <c r="O402" s="76"/>
      <c r="P402" s="77">
        <v>0</v>
      </c>
      <c r="Q402" s="57">
        <v>0</v>
      </c>
      <c r="R402" s="42">
        <v>25</v>
      </c>
      <c r="S402" s="69" t="str">
        <f>_xlfn.IFNA(IF(VLOOKUP(tabPontoPed[[#This Row],[CÓDIGO]],tabExcluirDoEstoque[#Data],1,FALSE),"sim",""),"")</f>
        <v/>
      </c>
      <c r="T402" s="43">
        <f>IF(AND(tabPontoPed[[#This Row],[MENSAL]]&gt;0,tabPontoPed[[#This Row],[CÁLCULO]]&gt;0), ABS( tabPontoPed[[#This Row],[MENSAL]] - tabPontoPed[[#This Row],[CÁLCULO]] ) / tabPontoPed[[#This Row],[MENSAL]], -1 )</f>
        <v>0.47058823529411764</v>
      </c>
      <c r="U402" s="58">
        <v>100</v>
      </c>
      <c r="V402" s="35">
        <f>IF(AND(tabPontoPed[[#This Row],[MENSAL]]&gt;0,tabPontoPed[[#This Row],[CÁLCULO]]&gt;0), IF( tabPontoPed[[#This Row],[MENSAL]] - tabPontoPed[[#This Row],[CÁLCULO]] &lt; 0, -1, IF( tabPontoPed[[#This Row],[MENSAL]] - tabPontoPed[[#This Row],[CÁLCULO]] &gt; 0, 1, -8)), -9 )</f>
        <v>-1</v>
      </c>
      <c r="W402" s="35"/>
      <c r="X402" s="49" t="s">
        <v>1564</v>
      </c>
      <c r="Y402" s="51">
        <v>44391.599108796298</v>
      </c>
      <c r="Z402" s="72">
        <f>tabPontoPed[CÁLC_4M] - tabPontoPed[CÁLCULO]</f>
        <v>-25</v>
      </c>
      <c r="AA402" s="79" t="str">
        <f>IF(tabPontoPed[MENSAL]-tabPontoPed[ATA MENSAL] = 0,"sim","")</f>
        <v/>
      </c>
      <c r="AB402" s="79"/>
      <c r="AC402" s="47" t="str">
        <f t="shared" si="6"/>
        <v>*</v>
      </c>
    </row>
    <row r="403" spans="1:29" x14ac:dyDescent="0.25">
      <c r="A403" s="36">
        <v>136082</v>
      </c>
      <c r="B403" s="68" t="s">
        <v>677</v>
      </c>
      <c r="C403" s="33" t="s">
        <v>1317</v>
      </c>
      <c r="D403" s="32">
        <v>55</v>
      </c>
      <c r="E403" s="37">
        <v>37</v>
      </c>
      <c r="F403" s="38" t="str">
        <f>VLOOKUP(tabPontoPed[[#This Row],[GRUPO]],tabGrupos[#Data],2,FALSE)</f>
        <v>EQUIP. MAT. P/ GERACAO, TRANSM. DISTR. RETIF...</v>
      </c>
      <c r="G403" s="32" t="str">
        <f>VLOOKUP(tabPontoPed[[#This Row],[GRUPO]],tabGrupos[#Data],3,FALSE)</f>
        <v>MEL</v>
      </c>
      <c r="H403" s="33" t="s">
        <v>1311</v>
      </c>
      <c r="I403" s="80">
        <v>4</v>
      </c>
      <c r="J403" s="39">
        <v>17</v>
      </c>
      <c r="K403" s="41">
        <f>tabPontoPed[[#This Row],[QTDMÊS]] * tabPontoPed[[#This Row],[MENSAL]]</f>
        <v>68</v>
      </c>
      <c r="L403" s="83"/>
      <c r="M403" s="81"/>
      <c r="N403" s="34" t="s">
        <v>1009</v>
      </c>
      <c r="O403" s="76" t="s">
        <v>1715</v>
      </c>
      <c r="P403" s="77">
        <v>0</v>
      </c>
      <c r="Q403" s="57">
        <v>42</v>
      </c>
      <c r="R403" s="42">
        <v>25</v>
      </c>
      <c r="S403" s="69" t="str">
        <f>_xlfn.IFNA(IF(VLOOKUP(tabPontoPed[[#This Row],[CÓDIGO]],tabExcluirDoEstoque[#Data],1,FALSE),"sim",""),"")</f>
        <v/>
      </c>
      <c r="T403" s="43">
        <f>IF(AND(tabPontoPed[[#This Row],[MENSAL]]&gt;0,tabPontoPed[[#This Row],[CÁLCULO]]&gt;0), ABS( tabPontoPed[[#This Row],[MENSAL]] - tabPontoPed[[#This Row],[CÁLCULO]] ) / tabPontoPed[[#This Row],[MENSAL]], -1 )</f>
        <v>0.47058823529411764</v>
      </c>
      <c r="U403" s="58">
        <v>55</v>
      </c>
      <c r="V403" s="35">
        <f>IF(AND(tabPontoPed[[#This Row],[MENSAL]]&gt;0,tabPontoPed[[#This Row],[CÁLCULO]]&gt;0), IF( tabPontoPed[[#This Row],[MENSAL]] - tabPontoPed[[#This Row],[CÁLCULO]] &lt; 0, -1, IF( tabPontoPed[[#This Row],[MENSAL]] - tabPontoPed[[#This Row],[CÁLCULO]] &gt; 0, 1, -8)), -9 )</f>
        <v>-1</v>
      </c>
      <c r="W403" s="35"/>
      <c r="X403" s="49" t="s">
        <v>1564</v>
      </c>
      <c r="Y403" s="51">
        <v>44391.599108796298</v>
      </c>
      <c r="Z403" s="72">
        <f>tabPontoPed[CÁLC_4M] - tabPontoPed[CÁLCULO]</f>
        <v>17</v>
      </c>
      <c r="AA403" s="79" t="str">
        <f>IF(tabPontoPed[MENSAL]-tabPontoPed[ATA MENSAL] = 0,"sim","")</f>
        <v/>
      </c>
      <c r="AB403" s="79" t="s">
        <v>1614</v>
      </c>
      <c r="AC403" s="47" t="str">
        <f t="shared" si="6"/>
        <v>*</v>
      </c>
    </row>
    <row r="404" spans="1:29" x14ac:dyDescent="0.25">
      <c r="A404" s="36">
        <v>12950</v>
      </c>
      <c r="B404" s="68" t="s">
        <v>737</v>
      </c>
      <c r="C404" s="33" t="s">
        <v>1317</v>
      </c>
      <c r="D404" s="32">
        <v>61</v>
      </c>
      <c r="E404" s="37">
        <v>8</v>
      </c>
      <c r="F404" s="38" t="str">
        <f>VLOOKUP(tabPontoPed[[#This Row],[GRUPO]],tabGrupos[#Data],2,FALSE)</f>
        <v>MATERIAL HIDRAULICO, CANOS, TUBOS, MANGUEIRAS, CONEXOES E ACESS.</v>
      </c>
      <c r="G404" s="32" t="str">
        <f>VLOOKUP(tabPontoPed[[#This Row],[GRUPO]],tabGrupos[#Data],3,FALSE)</f>
        <v>MHI</v>
      </c>
      <c r="H404" s="33" t="s">
        <v>1311</v>
      </c>
      <c r="I404" s="80">
        <v>4</v>
      </c>
      <c r="J404" s="39">
        <v>17</v>
      </c>
      <c r="K404" s="41">
        <f>tabPontoPed[[#This Row],[QTDMÊS]] * tabPontoPed[[#This Row],[MENSAL]]</f>
        <v>68</v>
      </c>
      <c r="L404" s="83"/>
      <c r="M404" s="81"/>
      <c r="N404" s="34" t="s">
        <v>1009</v>
      </c>
      <c r="O404" s="76" t="s">
        <v>1691</v>
      </c>
      <c r="P404" s="77">
        <v>0</v>
      </c>
      <c r="Q404" s="57">
        <v>6</v>
      </c>
      <c r="R404" s="42">
        <v>9</v>
      </c>
      <c r="S404" s="69" t="str">
        <f>_xlfn.IFNA(IF(VLOOKUP(tabPontoPed[[#This Row],[CÓDIGO]],tabExcluirDoEstoque[#Data],1,FALSE),"sim",""),"")</f>
        <v/>
      </c>
      <c r="T404" s="43">
        <f>IF(AND(tabPontoPed[[#This Row],[MENSAL]]&gt;0,tabPontoPed[[#This Row],[CÁLCULO]]&gt;0), ABS( tabPontoPed[[#This Row],[MENSAL]] - tabPontoPed[[#This Row],[CÁLCULO]] ) / tabPontoPed[[#This Row],[MENSAL]], -1 )</f>
        <v>0.47058823529411764</v>
      </c>
      <c r="U404" s="58">
        <v>20</v>
      </c>
      <c r="V404" s="35">
        <f>IF(AND(tabPontoPed[[#This Row],[MENSAL]]&gt;0,tabPontoPed[[#This Row],[CÁLCULO]]&gt;0), IF( tabPontoPed[[#This Row],[MENSAL]] - tabPontoPed[[#This Row],[CÁLCULO]] &lt; 0, -1, IF( tabPontoPed[[#This Row],[MENSAL]] - tabPontoPed[[#This Row],[CÁLCULO]] &gt; 0, 1, -8)), -9 )</f>
        <v>1</v>
      </c>
      <c r="W404" s="35"/>
      <c r="X404" s="49" t="s">
        <v>1564</v>
      </c>
      <c r="Y404" s="51">
        <v>44391.599108796298</v>
      </c>
      <c r="Z404" s="72">
        <f>tabPontoPed[CÁLC_4M] - tabPontoPed[CÁLCULO]</f>
        <v>-3</v>
      </c>
      <c r="AA404" s="79" t="str">
        <f>IF(tabPontoPed[MENSAL]-tabPontoPed[ATA MENSAL] = 0,"sim","")</f>
        <v/>
      </c>
      <c r="AB404" s="79" t="s">
        <v>1614</v>
      </c>
      <c r="AC404" s="47" t="str">
        <f t="shared" si="6"/>
        <v>*</v>
      </c>
    </row>
    <row r="405" spans="1:29" x14ac:dyDescent="0.25">
      <c r="A405" s="36">
        <v>104667</v>
      </c>
      <c r="B405" s="68" t="s">
        <v>796</v>
      </c>
      <c r="C405" s="33" t="s">
        <v>1317</v>
      </c>
      <c r="D405" s="32">
        <v>61</v>
      </c>
      <c r="E405" s="37">
        <v>15</v>
      </c>
      <c r="F405" s="38" t="str">
        <f>VLOOKUP(tabPontoPed[[#This Row],[GRUPO]],tabGrupos[#Data],2,FALSE)</f>
        <v>MATERIAL HIDRAULICO, CANOS, TUBOS, MANGUEIRAS, CONEXOES E ACESS.</v>
      </c>
      <c r="G405" s="32" t="str">
        <f>VLOOKUP(tabPontoPed[[#This Row],[GRUPO]],tabGrupos[#Data],3,FALSE)</f>
        <v>MHI</v>
      </c>
      <c r="H405" s="33" t="s">
        <v>1311</v>
      </c>
      <c r="I405" s="80">
        <v>4</v>
      </c>
      <c r="J405" s="39">
        <v>17</v>
      </c>
      <c r="K405" s="41">
        <f>tabPontoPed[[#This Row],[QTDMÊS]] * tabPontoPed[[#This Row],[MENSAL]]</f>
        <v>68</v>
      </c>
      <c r="L405" s="83"/>
      <c r="M405" s="81"/>
      <c r="N405" s="34" t="s">
        <v>1009</v>
      </c>
      <c r="O405" s="76" t="s">
        <v>1679</v>
      </c>
      <c r="P405" s="77">
        <v>0</v>
      </c>
      <c r="Q405" s="57">
        <v>4</v>
      </c>
      <c r="R405" s="42">
        <v>9</v>
      </c>
      <c r="S405" s="69" t="str">
        <f>_xlfn.IFNA(IF(VLOOKUP(tabPontoPed[[#This Row],[CÓDIGO]],tabExcluirDoEstoque[#Data],1,FALSE),"sim",""),"")</f>
        <v/>
      </c>
      <c r="T405" s="43">
        <f>IF(AND(tabPontoPed[[#This Row],[MENSAL]]&gt;0,tabPontoPed[[#This Row],[CÁLCULO]]&gt;0), ABS( tabPontoPed[[#This Row],[MENSAL]] - tabPontoPed[[#This Row],[CÁLCULO]] ) / tabPontoPed[[#This Row],[MENSAL]], -1 )</f>
        <v>0.47058823529411764</v>
      </c>
      <c r="U405" s="58">
        <v>23</v>
      </c>
      <c r="V405" s="35">
        <f>IF(AND(tabPontoPed[[#This Row],[MENSAL]]&gt;0,tabPontoPed[[#This Row],[CÁLCULO]]&gt;0), IF( tabPontoPed[[#This Row],[MENSAL]] - tabPontoPed[[#This Row],[CÁLCULO]] &lt; 0, -1, IF( tabPontoPed[[#This Row],[MENSAL]] - tabPontoPed[[#This Row],[CÁLCULO]] &gt; 0, 1, -8)), -9 )</f>
        <v>1</v>
      </c>
      <c r="W405" s="35"/>
      <c r="X405" s="49" t="s">
        <v>1564</v>
      </c>
      <c r="Y405" s="51">
        <v>44391.599108796298</v>
      </c>
      <c r="Z405" s="72">
        <f>tabPontoPed[CÁLC_4M] - tabPontoPed[CÁLCULO]</f>
        <v>-5</v>
      </c>
      <c r="AA405" s="79" t="str">
        <f>IF(tabPontoPed[MENSAL]-tabPontoPed[ATA MENSAL] = 0,"sim","")</f>
        <v/>
      </c>
      <c r="AB405" s="79"/>
      <c r="AC405" s="47" t="str">
        <f t="shared" si="6"/>
        <v>*</v>
      </c>
    </row>
    <row r="406" spans="1:29" x14ac:dyDescent="0.25">
      <c r="A406" s="36">
        <v>18358</v>
      </c>
      <c r="B406" s="68" t="s">
        <v>840</v>
      </c>
      <c r="C406" s="33" t="s">
        <v>1317</v>
      </c>
      <c r="D406" s="32">
        <v>67</v>
      </c>
      <c r="E406" s="37">
        <v>6</v>
      </c>
      <c r="F406" s="38" t="str">
        <f>VLOOKUP(tabPontoPed[[#This Row],[GRUPO]],tabGrupos[#Data],2,FALSE)</f>
        <v>PARAFUSOS ELEM. VEDACAO UNIAO CONEX . FIXACAO</v>
      </c>
      <c r="G406" s="32" t="str">
        <f>VLOOKUP(tabPontoPed[[#This Row],[GRUPO]],tabGrupos[#Data],3,FALSE)</f>
        <v>MSE</v>
      </c>
      <c r="H406" s="33" t="s">
        <v>1311</v>
      </c>
      <c r="I406" s="80">
        <v>4</v>
      </c>
      <c r="J406" s="39">
        <v>15</v>
      </c>
      <c r="K406" s="41">
        <f>tabPontoPed[[#This Row],[QTDMÊS]] * tabPontoPed[[#This Row],[MENSAL]]</f>
        <v>60</v>
      </c>
      <c r="L406" s="83"/>
      <c r="M406" s="81"/>
      <c r="N406" s="34" t="s">
        <v>1009</v>
      </c>
      <c r="O406" s="76"/>
      <c r="P406" s="77">
        <v>0</v>
      </c>
      <c r="Q406" s="57">
        <v>6</v>
      </c>
      <c r="R406" s="42">
        <v>8</v>
      </c>
      <c r="S406" s="69" t="str">
        <f>_xlfn.IFNA(IF(VLOOKUP(tabPontoPed[[#This Row],[CÓDIGO]],tabExcluirDoEstoque[#Data],1,FALSE),"sim",""),"")</f>
        <v/>
      </c>
      <c r="T406" s="43">
        <f>IF(AND(tabPontoPed[[#This Row],[MENSAL]]&gt;0,tabPontoPed[[#This Row],[CÁLCULO]]&gt;0), ABS( tabPontoPed[[#This Row],[MENSAL]] - tabPontoPed[[#This Row],[CÁLCULO]] ) / tabPontoPed[[#This Row],[MENSAL]], -1 )</f>
        <v>0.46666666666666667</v>
      </c>
      <c r="U406" s="58">
        <v>26</v>
      </c>
      <c r="V406" s="35">
        <f>IF(AND(tabPontoPed[[#This Row],[MENSAL]]&gt;0,tabPontoPed[[#This Row],[CÁLCULO]]&gt;0), IF( tabPontoPed[[#This Row],[MENSAL]] - tabPontoPed[[#This Row],[CÁLCULO]] &lt; 0, -1, IF( tabPontoPed[[#This Row],[MENSAL]] - tabPontoPed[[#This Row],[CÁLCULO]] &gt; 0, 1, -8)), -9 )</f>
        <v>1</v>
      </c>
      <c r="W406" s="35"/>
      <c r="X406" s="48" t="s">
        <v>1564</v>
      </c>
      <c r="Y406" s="53">
        <v>44391.599108796298</v>
      </c>
      <c r="Z406" s="72">
        <f>tabPontoPed[CÁLC_4M] - tabPontoPed[CÁLCULO]</f>
        <v>-2</v>
      </c>
      <c r="AA406" s="79" t="str">
        <f>IF(tabPontoPed[MENSAL]-tabPontoPed[ATA MENSAL] = 0,"sim","")</f>
        <v/>
      </c>
      <c r="AB406" s="79"/>
      <c r="AC406" s="47" t="str">
        <f t="shared" si="6"/>
        <v>*</v>
      </c>
    </row>
    <row r="407" spans="1:29" x14ac:dyDescent="0.25">
      <c r="A407" s="36">
        <v>138463</v>
      </c>
      <c r="B407" s="68" t="s">
        <v>1525</v>
      </c>
      <c r="C407" s="33">
        <v>1</v>
      </c>
      <c r="D407" s="32">
        <v>45</v>
      </c>
      <c r="E407" s="37">
        <v>9</v>
      </c>
      <c r="F407" s="38" t="str">
        <f>VLOOKUP(tabPontoPed[[#This Row],[GRUPO]],tabGrupos[#Data],2,FALSE)</f>
        <v>MAQ., EQUIP., COMP., ACES., MAT. PARA ESCRIT.E ESCOLAR</v>
      </c>
      <c r="G407" s="32" t="str">
        <f>VLOOKUP(tabPontoPed[[#This Row],[GRUPO]],tabGrupos[#Data],3,FALSE)</f>
        <v>EDU</v>
      </c>
      <c r="H407" s="33" t="s">
        <v>1311</v>
      </c>
      <c r="I407" s="80">
        <v>4</v>
      </c>
      <c r="J407" s="39">
        <v>2067</v>
      </c>
      <c r="K407" s="41">
        <f>tabPontoPed[[#This Row],[QTDMÊS]] * tabPontoPed[[#This Row],[MENSAL]]</f>
        <v>8268</v>
      </c>
      <c r="L407" s="83"/>
      <c r="M407" s="81"/>
      <c r="N407" s="34" t="s">
        <v>1009</v>
      </c>
      <c r="O407" s="76"/>
      <c r="P407" s="77">
        <v>0</v>
      </c>
      <c r="Q407" s="57">
        <v>235</v>
      </c>
      <c r="R407" s="42">
        <v>1103</v>
      </c>
      <c r="S407" s="69" t="str">
        <f>_xlfn.IFNA(IF(VLOOKUP(tabPontoPed[[#This Row],[CÓDIGO]],tabExcluirDoEstoque[#Data],1,FALSE),"sim",""),"")</f>
        <v/>
      </c>
      <c r="T407" s="43">
        <f>IF(AND(tabPontoPed[[#This Row],[MENSAL]]&gt;0,tabPontoPed[[#This Row],[CÁLCULO]]&gt;0), ABS( tabPontoPed[[#This Row],[MENSAL]] - tabPontoPed[[#This Row],[CÁLCULO]] ) / tabPontoPed[[#This Row],[MENSAL]], -1 )</f>
        <v>0.46637639090469279</v>
      </c>
      <c r="U407" s="58">
        <v>10817</v>
      </c>
      <c r="V407" s="35">
        <f>IF(AND(tabPontoPed[[#This Row],[MENSAL]]&gt;0,tabPontoPed[[#This Row],[CÁLCULO]]&gt;0), IF( tabPontoPed[[#This Row],[MENSAL]] - tabPontoPed[[#This Row],[CÁLCULO]] &lt; 0, -1, IF( tabPontoPed[[#This Row],[MENSAL]] - tabPontoPed[[#This Row],[CÁLCULO]] &gt; 0, 1, -8)), -9 )</f>
        <v>1</v>
      </c>
      <c r="W407" s="35"/>
      <c r="X407" s="49" t="s">
        <v>1564</v>
      </c>
      <c r="Y407" s="51">
        <v>44391.599108796298</v>
      </c>
      <c r="Z407" s="72">
        <f>tabPontoPed[CÁLC_4M] - tabPontoPed[CÁLCULO]</f>
        <v>-868</v>
      </c>
      <c r="AA407" s="79" t="str">
        <f>IF(tabPontoPed[MENSAL]-tabPontoPed[ATA MENSAL] = 0,"sim","")</f>
        <v/>
      </c>
      <c r="AB407" s="79"/>
      <c r="AC407" s="47" t="str">
        <f t="shared" si="6"/>
        <v>*</v>
      </c>
    </row>
    <row r="408" spans="1:29" x14ac:dyDescent="0.25">
      <c r="A408" s="36">
        <v>83839</v>
      </c>
      <c r="B408" s="68" t="s">
        <v>575</v>
      </c>
      <c r="C408" s="33" t="s">
        <v>1317</v>
      </c>
      <c r="D408" s="32">
        <v>54</v>
      </c>
      <c r="E408" s="37">
        <v>4</v>
      </c>
      <c r="F408" s="38" t="str">
        <f>VLOOKUP(tabPontoPed[[#This Row],[GRUPO]],tabGrupos[#Data],2,FALSE)</f>
        <v>EQUIP PROT IND, INST MAT P/ SINAL, CONTR, COMB ...</v>
      </c>
      <c r="G408" s="32" t="str">
        <f>VLOOKUP(tabPontoPed[[#This Row],[GRUPO]],tabGrupos[#Data],3,FALSE)</f>
        <v>MAN</v>
      </c>
      <c r="H408" s="33" t="s">
        <v>1311</v>
      </c>
      <c r="I408" s="80">
        <v>4</v>
      </c>
      <c r="J408" s="39">
        <v>382</v>
      </c>
      <c r="K408" s="41">
        <f>tabPontoPed[[#This Row],[QTDMÊS]] * tabPontoPed[[#This Row],[MENSAL]]</f>
        <v>1528</v>
      </c>
      <c r="L408" s="83"/>
      <c r="M408" s="81"/>
      <c r="N408" s="34" t="s">
        <v>1009</v>
      </c>
      <c r="O408" s="76" t="s">
        <v>1759</v>
      </c>
      <c r="P408" s="77">
        <v>0</v>
      </c>
      <c r="Q408" s="57">
        <v>169</v>
      </c>
      <c r="R408" s="42">
        <v>204</v>
      </c>
      <c r="S408" s="69" t="str">
        <f>_xlfn.IFNA(IF(VLOOKUP(tabPontoPed[[#This Row],[CÓDIGO]],tabExcluirDoEstoque[#Data],1,FALSE),"sim",""),"")</f>
        <v/>
      </c>
      <c r="T408" s="43">
        <f>IF(AND(tabPontoPed[[#This Row],[MENSAL]]&gt;0,tabPontoPed[[#This Row],[CÁLCULO]]&gt;0), ABS( tabPontoPed[[#This Row],[MENSAL]] - tabPontoPed[[#This Row],[CÁLCULO]] ) / tabPontoPed[[#This Row],[MENSAL]], -1 )</f>
        <v>0.46596858638743455</v>
      </c>
      <c r="U408" s="58">
        <v>472</v>
      </c>
      <c r="V408" s="35">
        <f>IF(AND(tabPontoPed[[#This Row],[MENSAL]]&gt;0,tabPontoPed[[#This Row],[CÁLCULO]]&gt;0), IF( tabPontoPed[[#This Row],[MENSAL]] - tabPontoPed[[#This Row],[CÁLCULO]] &lt; 0, -1, IF( tabPontoPed[[#This Row],[MENSAL]] - tabPontoPed[[#This Row],[CÁLCULO]] &gt; 0, 1, -8)), -9 )</f>
        <v>1</v>
      </c>
      <c r="W408" s="35"/>
      <c r="X408" s="49" t="s">
        <v>1564</v>
      </c>
      <c r="Y408" s="51">
        <v>44391.599108796298</v>
      </c>
      <c r="Z408" s="72">
        <f>tabPontoPed[CÁLC_4M] - tabPontoPed[CÁLCULO]</f>
        <v>-35</v>
      </c>
      <c r="AA408" s="79" t="str">
        <f>IF(tabPontoPed[MENSAL]-tabPontoPed[ATA MENSAL] = 0,"sim","")</f>
        <v/>
      </c>
      <c r="AB408" s="79"/>
      <c r="AC408" s="47" t="str">
        <f t="shared" si="6"/>
        <v>*</v>
      </c>
    </row>
    <row r="409" spans="1:29" x14ac:dyDescent="0.25">
      <c r="A409" s="36">
        <v>28184</v>
      </c>
      <c r="B409" s="68" t="s">
        <v>296</v>
      </c>
      <c r="C409" s="33" t="s">
        <v>1317</v>
      </c>
      <c r="D409" s="32">
        <v>61</v>
      </c>
      <c r="E409" s="37">
        <v>8</v>
      </c>
      <c r="F409" s="38" t="str">
        <f>VLOOKUP(tabPontoPed[[#This Row],[GRUPO]],tabGrupos[#Data],2,FALSE)</f>
        <v>MATERIAL HIDRAULICO, CANOS, TUBOS, MANGUEIRAS, CONEXOES E ACESS.</v>
      </c>
      <c r="G409" s="32" t="str">
        <f>VLOOKUP(tabPontoPed[[#This Row],[GRUPO]],tabGrupos[#Data],3,FALSE)</f>
        <v>MHI</v>
      </c>
      <c r="H409" s="33" t="s">
        <v>1311</v>
      </c>
      <c r="I409" s="80">
        <v>4</v>
      </c>
      <c r="J409" s="39">
        <v>13</v>
      </c>
      <c r="K409" s="41">
        <f>tabPontoPed[[#This Row],[QTDMÊS]] * tabPontoPed[[#This Row],[MENSAL]]</f>
        <v>52</v>
      </c>
      <c r="L409" s="83"/>
      <c r="M409" s="81"/>
      <c r="N409" s="34" t="s">
        <v>1009</v>
      </c>
      <c r="O409" s="76" t="s">
        <v>1678</v>
      </c>
      <c r="P409" s="77">
        <v>0</v>
      </c>
      <c r="Q409" s="57">
        <v>6</v>
      </c>
      <c r="R409" s="42">
        <v>7</v>
      </c>
      <c r="S409" s="69" t="str">
        <f>_xlfn.IFNA(IF(VLOOKUP(tabPontoPed[[#This Row],[CÓDIGO]],tabExcluirDoEstoque[#Data],1,FALSE),"sim",""),"")</f>
        <v/>
      </c>
      <c r="T409" s="43">
        <f>IF(AND(tabPontoPed[[#This Row],[MENSAL]]&gt;0,tabPontoPed[[#This Row],[CÁLCULO]]&gt;0), ABS( tabPontoPed[[#This Row],[MENSAL]] - tabPontoPed[[#This Row],[CÁLCULO]] ) / tabPontoPed[[#This Row],[MENSAL]], -1 )</f>
        <v>0.46153846153846156</v>
      </c>
      <c r="U409" s="58">
        <v>14</v>
      </c>
      <c r="V409" s="35">
        <f>IF(AND(tabPontoPed[[#This Row],[MENSAL]]&gt;0,tabPontoPed[[#This Row],[CÁLCULO]]&gt;0), IF( tabPontoPed[[#This Row],[MENSAL]] - tabPontoPed[[#This Row],[CÁLCULO]] &lt; 0, -1, IF( tabPontoPed[[#This Row],[MENSAL]] - tabPontoPed[[#This Row],[CÁLCULO]] &gt; 0, 1, -8)), -9 )</f>
        <v>1</v>
      </c>
      <c r="W409" s="35"/>
      <c r="X409" s="48" t="s">
        <v>1564</v>
      </c>
      <c r="Y409" s="53">
        <v>44391.599108796298</v>
      </c>
      <c r="Z409" s="72">
        <f>tabPontoPed[CÁLC_4M] - tabPontoPed[CÁLCULO]</f>
        <v>-1</v>
      </c>
      <c r="AA409" s="79" t="str">
        <f>IF(tabPontoPed[MENSAL]-tabPontoPed[ATA MENSAL] = 0,"sim","")</f>
        <v/>
      </c>
      <c r="AB409" s="79" t="s">
        <v>1614</v>
      </c>
      <c r="AC409" s="47" t="str">
        <f t="shared" si="6"/>
        <v>*</v>
      </c>
    </row>
    <row r="410" spans="1:29" x14ac:dyDescent="0.25">
      <c r="A410" s="36">
        <v>74979</v>
      </c>
      <c r="B410" s="68" t="s">
        <v>298</v>
      </c>
      <c r="C410" s="33" t="s">
        <v>1317</v>
      </c>
      <c r="D410" s="32">
        <v>61</v>
      </c>
      <c r="E410" s="37">
        <v>8</v>
      </c>
      <c r="F410" s="38" t="str">
        <f>VLOOKUP(tabPontoPed[[#This Row],[GRUPO]],tabGrupos[#Data],2,FALSE)</f>
        <v>MATERIAL HIDRAULICO, CANOS, TUBOS, MANGUEIRAS, CONEXOES E ACESS.</v>
      </c>
      <c r="G410" s="32" t="str">
        <f>VLOOKUP(tabPontoPed[[#This Row],[GRUPO]],tabGrupos[#Data],3,FALSE)</f>
        <v>MHI</v>
      </c>
      <c r="H410" s="33" t="s">
        <v>1311</v>
      </c>
      <c r="I410" s="80">
        <v>4</v>
      </c>
      <c r="J410" s="39">
        <v>13</v>
      </c>
      <c r="K410" s="41">
        <f>tabPontoPed[[#This Row],[QTDMÊS]] * tabPontoPed[[#This Row],[MENSAL]]</f>
        <v>52</v>
      </c>
      <c r="L410" s="83"/>
      <c r="M410" s="81"/>
      <c r="N410" s="34" t="s">
        <v>1009</v>
      </c>
      <c r="O410" s="76" t="s">
        <v>1678</v>
      </c>
      <c r="P410" s="77">
        <v>0</v>
      </c>
      <c r="Q410" s="57">
        <v>4</v>
      </c>
      <c r="R410" s="42">
        <v>7</v>
      </c>
      <c r="S410" s="69" t="str">
        <f>_xlfn.IFNA(IF(VLOOKUP(tabPontoPed[[#This Row],[CÓDIGO]],tabExcluirDoEstoque[#Data],1,FALSE),"sim",""),"")</f>
        <v/>
      </c>
      <c r="T410" s="43">
        <f>IF(AND(tabPontoPed[[#This Row],[MENSAL]]&gt;0,tabPontoPed[[#This Row],[CÁLCULO]]&gt;0), ABS( tabPontoPed[[#This Row],[MENSAL]] - tabPontoPed[[#This Row],[CÁLCULO]] ) / tabPontoPed[[#This Row],[MENSAL]], -1 )</f>
        <v>0.46153846153846156</v>
      </c>
      <c r="U410" s="58">
        <v>15</v>
      </c>
      <c r="V410" s="35">
        <f>IF(AND(tabPontoPed[[#This Row],[MENSAL]]&gt;0,tabPontoPed[[#This Row],[CÁLCULO]]&gt;0), IF( tabPontoPed[[#This Row],[MENSAL]] - tabPontoPed[[#This Row],[CÁLCULO]] &lt; 0, -1, IF( tabPontoPed[[#This Row],[MENSAL]] - tabPontoPed[[#This Row],[CÁLCULO]] &gt; 0, 1, -8)), -9 )</f>
        <v>1</v>
      </c>
      <c r="W410" s="35"/>
      <c r="X410" s="49" t="s">
        <v>1564</v>
      </c>
      <c r="Y410" s="51">
        <v>44391.599108796298</v>
      </c>
      <c r="Z410" s="72">
        <f>tabPontoPed[CÁLC_4M] - tabPontoPed[CÁLCULO]</f>
        <v>-3</v>
      </c>
      <c r="AA410" s="79" t="str">
        <f>IF(tabPontoPed[MENSAL]-tabPontoPed[ATA MENSAL] = 0,"sim","")</f>
        <v/>
      </c>
      <c r="AB410" s="79" t="s">
        <v>1614</v>
      </c>
      <c r="AC410" s="47" t="str">
        <f t="shared" si="6"/>
        <v>*</v>
      </c>
    </row>
    <row r="411" spans="1:29" x14ac:dyDescent="0.25">
      <c r="A411" s="36">
        <v>14831</v>
      </c>
      <c r="B411" s="68" t="s">
        <v>19</v>
      </c>
      <c r="C411" s="33" t="s">
        <v>1317</v>
      </c>
      <c r="D411" s="32">
        <v>55</v>
      </c>
      <c r="E411" s="37">
        <v>27</v>
      </c>
      <c r="F411" s="38" t="str">
        <f>VLOOKUP(tabPontoPed[[#This Row],[GRUPO]],tabGrupos[#Data],2,FALSE)</f>
        <v>EQUIP. MAT. P/ GERACAO, TRANSM. DISTR. RETIF...</v>
      </c>
      <c r="G411" s="32" t="str">
        <f>VLOOKUP(tabPontoPed[[#This Row],[GRUPO]],tabGrupos[#Data],3,FALSE)</f>
        <v>MEL</v>
      </c>
      <c r="H411" s="33" t="s">
        <v>1311</v>
      </c>
      <c r="I411" s="80">
        <v>4</v>
      </c>
      <c r="J411" s="39">
        <v>50</v>
      </c>
      <c r="K411" s="41">
        <f>tabPontoPed[[#This Row],[QTDMÊS]] * tabPontoPed[[#This Row],[MENSAL]]</f>
        <v>200</v>
      </c>
      <c r="L411" s="83"/>
      <c r="M411" s="81"/>
      <c r="N411" s="34" t="s">
        <v>1009</v>
      </c>
      <c r="O411" s="76" t="s">
        <v>1715</v>
      </c>
      <c r="P411" s="77">
        <v>0</v>
      </c>
      <c r="Q411" s="57">
        <v>14</v>
      </c>
      <c r="R411" s="42">
        <v>27</v>
      </c>
      <c r="S411" s="69" t="str">
        <f>_xlfn.IFNA(IF(VLOOKUP(tabPontoPed[[#This Row],[CÓDIGO]],tabExcluirDoEstoque[#Data],1,FALSE),"sim",""),"")</f>
        <v/>
      </c>
      <c r="T411" s="43">
        <f>IF(AND(tabPontoPed[[#This Row],[MENSAL]]&gt;0,tabPontoPed[[#This Row],[CÁLCULO]]&gt;0), ABS( tabPontoPed[[#This Row],[MENSAL]] - tabPontoPed[[#This Row],[CÁLCULO]] ) / tabPontoPed[[#This Row],[MENSAL]], -1 )</f>
        <v>0.46</v>
      </c>
      <c r="U411" s="58">
        <v>67</v>
      </c>
      <c r="V411" s="35">
        <f>IF(AND(tabPontoPed[[#This Row],[MENSAL]]&gt;0,tabPontoPed[[#This Row],[CÁLCULO]]&gt;0), IF( tabPontoPed[[#This Row],[MENSAL]] - tabPontoPed[[#This Row],[CÁLCULO]] &lt; 0, -1, IF( tabPontoPed[[#This Row],[MENSAL]] - tabPontoPed[[#This Row],[CÁLCULO]] &gt; 0, 1, -8)), -9 )</f>
        <v>1</v>
      </c>
      <c r="W411" s="35"/>
      <c r="X411" s="48" t="s">
        <v>1564</v>
      </c>
      <c r="Y411" s="53">
        <v>44391.599108796298</v>
      </c>
      <c r="Z411" s="72">
        <f>tabPontoPed[CÁLC_4M] - tabPontoPed[CÁLCULO]</f>
        <v>-13</v>
      </c>
      <c r="AA411" s="79" t="str">
        <f>IF(tabPontoPed[MENSAL]-tabPontoPed[ATA MENSAL] = 0,"sim","")</f>
        <v/>
      </c>
      <c r="AB411" s="79" t="s">
        <v>1614</v>
      </c>
      <c r="AC411" s="47" t="str">
        <f t="shared" si="6"/>
        <v>*</v>
      </c>
    </row>
    <row r="412" spans="1:29" x14ac:dyDescent="0.25">
      <c r="A412" s="36">
        <v>107790</v>
      </c>
      <c r="B412" s="68" t="s">
        <v>493</v>
      </c>
      <c r="C412" s="33" t="s">
        <v>1317</v>
      </c>
      <c r="D412" s="32">
        <v>50</v>
      </c>
      <c r="E412" s="37">
        <v>3</v>
      </c>
      <c r="F412" s="38" t="str">
        <f>VLOOKUP(tabPontoPed[[#This Row],[GRUPO]],tabGrupos[#Data],2,FALSE)</f>
        <v>EQUIP. P/ COND. VENT. PURIF. DE AR, COMPONENTES E ACES.</v>
      </c>
      <c r="G412" s="32" t="str">
        <f>VLOOKUP(tabPontoPed[[#This Row],[GRUPO]],tabGrupos[#Data],3,FALSE)</f>
        <v>MAN</v>
      </c>
      <c r="H412" s="33" t="s">
        <v>1311</v>
      </c>
      <c r="I412" s="80">
        <v>4</v>
      </c>
      <c r="J412" s="39">
        <v>22</v>
      </c>
      <c r="K412" s="41">
        <f>tabPontoPed[[#This Row],[QTDMÊS]] * tabPontoPed[[#This Row],[MENSAL]]</f>
        <v>88</v>
      </c>
      <c r="L412" s="83"/>
      <c r="M412" s="81"/>
      <c r="N412" s="34" t="s">
        <v>1009</v>
      </c>
      <c r="O412" s="76"/>
      <c r="P412" s="77">
        <v>0</v>
      </c>
      <c r="Q412" s="57">
        <v>20</v>
      </c>
      <c r="R412" s="42">
        <v>12</v>
      </c>
      <c r="S412" s="69" t="str">
        <f>_xlfn.IFNA(IF(VLOOKUP(tabPontoPed[[#This Row],[CÓDIGO]],tabExcluirDoEstoque[#Data],1,FALSE),"sim",""),"")</f>
        <v/>
      </c>
      <c r="T412" s="43">
        <f>IF(AND(tabPontoPed[[#This Row],[MENSAL]]&gt;0,tabPontoPed[[#This Row],[CÁLCULO]]&gt;0), ABS( tabPontoPed[[#This Row],[MENSAL]] - tabPontoPed[[#This Row],[CÁLCULO]] ) / tabPontoPed[[#This Row],[MENSAL]], -1 )</f>
        <v>0.45454545454545453</v>
      </c>
      <c r="U412" s="58">
        <v>31</v>
      </c>
      <c r="V412" s="35">
        <f>IF(AND(tabPontoPed[[#This Row],[MENSAL]]&gt;0,tabPontoPed[[#This Row],[CÁLCULO]]&gt;0), IF( tabPontoPed[[#This Row],[MENSAL]] - tabPontoPed[[#This Row],[CÁLCULO]] &lt; 0, -1, IF( tabPontoPed[[#This Row],[MENSAL]] - tabPontoPed[[#This Row],[CÁLCULO]] &gt; 0, 1, -8)), -9 )</f>
        <v>1</v>
      </c>
      <c r="W412" s="35"/>
      <c r="X412" s="48" t="s">
        <v>1564</v>
      </c>
      <c r="Y412" s="53">
        <v>44391.599108796298</v>
      </c>
      <c r="Z412" s="72">
        <f>tabPontoPed[CÁLC_4M] - tabPontoPed[CÁLCULO]</f>
        <v>8</v>
      </c>
      <c r="AA412" s="79" t="str">
        <f>IF(tabPontoPed[MENSAL]-tabPontoPed[ATA MENSAL] = 0,"sim","")</f>
        <v/>
      </c>
      <c r="AB412" s="79"/>
      <c r="AC412" s="47" t="str">
        <f t="shared" si="6"/>
        <v>*</v>
      </c>
    </row>
    <row r="413" spans="1:29" x14ac:dyDescent="0.25">
      <c r="A413" s="36">
        <v>81566</v>
      </c>
      <c r="B413" s="68" t="s">
        <v>322</v>
      </c>
      <c r="C413" s="33" t="s">
        <v>1317</v>
      </c>
      <c r="D413" s="32">
        <v>61</v>
      </c>
      <c r="E413" s="37">
        <v>15</v>
      </c>
      <c r="F413" s="38" t="str">
        <f>VLOOKUP(tabPontoPed[[#This Row],[GRUPO]],tabGrupos[#Data],2,FALSE)</f>
        <v>MATERIAL HIDRAULICO, CANOS, TUBOS, MANGUEIRAS, CONEXOES E ACESS.</v>
      </c>
      <c r="G413" s="32" t="str">
        <f>VLOOKUP(tabPontoPed[[#This Row],[GRUPO]],tabGrupos[#Data],3,FALSE)</f>
        <v>MHI</v>
      </c>
      <c r="H413" s="33" t="s">
        <v>1311</v>
      </c>
      <c r="I413" s="80">
        <v>4</v>
      </c>
      <c r="J413" s="39">
        <v>31</v>
      </c>
      <c r="K413" s="41">
        <f>tabPontoPed[[#This Row],[QTDMÊS]] * tabPontoPed[[#This Row],[MENSAL]]</f>
        <v>124</v>
      </c>
      <c r="L413" s="83"/>
      <c r="M413" s="81"/>
      <c r="N413" s="34" t="s">
        <v>1009</v>
      </c>
      <c r="O413" s="76" t="s">
        <v>1678</v>
      </c>
      <c r="P413" s="77">
        <v>0</v>
      </c>
      <c r="Q413" s="57">
        <v>21</v>
      </c>
      <c r="R413" s="42">
        <v>17</v>
      </c>
      <c r="S413" s="69" t="str">
        <f>_xlfn.IFNA(IF(VLOOKUP(tabPontoPed[[#This Row],[CÓDIGO]],tabExcluirDoEstoque[#Data],1,FALSE),"sim",""),"")</f>
        <v>sim</v>
      </c>
      <c r="T413" s="43">
        <f>IF(AND(tabPontoPed[[#This Row],[MENSAL]]&gt;0,tabPontoPed[[#This Row],[CÁLCULO]]&gt;0), ABS( tabPontoPed[[#This Row],[MENSAL]] - tabPontoPed[[#This Row],[CÁLCULO]] ) / tabPontoPed[[#This Row],[MENSAL]], -1 )</f>
        <v>0.45161290322580644</v>
      </c>
      <c r="U413" s="58">
        <v>38</v>
      </c>
      <c r="V413" s="35">
        <f>IF(AND(tabPontoPed[[#This Row],[MENSAL]]&gt;0,tabPontoPed[[#This Row],[CÁLCULO]]&gt;0), IF( tabPontoPed[[#This Row],[MENSAL]] - tabPontoPed[[#This Row],[CÁLCULO]] &lt; 0, -1, IF( tabPontoPed[[#This Row],[MENSAL]] - tabPontoPed[[#This Row],[CÁLCULO]] &gt; 0, 1, -8)), -9 )</f>
        <v>1</v>
      </c>
      <c r="W413" s="35"/>
      <c r="X413" s="49" t="s">
        <v>1564</v>
      </c>
      <c r="Y413" s="51">
        <v>44391.599108796298</v>
      </c>
      <c r="Z413" s="72">
        <f>tabPontoPed[CÁLC_4M] - tabPontoPed[CÁLCULO]</f>
        <v>4</v>
      </c>
      <c r="AA413" s="79" t="str">
        <f>IF(tabPontoPed[MENSAL]-tabPontoPed[ATA MENSAL] = 0,"sim","")</f>
        <v/>
      </c>
      <c r="AB413" s="79"/>
      <c r="AC413" s="47" t="str">
        <f t="shared" si="6"/>
        <v>*</v>
      </c>
    </row>
    <row r="414" spans="1:29" x14ac:dyDescent="0.25">
      <c r="A414" s="36">
        <v>12835</v>
      </c>
      <c r="B414" s="68" t="s">
        <v>731</v>
      </c>
      <c r="C414" s="33" t="s">
        <v>1317</v>
      </c>
      <c r="D414" s="32">
        <v>61</v>
      </c>
      <c r="E414" s="37">
        <v>8</v>
      </c>
      <c r="F414" s="38" t="str">
        <f>VLOOKUP(tabPontoPed[[#This Row],[GRUPO]],tabGrupos[#Data],2,FALSE)</f>
        <v>MATERIAL HIDRAULICO, CANOS, TUBOS, MANGUEIRAS, CONEXOES E ACESS.</v>
      </c>
      <c r="G414" s="32" t="str">
        <f>VLOOKUP(tabPontoPed[[#This Row],[GRUPO]],tabGrupos[#Data],3,FALSE)</f>
        <v>MHI</v>
      </c>
      <c r="H414" s="33" t="s">
        <v>1311</v>
      </c>
      <c r="I414" s="80">
        <v>4</v>
      </c>
      <c r="J414" s="39">
        <v>40</v>
      </c>
      <c r="K414" s="41">
        <f>tabPontoPed[[#This Row],[QTDMÊS]] * tabPontoPed[[#This Row],[MENSAL]]</f>
        <v>160</v>
      </c>
      <c r="L414" s="83"/>
      <c r="M414" s="81"/>
      <c r="N414" s="34" t="s">
        <v>1009</v>
      </c>
      <c r="O414" s="76" t="s">
        <v>1690</v>
      </c>
      <c r="P414" s="77">
        <v>0</v>
      </c>
      <c r="Q414" s="57">
        <v>14</v>
      </c>
      <c r="R414" s="42">
        <v>22</v>
      </c>
      <c r="S414" s="69" t="str">
        <f>_xlfn.IFNA(IF(VLOOKUP(tabPontoPed[[#This Row],[CÓDIGO]],tabExcluirDoEstoque[#Data],1,FALSE),"sim",""),"")</f>
        <v/>
      </c>
      <c r="T414" s="43">
        <f>IF(AND(tabPontoPed[[#This Row],[MENSAL]]&gt;0,tabPontoPed[[#This Row],[CÁLCULO]]&gt;0), ABS( tabPontoPed[[#This Row],[MENSAL]] - tabPontoPed[[#This Row],[CÁLCULO]] ) / tabPontoPed[[#This Row],[MENSAL]], -1 )</f>
        <v>0.45</v>
      </c>
      <c r="U414" s="58">
        <v>59</v>
      </c>
      <c r="V414" s="35">
        <f>IF(AND(tabPontoPed[[#This Row],[MENSAL]]&gt;0,tabPontoPed[[#This Row],[CÁLCULO]]&gt;0), IF( tabPontoPed[[#This Row],[MENSAL]] - tabPontoPed[[#This Row],[CÁLCULO]] &lt; 0, -1, IF( tabPontoPed[[#This Row],[MENSAL]] - tabPontoPed[[#This Row],[CÁLCULO]] &gt; 0, 1, -8)), -9 )</f>
        <v>1</v>
      </c>
      <c r="W414" s="35"/>
      <c r="X414" s="48" t="s">
        <v>1564</v>
      </c>
      <c r="Y414" s="53">
        <v>44391.599108796298</v>
      </c>
      <c r="Z414" s="72">
        <f>tabPontoPed[CÁLC_4M] - tabPontoPed[CÁLCULO]</f>
        <v>-8</v>
      </c>
      <c r="AA414" s="79" t="str">
        <f>IF(tabPontoPed[MENSAL]-tabPontoPed[ATA MENSAL] = 0,"sim","")</f>
        <v/>
      </c>
      <c r="AB414" s="79"/>
      <c r="AC414" s="47" t="str">
        <f t="shared" si="6"/>
        <v>*</v>
      </c>
    </row>
    <row r="415" spans="1:29" x14ac:dyDescent="0.25">
      <c r="A415" s="36">
        <v>18353</v>
      </c>
      <c r="B415" s="68" t="s">
        <v>838</v>
      </c>
      <c r="C415" s="33" t="s">
        <v>1317</v>
      </c>
      <c r="D415" s="32">
        <v>67</v>
      </c>
      <c r="E415" s="37">
        <v>6</v>
      </c>
      <c r="F415" s="38" t="str">
        <f>VLOOKUP(tabPontoPed[[#This Row],[GRUPO]],tabGrupos[#Data],2,FALSE)</f>
        <v>PARAFUSOS ELEM. VEDACAO UNIAO CONEX . FIXACAO</v>
      </c>
      <c r="G415" s="32" t="str">
        <f>VLOOKUP(tabPontoPed[[#This Row],[GRUPO]],tabGrupos[#Data],3,FALSE)</f>
        <v>MSE</v>
      </c>
      <c r="H415" s="33" t="s">
        <v>1311</v>
      </c>
      <c r="I415" s="80">
        <v>4</v>
      </c>
      <c r="J415" s="39">
        <v>20</v>
      </c>
      <c r="K415" s="41">
        <f>tabPontoPed[[#This Row],[QTDMÊS]] * tabPontoPed[[#This Row],[MENSAL]]</f>
        <v>80</v>
      </c>
      <c r="L415" s="83"/>
      <c r="M415" s="81"/>
      <c r="N415" s="34" t="s">
        <v>1009</v>
      </c>
      <c r="O415" s="76"/>
      <c r="P415" s="77">
        <v>0</v>
      </c>
      <c r="Q415" s="57">
        <v>8</v>
      </c>
      <c r="R415" s="42">
        <v>11</v>
      </c>
      <c r="S415" s="69" t="str">
        <f>_xlfn.IFNA(IF(VLOOKUP(tabPontoPed[[#This Row],[CÓDIGO]],tabExcluirDoEstoque[#Data],1,FALSE),"sim",""),"")</f>
        <v/>
      </c>
      <c r="T415" s="43">
        <f>IF(AND(tabPontoPed[[#This Row],[MENSAL]]&gt;0,tabPontoPed[[#This Row],[CÁLCULO]]&gt;0), ABS( tabPontoPed[[#This Row],[MENSAL]] - tabPontoPed[[#This Row],[CÁLCULO]] ) / tabPontoPed[[#This Row],[MENSAL]], -1 )</f>
        <v>0.45</v>
      </c>
      <c r="U415" s="58">
        <v>26</v>
      </c>
      <c r="V415" s="35">
        <f>IF(AND(tabPontoPed[[#This Row],[MENSAL]]&gt;0,tabPontoPed[[#This Row],[CÁLCULO]]&gt;0), IF( tabPontoPed[[#This Row],[MENSAL]] - tabPontoPed[[#This Row],[CÁLCULO]] &lt; 0, -1, IF( tabPontoPed[[#This Row],[MENSAL]] - tabPontoPed[[#This Row],[CÁLCULO]] &gt; 0, 1, -8)), -9 )</f>
        <v>1</v>
      </c>
      <c r="W415" s="35"/>
      <c r="X415" s="48" t="s">
        <v>1564</v>
      </c>
      <c r="Y415" s="53">
        <v>44391.599108796298</v>
      </c>
      <c r="Z415" s="72">
        <f>tabPontoPed[CÁLC_4M] - tabPontoPed[CÁLCULO]</f>
        <v>-3</v>
      </c>
      <c r="AA415" s="79" t="str">
        <f>IF(tabPontoPed[MENSAL]-tabPontoPed[ATA MENSAL] = 0,"sim","")</f>
        <v/>
      </c>
      <c r="AB415" s="79"/>
      <c r="AC415" s="47" t="str">
        <f t="shared" si="6"/>
        <v>*</v>
      </c>
    </row>
    <row r="416" spans="1:29" x14ac:dyDescent="0.25">
      <c r="A416" s="36">
        <v>88838</v>
      </c>
      <c r="B416" s="68" t="s">
        <v>166</v>
      </c>
      <c r="C416" s="33" t="s">
        <v>1317</v>
      </c>
      <c r="D416" s="32">
        <v>83</v>
      </c>
      <c r="E416" s="37">
        <v>2</v>
      </c>
      <c r="F416" s="38" t="str">
        <f>VLOOKUP(tabPontoPed[[#This Row],[GRUPO]],tabGrupos[#Data],2,FALSE)</f>
        <v>ABRASIVOS</v>
      </c>
      <c r="G416" s="32" t="str">
        <f>VLOOKUP(tabPontoPed[[#This Row],[GRUPO]],tabGrupos[#Data],3,FALSE)</f>
        <v>MAN</v>
      </c>
      <c r="H416" s="33" t="s">
        <v>1311</v>
      </c>
      <c r="I416" s="80">
        <v>4</v>
      </c>
      <c r="J416" s="39">
        <v>125</v>
      </c>
      <c r="K416" s="41">
        <f>tabPontoPed[[#This Row],[QTDMÊS]] * tabPontoPed[[#This Row],[MENSAL]]</f>
        <v>500</v>
      </c>
      <c r="L416" s="83"/>
      <c r="M416" s="81"/>
      <c r="N416" s="34" t="s">
        <v>1009</v>
      </c>
      <c r="O416" s="76" t="s">
        <v>1658</v>
      </c>
      <c r="P416" s="77">
        <v>0</v>
      </c>
      <c r="Q416" s="57">
        <v>180</v>
      </c>
      <c r="R416" s="42">
        <v>181</v>
      </c>
      <c r="S416" s="69" t="str">
        <f>_xlfn.IFNA(IF(VLOOKUP(tabPontoPed[[#This Row],[CÓDIGO]],tabExcluirDoEstoque[#Data],1,FALSE),"sim",""),"")</f>
        <v/>
      </c>
      <c r="T416" s="43">
        <f>IF(AND(tabPontoPed[[#This Row],[MENSAL]]&gt;0,tabPontoPed[[#This Row],[CÁLCULO]]&gt;0), ABS( tabPontoPed[[#This Row],[MENSAL]] - tabPontoPed[[#This Row],[CÁLCULO]] ) / tabPontoPed[[#This Row],[MENSAL]], -1 )</f>
        <v>0.44800000000000001</v>
      </c>
      <c r="U416" s="58">
        <v>424</v>
      </c>
      <c r="V416" s="35">
        <f>IF(AND(tabPontoPed[[#This Row],[MENSAL]]&gt;0,tabPontoPed[[#This Row],[CÁLCULO]]&gt;0), IF( tabPontoPed[[#This Row],[MENSAL]] - tabPontoPed[[#This Row],[CÁLCULO]] &lt; 0, -1, IF( tabPontoPed[[#This Row],[MENSAL]] - tabPontoPed[[#This Row],[CÁLCULO]] &gt; 0, 1, -8)), -9 )</f>
        <v>-1</v>
      </c>
      <c r="W416" s="35"/>
      <c r="X416" s="49" t="s">
        <v>1564</v>
      </c>
      <c r="Y416" s="51">
        <v>44391.599108796298</v>
      </c>
      <c r="Z416" s="72">
        <f>tabPontoPed[CÁLC_4M] - tabPontoPed[CÁLCULO]</f>
        <v>-1</v>
      </c>
      <c r="AA416" s="79" t="str">
        <f>IF(tabPontoPed[MENSAL]-tabPontoPed[ATA MENSAL] = 0,"sim","")</f>
        <v/>
      </c>
      <c r="AB416" s="79" t="s">
        <v>1614</v>
      </c>
      <c r="AC416" s="47" t="str">
        <f t="shared" si="6"/>
        <v>*</v>
      </c>
    </row>
    <row r="417" spans="1:29" x14ac:dyDescent="0.25">
      <c r="A417" s="36">
        <v>16053</v>
      </c>
      <c r="B417" s="68" t="s">
        <v>549</v>
      </c>
      <c r="C417" s="33" t="s">
        <v>1317</v>
      </c>
      <c r="D417" s="32">
        <v>51</v>
      </c>
      <c r="E417" s="37">
        <v>33</v>
      </c>
      <c r="F417" s="38" t="str">
        <f>VLOOKUP(tabPontoPed[[#This Row],[GRUPO]],tabGrupos[#Data],2,FALSE)</f>
        <v>MAT.E EQUIP. P/ CONSTR.CIVIL E CONSERV. DE VIAS PUBL.</v>
      </c>
      <c r="G417" s="32" t="str">
        <f>VLOOKUP(tabPontoPed[[#This Row],[GRUPO]],tabGrupos[#Data],3,FALSE)</f>
        <v>MCO</v>
      </c>
      <c r="H417" s="33" t="s">
        <v>1311</v>
      </c>
      <c r="I417" s="80">
        <v>4</v>
      </c>
      <c r="J417" s="39">
        <v>9</v>
      </c>
      <c r="K417" s="41">
        <f>tabPontoPed[[#This Row],[QTDMÊS]] * tabPontoPed[[#This Row],[MENSAL]]</f>
        <v>36</v>
      </c>
      <c r="L417" s="83"/>
      <c r="M417" s="81"/>
      <c r="N417" s="34" t="s">
        <v>1009</v>
      </c>
      <c r="O417" s="76" t="s">
        <v>1689</v>
      </c>
      <c r="P417" s="77">
        <v>0</v>
      </c>
      <c r="Q417" s="57">
        <v>4</v>
      </c>
      <c r="R417" s="42">
        <v>5</v>
      </c>
      <c r="S417" s="69" t="str">
        <f>_xlfn.IFNA(IF(VLOOKUP(tabPontoPed[[#This Row],[CÓDIGO]],tabExcluirDoEstoque[#Data],1,FALSE),"sim",""),"")</f>
        <v/>
      </c>
      <c r="T417" s="43">
        <f>IF(AND(tabPontoPed[[#This Row],[MENSAL]]&gt;0,tabPontoPed[[#This Row],[CÁLCULO]]&gt;0), ABS( tabPontoPed[[#This Row],[MENSAL]] - tabPontoPed[[#This Row],[CÁLCULO]] ) / tabPontoPed[[#This Row],[MENSAL]], -1 )</f>
        <v>0.44444444444444442</v>
      </c>
      <c r="U417" s="58">
        <v>10</v>
      </c>
      <c r="V417" s="35">
        <f>IF(AND(tabPontoPed[[#This Row],[MENSAL]]&gt;0,tabPontoPed[[#This Row],[CÁLCULO]]&gt;0), IF( tabPontoPed[[#This Row],[MENSAL]] - tabPontoPed[[#This Row],[CÁLCULO]] &lt; 0, -1, IF( tabPontoPed[[#This Row],[MENSAL]] - tabPontoPed[[#This Row],[CÁLCULO]] &gt; 0, 1, -8)), -9 )</f>
        <v>1</v>
      </c>
      <c r="W417" s="35"/>
      <c r="X417" s="49" t="s">
        <v>1564</v>
      </c>
      <c r="Y417" s="51">
        <v>44391.599108796298</v>
      </c>
      <c r="Z417" s="72">
        <f>tabPontoPed[CÁLC_4M] - tabPontoPed[CÁLCULO]</f>
        <v>-1</v>
      </c>
      <c r="AA417" s="79" t="str">
        <f>IF(tabPontoPed[MENSAL]-tabPontoPed[ATA MENSAL] = 0,"sim","")</f>
        <v/>
      </c>
      <c r="AB417" s="79"/>
      <c r="AC417" s="47" t="str">
        <f t="shared" si="6"/>
        <v>*</v>
      </c>
    </row>
    <row r="418" spans="1:29" x14ac:dyDescent="0.25">
      <c r="A418" s="36">
        <v>64636</v>
      </c>
      <c r="B418" s="68" t="s">
        <v>297</v>
      </c>
      <c r="C418" s="33" t="s">
        <v>1317</v>
      </c>
      <c r="D418" s="32">
        <v>61</v>
      </c>
      <c r="E418" s="37">
        <v>8</v>
      </c>
      <c r="F418" s="38" t="str">
        <f>VLOOKUP(tabPontoPed[[#This Row],[GRUPO]],tabGrupos[#Data],2,FALSE)</f>
        <v>MATERIAL HIDRAULICO, CANOS, TUBOS, MANGUEIRAS, CONEXOES E ACESS.</v>
      </c>
      <c r="G418" s="32" t="str">
        <f>VLOOKUP(tabPontoPed[[#This Row],[GRUPO]],tabGrupos[#Data],3,FALSE)</f>
        <v>MHI</v>
      </c>
      <c r="H418" s="33" t="s">
        <v>1311</v>
      </c>
      <c r="I418" s="80">
        <v>4</v>
      </c>
      <c r="J418" s="39">
        <v>9</v>
      </c>
      <c r="K418" s="41">
        <f>tabPontoPed[[#This Row],[QTDMÊS]] * tabPontoPed[[#This Row],[MENSAL]]</f>
        <v>36</v>
      </c>
      <c r="L418" s="83"/>
      <c r="M418" s="81"/>
      <c r="N418" s="34" t="s">
        <v>1009</v>
      </c>
      <c r="O418" s="76" t="s">
        <v>1678</v>
      </c>
      <c r="P418" s="77">
        <v>0</v>
      </c>
      <c r="Q418" s="57">
        <v>3</v>
      </c>
      <c r="R418" s="42">
        <v>5</v>
      </c>
      <c r="S418" s="69" t="str">
        <f>_xlfn.IFNA(IF(VLOOKUP(tabPontoPed[[#This Row],[CÓDIGO]],tabExcluirDoEstoque[#Data],1,FALSE),"sim",""),"")</f>
        <v/>
      </c>
      <c r="T418" s="43">
        <f>IF(AND(tabPontoPed[[#This Row],[MENSAL]]&gt;0,tabPontoPed[[#This Row],[CÁLCULO]]&gt;0), ABS( tabPontoPed[[#This Row],[MENSAL]] - tabPontoPed[[#This Row],[CÁLCULO]] ) / tabPontoPed[[#This Row],[MENSAL]], -1 )</f>
        <v>0.44444444444444442</v>
      </c>
      <c r="U418" s="58">
        <v>17</v>
      </c>
      <c r="V418" s="35">
        <f>IF(AND(tabPontoPed[[#This Row],[MENSAL]]&gt;0,tabPontoPed[[#This Row],[CÁLCULO]]&gt;0), IF( tabPontoPed[[#This Row],[MENSAL]] - tabPontoPed[[#This Row],[CÁLCULO]] &lt; 0, -1, IF( tabPontoPed[[#This Row],[MENSAL]] - tabPontoPed[[#This Row],[CÁLCULO]] &gt; 0, 1, -8)), -9 )</f>
        <v>1</v>
      </c>
      <c r="W418" s="35"/>
      <c r="X418" s="49" t="s">
        <v>1564</v>
      </c>
      <c r="Y418" s="51">
        <v>44391.599108796298</v>
      </c>
      <c r="Z418" s="72">
        <f>tabPontoPed[CÁLC_4M] - tabPontoPed[CÁLCULO]</f>
        <v>-2</v>
      </c>
      <c r="AA418" s="79" t="str">
        <f>IF(tabPontoPed[MENSAL]-tabPontoPed[ATA MENSAL] = 0,"sim","")</f>
        <v/>
      </c>
      <c r="AB418" s="79" t="s">
        <v>1614</v>
      </c>
      <c r="AC418" s="47" t="str">
        <f t="shared" si="6"/>
        <v>*</v>
      </c>
    </row>
    <row r="419" spans="1:29" x14ac:dyDescent="0.25">
      <c r="A419" s="36">
        <v>80390</v>
      </c>
      <c r="B419" s="68" t="s">
        <v>327</v>
      </c>
      <c r="C419" s="33" t="s">
        <v>1317</v>
      </c>
      <c r="D419" s="32">
        <v>61</v>
      </c>
      <c r="E419" s="37">
        <v>15</v>
      </c>
      <c r="F419" s="38" t="str">
        <f>VLOOKUP(tabPontoPed[[#This Row],[GRUPO]],tabGrupos[#Data],2,FALSE)</f>
        <v>MATERIAL HIDRAULICO, CANOS, TUBOS, MANGUEIRAS, CONEXOES E ACESS.</v>
      </c>
      <c r="G419" s="32" t="str">
        <f>VLOOKUP(tabPontoPed[[#This Row],[GRUPO]],tabGrupos[#Data],3,FALSE)</f>
        <v>MHI</v>
      </c>
      <c r="H419" s="33" t="s">
        <v>1311</v>
      </c>
      <c r="I419" s="80">
        <v>4</v>
      </c>
      <c r="J419" s="39">
        <v>9</v>
      </c>
      <c r="K419" s="41">
        <f>tabPontoPed[[#This Row],[QTDMÊS]] * tabPontoPed[[#This Row],[MENSAL]]</f>
        <v>36</v>
      </c>
      <c r="L419" s="83"/>
      <c r="M419" s="81"/>
      <c r="N419" s="34" t="s">
        <v>1009</v>
      </c>
      <c r="O419" s="76" t="s">
        <v>1678</v>
      </c>
      <c r="P419" s="77">
        <v>0</v>
      </c>
      <c r="Q419" s="57">
        <v>9</v>
      </c>
      <c r="R419" s="42">
        <v>5</v>
      </c>
      <c r="S419" s="69" t="str">
        <f>_xlfn.IFNA(IF(VLOOKUP(tabPontoPed[[#This Row],[CÓDIGO]],tabExcluirDoEstoque[#Data],1,FALSE),"sim",""),"")</f>
        <v/>
      </c>
      <c r="T419" s="43">
        <f>IF(AND(tabPontoPed[[#This Row],[MENSAL]]&gt;0,tabPontoPed[[#This Row],[CÁLCULO]]&gt;0), ABS( tabPontoPed[[#This Row],[MENSAL]] - tabPontoPed[[#This Row],[CÁLCULO]] ) / tabPontoPed[[#This Row],[MENSAL]], -1 )</f>
        <v>0.44444444444444442</v>
      </c>
      <c r="U419" s="58">
        <v>17</v>
      </c>
      <c r="V419" s="35">
        <f>IF(AND(tabPontoPed[[#This Row],[MENSAL]]&gt;0,tabPontoPed[[#This Row],[CÁLCULO]]&gt;0), IF( tabPontoPed[[#This Row],[MENSAL]] - tabPontoPed[[#This Row],[CÁLCULO]] &lt; 0, -1, IF( tabPontoPed[[#This Row],[MENSAL]] - tabPontoPed[[#This Row],[CÁLCULO]] &gt; 0, 1, -8)), -9 )</f>
        <v>1</v>
      </c>
      <c r="W419" s="35"/>
      <c r="X419" s="49" t="s">
        <v>1564</v>
      </c>
      <c r="Y419" s="51">
        <v>44391.599108796298</v>
      </c>
      <c r="Z419" s="72">
        <f>tabPontoPed[CÁLC_4M] - tabPontoPed[CÁLCULO]</f>
        <v>4</v>
      </c>
      <c r="AA419" s="79" t="str">
        <f>IF(tabPontoPed[MENSAL]-tabPontoPed[ATA MENSAL] = 0,"sim","")</f>
        <v/>
      </c>
      <c r="AB419" s="79" t="s">
        <v>1614</v>
      </c>
      <c r="AC419" s="47" t="str">
        <f t="shared" si="6"/>
        <v>*</v>
      </c>
    </row>
    <row r="420" spans="1:29" x14ac:dyDescent="0.25">
      <c r="A420" s="36">
        <v>106375</v>
      </c>
      <c r="B420" s="68" t="s">
        <v>525</v>
      </c>
      <c r="C420" s="33" t="s">
        <v>1317</v>
      </c>
      <c r="D420" s="32">
        <v>51</v>
      </c>
      <c r="E420" s="37">
        <v>17</v>
      </c>
      <c r="F420" s="38" t="str">
        <f>VLOOKUP(tabPontoPed[[#This Row],[GRUPO]],tabGrupos[#Data],2,FALSE)</f>
        <v>MAT.E EQUIP. P/ CONSTR.CIVIL E CONSERV. DE VIAS PUBL.</v>
      </c>
      <c r="G420" s="32" t="str">
        <f>VLOOKUP(tabPontoPed[[#This Row],[GRUPO]],tabGrupos[#Data],3,FALSE)</f>
        <v>MCO</v>
      </c>
      <c r="H420" s="33" t="s">
        <v>1311</v>
      </c>
      <c r="I420" s="80">
        <v>4</v>
      </c>
      <c r="J420" s="39">
        <v>59</v>
      </c>
      <c r="K420" s="41">
        <f>tabPontoPed[[#This Row],[QTDMÊS]] * tabPontoPed[[#This Row],[MENSAL]]</f>
        <v>236</v>
      </c>
      <c r="L420" s="83"/>
      <c r="M420" s="81"/>
      <c r="N420" s="34" t="s">
        <v>1009</v>
      </c>
      <c r="O420" s="76" t="s">
        <v>1689</v>
      </c>
      <c r="P420" s="77">
        <v>0</v>
      </c>
      <c r="Q420" s="57">
        <v>25</v>
      </c>
      <c r="R420" s="42">
        <v>33</v>
      </c>
      <c r="S420" s="69" t="str">
        <f>_xlfn.IFNA(IF(VLOOKUP(tabPontoPed[[#This Row],[CÓDIGO]],tabExcluirDoEstoque[#Data],1,FALSE),"sim",""),"")</f>
        <v/>
      </c>
      <c r="T420" s="43">
        <f>IF(AND(tabPontoPed[[#This Row],[MENSAL]]&gt;0,tabPontoPed[[#This Row],[CÁLCULO]]&gt;0), ABS( tabPontoPed[[#This Row],[MENSAL]] - tabPontoPed[[#This Row],[CÁLCULO]] ) / tabPontoPed[[#This Row],[MENSAL]], -1 )</f>
        <v>0.44067796610169491</v>
      </c>
      <c r="U420" s="58">
        <v>108</v>
      </c>
      <c r="V420" s="35">
        <f>IF(AND(tabPontoPed[[#This Row],[MENSAL]]&gt;0,tabPontoPed[[#This Row],[CÁLCULO]]&gt;0), IF( tabPontoPed[[#This Row],[MENSAL]] - tabPontoPed[[#This Row],[CÁLCULO]] &lt; 0, -1, IF( tabPontoPed[[#This Row],[MENSAL]] - tabPontoPed[[#This Row],[CÁLCULO]] &gt; 0, 1, -8)), -9 )</f>
        <v>1</v>
      </c>
      <c r="W420" s="35"/>
      <c r="X420" s="48" t="s">
        <v>1564</v>
      </c>
      <c r="Y420" s="53">
        <v>44391.599108796298</v>
      </c>
      <c r="Z420" s="72">
        <f>tabPontoPed[CÁLC_4M] - tabPontoPed[CÁLCULO]</f>
        <v>-8</v>
      </c>
      <c r="AA420" s="79" t="str">
        <f>IF(tabPontoPed[MENSAL]-tabPontoPed[ATA MENSAL] = 0,"sim","")</f>
        <v/>
      </c>
      <c r="AB420" s="79"/>
      <c r="AC420" s="47" t="str">
        <f t="shared" si="6"/>
        <v>*</v>
      </c>
    </row>
    <row r="421" spans="1:29" x14ac:dyDescent="0.25">
      <c r="A421" s="36">
        <v>27287</v>
      </c>
      <c r="B421" s="68" t="s">
        <v>516</v>
      </c>
      <c r="C421" s="33" t="s">
        <v>1317</v>
      </c>
      <c r="D421" s="32">
        <v>51</v>
      </c>
      <c r="E421" s="37">
        <v>13</v>
      </c>
      <c r="F421" s="38" t="str">
        <f>VLOOKUP(tabPontoPed[[#This Row],[GRUPO]],tabGrupos[#Data],2,FALSE)</f>
        <v>MAT.E EQUIP. P/ CONSTR.CIVIL E CONSERV. DE VIAS PUBL.</v>
      </c>
      <c r="G421" s="32" t="str">
        <f>VLOOKUP(tabPontoPed[[#This Row],[GRUPO]],tabGrupos[#Data],3,FALSE)</f>
        <v>MCO</v>
      </c>
      <c r="H421" s="33" t="s">
        <v>1311</v>
      </c>
      <c r="I421" s="80">
        <v>4</v>
      </c>
      <c r="J421" s="39">
        <v>50</v>
      </c>
      <c r="K421" s="41">
        <f>tabPontoPed[[#This Row],[QTDMÊS]] * tabPontoPed[[#This Row],[MENSAL]]</f>
        <v>200</v>
      </c>
      <c r="L421" s="83"/>
      <c r="M421" s="81"/>
      <c r="N421" s="34" t="s">
        <v>1009</v>
      </c>
      <c r="O421" s="76" t="s">
        <v>1692</v>
      </c>
      <c r="P421" s="77">
        <v>0</v>
      </c>
      <c r="Q421" s="57">
        <v>20</v>
      </c>
      <c r="R421" s="42">
        <v>28</v>
      </c>
      <c r="S421" s="69" t="str">
        <f>_xlfn.IFNA(IF(VLOOKUP(tabPontoPed[[#This Row],[CÓDIGO]],tabExcluirDoEstoque[#Data],1,FALSE),"sim",""),"")</f>
        <v/>
      </c>
      <c r="T421" s="43">
        <f>IF(AND(tabPontoPed[[#This Row],[MENSAL]]&gt;0,tabPontoPed[[#This Row],[CÁLCULO]]&gt;0), ABS( tabPontoPed[[#This Row],[MENSAL]] - tabPontoPed[[#This Row],[CÁLCULO]] ) / tabPontoPed[[#This Row],[MENSAL]], -1 )</f>
        <v>0.44</v>
      </c>
      <c r="U421" s="58">
        <v>135</v>
      </c>
      <c r="V421" s="35">
        <f>IF(AND(tabPontoPed[[#This Row],[MENSAL]]&gt;0,tabPontoPed[[#This Row],[CÁLCULO]]&gt;0), IF( tabPontoPed[[#This Row],[MENSAL]] - tabPontoPed[[#This Row],[CÁLCULO]] &lt; 0, -1, IF( tabPontoPed[[#This Row],[MENSAL]] - tabPontoPed[[#This Row],[CÁLCULO]] &gt; 0, 1, -8)), -9 )</f>
        <v>1</v>
      </c>
      <c r="W421" s="35"/>
      <c r="X421" s="48" t="s">
        <v>1564</v>
      </c>
      <c r="Y421" s="53">
        <v>44391.599108796298</v>
      </c>
      <c r="Z421" s="72">
        <f>tabPontoPed[CÁLC_4M] - tabPontoPed[CÁLCULO]</f>
        <v>-8</v>
      </c>
      <c r="AA421" s="79" t="str">
        <f>IF(tabPontoPed[MENSAL]-tabPontoPed[ATA MENSAL] = 0,"sim","")</f>
        <v/>
      </c>
      <c r="AB421" s="79"/>
      <c r="AC421" s="47" t="str">
        <f t="shared" si="6"/>
        <v>*</v>
      </c>
    </row>
    <row r="422" spans="1:29" x14ac:dyDescent="0.25">
      <c r="A422" s="36">
        <v>133301</v>
      </c>
      <c r="B422" s="68" t="s">
        <v>639</v>
      </c>
      <c r="C422" s="33" t="s">
        <v>1317</v>
      </c>
      <c r="D422" s="32">
        <v>55</v>
      </c>
      <c r="E422" s="37">
        <v>27</v>
      </c>
      <c r="F422" s="38" t="str">
        <f>VLOOKUP(tabPontoPed[[#This Row],[GRUPO]],tabGrupos[#Data],2,FALSE)</f>
        <v>EQUIP. MAT. P/ GERACAO, TRANSM. DISTR. RETIF...</v>
      </c>
      <c r="G422" s="32" t="str">
        <f>VLOOKUP(tabPontoPed[[#This Row],[GRUPO]],tabGrupos[#Data],3,FALSE)</f>
        <v>MEL</v>
      </c>
      <c r="H422" s="33" t="s">
        <v>1311</v>
      </c>
      <c r="I422" s="80">
        <v>4</v>
      </c>
      <c r="J422" s="39">
        <v>355</v>
      </c>
      <c r="K422" s="41">
        <f>tabPontoPed[[#This Row],[QTDMÊS]] * tabPontoPed[[#This Row],[MENSAL]]</f>
        <v>1420</v>
      </c>
      <c r="L422" s="83"/>
      <c r="M422" s="81"/>
      <c r="N422" s="34" t="s">
        <v>1009</v>
      </c>
      <c r="O422" s="76" t="s">
        <v>1667</v>
      </c>
      <c r="P422" s="77">
        <v>0</v>
      </c>
      <c r="Q422" s="57">
        <v>95</v>
      </c>
      <c r="R422" s="42">
        <v>199</v>
      </c>
      <c r="S422" s="69" t="str">
        <f>_xlfn.IFNA(IF(VLOOKUP(tabPontoPed[[#This Row],[CÓDIGO]],tabExcluirDoEstoque[#Data],1,FALSE),"sim",""),"")</f>
        <v/>
      </c>
      <c r="T422" s="43">
        <f>IF(AND(tabPontoPed[[#This Row],[MENSAL]]&gt;0,tabPontoPed[[#This Row],[CÁLCULO]]&gt;0), ABS( tabPontoPed[[#This Row],[MENSAL]] - tabPontoPed[[#This Row],[CÁLCULO]] ) / tabPontoPed[[#This Row],[MENSAL]], -1 )</f>
        <v>0.43943661971830988</v>
      </c>
      <c r="U422" s="58">
        <v>600</v>
      </c>
      <c r="V422" s="35">
        <f>IF(AND(tabPontoPed[[#This Row],[MENSAL]]&gt;0,tabPontoPed[[#This Row],[CÁLCULO]]&gt;0), IF( tabPontoPed[[#This Row],[MENSAL]] - tabPontoPed[[#This Row],[CÁLCULO]] &lt; 0, -1, IF( tabPontoPed[[#This Row],[MENSAL]] - tabPontoPed[[#This Row],[CÁLCULO]] &gt; 0, 1, -8)), -9 )</f>
        <v>1</v>
      </c>
      <c r="W422" s="35"/>
      <c r="X422" s="49" t="s">
        <v>1564</v>
      </c>
      <c r="Y422" s="51">
        <v>44391.599108796298</v>
      </c>
      <c r="Z422" s="72">
        <f>tabPontoPed[CÁLC_4M] - tabPontoPed[CÁLCULO]</f>
        <v>-104</v>
      </c>
      <c r="AA422" s="79" t="str">
        <f>IF(tabPontoPed[MENSAL]-tabPontoPed[ATA MENSAL] = 0,"sim","")</f>
        <v/>
      </c>
      <c r="AB422" s="79"/>
      <c r="AC422" s="47" t="str">
        <f t="shared" si="6"/>
        <v>*</v>
      </c>
    </row>
    <row r="423" spans="1:29" x14ac:dyDescent="0.25">
      <c r="A423" s="36">
        <v>47447</v>
      </c>
      <c r="B423" s="68" t="s">
        <v>92</v>
      </c>
      <c r="C423" s="33" t="s">
        <v>1317</v>
      </c>
      <c r="D423" s="32">
        <v>57</v>
      </c>
      <c r="E423" s="37">
        <v>16</v>
      </c>
      <c r="F423" s="38" t="str">
        <f>VLOOKUP(tabPontoPed[[#This Row],[GRUPO]],tabGrupos[#Data],2,FALSE)</f>
        <v>MAQ. E EQUIP. P/ IND. GRAFICA COMP. ACESS. E PAPEI</v>
      </c>
      <c r="G423" s="32" t="str">
        <f>VLOOKUP(tabPontoPed[[#This Row],[GRUPO]],tabGrupos[#Data],3,FALSE)</f>
        <v>EDU</v>
      </c>
      <c r="H423" s="33" t="s">
        <v>1311</v>
      </c>
      <c r="I423" s="80">
        <v>4</v>
      </c>
      <c r="J423" s="39">
        <v>2084</v>
      </c>
      <c r="K423" s="41">
        <f>tabPontoPed[[#This Row],[QTDMÊS]] * tabPontoPed[[#This Row],[MENSAL]]</f>
        <v>8336</v>
      </c>
      <c r="L423" s="83"/>
      <c r="M423" s="81"/>
      <c r="N423" s="34" t="s">
        <v>1009</v>
      </c>
      <c r="O423" s="76" t="s">
        <v>1718</v>
      </c>
      <c r="P423" s="77">
        <v>0</v>
      </c>
      <c r="Q423" s="57">
        <v>1891</v>
      </c>
      <c r="R423" s="42">
        <v>1176</v>
      </c>
      <c r="S423" s="69" t="str">
        <f>_xlfn.IFNA(IF(VLOOKUP(tabPontoPed[[#This Row],[CÓDIGO]],tabExcluirDoEstoque[#Data],1,FALSE),"sim",""),"")</f>
        <v/>
      </c>
      <c r="T423" s="43">
        <f>IF(AND(tabPontoPed[[#This Row],[MENSAL]]&gt;0,tabPontoPed[[#This Row],[CÁLCULO]]&gt;0), ABS( tabPontoPed[[#This Row],[MENSAL]] - tabPontoPed[[#This Row],[CÁLCULO]] ) / tabPontoPed[[#This Row],[MENSAL]], -1 )</f>
        <v>0.43570057581573896</v>
      </c>
      <c r="U423" s="58">
        <v>3763</v>
      </c>
      <c r="V423" s="35">
        <f>IF(AND(tabPontoPed[[#This Row],[MENSAL]]&gt;0,tabPontoPed[[#This Row],[CÁLCULO]]&gt;0), IF( tabPontoPed[[#This Row],[MENSAL]] - tabPontoPed[[#This Row],[CÁLCULO]] &lt; 0, -1, IF( tabPontoPed[[#This Row],[MENSAL]] - tabPontoPed[[#This Row],[CÁLCULO]] &gt; 0, 1, -8)), -9 )</f>
        <v>1</v>
      </c>
      <c r="W423" s="35"/>
      <c r="X423" s="49" t="s">
        <v>1564</v>
      </c>
      <c r="Y423" s="51">
        <v>44391.599108796298</v>
      </c>
      <c r="Z423" s="72">
        <f>tabPontoPed[CÁLC_4M] - tabPontoPed[CÁLCULO]</f>
        <v>715</v>
      </c>
      <c r="AA423" s="79" t="str">
        <f>IF(tabPontoPed[MENSAL]-tabPontoPed[ATA MENSAL] = 0,"sim","")</f>
        <v/>
      </c>
      <c r="AB423" s="79" t="s">
        <v>1614</v>
      </c>
      <c r="AC423" s="47" t="str">
        <f t="shared" si="6"/>
        <v>*</v>
      </c>
    </row>
    <row r="424" spans="1:29" x14ac:dyDescent="0.25">
      <c r="A424" s="36">
        <v>13991</v>
      </c>
      <c r="B424" s="68" t="s">
        <v>192</v>
      </c>
      <c r="C424" s="33" t="s">
        <v>1317</v>
      </c>
      <c r="D424" s="32">
        <v>72</v>
      </c>
      <c r="E424" s="37">
        <v>6</v>
      </c>
      <c r="F424" s="38" t="str">
        <f>VLOOKUP(tabPontoPed[[#This Row],[GRUPO]],tabGrupos[#Data],2,FALSE)</f>
        <v>MAQ.EQUIP.E MATERIAIS P/ HIGIEN.LIMP.POLIM.E LUBR.</v>
      </c>
      <c r="G424" s="32" t="str">
        <f>VLOOKUP(tabPontoPed[[#This Row],[GRUPO]],tabGrupos[#Data],3,FALSE)</f>
        <v>ADM</v>
      </c>
      <c r="H424" s="33" t="s">
        <v>1311</v>
      </c>
      <c r="I424" s="80">
        <v>4</v>
      </c>
      <c r="J424" s="39">
        <v>46</v>
      </c>
      <c r="K424" s="41">
        <f>tabPontoPed[[#This Row],[QTDMÊS]] * tabPontoPed[[#This Row],[MENSAL]]</f>
        <v>184</v>
      </c>
      <c r="L424" s="83"/>
      <c r="M424" s="81"/>
      <c r="N424" s="34" t="s">
        <v>1009</v>
      </c>
      <c r="O424" s="76" t="s">
        <v>1736</v>
      </c>
      <c r="P424" s="77">
        <v>0</v>
      </c>
      <c r="Q424" s="57">
        <v>21</v>
      </c>
      <c r="R424" s="42">
        <v>26</v>
      </c>
      <c r="S424" s="69" t="str">
        <f>_xlfn.IFNA(IF(VLOOKUP(tabPontoPed[[#This Row],[CÓDIGO]],tabExcluirDoEstoque[#Data],1,FALSE),"sim",""),"")</f>
        <v/>
      </c>
      <c r="T424" s="43">
        <f>IF(AND(tabPontoPed[[#This Row],[MENSAL]]&gt;0,tabPontoPed[[#This Row],[CÁLCULO]]&gt;0), ABS( tabPontoPed[[#This Row],[MENSAL]] - tabPontoPed[[#This Row],[CÁLCULO]] ) / tabPontoPed[[#This Row],[MENSAL]], -1 )</f>
        <v>0.43478260869565216</v>
      </c>
      <c r="U424" s="58">
        <v>55</v>
      </c>
      <c r="V424" s="35">
        <f>IF(AND(tabPontoPed[[#This Row],[MENSAL]]&gt;0,tabPontoPed[[#This Row],[CÁLCULO]]&gt;0), IF( tabPontoPed[[#This Row],[MENSAL]] - tabPontoPed[[#This Row],[CÁLCULO]] &lt; 0, -1, IF( tabPontoPed[[#This Row],[MENSAL]] - tabPontoPed[[#This Row],[CÁLCULO]] &gt; 0, 1, -8)), -9 )</f>
        <v>1</v>
      </c>
      <c r="W424" s="35"/>
      <c r="X424" s="48" t="s">
        <v>1564</v>
      </c>
      <c r="Y424" s="53">
        <v>44391.599108796298</v>
      </c>
      <c r="Z424" s="72">
        <f>tabPontoPed[CÁLC_4M] - tabPontoPed[CÁLCULO]</f>
        <v>-5</v>
      </c>
      <c r="AA424" s="79" t="str">
        <f>IF(tabPontoPed[MENSAL]-tabPontoPed[ATA MENSAL] = 0,"sim","")</f>
        <v/>
      </c>
      <c r="AB424" s="79" t="s">
        <v>1614</v>
      </c>
      <c r="AC424" s="47" t="str">
        <f t="shared" si="6"/>
        <v>*</v>
      </c>
    </row>
    <row r="425" spans="1:29" x14ac:dyDescent="0.25">
      <c r="A425" s="36">
        <v>133371</v>
      </c>
      <c r="B425" s="68" t="s">
        <v>916</v>
      </c>
      <c r="C425" s="33" t="s">
        <v>1317</v>
      </c>
      <c r="D425" s="32">
        <v>70</v>
      </c>
      <c r="E425" s="37">
        <v>33</v>
      </c>
      <c r="F425" s="38" t="str">
        <f>VLOOKUP(tabPontoPed[[#This Row],[GRUPO]],tabGrupos[#Data],2,FALSE)</f>
        <v>FERRAMENTAS MAQ.FERRAMENTAS,ELETR.PECAS E ACESSORI</v>
      </c>
      <c r="G425" s="32" t="str">
        <f>VLOOKUP(tabPontoPed[[#This Row],[GRUPO]],tabGrupos[#Data],3,FALSE)</f>
        <v>MAN</v>
      </c>
      <c r="H425" s="33" t="s">
        <v>1311</v>
      </c>
      <c r="I425" s="80">
        <v>4</v>
      </c>
      <c r="J425" s="39">
        <v>60</v>
      </c>
      <c r="K425" s="41">
        <f>tabPontoPed[[#This Row],[QTDMÊS]] * tabPontoPed[[#This Row],[MENSAL]]</f>
        <v>240</v>
      </c>
      <c r="L425" s="83"/>
      <c r="M425" s="81"/>
      <c r="N425" s="34" t="s">
        <v>1009</v>
      </c>
      <c r="O425" s="76" t="s">
        <v>1683</v>
      </c>
      <c r="P425" s="77">
        <v>0</v>
      </c>
      <c r="Q425" s="57">
        <v>35</v>
      </c>
      <c r="R425" s="42">
        <v>34</v>
      </c>
      <c r="S425" s="69" t="str">
        <f>_xlfn.IFNA(IF(VLOOKUP(tabPontoPed[[#This Row],[CÓDIGO]],tabExcluirDoEstoque[#Data],1,FALSE),"sim",""),"")</f>
        <v/>
      </c>
      <c r="T425" s="43">
        <f>IF(AND(tabPontoPed[[#This Row],[MENSAL]]&gt;0,tabPontoPed[[#This Row],[CÁLCULO]]&gt;0), ABS( tabPontoPed[[#This Row],[MENSAL]] - tabPontoPed[[#This Row],[CÁLCULO]] ) / tabPontoPed[[#This Row],[MENSAL]], -1 )</f>
        <v>0.43333333333333335</v>
      </c>
      <c r="U425" s="58">
        <v>60</v>
      </c>
      <c r="V425" s="35">
        <f>IF(AND(tabPontoPed[[#This Row],[MENSAL]]&gt;0,tabPontoPed[[#This Row],[CÁLCULO]]&gt;0), IF( tabPontoPed[[#This Row],[MENSAL]] - tabPontoPed[[#This Row],[CÁLCULO]] &lt; 0, -1, IF( tabPontoPed[[#This Row],[MENSAL]] - tabPontoPed[[#This Row],[CÁLCULO]] &gt; 0, 1, -8)), -9 )</f>
        <v>1</v>
      </c>
      <c r="W425" s="35"/>
      <c r="X425" s="49" t="s">
        <v>1564</v>
      </c>
      <c r="Y425" s="51">
        <v>44391.599108796298</v>
      </c>
      <c r="Z425" s="72">
        <f>tabPontoPed[CÁLC_4M] - tabPontoPed[CÁLCULO]</f>
        <v>1</v>
      </c>
      <c r="AA425" s="79" t="str">
        <f>IF(tabPontoPed[MENSAL]-tabPontoPed[ATA MENSAL] = 0,"sim","")</f>
        <v/>
      </c>
      <c r="AB425" s="79"/>
      <c r="AC425" s="47" t="str">
        <f t="shared" si="6"/>
        <v>*</v>
      </c>
    </row>
    <row r="426" spans="1:29" x14ac:dyDescent="0.25">
      <c r="A426" s="36">
        <v>13197</v>
      </c>
      <c r="B426" s="68" t="s">
        <v>502</v>
      </c>
      <c r="C426" s="33" t="s">
        <v>1317</v>
      </c>
      <c r="D426" s="32">
        <v>51</v>
      </c>
      <c r="E426" s="37">
        <v>8</v>
      </c>
      <c r="F426" s="38" t="str">
        <f>VLOOKUP(tabPontoPed[[#This Row],[GRUPO]],tabGrupos[#Data],2,FALSE)</f>
        <v>MAT.E EQUIP. P/ CONSTR.CIVIL E CONSERV. DE VIAS PUBL.</v>
      </c>
      <c r="G426" s="32" t="str">
        <f>VLOOKUP(tabPontoPed[[#This Row],[GRUPO]],tabGrupos[#Data],3,FALSE)</f>
        <v>MCO</v>
      </c>
      <c r="H426" s="33" t="s">
        <v>1311</v>
      </c>
      <c r="I426" s="80">
        <v>4</v>
      </c>
      <c r="J426" s="39">
        <v>14</v>
      </c>
      <c r="K426" s="41">
        <f>tabPontoPed[[#This Row],[QTDMÊS]] * tabPontoPed[[#This Row],[MENSAL]]</f>
        <v>56</v>
      </c>
      <c r="L426" s="83"/>
      <c r="M426" s="81"/>
      <c r="N426" s="34" t="s">
        <v>1009</v>
      </c>
      <c r="O426" s="76"/>
      <c r="P426" s="77">
        <v>0</v>
      </c>
      <c r="Q426" s="57">
        <v>12</v>
      </c>
      <c r="R426" s="42">
        <v>8</v>
      </c>
      <c r="S426" s="69" t="str">
        <f>_xlfn.IFNA(IF(VLOOKUP(tabPontoPed[[#This Row],[CÓDIGO]],tabExcluirDoEstoque[#Data],1,FALSE),"sim",""),"")</f>
        <v/>
      </c>
      <c r="T426" s="43">
        <f>IF(AND(tabPontoPed[[#This Row],[MENSAL]]&gt;0,tabPontoPed[[#This Row],[CÁLCULO]]&gt;0), ABS( tabPontoPed[[#This Row],[MENSAL]] - tabPontoPed[[#This Row],[CÁLCULO]] ) / tabPontoPed[[#This Row],[MENSAL]], -1 )</f>
        <v>0.42857142857142855</v>
      </c>
      <c r="U426" s="58">
        <v>48</v>
      </c>
      <c r="V426" s="35">
        <f>IF(AND(tabPontoPed[[#This Row],[MENSAL]]&gt;0,tabPontoPed[[#This Row],[CÁLCULO]]&gt;0), IF( tabPontoPed[[#This Row],[MENSAL]] - tabPontoPed[[#This Row],[CÁLCULO]] &lt; 0, -1, IF( tabPontoPed[[#This Row],[MENSAL]] - tabPontoPed[[#This Row],[CÁLCULO]] &gt; 0, 1, -8)), -9 )</f>
        <v>1</v>
      </c>
      <c r="W426" s="35"/>
      <c r="X426" s="49" t="s">
        <v>1564</v>
      </c>
      <c r="Y426" s="51">
        <v>44391.599108796298</v>
      </c>
      <c r="Z426" s="72">
        <f>tabPontoPed[CÁLC_4M] - tabPontoPed[CÁLCULO]</f>
        <v>4</v>
      </c>
      <c r="AA426" s="79" t="str">
        <f>IF(tabPontoPed[MENSAL]-tabPontoPed[ATA MENSAL] = 0,"sim","")</f>
        <v/>
      </c>
      <c r="AB426" s="79"/>
      <c r="AC426" s="47" t="str">
        <f t="shared" si="6"/>
        <v>*</v>
      </c>
    </row>
    <row r="427" spans="1:29" x14ac:dyDescent="0.25">
      <c r="A427" s="36">
        <v>135300</v>
      </c>
      <c r="B427" s="68" t="s">
        <v>293</v>
      </c>
      <c r="C427" s="33" t="s">
        <v>1317</v>
      </c>
      <c r="D427" s="32">
        <v>61</v>
      </c>
      <c r="E427" s="37">
        <v>8</v>
      </c>
      <c r="F427" s="38" t="str">
        <f>VLOOKUP(tabPontoPed[[#This Row],[GRUPO]],tabGrupos[#Data],2,FALSE)</f>
        <v>MATERIAL HIDRAULICO, CANOS, TUBOS, MANGUEIRAS, CONEXOES E ACESS.</v>
      </c>
      <c r="G427" s="32" t="str">
        <f>VLOOKUP(tabPontoPed[[#This Row],[GRUPO]],tabGrupos[#Data],3,FALSE)</f>
        <v>MHI</v>
      </c>
      <c r="H427" s="33" t="s">
        <v>1311</v>
      </c>
      <c r="I427" s="80">
        <v>4</v>
      </c>
      <c r="J427" s="39">
        <v>7</v>
      </c>
      <c r="K427" s="41">
        <f>tabPontoPed[[#This Row],[QTDMÊS]] * tabPontoPed[[#This Row],[MENSAL]]</f>
        <v>28</v>
      </c>
      <c r="L427" s="83"/>
      <c r="M427" s="81"/>
      <c r="N427" s="34" t="s">
        <v>1009</v>
      </c>
      <c r="O427" s="76" t="s">
        <v>1678</v>
      </c>
      <c r="P427" s="77">
        <v>0</v>
      </c>
      <c r="Q427" s="57">
        <v>0</v>
      </c>
      <c r="R427" s="42">
        <v>4</v>
      </c>
      <c r="S427" s="69" t="str">
        <f>_xlfn.IFNA(IF(VLOOKUP(tabPontoPed[[#This Row],[CÓDIGO]],tabExcluirDoEstoque[#Data],1,FALSE),"sim",""),"")</f>
        <v/>
      </c>
      <c r="T427" s="43">
        <f>IF(AND(tabPontoPed[[#This Row],[MENSAL]]&gt;0,tabPontoPed[[#This Row],[CÁLCULO]]&gt;0), ABS( tabPontoPed[[#This Row],[MENSAL]] - tabPontoPed[[#This Row],[CÁLCULO]] ) / tabPontoPed[[#This Row],[MENSAL]], -1 )</f>
        <v>0.42857142857142855</v>
      </c>
      <c r="U427" s="58">
        <v>10</v>
      </c>
      <c r="V427" s="35">
        <f>IF(AND(tabPontoPed[[#This Row],[MENSAL]]&gt;0,tabPontoPed[[#This Row],[CÁLCULO]]&gt;0), IF( tabPontoPed[[#This Row],[MENSAL]] - tabPontoPed[[#This Row],[CÁLCULO]] &lt; 0, -1, IF( tabPontoPed[[#This Row],[MENSAL]] - tabPontoPed[[#This Row],[CÁLCULO]] &gt; 0, 1, -8)), -9 )</f>
        <v>1</v>
      </c>
      <c r="W427" s="35"/>
      <c r="X427" s="48" t="s">
        <v>1564</v>
      </c>
      <c r="Y427" s="53">
        <v>44391.599108796298</v>
      </c>
      <c r="Z427" s="72">
        <f>tabPontoPed[CÁLC_4M] - tabPontoPed[CÁLCULO]</f>
        <v>-4</v>
      </c>
      <c r="AA427" s="79" t="str">
        <f>IF(tabPontoPed[MENSAL]-tabPontoPed[ATA MENSAL] = 0,"sim","")</f>
        <v/>
      </c>
      <c r="AB427" s="79"/>
      <c r="AC427" s="47" t="str">
        <f t="shared" si="6"/>
        <v>*</v>
      </c>
    </row>
    <row r="428" spans="1:29" x14ac:dyDescent="0.25">
      <c r="A428" s="36">
        <v>35256</v>
      </c>
      <c r="B428" s="68" t="s">
        <v>255</v>
      </c>
      <c r="C428" s="33" t="s">
        <v>1317</v>
      </c>
      <c r="D428" s="32">
        <v>69</v>
      </c>
      <c r="E428" s="37">
        <v>3</v>
      </c>
      <c r="F428" s="38" t="str">
        <f>VLOOKUP(tabPontoPed[[#This Row],[GRUPO]],tabGrupos[#Data],2,FALSE)</f>
        <v>METAIS,LAMINAD.,PERFILADOS E ARTEFATOS METALICOS</v>
      </c>
      <c r="G428" s="32" t="str">
        <f>VLOOKUP(tabPontoPed[[#This Row],[GRUPO]],tabGrupos[#Data],3,FALSE)</f>
        <v>MSE</v>
      </c>
      <c r="H428" s="33" t="s">
        <v>1311</v>
      </c>
      <c r="I428" s="80">
        <v>4</v>
      </c>
      <c r="J428" s="39">
        <v>21</v>
      </c>
      <c r="K428" s="41">
        <f>tabPontoPed[[#This Row],[QTDMÊS]] * tabPontoPed[[#This Row],[MENSAL]]</f>
        <v>84</v>
      </c>
      <c r="L428" s="83"/>
      <c r="M428" s="81"/>
      <c r="N428" s="34" t="s">
        <v>1009</v>
      </c>
      <c r="O428" s="76" t="s">
        <v>1683</v>
      </c>
      <c r="P428" s="77">
        <v>0</v>
      </c>
      <c r="Q428" s="57">
        <v>6</v>
      </c>
      <c r="R428" s="42">
        <v>12</v>
      </c>
      <c r="S428" s="69" t="str">
        <f>_xlfn.IFNA(IF(VLOOKUP(tabPontoPed[[#This Row],[CÓDIGO]],tabExcluirDoEstoque[#Data],1,FALSE),"sim",""),"")</f>
        <v/>
      </c>
      <c r="T428" s="43">
        <f>IF(AND(tabPontoPed[[#This Row],[MENSAL]]&gt;0,tabPontoPed[[#This Row],[CÁLCULO]]&gt;0), ABS( tabPontoPed[[#This Row],[MENSAL]] - tabPontoPed[[#This Row],[CÁLCULO]] ) / tabPontoPed[[#This Row],[MENSAL]], -1 )</f>
        <v>0.42857142857142855</v>
      </c>
      <c r="U428" s="58">
        <v>44</v>
      </c>
      <c r="V428" s="35">
        <f>IF(AND(tabPontoPed[[#This Row],[MENSAL]]&gt;0,tabPontoPed[[#This Row],[CÁLCULO]]&gt;0), IF( tabPontoPed[[#This Row],[MENSAL]] - tabPontoPed[[#This Row],[CÁLCULO]] &lt; 0, -1, IF( tabPontoPed[[#This Row],[MENSAL]] - tabPontoPed[[#This Row],[CÁLCULO]] &gt; 0, 1, -8)), -9 )</f>
        <v>1</v>
      </c>
      <c r="W428" s="35"/>
      <c r="X428" s="49" t="s">
        <v>1564</v>
      </c>
      <c r="Y428" s="51">
        <v>44391.599108796298</v>
      </c>
      <c r="Z428" s="72">
        <f>tabPontoPed[CÁLC_4M] - tabPontoPed[CÁLCULO]</f>
        <v>-6</v>
      </c>
      <c r="AA428" s="79" t="str">
        <f>IF(tabPontoPed[MENSAL]-tabPontoPed[ATA MENSAL] = 0,"sim","")</f>
        <v/>
      </c>
      <c r="AB428" s="79" t="s">
        <v>1614</v>
      </c>
      <c r="AC428" s="47" t="str">
        <f t="shared" si="6"/>
        <v>*</v>
      </c>
    </row>
    <row r="429" spans="1:29" x14ac:dyDescent="0.25">
      <c r="A429" s="36">
        <v>82995</v>
      </c>
      <c r="B429" s="68" t="s">
        <v>147</v>
      </c>
      <c r="C429" s="33" t="s">
        <v>1317</v>
      </c>
      <c r="D429" s="32">
        <v>51</v>
      </c>
      <c r="E429" s="37">
        <v>8</v>
      </c>
      <c r="F429" s="38" t="str">
        <f>VLOOKUP(tabPontoPed[[#This Row],[GRUPO]],tabGrupos[#Data],2,FALSE)</f>
        <v>MAT.E EQUIP. P/ CONSTR.CIVIL E CONSERV. DE VIAS PUBL.</v>
      </c>
      <c r="G429" s="32" t="str">
        <f>VLOOKUP(tabPontoPed[[#This Row],[GRUPO]],tabGrupos[#Data],3,FALSE)</f>
        <v>MCO</v>
      </c>
      <c r="H429" s="33" t="s">
        <v>1311</v>
      </c>
      <c r="I429" s="80">
        <v>4</v>
      </c>
      <c r="J429" s="39">
        <v>59</v>
      </c>
      <c r="K429" s="41">
        <f>tabPontoPed[[#This Row],[QTDMÊS]] * tabPontoPed[[#This Row],[MENSAL]]</f>
        <v>236</v>
      </c>
      <c r="L429" s="83"/>
      <c r="M429" s="81"/>
      <c r="N429" s="34" t="s">
        <v>1009</v>
      </c>
      <c r="O429" s="76" t="s">
        <v>1675</v>
      </c>
      <c r="P429" s="77">
        <v>0</v>
      </c>
      <c r="Q429" s="57">
        <v>25</v>
      </c>
      <c r="R429" s="42">
        <v>34</v>
      </c>
      <c r="S429" s="69" t="str">
        <f>_xlfn.IFNA(IF(VLOOKUP(tabPontoPed[[#This Row],[CÓDIGO]],tabExcluirDoEstoque[#Data],1,FALSE),"sim",""),"")</f>
        <v/>
      </c>
      <c r="T429" s="43">
        <f>IF(AND(tabPontoPed[[#This Row],[MENSAL]]&gt;0,tabPontoPed[[#This Row],[CÁLCULO]]&gt;0), ABS( tabPontoPed[[#This Row],[MENSAL]] - tabPontoPed[[#This Row],[CÁLCULO]] ) / tabPontoPed[[#This Row],[MENSAL]], -1 )</f>
        <v>0.42372881355932202</v>
      </c>
      <c r="U429" s="58">
        <v>150</v>
      </c>
      <c r="V429" s="35">
        <f>IF(AND(tabPontoPed[[#This Row],[MENSAL]]&gt;0,tabPontoPed[[#This Row],[CÁLCULO]]&gt;0), IF( tabPontoPed[[#This Row],[MENSAL]] - tabPontoPed[[#This Row],[CÁLCULO]] &lt; 0, -1, IF( tabPontoPed[[#This Row],[MENSAL]] - tabPontoPed[[#This Row],[CÁLCULO]] &gt; 0, 1, -8)), -9 )</f>
        <v>1</v>
      </c>
      <c r="W429" s="35"/>
      <c r="X429" s="49" t="s">
        <v>1564</v>
      </c>
      <c r="Y429" s="51">
        <v>44391.599108796298</v>
      </c>
      <c r="Z429" s="72">
        <f>tabPontoPed[CÁLC_4M] - tabPontoPed[CÁLCULO]</f>
        <v>-9</v>
      </c>
      <c r="AA429" s="79" t="str">
        <f>IF(tabPontoPed[MENSAL]-tabPontoPed[ATA MENSAL] = 0,"sim","")</f>
        <v/>
      </c>
      <c r="AB429" s="79" t="s">
        <v>1614</v>
      </c>
      <c r="AC429" s="47" t="str">
        <f t="shared" si="6"/>
        <v>*</v>
      </c>
    </row>
    <row r="430" spans="1:29" x14ac:dyDescent="0.25">
      <c r="A430" s="36">
        <v>42854</v>
      </c>
      <c r="B430" s="68" t="s">
        <v>489</v>
      </c>
      <c r="C430" s="33" t="s">
        <v>1317</v>
      </c>
      <c r="D430" s="32">
        <v>49</v>
      </c>
      <c r="E430" s="37">
        <v>8</v>
      </c>
      <c r="F430" s="38" t="str">
        <f>VLOOKUP(tabPontoPed[[#This Row],[GRUPO]],tabGrupos[#Data],2,FALSE)</f>
        <v>EQUIP. P/REFR. PURIF. ADUCAO DE AGUA E TRAT. DE ESGOTO</v>
      </c>
      <c r="G430" s="32" t="str">
        <f>VLOOKUP(tabPontoPed[[#This Row],[GRUPO]],tabGrupos[#Data],3,FALSE)</f>
        <v>MHI</v>
      </c>
      <c r="H430" s="33" t="s">
        <v>1311</v>
      </c>
      <c r="I430" s="80">
        <v>4</v>
      </c>
      <c r="J430" s="39">
        <v>128</v>
      </c>
      <c r="K430" s="41">
        <f>tabPontoPed[[#This Row],[QTDMÊS]] * tabPontoPed[[#This Row],[MENSAL]]</f>
        <v>512</v>
      </c>
      <c r="L430" s="83"/>
      <c r="M430" s="81"/>
      <c r="N430" s="34" t="s">
        <v>1009</v>
      </c>
      <c r="O430" s="76" t="s">
        <v>1678</v>
      </c>
      <c r="P430" s="77">
        <v>0</v>
      </c>
      <c r="Q430" s="57">
        <v>79</v>
      </c>
      <c r="R430" s="42">
        <v>74</v>
      </c>
      <c r="S430" s="69" t="str">
        <f>_xlfn.IFNA(IF(VLOOKUP(tabPontoPed[[#This Row],[CÓDIGO]],tabExcluirDoEstoque[#Data],1,FALSE),"sim",""),"")</f>
        <v/>
      </c>
      <c r="T430" s="43">
        <f>IF(AND(tabPontoPed[[#This Row],[MENSAL]]&gt;0,tabPontoPed[[#This Row],[CÁLCULO]]&gt;0), ABS( tabPontoPed[[#This Row],[MENSAL]] - tabPontoPed[[#This Row],[CÁLCULO]] ) / tabPontoPed[[#This Row],[MENSAL]], -1 )</f>
        <v>0.421875</v>
      </c>
      <c r="U430" s="58">
        <v>134</v>
      </c>
      <c r="V430" s="35">
        <f>IF(AND(tabPontoPed[[#This Row],[MENSAL]]&gt;0,tabPontoPed[[#This Row],[CÁLCULO]]&gt;0), IF( tabPontoPed[[#This Row],[MENSAL]] - tabPontoPed[[#This Row],[CÁLCULO]] &lt; 0, -1, IF( tabPontoPed[[#This Row],[MENSAL]] - tabPontoPed[[#This Row],[CÁLCULO]] &gt; 0, 1, -8)), -9 )</f>
        <v>1</v>
      </c>
      <c r="W430" s="35"/>
      <c r="X430" s="48" t="s">
        <v>1564</v>
      </c>
      <c r="Y430" s="53">
        <v>44391.599108796298</v>
      </c>
      <c r="Z430" s="72">
        <f>tabPontoPed[CÁLC_4M] - tabPontoPed[CÁLCULO]</f>
        <v>5</v>
      </c>
      <c r="AA430" s="79" t="str">
        <f>IF(tabPontoPed[MENSAL]-tabPontoPed[ATA MENSAL] = 0,"sim","")</f>
        <v/>
      </c>
      <c r="AB430" s="79"/>
      <c r="AC430" s="47" t="str">
        <f t="shared" si="6"/>
        <v>*</v>
      </c>
    </row>
    <row r="431" spans="1:29" x14ac:dyDescent="0.25">
      <c r="A431" s="36">
        <v>136408</v>
      </c>
      <c r="B431" s="68" t="s">
        <v>1296</v>
      </c>
      <c r="C431" s="33" t="s">
        <v>1317</v>
      </c>
      <c r="D431" s="32">
        <v>45</v>
      </c>
      <c r="E431" s="37">
        <v>14</v>
      </c>
      <c r="F431" s="38" t="str">
        <f>VLOOKUP(tabPontoPed[[#This Row],[GRUPO]],tabGrupos[#Data],2,FALSE)</f>
        <v>MAQ., EQUIP., COMP., ACES., MAT. PARA ESCRIT.E ESCOLAR</v>
      </c>
      <c r="G431" s="32" t="str">
        <f>VLOOKUP(tabPontoPed[[#This Row],[GRUPO]],tabGrupos[#Data],3,FALSE)</f>
        <v>EDU</v>
      </c>
      <c r="H431" s="33" t="s">
        <v>1311</v>
      </c>
      <c r="I431" s="80">
        <v>4</v>
      </c>
      <c r="J431" s="39">
        <v>3036</v>
      </c>
      <c r="K431" s="41">
        <f>tabPontoPed[[#This Row],[QTDMÊS]] * tabPontoPed[[#This Row],[MENSAL]]</f>
        <v>12144</v>
      </c>
      <c r="L431" s="83"/>
      <c r="M431" s="81"/>
      <c r="N431" s="34" t="s">
        <v>1009</v>
      </c>
      <c r="O431" s="76"/>
      <c r="P431" s="77">
        <v>0</v>
      </c>
      <c r="Q431" s="57">
        <v>553</v>
      </c>
      <c r="R431" s="42">
        <v>4310</v>
      </c>
      <c r="S431" s="69" t="str">
        <f>_xlfn.IFNA(IF(VLOOKUP(tabPontoPed[[#This Row],[CÓDIGO]],tabExcluirDoEstoque[#Data],1,FALSE),"sim",""),"")</f>
        <v/>
      </c>
      <c r="T431" s="43">
        <f>IF(AND(tabPontoPed[[#This Row],[MENSAL]]&gt;0,tabPontoPed[[#This Row],[CÁLCULO]]&gt;0), ABS( tabPontoPed[[#This Row],[MENSAL]] - tabPontoPed[[#This Row],[CÁLCULO]] ) / tabPontoPed[[#This Row],[MENSAL]], -1 )</f>
        <v>0.41963109354413702</v>
      </c>
      <c r="U431" s="58">
        <v>39171</v>
      </c>
      <c r="V431" s="35">
        <f>IF(AND(tabPontoPed[[#This Row],[MENSAL]]&gt;0,tabPontoPed[[#This Row],[CÁLCULO]]&gt;0), IF( tabPontoPed[[#This Row],[MENSAL]] - tabPontoPed[[#This Row],[CÁLCULO]] &lt; 0, -1, IF( tabPontoPed[[#This Row],[MENSAL]] - tabPontoPed[[#This Row],[CÁLCULO]] &gt; 0, 1, -8)), -9 )</f>
        <v>-1</v>
      </c>
      <c r="W431" s="35"/>
      <c r="X431" s="49" t="s">
        <v>1564</v>
      </c>
      <c r="Y431" s="51">
        <v>44391.599108796298</v>
      </c>
      <c r="Z431" s="72">
        <f>tabPontoPed[CÁLC_4M] - tabPontoPed[CÁLCULO]</f>
        <v>-3757</v>
      </c>
      <c r="AA431" s="79" t="str">
        <f>IF(tabPontoPed[MENSAL]-tabPontoPed[ATA MENSAL] = 0,"sim","")</f>
        <v/>
      </c>
      <c r="AB431" s="79"/>
      <c r="AC431" s="47" t="str">
        <f t="shared" si="6"/>
        <v>*</v>
      </c>
    </row>
    <row r="432" spans="1:29" x14ac:dyDescent="0.25">
      <c r="A432" s="36">
        <v>37528</v>
      </c>
      <c r="B432" s="68" t="s">
        <v>818</v>
      </c>
      <c r="C432" s="33" t="s">
        <v>1317</v>
      </c>
      <c r="D432" s="32">
        <v>67</v>
      </c>
      <c r="E432" s="37">
        <v>1</v>
      </c>
      <c r="F432" s="38" t="str">
        <f>VLOOKUP(tabPontoPed[[#This Row],[GRUPO]],tabGrupos[#Data],2,FALSE)</f>
        <v>PARAFUSOS ELEM. VEDACAO UNIAO CONEX . FIXACAO</v>
      </c>
      <c r="G432" s="32" t="str">
        <f>VLOOKUP(tabPontoPed[[#This Row],[GRUPO]],tabGrupos[#Data],3,FALSE)</f>
        <v>MSE</v>
      </c>
      <c r="H432" s="33" t="s">
        <v>1311</v>
      </c>
      <c r="I432" s="80">
        <v>4</v>
      </c>
      <c r="J432" s="39">
        <v>84</v>
      </c>
      <c r="K432" s="41">
        <f>tabPontoPed[[#This Row],[QTDMÊS]] * tabPontoPed[[#This Row],[MENSAL]]</f>
        <v>336</v>
      </c>
      <c r="L432" s="83"/>
      <c r="M432" s="81"/>
      <c r="N432" s="34" t="s">
        <v>1009</v>
      </c>
      <c r="O432" s="76" t="s">
        <v>1668</v>
      </c>
      <c r="P432" s="77">
        <v>0</v>
      </c>
      <c r="Q432" s="57">
        <v>47</v>
      </c>
      <c r="R432" s="42">
        <v>49</v>
      </c>
      <c r="S432" s="69" t="str">
        <f>_xlfn.IFNA(IF(VLOOKUP(tabPontoPed[[#This Row],[CÓDIGO]],tabExcluirDoEstoque[#Data],1,FALSE),"sim",""),"")</f>
        <v/>
      </c>
      <c r="T432" s="43">
        <f>IF(AND(tabPontoPed[[#This Row],[MENSAL]]&gt;0,tabPontoPed[[#This Row],[CÁLCULO]]&gt;0), ABS( tabPontoPed[[#This Row],[MENSAL]] - tabPontoPed[[#This Row],[CÁLCULO]] ) / tabPontoPed[[#This Row],[MENSAL]], -1 )</f>
        <v>0.41666666666666669</v>
      </c>
      <c r="U432" s="58">
        <v>91</v>
      </c>
      <c r="V432" s="35">
        <f>IF(AND(tabPontoPed[[#This Row],[MENSAL]]&gt;0,tabPontoPed[[#This Row],[CÁLCULO]]&gt;0), IF( tabPontoPed[[#This Row],[MENSAL]] - tabPontoPed[[#This Row],[CÁLCULO]] &lt; 0, -1, IF( tabPontoPed[[#This Row],[MENSAL]] - tabPontoPed[[#This Row],[CÁLCULO]] &gt; 0, 1, -8)), -9 )</f>
        <v>1</v>
      </c>
      <c r="W432" s="35"/>
      <c r="X432" s="48" t="s">
        <v>1564</v>
      </c>
      <c r="Y432" s="53">
        <v>44391.599108796298</v>
      </c>
      <c r="Z432" s="72">
        <f>tabPontoPed[CÁLC_4M] - tabPontoPed[CÁLCULO]</f>
        <v>-2</v>
      </c>
      <c r="AA432" s="79" t="str">
        <f>IF(tabPontoPed[MENSAL]-tabPontoPed[ATA MENSAL] = 0,"sim","")</f>
        <v/>
      </c>
      <c r="AB432" s="79"/>
      <c r="AC432" s="47" t="str">
        <f t="shared" si="6"/>
        <v>*</v>
      </c>
    </row>
    <row r="433" spans="1:29" x14ac:dyDescent="0.25">
      <c r="A433" s="36">
        <v>74976</v>
      </c>
      <c r="B433" s="68" t="s">
        <v>763</v>
      </c>
      <c r="C433" s="33" t="s">
        <v>1317</v>
      </c>
      <c r="D433" s="32">
        <v>61</v>
      </c>
      <c r="E433" s="37">
        <v>8</v>
      </c>
      <c r="F433" s="38" t="str">
        <f>VLOOKUP(tabPontoPed[[#This Row],[GRUPO]],tabGrupos[#Data],2,FALSE)</f>
        <v>MATERIAL HIDRAULICO, CANOS, TUBOS, MANGUEIRAS, CONEXOES E ACESS.</v>
      </c>
      <c r="G433" s="32" t="str">
        <f>VLOOKUP(tabPontoPed[[#This Row],[GRUPO]],tabGrupos[#Data],3,FALSE)</f>
        <v>MHI</v>
      </c>
      <c r="H433" s="33" t="s">
        <v>1311</v>
      </c>
      <c r="I433" s="80">
        <v>4</v>
      </c>
      <c r="J433" s="39">
        <v>17</v>
      </c>
      <c r="K433" s="41">
        <f>tabPontoPed[[#This Row],[QTDMÊS]] * tabPontoPed[[#This Row],[MENSAL]]</f>
        <v>68</v>
      </c>
      <c r="L433" s="83"/>
      <c r="M433" s="81"/>
      <c r="N433" s="34" t="s">
        <v>1009</v>
      </c>
      <c r="O433" s="76" t="s">
        <v>1679</v>
      </c>
      <c r="P433" s="77">
        <v>0</v>
      </c>
      <c r="Q433" s="57">
        <v>5</v>
      </c>
      <c r="R433" s="42">
        <v>10</v>
      </c>
      <c r="S433" s="69" t="str">
        <f>_xlfn.IFNA(IF(VLOOKUP(tabPontoPed[[#This Row],[CÓDIGO]],tabExcluirDoEstoque[#Data],1,FALSE),"sim",""),"")</f>
        <v/>
      </c>
      <c r="T433" s="43">
        <f>IF(AND(tabPontoPed[[#This Row],[MENSAL]]&gt;0,tabPontoPed[[#This Row],[CÁLCULO]]&gt;0), ABS( tabPontoPed[[#This Row],[MENSAL]] - tabPontoPed[[#This Row],[CÁLCULO]] ) / tabPontoPed[[#This Row],[MENSAL]], -1 )</f>
        <v>0.41176470588235292</v>
      </c>
      <c r="U433" s="58">
        <v>28</v>
      </c>
      <c r="V433" s="35">
        <f>IF(AND(tabPontoPed[[#This Row],[MENSAL]]&gt;0,tabPontoPed[[#This Row],[CÁLCULO]]&gt;0), IF( tabPontoPed[[#This Row],[MENSAL]] - tabPontoPed[[#This Row],[CÁLCULO]] &lt; 0, -1, IF( tabPontoPed[[#This Row],[MENSAL]] - tabPontoPed[[#This Row],[CÁLCULO]] &gt; 0, 1, -8)), -9 )</f>
        <v>1</v>
      </c>
      <c r="W433" s="35"/>
      <c r="X433" s="49" t="s">
        <v>1564</v>
      </c>
      <c r="Y433" s="51">
        <v>44391.599108796298</v>
      </c>
      <c r="Z433" s="72">
        <f>tabPontoPed[CÁLC_4M] - tabPontoPed[CÁLCULO]</f>
        <v>-5</v>
      </c>
      <c r="AA433" s="79" t="str">
        <f>IF(tabPontoPed[MENSAL]-tabPontoPed[ATA MENSAL] = 0,"sim","")</f>
        <v/>
      </c>
      <c r="AB433" s="79"/>
      <c r="AC433" s="47" t="str">
        <f t="shared" si="6"/>
        <v>*</v>
      </c>
    </row>
    <row r="434" spans="1:29" x14ac:dyDescent="0.25">
      <c r="A434" s="36">
        <v>24500</v>
      </c>
      <c r="B434" s="68" t="s">
        <v>313</v>
      </c>
      <c r="C434" s="33" t="s">
        <v>1317</v>
      </c>
      <c r="D434" s="32">
        <v>61</v>
      </c>
      <c r="E434" s="37">
        <v>14</v>
      </c>
      <c r="F434" s="38" t="str">
        <f>VLOOKUP(tabPontoPed[[#This Row],[GRUPO]],tabGrupos[#Data],2,FALSE)</f>
        <v>MATERIAL HIDRAULICO, CANOS, TUBOS, MANGUEIRAS, CONEXOES E ACESS.</v>
      </c>
      <c r="G434" s="32" t="str">
        <f>VLOOKUP(tabPontoPed[[#This Row],[GRUPO]],tabGrupos[#Data],3,FALSE)</f>
        <v>MHI</v>
      </c>
      <c r="H434" s="33" t="s">
        <v>1311</v>
      </c>
      <c r="I434" s="80">
        <v>4</v>
      </c>
      <c r="J434" s="39">
        <v>17</v>
      </c>
      <c r="K434" s="41">
        <f>tabPontoPed[[#This Row],[QTDMÊS]] * tabPontoPed[[#This Row],[MENSAL]]</f>
        <v>68</v>
      </c>
      <c r="L434" s="83"/>
      <c r="M434" s="81"/>
      <c r="N434" s="34" t="s">
        <v>1009</v>
      </c>
      <c r="O434" s="76" t="s">
        <v>1678</v>
      </c>
      <c r="P434" s="77">
        <v>0</v>
      </c>
      <c r="Q434" s="57">
        <v>22</v>
      </c>
      <c r="R434" s="42">
        <v>24</v>
      </c>
      <c r="S434" s="69" t="str">
        <f>_xlfn.IFNA(IF(VLOOKUP(tabPontoPed[[#This Row],[CÓDIGO]],tabExcluirDoEstoque[#Data],1,FALSE),"sim",""),"")</f>
        <v/>
      </c>
      <c r="T434" s="43">
        <f>IF(AND(tabPontoPed[[#This Row],[MENSAL]]&gt;0,tabPontoPed[[#This Row],[CÁLCULO]]&gt;0), ABS( tabPontoPed[[#This Row],[MENSAL]] - tabPontoPed[[#This Row],[CÁLCULO]] ) / tabPontoPed[[#This Row],[MENSAL]], -1 )</f>
        <v>0.41176470588235292</v>
      </c>
      <c r="U434" s="58">
        <v>56</v>
      </c>
      <c r="V434" s="35">
        <f>IF(AND(tabPontoPed[[#This Row],[MENSAL]]&gt;0,tabPontoPed[[#This Row],[CÁLCULO]]&gt;0), IF( tabPontoPed[[#This Row],[MENSAL]] - tabPontoPed[[#This Row],[CÁLCULO]] &lt; 0, -1, IF( tabPontoPed[[#This Row],[MENSAL]] - tabPontoPed[[#This Row],[CÁLCULO]] &gt; 0, 1, -8)), -9 )</f>
        <v>-1</v>
      </c>
      <c r="W434" s="35"/>
      <c r="X434" s="49" t="s">
        <v>1564</v>
      </c>
      <c r="Y434" s="51">
        <v>44391.599108796298</v>
      </c>
      <c r="Z434" s="72">
        <f>tabPontoPed[CÁLC_4M] - tabPontoPed[CÁLCULO]</f>
        <v>-2</v>
      </c>
      <c r="AA434" s="79" t="str">
        <f>IF(tabPontoPed[MENSAL]-tabPontoPed[ATA MENSAL] = 0,"sim","")</f>
        <v/>
      </c>
      <c r="AB434" s="79"/>
      <c r="AC434" s="47" t="str">
        <f t="shared" si="6"/>
        <v>*</v>
      </c>
    </row>
    <row r="435" spans="1:29" x14ac:dyDescent="0.25">
      <c r="A435" s="36">
        <v>15066</v>
      </c>
      <c r="B435" s="68" t="s">
        <v>318</v>
      </c>
      <c r="C435" s="33" t="s">
        <v>1317</v>
      </c>
      <c r="D435" s="32">
        <v>61</v>
      </c>
      <c r="E435" s="37">
        <v>15</v>
      </c>
      <c r="F435" s="38" t="str">
        <f>VLOOKUP(tabPontoPed[[#This Row],[GRUPO]],tabGrupos[#Data],2,FALSE)</f>
        <v>MATERIAL HIDRAULICO, CANOS, TUBOS, MANGUEIRAS, CONEXOES E ACESS.</v>
      </c>
      <c r="G435" s="32" t="str">
        <f>VLOOKUP(tabPontoPed[[#This Row],[GRUPO]],tabGrupos[#Data],3,FALSE)</f>
        <v>MHI</v>
      </c>
      <c r="H435" s="33" t="s">
        <v>1311</v>
      </c>
      <c r="I435" s="80">
        <v>4</v>
      </c>
      <c r="J435" s="39">
        <v>17</v>
      </c>
      <c r="K435" s="41">
        <f>tabPontoPed[[#This Row],[QTDMÊS]] * tabPontoPed[[#This Row],[MENSAL]]</f>
        <v>68</v>
      </c>
      <c r="L435" s="83"/>
      <c r="M435" s="81"/>
      <c r="N435" s="34" t="s">
        <v>1009</v>
      </c>
      <c r="O435" s="76" t="s">
        <v>1678</v>
      </c>
      <c r="P435" s="77">
        <v>0</v>
      </c>
      <c r="Q435" s="57">
        <v>11</v>
      </c>
      <c r="R435" s="42">
        <v>10</v>
      </c>
      <c r="S435" s="69" t="str">
        <f>_xlfn.IFNA(IF(VLOOKUP(tabPontoPed[[#This Row],[CÓDIGO]],tabExcluirDoEstoque[#Data],1,FALSE),"sim",""),"")</f>
        <v/>
      </c>
      <c r="T435" s="43">
        <f>IF(AND(tabPontoPed[[#This Row],[MENSAL]]&gt;0,tabPontoPed[[#This Row],[CÁLCULO]]&gt;0), ABS( tabPontoPed[[#This Row],[MENSAL]] - tabPontoPed[[#This Row],[CÁLCULO]] ) / tabPontoPed[[#This Row],[MENSAL]], -1 )</f>
        <v>0.41176470588235292</v>
      </c>
      <c r="U435" s="58">
        <v>16</v>
      </c>
      <c r="V435" s="35">
        <f>IF(AND(tabPontoPed[[#This Row],[MENSAL]]&gt;0,tabPontoPed[[#This Row],[CÁLCULO]]&gt;0), IF( tabPontoPed[[#This Row],[MENSAL]] - tabPontoPed[[#This Row],[CÁLCULO]] &lt; 0, -1, IF( tabPontoPed[[#This Row],[MENSAL]] - tabPontoPed[[#This Row],[CÁLCULO]] &gt; 0, 1, -8)), -9 )</f>
        <v>1</v>
      </c>
      <c r="W435" s="35"/>
      <c r="X435" s="49" t="s">
        <v>1564</v>
      </c>
      <c r="Y435" s="51">
        <v>44391.599108796298</v>
      </c>
      <c r="Z435" s="72">
        <f>tabPontoPed[CÁLC_4M] - tabPontoPed[CÁLCULO]</f>
        <v>1</v>
      </c>
      <c r="AA435" s="79" t="str">
        <f>IF(tabPontoPed[MENSAL]-tabPontoPed[ATA MENSAL] = 0,"sim","")</f>
        <v/>
      </c>
      <c r="AB435" s="79" t="s">
        <v>1614</v>
      </c>
      <c r="AC435" s="47" t="str">
        <f t="shared" si="6"/>
        <v>*</v>
      </c>
    </row>
    <row r="436" spans="1:29" x14ac:dyDescent="0.25">
      <c r="A436" s="36">
        <v>114923</v>
      </c>
      <c r="B436" s="68" t="s">
        <v>868</v>
      </c>
      <c r="C436" s="33" t="s">
        <v>1317</v>
      </c>
      <c r="D436" s="32">
        <v>67</v>
      </c>
      <c r="E436" s="37">
        <v>18</v>
      </c>
      <c r="F436" s="38" t="str">
        <f>VLOOKUP(tabPontoPed[[#This Row],[GRUPO]],tabGrupos[#Data],2,FALSE)</f>
        <v>PARAFUSOS ELEM. VEDACAO UNIAO CONEX . FIXACAO</v>
      </c>
      <c r="G436" s="32" t="str">
        <f>VLOOKUP(tabPontoPed[[#This Row],[GRUPO]],tabGrupos[#Data],3,FALSE)</f>
        <v>MSE</v>
      </c>
      <c r="H436" s="33" t="s">
        <v>1311</v>
      </c>
      <c r="I436" s="80">
        <v>4</v>
      </c>
      <c r="J436" s="39">
        <v>172</v>
      </c>
      <c r="K436" s="41">
        <f>tabPontoPed[[#This Row],[QTDMÊS]] * tabPontoPed[[#This Row],[MENSAL]]</f>
        <v>688</v>
      </c>
      <c r="L436" s="83"/>
      <c r="M436" s="81"/>
      <c r="N436" s="34" t="s">
        <v>1009</v>
      </c>
      <c r="O436" s="76"/>
      <c r="P436" s="77">
        <v>0</v>
      </c>
      <c r="Q436" s="57">
        <v>42</v>
      </c>
      <c r="R436" s="42">
        <v>102</v>
      </c>
      <c r="S436" s="69" t="str">
        <f>_xlfn.IFNA(IF(VLOOKUP(tabPontoPed[[#This Row],[CÓDIGO]],tabExcluirDoEstoque[#Data],1,FALSE),"sim",""),"")</f>
        <v/>
      </c>
      <c r="T436" s="43">
        <f>IF(AND(tabPontoPed[[#This Row],[MENSAL]]&gt;0,tabPontoPed[[#This Row],[CÁLCULO]]&gt;0), ABS( tabPontoPed[[#This Row],[MENSAL]] - tabPontoPed[[#This Row],[CÁLCULO]] ) / tabPontoPed[[#This Row],[MENSAL]], -1 )</f>
        <v>0.40697674418604651</v>
      </c>
      <c r="U436" s="58">
        <v>800</v>
      </c>
      <c r="V436" s="35">
        <f>IF(AND(tabPontoPed[[#This Row],[MENSAL]]&gt;0,tabPontoPed[[#This Row],[CÁLCULO]]&gt;0), IF( tabPontoPed[[#This Row],[MENSAL]] - tabPontoPed[[#This Row],[CÁLCULO]] &lt; 0, -1, IF( tabPontoPed[[#This Row],[MENSAL]] - tabPontoPed[[#This Row],[CÁLCULO]] &gt; 0, 1, -8)), -9 )</f>
        <v>1</v>
      </c>
      <c r="W436" s="35"/>
      <c r="X436" s="48" t="s">
        <v>1564</v>
      </c>
      <c r="Y436" s="53">
        <v>44391.599108796298</v>
      </c>
      <c r="Z436" s="72">
        <f>tabPontoPed[CÁLC_4M] - tabPontoPed[CÁLCULO]</f>
        <v>-60</v>
      </c>
      <c r="AA436" s="79" t="str">
        <f>IF(tabPontoPed[MENSAL]-tabPontoPed[ATA MENSAL] = 0,"sim","")</f>
        <v/>
      </c>
      <c r="AB436" s="79"/>
      <c r="AC436" s="47" t="str">
        <f t="shared" si="6"/>
        <v>*</v>
      </c>
    </row>
    <row r="437" spans="1:29" x14ac:dyDescent="0.25">
      <c r="A437" s="36">
        <v>118427</v>
      </c>
      <c r="B437" s="68" t="s">
        <v>393</v>
      </c>
      <c r="C437" s="33" t="s">
        <v>1317</v>
      </c>
      <c r="D437" s="32">
        <v>74</v>
      </c>
      <c r="E437" s="37">
        <v>2</v>
      </c>
      <c r="F437" s="38" t="str">
        <f>VLOOKUP(tabPontoPed[[#This Row],[GRUPO]],tabGrupos[#Data],2,FALSE)</f>
        <v>MADEIRAS,LAMINADOS,COMPENSADOS E AGLOMERADOS</v>
      </c>
      <c r="G437" s="32" t="str">
        <f>VLOOKUP(tabPontoPed[[#This Row],[GRUPO]],tabGrupos[#Data],3,FALSE)</f>
        <v>MCO</v>
      </c>
      <c r="H437" s="33" t="s">
        <v>1311</v>
      </c>
      <c r="I437" s="80">
        <v>4</v>
      </c>
      <c r="J437" s="39">
        <v>467</v>
      </c>
      <c r="K437" s="41">
        <f>tabPontoPed[[#This Row],[QTDMÊS]] * tabPontoPed[[#This Row],[MENSAL]]</f>
        <v>1868</v>
      </c>
      <c r="L437" s="83"/>
      <c r="M437" s="81"/>
      <c r="N437" s="34" t="s">
        <v>1009</v>
      </c>
      <c r="O437" s="76" t="s">
        <v>1684</v>
      </c>
      <c r="P437" s="77">
        <v>0</v>
      </c>
      <c r="Q437" s="57">
        <v>404</v>
      </c>
      <c r="R437" s="42">
        <v>278</v>
      </c>
      <c r="S437" s="69" t="str">
        <f>_xlfn.IFNA(IF(VLOOKUP(tabPontoPed[[#This Row],[CÓDIGO]],tabExcluirDoEstoque[#Data],1,FALSE),"sim",""),"")</f>
        <v/>
      </c>
      <c r="T437" s="43">
        <f>IF(AND(tabPontoPed[[#This Row],[MENSAL]]&gt;0,tabPontoPed[[#This Row],[CÁLCULO]]&gt;0), ABS( tabPontoPed[[#This Row],[MENSAL]] - tabPontoPed[[#This Row],[CÁLCULO]] ) / tabPontoPed[[#This Row],[MENSAL]], -1 )</f>
        <v>0.40471092077087795</v>
      </c>
      <c r="U437" s="58">
        <v>1029</v>
      </c>
      <c r="V437" s="35">
        <f>IF(AND(tabPontoPed[[#This Row],[MENSAL]]&gt;0,tabPontoPed[[#This Row],[CÁLCULO]]&gt;0), IF( tabPontoPed[[#This Row],[MENSAL]] - tabPontoPed[[#This Row],[CÁLCULO]] &lt; 0, -1, IF( tabPontoPed[[#This Row],[MENSAL]] - tabPontoPed[[#This Row],[CÁLCULO]] &gt; 0, 1, -8)), -9 )</f>
        <v>1</v>
      </c>
      <c r="W437" s="35"/>
      <c r="X437" s="49" t="s">
        <v>1564</v>
      </c>
      <c r="Y437" s="51">
        <v>44391.599108796298</v>
      </c>
      <c r="Z437" s="72">
        <f>tabPontoPed[CÁLC_4M] - tabPontoPed[CÁLCULO]</f>
        <v>126</v>
      </c>
      <c r="AA437" s="79" t="str">
        <f>IF(tabPontoPed[MENSAL]-tabPontoPed[ATA MENSAL] = 0,"sim","")</f>
        <v/>
      </c>
      <c r="AB437" s="79"/>
      <c r="AC437" s="47" t="str">
        <f t="shared" si="6"/>
        <v>*</v>
      </c>
    </row>
    <row r="438" spans="1:29" x14ac:dyDescent="0.25">
      <c r="A438" s="36">
        <v>118577</v>
      </c>
      <c r="B438" s="68" t="s">
        <v>247</v>
      </c>
      <c r="C438" s="33" t="s">
        <v>1317</v>
      </c>
      <c r="D438" s="32">
        <v>51</v>
      </c>
      <c r="E438" s="37">
        <v>21</v>
      </c>
      <c r="F438" s="38" t="str">
        <f>VLOOKUP(tabPontoPed[[#This Row],[GRUPO]],tabGrupos[#Data],2,FALSE)</f>
        <v>MAT.E EQUIP. P/ CONSTR.CIVIL E CONSERV. DE VIAS PUBL.</v>
      </c>
      <c r="G438" s="32" t="str">
        <f>VLOOKUP(tabPontoPed[[#This Row],[GRUPO]],tabGrupos[#Data],3,FALSE)</f>
        <v>MCO</v>
      </c>
      <c r="H438" s="33" t="s">
        <v>1311</v>
      </c>
      <c r="I438" s="80">
        <v>4</v>
      </c>
      <c r="J438" s="39">
        <v>47</v>
      </c>
      <c r="K438" s="41">
        <f>tabPontoPed[[#This Row],[QTDMÊS]] * tabPontoPed[[#This Row],[MENSAL]]</f>
        <v>188</v>
      </c>
      <c r="L438" s="83"/>
      <c r="M438" s="81"/>
      <c r="N438" s="34" t="s">
        <v>1009</v>
      </c>
      <c r="O438" s="76" t="s">
        <v>1727</v>
      </c>
      <c r="P438" s="77">
        <v>0</v>
      </c>
      <c r="Q438" s="57">
        <v>70</v>
      </c>
      <c r="R438" s="42">
        <v>66</v>
      </c>
      <c r="S438" s="69" t="str">
        <f>_xlfn.IFNA(IF(VLOOKUP(tabPontoPed[[#This Row],[CÓDIGO]],tabExcluirDoEstoque[#Data],1,FALSE),"sim",""),"")</f>
        <v/>
      </c>
      <c r="T438" s="43">
        <f>IF(AND(tabPontoPed[[#This Row],[MENSAL]]&gt;0,tabPontoPed[[#This Row],[CÁLCULO]]&gt;0), ABS( tabPontoPed[[#This Row],[MENSAL]] - tabPontoPed[[#This Row],[CÁLCULO]] ) / tabPontoPed[[#This Row],[MENSAL]], -1 )</f>
        <v>0.40425531914893614</v>
      </c>
      <c r="U438" s="58">
        <v>176</v>
      </c>
      <c r="V438" s="35">
        <f>IF(AND(tabPontoPed[[#This Row],[MENSAL]]&gt;0,tabPontoPed[[#This Row],[CÁLCULO]]&gt;0), IF( tabPontoPed[[#This Row],[MENSAL]] - tabPontoPed[[#This Row],[CÁLCULO]] &lt; 0, -1, IF( tabPontoPed[[#This Row],[MENSAL]] - tabPontoPed[[#This Row],[CÁLCULO]] &gt; 0, 1, -8)), -9 )</f>
        <v>-1</v>
      </c>
      <c r="W438" s="35"/>
      <c r="X438" s="49" t="s">
        <v>1564</v>
      </c>
      <c r="Y438" s="51">
        <v>44391.599108796298</v>
      </c>
      <c r="Z438" s="72">
        <f>tabPontoPed[CÁLC_4M] - tabPontoPed[CÁLCULO]</f>
        <v>4</v>
      </c>
      <c r="AA438" s="79" t="str">
        <f>IF(tabPontoPed[MENSAL]-tabPontoPed[ATA MENSAL] = 0,"sim","")</f>
        <v/>
      </c>
      <c r="AB438" s="79"/>
      <c r="AC438" s="47" t="str">
        <f t="shared" si="6"/>
        <v>*</v>
      </c>
    </row>
    <row r="439" spans="1:29" x14ac:dyDescent="0.25">
      <c r="A439" s="36">
        <v>81131</v>
      </c>
      <c r="B439" s="68" t="s">
        <v>194</v>
      </c>
      <c r="C439" s="33" t="s">
        <v>1317</v>
      </c>
      <c r="D439" s="32">
        <v>72</v>
      </c>
      <c r="E439" s="37">
        <v>6</v>
      </c>
      <c r="F439" s="38" t="str">
        <f>VLOOKUP(tabPontoPed[[#This Row],[GRUPO]],tabGrupos[#Data],2,FALSE)</f>
        <v>MAQ.EQUIP.E MATERIAIS P/ HIGIEN.LIMP.POLIM.E LUBR.</v>
      </c>
      <c r="G439" s="32" t="str">
        <f>VLOOKUP(tabPontoPed[[#This Row],[GRUPO]],tabGrupos[#Data],3,FALSE)</f>
        <v>ADM</v>
      </c>
      <c r="H439" s="33" t="s">
        <v>1311</v>
      </c>
      <c r="I439" s="80">
        <v>4</v>
      </c>
      <c r="J439" s="39">
        <v>10</v>
      </c>
      <c r="K439" s="41">
        <f>tabPontoPed[[#This Row],[QTDMÊS]] * tabPontoPed[[#This Row],[MENSAL]]</f>
        <v>40</v>
      </c>
      <c r="L439" s="83"/>
      <c r="M439" s="81"/>
      <c r="N439" s="34" t="s">
        <v>1009</v>
      </c>
      <c r="O439" s="76" t="s">
        <v>1721</v>
      </c>
      <c r="P439" s="77">
        <v>0</v>
      </c>
      <c r="Q439" s="57">
        <v>1</v>
      </c>
      <c r="R439" s="42">
        <v>6</v>
      </c>
      <c r="S439" s="69" t="str">
        <f>_xlfn.IFNA(IF(VLOOKUP(tabPontoPed[[#This Row],[CÓDIGO]],tabExcluirDoEstoque[#Data],1,FALSE),"sim",""),"")</f>
        <v/>
      </c>
      <c r="T439" s="43">
        <f>IF(AND(tabPontoPed[[#This Row],[MENSAL]]&gt;0,tabPontoPed[[#This Row],[CÁLCULO]]&gt;0), ABS( tabPontoPed[[#This Row],[MENSAL]] - tabPontoPed[[#This Row],[CÁLCULO]] ) / tabPontoPed[[#This Row],[MENSAL]], -1 )</f>
        <v>0.4</v>
      </c>
      <c r="U439" s="58">
        <v>23</v>
      </c>
      <c r="V439" s="35">
        <f>IF(AND(tabPontoPed[[#This Row],[MENSAL]]&gt;0,tabPontoPed[[#This Row],[CÁLCULO]]&gt;0), IF( tabPontoPed[[#This Row],[MENSAL]] - tabPontoPed[[#This Row],[CÁLCULO]] &lt; 0, -1, IF( tabPontoPed[[#This Row],[MENSAL]] - tabPontoPed[[#This Row],[CÁLCULO]] &gt; 0, 1, -8)), -9 )</f>
        <v>1</v>
      </c>
      <c r="W439" s="35"/>
      <c r="X439" s="49" t="s">
        <v>1564</v>
      </c>
      <c r="Y439" s="51">
        <v>44391.599108796298</v>
      </c>
      <c r="Z439" s="72">
        <f>tabPontoPed[CÁLC_4M] - tabPontoPed[CÁLCULO]</f>
        <v>-5</v>
      </c>
      <c r="AA439" s="79" t="str">
        <f>IF(tabPontoPed[MENSAL]-tabPontoPed[ATA MENSAL] = 0,"sim","")</f>
        <v/>
      </c>
      <c r="AB439" s="79"/>
      <c r="AC439" s="47" t="str">
        <f t="shared" si="6"/>
        <v>*</v>
      </c>
    </row>
    <row r="440" spans="1:29" x14ac:dyDescent="0.25">
      <c r="A440" s="36">
        <v>93139</v>
      </c>
      <c r="B440" s="68" t="s">
        <v>594</v>
      </c>
      <c r="C440" s="33" t="s">
        <v>1317</v>
      </c>
      <c r="D440" s="32">
        <v>54</v>
      </c>
      <c r="E440" s="37">
        <v>8</v>
      </c>
      <c r="F440" s="38" t="str">
        <f>VLOOKUP(tabPontoPed[[#This Row],[GRUPO]],tabGrupos[#Data],2,FALSE)</f>
        <v>EQUIP PROT IND, INST MAT P/ SINAL, CONTR, COMB ...</v>
      </c>
      <c r="G440" s="32" t="str">
        <f>VLOOKUP(tabPontoPed[[#This Row],[GRUPO]],tabGrupos[#Data],3,FALSE)</f>
        <v>MAN</v>
      </c>
      <c r="H440" s="33" t="s">
        <v>1311</v>
      </c>
      <c r="I440" s="80">
        <v>4</v>
      </c>
      <c r="J440" s="39">
        <v>15</v>
      </c>
      <c r="K440" s="41">
        <f>tabPontoPed[[#This Row],[QTDMÊS]] * tabPontoPed[[#This Row],[MENSAL]]</f>
        <v>60</v>
      </c>
      <c r="L440" s="83"/>
      <c r="M440" s="81"/>
      <c r="N440" s="34" t="s">
        <v>1009</v>
      </c>
      <c r="O440" s="76" t="s">
        <v>1724</v>
      </c>
      <c r="P440" s="77">
        <v>0</v>
      </c>
      <c r="Q440" s="57">
        <v>16</v>
      </c>
      <c r="R440" s="42">
        <v>9</v>
      </c>
      <c r="S440" s="69" t="str">
        <f>_xlfn.IFNA(IF(VLOOKUP(tabPontoPed[[#This Row],[CÓDIGO]],tabExcluirDoEstoque[#Data],1,FALSE),"sim",""),"")</f>
        <v/>
      </c>
      <c r="T440" s="43">
        <f>IF(AND(tabPontoPed[[#This Row],[MENSAL]]&gt;0,tabPontoPed[[#This Row],[CÁLCULO]]&gt;0), ABS( tabPontoPed[[#This Row],[MENSAL]] - tabPontoPed[[#This Row],[CÁLCULO]] ) / tabPontoPed[[#This Row],[MENSAL]], -1 )</f>
        <v>0.4</v>
      </c>
      <c r="U440" s="58">
        <v>29</v>
      </c>
      <c r="V440" s="35">
        <f>IF(AND(tabPontoPed[[#This Row],[MENSAL]]&gt;0,tabPontoPed[[#This Row],[CÁLCULO]]&gt;0), IF( tabPontoPed[[#This Row],[MENSAL]] - tabPontoPed[[#This Row],[CÁLCULO]] &lt; 0, -1, IF( tabPontoPed[[#This Row],[MENSAL]] - tabPontoPed[[#This Row],[CÁLCULO]] &gt; 0, 1, -8)), -9 )</f>
        <v>1</v>
      </c>
      <c r="W440" s="35"/>
      <c r="X440" s="48" t="s">
        <v>1564</v>
      </c>
      <c r="Y440" s="53">
        <v>44391.599108796298</v>
      </c>
      <c r="Z440" s="72">
        <f>tabPontoPed[CÁLC_4M] - tabPontoPed[CÁLCULO]</f>
        <v>7</v>
      </c>
      <c r="AA440" s="79" t="str">
        <f>IF(tabPontoPed[MENSAL]-tabPontoPed[ATA MENSAL] = 0,"sim","")</f>
        <v/>
      </c>
      <c r="AB440" s="79"/>
      <c r="AC440" s="47" t="str">
        <f t="shared" si="6"/>
        <v>*</v>
      </c>
    </row>
    <row r="441" spans="1:29" x14ac:dyDescent="0.25">
      <c r="A441" s="36">
        <v>42566</v>
      </c>
      <c r="B441" s="68" t="s">
        <v>544</v>
      </c>
      <c r="C441" s="33" t="s">
        <v>1317</v>
      </c>
      <c r="D441" s="32">
        <v>51</v>
      </c>
      <c r="E441" s="37">
        <v>28</v>
      </c>
      <c r="F441" s="38" t="str">
        <f>VLOOKUP(tabPontoPed[[#This Row],[GRUPO]],tabGrupos[#Data],2,FALSE)</f>
        <v>MAT.E EQUIP. P/ CONSTR.CIVIL E CONSERV. DE VIAS PUBL.</v>
      </c>
      <c r="G441" s="32" t="str">
        <f>VLOOKUP(tabPontoPed[[#This Row],[GRUPO]],tabGrupos[#Data],3,FALSE)</f>
        <v>MCO</v>
      </c>
      <c r="H441" s="33" t="s">
        <v>1311</v>
      </c>
      <c r="I441" s="80">
        <v>4</v>
      </c>
      <c r="J441" s="39">
        <v>5</v>
      </c>
      <c r="K441" s="41">
        <f>tabPontoPed[[#This Row],[QTDMÊS]] * tabPontoPed[[#This Row],[MENSAL]]</f>
        <v>20</v>
      </c>
      <c r="L441" s="83"/>
      <c r="M441" s="81"/>
      <c r="N441" s="34" t="s">
        <v>1009</v>
      </c>
      <c r="O441" s="76" t="s">
        <v>1684</v>
      </c>
      <c r="P441" s="77">
        <v>0</v>
      </c>
      <c r="Q441" s="57">
        <v>2</v>
      </c>
      <c r="R441" s="42">
        <v>3</v>
      </c>
      <c r="S441" s="69" t="str">
        <f>_xlfn.IFNA(IF(VLOOKUP(tabPontoPed[[#This Row],[CÓDIGO]],tabExcluirDoEstoque[#Data],1,FALSE),"sim",""),"")</f>
        <v/>
      </c>
      <c r="T441" s="43">
        <f>IF(AND(tabPontoPed[[#This Row],[MENSAL]]&gt;0,tabPontoPed[[#This Row],[CÁLCULO]]&gt;0), ABS( tabPontoPed[[#This Row],[MENSAL]] - tabPontoPed[[#This Row],[CÁLCULO]] ) / tabPontoPed[[#This Row],[MENSAL]], -1 )</f>
        <v>0.4</v>
      </c>
      <c r="U441" s="58">
        <v>9</v>
      </c>
      <c r="V441" s="35">
        <f>IF(AND(tabPontoPed[[#This Row],[MENSAL]]&gt;0,tabPontoPed[[#This Row],[CÁLCULO]]&gt;0), IF( tabPontoPed[[#This Row],[MENSAL]] - tabPontoPed[[#This Row],[CÁLCULO]] &lt; 0, -1, IF( tabPontoPed[[#This Row],[MENSAL]] - tabPontoPed[[#This Row],[CÁLCULO]] &gt; 0, 1, -8)), -9 )</f>
        <v>1</v>
      </c>
      <c r="W441" s="35"/>
      <c r="X441" s="49" t="s">
        <v>1564</v>
      </c>
      <c r="Y441" s="51">
        <v>44391.599108796298</v>
      </c>
      <c r="Z441" s="72">
        <f>tabPontoPed[CÁLC_4M] - tabPontoPed[CÁLCULO]</f>
        <v>-1</v>
      </c>
      <c r="AA441" s="79" t="str">
        <f>IF(tabPontoPed[MENSAL]-tabPontoPed[ATA MENSAL] = 0,"sim","")</f>
        <v/>
      </c>
      <c r="AB441" s="79" t="s">
        <v>1614</v>
      </c>
      <c r="AC441" s="47" t="str">
        <f t="shared" si="6"/>
        <v>*</v>
      </c>
    </row>
    <row r="442" spans="1:29" x14ac:dyDescent="0.25">
      <c r="A442" s="36">
        <v>49033</v>
      </c>
      <c r="B442" s="68" t="s">
        <v>396</v>
      </c>
      <c r="C442" s="33" t="s">
        <v>1317</v>
      </c>
      <c r="D442" s="32">
        <v>51</v>
      </c>
      <c r="E442" s="37">
        <v>28</v>
      </c>
      <c r="F442" s="38" t="str">
        <f>VLOOKUP(tabPontoPed[[#This Row],[GRUPO]],tabGrupos[#Data],2,FALSE)</f>
        <v>MAT.E EQUIP. P/ CONSTR.CIVIL E CONSERV. DE VIAS PUBL.</v>
      </c>
      <c r="G442" s="32" t="str">
        <f>VLOOKUP(tabPontoPed[[#This Row],[GRUPO]],tabGrupos[#Data],3,FALSE)</f>
        <v>MCO</v>
      </c>
      <c r="H442" s="33" t="s">
        <v>1311</v>
      </c>
      <c r="I442" s="80">
        <v>4</v>
      </c>
      <c r="J442" s="39">
        <v>4</v>
      </c>
      <c r="K442" s="41">
        <f>tabPontoPed[[#This Row],[QTDMÊS]] * tabPontoPed[[#This Row],[MENSAL]]</f>
        <v>16</v>
      </c>
      <c r="L442" s="83"/>
      <c r="M442" s="81"/>
      <c r="N442" s="34" t="s">
        <v>1009</v>
      </c>
      <c r="O442" s="76" t="s">
        <v>1684</v>
      </c>
      <c r="P442" s="77">
        <v>0</v>
      </c>
      <c r="Q442" s="57">
        <v>4</v>
      </c>
      <c r="R442" s="42">
        <v>3</v>
      </c>
      <c r="S442" s="69" t="str">
        <f>_xlfn.IFNA(IF(VLOOKUP(tabPontoPed[[#This Row],[CÓDIGO]],tabExcluirDoEstoque[#Data],1,FALSE),"sim",""),"")</f>
        <v/>
      </c>
      <c r="T442" s="43">
        <f>IF(AND(tabPontoPed[[#This Row],[MENSAL]]&gt;0,tabPontoPed[[#This Row],[CÁLCULO]]&gt;0), ABS( tabPontoPed[[#This Row],[MENSAL]] - tabPontoPed[[#This Row],[CÁLCULO]] ) / tabPontoPed[[#This Row],[MENSAL]], -1 )</f>
        <v>0.25</v>
      </c>
      <c r="U442" s="58">
        <v>4</v>
      </c>
      <c r="V442" s="35">
        <f>IF(AND(tabPontoPed[[#This Row],[MENSAL]]&gt;0,tabPontoPed[[#This Row],[CÁLCULO]]&gt;0), IF( tabPontoPed[[#This Row],[MENSAL]] - tabPontoPed[[#This Row],[CÁLCULO]] &lt; 0, -1, IF( tabPontoPed[[#This Row],[MENSAL]] - tabPontoPed[[#This Row],[CÁLCULO]] &gt; 0, 1, -8)), -9 )</f>
        <v>1</v>
      </c>
      <c r="W442" s="35"/>
      <c r="X442" s="49" t="s">
        <v>1564</v>
      </c>
      <c r="Y442" s="51">
        <v>44455.433321759258</v>
      </c>
      <c r="Z442" s="72">
        <f>tabPontoPed[CÁLC_4M] - tabPontoPed[CÁLCULO]</f>
        <v>1</v>
      </c>
      <c r="AA442" s="79" t="str">
        <f>IF(tabPontoPed[MENSAL]-tabPontoPed[ATA MENSAL] = 0,"sim","")</f>
        <v/>
      </c>
      <c r="AB442" s="79"/>
      <c r="AC442" s="47" t="str">
        <f t="shared" si="6"/>
        <v>*</v>
      </c>
    </row>
    <row r="443" spans="1:29" x14ac:dyDescent="0.25">
      <c r="A443" s="36">
        <v>56520</v>
      </c>
      <c r="B443" s="68" t="s">
        <v>397</v>
      </c>
      <c r="C443" s="33" t="s">
        <v>1317</v>
      </c>
      <c r="D443" s="32">
        <v>51</v>
      </c>
      <c r="E443" s="37">
        <v>28</v>
      </c>
      <c r="F443" s="38" t="str">
        <f>VLOOKUP(tabPontoPed[[#This Row],[GRUPO]],tabGrupos[#Data],2,FALSE)</f>
        <v>MAT.E EQUIP. P/ CONSTR.CIVIL E CONSERV. DE VIAS PUBL.</v>
      </c>
      <c r="G443" s="32" t="str">
        <f>VLOOKUP(tabPontoPed[[#This Row],[GRUPO]],tabGrupos[#Data],3,FALSE)</f>
        <v>MCO</v>
      </c>
      <c r="H443" s="33" t="s">
        <v>1311</v>
      </c>
      <c r="I443" s="80">
        <v>4</v>
      </c>
      <c r="J443" s="39">
        <v>5</v>
      </c>
      <c r="K443" s="41">
        <f>tabPontoPed[[#This Row],[QTDMÊS]] * tabPontoPed[[#This Row],[MENSAL]]</f>
        <v>20</v>
      </c>
      <c r="L443" s="83"/>
      <c r="M443" s="81"/>
      <c r="N443" s="34" t="s">
        <v>1009</v>
      </c>
      <c r="O443" s="76" t="s">
        <v>1684</v>
      </c>
      <c r="P443" s="77">
        <v>0</v>
      </c>
      <c r="Q443" s="57">
        <v>2</v>
      </c>
      <c r="R443" s="42">
        <v>3</v>
      </c>
      <c r="S443" s="69" t="str">
        <f>_xlfn.IFNA(IF(VLOOKUP(tabPontoPed[[#This Row],[CÓDIGO]],tabExcluirDoEstoque[#Data],1,FALSE),"sim",""),"")</f>
        <v/>
      </c>
      <c r="T443" s="43">
        <f>IF(AND(tabPontoPed[[#This Row],[MENSAL]]&gt;0,tabPontoPed[[#This Row],[CÁLCULO]]&gt;0), ABS( tabPontoPed[[#This Row],[MENSAL]] - tabPontoPed[[#This Row],[CÁLCULO]] ) / tabPontoPed[[#This Row],[MENSAL]], -1 )</f>
        <v>0.4</v>
      </c>
      <c r="U443" s="58">
        <v>8</v>
      </c>
      <c r="V443" s="35">
        <f>IF(AND(tabPontoPed[[#This Row],[MENSAL]]&gt;0,tabPontoPed[[#This Row],[CÁLCULO]]&gt;0), IF( tabPontoPed[[#This Row],[MENSAL]] - tabPontoPed[[#This Row],[CÁLCULO]] &lt; 0, -1, IF( tabPontoPed[[#This Row],[MENSAL]] - tabPontoPed[[#This Row],[CÁLCULO]] &gt; 0, 1, -8)), -9 )</f>
        <v>1</v>
      </c>
      <c r="W443" s="35"/>
      <c r="X443" s="49" t="s">
        <v>1564</v>
      </c>
      <c r="Y443" s="51">
        <v>44391.599108796298</v>
      </c>
      <c r="Z443" s="72">
        <f>tabPontoPed[CÁLC_4M] - tabPontoPed[CÁLCULO]</f>
        <v>-1</v>
      </c>
      <c r="AA443" s="79" t="str">
        <f>IF(tabPontoPed[MENSAL]-tabPontoPed[ATA MENSAL] = 0,"sim","")</f>
        <v/>
      </c>
      <c r="AB443" s="79"/>
      <c r="AC443" s="47" t="str">
        <f t="shared" si="6"/>
        <v>*</v>
      </c>
    </row>
    <row r="444" spans="1:29" x14ac:dyDescent="0.25">
      <c r="A444" s="36">
        <v>14977</v>
      </c>
      <c r="B444" s="68" t="s">
        <v>560</v>
      </c>
      <c r="C444" s="33" t="s">
        <v>1317</v>
      </c>
      <c r="D444" s="32">
        <v>51</v>
      </c>
      <c r="E444" s="37">
        <v>37</v>
      </c>
      <c r="F444" s="38" t="str">
        <f>VLOOKUP(tabPontoPed[[#This Row],[GRUPO]],tabGrupos[#Data],2,FALSE)</f>
        <v>MAT.E EQUIP. P/ CONSTR.CIVIL E CONSERV. DE VIAS PUBL.</v>
      </c>
      <c r="G444" s="32" t="str">
        <f>VLOOKUP(tabPontoPed[[#This Row],[GRUPO]],tabGrupos[#Data],3,FALSE)</f>
        <v>MCO</v>
      </c>
      <c r="H444" s="33" t="s">
        <v>1311</v>
      </c>
      <c r="I444" s="80">
        <v>4</v>
      </c>
      <c r="J444" s="39">
        <v>15</v>
      </c>
      <c r="K444" s="41">
        <f>tabPontoPed[[#This Row],[QTDMÊS]] * tabPontoPed[[#This Row],[MENSAL]]</f>
        <v>60</v>
      </c>
      <c r="L444" s="83"/>
      <c r="M444" s="81"/>
      <c r="N444" s="34" t="s">
        <v>1009</v>
      </c>
      <c r="O444" s="76" t="s">
        <v>1729</v>
      </c>
      <c r="P444" s="77">
        <v>0</v>
      </c>
      <c r="Q444" s="57">
        <v>8</v>
      </c>
      <c r="R444" s="42">
        <v>9</v>
      </c>
      <c r="S444" s="69" t="str">
        <f>_xlfn.IFNA(IF(VLOOKUP(tabPontoPed[[#This Row],[CÓDIGO]],tabExcluirDoEstoque[#Data],1,FALSE),"sim",""),"")</f>
        <v/>
      </c>
      <c r="T444" s="43">
        <f>IF(AND(tabPontoPed[[#This Row],[MENSAL]]&gt;0,tabPontoPed[[#This Row],[CÁLCULO]]&gt;0), ABS( tabPontoPed[[#This Row],[MENSAL]] - tabPontoPed[[#This Row],[CÁLCULO]] ) / tabPontoPed[[#This Row],[MENSAL]], -1 )</f>
        <v>0.4</v>
      </c>
      <c r="U444" s="58">
        <v>27</v>
      </c>
      <c r="V444" s="35">
        <f>IF(AND(tabPontoPed[[#This Row],[MENSAL]]&gt;0,tabPontoPed[[#This Row],[CÁLCULO]]&gt;0), IF( tabPontoPed[[#This Row],[MENSAL]] - tabPontoPed[[#This Row],[CÁLCULO]] &lt; 0, -1, IF( tabPontoPed[[#This Row],[MENSAL]] - tabPontoPed[[#This Row],[CÁLCULO]] &gt; 0, 1, -8)), -9 )</f>
        <v>1</v>
      </c>
      <c r="W444" s="35"/>
      <c r="X444" s="49" t="s">
        <v>1564</v>
      </c>
      <c r="Y444" s="51">
        <v>44391.599108796298</v>
      </c>
      <c r="Z444" s="72">
        <f>tabPontoPed[CÁLC_4M] - tabPontoPed[CÁLCULO]</f>
        <v>-1</v>
      </c>
      <c r="AA444" s="79" t="str">
        <f>IF(tabPontoPed[MENSAL]-tabPontoPed[ATA MENSAL] = 0,"sim","")</f>
        <v/>
      </c>
      <c r="AB444" s="79"/>
      <c r="AC444" s="47" t="str">
        <f t="shared" si="6"/>
        <v>*</v>
      </c>
    </row>
    <row r="445" spans="1:29" x14ac:dyDescent="0.25">
      <c r="A445" s="36">
        <v>74907</v>
      </c>
      <c r="B445" s="68" t="s">
        <v>944</v>
      </c>
      <c r="C445" s="33" t="s">
        <v>1317</v>
      </c>
      <c r="D445" s="32">
        <v>74</v>
      </c>
      <c r="E445" s="37">
        <v>3</v>
      </c>
      <c r="F445" s="38" t="str">
        <f>VLOOKUP(tabPontoPed[[#This Row],[GRUPO]],tabGrupos[#Data],2,FALSE)</f>
        <v>MADEIRAS,LAMINADOS,COMPENSADOS E AGLOMERADOS</v>
      </c>
      <c r="G445" s="32" t="str">
        <f>VLOOKUP(tabPontoPed[[#This Row],[GRUPO]],tabGrupos[#Data],3,FALSE)</f>
        <v>MCO</v>
      </c>
      <c r="H445" s="33" t="s">
        <v>1311</v>
      </c>
      <c r="I445" s="80">
        <v>4</v>
      </c>
      <c r="J445" s="39">
        <v>5</v>
      </c>
      <c r="K445" s="41">
        <f>tabPontoPed[[#This Row],[QTDMÊS]] * tabPontoPed[[#This Row],[MENSAL]]</f>
        <v>20</v>
      </c>
      <c r="L445" s="83"/>
      <c r="M445" s="81"/>
      <c r="N445" s="34" t="s">
        <v>1009</v>
      </c>
      <c r="O445" s="76" t="s">
        <v>1684</v>
      </c>
      <c r="P445" s="77">
        <v>0</v>
      </c>
      <c r="Q445" s="57">
        <v>0</v>
      </c>
      <c r="R445" s="42">
        <v>3</v>
      </c>
      <c r="S445" s="69" t="str">
        <f>_xlfn.IFNA(IF(VLOOKUP(tabPontoPed[[#This Row],[CÓDIGO]],tabExcluirDoEstoque[#Data],1,FALSE),"sim",""),"")</f>
        <v/>
      </c>
      <c r="T445" s="43">
        <f>IF(AND(tabPontoPed[[#This Row],[MENSAL]]&gt;0,tabPontoPed[[#This Row],[CÁLCULO]]&gt;0), ABS( tabPontoPed[[#This Row],[MENSAL]] - tabPontoPed[[#This Row],[CÁLCULO]] ) / tabPontoPed[[#This Row],[MENSAL]], -1 )</f>
        <v>0.4</v>
      </c>
      <c r="U445" s="58">
        <v>20</v>
      </c>
      <c r="V445" s="35">
        <f>IF(AND(tabPontoPed[[#This Row],[MENSAL]]&gt;0,tabPontoPed[[#This Row],[CÁLCULO]]&gt;0), IF( tabPontoPed[[#This Row],[MENSAL]] - tabPontoPed[[#This Row],[CÁLCULO]] &lt; 0, -1, IF( tabPontoPed[[#This Row],[MENSAL]] - tabPontoPed[[#This Row],[CÁLCULO]] &gt; 0, 1, -8)), -9 )</f>
        <v>1</v>
      </c>
      <c r="W445" s="35"/>
      <c r="X445" s="48" t="s">
        <v>1564</v>
      </c>
      <c r="Y445" s="53">
        <v>44391.599108796298</v>
      </c>
      <c r="Z445" s="72">
        <f>tabPontoPed[CÁLC_4M] - tabPontoPed[CÁLCULO]</f>
        <v>-3</v>
      </c>
      <c r="AA445" s="79" t="str">
        <f>IF(tabPontoPed[MENSAL]-tabPontoPed[ATA MENSAL] = 0,"sim","")</f>
        <v/>
      </c>
      <c r="AB445" s="79"/>
      <c r="AC445" s="47" t="str">
        <f t="shared" si="6"/>
        <v>*</v>
      </c>
    </row>
    <row r="446" spans="1:29" x14ac:dyDescent="0.25">
      <c r="A446" s="36">
        <v>63839</v>
      </c>
      <c r="B446" s="68" t="s">
        <v>948</v>
      </c>
      <c r="C446" s="33" t="s">
        <v>1317</v>
      </c>
      <c r="D446" s="32">
        <v>74</v>
      </c>
      <c r="E446" s="37">
        <v>4</v>
      </c>
      <c r="F446" s="38" t="str">
        <f>VLOOKUP(tabPontoPed[[#This Row],[GRUPO]],tabGrupos[#Data],2,FALSE)</f>
        <v>MADEIRAS,LAMINADOS,COMPENSADOS E AGLOMERADOS</v>
      </c>
      <c r="G446" s="32" t="str">
        <f>VLOOKUP(tabPontoPed[[#This Row],[GRUPO]],tabGrupos[#Data],3,FALSE)</f>
        <v>MCO</v>
      </c>
      <c r="H446" s="33" t="s">
        <v>1311</v>
      </c>
      <c r="I446" s="80">
        <v>4</v>
      </c>
      <c r="J446" s="39">
        <v>15</v>
      </c>
      <c r="K446" s="41">
        <f>tabPontoPed[[#This Row],[QTDMÊS]] * tabPontoPed[[#This Row],[MENSAL]]</f>
        <v>60</v>
      </c>
      <c r="L446" s="83"/>
      <c r="M446" s="81"/>
      <c r="N446" s="34" t="s">
        <v>1009</v>
      </c>
      <c r="O446" s="76" t="s">
        <v>1689</v>
      </c>
      <c r="P446" s="77">
        <v>0</v>
      </c>
      <c r="Q446" s="57">
        <v>12</v>
      </c>
      <c r="R446" s="42">
        <v>9</v>
      </c>
      <c r="S446" s="69" t="str">
        <f>_xlfn.IFNA(IF(VLOOKUP(tabPontoPed[[#This Row],[CÓDIGO]],tabExcluirDoEstoque[#Data],1,FALSE),"sim",""),"")</f>
        <v/>
      </c>
      <c r="T446" s="43">
        <f>IF(AND(tabPontoPed[[#This Row],[MENSAL]]&gt;0,tabPontoPed[[#This Row],[CÁLCULO]]&gt;0), ABS( tabPontoPed[[#This Row],[MENSAL]] - tabPontoPed[[#This Row],[CÁLCULO]] ) / tabPontoPed[[#This Row],[MENSAL]], -1 )</f>
        <v>0.4</v>
      </c>
      <c r="U446" s="58">
        <v>18</v>
      </c>
      <c r="V446" s="35">
        <f>IF(AND(tabPontoPed[[#This Row],[MENSAL]]&gt;0,tabPontoPed[[#This Row],[CÁLCULO]]&gt;0), IF( tabPontoPed[[#This Row],[MENSAL]] - tabPontoPed[[#This Row],[CÁLCULO]] &lt; 0, -1, IF( tabPontoPed[[#This Row],[MENSAL]] - tabPontoPed[[#This Row],[CÁLCULO]] &gt; 0, 1, -8)), -9 )</f>
        <v>1</v>
      </c>
      <c r="W446" s="35"/>
      <c r="X446" s="49" t="s">
        <v>1564</v>
      </c>
      <c r="Y446" s="51">
        <v>44391.599108796298</v>
      </c>
      <c r="Z446" s="72">
        <f>tabPontoPed[CÁLC_4M] - tabPontoPed[CÁLCULO]</f>
        <v>3</v>
      </c>
      <c r="AA446" s="79" t="str">
        <f>IF(tabPontoPed[MENSAL]-tabPontoPed[ATA MENSAL] = 0,"sim","")</f>
        <v/>
      </c>
      <c r="AB446" s="79"/>
      <c r="AC446" s="47" t="str">
        <f t="shared" si="6"/>
        <v>*</v>
      </c>
    </row>
    <row r="447" spans="1:29" x14ac:dyDescent="0.25">
      <c r="A447" s="36">
        <v>112154</v>
      </c>
      <c r="B447" s="68" t="s">
        <v>138</v>
      </c>
      <c r="C447" s="33" t="s">
        <v>1317</v>
      </c>
      <c r="D447" s="32">
        <v>55</v>
      </c>
      <c r="E447" s="37">
        <v>37</v>
      </c>
      <c r="F447" s="38" t="str">
        <f>VLOOKUP(tabPontoPed[[#This Row],[GRUPO]],tabGrupos[#Data],2,FALSE)</f>
        <v>EQUIP. MAT. P/ GERACAO, TRANSM. DISTR. RETIF...</v>
      </c>
      <c r="G447" s="32" t="str">
        <f>VLOOKUP(tabPontoPed[[#This Row],[GRUPO]],tabGrupos[#Data],3,FALSE)</f>
        <v>MEL</v>
      </c>
      <c r="H447" s="33" t="s">
        <v>1311</v>
      </c>
      <c r="I447" s="80">
        <v>4</v>
      </c>
      <c r="J447" s="39">
        <v>35</v>
      </c>
      <c r="K447" s="41">
        <f>tabPontoPed[[#This Row],[QTDMÊS]] * tabPontoPed[[#This Row],[MENSAL]]</f>
        <v>140</v>
      </c>
      <c r="L447" s="83"/>
      <c r="M447" s="81"/>
      <c r="N447" s="34" t="s">
        <v>1009</v>
      </c>
      <c r="O447" s="76" t="s">
        <v>1715</v>
      </c>
      <c r="P447" s="77">
        <v>0</v>
      </c>
      <c r="Q447" s="57">
        <v>13</v>
      </c>
      <c r="R447" s="42">
        <v>21</v>
      </c>
      <c r="S447" s="69" t="str">
        <f>_xlfn.IFNA(IF(VLOOKUP(tabPontoPed[[#This Row],[CÓDIGO]],tabExcluirDoEstoque[#Data],1,FALSE),"sim",""),"")</f>
        <v/>
      </c>
      <c r="T447" s="43">
        <f>IF(AND(tabPontoPed[[#This Row],[MENSAL]]&gt;0,tabPontoPed[[#This Row],[CÁLCULO]]&gt;0), ABS( tabPontoPed[[#This Row],[MENSAL]] - tabPontoPed[[#This Row],[CÁLCULO]] ) / tabPontoPed[[#This Row],[MENSAL]], -1 )</f>
        <v>0.4</v>
      </c>
      <c r="U447" s="58">
        <v>45</v>
      </c>
      <c r="V447" s="35">
        <f>IF(AND(tabPontoPed[[#This Row],[MENSAL]]&gt;0,tabPontoPed[[#This Row],[CÁLCULO]]&gt;0), IF( tabPontoPed[[#This Row],[MENSAL]] - tabPontoPed[[#This Row],[CÁLCULO]] &lt; 0, -1, IF( tabPontoPed[[#This Row],[MENSAL]] - tabPontoPed[[#This Row],[CÁLCULO]] &gt; 0, 1, -8)), -9 )</f>
        <v>1</v>
      </c>
      <c r="W447" s="35"/>
      <c r="X447" s="49" t="s">
        <v>1564</v>
      </c>
      <c r="Y447" s="51">
        <v>44391.599108796298</v>
      </c>
      <c r="Z447" s="72">
        <f>tabPontoPed[CÁLC_4M] - tabPontoPed[CÁLCULO]</f>
        <v>-8</v>
      </c>
      <c r="AA447" s="79" t="str">
        <f>IF(tabPontoPed[MENSAL]-tabPontoPed[ATA MENSAL] = 0,"sim","")</f>
        <v/>
      </c>
      <c r="AB447" s="79"/>
      <c r="AC447" s="47" t="str">
        <f t="shared" si="6"/>
        <v>*</v>
      </c>
    </row>
    <row r="448" spans="1:29" x14ac:dyDescent="0.25">
      <c r="A448" s="36">
        <v>12821</v>
      </c>
      <c r="B448" s="68" t="s">
        <v>283</v>
      </c>
      <c r="C448" s="33" t="s">
        <v>1317</v>
      </c>
      <c r="D448" s="32">
        <v>61</v>
      </c>
      <c r="E448" s="37">
        <v>8</v>
      </c>
      <c r="F448" s="38" t="str">
        <f>VLOOKUP(tabPontoPed[[#This Row],[GRUPO]],tabGrupos[#Data],2,FALSE)</f>
        <v>MATERIAL HIDRAULICO, CANOS, TUBOS, MANGUEIRAS, CONEXOES E ACESS.</v>
      </c>
      <c r="G448" s="32" t="str">
        <f>VLOOKUP(tabPontoPed[[#This Row],[GRUPO]],tabGrupos[#Data],3,FALSE)</f>
        <v>MHI</v>
      </c>
      <c r="H448" s="33" t="s">
        <v>1311</v>
      </c>
      <c r="I448" s="80">
        <v>4</v>
      </c>
      <c r="J448" s="39">
        <v>5</v>
      </c>
      <c r="K448" s="41">
        <f>tabPontoPed[[#This Row],[QTDMÊS]] * tabPontoPed[[#This Row],[MENSAL]]</f>
        <v>20</v>
      </c>
      <c r="L448" s="83"/>
      <c r="M448" s="81"/>
      <c r="N448" s="34" t="s">
        <v>1009</v>
      </c>
      <c r="O448" s="76" t="s">
        <v>1678</v>
      </c>
      <c r="P448" s="77">
        <v>0</v>
      </c>
      <c r="Q448" s="57">
        <v>1</v>
      </c>
      <c r="R448" s="42">
        <v>3</v>
      </c>
      <c r="S448" s="69" t="str">
        <f>_xlfn.IFNA(IF(VLOOKUP(tabPontoPed[[#This Row],[CÓDIGO]],tabExcluirDoEstoque[#Data],1,FALSE),"sim",""),"")</f>
        <v/>
      </c>
      <c r="T448" s="43">
        <f>IF(AND(tabPontoPed[[#This Row],[MENSAL]]&gt;0,tabPontoPed[[#This Row],[CÁLCULO]]&gt;0), ABS( tabPontoPed[[#This Row],[MENSAL]] - tabPontoPed[[#This Row],[CÁLCULO]] ) / tabPontoPed[[#This Row],[MENSAL]], -1 )</f>
        <v>0.4</v>
      </c>
      <c r="U448" s="58">
        <v>11</v>
      </c>
      <c r="V448" s="35">
        <f>IF(AND(tabPontoPed[[#This Row],[MENSAL]]&gt;0,tabPontoPed[[#This Row],[CÁLCULO]]&gt;0), IF( tabPontoPed[[#This Row],[MENSAL]] - tabPontoPed[[#This Row],[CÁLCULO]] &lt; 0, -1, IF( tabPontoPed[[#This Row],[MENSAL]] - tabPontoPed[[#This Row],[CÁLCULO]] &gt; 0, 1, -8)), -9 )</f>
        <v>1</v>
      </c>
      <c r="W448" s="35"/>
      <c r="X448" s="49" t="s">
        <v>1564</v>
      </c>
      <c r="Y448" s="51">
        <v>44391.599108796298</v>
      </c>
      <c r="Z448" s="72">
        <f>tabPontoPed[CÁLC_4M] - tabPontoPed[CÁLCULO]</f>
        <v>-2</v>
      </c>
      <c r="AA448" s="79" t="str">
        <f>IF(tabPontoPed[MENSAL]-tabPontoPed[ATA MENSAL] = 0,"sim","")</f>
        <v/>
      </c>
      <c r="AB448" s="79" t="s">
        <v>1614</v>
      </c>
      <c r="AC448" s="47" t="str">
        <f t="shared" si="6"/>
        <v>*</v>
      </c>
    </row>
    <row r="449" spans="1:29" x14ac:dyDescent="0.25">
      <c r="A449" s="36">
        <v>15761</v>
      </c>
      <c r="B449" s="68" t="s">
        <v>286</v>
      </c>
      <c r="C449" s="33" t="s">
        <v>1317</v>
      </c>
      <c r="D449" s="32">
        <v>61</v>
      </c>
      <c r="E449" s="37">
        <v>8</v>
      </c>
      <c r="F449" s="38" t="str">
        <f>VLOOKUP(tabPontoPed[[#This Row],[GRUPO]],tabGrupos[#Data],2,FALSE)</f>
        <v>MATERIAL HIDRAULICO, CANOS, TUBOS, MANGUEIRAS, CONEXOES E ACESS.</v>
      </c>
      <c r="G449" s="32" t="str">
        <f>VLOOKUP(tabPontoPed[[#This Row],[GRUPO]],tabGrupos[#Data],3,FALSE)</f>
        <v>MHI</v>
      </c>
      <c r="H449" s="33" t="s">
        <v>1311</v>
      </c>
      <c r="I449" s="80">
        <v>4</v>
      </c>
      <c r="J449" s="39">
        <v>15</v>
      </c>
      <c r="K449" s="41">
        <f>tabPontoPed[[#This Row],[QTDMÊS]] * tabPontoPed[[#This Row],[MENSAL]]</f>
        <v>60</v>
      </c>
      <c r="L449" s="83"/>
      <c r="M449" s="81"/>
      <c r="N449" s="34" t="s">
        <v>1009</v>
      </c>
      <c r="O449" s="76" t="s">
        <v>1722</v>
      </c>
      <c r="P449" s="77">
        <v>0</v>
      </c>
      <c r="Q449" s="57">
        <v>8</v>
      </c>
      <c r="R449" s="42">
        <v>9</v>
      </c>
      <c r="S449" s="69" t="str">
        <f>_xlfn.IFNA(IF(VLOOKUP(tabPontoPed[[#This Row],[CÓDIGO]],tabExcluirDoEstoque[#Data],1,FALSE),"sim",""),"")</f>
        <v>sim</v>
      </c>
      <c r="T449" s="43">
        <f>IF(AND(tabPontoPed[[#This Row],[MENSAL]]&gt;0,tabPontoPed[[#This Row],[CÁLCULO]]&gt;0), ABS( tabPontoPed[[#This Row],[MENSAL]] - tabPontoPed[[#This Row],[CÁLCULO]] ) / tabPontoPed[[#This Row],[MENSAL]], -1 )</f>
        <v>0.4</v>
      </c>
      <c r="U449" s="58">
        <v>23</v>
      </c>
      <c r="V449" s="35">
        <f>IF(AND(tabPontoPed[[#This Row],[MENSAL]]&gt;0,tabPontoPed[[#This Row],[CÁLCULO]]&gt;0), IF( tabPontoPed[[#This Row],[MENSAL]] - tabPontoPed[[#This Row],[CÁLCULO]] &lt; 0, -1, IF( tabPontoPed[[#This Row],[MENSAL]] - tabPontoPed[[#This Row],[CÁLCULO]] &gt; 0, 1, -8)), -9 )</f>
        <v>1</v>
      </c>
      <c r="W449" s="35"/>
      <c r="X449" s="49" t="s">
        <v>1564</v>
      </c>
      <c r="Y449" s="51">
        <v>44391.599108796298</v>
      </c>
      <c r="Z449" s="72">
        <f>tabPontoPed[CÁLC_4M] - tabPontoPed[CÁLCULO]</f>
        <v>-1</v>
      </c>
      <c r="AA449" s="79" t="str">
        <f>IF(tabPontoPed[MENSAL]-tabPontoPed[ATA MENSAL] = 0,"sim","")</f>
        <v/>
      </c>
      <c r="AB449" s="79"/>
      <c r="AC449" s="47" t="str">
        <f t="shared" si="6"/>
        <v>*</v>
      </c>
    </row>
    <row r="450" spans="1:29" x14ac:dyDescent="0.25">
      <c r="A450" s="36">
        <v>52994</v>
      </c>
      <c r="B450" s="68" t="s">
        <v>755</v>
      </c>
      <c r="C450" s="33" t="s">
        <v>1317</v>
      </c>
      <c r="D450" s="32">
        <v>61</v>
      </c>
      <c r="E450" s="37">
        <v>8</v>
      </c>
      <c r="F450" s="38" t="str">
        <f>VLOOKUP(tabPontoPed[[#This Row],[GRUPO]],tabGrupos[#Data],2,FALSE)</f>
        <v>MATERIAL HIDRAULICO, CANOS, TUBOS, MANGUEIRAS, CONEXOES E ACESS.</v>
      </c>
      <c r="G450" s="32" t="str">
        <f>VLOOKUP(tabPontoPed[[#This Row],[GRUPO]],tabGrupos[#Data],3,FALSE)</f>
        <v>MHI</v>
      </c>
      <c r="H450" s="33" t="s">
        <v>1311</v>
      </c>
      <c r="I450" s="80">
        <v>4</v>
      </c>
      <c r="J450" s="39">
        <v>5</v>
      </c>
      <c r="K450" s="41">
        <f>tabPontoPed[[#This Row],[QTDMÊS]] * tabPontoPed[[#This Row],[MENSAL]]</f>
        <v>20</v>
      </c>
      <c r="L450" s="83"/>
      <c r="M450" s="81"/>
      <c r="N450" s="34" t="s">
        <v>1009</v>
      </c>
      <c r="O450" s="76" t="s">
        <v>1691</v>
      </c>
      <c r="P450" s="77">
        <v>0</v>
      </c>
      <c r="Q450" s="57">
        <v>0</v>
      </c>
      <c r="R450" s="42">
        <v>3</v>
      </c>
      <c r="S450" s="69" t="str">
        <f>_xlfn.IFNA(IF(VLOOKUP(tabPontoPed[[#This Row],[CÓDIGO]],tabExcluirDoEstoque[#Data],1,FALSE),"sim",""),"")</f>
        <v/>
      </c>
      <c r="T450" s="43">
        <f>IF(AND(tabPontoPed[[#This Row],[MENSAL]]&gt;0,tabPontoPed[[#This Row],[CÁLCULO]]&gt;0), ABS( tabPontoPed[[#This Row],[MENSAL]] - tabPontoPed[[#This Row],[CÁLCULO]] ) / tabPontoPed[[#This Row],[MENSAL]], -1 )</f>
        <v>0.4</v>
      </c>
      <c r="U450" s="58">
        <v>12</v>
      </c>
      <c r="V450" s="35">
        <f>IF(AND(tabPontoPed[[#This Row],[MENSAL]]&gt;0,tabPontoPed[[#This Row],[CÁLCULO]]&gt;0), IF( tabPontoPed[[#This Row],[MENSAL]] - tabPontoPed[[#This Row],[CÁLCULO]] &lt; 0, -1, IF( tabPontoPed[[#This Row],[MENSAL]] - tabPontoPed[[#This Row],[CÁLCULO]] &gt; 0, 1, -8)), -9 )</f>
        <v>1</v>
      </c>
      <c r="W450" s="35"/>
      <c r="X450" s="49" t="s">
        <v>1564</v>
      </c>
      <c r="Y450" s="51">
        <v>44391.599108796298</v>
      </c>
      <c r="Z450" s="72">
        <f>tabPontoPed[CÁLC_4M] - tabPontoPed[CÁLCULO]</f>
        <v>-3</v>
      </c>
      <c r="AA450" s="79" t="str">
        <f>IF(tabPontoPed[MENSAL]-tabPontoPed[ATA MENSAL] = 0,"sim","")</f>
        <v/>
      </c>
      <c r="AB450" s="79"/>
      <c r="AC450" s="47" t="str">
        <f t="shared" si="6"/>
        <v>*</v>
      </c>
    </row>
    <row r="451" spans="1:29" x14ac:dyDescent="0.25">
      <c r="A451" s="36">
        <v>134581</v>
      </c>
      <c r="B451" s="68" t="s">
        <v>314</v>
      </c>
      <c r="C451" s="33" t="s">
        <v>1317</v>
      </c>
      <c r="D451" s="32">
        <v>61</v>
      </c>
      <c r="E451" s="37">
        <v>14</v>
      </c>
      <c r="F451" s="38" t="str">
        <f>VLOOKUP(tabPontoPed[[#This Row],[GRUPO]],tabGrupos[#Data],2,FALSE)</f>
        <v>MATERIAL HIDRAULICO, CANOS, TUBOS, MANGUEIRAS, CONEXOES E ACESS.</v>
      </c>
      <c r="G451" s="32" t="str">
        <f>VLOOKUP(tabPontoPed[[#This Row],[GRUPO]],tabGrupos[#Data],3,FALSE)</f>
        <v>MHI</v>
      </c>
      <c r="H451" s="33" t="s">
        <v>1311</v>
      </c>
      <c r="I451" s="80">
        <v>4</v>
      </c>
      <c r="J451" s="39">
        <v>5</v>
      </c>
      <c r="K451" s="41">
        <f>tabPontoPed[[#This Row],[QTDMÊS]] * tabPontoPed[[#This Row],[MENSAL]]</f>
        <v>20</v>
      </c>
      <c r="L451" s="83"/>
      <c r="M451" s="81"/>
      <c r="N451" s="34" t="s">
        <v>1009</v>
      </c>
      <c r="O451" s="76" t="s">
        <v>1679</v>
      </c>
      <c r="P451" s="77">
        <v>0</v>
      </c>
      <c r="Q451" s="57">
        <v>2</v>
      </c>
      <c r="R451" s="42">
        <v>3</v>
      </c>
      <c r="S451" s="69" t="str">
        <f>_xlfn.IFNA(IF(VLOOKUP(tabPontoPed[[#This Row],[CÓDIGO]],tabExcluirDoEstoque[#Data],1,FALSE),"sim",""),"")</f>
        <v/>
      </c>
      <c r="T451" s="43">
        <f>IF(AND(tabPontoPed[[#This Row],[MENSAL]]&gt;0,tabPontoPed[[#This Row],[CÁLCULO]]&gt;0), ABS( tabPontoPed[[#This Row],[MENSAL]] - tabPontoPed[[#This Row],[CÁLCULO]] ) / tabPontoPed[[#This Row],[MENSAL]], -1 )</f>
        <v>0.4</v>
      </c>
      <c r="U451" s="58">
        <v>7</v>
      </c>
      <c r="V451" s="35">
        <f>IF(AND(tabPontoPed[[#This Row],[MENSAL]]&gt;0,tabPontoPed[[#This Row],[CÁLCULO]]&gt;0), IF( tabPontoPed[[#This Row],[MENSAL]] - tabPontoPed[[#This Row],[CÁLCULO]] &lt; 0, -1, IF( tabPontoPed[[#This Row],[MENSAL]] - tabPontoPed[[#This Row],[CÁLCULO]] &gt; 0, 1, -8)), -9 )</f>
        <v>1</v>
      </c>
      <c r="W451" s="35"/>
      <c r="X451" s="49" t="s">
        <v>1564</v>
      </c>
      <c r="Y451" s="51">
        <v>44391.599108796298</v>
      </c>
      <c r="Z451" s="72">
        <f>tabPontoPed[CÁLC_4M] - tabPontoPed[CÁLCULO]</f>
        <v>-1</v>
      </c>
      <c r="AA451" s="79" t="str">
        <f>IF(tabPontoPed[MENSAL]-tabPontoPed[ATA MENSAL] = 0,"sim","")</f>
        <v/>
      </c>
      <c r="AB451" s="79"/>
      <c r="AC451" s="47" t="str">
        <f t="shared" ref="AC451:AC514" si="7">"*"</f>
        <v>*</v>
      </c>
    </row>
    <row r="452" spans="1:29" ht="18.75" x14ac:dyDescent="0.25">
      <c r="A452" s="36">
        <v>20763</v>
      </c>
      <c r="B452" s="68" t="s">
        <v>180</v>
      </c>
      <c r="C452" s="33" t="s">
        <v>1317</v>
      </c>
      <c r="D452" s="32">
        <v>76</v>
      </c>
      <c r="E452" s="37">
        <v>5</v>
      </c>
      <c r="F452" s="38" t="str">
        <f>VLOOKUP(tabPontoPed[[#This Row],[GRUPO]],tabGrupos[#Data],2,FALSE)</f>
        <v>EQUIP. E MATERIAIS P/PINTURAS E IMPERMEABILIZACAO</v>
      </c>
      <c r="G452" s="32" t="str">
        <f>VLOOKUP(tabPontoPed[[#This Row],[GRUPO]],tabGrupos[#Data],3,FALSE)</f>
        <v>MPI</v>
      </c>
      <c r="H452" s="33" t="s">
        <v>1311</v>
      </c>
      <c r="I452" s="80">
        <v>4</v>
      </c>
      <c r="J452" s="39">
        <v>5</v>
      </c>
      <c r="K452" s="41" t="s">
        <v>1630</v>
      </c>
      <c r="L452" s="83"/>
      <c r="M452" s="81"/>
      <c r="N452" s="34" t="s">
        <v>1009</v>
      </c>
      <c r="O452" s="76" t="s">
        <v>1664</v>
      </c>
      <c r="P452" s="77">
        <v>0</v>
      </c>
      <c r="Q452" s="57">
        <v>6</v>
      </c>
      <c r="R452" s="42">
        <v>3</v>
      </c>
      <c r="S452" s="69" t="str">
        <f>_xlfn.IFNA(IF(VLOOKUP(tabPontoPed[[#This Row],[CÓDIGO]],tabExcluirDoEstoque[#Data],1,FALSE),"sim",""),"")</f>
        <v/>
      </c>
      <c r="T452" s="43">
        <f>IF(AND(tabPontoPed[[#This Row],[MENSAL]]&gt;0,tabPontoPed[[#This Row],[CÁLCULO]]&gt;0), ABS( tabPontoPed[[#This Row],[MENSAL]] - tabPontoPed[[#This Row],[CÁLCULO]] ) / tabPontoPed[[#This Row],[MENSAL]], -1 )</f>
        <v>0.4</v>
      </c>
      <c r="U452" s="58">
        <v>14</v>
      </c>
      <c r="V452" s="35">
        <f>IF(AND(tabPontoPed[[#This Row],[MENSAL]]&gt;0,tabPontoPed[[#This Row],[CÁLCULO]]&gt;0), IF( tabPontoPed[[#This Row],[MENSAL]] - tabPontoPed[[#This Row],[CÁLCULO]] &lt; 0, -1, IF( tabPontoPed[[#This Row],[MENSAL]] - tabPontoPed[[#This Row],[CÁLCULO]] &gt; 0, 1, -8)), -9 )</f>
        <v>1</v>
      </c>
      <c r="W452" s="45"/>
      <c r="X452" s="50" t="s">
        <v>1564</v>
      </c>
      <c r="Y452" s="52">
        <v>44391.599108796298</v>
      </c>
      <c r="Z452" s="73">
        <f>tabPontoPed[CÁLC_4M] - tabPontoPed[CÁLCULO]</f>
        <v>3</v>
      </c>
      <c r="AA452" s="79" t="str">
        <f>IF(tabPontoPed[MENSAL]-tabPontoPed[ATA MENSAL] = 0,"sim","")</f>
        <v/>
      </c>
      <c r="AB452" s="79"/>
      <c r="AC452" s="47" t="str">
        <f t="shared" si="7"/>
        <v>*</v>
      </c>
    </row>
    <row r="453" spans="1:29" x14ac:dyDescent="0.25">
      <c r="A453" s="36">
        <v>99787</v>
      </c>
      <c r="B453" s="68" t="s">
        <v>834</v>
      </c>
      <c r="C453" s="33" t="s">
        <v>1317</v>
      </c>
      <c r="D453" s="32">
        <v>67</v>
      </c>
      <c r="E453" s="37">
        <v>5</v>
      </c>
      <c r="F453" s="38" t="str">
        <f>VLOOKUP(tabPontoPed[[#This Row],[GRUPO]],tabGrupos[#Data],2,FALSE)</f>
        <v>PARAFUSOS ELEM. VEDACAO UNIAO CONEX . FIXACAO</v>
      </c>
      <c r="G453" s="32" t="str">
        <f>VLOOKUP(tabPontoPed[[#This Row],[GRUPO]],tabGrupos[#Data],3,FALSE)</f>
        <v>MSE</v>
      </c>
      <c r="H453" s="33" t="s">
        <v>1311</v>
      </c>
      <c r="I453" s="80">
        <v>4</v>
      </c>
      <c r="J453" s="39">
        <v>5</v>
      </c>
      <c r="K453" s="41">
        <f>tabPontoPed[[#This Row],[QTDMÊS]] * tabPontoPed[[#This Row],[MENSAL]]</f>
        <v>20</v>
      </c>
      <c r="L453" s="83"/>
      <c r="M453" s="81"/>
      <c r="N453" s="34" t="s">
        <v>1009</v>
      </c>
      <c r="O453" s="76" t="s">
        <v>1667</v>
      </c>
      <c r="P453" s="77">
        <v>0</v>
      </c>
      <c r="Q453" s="57">
        <v>1</v>
      </c>
      <c r="R453" s="42">
        <v>3</v>
      </c>
      <c r="S453" s="69" t="str">
        <f>_xlfn.IFNA(IF(VLOOKUP(tabPontoPed[[#This Row],[CÓDIGO]],tabExcluirDoEstoque[#Data],1,FALSE),"sim",""),"")</f>
        <v/>
      </c>
      <c r="T453" s="43">
        <f>IF(AND(tabPontoPed[[#This Row],[MENSAL]]&gt;0,tabPontoPed[[#This Row],[CÁLCULO]]&gt;0), ABS( tabPontoPed[[#This Row],[MENSAL]] - tabPontoPed[[#This Row],[CÁLCULO]] ) / tabPontoPed[[#This Row],[MENSAL]], -1 )</f>
        <v>0.4</v>
      </c>
      <c r="U453" s="58">
        <v>17</v>
      </c>
      <c r="V453" s="35">
        <f>IF(AND(tabPontoPed[[#This Row],[MENSAL]]&gt;0,tabPontoPed[[#This Row],[CÁLCULO]]&gt;0), IF( tabPontoPed[[#This Row],[MENSAL]] - tabPontoPed[[#This Row],[CÁLCULO]] &lt; 0, -1, IF( tabPontoPed[[#This Row],[MENSAL]] - tabPontoPed[[#This Row],[CÁLCULO]] &gt; 0, 1, -8)), -9 )</f>
        <v>1</v>
      </c>
      <c r="W453" s="35"/>
      <c r="X453" s="49" t="s">
        <v>1564</v>
      </c>
      <c r="Y453" s="51">
        <v>44391.599108796298</v>
      </c>
      <c r="Z453" s="72">
        <f>tabPontoPed[CÁLC_4M] - tabPontoPed[CÁLCULO]</f>
        <v>-2</v>
      </c>
      <c r="AA453" s="79" t="str">
        <f>IF(tabPontoPed[MENSAL]-tabPontoPed[ATA MENSAL] = 0,"sim","")</f>
        <v/>
      </c>
      <c r="AB453" s="79" t="s">
        <v>1614</v>
      </c>
      <c r="AC453" s="47" t="str">
        <f t="shared" si="7"/>
        <v>*</v>
      </c>
    </row>
    <row r="454" spans="1:29" x14ac:dyDescent="0.25">
      <c r="A454" s="36">
        <v>11857</v>
      </c>
      <c r="B454" s="68" t="s">
        <v>435</v>
      </c>
      <c r="C454" s="33" t="s">
        <v>1317</v>
      </c>
      <c r="D454" s="32">
        <v>45</v>
      </c>
      <c r="E454" s="37">
        <v>11</v>
      </c>
      <c r="F454" s="38" t="str">
        <f>VLOOKUP(tabPontoPed[[#This Row],[GRUPO]],tabGrupos[#Data],2,FALSE)</f>
        <v>MAQ., EQUIP., COMP., ACES., MAT. PARA ESCRIT.E ESCOLAR</v>
      </c>
      <c r="G454" s="32" t="str">
        <f>VLOOKUP(tabPontoPed[[#This Row],[GRUPO]],tabGrupos[#Data],3,FALSE)</f>
        <v>EDU</v>
      </c>
      <c r="H454" s="33" t="s">
        <v>1311</v>
      </c>
      <c r="I454" s="80">
        <v>4</v>
      </c>
      <c r="J454" s="39">
        <v>1362</v>
      </c>
      <c r="K454" s="41">
        <f>tabPontoPed[[#This Row],[QTDMÊS]] * tabPontoPed[[#This Row],[MENSAL]]</f>
        <v>5448</v>
      </c>
      <c r="L454" s="83"/>
      <c r="M454" s="81"/>
      <c r="N454" s="34" t="s">
        <v>1009</v>
      </c>
      <c r="O454" s="76" t="s">
        <v>1696</v>
      </c>
      <c r="P454" s="77">
        <v>0</v>
      </c>
      <c r="Q454" s="57">
        <v>807</v>
      </c>
      <c r="R454" s="42">
        <v>819</v>
      </c>
      <c r="S454" s="69" t="str">
        <f>_xlfn.IFNA(IF(VLOOKUP(tabPontoPed[[#This Row],[CÓDIGO]],tabExcluirDoEstoque[#Data],1,FALSE),"sim",""),"")</f>
        <v/>
      </c>
      <c r="T454" s="43">
        <f>IF(AND(tabPontoPed[[#This Row],[MENSAL]]&gt;0,tabPontoPed[[#This Row],[CÁLCULO]]&gt;0), ABS( tabPontoPed[[#This Row],[MENSAL]] - tabPontoPed[[#This Row],[CÁLCULO]] ) / tabPontoPed[[#This Row],[MENSAL]], -1 )</f>
        <v>0.39867841409691629</v>
      </c>
      <c r="U454" s="58">
        <v>1645</v>
      </c>
      <c r="V454" s="35">
        <f>IF(AND(tabPontoPed[[#This Row],[MENSAL]]&gt;0,tabPontoPed[[#This Row],[CÁLCULO]]&gt;0), IF( tabPontoPed[[#This Row],[MENSAL]] - tabPontoPed[[#This Row],[CÁLCULO]] &lt; 0, -1, IF( tabPontoPed[[#This Row],[MENSAL]] - tabPontoPed[[#This Row],[CÁLCULO]] &gt; 0, 1, -8)), -9 )</f>
        <v>1</v>
      </c>
      <c r="W454" s="35"/>
      <c r="X454" s="49" t="s">
        <v>1564</v>
      </c>
      <c r="Y454" s="51">
        <v>44391.599108796298</v>
      </c>
      <c r="Z454" s="72">
        <f>tabPontoPed[CÁLC_4M] - tabPontoPed[CÁLCULO]</f>
        <v>-12</v>
      </c>
      <c r="AA454" s="79" t="str">
        <f>IF(tabPontoPed[MENSAL]-tabPontoPed[ATA MENSAL] = 0,"sim","")</f>
        <v/>
      </c>
      <c r="AB454" s="79"/>
      <c r="AC454" s="47" t="str">
        <f t="shared" si="7"/>
        <v>*</v>
      </c>
    </row>
    <row r="455" spans="1:29" x14ac:dyDescent="0.25">
      <c r="A455" s="36">
        <v>23676</v>
      </c>
      <c r="B455" s="68" t="s">
        <v>831</v>
      </c>
      <c r="C455" s="33" t="s">
        <v>1317</v>
      </c>
      <c r="D455" s="32">
        <v>67</v>
      </c>
      <c r="E455" s="37">
        <v>5</v>
      </c>
      <c r="F455" s="38" t="str">
        <f>VLOOKUP(tabPontoPed[[#This Row],[GRUPO]],tabGrupos[#Data],2,FALSE)</f>
        <v>PARAFUSOS ELEM. VEDACAO UNIAO CONEX . FIXACAO</v>
      </c>
      <c r="G455" s="32" t="str">
        <f>VLOOKUP(tabPontoPed[[#This Row],[GRUPO]],tabGrupos[#Data],3,FALSE)</f>
        <v>MSE</v>
      </c>
      <c r="H455" s="33" t="s">
        <v>1311</v>
      </c>
      <c r="I455" s="80">
        <v>4</v>
      </c>
      <c r="J455" s="39">
        <v>270</v>
      </c>
      <c r="K455" s="41">
        <f>tabPontoPed[[#This Row],[QTDMÊS]] * tabPontoPed[[#This Row],[MENSAL]]</f>
        <v>1080</v>
      </c>
      <c r="L455" s="83"/>
      <c r="M455" s="81"/>
      <c r="N455" s="34" t="s">
        <v>1009</v>
      </c>
      <c r="O455" s="76"/>
      <c r="P455" s="77">
        <v>0</v>
      </c>
      <c r="Q455" s="57">
        <v>45</v>
      </c>
      <c r="R455" s="42">
        <v>164</v>
      </c>
      <c r="S455" s="69" t="str">
        <f>_xlfn.IFNA(IF(VLOOKUP(tabPontoPed[[#This Row],[CÓDIGO]],tabExcluirDoEstoque[#Data],1,FALSE),"sim",""),"")</f>
        <v/>
      </c>
      <c r="T455" s="43">
        <f>IF(AND(tabPontoPed[[#This Row],[MENSAL]]&gt;0,tabPontoPed[[#This Row],[CÁLCULO]]&gt;0), ABS( tabPontoPed[[#This Row],[MENSAL]] - tabPontoPed[[#This Row],[CÁLCULO]] ) / tabPontoPed[[#This Row],[MENSAL]], -1 )</f>
        <v>0.3925925925925926</v>
      </c>
      <c r="U455" s="58">
        <v>462</v>
      </c>
      <c r="V455" s="35">
        <f>IF(AND(tabPontoPed[[#This Row],[MENSAL]]&gt;0,tabPontoPed[[#This Row],[CÁLCULO]]&gt;0), IF( tabPontoPed[[#This Row],[MENSAL]] - tabPontoPed[[#This Row],[CÁLCULO]] &lt; 0, -1, IF( tabPontoPed[[#This Row],[MENSAL]] - tabPontoPed[[#This Row],[CÁLCULO]] &gt; 0, 1, -8)), -9 )</f>
        <v>1</v>
      </c>
      <c r="W455" s="35"/>
      <c r="X455" s="48" t="s">
        <v>1564</v>
      </c>
      <c r="Y455" s="53">
        <v>44391.599108796298</v>
      </c>
      <c r="Z455" s="72">
        <f>tabPontoPed[CÁLC_4M] - tabPontoPed[CÁLCULO]</f>
        <v>-119</v>
      </c>
      <c r="AA455" s="79" t="str">
        <f>IF(tabPontoPed[MENSAL]-tabPontoPed[ATA MENSAL] = 0,"sim","")</f>
        <v/>
      </c>
      <c r="AB455" s="79"/>
      <c r="AC455" s="47" t="str">
        <f t="shared" si="7"/>
        <v>*</v>
      </c>
    </row>
    <row r="456" spans="1:29" x14ac:dyDescent="0.25">
      <c r="A456" s="36">
        <v>96516</v>
      </c>
      <c r="B456" s="68" t="s">
        <v>581</v>
      </c>
      <c r="C456" s="33" t="s">
        <v>1317</v>
      </c>
      <c r="D456" s="32">
        <v>54</v>
      </c>
      <c r="E456" s="37">
        <v>4</v>
      </c>
      <c r="F456" s="38" t="str">
        <f>VLOOKUP(tabPontoPed[[#This Row],[GRUPO]],tabGrupos[#Data],2,FALSE)</f>
        <v>EQUIP PROT IND, INST MAT P/ SINAL, CONTR, COMB ...</v>
      </c>
      <c r="G456" s="32" t="str">
        <f>VLOOKUP(tabPontoPed[[#This Row],[GRUPO]],tabGrupos[#Data],3,FALSE)</f>
        <v>MAN</v>
      </c>
      <c r="H456" s="33" t="s">
        <v>1311</v>
      </c>
      <c r="I456" s="80">
        <v>4</v>
      </c>
      <c r="J456" s="39">
        <v>100</v>
      </c>
      <c r="K456" s="41">
        <f>tabPontoPed[[#This Row],[QTDMÊS]] * tabPontoPed[[#This Row],[MENSAL]]</f>
        <v>400</v>
      </c>
      <c r="L456" s="83"/>
      <c r="M456" s="81"/>
      <c r="N456" s="34" t="s">
        <v>1009</v>
      </c>
      <c r="O456" s="76" t="s">
        <v>1719</v>
      </c>
      <c r="P456" s="77">
        <v>0</v>
      </c>
      <c r="Q456" s="57">
        <v>90</v>
      </c>
      <c r="R456" s="42">
        <v>61</v>
      </c>
      <c r="S456" s="69" t="str">
        <f>_xlfn.IFNA(IF(VLOOKUP(tabPontoPed[[#This Row],[CÓDIGO]],tabExcluirDoEstoque[#Data],1,FALSE),"sim",""),"")</f>
        <v/>
      </c>
      <c r="T456" s="43">
        <f>IF(AND(tabPontoPed[[#This Row],[MENSAL]]&gt;0,tabPontoPed[[#This Row],[CÁLCULO]]&gt;0), ABS( tabPontoPed[[#This Row],[MENSAL]] - tabPontoPed[[#This Row],[CÁLCULO]] ) / tabPontoPed[[#This Row],[MENSAL]], -1 )</f>
        <v>0.39</v>
      </c>
      <c r="U456" s="58">
        <v>237</v>
      </c>
      <c r="V456" s="35">
        <f>IF(AND(tabPontoPed[[#This Row],[MENSAL]]&gt;0,tabPontoPed[[#This Row],[CÁLCULO]]&gt;0), IF( tabPontoPed[[#This Row],[MENSAL]] - tabPontoPed[[#This Row],[CÁLCULO]] &lt; 0, -1, IF( tabPontoPed[[#This Row],[MENSAL]] - tabPontoPed[[#This Row],[CÁLCULO]] &gt; 0, 1, -8)), -9 )</f>
        <v>1</v>
      </c>
      <c r="W456" s="35"/>
      <c r="X456" s="49" t="s">
        <v>1564</v>
      </c>
      <c r="Y456" s="51">
        <v>44391.599108796298</v>
      </c>
      <c r="Z456" s="72">
        <f>tabPontoPed[CÁLC_4M] - tabPontoPed[CÁLCULO]</f>
        <v>29</v>
      </c>
      <c r="AA456" s="79" t="str">
        <f>IF(tabPontoPed[MENSAL]-tabPontoPed[ATA MENSAL] = 0,"sim","")</f>
        <v/>
      </c>
      <c r="AB456" s="79"/>
      <c r="AC456" s="47" t="str">
        <f t="shared" si="7"/>
        <v>*</v>
      </c>
    </row>
    <row r="457" spans="1:29" x14ac:dyDescent="0.25">
      <c r="A457" s="36">
        <v>23581</v>
      </c>
      <c r="B457" s="68" t="s">
        <v>441</v>
      </c>
      <c r="C457" s="33" t="s">
        <v>1317</v>
      </c>
      <c r="D457" s="32">
        <v>45</v>
      </c>
      <c r="E457" s="37">
        <v>11</v>
      </c>
      <c r="F457" s="38" t="str">
        <f>VLOOKUP(tabPontoPed[[#This Row],[GRUPO]],tabGrupos[#Data],2,FALSE)</f>
        <v>MAQ., EQUIP., COMP., ACES., MAT. PARA ESCRIT.E ESCOLAR</v>
      </c>
      <c r="G457" s="32" t="str">
        <f>VLOOKUP(tabPontoPed[[#This Row],[GRUPO]],tabGrupos[#Data],3,FALSE)</f>
        <v>EDU</v>
      </c>
      <c r="H457" s="33" t="s">
        <v>1311</v>
      </c>
      <c r="I457" s="80">
        <v>4</v>
      </c>
      <c r="J457" s="39">
        <v>1372</v>
      </c>
      <c r="K457" s="41">
        <f>tabPontoPed[[#This Row],[QTDMÊS]] * tabPontoPed[[#This Row],[MENSAL]]</f>
        <v>5488</v>
      </c>
      <c r="L457" s="83"/>
      <c r="M457" s="81"/>
      <c r="N457" s="34" t="s">
        <v>1009</v>
      </c>
      <c r="O457" s="76"/>
      <c r="P457" s="77">
        <v>0</v>
      </c>
      <c r="Q457" s="57">
        <v>497</v>
      </c>
      <c r="R457" s="42">
        <v>843</v>
      </c>
      <c r="S457" s="69" t="str">
        <f>_xlfn.IFNA(IF(VLOOKUP(tabPontoPed[[#This Row],[CÓDIGO]],tabExcluirDoEstoque[#Data],1,FALSE),"sim",""),"")</f>
        <v/>
      </c>
      <c r="T457" s="43">
        <f>IF(AND(tabPontoPed[[#This Row],[MENSAL]]&gt;0,tabPontoPed[[#This Row],[CÁLCULO]]&gt;0), ABS( tabPontoPed[[#This Row],[MENSAL]] - tabPontoPed[[#This Row],[CÁLCULO]] ) / tabPontoPed[[#This Row],[MENSAL]], -1 )</f>
        <v>0.38556851311953355</v>
      </c>
      <c r="U457" s="58">
        <v>4397</v>
      </c>
      <c r="V457" s="35">
        <f>IF(AND(tabPontoPed[[#This Row],[MENSAL]]&gt;0,tabPontoPed[[#This Row],[CÁLCULO]]&gt;0), IF( tabPontoPed[[#This Row],[MENSAL]] - tabPontoPed[[#This Row],[CÁLCULO]] &lt; 0, -1, IF( tabPontoPed[[#This Row],[MENSAL]] - tabPontoPed[[#This Row],[CÁLCULO]] &gt; 0, 1, -8)), -9 )</f>
        <v>1</v>
      </c>
      <c r="W457" s="35"/>
      <c r="X457" s="49" t="s">
        <v>1564</v>
      </c>
      <c r="Y457" s="51">
        <v>44391.599108796298</v>
      </c>
      <c r="Z457" s="72">
        <f>tabPontoPed[CÁLC_4M] - tabPontoPed[CÁLCULO]</f>
        <v>-346</v>
      </c>
      <c r="AA457" s="79" t="str">
        <f>IF(tabPontoPed[MENSAL]-tabPontoPed[ATA MENSAL] = 0,"sim","")</f>
        <v/>
      </c>
      <c r="AB457" s="79"/>
      <c r="AC457" s="47" t="str">
        <f t="shared" si="7"/>
        <v>*</v>
      </c>
    </row>
    <row r="458" spans="1:29" x14ac:dyDescent="0.25">
      <c r="A458" s="36">
        <v>130634</v>
      </c>
      <c r="B458" s="68" t="s">
        <v>536</v>
      </c>
      <c r="C458" s="33" t="s">
        <v>1317</v>
      </c>
      <c r="D458" s="32">
        <v>51</v>
      </c>
      <c r="E458" s="37">
        <v>24</v>
      </c>
      <c r="F458" s="38" t="str">
        <f>VLOOKUP(tabPontoPed[[#This Row],[GRUPO]],tabGrupos[#Data],2,FALSE)</f>
        <v>MAT.E EQUIP. P/ CONSTR.CIVIL E CONSERV. DE VIAS PUBL.</v>
      </c>
      <c r="G458" s="32" t="str">
        <f>VLOOKUP(tabPontoPed[[#This Row],[GRUPO]],tabGrupos[#Data],3,FALSE)</f>
        <v>MCO</v>
      </c>
      <c r="H458" s="33" t="s">
        <v>1311</v>
      </c>
      <c r="I458" s="80">
        <v>4</v>
      </c>
      <c r="J458" s="39">
        <v>113</v>
      </c>
      <c r="K458" s="41">
        <f>tabPontoPed[[#This Row],[QTDMÊS]] * tabPontoPed[[#This Row],[MENSAL]]</f>
        <v>452</v>
      </c>
      <c r="L458" s="83"/>
      <c r="M458" s="81"/>
      <c r="N458" s="34" t="s">
        <v>1009</v>
      </c>
      <c r="O458" s="76" t="s">
        <v>1616</v>
      </c>
      <c r="P458" s="77">
        <v>0</v>
      </c>
      <c r="Q458" s="57">
        <v>123</v>
      </c>
      <c r="R458" s="42">
        <v>70</v>
      </c>
      <c r="S458" s="69" t="str">
        <f>_xlfn.IFNA(IF(VLOOKUP(tabPontoPed[[#This Row],[CÓDIGO]],tabExcluirDoEstoque[#Data],1,FALSE),"sim",""),"")</f>
        <v/>
      </c>
      <c r="T458" s="43">
        <f>IF(AND(tabPontoPed[[#This Row],[MENSAL]]&gt;0,tabPontoPed[[#This Row],[CÁLCULO]]&gt;0), ABS( tabPontoPed[[#This Row],[MENSAL]] - tabPontoPed[[#This Row],[CÁLCULO]] ) / tabPontoPed[[#This Row],[MENSAL]], -1 )</f>
        <v>0.38053097345132741</v>
      </c>
      <c r="U458" s="58">
        <v>169</v>
      </c>
      <c r="V458" s="35">
        <f>IF(AND(tabPontoPed[[#This Row],[MENSAL]]&gt;0,tabPontoPed[[#This Row],[CÁLCULO]]&gt;0), IF( tabPontoPed[[#This Row],[MENSAL]] - tabPontoPed[[#This Row],[CÁLCULO]] &lt; 0, -1, IF( tabPontoPed[[#This Row],[MENSAL]] - tabPontoPed[[#This Row],[CÁLCULO]] &gt; 0, 1, -8)), -9 )</f>
        <v>1</v>
      </c>
      <c r="W458" s="35"/>
      <c r="X458" s="49" t="s">
        <v>1564</v>
      </c>
      <c r="Y458" s="51">
        <v>44391.599108796298</v>
      </c>
      <c r="Z458" s="72">
        <f>tabPontoPed[CÁLC_4M] - tabPontoPed[CÁLCULO]</f>
        <v>53</v>
      </c>
      <c r="AA458" s="79" t="str">
        <f>IF(tabPontoPed[MENSAL]-tabPontoPed[ATA MENSAL] = 0,"sim","")</f>
        <v/>
      </c>
      <c r="AB458" s="79"/>
      <c r="AC458" s="47" t="str">
        <f t="shared" si="7"/>
        <v>*</v>
      </c>
    </row>
    <row r="459" spans="1:29" x14ac:dyDescent="0.25">
      <c r="A459" s="36">
        <v>16365</v>
      </c>
      <c r="B459" s="68" t="s">
        <v>226</v>
      </c>
      <c r="C459" s="33" t="s">
        <v>1317</v>
      </c>
      <c r="D459" s="32">
        <v>74</v>
      </c>
      <c r="E459" s="37">
        <v>8</v>
      </c>
      <c r="F459" s="38" t="str">
        <f>VLOOKUP(tabPontoPed[[#This Row],[GRUPO]],tabGrupos[#Data],2,FALSE)</f>
        <v>MADEIRAS,LAMINADOS,COMPENSADOS E AGLOMERADOS</v>
      </c>
      <c r="G459" s="32" t="str">
        <f>VLOOKUP(tabPontoPed[[#This Row],[GRUPO]],tabGrupos[#Data],3,FALSE)</f>
        <v>MCO</v>
      </c>
      <c r="H459" s="33" t="s">
        <v>1311</v>
      </c>
      <c r="I459" s="80">
        <v>4</v>
      </c>
      <c r="J459" s="39">
        <v>29</v>
      </c>
      <c r="K459" s="41">
        <f>tabPontoPed[[#This Row],[QTDMÊS]] * tabPontoPed[[#This Row],[MENSAL]]</f>
        <v>116</v>
      </c>
      <c r="L459" s="83"/>
      <c r="M459" s="81"/>
      <c r="N459" s="34" t="s">
        <v>1009</v>
      </c>
      <c r="O459" s="76" t="s">
        <v>1669</v>
      </c>
      <c r="P459" s="77">
        <v>0</v>
      </c>
      <c r="Q459" s="57">
        <v>14</v>
      </c>
      <c r="R459" s="42">
        <v>18</v>
      </c>
      <c r="S459" s="69" t="str">
        <f>_xlfn.IFNA(IF(VLOOKUP(tabPontoPed[[#This Row],[CÓDIGO]],tabExcluirDoEstoque[#Data],1,FALSE),"sim",""),"")</f>
        <v/>
      </c>
      <c r="T459" s="43">
        <f>IF(AND(tabPontoPed[[#This Row],[MENSAL]]&gt;0,tabPontoPed[[#This Row],[CÁLCULO]]&gt;0), ABS( tabPontoPed[[#This Row],[MENSAL]] - tabPontoPed[[#This Row],[CÁLCULO]] ) / tabPontoPed[[#This Row],[MENSAL]], -1 )</f>
        <v>0.37931034482758619</v>
      </c>
      <c r="U459" s="58">
        <v>62</v>
      </c>
      <c r="V459" s="35">
        <f>IF(AND(tabPontoPed[[#This Row],[MENSAL]]&gt;0,tabPontoPed[[#This Row],[CÁLCULO]]&gt;0), IF( tabPontoPed[[#This Row],[MENSAL]] - tabPontoPed[[#This Row],[CÁLCULO]] &lt; 0, -1, IF( tabPontoPed[[#This Row],[MENSAL]] - tabPontoPed[[#This Row],[CÁLCULO]] &gt; 0, 1, -8)), -9 )</f>
        <v>1</v>
      </c>
      <c r="W459" s="35"/>
      <c r="X459" s="48" t="s">
        <v>1564</v>
      </c>
      <c r="Y459" s="53">
        <v>44391.599108796298</v>
      </c>
      <c r="Z459" s="72">
        <f>tabPontoPed[CÁLC_4M] - tabPontoPed[CÁLCULO]</f>
        <v>-4</v>
      </c>
      <c r="AA459" s="79" t="str">
        <f>IF(tabPontoPed[MENSAL]-tabPontoPed[ATA MENSAL] = 0,"sim","")</f>
        <v/>
      </c>
      <c r="AB459" s="79"/>
      <c r="AC459" s="47" t="str">
        <f t="shared" si="7"/>
        <v>*</v>
      </c>
    </row>
    <row r="460" spans="1:29" x14ac:dyDescent="0.25">
      <c r="A460" s="36">
        <v>20558</v>
      </c>
      <c r="B460" s="68" t="s">
        <v>846</v>
      </c>
      <c r="C460" s="33" t="s">
        <v>1317</v>
      </c>
      <c r="D460" s="32">
        <v>67</v>
      </c>
      <c r="E460" s="37">
        <v>7</v>
      </c>
      <c r="F460" s="38" t="str">
        <f>VLOOKUP(tabPontoPed[[#This Row],[GRUPO]],tabGrupos[#Data],2,FALSE)</f>
        <v>PARAFUSOS ELEM. VEDACAO UNIAO CONEX . FIXACAO</v>
      </c>
      <c r="G460" s="32" t="str">
        <f>VLOOKUP(tabPontoPed[[#This Row],[GRUPO]],tabGrupos[#Data],3,FALSE)</f>
        <v>MSE</v>
      </c>
      <c r="H460" s="33" t="s">
        <v>1311</v>
      </c>
      <c r="I460" s="80">
        <v>4</v>
      </c>
      <c r="J460" s="39">
        <v>650</v>
      </c>
      <c r="K460" s="41">
        <f>tabPontoPed[[#This Row],[QTDMÊS]] * tabPontoPed[[#This Row],[MENSAL]]</f>
        <v>2600</v>
      </c>
      <c r="L460" s="83"/>
      <c r="M460" s="81"/>
      <c r="N460" s="34" t="s">
        <v>1009</v>
      </c>
      <c r="O460" s="76"/>
      <c r="P460" s="77">
        <v>0</v>
      </c>
      <c r="Q460" s="57">
        <v>503</v>
      </c>
      <c r="R460" s="42">
        <v>405</v>
      </c>
      <c r="S460" s="69" t="str">
        <f>_xlfn.IFNA(IF(VLOOKUP(tabPontoPed[[#This Row],[CÓDIGO]],tabExcluirDoEstoque[#Data],1,FALSE),"sim",""),"")</f>
        <v/>
      </c>
      <c r="T460" s="43">
        <f>IF(AND(tabPontoPed[[#This Row],[MENSAL]]&gt;0,tabPontoPed[[#This Row],[CÁLCULO]]&gt;0), ABS( tabPontoPed[[#This Row],[MENSAL]] - tabPontoPed[[#This Row],[CÁLCULO]] ) / tabPontoPed[[#This Row],[MENSAL]], -1 )</f>
        <v>0.37692307692307692</v>
      </c>
      <c r="U460" s="58">
        <v>900</v>
      </c>
      <c r="V460" s="35">
        <f>IF(AND(tabPontoPed[[#This Row],[MENSAL]]&gt;0,tabPontoPed[[#This Row],[CÁLCULO]]&gt;0), IF( tabPontoPed[[#This Row],[MENSAL]] - tabPontoPed[[#This Row],[CÁLCULO]] &lt; 0, -1, IF( tabPontoPed[[#This Row],[MENSAL]] - tabPontoPed[[#This Row],[CÁLCULO]] &gt; 0, 1, -8)), -9 )</f>
        <v>1</v>
      </c>
      <c r="W460" s="35"/>
      <c r="X460" s="49" t="s">
        <v>1564</v>
      </c>
      <c r="Y460" s="51">
        <v>44391.599108796298</v>
      </c>
      <c r="Z460" s="72">
        <f>tabPontoPed[CÁLC_4M] - tabPontoPed[CÁLCULO]</f>
        <v>98</v>
      </c>
      <c r="AA460" s="79" t="str">
        <f>IF(tabPontoPed[MENSAL]-tabPontoPed[ATA MENSAL] = 0,"sim","")</f>
        <v/>
      </c>
      <c r="AB460" s="79"/>
      <c r="AC460" s="47" t="str">
        <f t="shared" si="7"/>
        <v>*</v>
      </c>
    </row>
    <row r="461" spans="1:29" x14ac:dyDescent="0.25">
      <c r="A461" s="36">
        <v>63252</v>
      </c>
      <c r="B461" s="68" t="s">
        <v>939</v>
      </c>
      <c r="C461" s="33" t="s">
        <v>1317</v>
      </c>
      <c r="D461" s="32">
        <v>72</v>
      </c>
      <c r="E461" s="37">
        <v>13</v>
      </c>
      <c r="F461" s="38" t="str">
        <f>VLOOKUP(tabPontoPed[[#This Row],[GRUPO]],tabGrupos[#Data],2,FALSE)</f>
        <v>MAQ.EQUIP.E MATERIAIS P/ HIGIEN.LIMP.POLIM.E LUBR.</v>
      </c>
      <c r="G461" s="32" t="str">
        <f>VLOOKUP(tabPontoPed[[#This Row],[GRUPO]],tabGrupos[#Data],3,FALSE)</f>
        <v>ADM</v>
      </c>
      <c r="H461" s="33" t="s">
        <v>1311</v>
      </c>
      <c r="I461" s="80">
        <v>4</v>
      </c>
      <c r="J461" s="39">
        <v>8</v>
      </c>
      <c r="K461" s="41">
        <f>tabPontoPed[[#This Row],[QTDMÊS]] * tabPontoPed[[#This Row],[MENSAL]]</f>
        <v>32</v>
      </c>
      <c r="L461" s="83"/>
      <c r="M461" s="81"/>
      <c r="N461" s="34" t="s">
        <v>1009</v>
      </c>
      <c r="O461" s="76"/>
      <c r="P461" s="77">
        <v>0</v>
      </c>
      <c r="Q461" s="57">
        <v>10</v>
      </c>
      <c r="R461" s="42">
        <v>11</v>
      </c>
      <c r="S461" s="69" t="str">
        <f>_xlfn.IFNA(IF(VLOOKUP(tabPontoPed[[#This Row],[CÓDIGO]],tabExcluirDoEstoque[#Data],1,FALSE),"sim",""),"")</f>
        <v/>
      </c>
      <c r="T461" s="43">
        <f>IF(AND(tabPontoPed[[#This Row],[MENSAL]]&gt;0,tabPontoPed[[#This Row],[CÁLCULO]]&gt;0), ABS( tabPontoPed[[#This Row],[MENSAL]] - tabPontoPed[[#This Row],[CÁLCULO]] ) / tabPontoPed[[#This Row],[MENSAL]], -1 )</f>
        <v>0.375</v>
      </c>
      <c r="U461" s="58">
        <v>20</v>
      </c>
      <c r="V461" s="35">
        <f>IF(AND(tabPontoPed[[#This Row],[MENSAL]]&gt;0,tabPontoPed[[#This Row],[CÁLCULO]]&gt;0), IF( tabPontoPed[[#This Row],[MENSAL]] - tabPontoPed[[#This Row],[CÁLCULO]] &lt; 0, -1, IF( tabPontoPed[[#This Row],[MENSAL]] - tabPontoPed[[#This Row],[CÁLCULO]] &gt; 0, 1, -8)), -9 )</f>
        <v>-1</v>
      </c>
      <c r="W461" s="35"/>
      <c r="X461" s="49" t="s">
        <v>1564</v>
      </c>
      <c r="Y461" s="51">
        <v>44391.599108796298</v>
      </c>
      <c r="Z461" s="72">
        <f>tabPontoPed[CÁLC_4M] - tabPontoPed[CÁLCULO]</f>
        <v>-1</v>
      </c>
      <c r="AA461" s="79" t="str">
        <f>IF(tabPontoPed[MENSAL]-tabPontoPed[ATA MENSAL] = 0,"sim","")</f>
        <v/>
      </c>
      <c r="AB461" s="79"/>
      <c r="AC461" s="47" t="str">
        <f t="shared" si="7"/>
        <v>*</v>
      </c>
    </row>
    <row r="462" spans="1:29" x14ac:dyDescent="0.25">
      <c r="A462" s="36">
        <v>33623</v>
      </c>
      <c r="B462" s="68" t="s">
        <v>862</v>
      </c>
      <c r="C462" s="33" t="s">
        <v>1317</v>
      </c>
      <c r="D462" s="32">
        <v>67</v>
      </c>
      <c r="E462" s="37">
        <v>14</v>
      </c>
      <c r="F462" s="38" t="str">
        <f>VLOOKUP(tabPontoPed[[#This Row],[GRUPO]],tabGrupos[#Data],2,FALSE)</f>
        <v>PARAFUSOS ELEM. VEDACAO UNIAO CONEX . FIXACAO</v>
      </c>
      <c r="G462" s="32" t="str">
        <f>VLOOKUP(tabPontoPed[[#This Row],[GRUPO]],tabGrupos[#Data],3,FALSE)</f>
        <v>MSE</v>
      </c>
      <c r="H462" s="33" t="s">
        <v>1311</v>
      </c>
      <c r="I462" s="80">
        <v>4</v>
      </c>
      <c r="J462" s="39">
        <v>32</v>
      </c>
      <c r="K462" s="41">
        <f>tabPontoPed[[#This Row],[QTDMÊS]] * tabPontoPed[[#This Row],[MENSAL]]</f>
        <v>128</v>
      </c>
      <c r="L462" s="83"/>
      <c r="M462" s="81"/>
      <c r="N462" s="34" t="s">
        <v>1009</v>
      </c>
      <c r="O462" s="76"/>
      <c r="P462" s="77">
        <v>0</v>
      </c>
      <c r="Q462" s="57">
        <v>11</v>
      </c>
      <c r="R462" s="42">
        <v>20</v>
      </c>
      <c r="S462" s="69" t="str">
        <f>_xlfn.IFNA(IF(VLOOKUP(tabPontoPed[[#This Row],[CÓDIGO]],tabExcluirDoEstoque[#Data],1,FALSE),"sim",""),"")</f>
        <v/>
      </c>
      <c r="T462" s="43">
        <f>IF(AND(tabPontoPed[[#This Row],[MENSAL]]&gt;0,tabPontoPed[[#This Row],[CÁLCULO]]&gt;0), ABS( tabPontoPed[[#This Row],[MENSAL]] - tabPontoPed[[#This Row],[CÁLCULO]] ) / tabPontoPed[[#This Row],[MENSAL]], -1 )</f>
        <v>0.375</v>
      </c>
      <c r="U462" s="58">
        <v>34</v>
      </c>
      <c r="V462" s="35">
        <f>IF(AND(tabPontoPed[[#This Row],[MENSAL]]&gt;0,tabPontoPed[[#This Row],[CÁLCULO]]&gt;0), IF( tabPontoPed[[#This Row],[MENSAL]] - tabPontoPed[[#This Row],[CÁLCULO]] &lt; 0, -1, IF( tabPontoPed[[#This Row],[MENSAL]] - tabPontoPed[[#This Row],[CÁLCULO]] &gt; 0, 1, -8)), -9 )</f>
        <v>1</v>
      </c>
      <c r="W462" s="35"/>
      <c r="X462" s="48" t="s">
        <v>1564</v>
      </c>
      <c r="Y462" s="53">
        <v>44391.599108796298</v>
      </c>
      <c r="Z462" s="72">
        <f>tabPontoPed[CÁLC_4M] - tabPontoPed[CÁLCULO]</f>
        <v>-9</v>
      </c>
      <c r="AA462" s="79" t="str">
        <f>IF(tabPontoPed[MENSAL]-tabPontoPed[ATA MENSAL] = 0,"sim","")</f>
        <v/>
      </c>
      <c r="AB462" s="79"/>
      <c r="AC462" s="47" t="str">
        <f t="shared" si="7"/>
        <v>*</v>
      </c>
    </row>
    <row r="463" spans="1:29" x14ac:dyDescent="0.25">
      <c r="A463" s="36">
        <v>64861</v>
      </c>
      <c r="B463" s="68" t="s">
        <v>268</v>
      </c>
      <c r="C463" s="33" t="s">
        <v>1317</v>
      </c>
      <c r="D463" s="32">
        <v>69</v>
      </c>
      <c r="E463" s="37">
        <v>8</v>
      </c>
      <c r="F463" s="38" t="str">
        <f>VLOOKUP(tabPontoPed[[#This Row],[GRUPO]],tabGrupos[#Data],2,FALSE)</f>
        <v>METAIS,LAMINAD.,PERFILADOS E ARTEFATOS METALICOS</v>
      </c>
      <c r="G463" s="32" t="str">
        <f>VLOOKUP(tabPontoPed[[#This Row],[GRUPO]],tabGrupos[#Data],3,FALSE)</f>
        <v>MSE</v>
      </c>
      <c r="H463" s="33" t="s">
        <v>1311</v>
      </c>
      <c r="I463" s="80">
        <v>4</v>
      </c>
      <c r="J463" s="39">
        <v>35</v>
      </c>
      <c r="K463" s="41">
        <f>tabPontoPed[[#This Row],[QTDMÊS]] * tabPontoPed[[#This Row],[MENSAL]]</f>
        <v>140</v>
      </c>
      <c r="L463" s="83"/>
      <c r="M463" s="81"/>
      <c r="N463" s="34" t="s">
        <v>1009</v>
      </c>
      <c r="O463" s="76" t="s">
        <v>1681</v>
      </c>
      <c r="P463" s="77">
        <v>0</v>
      </c>
      <c r="Q463" s="57">
        <v>0</v>
      </c>
      <c r="R463" s="42">
        <v>22</v>
      </c>
      <c r="S463" s="69" t="str">
        <f>_xlfn.IFNA(IF(VLOOKUP(tabPontoPed[[#This Row],[CÓDIGO]],tabExcluirDoEstoque[#Data],1,FALSE),"sim",""),"")</f>
        <v/>
      </c>
      <c r="T463" s="43">
        <f>IF(AND(tabPontoPed[[#This Row],[MENSAL]]&gt;0,tabPontoPed[[#This Row],[CÁLCULO]]&gt;0), ABS( tabPontoPed[[#This Row],[MENSAL]] - tabPontoPed[[#This Row],[CÁLCULO]] ) / tabPontoPed[[#This Row],[MENSAL]], -1 )</f>
        <v>0.37142857142857144</v>
      </c>
      <c r="U463" s="58">
        <v>100</v>
      </c>
      <c r="V463" s="35">
        <f>IF(AND(tabPontoPed[[#This Row],[MENSAL]]&gt;0,tabPontoPed[[#This Row],[CÁLCULO]]&gt;0), IF( tabPontoPed[[#This Row],[MENSAL]] - tabPontoPed[[#This Row],[CÁLCULO]] &lt; 0, -1, IF( tabPontoPed[[#This Row],[MENSAL]] - tabPontoPed[[#This Row],[CÁLCULO]] &gt; 0, 1, -8)), -9 )</f>
        <v>1</v>
      </c>
      <c r="W463" s="35"/>
      <c r="X463" s="49" t="s">
        <v>1564</v>
      </c>
      <c r="Y463" s="51">
        <v>44391.599108796298</v>
      </c>
      <c r="Z463" s="72">
        <f>tabPontoPed[CÁLC_4M] - tabPontoPed[CÁLCULO]</f>
        <v>-22</v>
      </c>
      <c r="AA463" s="79" t="str">
        <f>IF(tabPontoPed[MENSAL]-tabPontoPed[ATA MENSAL] = 0,"sim","")</f>
        <v/>
      </c>
      <c r="AB463" s="79" t="s">
        <v>1614</v>
      </c>
      <c r="AC463" s="47" t="str">
        <f t="shared" si="7"/>
        <v>*</v>
      </c>
    </row>
    <row r="464" spans="1:29" x14ac:dyDescent="0.25">
      <c r="A464" s="36">
        <v>122818</v>
      </c>
      <c r="B464" s="68" t="s">
        <v>532</v>
      </c>
      <c r="C464" s="33" t="s">
        <v>1317</v>
      </c>
      <c r="D464" s="32">
        <v>51</v>
      </c>
      <c r="E464" s="37">
        <v>21</v>
      </c>
      <c r="F464" s="38" t="str">
        <f>VLOOKUP(tabPontoPed[[#This Row],[GRUPO]],tabGrupos[#Data],2,FALSE)</f>
        <v>MAT.E EQUIP. P/ CONSTR.CIVIL E CONSERV. DE VIAS PUBL.</v>
      </c>
      <c r="G464" s="32" t="str">
        <f>VLOOKUP(tabPontoPed[[#This Row],[GRUPO]],tabGrupos[#Data],3,FALSE)</f>
        <v>MCO</v>
      </c>
      <c r="H464" s="33" t="s">
        <v>1311</v>
      </c>
      <c r="I464" s="80">
        <v>4</v>
      </c>
      <c r="J464" s="39">
        <v>100</v>
      </c>
      <c r="K464" s="41">
        <f>tabPontoPed[[#This Row],[QTDMÊS]] * tabPontoPed[[#This Row],[MENSAL]]</f>
        <v>400</v>
      </c>
      <c r="L464" s="83"/>
      <c r="M464" s="81"/>
      <c r="N464" s="34" t="s">
        <v>1009</v>
      </c>
      <c r="O464" s="76" t="s">
        <v>1702</v>
      </c>
      <c r="P464" s="77">
        <v>0</v>
      </c>
      <c r="Q464" s="57">
        <v>125</v>
      </c>
      <c r="R464" s="42">
        <v>63</v>
      </c>
      <c r="S464" s="69" t="str">
        <f>_xlfn.IFNA(IF(VLOOKUP(tabPontoPed[[#This Row],[CÓDIGO]],tabExcluirDoEstoque[#Data],1,FALSE),"sim",""),"")</f>
        <v/>
      </c>
      <c r="T464" s="43">
        <f>IF(AND(tabPontoPed[[#This Row],[MENSAL]]&gt;0,tabPontoPed[[#This Row],[CÁLCULO]]&gt;0), ABS( tabPontoPed[[#This Row],[MENSAL]] - tabPontoPed[[#This Row],[CÁLCULO]] ) / tabPontoPed[[#This Row],[MENSAL]], -1 )</f>
        <v>0.37</v>
      </c>
      <c r="U464" s="58">
        <v>230</v>
      </c>
      <c r="V464" s="35">
        <f>IF(AND(tabPontoPed[[#This Row],[MENSAL]]&gt;0,tabPontoPed[[#This Row],[CÁLCULO]]&gt;0), IF( tabPontoPed[[#This Row],[MENSAL]] - tabPontoPed[[#This Row],[CÁLCULO]] &lt; 0, -1, IF( tabPontoPed[[#This Row],[MENSAL]] - tabPontoPed[[#This Row],[CÁLCULO]] &gt; 0, 1, -8)), -9 )</f>
        <v>1</v>
      </c>
      <c r="W464" s="35"/>
      <c r="X464" s="49" t="s">
        <v>1564</v>
      </c>
      <c r="Y464" s="51">
        <v>44391.599108796298</v>
      </c>
      <c r="Z464" s="72">
        <f>tabPontoPed[CÁLC_4M] - tabPontoPed[CÁLCULO]</f>
        <v>62</v>
      </c>
      <c r="AA464" s="79" t="str">
        <f>IF(tabPontoPed[MENSAL]-tabPontoPed[ATA MENSAL] = 0,"sim","")</f>
        <v/>
      </c>
      <c r="AB464" s="79"/>
      <c r="AC464" s="47" t="str">
        <f t="shared" si="7"/>
        <v>*</v>
      </c>
    </row>
    <row r="465" spans="1:29" x14ac:dyDescent="0.25">
      <c r="A465" s="36">
        <v>79688</v>
      </c>
      <c r="B465" s="68" t="s">
        <v>445</v>
      </c>
      <c r="C465" s="33" t="s">
        <v>1317</v>
      </c>
      <c r="D465" s="32">
        <v>45</v>
      </c>
      <c r="E465" s="37">
        <v>11</v>
      </c>
      <c r="F465" s="38" t="str">
        <f>VLOOKUP(tabPontoPed[[#This Row],[GRUPO]],tabGrupos[#Data],2,FALSE)</f>
        <v>MAQ., EQUIP., COMP., ACES., MAT. PARA ESCRIT.E ESCOLAR</v>
      </c>
      <c r="G465" s="32" t="str">
        <f>VLOOKUP(tabPontoPed[[#This Row],[GRUPO]],tabGrupos[#Data],3,FALSE)</f>
        <v>EDU</v>
      </c>
      <c r="H465" s="33" t="s">
        <v>1311</v>
      </c>
      <c r="I465" s="80">
        <v>4</v>
      </c>
      <c r="J465" s="39">
        <v>796</v>
      </c>
      <c r="K465" s="41">
        <f>tabPontoPed[[#This Row],[QTDMÊS]] * tabPontoPed[[#This Row],[MENSAL]]</f>
        <v>3184</v>
      </c>
      <c r="L465" s="83"/>
      <c r="M465" s="81"/>
      <c r="N465" s="34" t="s">
        <v>1009</v>
      </c>
      <c r="O465" s="76"/>
      <c r="P465" s="77">
        <v>0</v>
      </c>
      <c r="Q465" s="57">
        <v>1163</v>
      </c>
      <c r="R465" s="42">
        <v>1087</v>
      </c>
      <c r="S465" s="69" t="str">
        <f>_xlfn.IFNA(IF(VLOOKUP(tabPontoPed[[#This Row],[CÓDIGO]],tabExcluirDoEstoque[#Data],1,FALSE),"sim",""),"")</f>
        <v/>
      </c>
      <c r="T465" s="43">
        <f>IF(AND(tabPontoPed[[#This Row],[MENSAL]]&gt;0,tabPontoPed[[#This Row],[CÁLCULO]]&gt;0), ABS( tabPontoPed[[#This Row],[MENSAL]] - tabPontoPed[[#This Row],[CÁLCULO]] ) / tabPontoPed[[#This Row],[MENSAL]], -1 )</f>
        <v>0.36557788944723618</v>
      </c>
      <c r="U465" s="58">
        <v>3872</v>
      </c>
      <c r="V465" s="35">
        <f>IF(AND(tabPontoPed[[#This Row],[MENSAL]]&gt;0,tabPontoPed[[#This Row],[CÁLCULO]]&gt;0), IF( tabPontoPed[[#This Row],[MENSAL]] - tabPontoPed[[#This Row],[CÁLCULO]] &lt; 0, -1, IF( tabPontoPed[[#This Row],[MENSAL]] - tabPontoPed[[#This Row],[CÁLCULO]] &gt; 0, 1, -8)), -9 )</f>
        <v>-1</v>
      </c>
      <c r="W465" s="35"/>
      <c r="X465" s="48" t="s">
        <v>1564</v>
      </c>
      <c r="Y465" s="53">
        <v>44391.599108796298</v>
      </c>
      <c r="Z465" s="72">
        <f>tabPontoPed[CÁLC_4M] - tabPontoPed[CÁLCULO]</f>
        <v>76</v>
      </c>
      <c r="AA465" s="79" t="str">
        <f>IF(tabPontoPed[MENSAL]-tabPontoPed[ATA MENSAL] = 0,"sim","")</f>
        <v/>
      </c>
      <c r="AB465" s="79"/>
      <c r="AC465" s="47" t="str">
        <f t="shared" si="7"/>
        <v>*</v>
      </c>
    </row>
    <row r="466" spans="1:29" x14ac:dyDescent="0.25">
      <c r="A466" s="36">
        <v>12616</v>
      </c>
      <c r="B466" s="68" t="s">
        <v>269</v>
      </c>
      <c r="C466" s="33" t="s">
        <v>1317</v>
      </c>
      <c r="D466" s="32">
        <v>57</v>
      </c>
      <c r="E466" s="37">
        <v>19</v>
      </c>
      <c r="F466" s="38" t="str">
        <f>VLOOKUP(tabPontoPed[[#This Row],[GRUPO]],tabGrupos[#Data],2,FALSE)</f>
        <v>MAQ. E EQUIP. P/ IND. GRAFICA COMP. ACESS. E PAPEI</v>
      </c>
      <c r="G466" s="32" t="str">
        <f>VLOOKUP(tabPontoPed[[#This Row],[GRUPO]],tabGrupos[#Data],3,FALSE)</f>
        <v>EDU</v>
      </c>
      <c r="H466" s="33" t="s">
        <v>1311</v>
      </c>
      <c r="I466" s="80">
        <v>4</v>
      </c>
      <c r="J466" s="39">
        <v>5000</v>
      </c>
      <c r="K466" s="41">
        <f>tabPontoPed[[#This Row],[QTDMÊS]] * tabPontoPed[[#This Row],[MENSAL]]</f>
        <v>20000</v>
      </c>
      <c r="L466" s="83"/>
      <c r="M466" s="81"/>
      <c r="N466" s="34" t="s">
        <v>1009</v>
      </c>
      <c r="O466" s="76" t="s">
        <v>1735</v>
      </c>
      <c r="P466" s="77">
        <v>5000</v>
      </c>
      <c r="Q466" s="57">
        <v>3300</v>
      </c>
      <c r="R466" s="42">
        <v>3173</v>
      </c>
      <c r="S466" s="69" t="str">
        <f>_xlfn.IFNA(IF(VLOOKUP(tabPontoPed[[#This Row],[CÓDIGO]],tabExcluirDoEstoque[#Data],1,FALSE),"sim",""),"")</f>
        <v/>
      </c>
      <c r="T466" s="43">
        <f>IF(AND(tabPontoPed[[#This Row],[MENSAL]]&gt;0,tabPontoPed[[#This Row],[CÁLCULO]]&gt;0), ABS( tabPontoPed[[#This Row],[MENSAL]] - tabPontoPed[[#This Row],[CÁLCULO]] ) / tabPontoPed[[#This Row],[MENSAL]], -1 )</f>
        <v>0.3654</v>
      </c>
      <c r="U466" s="58">
        <v>5939</v>
      </c>
      <c r="V466" s="35">
        <f>IF(AND(tabPontoPed[[#This Row],[MENSAL]]&gt;0,tabPontoPed[[#This Row],[CÁLCULO]]&gt;0), IF( tabPontoPed[[#This Row],[MENSAL]] - tabPontoPed[[#This Row],[CÁLCULO]] &lt; 0, -1, IF( tabPontoPed[[#This Row],[MENSAL]] - tabPontoPed[[#This Row],[CÁLCULO]] &gt; 0, 1, -8)), -9 )</f>
        <v>1</v>
      </c>
      <c r="W466" s="35"/>
      <c r="X466" s="49" t="s">
        <v>1564</v>
      </c>
      <c r="Y466" s="51">
        <v>44391.599108796298</v>
      </c>
      <c r="Z466" s="72">
        <f>tabPontoPed[CÁLC_4M] - tabPontoPed[CÁLCULO]</f>
        <v>127</v>
      </c>
      <c r="AA466" s="79" t="str">
        <f>IF(tabPontoPed[MENSAL]-tabPontoPed[ATA MENSAL] = 0,"sim","")</f>
        <v>sim</v>
      </c>
      <c r="AB466" s="79" t="s">
        <v>1614</v>
      </c>
      <c r="AC466" s="47" t="str">
        <f t="shared" si="7"/>
        <v>*</v>
      </c>
    </row>
    <row r="467" spans="1:29" x14ac:dyDescent="0.25">
      <c r="A467" s="36">
        <v>11264</v>
      </c>
      <c r="B467" s="68" t="s">
        <v>459</v>
      </c>
      <c r="C467" s="33" t="s">
        <v>1317</v>
      </c>
      <c r="D467" s="32">
        <v>45</v>
      </c>
      <c r="E467" s="37">
        <v>12</v>
      </c>
      <c r="F467" s="38" t="str">
        <f>VLOOKUP(tabPontoPed[[#This Row],[GRUPO]],tabGrupos[#Data],2,FALSE)</f>
        <v>MAQ., EQUIP., COMP., ACES., MAT. PARA ESCRIT.E ESCOLAR</v>
      </c>
      <c r="G467" s="32" t="str">
        <f>VLOOKUP(tabPontoPed[[#This Row],[GRUPO]],tabGrupos[#Data],3,FALSE)</f>
        <v>EDU</v>
      </c>
      <c r="H467" s="33" t="s">
        <v>1311</v>
      </c>
      <c r="I467" s="80">
        <v>4</v>
      </c>
      <c r="J467" s="39">
        <v>36</v>
      </c>
      <c r="K467" s="41">
        <f>tabPontoPed[[#This Row],[QTDMÊS]] * tabPontoPed[[#This Row],[MENSAL]]</f>
        <v>144</v>
      </c>
      <c r="L467" s="83"/>
      <c r="M467" s="81"/>
      <c r="N467" s="34" t="s">
        <v>1009</v>
      </c>
      <c r="O467" s="76"/>
      <c r="P467" s="77">
        <v>0</v>
      </c>
      <c r="Q467" s="57">
        <v>23</v>
      </c>
      <c r="R467" s="42">
        <v>23</v>
      </c>
      <c r="S467" s="69" t="str">
        <f>_xlfn.IFNA(IF(VLOOKUP(tabPontoPed[[#This Row],[CÓDIGO]],tabExcluirDoEstoque[#Data],1,FALSE),"sim",""),"")</f>
        <v/>
      </c>
      <c r="T467" s="43">
        <f>IF(AND(tabPontoPed[[#This Row],[MENSAL]]&gt;0,tabPontoPed[[#This Row],[CÁLCULO]]&gt;0), ABS( tabPontoPed[[#This Row],[MENSAL]] - tabPontoPed[[#This Row],[CÁLCULO]] ) / tabPontoPed[[#This Row],[MENSAL]], -1 )</f>
        <v>0.3611111111111111</v>
      </c>
      <c r="U467" s="58">
        <v>42</v>
      </c>
      <c r="V467" s="35">
        <f>IF(AND(tabPontoPed[[#This Row],[MENSAL]]&gt;0,tabPontoPed[[#This Row],[CÁLCULO]]&gt;0), IF( tabPontoPed[[#This Row],[MENSAL]] - tabPontoPed[[#This Row],[CÁLCULO]] &lt; 0, -1, IF( tabPontoPed[[#This Row],[MENSAL]] - tabPontoPed[[#This Row],[CÁLCULO]] &gt; 0, 1, -8)), -9 )</f>
        <v>1</v>
      </c>
      <c r="W467" s="35"/>
      <c r="X467" s="49" t="s">
        <v>1564</v>
      </c>
      <c r="Y467" s="51">
        <v>44391.599108796298</v>
      </c>
      <c r="Z467" s="72">
        <f>tabPontoPed[CÁLC_4M] - tabPontoPed[CÁLCULO]</f>
        <v>0</v>
      </c>
      <c r="AA467" s="79" t="str">
        <f>IF(tabPontoPed[MENSAL]-tabPontoPed[ATA MENSAL] = 0,"sim","")</f>
        <v/>
      </c>
      <c r="AB467" s="79"/>
      <c r="AC467" s="47" t="str">
        <f t="shared" si="7"/>
        <v>*</v>
      </c>
    </row>
    <row r="468" spans="1:29" x14ac:dyDescent="0.25">
      <c r="A468" s="36">
        <v>112163</v>
      </c>
      <c r="B468" s="68" t="s">
        <v>17</v>
      </c>
      <c r="C468" s="33" t="s">
        <v>1317</v>
      </c>
      <c r="D468" s="32">
        <v>55</v>
      </c>
      <c r="E468" s="37">
        <v>7</v>
      </c>
      <c r="F468" s="38" t="str">
        <f>VLOOKUP(tabPontoPed[[#This Row],[GRUPO]],tabGrupos[#Data],2,FALSE)</f>
        <v>EQUIP. MAT. P/ GERACAO, TRANSM. DISTR. RETIF...</v>
      </c>
      <c r="G468" s="32" t="str">
        <f>VLOOKUP(tabPontoPed[[#This Row],[GRUPO]],tabGrupos[#Data],3,FALSE)</f>
        <v>MEL</v>
      </c>
      <c r="H468" s="33" t="s">
        <v>1311</v>
      </c>
      <c r="I468" s="80">
        <v>4</v>
      </c>
      <c r="J468" s="39">
        <v>61</v>
      </c>
      <c r="K468" s="41">
        <f>tabPontoPed[[#This Row],[QTDMÊS]] * tabPontoPed[[#This Row],[MENSAL]]</f>
        <v>244</v>
      </c>
      <c r="L468" s="83"/>
      <c r="M468" s="81"/>
      <c r="N468" s="34" t="s">
        <v>1009</v>
      </c>
      <c r="O468" s="76" t="s">
        <v>1676</v>
      </c>
      <c r="P468" s="77">
        <v>0</v>
      </c>
      <c r="Q468" s="57">
        <v>64</v>
      </c>
      <c r="R468" s="42">
        <v>39</v>
      </c>
      <c r="S468" s="69" t="str">
        <f>_xlfn.IFNA(IF(VLOOKUP(tabPontoPed[[#This Row],[CÓDIGO]],tabExcluirDoEstoque[#Data],1,FALSE),"sim",""),"")</f>
        <v/>
      </c>
      <c r="T468" s="43">
        <f>IF(AND(tabPontoPed[[#This Row],[MENSAL]]&gt;0,tabPontoPed[[#This Row],[CÁLCULO]]&gt;0), ABS( tabPontoPed[[#This Row],[MENSAL]] - tabPontoPed[[#This Row],[CÁLCULO]] ) / tabPontoPed[[#This Row],[MENSAL]], -1 )</f>
        <v>0.36065573770491804</v>
      </c>
      <c r="U468" s="58">
        <v>95</v>
      </c>
      <c r="V468" s="35">
        <f>IF(AND(tabPontoPed[[#This Row],[MENSAL]]&gt;0,tabPontoPed[[#This Row],[CÁLCULO]]&gt;0), IF( tabPontoPed[[#This Row],[MENSAL]] - tabPontoPed[[#This Row],[CÁLCULO]] &lt; 0, -1, IF( tabPontoPed[[#This Row],[MENSAL]] - tabPontoPed[[#This Row],[CÁLCULO]] &gt; 0, 1, -8)), -9 )</f>
        <v>1</v>
      </c>
      <c r="W468" s="35"/>
      <c r="X468" s="48" t="s">
        <v>1564</v>
      </c>
      <c r="Y468" s="53">
        <v>44391.599108796298</v>
      </c>
      <c r="Z468" s="72">
        <f>tabPontoPed[CÁLC_4M] - tabPontoPed[CÁLCULO]</f>
        <v>25</v>
      </c>
      <c r="AA468" s="79" t="str">
        <f>IF(tabPontoPed[MENSAL]-tabPontoPed[ATA MENSAL] = 0,"sim","")</f>
        <v/>
      </c>
      <c r="AB468" s="79"/>
      <c r="AC468" s="47" t="str">
        <f t="shared" si="7"/>
        <v>*</v>
      </c>
    </row>
    <row r="469" spans="1:29" x14ac:dyDescent="0.25">
      <c r="A469" s="36">
        <v>134246</v>
      </c>
      <c r="B469" s="68" t="s">
        <v>388</v>
      </c>
      <c r="C469" s="33" t="s">
        <v>1317</v>
      </c>
      <c r="D469" s="32">
        <v>51</v>
      </c>
      <c r="E469" s="37">
        <v>2</v>
      </c>
      <c r="F469" s="38" t="str">
        <f>VLOOKUP(tabPontoPed[[#This Row],[GRUPO]],tabGrupos[#Data],2,FALSE)</f>
        <v>MAT.E EQUIP. P/ CONSTR.CIVIL E CONSERV. DE VIAS PUBL.</v>
      </c>
      <c r="G469" s="32" t="str">
        <f>VLOOKUP(tabPontoPed[[#This Row],[GRUPO]],tabGrupos[#Data],3,FALSE)</f>
        <v>MCO</v>
      </c>
      <c r="H469" s="33" t="s">
        <v>1321</v>
      </c>
      <c r="I469" s="80">
        <v>3</v>
      </c>
      <c r="J469" s="39">
        <v>111</v>
      </c>
      <c r="K469" s="41">
        <f>tabPontoPed[[#This Row],[QTDMÊS]] * tabPontoPed[[#This Row],[MENSAL]]</f>
        <v>333</v>
      </c>
      <c r="L469" s="83"/>
      <c r="M469" s="81"/>
      <c r="N469" s="34" t="s">
        <v>1009</v>
      </c>
      <c r="O469" s="76" t="s">
        <v>1760</v>
      </c>
      <c r="P469" s="77">
        <v>0</v>
      </c>
      <c r="Q469" s="57">
        <v>64</v>
      </c>
      <c r="R469" s="42">
        <v>71</v>
      </c>
      <c r="S469" s="69" t="str">
        <f>_xlfn.IFNA(IF(VLOOKUP(tabPontoPed[[#This Row],[CÓDIGO]],tabExcluirDoEstoque[#Data],1,FALSE),"sim",""),"")</f>
        <v/>
      </c>
      <c r="T469" s="43">
        <f>IF(AND(tabPontoPed[[#This Row],[MENSAL]]&gt;0,tabPontoPed[[#This Row],[CÁLCULO]]&gt;0), ABS( tabPontoPed[[#This Row],[MENSAL]] - tabPontoPed[[#This Row],[CÁLCULO]] ) / tabPontoPed[[#This Row],[MENSAL]], -1 )</f>
        <v>0.36036036036036034</v>
      </c>
      <c r="U469" s="58">
        <v>90.87</v>
      </c>
      <c r="V469" s="35">
        <f>IF(AND(tabPontoPed[[#This Row],[MENSAL]]&gt;0,tabPontoPed[[#This Row],[CÁLCULO]]&gt;0), IF( tabPontoPed[[#This Row],[MENSAL]] - tabPontoPed[[#This Row],[CÁLCULO]] &lt; 0, -1, IF( tabPontoPed[[#This Row],[MENSAL]] - tabPontoPed[[#This Row],[CÁLCULO]] &gt; 0, 1, -8)), -9 )</f>
        <v>1</v>
      </c>
      <c r="W469" s="35"/>
      <c r="X469" s="48" t="s">
        <v>1450</v>
      </c>
      <c r="Y469" s="53">
        <v>43892.576898148145</v>
      </c>
      <c r="Z469" s="72">
        <f>tabPontoPed[CÁLC_4M] - tabPontoPed[CÁLCULO]</f>
        <v>-7</v>
      </c>
      <c r="AA469" s="79" t="str">
        <f>IF(tabPontoPed[MENSAL]-tabPontoPed[ATA MENSAL] = 0,"sim","")</f>
        <v/>
      </c>
      <c r="AB469" s="79"/>
      <c r="AC469" s="47" t="str">
        <f t="shared" si="7"/>
        <v>*</v>
      </c>
    </row>
    <row r="470" spans="1:29" x14ac:dyDescent="0.25">
      <c r="A470" s="36">
        <v>136083</v>
      </c>
      <c r="B470" s="68" t="s">
        <v>678</v>
      </c>
      <c r="C470" s="33" t="s">
        <v>1317</v>
      </c>
      <c r="D470" s="32">
        <v>55</v>
      </c>
      <c r="E470" s="37">
        <v>37</v>
      </c>
      <c r="F470" s="38" t="str">
        <f>VLOOKUP(tabPontoPed[[#This Row],[GRUPO]],tabGrupos[#Data],2,FALSE)</f>
        <v>EQUIP. MAT. P/ GERACAO, TRANSM. DISTR. RETIF...</v>
      </c>
      <c r="G470" s="32" t="str">
        <f>VLOOKUP(tabPontoPed[[#This Row],[GRUPO]],tabGrupos[#Data],3,FALSE)</f>
        <v>MEL</v>
      </c>
      <c r="H470" s="33" t="s">
        <v>1311</v>
      </c>
      <c r="I470" s="80">
        <v>4</v>
      </c>
      <c r="J470" s="39">
        <v>25</v>
      </c>
      <c r="K470" s="41">
        <f>tabPontoPed[[#This Row],[QTDMÊS]] * tabPontoPed[[#This Row],[MENSAL]]</f>
        <v>100</v>
      </c>
      <c r="L470" s="83"/>
      <c r="M470" s="81"/>
      <c r="N470" s="34" t="s">
        <v>1009</v>
      </c>
      <c r="O470" s="76" t="s">
        <v>1715</v>
      </c>
      <c r="P470" s="77">
        <v>0</v>
      </c>
      <c r="Q470" s="57">
        <v>10</v>
      </c>
      <c r="R470" s="42">
        <v>16</v>
      </c>
      <c r="S470" s="69" t="str">
        <f>_xlfn.IFNA(IF(VLOOKUP(tabPontoPed[[#This Row],[CÓDIGO]],tabExcluirDoEstoque[#Data],1,FALSE),"sim",""),"")</f>
        <v/>
      </c>
      <c r="T470" s="43">
        <f>IF(AND(tabPontoPed[[#This Row],[MENSAL]]&gt;0,tabPontoPed[[#This Row],[CÁLCULO]]&gt;0), ABS( tabPontoPed[[#This Row],[MENSAL]] - tabPontoPed[[#This Row],[CÁLCULO]] ) / tabPontoPed[[#This Row],[MENSAL]], -1 )</f>
        <v>0.36</v>
      </c>
      <c r="U470" s="58">
        <v>100</v>
      </c>
      <c r="V470" s="35">
        <f>IF(AND(tabPontoPed[[#This Row],[MENSAL]]&gt;0,tabPontoPed[[#This Row],[CÁLCULO]]&gt;0), IF( tabPontoPed[[#This Row],[MENSAL]] - tabPontoPed[[#This Row],[CÁLCULO]] &lt; 0, -1, IF( tabPontoPed[[#This Row],[MENSAL]] - tabPontoPed[[#This Row],[CÁLCULO]] &gt; 0, 1, -8)), -9 )</f>
        <v>1</v>
      </c>
      <c r="W470" s="35"/>
      <c r="X470" s="49" t="s">
        <v>1564</v>
      </c>
      <c r="Y470" s="51">
        <v>44391.599108796298</v>
      </c>
      <c r="Z470" s="72">
        <f>tabPontoPed[CÁLC_4M] - tabPontoPed[CÁLCULO]</f>
        <v>-6</v>
      </c>
      <c r="AA470" s="79" t="str">
        <f>IF(tabPontoPed[MENSAL]-tabPontoPed[ATA MENSAL] = 0,"sim","")</f>
        <v/>
      </c>
      <c r="AB470" s="79" t="s">
        <v>1614</v>
      </c>
      <c r="AC470" s="47" t="str">
        <f t="shared" si="7"/>
        <v>*</v>
      </c>
    </row>
    <row r="471" spans="1:29" x14ac:dyDescent="0.25">
      <c r="A471" s="36">
        <v>138055</v>
      </c>
      <c r="B471" s="68" t="s">
        <v>1494</v>
      </c>
      <c r="C471" s="33">
        <v>1</v>
      </c>
      <c r="D471" s="32">
        <v>61</v>
      </c>
      <c r="E471" s="37">
        <v>11</v>
      </c>
      <c r="F471" s="38" t="str">
        <f>VLOOKUP(tabPontoPed[[#This Row],[GRUPO]],tabGrupos[#Data],2,FALSE)</f>
        <v>MATERIAL HIDRAULICO, CANOS, TUBOS, MANGUEIRAS, CONEXOES E ACESS.</v>
      </c>
      <c r="G471" s="32" t="str">
        <f>VLOOKUP(tabPontoPed[[#This Row],[GRUPO]],tabGrupos[#Data],3,FALSE)</f>
        <v>MHI</v>
      </c>
      <c r="H471" s="33" t="s">
        <v>1311</v>
      </c>
      <c r="I471" s="80">
        <v>4</v>
      </c>
      <c r="J471" s="39">
        <v>50</v>
      </c>
      <c r="K471" s="41">
        <f>tabPontoPed[[#This Row],[QTDMÊS]] * tabPontoPed[[#This Row],[MENSAL]]</f>
        <v>200</v>
      </c>
      <c r="L471" s="83"/>
      <c r="M471" s="81"/>
      <c r="N471" s="34" t="s">
        <v>1009</v>
      </c>
      <c r="O471" s="76" t="s">
        <v>1678</v>
      </c>
      <c r="P471" s="77">
        <v>0</v>
      </c>
      <c r="Q471" s="57">
        <v>30</v>
      </c>
      <c r="R471" s="42">
        <v>32</v>
      </c>
      <c r="S471" s="69" t="str">
        <f>_xlfn.IFNA(IF(VLOOKUP(tabPontoPed[[#This Row],[CÓDIGO]],tabExcluirDoEstoque[#Data],1,FALSE),"sim",""),"")</f>
        <v/>
      </c>
      <c r="T471" s="43">
        <f>IF(AND(tabPontoPed[[#This Row],[MENSAL]]&gt;0,tabPontoPed[[#This Row],[CÁLCULO]]&gt;0), ABS( tabPontoPed[[#This Row],[MENSAL]] - tabPontoPed[[#This Row],[CÁLCULO]] ) / tabPontoPed[[#This Row],[MENSAL]], -1 )</f>
        <v>0.36</v>
      </c>
      <c r="U471" s="58">
        <v>72</v>
      </c>
      <c r="V471" s="35">
        <f>IF(AND(tabPontoPed[[#This Row],[MENSAL]]&gt;0,tabPontoPed[[#This Row],[CÁLCULO]]&gt;0), IF( tabPontoPed[[#This Row],[MENSAL]] - tabPontoPed[[#This Row],[CÁLCULO]] &lt; 0, -1, IF( tabPontoPed[[#This Row],[MENSAL]] - tabPontoPed[[#This Row],[CÁLCULO]] &gt; 0, 1, -8)), -9 )</f>
        <v>1</v>
      </c>
      <c r="W471" s="35"/>
      <c r="X471" s="49" t="s">
        <v>1564</v>
      </c>
      <c r="Y471" s="51">
        <v>44391.599108796298</v>
      </c>
      <c r="Z471" s="72">
        <f>tabPontoPed[CÁLC_4M] - tabPontoPed[CÁLCULO]</f>
        <v>-2</v>
      </c>
      <c r="AA471" s="79" t="str">
        <f>IF(tabPontoPed[MENSAL]-tabPontoPed[ATA MENSAL] = 0,"sim","")</f>
        <v/>
      </c>
      <c r="AB471" s="79" t="s">
        <v>1614</v>
      </c>
      <c r="AC471" s="47" t="str">
        <f t="shared" si="7"/>
        <v>*</v>
      </c>
    </row>
    <row r="472" spans="1:29" x14ac:dyDescent="0.25">
      <c r="A472" s="36">
        <v>91811</v>
      </c>
      <c r="B472" s="68" t="s">
        <v>190</v>
      </c>
      <c r="C472" s="33" t="s">
        <v>1317</v>
      </c>
      <c r="D472" s="32">
        <v>72</v>
      </c>
      <c r="E472" s="37">
        <v>5</v>
      </c>
      <c r="F472" s="38" t="str">
        <f>VLOOKUP(tabPontoPed[[#This Row],[GRUPO]],tabGrupos[#Data],2,FALSE)</f>
        <v>MAQ.EQUIP.E MATERIAIS P/ HIGIEN.LIMP.POLIM.E LUBR.</v>
      </c>
      <c r="G472" s="32" t="str">
        <f>VLOOKUP(tabPontoPed[[#This Row],[GRUPO]],tabGrupos[#Data],3,FALSE)</f>
        <v>ADM</v>
      </c>
      <c r="H472" s="33" t="s">
        <v>1311</v>
      </c>
      <c r="I472" s="80">
        <v>4</v>
      </c>
      <c r="J472" s="39">
        <v>14</v>
      </c>
      <c r="K472" s="41">
        <f>tabPontoPed[[#This Row],[QTDMÊS]] * tabPontoPed[[#This Row],[MENSAL]]</f>
        <v>56</v>
      </c>
      <c r="L472" s="83"/>
      <c r="M472" s="81"/>
      <c r="N472" s="34" t="s">
        <v>1009</v>
      </c>
      <c r="O472" s="76" t="s">
        <v>1728</v>
      </c>
      <c r="P472" s="77">
        <v>0</v>
      </c>
      <c r="Q472" s="57">
        <v>10</v>
      </c>
      <c r="R472" s="42">
        <v>9</v>
      </c>
      <c r="S472" s="69" t="str">
        <f>_xlfn.IFNA(IF(VLOOKUP(tabPontoPed[[#This Row],[CÓDIGO]],tabExcluirDoEstoque[#Data],1,FALSE),"sim",""),"")</f>
        <v>sim</v>
      </c>
      <c r="T472" s="43">
        <f>IF(AND(tabPontoPed[[#This Row],[MENSAL]]&gt;0,tabPontoPed[[#This Row],[CÁLCULO]]&gt;0), ABS( tabPontoPed[[#This Row],[MENSAL]] - tabPontoPed[[#This Row],[CÁLCULO]] ) / tabPontoPed[[#This Row],[MENSAL]], -1 )</f>
        <v>0.35714285714285715</v>
      </c>
      <c r="U472" s="58">
        <v>15</v>
      </c>
      <c r="V472" s="35">
        <f>IF(AND(tabPontoPed[[#This Row],[MENSAL]]&gt;0,tabPontoPed[[#This Row],[CÁLCULO]]&gt;0), IF( tabPontoPed[[#This Row],[MENSAL]] - tabPontoPed[[#This Row],[CÁLCULO]] &lt; 0, -1, IF( tabPontoPed[[#This Row],[MENSAL]] - tabPontoPed[[#This Row],[CÁLCULO]] &gt; 0, 1, -8)), -9 )</f>
        <v>1</v>
      </c>
      <c r="W472" s="35"/>
      <c r="X472" s="49" t="s">
        <v>1564</v>
      </c>
      <c r="Y472" s="51">
        <v>44391.599108796298</v>
      </c>
      <c r="Z472" s="72">
        <f>tabPontoPed[CÁLC_4M] - tabPontoPed[CÁLCULO]</f>
        <v>1</v>
      </c>
      <c r="AA472" s="79" t="str">
        <f>IF(tabPontoPed[MENSAL]-tabPontoPed[ATA MENSAL] = 0,"sim","")</f>
        <v/>
      </c>
      <c r="AB472" s="79"/>
      <c r="AC472" s="47" t="str">
        <f t="shared" si="7"/>
        <v>*</v>
      </c>
    </row>
    <row r="473" spans="1:29" x14ac:dyDescent="0.25">
      <c r="A473" s="36">
        <v>134247</v>
      </c>
      <c r="B473" s="68" t="s">
        <v>272</v>
      </c>
      <c r="C473" s="33" t="s">
        <v>1317</v>
      </c>
      <c r="D473" s="32">
        <v>51</v>
      </c>
      <c r="E473" s="37">
        <v>2</v>
      </c>
      <c r="F473" s="38" t="str">
        <f>VLOOKUP(tabPontoPed[[#This Row],[GRUPO]],tabGrupos[#Data],2,FALSE)</f>
        <v>MAT.E EQUIP. P/ CONSTR.CIVIL E CONSERV. DE VIAS PUBL.</v>
      </c>
      <c r="G473" s="32" t="str">
        <f>VLOOKUP(tabPontoPed[[#This Row],[GRUPO]],tabGrupos[#Data],3,FALSE)</f>
        <v>MCO</v>
      </c>
      <c r="H473" s="33" t="s">
        <v>1321</v>
      </c>
      <c r="I473" s="80">
        <v>3</v>
      </c>
      <c r="J473" s="39">
        <v>42</v>
      </c>
      <c r="K473" s="41">
        <f>tabPontoPed[[#This Row],[QTDMÊS]] * tabPontoPed[[#This Row],[MENSAL]]</f>
        <v>126</v>
      </c>
      <c r="L473" s="83"/>
      <c r="M473" s="81"/>
      <c r="N473" s="34" t="s">
        <v>1009</v>
      </c>
      <c r="O473" s="76" t="s">
        <v>1761</v>
      </c>
      <c r="P473" s="77">
        <v>0</v>
      </c>
      <c r="Q473" s="57">
        <v>33</v>
      </c>
      <c r="R473" s="42">
        <v>27</v>
      </c>
      <c r="S473" s="69" t="str">
        <f>_xlfn.IFNA(IF(VLOOKUP(tabPontoPed[[#This Row],[CÓDIGO]],tabExcluirDoEstoque[#Data],1,FALSE),"sim",""),"")</f>
        <v/>
      </c>
      <c r="T473" s="43">
        <f>IF(AND(tabPontoPed[[#This Row],[MENSAL]]&gt;0,tabPontoPed[[#This Row],[CÁLCULO]]&gt;0), ABS( tabPontoPed[[#This Row],[MENSAL]] - tabPontoPed[[#This Row],[CÁLCULO]] ) / tabPontoPed[[#This Row],[MENSAL]], -1 )</f>
        <v>0.35714285714285715</v>
      </c>
      <c r="U473" s="58">
        <v>39</v>
      </c>
      <c r="V473" s="35">
        <f>IF(AND(tabPontoPed[[#This Row],[MENSAL]]&gt;0,tabPontoPed[[#This Row],[CÁLCULO]]&gt;0), IF( tabPontoPed[[#This Row],[MENSAL]] - tabPontoPed[[#This Row],[CÁLCULO]] &lt; 0, -1, IF( tabPontoPed[[#This Row],[MENSAL]] - tabPontoPed[[#This Row],[CÁLCULO]] &gt; 0, 1, -8)), -9 )</f>
        <v>1</v>
      </c>
      <c r="W473" s="35"/>
      <c r="X473" s="48" t="s">
        <v>1450</v>
      </c>
      <c r="Y473" s="53">
        <v>43892.580972222226</v>
      </c>
      <c r="Z473" s="72">
        <f>tabPontoPed[CÁLC_4M] - tabPontoPed[CÁLCULO]</f>
        <v>6</v>
      </c>
      <c r="AA473" s="79" t="str">
        <f>IF(tabPontoPed[MENSAL]-tabPontoPed[ATA MENSAL] = 0,"sim","")</f>
        <v/>
      </c>
      <c r="AB473" s="79"/>
      <c r="AC473" s="47" t="str">
        <f t="shared" si="7"/>
        <v>*</v>
      </c>
    </row>
    <row r="474" spans="1:29" x14ac:dyDescent="0.25">
      <c r="A474" s="36">
        <v>15436</v>
      </c>
      <c r="B474" s="68" t="s">
        <v>148</v>
      </c>
      <c r="C474" s="33" t="s">
        <v>1317</v>
      </c>
      <c r="D474" s="32">
        <v>51</v>
      </c>
      <c r="E474" s="37">
        <v>9</v>
      </c>
      <c r="F474" s="38" t="str">
        <f>VLOOKUP(tabPontoPed[[#This Row],[GRUPO]],tabGrupos[#Data],2,FALSE)</f>
        <v>MAT.E EQUIP. P/ CONSTR.CIVIL E CONSERV. DE VIAS PUBL.</v>
      </c>
      <c r="G474" s="32" t="str">
        <f>VLOOKUP(tabPontoPed[[#This Row],[GRUPO]],tabGrupos[#Data],3,FALSE)</f>
        <v>MCO</v>
      </c>
      <c r="H474" s="33" t="s">
        <v>1311</v>
      </c>
      <c r="I474" s="80">
        <v>4</v>
      </c>
      <c r="J474" s="39">
        <v>56</v>
      </c>
      <c r="K474" s="41">
        <f>tabPontoPed[[#This Row],[QTDMÊS]] * tabPontoPed[[#This Row],[MENSAL]]</f>
        <v>224</v>
      </c>
      <c r="L474" s="83"/>
      <c r="M474" s="81"/>
      <c r="N474" s="34" t="s">
        <v>1009</v>
      </c>
      <c r="O474" s="76" t="s">
        <v>1695</v>
      </c>
      <c r="P474" s="77">
        <v>0</v>
      </c>
      <c r="Q474" s="57">
        <v>27</v>
      </c>
      <c r="R474" s="42">
        <v>36</v>
      </c>
      <c r="S474" s="69" t="str">
        <f>_xlfn.IFNA(IF(VLOOKUP(tabPontoPed[[#This Row],[CÓDIGO]],tabExcluirDoEstoque[#Data],1,FALSE),"sim",""),"")</f>
        <v/>
      </c>
      <c r="T474" s="43">
        <f>IF(AND(tabPontoPed[[#This Row],[MENSAL]]&gt;0,tabPontoPed[[#This Row],[CÁLCULO]]&gt;0), ABS( tabPontoPed[[#This Row],[MENSAL]] - tabPontoPed[[#This Row],[CÁLCULO]] ) / tabPontoPed[[#This Row],[MENSAL]], -1 )</f>
        <v>0.35714285714285715</v>
      </c>
      <c r="U474" s="58">
        <v>65</v>
      </c>
      <c r="V474" s="35">
        <f>IF(AND(tabPontoPed[[#This Row],[MENSAL]]&gt;0,tabPontoPed[[#This Row],[CÁLCULO]]&gt;0), IF( tabPontoPed[[#This Row],[MENSAL]] - tabPontoPed[[#This Row],[CÁLCULO]] &lt; 0, -1, IF( tabPontoPed[[#This Row],[MENSAL]] - tabPontoPed[[#This Row],[CÁLCULO]] &gt; 0, 1, -8)), -9 )</f>
        <v>1</v>
      </c>
      <c r="W474" s="35"/>
      <c r="X474" s="49" t="s">
        <v>1564</v>
      </c>
      <c r="Y474" s="51">
        <v>44391.599108796298</v>
      </c>
      <c r="Z474" s="72">
        <f>tabPontoPed[CÁLC_4M] - tabPontoPed[CÁLCULO]</f>
        <v>-9</v>
      </c>
      <c r="AA474" s="79" t="str">
        <f>IF(tabPontoPed[MENSAL]-tabPontoPed[ATA MENSAL] = 0,"sim","")</f>
        <v/>
      </c>
      <c r="AB474" s="79"/>
      <c r="AC474" s="47" t="str">
        <f t="shared" si="7"/>
        <v>*</v>
      </c>
    </row>
    <row r="475" spans="1:29" x14ac:dyDescent="0.25">
      <c r="A475" s="36">
        <v>77554</v>
      </c>
      <c r="B475" s="68" t="s">
        <v>219</v>
      </c>
      <c r="C475" s="33" t="s">
        <v>1317</v>
      </c>
      <c r="D475" s="32">
        <v>74</v>
      </c>
      <c r="E475" s="37">
        <v>3</v>
      </c>
      <c r="F475" s="38" t="str">
        <f>VLOOKUP(tabPontoPed[[#This Row],[GRUPO]],tabGrupos[#Data],2,FALSE)</f>
        <v>MADEIRAS,LAMINADOS,COMPENSADOS E AGLOMERADOS</v>
      </c>
      <c r="G475" s="32" t="str">
        <f>VLOOKUP(tabPontoPed[[#This Row],[GRUPO]],tabGrupos[#Data],3,FALSE)</f>
        <v>MCO</v>
      </c>
      <c r="H475" s="33" t="s">
        <v>1311</v>
      </c>
      <c r="I475" s="80">
        <v>4</v>
      </c>
      <c r="J475" s="39">
        <v>14</v>
      </c>
      <c r="K475" s="41">
        <f>tabPontoPed[[#This Row],[QTDMÊS]] * tabPontoPed[[#This Row],[MENSAL]]</f>
        <v>56</v>
      </c>
      <c r="L475" s="83"/>
      <c r="M475" s="81"/>
      <c r="N475" s="34" t="s">
        <v>1009</v>
      </c>
      <c r="O475" s="76" t="s">
        <v>1669</v>
      </c>
      <c r="P475" s="77">
        <v>0</v>
      </c>
      <c r="Q475" s="57">
        <v>0</v>
      </c>
      <c r="R475" s="42">
        <v>9</v>
      </c>
      <c r="S475" s="69" t="str">
        <f>_xlfn.IFNA(IF(VLOOKUP(tabPontoPed[[#This Row],[CÓDIGO]],tabExcluirDoEstoque[#Data],1,FALSE),"sim",""),"")</f>
        <v/>
      </c>
      <c r="T475" s="43">
        <f>IF(AND(tabPontoPed[[#This Row],[MENSAL]]&gt;0,tabPontoPed[[#This Row],[CÁLCULO]]&gt;0), ABS( tabPontoPed[[#This Row],[MENSAL]] - tabPontoPed[[#This Row],[CÁLCULO]] ) / tabPontoPed[[#This Row],[MENSAL]], -1 )</f>
        <v>0.35714285714285715</v>
      </c>
      <c r="U475" s="58">
        <v>40</v>
      </c>
      <c r="V475" s="35">
        <f>IF(AND(tabPontoPed[[#This Row],[MENSAL]]&gt;0,tabPontoPed[[#This Row],[CÁLCULO]]&gt;0), IF( tabPontoPed[[#This Row],[MENSAL]] - tabPontoPed[[#This Row],[CÁLCULO]] &lt; 0, -1, IF( tabPontoPed[[#This Row],[MENSAL]] - tabPontoPed[[#This Row],[CÁLCULO]] &gt; 0, 1, -8)), -9 )</f>
        <v>1</v>
      </c>
      <c r="W475" s="35"/>
      <c r="X475" s="48" t="s">
        <v>1564</v>
      </c>
      <c r="Y475" s="53">
        <v>44391.599108796298</v>
      </c>
      <c r="Z475" s="72">
        <f>tabPontoPed[CÁLC_4M] - tabPontoPed[CÁLCULO]</f>
        <v>-9</v>
      </c>
      <c r="AA475" s="79" t="str">
        <f>IF(tabPontoPed[MENSAL]-tabPontoPed[ATA MENSAL] = 0,"sim","")</f>
        <v/>
      </c>
      <c r="AB475" s="79"/>
      <c r="AC475" s="47" t="str">
        <f t="shared" si="7"/>
        <v>*</v>
      </c>
    </row>
    <row r="476" spans="1:29" x14ac:dyDescent="0.25">
      <c r="A476" s="36">
        <v>115807</v>
      </c>
      <c r="B476" s="68" t="s">
        <v>876</v>
      </c>
      <c r="C476" s="33" t="s">
        <v>1317</v>
      </c>
      <c r="D476" s="32">
        <v>69</v>
      </c>
      <c r="E476" s="37">
        <v>1</v>
      </c>
      <c r="F476" s="38" t="str">
        <f>VLOOKUP(tabPontoPed[[#This Row],[GRUPO]],tabGrupos[#Data],2,FALSE)</f>
        <v>METAIS,LAMINAD.,PERFILADOS E ARTEFATOS METALICOS</v>
      </c>
      <c r="G476" s="32" t="str">
        <f>VLOOKUP(tabPontoPed[[#This Row],[GRUPO]],tabGrupos[#Data],3,FALSE)</f>
        <v>MSE</v>
      </c>
      <c r="H476" s="33" t="s">
        <v>1311</v>
      </c>
      <c r="I476" s="80">
        <v>4</v>
      </c>
      <c r="J476" s="39">
        <v>42</v>
      </c>
      <c r="K476" s="41">
        <f>tabPontoPed[[#This Row],[QTDMÊS]] * tabPontoPed[[#This Row],[MENSAL]]</f>
        <v>168</v>
      </c>
      <c r="L476" s="83"/>
      <c r="M476" s="81"/>
      <c r="N476" s="34" t="s">
        <v>1009</v>
      </c>
      <c r="O476" s="76" t="s">
        <v>1704</v>
      </c>
      <c r="P476" s="77">
        <v>0</v>
      </c>
      <c r="Q476" s="57">
        <v>35</v>
      </c>
      <c r="R476" s="42">
        <v>27</v>
      </c>
      <c r="S476" s="69" t="str">
        <f>_xlfn.IFNA(IF(VLOOKUP(tabPontoPed[[#This Row],[CÓDIGO]],tabExcluirDoEstoque[#Data],1,FALSE),"sim",""),"")</f>
        <v/>
      </c>
      <c r="T476" s="43">
        <f>IF(AND(tabPontoPed[[#This Row],[MENSAL]]&gt;0,tabPontoPed[[#This Row],[CÁLCULO]]&gt;0), ABS( tabPontoPed[[#This Row],[MENSAL]] - tabPontoPed[[#This Row],[CÁLCULO]] ) / tabPontoPed[[#This Row],[MENSAL]], -1 )</f>
        <v>0.35714285714285715</v>
      </c>
      <c r="U476" s="58">
        <v>80</v>
      </c>
      <c r="V476" s="35">
        <f>IF(AND(tabPontoPed[[#This Row],[MENSAL]]&gt;0,tabPontoPed[[#This Row],[CÁLCULO]]&gt;0), IF( tabPontoPed[[#This Row],[MENSAL]] - tabPontoPed[[#This Row],[CÁLCULO]] &lt; 0, -1, IF( tabPontoPed[[#This Row],[MENSAL]] - tabPontoPed[[#This Row],[CÁLCULO]] &gt; 0, 1, -8)), -9 )</f>
        <v>1</v>
      </c>
      <c r="W476" s="35"/>
      <c r="X476" s="49" t="s">
        <v>1564</v>
      </c>
      <c r="Y476" s="51">
        <v>44391.599108796298</v>
      </c>
      <c r="Z476" s="72">
        <f>tabPontoPed[CÁLC_4M] - tabPontoPed[CÁLCULO]</f>
        <v>8</v>
      </c>
      <c r="AA476" s="79" t="str">
        <f>IF(tabPontoPed[MENSAL]-tabPontoPed[ATA MENSAL] = 0,"sim","")</f>
        <v/>
      </c>
      <c r="AB476" s="79" t="s">
        <v>1614</v>
      </c>
      <c r="AC476" s="47" t="str">
        <f t="shared" si="7"/>
        <v>*</v>
      </c>
    </row>
    <row r="477" spans="1:29" x14ac:dyDescent="0.25">
      <c r="A477" s="36">
        <v>133021</v>
      </c>
      <c r="B477" s="68" t="s">
        <v>1293</v>
      </c>
      <c r="C477" s="33" t="s">
        <v>1317</v>
      </c>
      <c r="D477" s="32">
        <v>72</v>
      </c>
      <c r="E477" s="37">
        <v>7</v>
      </c>
      <c r="F477" s="38" t="str">
        <f>VLOOKUP(tabPontoPed[[#This Row],[GRUPO]],tabGrupos[#Data],2,FALSE)</f>
        <v>MAQ.EQUIP.E MATERIAIS P/ HIGIEN.LIMP.POLIM.E LUBR.</v>
      </c>
      <c r="G477" s="32" t="str">
        <f>VLOOKUP(tabPontoPed[[#This Row],[GRUPO]],tabGrupos[#Data],3,FALSE)</f>
        <v>ADM</v>
      </c>
      <c r="H477" s="33" t="s">
        <v>1311</v>
      </c>
      <c r="I477" s="80">
        <v>4</v>
      </c>
      <c r="J477" s="39">
        <v>60</v>
      </c>
      <c r="K477" s="41">
        <f>tabPontoPed[[#This Row],[QTDMÊS]] * tabPontoPed[[#This Row],[MENSAL]]</f>
        <v>240</v>
      </c>
      <c r="L477" s="83"/>
      <c r="M477" s="81"/>
      <c r="N477" s="34" t="s">
        <v>1009</v>
      </c>
      <c r="O477" s="76" t="s">
        <v>1661</v>
      </c>
      <c r="P477" s="77">
        <v>0</v>
      </c>
      <c r="Q477" s="57">
        <v>32</v>
      </c>
      <c r="R477" s="42">
        <v>81</v>
      </c>
      <c r="S477" s="69" t="str">
        <f>_xlfn.IFNA(IF(VLOOKUP(tabPontoPed[[#This Row],[CÓDIGO]],tabExcluirDoEstoque[#Data],1,FALSE),"sim",""),"")</f>
        <v/>
      </c>
      <c r="T477" s="43">
        <f>IF(AND(tabPontoPed[[#This Row],[MENSAL]]&gt;0,tabPontoPed[[#This Row],[CÁLCULO]]&gt;0), ABS( tabPontoPed[[#This Row],[MENSAL]] - tabPontoPed[[#This Row],[CÁLCULO]] ) / tabPontoPed[[#This Row],[MENSAL]], -1 )</f>
        <v>0.35</v>
      </c>
      <c r="U477" s="58">
        <v>501</v>
      </c>
      <c r="V477" s="35">
        <f>IF(AND(tabPontoPed[[#This Row],[MENSAL]]&gt;0,tabPontoPed[[#This Row],[CÁLCULO]]&gt;0), IF( tabPontoPed[[#This Row],[MENSAL]] - tabPontoPed[[#This Row],[CÁLCULO]] &lt; 0, -1, IF( tabPontoPed[[#This Row],[MENSAL]] - tabPontoPed[[#This Row],[CÁLCULO]] &gt; 0, 1, -8)), -9 )</f>
        <v>-1</v>
      </c>
      <c r="W477" s="35"/>
      <c r="X477" s="49" t="s">
        <v>1564</v>
      </c>
      <c r="Y477" s="51">
        <v>44391.599108796298</v>
      </c>
      <c r="Z477" s="72">
        <f>tabPontoPed[CÁLC_4M] - tabPontoPed[CÁLCULO]</f>
        <v>-49</v>
      </c>
      <c r="AA477" s="79" t="str">
        <f>IF(tabPontoPed[MENSAL]-tabPontoPed[ATA MENSAL] = 0,"sim","")</f>
        <v/>
      </c>
      <c r="AB477" s="79"/>
      <c r="AC477" s="47" t="str">
        <f t="shared" si="7"/>
        <v>*</v>
      </c>
    </row>
    <row r="478" spans="1:29" x14ac:dyDescent="0.25">
      <c r="A478" s="36">
        <v>12830</v>
      </c>
      <c r="B478" s="68" t="s">
        <v>730</v>
      </c>
      <c r="C478" s="33" t="s">
        <v>1317</v>
      </c>
      <c r="D478" s="32">
        <v>61</v>
      </c>
      <c r="E478" s="37">
        <v>8</v>
      </c>
      <c r="F478" s="38" t="str">
        <f>VLOOKUP(tabPontoPed[[#This Row],[GRUPO]],tabGrupos[#Data],2,FALSE)</f>
        <v>MATERIAL HIDRAULICO, CANOS, TUBOS, MANGUEIRAS, CONEXOES E ACESS.</v>
      </c>
      <c r="G478" s="32" t="str">
        <f>VLOOKUP(tabPontoPed[[#This Row],[GRUPO]],tabGrupos[#Data],3,FALSE)</f>
        <v>MHI</v>
      </c>
      <c r="H478" s="33" t="s">
        <v>1311</v>
      </c>
      <c r="I478" s="80">
        <v>4</v>
      </c>
      <c r="J478" s="39">
        <v>40</v>
      </c>
      <c r="K478" s="41">
        <f>tabPontoPed[[#This Row],[QTDMÊS]] * tabPontoPed[[#This Row],[MENSAL]]</f>
        <v>160</v>
      </c>
      <c r="L478" s="83"/>
      <c r="M478" s="81"/>
      <c r="N478" s="34" t="s">
        <v>1009</v>
      </c>
      <c r="O478" s="76" t="s">
        <v>1711</v>
      </c>
      <c r="P478" s="77">
        <v>0</v>
      </c>
      <c r="Q478" s="57">
        <v>12</v>
      </c>
      <c r="R478" s="42">
        <v>26</v>
      </c>
      <c r="S478" s="69" t="str">
        <f>_xlfn.IFNA(IF(VLOOKUP(tabPontoPed[[#This Row],[CÓDIGO]],tabExcluirDoEstoque[#Data],1,FALSE),"sim",""),"")</f>
        <v/>
      </c>
      <c r="T478" s="43">
        <f>IF(AND(tabPontoPed[[#This Row],[MENSAL]]&gt;0,tabPontoPed[[#This Row],[CÁLCULO]]&gt;0), ABS( tabPontoPed[[#This Row],[MENSAL]] - tabPontoPed[[#This Row],[CÁLCULO]] ) / tabPontoPed[[#This Row],[MENSAL]], -1 )</f>
        <v>0.35</v>
      </c>
      <c r="U478" s="58">
        <v>68</v>
      </c>
      <c r="V478" s="35">
        <f>IF(AND(tabPontoPed[[#This Row],[MENSAL]]&gt;0,tabPontoPed[[#This Row],[CÁLCULO]]&gt;0), IF( tabPontoPed[[#This Row],[MENSAL]] - tabPontoPed[[#This Row],[CÁLCULO]] &lt; 0, -1, IF( tabPontoPed[[#This Row],[MENSAL]] - tabPontoPed[[#This Row],[CÁLCULO]] &gt; 0, 1, -8)), -9 )</f>
        <v>1</v>
      </c>
      <c r="W478" s="35"/>
      <c r="X478" s="49" t="s">
        <v>1564</v>
      </c>
      <c r="Y478" s="51">
        <v>44391.599108796298</v>
      </c>
      <c r="Z478" s="72">
        <f>tabPontoPed[CÁLC_4M] - tabPontoPed[CÁLCULO]</f>
        <v>-14</v>
      </c>
      <c r="AA478" s="79" t="str">
        <f>IF(tabPontoPed[MENSAL]-tabPontoPed[ATA MENSAL] = 0,"sim","")</f>
        <v/>
      </c>
      <c r="AB478" s="79"/>
      <c r="AC478" s="47" t="str">
        <f t="shared" si="7"/>
        <v>*</v>
      </c>
    </row>
    <row r="479" spans="1:29" x14ac:dyDescent="0.25">
      <c r="A479" s="36">
        <v>132655</v>
      </c>
      <c r="B479" s="68" t="s">
        <v>431</v>
      </c>
      <c r="C479" s="33" t="s">
        <v>1317</v>
      </c>
      <c r="D479" s="32">
        <v>45</v>
      </c>
      <c r="E479" s="37">
        <v>10</v>
      </c>
      <c r="F479" s="38" t="str">
        <f>VLOOKUP(tabPontoPed[[#This Row],[GRUPO]],tabGrupos[#Data],2,FALSE)</f>
        <v>MAQ., EQUIP., COMP., ACES., MAT. PARA ESCRIT.E ESCOLAR</v>
      </c>
      <c r="G479" s="32" t="str">
        <f>VLOOKUP(tabPontoPed[[#This Row],[GRUPO]],tabGrupos[#Data],3,FALSE)</f>
        <v>EDU</v>
      </c>
      <c r="H479" s="33" t="s">
        <v>1311</v>
      </c>
      <c r="I479" s="80">
        <v>4</v>
      </c>
      <c r="J479" s="39">
        <v>2694</v>
      </c>
      <c r="K479" s="41">
        <f>tabPontoPed[[#This Row],[QTDMÊS]] * tabPontoPed[[#This Row],[MENSAL]]</f>
        <v>10776</v>
      </c>
      <c r="L479" s="83"/>
      <c r="M479" s="81"/>
      <c r="N479" s="34" t="s">
        <v>1009</v>
      </c>
      <c r="O479" s="76"/>
      <c r="P479" s="77">
        <v>0</v>
      </c>
      <c r="Q479" s="57">
        <v>1066</v>
      </c>
      <c r="R479" s="42">
        <v>1753</v>
      </c>
      <c r="S479" s="69" t="str">
        <f>_xlfn.IFNA(IF(VLOOKUP(tabPontoPed[[#This Row],[CÓDIGO]],tabExcluirDoEstoque[#Data],1,FALSE),"sim",""),"")</f>
        <v/>
      </c>
      <c r="T479" s="43">
        <f>IF(AND(tabPontoPed[[#This Row],[MENSAL]]&gt;0,tabPontoPed[[#This Row],[CÁLCULO]]&gt;0), ABS( tabPontoPed[[#This Row],[MENSAL]] - tabPontoPed[[#This Row],[CÁLCULO]] ) / tabPontoPed[[#This Row],[MENSAL]], -1 )</f>
        <v>0.34929472902746844</v>
      </c>
      <c r="U479" s="58">
        <v>13856</v>
      </c>
      <c r="V479" s="35">
        <f>IF(AND(tabPontoPed[[#This Row],[MENSAL]]&gt;0,tabPontoPed[[#This Row],[CÁLCULO]]&gt;0), IF( tabPontoPed[[#This Row],[MENSAL]] - tabPontoPed[[#This Row],[CÁLCULO]] &lt; 0, -1, IF( tabPontoPed[[#This Row],[MENSAL]] - tabPontoPed[[#This Row],[CÁLCULO]] &gt; 0, 1, -8)), -9 )</f>
        <v>1</v>
      </c>
      <c r="W479" s="35"/>
      <c r="X479" s="48" t="s">
        <v>1564</v>
      </c>
      <c r="Y479" s="53">
        <v>44391.599108796298</v>
      </c>
      <c r="Z479" s="72">
        <f>tabPontoPed[CÁLC_4M] - tabPontoPed[CÁLCULO]</f>
        <v>-687</v>
      </c>
      <c r="AA479" s="79" t="str">
        <f>IF(tabPontoPed[MENSAL]-tabPontoPed[ATA MENSAL] = 0,"sim","")</f>
        <v/>
      </c>
      <c r="AB479" s="79"/>
      <c r="AC479" s="47" t="str">
        <f t="shared" si="7"/>
        <v>*</v>
      </c>
    </row>
    <row r="480" spans="1:29" x14ac:dyDescent="0.25">
      <c r="A480" s="36">
        <v>132656</v>
      </c>
      <c r="B480" s="68" t="s">
        <v>432</v>
      </c>
      <c r="C480" s="33" t="s">
        <v>1317</v>
      </c>
      <c r="D480" s="32">
        <v>45</v>
      </c>
      <c r="E480" s="37">
        <v>10</v>
      </c>
      <c r="F480" s="38" t="str">
        <f>VLOOKUP(tabPontoPed[[#This Row],[GRUPO]],tabGrupos[#Data],2,FALSE)</f>
        <v>MAQ., EQUIP., COMP., ACES., MAT. PARA ESCRIT.E ESCOLAR</v>
      </c>
      <c r="G480" s="32" t="str">
        <f>VLOOKUP(tabPontoPed[[#This Row],[GRUPO]],tabGrupos[#Data],3,FALSE)</f>
        <v>EDU</v>
      </c>
      <c r="H480" s="33" t="s">
        <v>1311</v>
      </c>
      <c r="I480" s="80">
        <v>4</v>
      </c>
      <c r="J480" s="39">
        <v>2680</v>
      </c>
      <c r="K480" s="41">
        <f>tabPontoPed[[#This Row],[QTDMÊS]] * tabPontoPed[[#This Row],[MENSAL]]</f>
        <v>10720</v>
      </c>
      <c r="L480" s="83"/>
      <c r="M480" s="81"/>
      <c r="N480" s="34" t="s">
        <v>1009</v>
      </c>
      <c r="O480" s="76"/>
      <c r="P480" s="77">
        <v>0</v>
      </c>
      <c r="Q480" s="57">
        <v>1077</v>
      </c>
      <c r="R480" s="42">
        <v>1744</v>
      </c>
      <c r="S480" s="69" t="str">
        <f>_xlfn.IFNA(IF(VLOOKUP(tabPontoPed[[#This Row],[CÓDIGO]],tabExcluirDoEstoque[#Data],1,FALSE),"sim",""),"")</f>
        <v/>
      </c>
      <c r="T480" s="43">
        <f>IF(AND(tabPontoPed[[#This Row],[MENSAL]]&gt;0,tabPontoPed[[#This Row],[CÁLCULO]]&gt;0), ABS( tabPontoPed[[#This Row],[MENSAL]] - tabPontoPed[[#This Row],[CÁLCULO]] ) / tabPontoPed[[#This Row],[MENSAL]], -1 )</f>
        <v>0.34925373134328358</v>
      </c>
      <c r="U480" s="58">
        <v>13859</v>
      </c>
      <c r="V480" s="35">
        <f>IF(AND(tabPontoPed[[#This Row],[MENSAL]]&gt;0,tabPontoPed[[#This Row],[CÁLCULO]]&gt;0), IF( tabPontoPed[[#This Row],[MENSAL]] - tabPontoPed[[#This Row],[CÁLCULO]] &lt; 0, -1, IF( tabPontoPed[[#This Row],[MENSAL]] - tabPontoPed[[#This Row],[CÁLCULO]] &gt; 0, 1, -8)), -9 )</f>
        <v>1</v>
      </c>
      <c r="W480" s="35"/>
      <c r="X480" s="48" t="s">
        <v>1564</v>
      </c>
      <c r="Y480" s="53">
        <v>44391.599108796298</v>
      </c>
      <c r="Z480" s="72">
        <f>tabPontoPed[CÁLC_4M] - tabPontoPed[CÁLCULO]</f>
        <v>-667</v>
      </c>
      <c r="AA480" s="79" t="str">
        <f>IF(tabPontoPed[MENSAL]-tabPontoPed[ATA MENSAL] = 0,"sim","")</f>
        <v/>
      </c>
      <c r="AB480" s="79"/>
      <c r="AC480" s="47" t="str">
        <f t="shared" si="7"/>
        <v>*</v>
      </c>
    </row>
    <row r="481" spans="1:29" x14ac:dyDescent="0.25">
      <c r="A481" s="36">
        <v>77562</v>
      </c>
      <c r="B481" s="68" t="s">
        <v>392</v>
      </c>
      <c r="C481" s="33" t="s">
        <v>1317</v>
      </c>
      <c r="D481" s="32">
        <v>74</v>
      </c>
      <c r="E481" s="37">
        <v>2</v>
      </c>
      <c r="F481" s="38" t="str">
        <f>VLOOKUP(tabPontoPed[[#This Row],[GRUPO]],tabGrupos[#Data],2,FALSE)</f>
        <v>MADEIRAS,LAMINADOS,COMPENSADOS E AGLOMERADOS</v>
      </c>
      <c r="G481" s="32" t="str">
        <f>VLOOKUP(tabPontoPed[[#This Row],[GRUPO]],tabGrupos[#Data],3,FALSE)</f>
        <v>MCO</v>
      </c>
      <c r="H481" s="33" t="s">
        <v>1311</v>
      </c>
      <c r="I481" s="80">
        <v>4</v>
      </c>
      <c r="J481" s="39">
        <v>604</v>
      </c>
      <c r="K481" s="41">
        <f>tabPontoPed[[#This Row],[QTDMÊS]] * tabPontoPed[[#This Row],[MENSAL]]</f>
        <v>2416</v>
      </c>
      <c r="L481" s="83"/>
      <c r="M481" s="81"/>
      <c r="N481" s="34" t="s">
        <v>1009</v>
      </c>
      <c r="O481" s="76" t="s">
        <v>1684</v>
      </c>
      <c r="P481" s="77">
        <v>0</v>
      </c>
      <c r="Q481" s="57">
        <v>350</v>
      </c>
      <c r="R481" s="42">
        <v>396</v>
      </c>
      <c r="S481" s="69" t="str">
        <f>_xlfn.IFNA(IF(VLOOKUP(tabPontoPed[[#This Row],[CÓDIGO]],tabExcluirDoEstoque[#Data],1,FALSE),"sim",""),"")</f>
        <v/>
      </c>
      <c r="T481" s="43">
        <f>IF(AND(tabPontoPed[[#This Row],[MENSAL]]&gt;0,tabPontoPed[[#This Row],[CÁLCULO]]&gt;0), ABS( tabPontoPed[[#This Row],[MENSAL]] - tabPontoPed[[#This Row],[CÁLCULO]] ) / tabPontoPed[[#This Row],[MENSAL]], -1 )</f>
        <v>0.3443708609271523</v>
      </c>
      <c r="U481" s="58">
        <v>875</v>
      </c>
      <c r="V481" s="35">
        <f>IF(AND(tabPontoPed[[#This Row],[MENSAL]]&gt;0,tabPontoPed[[#This Row],[CÁLCULO]]&gt;0), IF( tabPontoPed[[#This Row],[MENSAL]] - tabPontoPed[[#This Row],[CÁLCULO]] &lt; 0, -1, IF( tabPontoPed[[#This Row],[MENSAL]] - tabPontoPed[[#This Row],[CÁLCULO]] &gt; 0, 1, -8)), -9 )</f>
        <v>1</v>
      </c>
      <c r="W481" s="35"/>
      <c r="X481" s="48" t="s">
        <v>1564</v>
      </c>
      <c r="Y481" s="53">
        <v>44391.599108796298</v>
      </c>
      <c r="Z481" s="72">
        <f>tabPontoPed[CÁLC_4M] - tabPontoPed[CÁLCULO]</f>
        <v>-46</v>
      </c>
      <c r="AA481" s="79" t="str">
        <f>IF(tabPontoPed[MENSAL]-tabPontoPed[ATA MENSAL] = 0,"sim","")</f>
        <v/>
      </c>
      <c r="AB481" s="79"/>
      <c r="AC481" s="47" t="str">
        <f t="shared" si="7"/>
        <v>*</v>
      </c>
    </row>
    <row r="482" spans="1:29" x14ac:dyDescent="0.25">
      <c r="A482" s="36">
        <v>11116</v>
      </c>
      <c r="B482" s="68" t="s">
        <v>458</v>
      </c>
      <c r="C482" s="33" t="s">
        <v>1317</v>
      </c>
      <c r="D482" s="32">
        <v>45</v>
      </c>
      <c r="E482" s="37">
        <v>12</v>
      </c>
      <c r="F482" s="38" t="str">
        <f>VLOOKUP(tabPontoPed[[#This Row],[GRUPO]],tabGrupos[#Data],2,FALSE)</f>
        <v>MAQ., EQUIP., COMP., ACES., MAT. PARA ESCRIT.E ESCOLAR</v>
      </c>
      <c r="G482" s="32" t="str">
        <f>VLOOKUP(tabPontoPed[[#This Row],[GRUPO]],tabGrupos[#Data],3,FALSE)</f>
        <v>EDU</v>
      </c>
      <c r="H482" s="33" t="s">
        <v>1311</v>
      </c>
      <c r="I482" s="80">
        <v>4</v>
      </c>
      <c r="J482" s="39">
        <v>41</v>
      </c>
      <c r="K482" s="41">
        <f>tabPontoPed[[#This Row],[QTDMÊS]] * tabPontoPed[[#This Row],[MENSAL]]</f>
        <v>164</v>
      </c>
      <c r="L482" s="83"/>
      <c r="M482" s="81"/>
      <c r="N482" s="34" t="s">
        <v>1009</v>
      </c>
      <c r="O482" s="76" t="s">
        <v>1575</v>
      </c>
      <c r="P482" s="77">
        <v>0</v>
      </c>
      <c r="Q482" s="57">
        <v>35</v>
      </c>
      <c r="R482" s="42">
        <v>27</v>
      </c>
      <c r="S482" s="69" t="str">
        <f>_xlfn.IFNA(IF(VLOOKUP(tabPontoPed[[#This Row],[CÓDIGO]],tabExcluirDoEstoque[#Data],1,FALSE),"sim",""),"")</f>
        <v/>
      </c>
      <c r="T482" s="43">
        <f>IF(AND(tabPontoPed[[#This Row],[MENSAL]]&gt;0,tabPontoPed[[#This Row],[CÁLCULO]]&gt;0), ABS( tabPontoPed[[#This Row],[MENSAL]] - tabPontoPed[[#This Row],[CÁLCULO]] ) / tabPontoPed[[#This Row],[MENSAL]], -1 )</f>
        <v>0.34146341463414637</v>
      </c>
      <c r="U482" s="58">
        <v>48</v>
      </c>
      <c r="V482" s="35">
        <f>IF(AND(tabPontoPed[[#This Row],[MENSAL]]&gt;0,tabPontoPed[[#This Row],[CÁLCULO]]&gt;0), IF( tabPontoPed[[#This Row],[MENSAL]] - tabPontoPed[[#This Row],[CÁLCULO]] &lt; 0, -1, IF( tabPontoPed[[#This Row],[MENSAL]] - tabPontoPed[[#This Row],[CÁLCULO]] &gt; 0, 1, -8)), -9 )</f>
        <v>1</v>
      </c>
      <c r="W482" s="35"/>
      <c r="X482" s="49" t="s">
        <v>1564</v>
      </c>
      <c r="Y482" s="51">
        <v>44391.599108796298</v>
      </c>
      <c r="Z482" s="72">
        <f>tabPontoPed[CÁLC_4M] - tabPontoPed[CÁLCULO]</f>
        <v>8</v>
      </c>
      <c r="AA482" s="79" t="str">
        <f>IF(tabPontoPed[MENSAL]-tabPontoPed[ATA MENSAL] = 0,"sim","")</f>
        <v/>
      </c>
      <c r="AB482" s="79"/>
      <c r="AC482" s="47" t="str">
        <f t="shared" si="7"/>
        <v>*</v>
      </c>
    </row>
    <row r="483" spans="1:29" x14ac:dyDescent="0.25">
      <c r="A483" s="36">
        <v>119595</v>
      </c>
      <c r="B483" s="68" t="s">
        <v>186</v>
      </c>
      <c r="C483" s="33" t="s">
        <v>1317</v>
      </c>
      <c r="D483" s="32">
        <v>62</v>
      </c>
      <c r="E483" s="37">
        <v>26</v>
      </c>
      <c r="F483" s="38" t="str">
        <f>VLOOKUP(tabPontoPed[[#This Row],[GRUPO]],tabGrupos[#Data],2,FALSE)</f>
        <v>VEST., ART.P/ TOUC.E HIG. PES. MAQ., EQUIP., MAT.E ACES.</v>
      </c>
      <c r="G483" s="32" t="str">
        <f>VLOOKUP(tabPontoPed[[#This Row],[GRUPO]],tabGrupos[#Data],3,FALSE)</f>
        <v>ADM</v>
      </c>
      <c r="H483" s="33" t="s">
        <v>1311</v>
      </c>
      <c r="I483" s="80">
        <v>4</v>
      </c>
      <c r="J483" s="39">
        <v>50</v>
      </c>
      <c r="K483" s="41">
        <f>tabPontoPed[[#This Row],[QTDMÊS]] * tabPontoPed[[#This Row],[MENSAL]]</f>
        <v>200</v>
      </c>
      <c r="L483" s="83"/>
      <c r="M483" s="81"/>
      <c r="N483" s="34" t="s">
        <v>1009</v>
      </c>
      <c r="O483" s="76" t="s">
        <v>1660</v>
      </c>
      <c r="P483" s="77">
        <v>0</v>
      </c>
      <c r="Q483" s="57">
        <v>26</v>
      </c>
      <c r="R483" s="42">
        <v>33</v>
      </c>
      <c r="S483" s="69" t="str">
        <f>_xlfn.IFNA(IF(VLOOKUP(tabPontoPed[[#This Row],[CÓDIGO]],tabExcluirDoEstoque[#Data],1,FALSE),"sim",""),"")</f>
        <v/>
      </c>
      <c r="T483" s="43">
        <f>IF(AND(tabPontoPed[[#This Row],[MENSAL]]&gt;0,tabPontoPed[[#This Row],[CÁLCULO]]&gt;0), ABS( tabPontoPed[[#This Row],[MENSAL]] - tabPontoPed[[#This Row],[CÁLCULO]] ) / tabPontoPed[[#This Row],[MENSAL]], -1 )</f>
        <v>0.34</v>
      </c>
      <c r="U483" s="58">
        <v>89</v>
      </c>
      <c r="V483" s="35">
        <f>IF(AND(tabPontoPed[[#This Row],[MENSAL]]&gt;0,tabPontoPed[[#This Row],[CÁLCULO]]&gt;0), IF( tabPontoPed[[#This Row],[MENSAL]] - tabPontoPed[[#This Row],[CÁLCULO]] &lt; 0, -1, IF( tabPontoPed[[#This Row],[MENSAL]] - tabPontoPed[[#This Row],[CÁLCULO]] &gt; 0, 1, -8)), -9 )</f>
        <v>1</v>
      </c>
      <c r="W483" s="35"/>
      <c r="X483" s="48" t="s">
        <v>1564</v>
      </c>
      <c r="Y483" s="53">
        <v>44391.599108796298</v>
      </c>
      <c r="Z483" s="72">
        <f>tabPontoPed[CÁLC_4M] - tabPontoPed[CÁLCULO]</f>
        <v>-7</v>
      </c>
      <c r="AA483" s="79" t="str">
        <f>IF(tabPontoPed[MENSAL]-tabPontoPed[ATA MENSAL] = 0,"sim","")</f>
        <v/>
      </c>
      <c r="AB483" s="79"/>
      <c r="AC483" s="47" t="str">
        <f t="shared" si="7"/>
        <v>*</v>
      </c>
    </row>
    <row r="484" spans="1:29" x14ac:dyDescent="0.25">
      <c r="A484" s="36">
        <v>138462</v>
      </c>
      <c r="B484" s="68" t="s">
        <v>1536</v>
      </c>
      <c r="C484" s="33">
        <v>1</v>
      </c>
      <c r="D484" s="32">
        <v>45</v>
      </c>
      <c r="E484" s="37">
        <v>16</v>
      </c>
      <c r="F484" s="38" t="str">
        <f>VLOOKUP(tabPontoPed[[#This Row],[GRUPO]],tabGrupos[#Data],2,FALSE)</f>
        <v>MAQ., EQUIP., COMP., ACES., MAT. PARA ESCRIT.E ESCOLAR</v>
      </c>
      <c r="G484" s="32" t="str">
        <f>VLOOKUP(tabPontoPed[[#This Row],[GRUPO]],tabGrupos[#Data],3,FALSE)</f>
        <v>EDU</v>
      </c>
      <c r="H484" s="33" t="s">
        <v>1311</v>
      </c>
      <c r="I484" s="80">
        <v>4</v>
      </c>
      <c r="J484" s="39">
        <v>1946</v>
      </c>
      <c r="K484" s="41">
        <f>tabPontoPed[[#This Row],[QTDMÊS]] * tabPontoPed[[#This Row],[MENSAL]]</f>
        <v>7784</v>
      </c>
      <c r="L484" s="83"/>
      <c r="M484" s="81"/>
      <c r="N484" s="34" t="s">
        <v>1009</v>
      </c>
      <c r="O484" s="76"/>
      <c r="P484" s="77">
        <v>0</v>
      </c>
      <c r="Q484" s="57">
        <v>340</v>
      </c>
      <c r="R484" s="42">
        <v>1290</v>
      </c>
      <c r="S484" s="69" t="str">
        <f>_xlfn.IFNA(IF(VLOOKUP(tabPontoPed[[#This Row],[CÓDIGO]],tabExcluirDoEstoque[#Data],1,FALSE),"sim",""),"")</f>
        <v/>
      </c>
      <c r="T484" s="43">
        <f>IF(AND(tabPontoPed[[#This Row],[MENSAL]]&gt;0,tabPontoPed[[#This Row],[CÁLCULO]]&gt;0), ABS( tabPontoPed[[#This Row],[MENSAL]] - tabPontoPed[[#This Row],[CÁLCULO]] ) / tabPontoPed[[#This Row],[MENSAL]], -1 )</f>
        <v>0.33710174717368963</v>
      </c>
      <c r="U484" s="58">
        <v>11283</v>
      </c>
      <c r="V484" s="35">
        <f>IF(AND(tabPontoPed[[#This Row],[MENSAL]]&gt;0,tabPontoPed[[#This Row],[CÁLCULO]]&gt;0), IF( tabPontoPed[[#This Row],[MENSAL]] - tabPontoPed[[#This Row],[CÁLCULO]] &lt; 0, -1, IF( tabPontoPed[[#This Row],[MENSAL]] - tabPontoPed[[#This Row],[CÁLCULO]] &gt; 0, 1, -8)), -9 )</f>
        <v>1</v>
      </c>
      <c r="W484" s="35"/>
      <c r="X484" s="49" t="s">
        <v>1564</v>
      </c>
      <c r="Y484" s="51">
        <v>44391.599108796298</v>
      </c>
      <c r="Z484" s="72">
        <f>tabPontoPed[CÁLC_4M] - tabPontoPed[CÁLCULO]</f>
        <v>-950</v>
      </c>
      <c r="AA484" s="79" t="str">
        <f>IF(tabPontoPed[MENSAL]-tabPontoPed[ATA MENSAL] = 0,"sim","")</f>
        <v/>
      </c>
      <c r="AB484" s="79"/>
      <c r="AC484" s="47" t="str">
        <f t="shared" si="7"/>
        <v>*</v>
      </c>
    </row>
    <row r="485" spans="1:29" x14ac:dyDescent="0.25">
      <c r="A485" s="36">
        <v>131917</v>
      </c>
      <c r="B485" s="68" t="s">
        <v>404</v>
      </c>
      <c r="C485" s="33" t="s">
        <v>1317</v>
      </c>
      <c r="D485" s="32">
        <v>45</v>
      </c>
      <c r="E485" s="37">
        <v>9</v>
      </c>
      <c r="F485" s="38" t="str">
        <f>VLOOKUP(tabPontoPed[[#This Row],[GRUPO]],tabGrupos[#Data],2,FALSE)</f>
        <v>MAQ., EQUIP., COMP., ACES., MAT. PARA ESCRIT.E ESCOLAR</v>
      </c>
      <c r="G485" s="32" t="str">
        <f>VLOOKUP(tabPontoPed[[#This Row],[GRUPO]],tabGrupos[#Data],3,FALSE)</f>
        <v>EDU</v>
      </c>
      <c r="H485" s="33" t="s">
        <v>1311</v>
      </c>
      <c r="I485" s="80">
        <v>4</v>
      </c>
      <c r="J485" s="39">
        <v>617</v>
      </c>
      <c r="K485" s="41">
        <f>tabPontoPed[[#This Row],[QTDMÊS]] * tabPontoPed[[#This Row],[MENSAL]]</f>
        <v>2468</v>
      </c>
      <c r="L485" s="83"/>
      <c r="M485" s="81"/>
      <c r="N485" s="34" t="s">
        <v>1009</v>
      </c>
      <c r="O485" s="76"/>
      <c r="P485" s="77">
        <v>0</v>
      </c>
      <c r="Q485" s="57">
        <v>126</v>
      </c>
      <c r="R485" s="42">
        <v>823</v>
      </c>
      <c r="S485" s="69" t="str">
        <f>_xlfn.IFNA(IF(VLOOKUP(tabPontoPed[[#This Row],[CÓDIGO]],tabExcluirDoEstoque[#Data],1,FALSE),"sim",""),"")</f>
        <v/>
      </c>
      <c r="T485" s="43">
        <f>IF(AND(tabPontoPed[[#This Row],[MENSAL]]&gt;0,tabPontoPed[[#This Row],[CÁLCULO]]&gt;0), ABS( tabPontoPed[[#This Row],[MENSAL]] - tabPontoPed[[#This Row],[CÁLCULO]] ) / tabPontoPed[[#This Row],[MENSAL]], -1 )</f>
        <v>0.33387358184764993</v>
      </c>
      <c r="U485" s="58">
        <v>8686</v>
      </c>
      <c r="V485" s="35">
        <f>IF(AND(tabPontoPed[[#This Row],[MENSAL]]&gt;0,tabPontoPed[[#This Row],[CÁLCULO]]&gt;0), IF( tabPontoPed[[#This Row],[MENSAL]] - tabPontoPed[[#This Row],[CÁLCULO]] &lt; 0, -1, IF( tabPontoPed[[#This Row],[MENSAL]] - tabPontoPed[[#This Row],[CÁLCULO]] &gt; 0, 1, -8)), -9 )</f>
        <v>-1</v>
      </c>
      <c r="W485" s="35"/>
      <c r="X485" s="49" t="s">
        <v>1564</v>
      </c>
      <c r="Y485" s="51">
        <v>44391.599108796298</v>
      </c>
      <c r="Z485" s="72">
        <f>tabPontoPed[CÁLC_4M] - tabPontoPed[CÁLCULO]</f>
        <v>-697</v>
      </c>
      <c r="AA485" s="79" t="str">
        <f>IF(tabPontoPed[MENSAL]-tabPontoPed[ATA MENSAL] = 0,"sim","")</f>
        <v/>
      </c>
      <c r="AB485" s="79"/>
      <c r="AC485" s="47" t="str">
        <f t="shared" si="7"/>
        <v>*</v>
      </c>
    </row>
    <row r="486" spans="1:29" x14ac:dyDescent="0.25">
      <c r="A486" s="36">
        <v>87698</v>
      </c>
      <c r="B486" s="68" t="s">
        <v>929</v>
      </c>
      <c r="C486" s="33" t="s">
        <v>1317</v>
      </c>
      <c r="D486" s="32">
        <v>72</v>
      </c>
      <c r="E486" s="37">
        <v>5</v>
      </c>
      <c r="F486" s="38" t="str">
        <f>VLOOKUP(tabPontoPed[[#This Row],[GRUPO]],tabGrupos[#Data],2,FALSE)</f>
        <v>MAQ.EQUIP.E MATERIAIS P/ HIGIEN.LIMP.POLIM.E LUBR.</v>
      </c>
      <c r="G486" s="32" t="str">
        <f>VLOOKUP(tabPontoPed[[#This Row],[GRUPO]],tabGrupos[#Data],3,FALSE)</f>
        <v>ADM</v>
      </c>
      <c r="H486" s="33" t="s">
        <v>1311</v>
      </c>
      <c r="I486" s="80">
        <v>4</v>
      </c>
      <c r="J486" s="39">
        <v>3</v>
      </c>
      <c r="K486" s="41">
        <f>tabPontoPed[[#This Row],[QTDMÊS]] * tabPontoPed[[#This Row],[MENSAL]]</f>
        <v>12</v>
      </c>
      <c r="L486" s="83"/>
      <c r="M486" s="81"/>
      <c r="N486" s="34" t="s">
        <v>1009</v>
      </c>
      <c r="O486" s="76" t="s">
        <v>1721</v>
      </c>
      <c r="P486" s="77">
        <v>0</v>
      </c>
      <c r="Q486" s="57">
        <v>2</v>
      </c>
      <c r="R486" s="42">
        <v>2</v>
      </c>
      <c r="S486" s="69" t="str">
        <f>_xlfn.IFNA(IF(VLOOKUP(tabPontoPed[[#This Row],[CÓDIGO]],tabExcluirDoEstoque[#Data],1,FALSE),"sim",""),"")</f>
        <v/>
      </c>
      <c r="T486" s="43">
        <f>IF(AND(tabPontoPed[[#This Row],[MENSAL]]&gt;0,tabPontoPed[[#This Row],[CÁLCULO]]&gt;0), ABS( tabPontoPed[[#This Row],[MENSAL]] - tabPontoPed[[#This Row],[CÁLCULO]] ) / tabPontoPed[[#This Row],[MENSAL]], -1 )</f>
        <v>0.33333333333333331</v>
      </c>
      <c r="U486" s="58">
        <v>4</v>
      </c>
      <c r="V486" s="35">
        <f>IF(AND(tabPontoPed[[#This Row],[MENSAL]]&gt;0,tabPontoPed[[#This Row],[CÁLCULO]]&gt;0), IF( tabPontoPed[[#This Row],[MENSAL]] - tabPontoPed[[#This Row],[CÁLCULO]] &lt; 0, -1, IF( tabPontoPed[[#This Row],[MENSAL]] - tabPontoPed[[#This Row],[CÁLCULO]] &gt; 0, 1, -8)), -9 )</f>
        <v>1</v>
      </c>
      <c r="W486" s="35"/>
      <c r="X486" s="49" t="s">
        <v>1564</v>
      </c>
      <c r="Y486" s="51">
        <v>44391.599108796298</v>
      </c>
      <c r="Z486" s="72">
        <f>tabPontoPed[CÁLC_4M] - tabPontoPed[CÁLCULO]</f>
        <v>0</v>
      </c>
      <c r="AA486" s="79" t="str">
        <f>IF(tabPontoPed[MENSAL]-tabPontoPed[ATA MENSAL] = 0,"sim","")</f>
        <v/>
      </c>
      <c r="AB486" s="79"/>
      <c r="AC486" s="47" t="str">
        <f t="shared" si="7"/>
        <v>*</v>
      </c>
    </row>
    <row r="487" spans="1:29" x14ac:dyDescent="0.25">
      <c r="A487" s="36">
        <v>20035</v>
      </c>
      <c r="B487" s="68" t="s">
        <v>910</v>
      </c>
      <c r="C487" s="33" t="s">
        <v>1317</v>
      </c>
      <c r="D487" s="32">
        <v>70</v>
      </c>
      <c r="E487" s="37">
        <v>31</v>
      </c>
      <c r="F487" s="38" t="str">
        <f>VLOOKUP(tabPontoPed[[#This Row],[GRUPO]],tabGrupos[#Data],2,FALSE)</f>
        <v>FERRAMENTAS MAQ.FERRAMENTAS,ELETR.PECAS E ACESSORI</v>
      </c>
      <c r="G487" s="32" t="str">
        <f>VLOOKUP(tabPontoPed[[#This Row],[GRUPO]],tabGrupos[#Data],3,FALSE)</f>
        <v>MAN</v>
      </c>
      <c r="H487" s="33" t="s">
        <v>1311</v>
      </c>
      <c r="I487" s="80">
        <v>4</v>
      </c>
      <c r="J487" s="39">
        <v>9</v>
      </c>
      <c r="K487" s="41">
        <f>tabPontoPed[[#This Row],[QTDMÊS]] * tabPontoPed[[#This Row],[MENSAL]]</f>
        <v>36</v>
      </c>
      <c r="L487" s="83"/>
      <c r="M487" s="81"/>
      <c r="N487" s="34" t="s">
        <v>1009</v>
      </c>
      <c r="O487" s="76" t="s">
        <v>1708</v>
      </c>
      <c r="P487" s="77">
        <v>0</v>
      </c>
      <c r="Q487" s="57">
        <v>8</v>
      </c>
      <c r="R487" s="42">
        <v>6</v>
      </c>
      <c r="S487" s="69" t="str">
        <f>_xlfn.IFNA(IF(VLOOKUP(tabPontoPed[[#This Row],[CÓDIGO]],tabExcluirDoEstoque[#Data],1,FALSE),"sim",""),"")</f>
        <v/>
      </c>
      <c r="T487" s="43">
        <f>IF(AND(tabPontoPed[[#This Row],[MENSAL]]&gt;0,tabPontoPed[[#This Row],[CÁLCULO]]&gt;0), ABS( tabPontoPed[[#This Row],[MENSAL]] - tabPontoPed[[#This Row],[CÁLCULO]] ) / tabPontoPed[[#This Row],[MENSAL]], -1 )</f>
        <v>0.33333333333333331</v>
      </c>
      <c r="U487" s="58">
        <v>19</v>
      </c>
      <c r="V487" s="35">
        <f>IF(AND(tabPontoPed[[#This Row],[MENSAL]]&gt;0,tabPontoPed[[#This Row],[CÁLCULO]]&gt;0), IF( tabPontoPed[[#This Row],[MENSAL]] - tabPontoPed[[#This Row],[CÁLCULO]] &lt; 0, -1, IF( tabPontoPed[[#This Row],[MENSAL]] - tabPontoPed[[#This Row],[CÁLCULO]] &gt; 0, 1, -8)), -9 )</f>
        <v>1</v>
      </c>
      <c r="W487" s="35"/>
      <c r="X487" s="48" t="s">
        <v>1564</v>
      </c>
      <c r="Y487" s="53">
        <v>44391.599108796298</v>
      </c>
      <c r="Z487" s="72">
        <f>tabPontoPed[CÁLC_4M] - tabPontoPed[CÁLCULO]</f>
        <v>2</v>
      </c>
      <c r="AA487" s="79" t="str">
        <f>IF(tabPontoPed[MENSAL]-tabPontoPed[ATA MENSAL] = 0,"sim","")</f>
        <v/>
      </c>
      <c r="AB487" s="79"/>
      <c r="AC487" s="47" t="str">
        <f t="shared" si="7"/>
        <v>*</v>
      </c>
    </row>
    <row r="488" spans="1:29" x14ac:dyDescent="0.25">
      <c r="A488" s="36">
        <v>112064</v>
      </c>
      <c r="B488" s="68" t="s">
        <v>919</v>
      </c>
      <c r="C488" s="33" t="s">
        <v>1317</v>
      </c>
      <c r="D488" s="32">
        <v>70</v>
      </c>
      <c r="E488" s="37">
        <v>38</v>
      </c>
      <c r="F488" s="38" t="str">
        <f>VLOOKUP(tabPontoPed[[#This Row],[GRUPO]],tabGrupos[#Data],2,FALSE)</f>
        <v>FERRAMENTAS MAQ.FERRAMENTAS,ELETR.PECAS E ACESSORI</v>
      </c>
      <c r="G488" s="32" t="str">
        <f>VLOOKUP(tabPontoPed[[#This Row],[GRUPO]],tabGrupos[#Data],3,FALSE)</f>
        <v>MAN</v>
      </c>
      <c r="H488" s="33" t="s">
        <v>1311</v>
      </c>
      <c r="I488" s="80">
        <v>4</v>
      </c>
      <c r="J488" s="39">
        <v>3</v>
      </c>
      <c r="K488" s="41">
        <f>tabPontoPed[[#This Row],[QTDMÊS]] * tabPontoPed[[#This Row],[MENSAL]]</f>
        <v>12</v>
      </c>
      <c r="L488" s="83"/>
      <c r="M488" s="81"/>
      <c r="N488" s="34" t="s">
        <v>1009</v>
      </c>
      <c r="O488" s="76" t="s">
        <v>1689</v>
      </c>
      <c r="P488" s="77">
        <v>0</v>
      </c>
      <c r="Q488" s="57">
        <v>3</v>
      </c>
      <c r="R488" s="42">
        <v>2</v>
      </c>
      <c r="S488" s="69" t="str">
        <f>_xlfn.IFNA(IF(VLOOKUP(tabPontoPed[[#This Row],[CÓDIGO]],tabExcluirDoEstoque[#Data],1,FALSE),"sim",""),"")</f>
        <v>sim</v>
      </c>
      <c r="T488" s="43">
        <f>IF(AND(tabPontoPed[[#This Row],[MENSAL]]&gt;0,tabPontoPed[[#This Row],[CÁLCULO]]&gt;0), ABS( tabPontoPed[[#This Row],[MENSAL]] - tabPontoPed[[#This Row],[CÁLCULO]] ) / tabPontoPed[[#This Row],[MENSAL]], -1 )</f>
        <v>0.33333333333333331</v>
      </c>
      <c r="U488" s="58">
        <v>12</v>
      </c>
      <c r="V488" s="35">
        <f>IF(AND(tabPontoPed[[#This Row],[MENSAL]]&gt;0,tabPontoPed[[#This Row],[CÁLCULO]]&gt;0), IF( tabPontoPed[[#This Row],[MENSAL]] - tabPontoPed[[#This Row],[CÁLCULO]] &lt; 0, -1, IF( tabPontoPed[[#This Row],[MENSAL]] - tabPontoPed[[#This Row],[CÁLCULO]] &gt; 0, 1, -8)), -9 )</f>
        <v>1</v>
      </c>
      <c r="W488" s="35"/>
      <c r="X488" s="49" t="s">
        <v>1564</v>
      </c>
      <c r="Y488" s="51">
        <v>44391.599108796298</v>
      </c>
      <c r="Z488" s="72">
        <f>tabPontoPed[CÁLC_4M] - tabPontoPed[CÁLCULO]</f>
        <v>1</v>
      </c>
      <c r="AA488" s="79" t="str">
        <f>IF(tabPontoPed[MENSAL]-tabPontoPed[ATA MENSAL] = 0,"sim","")</f>
        <v/>
      </c>
      <c r="AB488" s="79"/>
      <c r="AC488" s="47" t="str">
        <f t="shared" si="7"/>
        <v>*</v>
      </c>
    </row>
    <row r="489" spans="1:29" x14ac:dyDescent="0.25">
      <c r="A489" s="36">
        <v>56519</v>
      </c>
      <c r="B489" s="68" t="s">
        <v>390</v>
      </c>
      <c r="C489" s="33" t="s">
        <v>1317</v>
      </c>
      <c r="D489" s="32">
        <v>51</v>
      </c>
      <c r="E489" s="37">
        <v>28</v>
      </c>
      <c r="F489" s="38" t="str">
        <f>VLOOKUP(tabPontoPed[[#This Row],[GRUPO]],tabGrupos[#Data],2,FALSE)</f>
        <v>MAT.E EQUIP. P/ CONSTR.CIVIL E CONSERV. DE VIAS PUBL.</v>
      </c>
      <c r="G489" s="32" t="str">
        <f>VLOOKUP(tabPontoPed[[#This Row],[GRUPO]],tabGrupos[#Data],3,FALSE)</f>
        <v>MCO</v>
      </c>
      <c r="H489" s="33" t="s">
        <v>1311</v>
      </c>
      <c r="I489" s="80">
        <v>4</v>
      </c>
      <c r="J489" s="39">
        <v>3</v>
      </c>
      <c r="K489" s="41">
        <f>tabPontoPed[[#This Row],[QTDMÊS]] * tabPontoPed[[#This Row],[MENSAL]]</f>
        <v>12</v>
      </c>
      <c r="L489" s="83"/>
      <c r="M489" s="81"/>
      <c r="N489" s="34" t="s">
        <v>1009</v>
      </c>
      <c r="O489" s="76" t="s">
        <v>1684</v>
      </c>
      <c r="P489" s="77">
        <v>0</v>
      </c>
      <c r="Q489" s="57">
        <v>2</v>
      </c>
      <c r="R489" s="42">
        <v>2</v>
      </c>
      <c r="S489" s="69" t="str">
        <f>_xlfn.IFNA(IF(VLOOKUP(tabPontoPed[[#This Row],[CÓDIGO]],tabExcluirDoEstoque[#Data],1,FALSE),"sim",""),"")</f>
        <v/>
      </c>
      <c r="T489" s="43">
        <f>IF(AND(tabPontoPed[[#This Row],[MENSAL]]&gt;0,tabPontoPed[[#This Row],[CÁLCULO]]&gt;0), ABS( tabPontoPed[[#This Row],[MENSAL]] - tabPontoPed[[#This Row],[CÁLCULO]] ) / tabPontoPed[[#This Row],[MENSAL]], -1 )</f>
        <v>0.33333333333333331</v>
      </c>
      <c r="U489" s="58">
        <v>3</v>
      </c>
      <c r="V489" s="35">
        <f>IF(AND(tabPontoPed[[#This Row],[MENSAL]]&gt;0,tabPontoPed[[#This Row],[CÁLCULO]]&gt;0), IF( tabPontoPed[[#This Row],[MENSAL]] - tabPontoPed[[#This Row],[CÁLCULO]] &lt; 0, -1, IF( tabPontoPed[[#This Row],[MENSAL]] - tabPontoPed[[#This Row],[CÁLCULO]] &gt; 0, 1, -8)), -9 )</f>
        <v>1</v>
      </c>
      <c r="W489" s="35"/>
      <c r="X489" s="49" t="s">
        <v>1564</v>
      </c>
      <c r="Y489" s="51">
        <v>44391.599108796298</v>
      </c>
      <c r="Z489" s="72">
        <f>tabPontoPed[CÁLC_4M] - tabPontoPed[CÁLCULO]</f>
        <v>0</v>
      </c>
      <c r="AA489" s="79" t="str">
        <f>IF(tabPontoPed[MENSAL]-tabPontoPed[ATA MENSAL] = 0,"sim","")</f>
        <v/>
      </c>
      <c r="AB489" s="79"/>
      <c r="AC489" s="47" t="str">
        <f t="shared" si="7"/>
        <v>*</v>
      </c>
    </row>
    <row r="490" spans="1:29" x14ac:dyDescent="0.25">
      <c r="A490" s="36">
        <v>132623</v>
      </c>
      <c r="B490" s="68" t="s">
        <v>554</v>
      </c>
      <c r="C490" s="33" t="s">
        <v>1317</v>
      </c>
      <c r="D490" s="32">
        <v>51</v>
      </c>
      <c r="E490" s="37">
        <v>35</v>
      </c>
      <c r="F490" s="38" t="str">
        <f>VLOOKUP(tabPontoPed[[#This Row],[GRUPO]],tabGrupos[#Data],2,FALSE)</f>
        <v>MAT.E EQUIP. P/ CONSTR.CIVIL E CONSERV. DE VIAS PUBL.</v>
      </c>
      <c r="G490" s="32" t="str">
        <f>VLOOKUP(tabPontoPed[[#This Row],[GRUPO]],tabGrupos[#Data],3,FALSE)</f>
        <v>MCO</v>
      </c>
      <c r="H490" s="33" t="s">
        <v>1311</v>
      </c>
      <c r="I490" s="80">
        <v>4</v>
      </c>
      <c r="J490" s="39">
        <v>6</v>
      </c>
      <c r="K490" s="41">
        <f>tabPontoPed[[#This Row],[QTDMÊS]] * tabPontoPed[[#This Row],[MENSAL]]</f>
        <v>24</v>
      </c>
      <c r="L490" s="83"/>
      <c r="M490" s="81"/>
      <c r="N490" s="34" t="s">
        <v>1009</v>
      </c>
      <c r="O490" s="76" t="s">
        <v>1741</v>
      </c>
      <c r="P490" s="77">
        <v>0</v>
      </c>
      <c r="Q490" s="57">
        <v>2</v>
      </c>
      <c r="R490" s="42">
        <v>4</v>
      </c>
      <c r="S490" s="69" t="str">
        <f>_xlfn.IFNA(IF(VLOOKUP(tabPontoPed[[#This Row],[CÓDIGO]],tabExcluirDoEstoque[#Data],1,FALSE),"sim",""),"")</f>
        <v/>
      </c>
      <c r="T490" s="43">
        <f>IF(AND(tabPontoPed[[#This Row],[MENSAL]]&gt;0,tabPontoPed[[#This Row],[CÁLCULO]]&gt;0), ABS( tabPontoPed[[#This Row],[MENSAL]] - tabPontoPed[[#This Row],[CÁLCULO]] ) / tabPontoPed[[#This Row],[MENSAL]], -1 )</f>
        <v>0.33333333333333331</v>
      </c>
      <c r="U490" s="58">
        <v>12</v>
      </c>
      <c r="V490" s="35">
        <f>IF(AND(tabPontoPed[[#This Row],[MENSAL]]&gt;0,tabPontoPed[[#This Row],[CÁLCULO]]&gt;0), IF( tabPontoPed[[#This Row],[MENSAL]] - tabPontoPed[[#This Row],[CÁLCULO]] &lt; 0, -1, IF( tabPontoPed[[#This Row],[MENSAL]] - tabPontoPed[[#This Row],[CÁLCULO]] &gt; 0, 1, -8)), -9 )</f>
        <v>1</v>
      </c>
      <c r="W490" s="35"/>
      <c r="X490" s="49" t="s">
        <v>1564</v>
      </c>
      <c r="Y490" s="51">
        <v>44391.599108796298</v>
      </c>
      <c r="Z490" s="72">
        <f>tabPontoPed[CÁLC_4M] - tabPontoPed[CÁLCULO]</f>
        <v>-2</v>
      </c>
      <c r="AA490" s="79" t="str">
        <f>IF(tabPontoPed[MENSAL]-tabPontoPed[ATA MENSAL] = 0,"sim","")</f>
        <v/>
      </c>
      <c r="AB490" s="79"/>
      <c r="AC490" s="47" t="str">
        <f t="shared" si="7"/>
        <v>*</v>
      </c>
    </row>
    <row r="491" spans="1:29" x14ac:dyDescent="0.25">
      <c r="A491" s="36">
        <v>88747</v>
      </c>
      <c r="B491" s="68" t="s">
        <v>352</v>
      </c>
      <c r="C491" s="33" t="s">
        <v>1317</v>
      </c>
      <c r="D491" s="32">
        <v>55</v>
      </c>
      <c r="E491" s="37">
        <v>26</v>
      </c>
      <c r="F491" s="38" t="str">
        <f>VLOOKUP(tabPontoPed[[#This Row],[GRUPO]],tabGrupos[#Data],2,FALSE)</f>
        <v>EQUIP. MAT. P/ GERACAO, TRANSM. DISTR. RETIF...</v>
      </c>
      <c r="G491" s="32" t="str">
        <f>VLOOKUP(tabPontoPed[[#This Row],[GRUPO]],tabGrupos[#Data],3,FALSE)</f>
        <v>MEL</v>
      </c>
      <c r="H491" s="33" t="s">
        <v>1311</v>
      </c>
      <c r="I491" s="80">
        <v>4</v>
      </c>
      <c r="J491" s="39">
        <v>1.5</v>
      </c>
      <c r="K491" s="41">
        <f>tabPontoPed[[#This Row],[QTDMÊS]] * tabPontoPed[[#This Row],[MENSAL]]</f>
        <v>6</v>
      </c>
      <c r="L491" s="83"/>
      <c r="M491" s="81"/>
      <c r="N491" s="34" t="s">
        <v>1009</v>
      </c>
      <c r="O491" s="76" t="s">
        <v>1670</v>
      </c>
      <c r="P491" s="77">
        <v>0</v>
      </c>
      <c r="Q491" s="57">
        <v>0</v>
      </c>
      <c r="R491" s="42">
        <v>1</v>
      </c>
      <c r="S491" s="69" t="str">
        <f>_xlfn.IFNA(IF(VLOOKUP(tabPontoPed[[#This Row],[CÓDIGO]],tabExcluirDoEstoque[#Data],1,FALSE),"sim",""),"")</f>
        <v/>
      </c>
      <c r="T491" s="43">
        <f>IF(AND(tabPontoPed[[#This Row],[MENSAL]]&gt;0,tabPontoPed[[#This Row],[CÁLCULO]]&gt;0), ABS( tabPontoPed[[#This Row],[MENSAL]] - tabPontoPed[[#This Row],[CÁLCULO]] ) / tabPontoPed[[#This Row],[MENSAL]], -1 )</f>
        <v>0.33333333333333331</v>
      </c>
      <c r="U491" s="58">
        <v>1</v>
      </c>
      <c r="V491" s="35">
        <f>IF(AND(tabPontoPed[[#This Row],[MENSAL]]&gt;0,tabPontoPed[[#This Row],[CÁLCULO]]&gt;0), IF( tabPontoPed[[#This Row],[MENSAL]] - tabPontoPed[[#This Row],[CÁLCULO]] &lt; 0, -1, IF( tabPontoPed[[#This Row],[MENSAL]] - tabPontoPed[[#This Row],[CÁLCULO]] &gt; 0, 1, -8)), -9 )</f>
        <v>1</v>
      </c>
      <c r="W491" s="35"/>
      <c r="X491" s="49" t="s">
        <v>1564</v>
      </c>
      <c r="Y491" s="51">
        <v>44391.599108796298</v>
      </c>
      <c r="Z491" s="72">
        <f>tabPontoPed[CÁLC_4M] - tabPontoPed[CÁLCULO]</f>
        <v>-1</v>
      </c>
      <c r="AA491" s="79" t="str">
        <f>IF(tabPontoPed[MENSAL]-tabPontoPed[ATA MENSAL] = 0,"sim","")</f>
        <v/>
      </c>
      <c r="AB491" s="79"/>
      <c r="AC491" s="47" t="str">
        <f t="shared" si="7"/>
        <v>*</v>
      </c>
    </row>
    <row r="492" spans="1:29" x14ac:dyDescent="0.25">
      <c r="A492" s="36">
        <v>88744</v>
      </c>
      <c r="B492" s="68" t="s">
        <v>349</v>
      </c>
      <c r="C492" s="33" t="s">
        <v>1317</v>
      </c>
      <c r="D492" s="32">
        <v>55</v>
      </c>
      <c r="E492" s="37">
        <v>26</v>
      </c>
      <c r="F492" s="38" t="str">
        <f>VLOOKUP(tabPontoPed[[#This Row],[GRUPO]],tabGrupos[#Data],2,FALSE)</f>
        <v>EQUIP. MAT. P/ GERACAO, TRANSM. DISTR. RETIF...</v>
      </c>
      <c r="G492" s="32" t="str">
        <f>VLOOKUP(tabPontoPed[[#This Row],[GRUPO]],tabGrupos[#Data],3,FALSE)</f>
        <v>MEL</v>
      </c>
      <c r="H492" s="33" t="s">
        <v>1311</v>
      </c>
      <c r="I492" s="80">
        <v>4</v>
      </c>
      <c r="J492" s="39">
        <v>3</v>
      </c>
      <c r="K492" s="41">
        <f>tabPontoPed[[#This Row],[QTDMÊS]] * tabPontoPed[[#This Row],[MENSAL]]</f>
        <v>12</v>
      </c>
      <c r="L492" s="83"/>
      <c r="M492" s="81"/>
      <c r="N492" s="34" t="s">
        <v>1009</v>
      </c>
      <c r="O492" s="76" t="s">
        <v>1677</v>
      </c>
      <c r="P492" s="77">
        <v>0</v>
      </c>
      <c r="Q492" s="57">
        <v>2</v>
      </c>
      <c r="R492" s="42">
        <v>2</v>
      </c>
      <c r="S492" s="69" t="str">
        <f>_xlfn.IFNA(IF(VLOOKUP(tabPontoPed[[#This Row],[CÓDIGO]],tabExcluirDoEstoque[#Data],1,FALSE),"sim",""),"")</f>
        <v/>
      </c>
      <c r="T492" s="43">
        <f>IF(AND(tabPontoPed[[#This Row],[MENSAL]]&gt;0,tabPontoPed[[#This Row],[CÁLCULO]]&gt;0), ABS( tabPontoPed[[#This Row],[MENSAL]] - tabPontoPed[[#This Row],[CÁLCULO]] ) / tabPontoPed[[#This Row],[MENSAL]], -1 )</f>
        <v>0.33333333333333331</v>
      </c>
      <c r="U492" s="58">
        <v>6</v>
      </c>
      <c r="V492" s="35">
        <f>IF(AND(tabPontoPed[[#This Row],[MENSAL]]&gt;0,tabPontoPed[[#This Row],[CÁLCULO]]&gt;0), IF( tabPontoPed[[#This Row],[MENSAL]] - tabPontoPed[[#This Row],[CÁLCULO]] &lt; 0, -1, IF( tabPontoPed[[#This Row],[MENSAL]] - tabPontoPed[[#This Row],[CÁLCULO]] &gt; 0, 1, -8)), -9 )</f>
        <v>1</v>
      </c>
      <c r="W492" s="35"/>
      <c r="X492" s="49" t="s">
        <v>1564</v>
      </c>
      <c r="Y492" s="51">
        <v>44391.599108796298</v>
      </c>
      <c r="Z492" s="72">
        <f>tabPontoPed[CÁLC_4M] - tabPontoPed[CÁLCULO]</f>
        <v>0</v>
      </c>
      <c r="AA492" s="79" t="str">
        <f>IF(tabPontoPed[MENSAL]-tabPontoPed[ATA MENSAL] = 0,"sim","")</f>
        <v/>
      </c>
      <c r="AB492" s="79" t="s">
        <v>1614</v>
      </c>
      <c r="AC492" s="47" t="str">
        <f t="shared" si="7"/>
        <v>*</v>
      </c>
    </row>
    <row r="493" spans="1:29" x14ac:dyDescent="0.25">
      <c r="A493" s="36">
        <v>14784</v>
      </c>
      <c r="B493" s="68" t="s">
        <v>647</v>
      </c>
      <c r="C493" s="33" t="s">
        <v>1317</v>
      </c>
      <c r="D493" s="32">
        <v>55</v>
      </c>
      <c r="E493" s="37">
        <v>32</v>
      </c>
      <c r="F493" s="38" t="str">
        <f>VLOOKUP(tabPontoPed[[#This Row],[GRUPO]],tabGrupos[#Data],2,FALSE)</f>
        <v>EQUIP. MAT. P/ GERACAO, TRANSM. DISTR. RETIF...</v>
      </c>
      <c r="G493" s="32" t="str">
        <f>VLOOKUP(tabPontoPed[[#This Row],[GRUPO]],tabGrupos[#Data],3,FALSE)</f>
        <v>MEL</v>
      </c>
      <c r="H493" s="33" t="s">
        <v>1311</v>
      </c>
      <c r="I493" s="80">
        <v>4</v>
      </c>
      <c r="J493" s="39">
        <v>15</v>
      </c>
      <c r="K493" s="41">
        <f>tabPontoPed[[#This Row],[QTDMÊS]] * tabPontoPed[[#This Row],[MENSAL]]</f>
        <v>60</v>
      </c>
      <c r="L493" s="83"/>
      <c r="M493" s="81"/>
      <c r="N493" s="34" t="s">
        <v>1009</v>
      </c>
      <c r="O493" s="76" t="s">
        <v>1667</v>
      </c>
      <c r="P493" s="77">
        <v>0</v>
      </c>
      <c r="Q493" s="57">
        <v>13</v>
      </c>
      <c r="R493" s="42">
        <v>20</v>
      </c>
      <c r="S493" s="69" t="str">
        <f>_xlfn.IFNA(IF(VLOOKUP(tabPontoPed[[#This Row],[CÓDIGO]],tabExcluirDoEstoque[#Data],1,FALSE),"sim",""),"")</f>
        <v/>
      </c>
      <c r="T493" s="43">
        <f>IF(AND(tabPontoPed[[#This Row],[MENSAL]]&gt;0,tabPontoPed[[#This Row],[CÁLCULO]]&gt;0), ABS( tabPontoPed[[#This Row],[MENSAL]] - tabPontoPed[[#This Row],[CÁLCULO]] ) / tabPontoPed[[#This Row],[MENSAL]], -1 )</f>
        <v>0.33333333333333331</v>
      </c>
      <c r="U493" s="58">
        <v>36</v>
      </c>
      <c r="V493" s="35">
        <f>IF(AND(tabPontoPed[[#This Row],[MENSAL]]&gt;0,tabPontoPed[[#This Row],[CÁLCULO]]&gt;0), IF( tabPontoPed[[#This Row],[MENSAL]] - tabPontoPed[[#This Row],[CÁLCULO]] &lt; 0, -1, IF( tabPontoPed[[#This Row],[MENSAL]] - tabPontoPed[[#This Row],[CÁLCULO]] &gt; 0, 1, -8)), -9 )</f>
        <v>-1</v>
      </c>
      <c r="W493" s="35"/>
      <c r="X493" s="48" t="s">
        <v>1564</v>
      </c>
      <c r="Y493" s="53">
        <v>44391.599108796298</v>
      </c>
      <c r="Z493" s="72">
        <f>tabPontoPed[CÁLC_4M] - tabPontoPed[CÁLCULO]</f>
        <v>-7</v>
      </c>
      <c r="AA493" s="79" t="str">
        <f>IF(tabPontoPed[MENSAL]-tabPontoPed[ATA MENSAL] = 0,"sim","")</f>
        <v/>
      </c>
      <c r="AB493" s="79"/>
      <c r="AC493" s="47" t="str">
        <f t="shared" si="7"/>
        <v>*</v>
      </c>
    </row>
    <row r="494" spans="1:29" x14ac:dyDescent="0.25">
      <c r="A494" s="36">
        <v>15680</v>
      </c>
      <c r="B494" s="68" t="s">
        <v>33</v>
      </c>
      <c r="C494" s="33" t="s">
        <v>1317</v>
      </c>
      <c r="D494" s="32">
        <v>55</v>
      </c>
      <c r="E494" s="37">
        <v>35</v>
      </c>
      <c r="F494" s="38" t="str">
        <f>VLOOKUP(tabPontoPed[[#This Row],[GRUPO]],tabGrupos[#Data],2,FALSE)</f>
        <v>EQUIP. MAT. P/ GERACAO, TRANSM. DISTR. RETIF...</v>
      </c>
      <c r="G494" s="32" t="str">
        <f>VLOOKUP(tabPontoPed[[#This Row],[GRUPO]],tabGrupos[#Data],3,FALSE)</f>
        <v>MEL</v>
      </c>
      <c r="H494" s="33" t="s">
        <v>1311</v>
      </c>
      <c r="I494" s="80">
        <v>4</v>
      </c>
      <c r="J494" s="39">
        <v>3</v>
      </c>
      <c r="K494" s="41">
        <f>tabPontoPed[[#This Row],[QTDMÊS]] * tabPontoPed[[#This Row],[MENSAL]]</f>
        <v>12</v>
      </c>
      <c r="L494" s="83"/>
      <c r="M494" s="81"/>
      <c r="N494" s="34" t="s">
        <v>1009</v>
      </c>
      <c r="O494" s="76" t="s">
        <v>1676</v>
      </c>
      <c r="P494" s="77">
        <v>0</v>
      </c>
      <c r="Q494" s="57">
        <v>0</v>
      </c>
      <c r="R494" s="42">
        <v>4</v>
      </c>
      <c r="S494" s="69" t="str">
        <f>_xlfn.IFNA(IF(VLOOKUP(tabPontoPed[[#This Row],[CÓDIGO]],tabExcluirDoEstoque[#Data],1,FALSE),"sim",""),"")</f>
        <v/>
      </c>
      <c r="T494" s="43">
        <f>IF(AND(tabPontoPed[[#This Row],[MENSAL]]&gt;0,tabPontoPed[[#This Row],[CÁLCULO]]&gt;0), ABS( tabPontoPed[[#This Row],[MENSAL]] - tabPontoPed[[#This Row],[CÁLCULO]] ) / tabPontoPed[[#This Row],[MENSAL]], -1 )</f>
        <v>0.33333333333333331</v>
      </c>
      <c r="U494" s="58">
        <v>20</v>
      </c>
      <c r="V494" s="35">
        <f>IF(AND(tabPontoPed[[#This Row],[MENSAL]]&gt;0,tabPontoPed[[#This Row],[CÁLCULO]]&gt;0), IF( tabPontoPed[[#This Row],[MENSAL]] - tabPontoPed[[#This Row],[CÁLCULO]] &lt; 0, -1, IF( tabPontoPed[[#This Row],[MENSAL]] - tabPontoPed[[#This Row],[CÁLCULO]] &gt; 0, 1, -8)), -9 )</f>
        <v>-1</v>
      </c>
      <c r="W494" s="35"/>
      <c r="X494" s="49" t="s">
        <v>1564</v>
      </c>
      <c r="Y494" s="51">
        <v>44391.599108796298</v>
      </c>
      <c r="Z494" s="72">
        <f>tabPontoPed[CÁLC_4M] - tabPontoPed[CÁLCULO]</f>
        <v>-4</v>
      </c>
      <c r="AA494" s="79" t="str">
        <f>IF(tabPontoPed[MENSAL]-tabPontoPed[ATA MENSAL] = 0,"sim","")</f>
        <v/>
      </c>
      <c r="AB494" s="79"/>
      <c r="AC494" s="47" t="str">
        <f t="shared" si="7"/>
        <v>*</v>
      </c>
    </row>
    <row r="495" spans="1:29" x14ac:dyDescent="0.25">
      <c r="A495" s="36">
        <v>13558</v>
      </c>
      <c r="B495" s="68" t="s">
        <v>250</v>
      </c>
      <c r="C495" s="33" t="s">
        <v>1317</v>
      </c>
      <c r="D495" s="32">
        <v>61</v>
      </c>
      <c r="E495" s="37">
        <v>2</v>
      </c>
      <c r="F495" s="38" t="str">
        <f>VLOOKUP(tabPontoPed[[#This Row],[GRUPO]],tabGrupos[#Data],2,FALSE)</f>
        <v>MATERIAL HIDRAULICO, CANOS, TUBOS, MANGUEIRAS, CONEXOES E ACESS.</v>
      </c>
      <c r="G495" s="32" t="str">
        <f>VLOOKUP(tabPontoPed[[#This Row],[GRUPO]],tabGrupos[#Data],3,FALSE)</f>
        <v>MHI</v>
      </c>
      <c r="H495" s="33" t="s">
        <v>1311</v>
      </c>
      <c r="I495" s="80">
        <v>4</v>
      </c>
      <c r="J495" s="39">
        <v>9</v>
      </c>
      <c r="K495" s="41">
        <f>tabPontoPed[[#This Row],[QTDMÊS]] * tabPontoPed[[#This Row],[MENSAL]]</f>
        <v>36</v>
      </c>
      <c r="L495" s="83"/>
      <c r="M495" s="81"/>
      <c r="N495" s="34" t="s">
        <v>1009</v>
      </c>
      <c r="O495" s="76" t="s">
        <v>1687</v>
      </c>
      <c r="P495" s="77">
        <v>0</v>
      </c>
      <c r="Q495" s="57">
        <v>5</v>
      </c>
      <c r="R495" s="42">
        <v>6</v>
      </c>
      <c r="S495" s="69" t="str">
        <f>_xlfn.IFNA(IF(VLOOKUP(tabPontoPed[[#This Row],[CÓDIGO]],tabExcluirDoEstoque[#Data],1,FALSE),"sim",""),"")</f>
        <v/>
      </c>
      <c r="T495" s="43">
        <f>IF(AND(tabPontoPed[[#This Row],[MENSAL]]&gt;0,tabPontoPed[[#This Row],[CÁLCULO]]&gt;0), ABS( tabPontoPed[[#This Row],[MENSAL]] - tabPontoPed[[#This Row],[CÁLCULO]] ) / tabPontoPed[[#This Row],[MENSAL]], -1 )</f>
        <v>0.33333333333333331</v>
      </c>
      <c r="U495" s="58">
        <v>16</v>
      </c>
      <c r="V495" s="35">
        <f>IF(AND(tabPontoPed[[#This Row],[MENSAL]]&gt;0,tabPontoPed[[#This Row],[CÁLCULO]]&gt;0), IF( tabPontoPed[[#This Row],[MENSAL]] - tabPontoPed[[#This Row],[CÁLCULO]] &lt; 0, -1, IF( tabPontoPed[[#This Row],[MENSAL]] - tabPontoPed[[#This Row],[CÁLCULO]] &gt; 0, 1, -8)), -9 )</f>
        <v>1</v>
      </c>
      <c r="W495" s="35"/>
      <c r="X495" s="49" t="s">
        <v>1564</v>
      </c>
      <c r="Y495" s="51">
        <v>44391.599108796298</v>
      </c>
      <c r="Z495" s="72">
        <f>tabPontoPed[CÁLC_4M] - tabPontoPed[CÁLCULO]</f>
        <v>-1</v>
      </c>
      <c r="AA495" s="79" t="str">
        <f>IF(tabPontoPed[MENSAL]-tabPontoPed[ATA MENSAL] = 0,"sim","")</f>
        <v/>
      </c>
      <c r="AB495" s="79" t="s">
        <v>1614</v>
      </c>
      <c r="AC495" s="47" t="str">
        <f t="shared" si="7"/>
        <v>*</v>
      </c>
    </row>
    <row r="496" spans="1:29" x14ac:dyDescent="0.25">
      <c r="A496" s="36">
        <v>12824</v>
      </c>
      <c r="B496" s="68" t="s">
        <v>284</v>
      </c>
      <c r="C496" s="33" t="s">
        <v>1317</v>
      </c>
      <c r="D496" s="32">
        <v>61</v>
      </c>
      <c r="E496" s="37">
        <v>8</v>
      </c>
      <c r="F496" s="38" t="str">
        <f>VLOOKUP(tabPontoPed[[#This Row],[GRUPO]],tabGrupos[#Data],2,FALSE)</f>
        <v>MATERIAL HIDRAULICO, CANOS, TUBOS, MANGUEIRAS, CONEXOES E ACESS.</v>
      </c>
      <c r="G496" s="32" t="str">
        <f>VLOOKUP(tabPontoPed[[#This Row],[GRUPO]],tabGrupos[#Data],3,FALSE)</f>
        <v>MHI</v>
      </c>
      <c r="H496" s="33" t="s">
        <v>1311</v>
      </c>
      <c r="I496" s="80">
        <v>4</v>
      </c>
      <c r="J496" s="39">
        <v>6</v>
      </c>
      <c r="K496" s="41">
        <f>tabPontoPed[[#This Row],[QTDMÊS]] * tabPontoPed[[#This Row],[MENSAL]]</f>
        <v>24</v>
      </c>
      <c r="L496" s="83"/>
      <c r="M496" s="81"/>
      <c r="N496" s="34" t="s">
        <v>1009</v>
      </c>
      <c r="O496" s="76" t="s">
        <v>1678</v>
      </c>
      <c r="P496" s="77">
        <v>0</v>
      </c>
      <c r="Q496" s="57">
        <v>1</v>
      </c>
      <c r="R496" s="42">
        <v>4</v>
      </c>
      <c r="S496" s="69" t="str">
        <f>_xlfn.IFNA(IF(VLOOKUP(tabPontoPed[[#This Row],[CÓDIGO]],tabExcluirDoEstoque[#Data],1,FALSE),"sim",""),"")</f>
        <v/>
      </c>
      <c r="T496" s="43">
        <f>IF(AND(tabPontoPed[[#This Row],[MENSAL]]&gt;0,tabPontoPed[[#This Row],[CÁLCULO]]&gt;0), ABS( tabPontoPed[[#This Row],[MENSAL]] - tabPontoPed[[#This Row],[CÁLCULO]] ) / tabPontoPed[[#This Row],[MENSAL]], -1 )</f>
        <v>0.33333333333333331</v>
      </c>
      <c r="U496" s="58">
        <v>18</v>
      </c>
      <c r="V496" s="35">
        <f>IF(AND(tabPontoPed[[#This Row],[MENSAL]]&gt;0,tabPontoPed[[#This Row],[CÁLCULO]]&gt;0), IF( tabPontoPed[[#This Row],[MENSAL]] - tabPontoPed[[#This Row],[CÁLCULO]] &lt; 0, -1, IF( tabPontoPed[[#This Row],[MENSAL]] - tabPontoPed[[#This Row],[CÁLCULO]] &gt; 0, 1, -8)), -9 )</f>
        <v>1</v>
      </c>
      <c r="W496" s="35"/>
      <c r="X496" s="49" t="s">
        <v>1564</v>
      </c>
      <c r="Y496" s="51">
        <v>44391.599108796298</v>
      </c>
      <c r="Z496" s="72">
        <f>tabPontoPed[CÁLC_4M] - tabPontoPed[CÁLCULO]</f>
        <v>-3</v>
      </c>
      <c r="AA496" s="79" t="str">
        <f>IF(tabPontoPed[MENSAL]-tabPontoPed[ATA MENSAL] = 0,"sim","")</f>
        <v/>
      </c>
      <c r="AB496" s="79"/>
      <c r="AC496" s="47" t="str">
        <f t="shared" si="7"/>
        <v>*</v>
      </c>
    </row>
    <row r="497" spans="1:29" x14ac:dyDescent="0.25">
      <c r="A497" s="36">
        <v>54017</v>
      </c>
      <c r="B497" s="68" t="s">
        <v>756</v>
      </c>
      <c r="C497" s="33" t="s">
        <v>1317</v>
      </c>
      <c r="D497" s="32">
        <v>61</v>
      </c>
      <c r="E497" s="37">
        <v>8</v>
      </c>
      <c r="F497" s="38" t="str">
        <f>VLOOKUP(tabPontoPed[[#This Row],[GRUPO]],tabGrupos[#Data],2,FALSE)</f>
        <v>MATERIAL HIDRAULICO, CANOS, TUBOS, MANGUEIRAS, CONEXOES E ACESS.</v>
      </c>
      <c r="G497" s="32" t="str">
        <f>VLOOKUP(tabPontoPed[[#This Row],[GRUPO]],tabGrupos[#Data],3,FALSE)</f>
        <v>MHI</v>
      </c>
      <c r="H497" s="33" t="s">
        <v>1311</v>
      </c>
      <c r="I497" s="80">
        <v>4</v>
      </c>
      <c r="J497" s="39">
        <v>3</v>
      </c>
      <c r="K497" s="41">
        <f>tabPontoPed[[#This Row],[QTDMÊS]] * tabPontoPed[[#This Row],[MENSAL]]</f>
        <v>12</v>
      </c>
      <c r="L497" s="83"/>
      <c r="M497" s="81"/>
      <c r="N497" s="34" t="s">
        <v>1009</v>
      </c>
      <c r="O497" s="76"/>
      <c r="P497" s="77">
        <v>0</v>
      </c>
      <c r="Q497" s="57">
        <v>4</v>
      </c>
      <c r="R497" s="42">
        <v>4</v>
      </c>
      <c r="S497" s="69" t="str">
        <f>_xlfn.IFNA(IF(VLOOKUP(tabPontoPed[[#This Row],[CÓDIGO]],tabExcluirDoEstoque[#Data],1,FALSE),"sim",""),"")</f>
        <v/>
      </c>
      <c r="T497" s="43">
        <f>IF(AND(tabPontoPed[[#This Row],[MENSAL]]&gt;0,tabPontoPed[[#This Row],[CÁLCULO]]&gt;0), ABS( tabPontoPed[[#This Row],[MENSAL]] - tabPontoPed[[#This Row],[CÁLCULO]] ) / tabPontoPed[[#This Row],[MENSAL]], -1 )</f>
        <v>0.33333333333333331</v>
      </c>
      <c r="U497" s="58">
        <v>15</v>
      </c>
      <c r="V497" s="35">
        <f>IF(AND(tabPontoPed[[#This Row],[MENSAL]]&gt;0,tabPontoPed[[#This Row],[CÁLCULO]]&gt;0), IF( tabPontoPed[[#This Row],[MENSAL]] - tabPontoPed[[#This Row],[CÁLCULO]] &lt; 0, -1, IF( tabPontoPed[[#This Row],[MENSAL]] - tabPontoPed[[#This Row],[CÁLCULO]] &gt; 0, 1, -8)), -9 )</f>
        <v>-1</v>
      </c>
      <c r="W497" s="35"/>
      <c r="X497" s="49" t="s">
        <v>1564</v>
      </c>
      <c r="Y497" s="51">
        <v>44391.599108796298</v>
      </c>
      <c r="Z497" s="72">
        <f>tabPontoPed[CÁLC_4M] - tabPontoPed[CÁLCULO]</f>
        <v>0</v>
      </c>
      <c r="AA497" s="79" t="str">
        <f>IF(tabPontoPed[MENSAL]-tabPontoPed[ATA MENSAL] = 0,"sim","")</f>
        <v/>
      </c>
      <c r="AB497" s="79"/>
      <c r="AC497" s="47" t="str">
        <f t="shared" si="7"/>
        <v>*</v>
      </c>
    </row>
    <row r="498" spans="1:29" x14ac:dyDescent="0.25">
      <c r="A498" s="36">
        <v>125173</v>
      </c>
      <c r="B498" s="68" t="s">
        <v>300</v>
      </c>
      <c r="C498" s="33" t="s">
        <v>1317</v>
      </c>
      <c r="D498" s="32">
        <v>61</v>
      </c>
      <c r="E498" s="37">
        <v>8</v>
      </c>
      <c r="F498" s="38" t="str">
        <f>VLOOKUP(tabPontoPed[[#This Row],[GRUPO]],tabGrupos[#Data],2,FALSE)</f>
        <v>MATERIAL HIDRAULICO, CANOS, TUBOS, MANGUEIRAS, CONEXOES E ACESS.</v>
      </c>
      <c r="G498" s="32" t="str">
        <f>VLOOKUP(tabPontoPed[[#This Row],[GRUPO]],tabGrupos[#Data],3,FALSE)</f>
        <v>MHI</v>
      </c>
      <c r="H498" s="33" t="s">
        <v>1311</v>
      </c>
      <c r="I498" s="80">
        <v>4</v>
      </c>
      <c r="J498" s="39">
        <v>9</v>
      </c>
      <c r="K498" s="41">
        <f>tabPontoPed[[#This Row],[QTDMÊS]] * tabPontoPed[[#This Row],[MENSAL]]</f>
        <v>36</v>
      </c>
      <c r="L498" s="83"/>
      <c r="M498" s="81"/>
      <c r="N498" s="34" t="s">
        <v>1009</v>
      </c>
      <c r="O498" s="76" t="s">
        <v>1678</v>
      </c>
      <c r="P498" s="77">
        <v>0</v>
      </c>
      <c r="Q498" s="57">
        <v>4</v>
      </c>
      <c r="R498" s="42">
        <v>6</v>
      </c>
      <c r="S498" s="69" t="str">
        <f>_xlfn.IFNA(IF(VLOOKUP(tabPontoPed[[#This Row],[CÓDIGO]],tabExcluirDoEstoque[#Data],1,FALSE),"sim",""),"")</f>
        <v/>
      </c>
      <c r="T498" s="43">
        <f>IF(AND(tabPontoPed[[#This Row],[MENSAL]]&gt;0,tabPontoPed[[#This Row],[CÁLCULO]]&gt;0), ABS( tabPontoPed[[#This Row],[MENSAL]] - tabPontoPed[[#This Row],[CÁLCULO]] ) / tabPontoPed[[#This Row],[MENSAL]], -1 )</f>
        <v>0.33333333333333331</v>
      </c>
      <c r="U498" s="58">
        <v>12</v>
      </c>
      <c r="V498" s="35">
        <f>IF(AND(tabPontoPed[[#This Row],[MENSAL]]&gt;0,tabPontoPed[[#This Row],[CÁLCULO]]&gt;0), IF( tabPontoPed[[#This Row],[MENSAL]] - tabPontoPed[[#This Row],[CÁLCULO]] &lt; 0, -1, IF( tabPontoPed[[#This Row],[MENSAL]] - tabPontoPed[[#This Row],[CÁLCULO]] &gt; 0, 1, -8)), -9 )</f>
        <v>1</v>
      </c>
      <c r="W498" s="35"/>
      <c r="X498" s="49" t="s">
        <v>1564</v>
      </c>
      <c r="Y498" s="51">
        <v>44391.599108796298</v>
      </c>
      <c r="Z498" s="72">
        <f>tabPontoPed[CÁLC_4M] - tabPontoPed[CÁLCULO]</f>
        <v>-2</v>
      </c>
      <c r="AA498" s="79" t="str">
        <f>IF(tabPontoPed[MENSAL]-tabPontoPed[ATA MENSAL] = 0,"sim","")</f>
        <v/>
      </c>
      <c r="AB498" s="79" t="s">
        <v>1614</v>
      </c>
      <c r="AC498" s="47" t="str">
        <f t="shared" si="7"/>
        <v>*</v>
      </c>
    </row>
    <row r="499" spans="1:29" x14ac:dyDescent="0.25">
      <c r="A499" s="36">
        <v>13092</v>
      </c>
      <c r="B499" s="68" t="s">
        <v>311</v>
      </c>
      <c r="C499" s="33" t="s">
        <v>1317</v>
      </c>
      <c r="D499" s="32">
        <v>61</v>
      </c>
      <c r="E499" s="37">
        <v>11</v>
      </c>
      <c r="F499" s="38" t="str">
        <f>VLOOKUP(tabPontoPed[[#This Row],[GRUPO]],tabGrupos[#Data],2,FALSE)</f>
        <v>MATERIAL HIDRAULICO, CANOS, TUBOS, MANGUEIRAS, CONEXOES E ACESS.</v>
      </c>
      <c r="G499" s="32" t="str">
        <f>VLOOKUP(tabPontoPed[[#This Row],[GRUPO]],tabGrupos[#Data],3,FALSE)</f>
        <v>MHI</v>
      </c>
      <c r="H499" s="33" t="s">
        <v>1311</v>
      </c>
      <c r="I499" s="80">
        <v>4</v>
      </c>
      <c r="J499" s="39">
        <v>9</v>
      </c>
      <c r="K499" s="41">
        <f>tabPontoPed[[#This Row],[QTDMÊS]] * tabPontoPed[[#This Row],[MENSAL]]</f>
        <v>36</v>
      </c>
      <c r="L499" s="83"/>
      <c r="M499" s="81"/>
      <c r="N499" s="34" t="s">
        <v>1009</v>
      </c>
      <c r="O499" s="76" t="s">
        <v>1678</v>
      </c>
      <c r="P499" s="77">
        <v>0</v>
      </c>
      <c r="Q499" s="57">
        <v>7</v>
      </c>
      <c r="R499" s="42">
        <v>12</v>
      </c>
      <c r="S499" s="69" t="str">
        <f>_xlfn.IFNA(IF(VLOOKUP(tabPontoPed[[#This Row],[CÓDIGO]],tabExcluirDoEstoque[#Data],1,FALSE),"sim",""),"")</f>
        <v/>
      </c>
      <c r="T499" s="43">
        <f>IF(AND(tabPontoPed[[#This Row],[MENSAL]]&gt;0,tabPontoPed[[#This Row],[CÁLCULO]]&gt;0), ABS( tabPontoPed[[#This Row],[MENSAL]] - tabPontoPed[[#This Row],[CÁLCULO]] ) / tabPontoPed[[#This Row],[MENSAL]], -1 )</f>
        <v>0.33333333333333331</v>
      </c>
      <c r="U499" s="58">
        <v>44</v>
      </c>
      <c r="V499" s="35">
        <f>IF(AND(tabPontoPed[[#This Row],[MENSAL]]&gt;0,tabPontoPed[[#This Row],[CÁLCULO]]&gt;0), IF( tabPontoPed[[#This Row],[MENSAL]] - tabPontoPed[[#This Row],[CÁLCULO]] &lt; 0, -1, IF( tabPontoPed[[#This Row],[MENSAL]] - tabPontoPed[[#This Row],[CÁLCULO]] &gt; 0, 1, -8)), -9 )</f>
        <v>-1</v>
      </c>
      <c r="W499" s="35"/>
      <c r="X499" s="49" t="s">
        <v>1564</v>
      </c>
      <c r="Y499" s="51">
        <v>44391.599108796298</v>
      </c>
      <c r="Z499" s="72">
        <f>tabPontoPed[CÁLC_4M] - tabPontoPed[CÁLCULO]</f>
        <v>-5</v>
      </c>
      <c r="AA499" s="79" t="str">
        <f>IF(tabPontoPed[MENSAL]-tabPontoPed[ATA MENSAL] = 0,"sim","")</f>
        <v/>
      </c>
      <c r="AB499" s="79"/>
      <c r="AC499" s="47" t="str">
        <f t="shared" si="7"/>
        <v>*</v>
      </c>
    </row>
    <row r="500" spans="1:29" x14ac:dyDescent="0.25">
      <c r="A500" s="36">
        <v>35224</v>
      </c>
      <c r="B500" s="68" t="s">
        <v>791</v>
      </c>
      <c r="C500" s="33" t="s">
        <v>1317</v>
      </c>
      <c r="D500" s="32">
        <v>61</v>
      </c>
      <c r="E500" s="37">
        <v>15</v>
      </c>
      <c r="F500" s="38" t="str">
        <f>VLOOKUP(tabPontoPed[[#This Row],[GRUPO]],tabGrupos[#Data],2,FALSE)</f>
        <v>MATERIAL HIDRAULICO, CANOS, TUBOS, MANGUEIRAS, CONEXOES E ACESS.</v>
      </c>
      <c r="G500" s="32" t="str">
        <f>VLOOKUP(tabPontoPed[[#This Row],[GRUPO]],tabGrupos[#Data],3,FALSE)</f>
        <v>MHI</v>
      </c>
      <c r="H500" s="33" t="s">
        <v>1311</v>
      </c>
      <c r="I500" s="80">
        <v>4</v>
      </c>
      <c r="J500" s="39">
        <v>3</v>
      </c>
      <c r="K500" s="41">
        <f>tabPontoPed[[#This Row],[QTDMÊS]] * tabPontoPed[[#This Row],[MENSAL]]</f>
        <v>12</v>
      </c>
      <c r="L500" s="83"/>
      <c r="M500" s="81"/>
      <c r="N500" s="34" t="s">
        <v>1009</v>
      </c>
      <c r="O500" s="76" t="s">
        <v>1691</v>
      </c>
      <c r="P500" s="77">
        <v>0</v>
      </c>
      <c r="Q500" s="57">
        <v>1</v>
      </c>
      <c r="R500" s="42">
        <v>2</v>
      </c>
      <c r="S500" s="69" t="str">
        <f>_xlfn.IFNA(IF(VLOOKUP(tabPontoPed[[#This Row],[CÓDIGO]],tabExcluirDoEstoque[#Data],1,FALSE),"sim",""),"")</f>
        <v/>
      </c>
      <c r="T500" s="43">
        <f>IF(AND(tabPontoPed[[#This Row],[MENSAL]]&gt;0,tabPontoPed[[#This Row],[CÁLCULO]]&gt;0), ABS( tabPontoPed[[#This Row],[MENSAL]] - tabPontoPed[[#This Row],[CÁLCULO]] ) / tabPontoPed[[#This Row],[MENSAL]], -1 )</f>
        <v>0.33333333333333331</v>
      </c>
      <c r="U500" s="58">
        <v>5</v>
      </c>
      <c r="V500" s="35">
        <f>IF(AND(tabPontoPed[[#This Row],[MENSAL]]&gt;0,tabPontoPed[[#This Row],[CÁLCULO]]&gt;0), IF( tabPontoPed[[#This Row],[MENSAL]] - tabPontoPed[[#This Row],[CÁLCULO]] &lt; 0, -1, IF( tabPontoPed[[#This Row],[MENSAL]] - tabPontoPed[[#This Row],[CÁLCULO]] &gt; 0, 1, -8)), -9 )</f>
        <v>1</v>
      </c>
      <c r="W500" s="35"/>
      <c r="X500" s="48" t="s">
        <v>1564</v>
      </c>
      <c r="Y500" s="53">
        <v>44391.599108796298</v>
      </c>
      <c r="Z500" s="72">
        <f>tabPontoPed[CÁLC_4M] - tabPontoPed[CÁLCULO]</f>
        <v>-1</v>
      </c>
      <c r="AA500" s="79" t="str">
        <f>IF(tabPontoPed[MENSAL]-tabPontoPed[ATA MENSAL] = 0,"sim","")</f>
        <v/>
      </c>
      <c r="AB500" s="79" t="s">
        <v>1614</v>
      </c>
      <c r="AC500" s="47" t="str">
        <f t="shared" si="7"/>
        <v>*</v>
      </c>
    </row>
    <row r="501" spans="1:29" x14ac:dyDescent="0.25">
      <c r="A501" s="36">
        <v>53849</v>
      </c>
      <c r="B501" s="68" t="s">
        <v>320</v>
      </c>
      <c r="C501" s="33" t="s">
        <v>1317</v>
      </c>
      <c r="D501" s="32">
        <v>61</v>
      </c>
      <c r="E501" s="37">
        <v>15</v>
      </c>
      <c r="F501" s="38" t="str">
        <f>VLOOKUP(tabPontoPed[[#This Row],[GRUPO]],tabGrupos[#Data],2,FALSE)</f>
        <v>MATERIAL HIDRAULICO, CANOS, TUBOS, MANGUEIRAS, CONEXOES E ACESS.</v>
      </c>
      <c r="G501" s="32" t="str">
        <f>VLOOKUP(tabPontoPed[[#This Row],[GRUPO]],tabGrupos[#Data],3,FALSE)</f>
        <v>MHI</v>
      </c>
      <c r="H501" s="33" t="s">
        <v>1311</v>
      </c>
      <c r="I501" s="80">
        <v>4</v>
      </c>
      <c r="J501" s="39">
        <v>3</v>
      </c>
      <c r="K501" s="41">
        <f>tabPontoPed[[#This Row],[QTDMÊS]] * tabPontoPed[[#This Row],[MENSAL]]</f>
        <v>12</v>
      </c>
      <c r="L501" s="83"/>
      <c r="M501" s="81"/>
      <c r="N501" s="34" t="s">
        <v>1009</v>
      </c>
      <c r="O501" s="76" t="s">
        <v>1679</v>
      </c>
      <c r="P501" s="77">
        <v>0</v>
      </c>
      <c r="Q501" s="57">
        <v>2</v>
      </c>
      <c r="R501" s="42">
        <v>2</v>
      </c>
      <c r="S501" s="69" t="str">
        <f>_xlfn.IFNA(IF(VLOOKUP(tabPontoPed[[#This Row],[CÓDIGO]],tabExcluirDoEstoque[#Data],1,FALSE),"sim",""),"")</f>
        <v/>
      </c>
      <c r="T501" s="43">
        <f>IF(AND(tabPontoPed[[#This Row],[MENSAL]]&gt;0,tabPontoPed[[#This Row],[CÁLCULO]]&gt;0), ABS( tabPontoPed[[#This Row],[MENSAL]] - tabPontoPed[[#This Row],[CÁLCULO]] ) / tabPontoPed[[#This Row],[MENSAL]], -1 )</f>
        <v>0.33333333333333331</v>
      </c>
      <c r="U501" s="58">
        <v>8</v>
      </c>
      <c r="V501" s="35">
        <f>IF(AND(tabPontoPed[[#This Row],[MENSAL]]&gt;0,tabPontoPed[[#This Row],[CÁLCULO]]&gt;0), IF( tabPontoPed[[#This Row],[MENSAL]] - tabPontoPed[[#This Row],[CÁLCULO]] &lt; 0, -1, IF( tabPontoPed[[#This Row],[MENSAL]] - tabPontoPed[[#This Row],[CÁLCULO]] &gt; 0, 1, -8)), -9 )</f>
        <v>1</v>
      </c>
      <c r="W501" s="35"/>
      <c r="X501" s="49" t="s">
        <v>1564</v>
      </c>
      <c r="Y501" s="51">
        <v>44391.599108796298</v>
      </c>
      <c r="Z501" s="72">
        <f>tabPontoPed[CÁLC_4M] - tabPontoPed[CÁLCULO]</f>
        <v>0</v>
      </c>
      <c r="AA501" s="79" t="str">
        <f>IF(tabPontoPed[MENSAL]-tabPontoPed[ATA MENSAL] = 0,"sim","")</f>
        <v/>
      </c>
      <c r="AB501" s="79"/>
      <c r="AC501" s="47" t="str">
        <f t="shared" si="7"/>
        <v>*</v>
      </c>
    </row>
    <row r="502" spans="1:29" x14ac:dyDescent="0.25">
      <c r="A502" s="36">
        <v>124963</v>
      </c>
      <c r="B502" s="68" t="s">
        <v>824</v>
      </c>
      <c r="C502" s="33" t="s">
        <v>1317</v>
      </c>
      <c r="D502" s="32">
        <v>67</v>
      </c>
      <c r="E502" s="37">
        <v>3</v>
      </c>
      <c r="F502" s="38" t="str">
        <f>VLOOKUP(tabPontoPed[[#This Row],[GRUPO]],tabGrupos[#Data],2,FALSE)</f>
        <v>PARAFUSOS ELEM. VEDACAO UNIAO CONEX . FIXACAO</v>
      </c>
      <c r="G502" s="32" t="str">
        <f>VLOOKUP(tabPontoPed[[#This Row],[GRUPO]],tabGrupos[#Data],3,FALSE)</f>
        <v>MSE</v>
      </c>
      <c r="H502" s="33" t="s">
        <v>1311</v>
      </c>
      <c r="I502" s="80">
        <v>4</v>
      </c>
      <c r="J502" s="39">
        <v>6</v>
      </c>
      <c r="K502" s="41">
        <f>tabPontoPed[[#This Row],[QTDMÊS]] * tabPontoPed[[#This Row],[MENSAL]]</f>
        <v>24</v>
      </c>
      <c r="L502" s="83"/>
      <c r="M502" s="81"/>
      <c r="N502" s="34" t="s">
        <v>1009</v>
      </c>
      <c r="O502" s="76"/>
      <c r="P502" s="77">
        <v>0</v>
      </c>
      <c r="Q502" s="57">
        <v>3</v>
      </c>
      <c r="R502" s="42">
        <v>4</v>
      </c>
      <c r="S502" s="69" t="str">
        <f>_xlfn.IFNA(IF(VLOOKUP(tabPontoPed[[#This Row],[CÓDIGO]],tabExcluirDoEstoque[#Data],1,FALSE),"sim",""),"")</f>
        <v/>
      </c>
      <c r="T502" s="43">
        <f>IF(AND(tabPontoPed[[#This Row],[MENSAL]]&gt;0,tabPontoPed[[#This Row],[CÁLCULO]]&gt;0), ABS( tabPontoPed[[#This Row],[MENSAL]] - tabPontoPed[[#This Row],[CÁLCULO]] ) / tabPontoPed[[#This Row],[MENSAL]], -1 )</f>
        <v>0.33333333333333331</v>
      </c>
      <c r="U502" s="58">
        <v>16</v>
      </c>
      <c r="V502" s="35">
        <f>IF(AND(tabPontoPed[[#This Row],[MENSAL]]&gt;0,tabPontoPed[[#This Row],[CÁLCULO]]&gt;0), IF( tabPontoPed[[#This Row],[MENSAL]] - tabPontoPed[[#This Row],[CÁLCULO]] &lt; 0, -1, IF( tabPontoPed[[#This Row],[MENSAL]] - tabPontoPed[[#This Row],[CÁLCULO]] &gt; 0, 1, -8)), -9 )</f>
        <v>1</v>
      </c>
      <c r="W502" s="35"/>
      <c r="X502" s="49" t="s">
        <v>1564</v>
      </c>
      <c r="Y502" s="51">
        <v>44391.599108796298</v>
      </c>
      <c r="Z502" s="72">
        <f>tabPontoPed[CÁLC_4M] - tabPontoPed[CÁLCULO]</f>
        <v>-1</v>
      </c>
      <c r="AA502" s="79" t="str">
        <f>IF(tabPontoPed[MENSAL]-tabPontoPed[ATA MENSAL] = 0,"sim","")</f>
        <v/>
      </c>
      <c r="AB502" s="79"/>
      <c r="AC502" s="47" t="str">
        <f t="shared" si="7"/>
        <v>*</v>
      </c>
    </row>
    <row r="503" spans="1:29" x14ac:dyDescent="0.25">
      <c r="A503" s="36">
        <v>125201</v>
      </c>
      <c r="B503" s="68" t="s">
        <v>825</v>
      </c>
      <c r="C503" s="33" t="s">
        <v>1317</v>
      </c>
      <c r="D503" s="32">
        <v>67</v>
      </c>
      <c r="E503" s="37">
        <v>3</v>
      </c>
      <c r="F503" s="38" t="str">
        <f>VLOOKUP(tabPontoPed[[#This Row],[GRUPO]],tabGrupos[#Data],2,FALSE)</f>
        <v>PARAFUSOS ELEM. VEDACAO UNIAO CONEX . FIXACAO</v>
      </c>
      <c r="G503" s="32" t="str">
        <f>VLOOKUP(tabPontoPed[[#This Row],[GRUPO]],tabGrupos[#Data],3,FALSE)</f>
        <v>MSE</v>
      </c>
      <c r="H503" s="33" t="s">
        <v>1311</v>
      </c>
      <c r="I503" s="80">
        <v>4</v>
      </c>
      <c r="J503" s="39">
        <v>6</v>
      </c>
      <c r="K503" s="41">
        <f>tabPontoPed[[#This Row],[QTDMÊS]] * tabPontoPed[[#This Row],[MENSAL]]</f>
        <v>24</v>
      </c>
      <c r="L503" s="83"/>
      <c r="M503" s="81"/>
      <c r="N503" s="34" t="s">
        <v>1009</v>
      </c>
      <c r="O503" s="76"/>
      <c r="P503" s="77">
        <v>0</v>
      </c>
      <c r="Q503" s="57">
        <v>4</v>
      </c>
      <c r="R503" s="42">
        <v>4</v>
      </c>
      <c r="S503" s="69" t="str">
        <f>_xlfn.IFNA(IF(VLOOKUP(tabPontoPed[[#This Row],[CÓDIGO]],tabExcluirDoEstoque[#Data],1,FALSE),"sim",""),"")</f>
        <v/>
      </c>
      <c r="T503" s="43">
        <f>IF(AND(tabPontoPed[[#This Row],[MENSAL]]&gt;0,tabPontoPed[[#This Row],[CÁLCULO]]&gt;0), ABS( tabPontoPed[[#This Row],[MENSAL]] - tabPontoPed[[#This Row],[CÁLCULO]] ) / tabPontoPed[[#This Row],[MENSAL]], -1 )</f>
        <v>0.33333333333333331</v>
      </c>
      <c r="U503" s="58">
        <v>10</v>
      </c>
      <c r="V503" s="35">
        <f>IF(AND(tabPontoPed[[#This Row],[MENSAL]]&gt;0,tabPontoPed[[#This Row],[CÁLCULO]]&gt;0), IF( tabPontoPed[[#This Row],[MENSAL]] - tabPontoPed[[#This Row],[CÁLCULO]] &lt; 0, -1, IF( tabPontoPed[[#This Row],[MENSAL]] - tabPontoPed[[#This Row],[CÁLCULO]] &gt; 0, 1, -8)), -9 )</f>
        <v>1</v>
      </c>
      <c r="W503" s="35"/>
      <c r="X503" s="49" t="s">
        <v>1564</v>
      </c>
      <c r="Y503" s="51">
        <v>44391.599108796298</v>
      </c>
      <c r="Z503" s="72">
        <f>tabPontoPed[CÁLC_4M] - tabPontoPed[CÁLCULO]</f>
        <v>0</v>
      </c>
      <c r="AA503" s="79" t="str">
        <f>IF(tabPontoPed[MENSAL]-tabPontoPed[ATA MENSAL] = 0,"sim","")</f>
        <v/>
      </c>
      <c r="AB503" s="79"/>
      <c r="AC503" s="47" t="str">
        <f t="shared" si="7"/>
        <v>*</v>
      </c>
    </row>
    <row r="504" spans="1:29" x14ac:dyDescent="0.25">
      <c r="A504" s="36">
        <v>18357</v>
      </c>
      <c r="B504" s="68" t="s">
        <v>839</v>
      </c>
      <c r="C504" s="33" t="s">
        <v>1317</v>
      </c>
      <c r="D504" s="32">
        <v>67</v>
      </c>
      <c r="E504" s="37">
        <v>6</v>
      </c>
      <c r="F504" s="38" t="str">
        <f>VLOOKUP(tabPontoPed[[#This Row],[GRUPO]],tabGrupos[#Data],2,FALSE)</f>
        <v>PARAFUSOS ELEM. VEDACAO UNIAO CONEX . FIXACAO</v>
      </c>
      <c r="G504" s="32" t="str">
        <f>VLOOKUP(tabPontoPed[[#This Row],[GRUPO]],tabGrupos[#Data],3,FALSE)</f>
        <v>MSE</v>
      </c>
      <c r="H504" s="33" t="s">
        <v>1311</v>
      </c>
      <c r="I504" s="80">
        <v>4</v>
      </c>
      <c r="J504" s="39">
        <v>27</v>
      </c>
      <c r="K504" s="41">
        <f>tabPontoPed[[#This Row],[QTDMÊS]] * tabPontoPed[[#This Row],[MENSAL]]</f>
        <v>108</v>
      </c>
      <c r="L504" s="83"/>
      <c r="M504" s="81"/>
      <c r="N504" s="34" t="s">
        <v>1009</v>
      </c>
      <c r="O504" s="76"/>
      <c r="P504" s="77">
        <v>0</v>
      </c>
      <c r="Q504" s="57">
        <v>17</v>
      </c>
      <c r="R504" s="42">
        <v>18</v>
      </c>
      <c r="S504" s="69" t="str">
        <f>_xlfn.IFNA(IF(VLOOKUP(tabPontoPed[[#This Row],[CÓDIGO]],tabExcluirDoEstoque[#Data],1,FALSE),"sim",""),"")</f>
        <v/>
      </c>
      <c r="T504" s="43">
        <f>IF(AND(tabPontoPed[[#This Row],[MENSAL]]&gt;0,tabPontoPed[[#This Row],[CÁLCULO]]&gt;0), ABS( tabPontoPed[[#This Row],[MENSAL]] - tabPontoPed[[#This Row],[CÁLCULO]] ) / tabPontoPed[[#This Row],[MENSAL]], -1 )</f>
        <v>0.33333333333333331</v>
      </c>
      <c r="U504" s="58">
        <v>38</v>
      </c>
      <c r="V504" s="35">
        <f>IF(AND(tabPontoPed[[#This Row],[MENSAL]]&gt;0,tabPontoPed[[#This Row],[CÁLCULO]]&gt;0), IF( tabPontoPed[[#This Row],[MENSAL]] - tabPontoPed[[#This Row],[CÁLCULO]] &lt; 0, -1, IF( tabPontoPed[[#This Row],[MENSAL]] - tabPontoPed[[#This Row],[CÁLCULO]] &gt; 0, 1, -8)), -9 )</f>
        <v>1</v>
      </c>
      <c r="W504" s="35"/>
      <c r="X504" s="48" t="s">
        <v>1564</v>
      </c>
      <c r="Y504" s="53">
        <v>44391.599108796298</v>
      </c>
      <c r="Z504" s="72">
        <f>tabPontoPed[CÁLC_4M] - tabPontoPed[CÁLCULO]</f>
        <v>-1</v>
      </c>
      <c r="AA504" s="79" t="str">
        <f>IF(tabPontoPed[MENSAL]-tabPontoPed[ATA MENSAL] = 0,"sim","")</f>
        <v/>
      </c>
      <c r="AB504" s="79"/>
      <c r="AC504" s="47" t="str">
        <f t="shared" si="7"/>
        <v>*</v>
      </c>
    </row>
    <row r="505" spans="1:29" x14ac:dyDescent="0.25">
      <c r="A505" s="36">
        <v>102694</v>
      </c>
      <c r="B505" s="68" t="s">
        <v>890</v>
      </c>
      <c r="C505" s="33" t="s">
        <v>1317</v>
      </c>
      <c r="D505" s="32">
        <v>69</v>
      </c>
      <c r="E505" s="37">
        <v>5</v>
      </c>
      <c r="F505" s="38" t="str">
        <f>VLOOKUP(tabPontoPed[[#This Row],[GRUPO]],tabGrupos[#Data],2,FALSE)</f>
        <v>METAIS,LAMINAD.,PERFILADOS E ARTEFATOS METALICOS</v>
      </c>
      <c r="G505" s="32" t="str">
        <f>VLOOKUP(tabPontoPed[[#This Row],[GRUPO]],tabGrupos[#Data],3,FALSE)</f>
        <v>MSE</v>
      </c>
      <c r="H505" s="33" t="s">
        <v>1311</v>
      </c>
      <c r="I505" s="80">
        <v>4</v>
      </c>
      <c r="J505" s="39">
        <v>3</v>
      </c>
      <c r="K505" s="41">
        <f>tabPontoPed[[#This Row],[QTDMÊS]] * tabPontoPed[[#This Row],[MENSAL]]</f>
        <v>12</v>
      </c>
      <c r="L505" s="83"/>
      <c r="M505" s="81"/>
      <c r="N505" s="34" t="s">
        <v>1009</v>
      </c>
      <c r="O505" s="76"/>
      <c r="P505" s="77">
        <v>0</v>
      </c>
      <c r="Q505" s="57">
        <v>0</v>
      </c>
      <c r="R505" s="42">
        <v>2</v>
      </c>
      <c r="S505" s="69" t="str">
        <f>_xlfn.IFNA(IF(VLOOKUP(tabPontoPed[[#This Row],[CÓDIGO]],tabExcluirDoEstoque[#Data],1,FALSE),"sim",""),"")</f>
        <v/>
      </c>
      <c r="T505" s="43">
        <f>IF(AND(tabPontoPed[[#This Row],[MENSAL]]&gt;0,tabPontoPed[[#This Row],[CÁLCULO]]&gt;0), ABS( tabPontoPed[[#This Row],[MENSAL]] - tabPontoPed[[#This Row],[CÁLCULO]] ) / tabPontoPed[[#This Row],[MENSAL]], -1 )</f>
        <v>0.33333333333333331</v>
      </c>
      <c r="U505" s="58">
        <v>12</v>
      </c>
      <c r="V505" s="35">
        <f>IF(AND(tabPontoPed[[#This Row],[MENSAL]]&gt;0,tabPontoPed[[#This Row],[CÁLCULO]]&gt;0), IF( tabPontoPed[[#This Row],[MENSAL]] - tabPontoPed[[#This Row],[CÁLCULO]] &lt; 0, -1, IF( tabPontoPed[[#This Row],[MENSAL]] - tabPontoPed[[#This Row],[CÁLCULO]] &gt; 0, 1, -8)), -9 )</f>
        <v>1</v>
      </c>
      <c r="W505" s="35"/>
      <c r="X505" s="48" t="s">
        <v>1564</v>
      </c>
      <c r="Y505" s="53">
        <v>44391.599108796298</v>
      </c>
      <c r="Z505" s="72">
        <f>tabPontoPed[CÁLC_4M] - tabPontoPed[CÁLCULO]</f>
        <v>-2</v>
      </c>
      <c r="AA505" s="79" t="str">
        <f>IF(tabPontoPed[MENSAL]-tabPontoPed[ATA MENSAL] = 0,"sim","")</f>
        <v/>
      </c>
      <c r="AB505" s="79"/>
      <c r="AC505" s="47" t="str">
        <f t="shared" si="7"/>
        <v>*</v>
      </c>
    </row>
    <row r="506" spans="1:29" x14ac:dyDescent="0.25">
      <c r="A506" s="36">
        <v>49254</v>
      </c>
      <c r="B506" s="68" t="s">
        <v>183</v>
      </c>
      <c r="C506" s="33" t="s">
        <v>1317</v>
      </c>
      <c r="D506" s="32">
        <v>72</v>
      </c>
      <c r="E506" s="37">
        <v>7</v>
      </c>
      <c r="F506" s="38" t="str">
        <f>VLOOKUP(tabPontoPed[[#This Row],[GRUPO]],tabGrupos[#Data],2,FALSE)</f>
        <v>MAQ.EQUIP.E MATERIAIS P/ HIGIEN.LIMP.POLIM.E LUBR.</v>
      </c>
      <c r="G506" s="32" t="str">
        <f>VLOOKUP(tabPontoPed[[#This Row],[GRUPO]],tabGrupos[#Data],3,FALSE)</f>
        <v>ADM</v>
      </c>
      <c r="H506" s="33" t="s">
        <v>1311</v>
      </c>
      <c r="I506" s="80">
        <v>4</v>
      </c>
      <c r="J506" s="39">
        <v>121</v>
      </c>
      <c r="K506" s="41">
        <f>tabPontoPed[[#This Row],[QTDMÊS]] * tabPontoPed[[#This Row],[MENSAL]]</f>
        <v>484</v>
      </c>
      <c r="L506" s="83"/>
      <c r="M506" s="81"/>
      <c r="N506" s="34" t="s">
        <v>1009</v>
      </c>
      <c r="O506" s="76"/>
      <c r="P506" s="77">
        <v>0</v>
      </c>
      <c r="Q506" s="57">
        <v>103</v>
      </c>
      <c r="R506" s="42">
        <v>81</v>
      </c>
      <c r="S506" s="69" t="str">
        <f>_xlfn.IFNA(IF(VLOOKUP(tabPontoPed[[#This Row],[CÓDIGO]],tabExcluirDoEstoque[#Data],1,FALSE),"sim",""),"")</f>
        <v/>
      </c>
      <c r="T506" s="43">
        <f>IF(AND(tabPontoPed[[#This Row],[MENSAL]]&gt;0,tabPontoPed[[#This Row],[CÁLCULO]]&gt;0), ABS( tabPontoPed[[#This Row],[MENSAL]] - tabPontoPed[[#This Row],[CÁLCULO]] ) / tabPontoPed[[#This Row],[MENSAL]], -1 )</f>
        <v>0.33057851239669422</v>
      </c>
      <c r="U506" s="58">
        <v>208</v>
      </c>
      <c r="V506" s="35">
        <f>IF(AND(tabPontoPed[[#This Row],[MENSAL]]&gt;0,tabPontoPed[[#This Row],[CÁLCULO]]&gt;0), IF( tabPontoPed[[#This Row],[MENSAL]] - tabPontoPed[[#This Row],[CÁLCULO]] &lt; 0, -1, IF( tabPontoPed[[#This Row],[MENSAL]] - tabPontoPed[[#This Row],[CÁLCULO]] &gt; 0, 1, -8)), -9 )</f>
        <v>1</v>
      </c>
      <c r="W506" s="35"/>
      <c r="X506" s="48" t="s">
        <v>1564</v>
      </c>
      <c r="Y506" s="53">
        <v>44391.599108796298</v>
      </c>
      <c r="Z506" s="72">
        <f>tabPontoPed[CÁLC_4M] - tabPontoPed[CÁLCULO]</f>
        <v>22</v>
      </c>
      <c r="AA506" s="79" t="str">
        <f>IF(tabPontoPed[MENSAL]-tabPontoPed[ATA MENSAL] = 0,"sim","")</f>
        <v/>
      </c>
      <c r="AB506" s="79"/>
      <c r="AC506" s="47" t="str">
        <f t="shared" si="7"/>
        <v>*</v>
      </c>
    </row>
    <row r="507" spans="1:29" x14ac:dyDescent="0.25">
      <c r="A507" s="36">
        <v>23687</v>
      </c>
      <c r="B507" s="68" t="s">
        <v>87</v>
      </c>
      <c r="C507" s="33" t="s">
        <v>1317</v>
      </c>
      <c r="D507" s="32">
        <v>57</v>
      </c>
      <c r="E507" s="37">
        <v>16</v>
      </c>
      <c r="F507" s="38" t="str">
        <f>VLOOKUP(tabPontoPed[[#This Row],[GRUPO]],tabGrupos[#Data],2,FALSE)</f>
        <v>MAQ. E EQUIP. P/ IND. GRAFICA COMP. ACESS. E PAPEI</v>
      </c>
      <c r="G507" s="32" t="str">
        <f>VLOOKUP(tabPontoPed[[#This Row],[GRUPO]],tabGrupos[#Data],3,FALSE)</f>
        <v>EDU</v>
      </c>
      <c r="H507" s="33" t="s">
        <v>1311</v>
      </c>
      <c r="I507" s="80">
        <v>4</v>
      </c>
      <c r="J507" s="39">
        <v>2084</v>
      </c>
      <c r="K507" s="41">
        <f>tabPontoPed[[#This Row],[QTDMÊS]] * tabPontoPed[[#This Row],[MENSAL]]</f>
        <v>8336</v>
      </c>
      <c r="L507" s="83"/>
      <c r="M507" s="81"/>
      <c r="N507" s="34" t="s">
        <v>1009</v>
      </c>
      <c r="O507" s="76" t="s">
        <v>1718</v>
      </c>
      <c r="P507" s="77">
        <v>0</v>
      </c>
      <c r="Q507" s="57">
        <v>2475</v>
      </c>
      <c r="R507" s="42">
        <v>1397</v>
      </c>
      <c r="S507" s="69" t="str">
        <f>_xlfn.IFNA(IF(VLOOKUP(tabPontoPed[[#This Row],[CÓDIGO]],tabExcluirDoEstoque[#Data],1,FALSE),"sim",""),"")</f>
        <v/>
      </c>
      <c r="T507" s="43">
        <f>IF(AND(tabPontoPed[[#This Row],[MENSAL]]&gt;0,tabPontoPed[[#This Row],[CÁLCULO]]&gt;0), ABS( tabPontoPed[[#This Row],[MENSAL]] - tabPontoPed[[#This Row],[CÁLCULO]] ) / tabPontoPed[[#This Row],[MENSAL]], -1 )</f>
        <v>0.32965451055662187</v>
      </c>
      <c r="U507" s="58">
        <v>5908</v>
      </c>
      <c r="V507" s="35">
        <f>IF(AND(tabPontoPed[[#This Row],[MENSAL]]&gt;0,tabPontoPed[[#This Row],[CÁLCULO]]&gt;0), IF( tabPontoPed[[#This Row],[MENSAL]] - tabPontoPed[[#This Row],[CÁLCULO]] &lt; 0, -1, IF( tabPontoPed[[#This Row],[MENSAL]] - tabPontoPed[[#This Row],[CÁLCULO]] &gt; 0, 1, -8)), -9 )</f>
        <v>1</v>
      </c>
      <c r="W507" s="35"/>
      <c r="X507" s="49" t="s">
        <v>1564</v>
      </c>
      <c r="Y507" s="51">
        <v>44391.599108796298</v>
      </c>
      <c r="Z507" s="72">
        <f>tabPontoPed[CÁLC_4M] - tabPontoPed[CÁLCULO]</f>
        <v>1078</v>
      </c>
      <c r="AA507" s="79" t="str">
        <f>IF(tabPontoPed[MENSAL]-tabPontoPed[ATA MENSAL] = 0,"sim","")</f>
        <v/>
      </c>
      <c r="AB507" s="79" t="s">
        <v>1614</v>
      </c>
      <c r="AC507" s="47" t="str">
        <f t="shared" si="7"/>
        <v>*</v>
      </c>
    </row>
    <row r="508" spans="1:29" x14ac:dyDescent="0.25">
      <c r="A508" s="36">
        <v>134549</v>
      </c>
      <c r="B508" s="68" t="s">
        <v>1500</v>
      </c>
      <c r="C508" s="33">
        <v>1</v>
      </c>
      <c r="D508" s="32">
        <v>51</v>
      </c>
      <c r="E508" s="37">
        <v>19</v>
      </c>
      <c r="F508" s="38" t="str">
        <f>VLOOKUP(tabPontoPed[[#This Row],[GRUPO]],tabGrupos[#Data],2,FALSE)</f>
        <v>MAT.E EQUIP. P/ CONSTR.CIVIL E CONSERV. DE VIAS PUBL.</v>
      </c>
      <c r="G508" s="32" t="str">
        <f>VLOOKUP(tabPontoPed[[#This Row],[GRUPO]],tabGrupos[#Data],3,FALSE)</f>
        <v>MCO</v>
      </c>
      <c r="H508" s="33" t="s">
        <v>1311</v>
      </c>
      <c r="I508" s="80">
        <v>4</v>
      </c>
      <c r="J508" s="39">
        <v>40</v>
      </c>
      <c r="K508" s="41">
        <f>tabPontoPed[[#This Row],[QTDMÊS]] * tabPontoPed[[#This Row],[MENSAL]]</f>
        <v>160</v>
      </c>
      <c r="L508" s="83"/>
      <c r="M508" s="81"/>
      <c r="N508" s="34" t="s">
        <v>1009</v>
      </c>
      <c r="O508" s="76" t="s">
        <v>1693</v>
      </c>
      <c r="P508" s="77">
        <v>0</v>
      </c>
      <c r="Q508" s="57">
        <v>45</v>
      </c>
      <c r="R508" s="42">
        <v>27</v>
      </c>
      <c r="S508" s="69" t="str">
        <f>_xlfn.IFNA(IF(VLOOKUP(tabPontoPed[[#This Row],[CÓDIGO]],tabExcluirDoEstoque[#Data],1,FALSE),"sim",""),"")</f>
        <v/>
      </c>
      <c r="T508" s="43">
        <f>IF(AND(tabPontoPed[[#This Row],[MENSAL]]&gt;0,tabPontoPed[[#This Row],[CÁLCULO]]&gt;0), ABS( tabPontoPed[[#This Row],[MENSAL]] - tabPontoPed[[#This Row],[CÁLCULO]] ) / tabPontoPed[[#This Row],[MENSAL]], -1 )</f>
        <v>0.32500000000000001</v>
      </c>
      <c r="U508" s="58">
        <v>148</v>
      </c>
      <c r="V508" s="35">
        <f>IF(AND(tabPontoPed[[#This Row],[MENSAL]]&gt;0,tabPontoPed[[#This Row],[CÁLCULO]]&gt;0), IF( tabPontoPed[[#This Row],[MENSAL]] - tabPontoPed[[#This Row],[CÁLCULO]] &lt; 0, -1, IF( tabPontoPed[[#This Row],[MENSAL]] - tabPontoPed[[#This Row],[CÁLCULO]] &gt; 0, 1, -8)), -9 )</f>
        <v>1</v>
      </c>
      <c r="W508" s="35"/>
      <c r="X508" s="49" t="s">
        <v>1564</v>
      </c>
      <c r="Y508" s="51">
        <v>44391.599108796298</v>
      </c>
      <c r="Z508" s="72">
        <f>tabPontoPed[CÁLC_4M] - tabPontoPed[CÁLCULO]</f>
        <v>18</v>
      </c>
      <c r="AA508" s="79" t="str">
        <f>IF(tabPontoPed[MENSAL]-tabPontoPed[ATA MENSAL] = 0,"sim","")</f>
        <v/>
      </c>
      <c r="AB508" s="79"/>
      <c r="AC508" s="47" t="str">
        <f t="shared" si="7"/>
        <v>*</v>
      </c>
    </row>
    <row r="509" spans="1:29" x14ac:dyDescent="0.25">
      <c r="A509" s="36">
        <v>17115</v>
      </c>
      <c r="B509" s="68" t="s">
        <v>213</v>
      </c>
      <c r="C509" s="33" t="s">
        <v>1317</v>
      </c>
      <c r="D509" s="32">
        <v>79</v>
      </c>
      <c r="E509" s="37">
        <v>1</v>
      </c>
      <c r="F509" s="38" t="str">
        <f>VLOOKUP(tabPontoPed[[#This Row],[GRUPO]],tabGrupos[#Data],2,FALSE)</f>
        <v>ART. DOMEST. DECO. GUARNI. DE AMBI.TECI. VEICULOS</v>
      </c>
      <c r="G509" s="32" t="str">
        <f>VLOOKUP(tabPontoPed[[#This Row],[GRUPO]],tabGrupos[#Data],3,FALSE)</f>
        <v>ADM</v>
      </c>
      <c r="H509" s="33" t="s">
        <v>1311</v>
      </c>
      <c r="I509" s="80">
        <v>4</v>
      </c>
      <c r="J509" s="39">
        <v>649</v>
      </c>
      <c r="K509" s="41">
        <f>tabPontoPed[[#This Row],[QTDMÊS]] * tabPontoPed[[#This Row],[MENSAL]]</f>
        <v>2596</v>
      </c>
      <c r="L509" s="83"/>
      <c r="M509" s="81"/>
      <c r="N509" s="34" t="s">
        <v>1009</v>
      </c>
      <c r="O509" s="76" t="s">
        <v>1740</v>
      </c>
      <c r="P509" s="77">
        <v>0</v>
      </c>
      <c r="Q509" s="57">
        <v>486</v>
      </c>
      <c r="R509" s="42">
        <v>439</v>
      </c>
      <c r="S509" s="69" t="str">
        <f>_xlfn.IFNA(IF(VLOOKUP(tabPontoPed[[#This Row],[CÓDIGO]],tabExcluirDoEstoque[#Data],1,FALSE),"sim",""),"")</f>
        <v/>
      </c>
      <c r="T509" s="43">
        <f>IF(AND(tabPontoPed[[#This Row],[MENSAL]]&gt;0,tabPontoPed[[#This Row],[CÁLCULO]]&gt;0), ABS( tabPontoPed[[#This Row],[MENSAL]] - tabPontoPed[[#This Row],[CÁLCULO]] ) / tabPontoPed[[#This Row],[MENSAL]], -1 )</f>
        <v>0.32357473035439138</v>
      </c>
      <c r="U509" s="58">
        <v>739</v>
      </c>
      <c r="V509" s="35">
        <f>IF(AND(tabPontoPed[[#This Row],[MENSAL]]&gt;0,tabPontoPed[[#This Row],[CÁLCULO]]&gt;0), IF( tabPontoPed[[#This Row],[MENSAL]] - tabPontoPed[[#This Row],[CÁLCULO]] &lt; 0, -1, IF( tabPontoPed[[#This Row],[MENSAL]] - tabPontoPed[[#This Row],[CÁLCULO]] &gt; 0, 1, -8)), -9 )</f>
        <v>1</v>
      </c>
      <c r="W509" s="35"/>
      <c r="X509" s="49" t="s">
        <v>1564</v>
      </c>
      <c r="Y509" s="51">
        <v>44391.599108796298</v>
      </c>
      <c r="Z509" s="72">
        <f>tabPontoPed[CÁLC_4M] - tabPontoPed[CÁLCULO]</f>
        <v>47</v>
      </c>
      <c r="AA509" s="79" t="str">
        <f>IF(tabPontoPed[MENSAL]-tabPontoPed[ATA MENSAL] = 0,"sim","")</f>
        <v/>
      </c>
      <c r="AB509" s="79"/>
      <c r="AC509" s="47" t="str">
        <f t="shared" si="7"/>
        <v>*</v>
      </c>
    </row>
    <row r="510" spans="1:29" x14ac:dyDescent="0.25">
      <c r="A510" s="36">
        <v>125641</v>
      </c>
      <c r="B510" s="68" t="s">
        <v>205</v>
      </c>
      <c r="C510" s="33" t="s">
        <v>1317</v>
      </c>
      <c r="D510" s="32">
        <v>62</v>
      </c>
      <c r="E510" s="37">
        <v>26</v>
      </c>
      <c r="F510" s="38" t="str">
        <f>VLOOKUP(tabPontoPed[[#This Row],[GRUPO]],tabGrupos[#Data],2,FALSE)</f>
        <v>VEST., ART.P/ TOUC.E HIG. PES. MAQ., EQUIP., MAT.E ACES.</v>
      </c>
      <c r="G510" s="32" t="str">
        <f>VLOOKUP(tabPontoPed[[#This Row],[GRUPO]],tabGrupos[#Data],3,FALSE)</f>
        <v>ADM</v>
      </c>
      <c r="H510" s="33" t="s">
        <v>1311</v>
      </c>
      <c r="I510" s="80">
        <v>4</v>
      </c>
      <c r="J510" s="39">
        <v>1131</v>
      </c>
      <c r="K510" s="41">
        <f>tabPontoPed[[#This Row],[QTDMÊS]] * tabPontoPed[[#This Row],[MENSAL]]</f>
        <v>4524</v>
      </c>
      <c r="L510" s="83"/>
      <c r="M510" s="81"/>
      <c r="N510" s="34" t="s">
        <v>1009</v>
      </c>
      <c r="O510" s="76" t="s">
        <v>1662</v>
      </c>
      <c r="P510" s="77">
        <v>0</v>
      </c>
      <c r="Q510" s="57">
        <v>1983</v>
      </c>
      <c r="R510" s="42">
        <v>1496</v>
      </c>
      <c r="S510" s="69" t="str">
        <f>_xlfn.IFNA(IF(VLOOKUP(tabPontoPed[[#This Row],[CÓDIGO]],tabExcluirDoEstoque[#Data],1,FALSE),"sim",""),"")</f>
        <v/>
      </c>
      <c r="T510" s="43">
        <f>IF(AND(tabPontoPed[[#This Row],[MENSAL]]&gt;0,tabPontoPed[[#This Row],[CÁLCULO]]&gt;0), ABS( tabPontoPed[[#This Row],[MENSAL]] - tabPontoPed[[#This Row],[CÁLCULO]] ) / tabPontoPed[[#This Row],[MENSAL]], -1 )</f>
        <v>0.32272325375773653</v>
      </c>
      <c r="U510" s="58">
        <v>2622</v>
      </c>
      <c r="V510" s="35">
        <f>IF(AND(tabPontoPed[[#This Row],[MENSAL]]&gt;0,tabPontoPed[[#This Row],[CÁLCULO]]&gt;0), IF( tabPontoPed[[#This Row],[MENSAL]] - tabPontoPed[[#This Row],[CÁLCULO]] &lt; 0, -1, IF( tabPontoPed[[#This Row],[MENSAL]] - tabPontoPed[[#This Row],[CÁLCULO]] &gt; 0, 1, -8)), -9 )</f>
        <v>-1</v>
      </c>
      <c r="W510" s="35"/>
      <c r="X510" s="48" t="s">
        <v>1564</v>
      </c>
      <c r="Y510" s="53">
        <v>44391.599108796298</v>
      </c>
      <c r="Z510" s="72">
        <f>tabPontoPed[CÁLC_4M] - tabPontoPed[CÁLCULO]</f>
        <v>487</v>
      </c>
      <c r="AA510" s="79" t="str">
        <f>IF(tabPontoPed[MENSAL]-tabPontoPed[ATA MENSAL] = 0,"sim","")</f>
        <v/>
      </c>
      <c r="AB510" s="79"/>
      <c r="AC510" s="47" t="str">
        <f t="shared" si="7"/>
        <v>*</v>
      </c>
    </row>
    <row r="511" spans="1:29" x14ac:dyDescent="0.25">
      <c r="A511" s="36">
        <v>14662</v>
      </c>
      <c r="B511" s="68" t="s">
        <v>496</v>
      </c>
      <c r="C511" s="33" t="s">
        <v>1317</v>
      </c>
      <c r="D511" s="32">
        <v>51</v>
      </c>
      <c r="E511" s="37">
        <v>3</v>
      </c>
      <c r="F511" s="38" t="str">
        <f>VLOOKUP(tabPontoPed[[#This Row],[GRUPO]],tabGrupos[#Data],2,FALSE)</f>
        <v>MAT.E EQUIP. P/ CONSTR.CIVIL E CONSERV. DE VIAS PUBL.</v>
      </c>
      <c r="G511" s="32" t="str">
        <f>VLOOKUP(tabPontoPed[[#This Row],[GRUPO]],tabGrupos[#Data],3,FALSE)</f>
        <v>MCO</v>
      </c>
      <c r="H511" s="33" t="s">
        <v>1321</v>
      </c>
      <c r="I511" s="80">
        <v>2</v>
      </c>
      <c r="J511" s="39">
        <v>480</v>
      </c>
      <c r="K511" s="41">
        <f>tabPontoPed[[#This Row],[QTDMÊS]] * tabPontoPed[[#This Row],[MENSAL]]</f>
        <v>960</v>
      </c>
      <c r="L511" s="83"/>
      <c r="M511" s="81"/>
      <c r="N511" s="34" t="s">
        <v>1009</v>
      </c>
      <c r="O511" s="76" t="s">
        <v>1741</v>
      </c>
      <c r="P511" s="77">
        <v>0</v>
      </c>
      <c r="Q511" s="57">
        <v>299</v>
      </c>
      <c r="R511" s="42">
        <v>326</v>
      </c>
      <c r="S511" s="69" t="str">
        <f>_xlfn.IFNA(IF(VLOOKUP(tabPontoPed[[#This Row],[CÓDIGO]],tabExcluirDoEstoque[#Data],1,FALSE),"sim",""),"")</f>
        <v/>
      </c>
      <c r="T511" s="43">
        <f>IF(AND(tabPontoPed[[#This Row],[MENSAL]]&gt;0,tabPontoPed[[#This Row],[CÁLCULO]]&gt;0), ABS( tabPontoPed[[#This Row],[MENSAL]] - tabPontoPed[[#This Row],[CÁLCULO]] ) / tabPontoPed[[#This Row],[MENSAL]], -1 )</f>
        <v>0.32083333333333336</v>
      </c>
      <c r="U511" s="58">
        <v>427</v>
      </c>
      <c r="V511" s="35">
        <f>IF(AND(tabPontoPed[[#This Row],[MENSAL]]&gt;0,tabPontoPed[[#This Row],[CÁLCULO]]&gt;0), IF( tabPontoPed[[#This Row],[MENSAL]] - tabPontoPed[[#This Row],[CÁLCULO]] &lt; 0, -1, IF( tabPontoPed[[#This Row],[MENSAL]] - tabPontoPed[[#This Row],[CÁLCULO]] &gt; 0, 1, -8)), -9 )</f>
        <v>1</v>
      </c>
      <c r="W511" s="35"/>
      <c r="X511" s="49" t="s">
        <v>1450</v>
      </c>
      <c r="Y511" s="51">
        <v>44034.64203703704</v>
      </c>
      <c r="Z511" s="72">
        <f>tabPontoPed[CÁLC_4M] - tabPontoPed[CÁLCULO]</f>
        <v>-27</v>
      </c>
      <c r="AA511" s="79" t="str">
        <f>IF(tabPontoPed[MENSAL]-tabPontoPed[ATA MENSAL] = 0,"sim","")</f>
        <v/>
      </c>
      <c r="AB511" s="79"/>
      <c r="AC511" s="47" t="str">
        <f t="shared" si="7"/>
        <v>*</v>
      </c>
    </row>
    <row r="512" spans="1:29" x14ac:dyDescent="0.25">
      <c r="A512" s="36">
        <v>130624</v>
      </c>
      <c r="B512" s="68" t="s">
        <v>96</v>
      </c>
      <c r="C512" s="33" t="s">
        <v>1317</v>
      </c>
      <c r="D512" s="32">
        <v>57</v>
      </c>
      <c r="E512" s="37">
        <v>17</v>
      </c>
      <c r="F512" s="38" t="str">
        <f>VLOOKUP(tabPontoPed[[#This Row],[GRUPO]],tabGrupos[#Data],2,FALSE)</f>
        <v>MAQ. E EQUIP. P/ IND. GRAFICA COMP. ACESS. E PAPEI</v>
      </c>
      <c r="G512" s="32" t="str">
        <f>VLOOKUP(tabPontoPed[[#This Row],[GRUPO]],tabGrupos[#Data],3,FALSE)</f>
        <v>EDU</v>
      </c>
      <c r="H512" s="33" t="s">
        <v>1311</v>
      </c>
      <c r="I512" s="80">
        <v>4</v>
      </c>
      <c r="J512" s="39">
        <v>2667</v>
      </c>
      <c r="K512" s="41">
        <f>tabPontoPed[[#This Row],[QTDMÊS]] * tabPontoPed[[#This Row],[MENSAL]]</f>
        <v>10668</v>
      </c>
      <c r="L512" s="83"/>
      <c r="M512" s="81"/>
      <c r="N512" s="34" t="s">
        <v>1009</v>
      </c>
      <c r="O512" s="76" t="s">
        <v>1718</v>
      </c>
      <c r="P512" s="77">
        <v>0</v>
      </c>
      <c r="Q512" s="57">
        <v>770</v>
      </c>
      <c r="R512" s="42">
        <v>1820</v>
      </c>
      <c r="S512" s="69" t="str">
        <f>_xlfn.IFNA(IF(VLOOKUP(tabPontoPed[[#This Row],[CÓDIGO]],tabExcluirDoEstoque[#Data],1,FALSE),"sim",""),"")</f>
        <v/>
      </c>
      <c r="T512" s="43">
        <f>IF(AND(tabPontoPed[[#This Row],[MENSAL]]&gt;0,tabPontoPed[[#This Row],[CÁLCULO]]&gt;0), ABS( tabPontoPed[[#This Row],[MENSAL]] - tabPontoPed[[#This Row],[CÁLCULO]] ) / tabPontoPed[[#This Row],[MENSAL]], -1 )</f>
        <v>0.31758530183727035</v>
      </c>
      <c r="U512" s="58">
        <v>13829</v>
      </c>
      <c r="V512" s="35">
        <f>IF(AND(tabPontoPed[[#This Row],[MENSAL]]&gt;0,tabPontoPed[[#This Row],[CÁLCULO]]&gt;0), IF( tabPontoPed[[#This Row],[MENSAL]] - tabPontoPed[[#This Row],[CÁLCULO]] &lt; 0, -1, IF( tabPontoPed[[#This Row],[MENSAL]] - tabPontoPed[[#This Row],[CÁLCULO]] &gt; 0, 1, -8)), -9 )</f>
        <v>1</v>
      </c>
      <c r="W512" s="35"/>
      <c r="X512" s="48" t="s">
        <v>1564</v>
      </c>
      <c r="Y512" s="53">
        <v>44391.599108796298</v>
      </c>
      <c r="Z512" s="72">
        <f>tabPontoPed[CÁLC_4M] - tabPontoPed[CÁLCULO]</f>
        <v>-1050</v>
      </c>
      <c r="AA512" s="79" t="str">
        <f>IF(tabPontoPed[MENSAL]-tabPontoPed[ATA MENSAL] = 0,"sim","")</f>
        <v/>
      </c>
      <c r="AB512" s="79" t="s">
        <v>1614</v>
      </c>
      <c r="AC512" s="47" t="str">
        <f t="shared" si="7"/>
        <v>*</v>
      </c>
    </row>
    <row r="513" spans="1:29" x14ac:dyDescent="0.25">
      <c r="A513" s="36">
        <v>113846</v>
      </c>
      <c r="B513" s="68" t="s">
        <v>275</v>
      </c>
      <c r="C513" s="33" t="s">
        <v>1317</v>
      </c>
      <c r="D513" s="32">
        <v>51</v>
      </c>
      <c r="E513" s="37">
        <v>19</v>
      </c>
      <c r="F513" s="38" t="str">
        <f>VLOOKUP(tabPontoPed[[#This Row],[GRUPO]],tabGrupos[#Data],2,FALSE)</f>
        <v>MAT.E EQUIP. P/ CONSTR.CIVIL E CONSERV. DE VIAS PUBL.</v>
      </c>
      <c r="G513" s="32" t="str">
        <f>VLOOKUP(tabPontoPed[[#This Row],[GRUPO]],tabGrupos[#Data],3,FALSE)</f>
        <v>MCO</v>
      </c>
      <c r="H513" s="33" t="s">
        <v>1311</v>
      </c>
      <c r="I513" s="80">
        <v>4</v>
      </c>
      <c r="J513" s="39">
        <v>92</v>
      </c>
      <c r="K513" s="41">
        <f>tabPontoPed[[#This Row],[QTDMÊS]] * tabPontoPed[[#This Row],[MENSAL]]</f>
        <v>368</v>
      </c>
      <c r="L513" s="83"/>
      <c r="M513" s="81"/>
      <c r="N513" s="34" t="s">
        <v>1009</v>
      </c>
      <c r="O513" s="76" t="s">
        <v>1678</v>
      </c>
      <c r="P513" s="77">
        <v>0</v>
      </c>
      <c r="Q513" s="57">
        <v>122</v>
      </c>
      <c r="R513" s="42">
        <v>121</v>
      </c>
      <c r="S513" s="69" t="str">
        <f>_xlfn.IFNA(IF(VLOOKUP(tabPontoPed[[#This Row],[CÓDIGO]],tabExcluirDoEstoque[#Data],1,FALSE),"sim",""),"")</f>
        <v/>
      </c>
      <c r="T513" s="43">
        <f>IF(AND(tabPontoPed[[#This Row],[MENSAL]]&gt;0,tabPontoPed[[#This Row],[CÁLCULO]]&gt;0), ABS( tabPontoPed[[#This Row],[MENSAL]] - tabPontoPed[[#This Row],[CÁLCULO]] ) / tabPontoPed[[#This Row],[MENSAL]], -1 )</f>
        <v>0.31521739130434784</v>
      </c>
      <c r="U513" s="58">
        <v>270</v>
      </c>
      <c r="V513" s="35">
        <f>IF(AND(tabPontoPed[[#This Row],[MENSAL]]&gt;0,tabPontoPed[[#This Row],[CÁLCULO]]&gt;0), IF( tabPontoPed[[#This Row],[MENSAL]] - tabPontoPed[[#This Row],[CÁLCULO]] &lt; 0, -1, IF( tabPontoPed[[#This Row],[MENSAL]] - tabPontoPed[[#This Row],[CÁLCULO]] &gt; 0, 1, -8)), -9 )</f>
        <v>-1</v>
      </c>
      <c r="W513" s="35"/>
      <c r="X513" s="49" t="s">
        <v>1564</v>
      </c>
      <c r="Y513" s="51">
        <v>44391.599108796298</v>
      </c>
      <c r="Z513" s="72">
        <f>tabPontoPed[CÁLC_4M] - tabPontoPed[CÁLCULO]</f>
        <v>1</v>
      </c>
      <c r="AA513" s="79" t="str">
        <f>IF(tabPontoPed[MENSAL]-tabPontoPed[ATA MENSAL] = 0,"sim","")</f>
        <v/>
      </c>
      <c r="AB513" s="79"/>
      <c r="AC513" s="47" t="str">
        <f t="shared" si="7"/>
        <v>*</v>
      </c>
    </row>
    <row r="514" spans="1:29" x14ac:dyDescent="0.25">
      <c r="A514" s="36">
        <v>102922</v>
      </c>
      <c r="B514" s="68" t="s">
        <v>387</v>
      </c>
      <c r="C514" s="33" t="s">
        <v>1317</v>
      </c>
      <c r="D514" s="32">
        <v>72</v>
      </c>
      <c r="E514" s="37">
        <v>10</v>
      </c>
      <c r="F514" s="38" t="str">
        <f>VLOOKUP(tabPontoPed[[#This Row],[GRUPO]],tabGrupos[#Data],2,FALSE)</f>
        <v>MAQ.EQUIP.E MATERIAIS P/ HIGIEN.LIMP.POLIM.E LUBR.</v>
      </c>
      <c r="G514" s="32" t="str">
        <f>VLOOKUP(tabPontoPed[[#This Row],[GRUPO]],tabGrupos[#Data],3,FALSE)</f>
        <v>ADM</v>
      </c>
      <c r="H514" s="33" t="s">
        <v>1311</v>
      </c>
      <c r="I514" s="80">
        <v>4</v>
      </c>
      <c r="J514" s="39">
        <v>1914</v>
      </c>
      <c r="K514" s="41">
        <f>tabPontoPed[[#This Row],[QTDMÊS]] * tabPontoPed[[#This Row],[MENSAL]]</f>
        <v>7656</v>
      </c>
      <c r="L514" s="83"/>
      <c r="M514" s="81"/>
      <c r="N514" s="34" t="s">
        <v>1009</v>
      </c>
      <c r="O514" s="76" t="s">
        <v>1661</v>
      </c>
      <c r="P514" s="77">
        <v>0</v>
      </c>
      <c r="Q514" s="57">
        <v>1715</v>
      </c>
      <c r="R514" s="42">
        <v>1313</v>
      </c>
      <c r="S514" s="69" t="str">
        <f>_xlfn.IFNA(IF(VLOOKUP(tabPontoPed[[#This Row],[CÓDIGO]],tabExcluirDoEstoque[#Data],1,FALSE),"sim",""),"")</f>
        <v/>
      </c>
      <c r="T514" s="43">
        <f>IF(AND(tabPontoPed[[#This Row],[MENSAL]]&gt;0,tabPontoPed[[#This Row],[CÁLCULO]]&gt;0), ABS( tabPontoPed[[#This Row],[MENSAL]] - tabPontoPed[[#This Row],[CÁLCULO]] ) / tabPontoPed[[#This Row],[MENSAL]], -1 )</f>
        <v>0.31400208986415884</v>
      </c>
      <c r="U514" s="58">
        <v>2613</v>
      </c>
      <c r="V514" s="35">
        <f>IF(AND(tabPontoPed[[#This Row],[MENSAL]]&gt;0,tabPontoPed[[#This Row],[CÁLCULO]]&gt;0), IF( tabPontoPed[[#This Row],[MENSAL]] - tabPontoPed[[#This Row],[CÁLCULO]] &lt; 0, -1, IF( tabPontoPed[[#This Row],[MENSAL]] - tabPontoPed[[#This Row],[CÁLCULO]] &gt; 0, 1, -8)), -9 )</f>
        <v>1</v>
      </c>
      <c r="W514" s="35"/>
      <c r="X514" s="48" t="s">
        <v>1564</v>
      </c>
      <c r="Y514" s="53">
        <v>44391.599108796298</v>
      </c>
      <c r="Z514" s="72">
        <f>tabPontoPed[CÁLC_4M] - tabPontoPed[CÁLCULO]</f>
        <v>402</v>
      </c>
      <c r="AA514" s="79" t="str">
        <f>IF(tabPontoPed[MENSAL]-tabPontoPed[ATA MENSAL] = 0,"sim","")</f>
        <v/>
      </c>
      <c r="AB514" s="79"/>
      <c r="AC514" s="47" t="str">
        <f t="shared" si="7"/>
        <v>*</v>
      </c>
    </row>
    <row r="515" spans="1:29" x14ac:dyDescent="0.25">
      <c r="A515" s="36">
        <v>134546</v>
      </c>
      <c r="B515" s="68" t="s">
        <v>240</v>
      </c>
      <c r="C515" s="33" t="s">
        <v>1317</v>
      </c>
      <c r="D515" s="32">
        <v>51</v>
      </c>
      <c r="E515" s="37">
        <v>19</v>
      </c>
      <c r="F515" s="38" t="str">
        <f>VLOOKUP(tabPontoPed[[#This Row],[GRUPO]],tabGrupos[#Data],2,FALSE)</f>
        <v>MAT.E EQUIP. P/ CONSTR.CIVIL E CONSERV. DE VIAS PUBL.</v>
      </c>
      <c r="G515" s="32" t="str">
        <f>VLOOKUP(tabPontoPed[[#This Row],[GRUPO]],tabGrupos[#Data],3,FALSE)</f>
        <v>MCO</v>
      </c>
      <c r="H515" s="33" t="s">
        <v>1311</v>
      </c>
      <c r="I515" s="80">
        <v>4</v>
      </c>
      <c r="J515" s="39">
        <v>45</v>
      </c>
      <c r="K515" s="41">
        <f>tabPontoPed[[#This Row],[QTDMÊS]] * tabPontoPed[[#This Row],[MENSAL]]</f>
        <v>180</v>
      </c>
      <c r="L515" s="83"/>
      <c r="M515" s="81"/>
      <c r="N515" s="34" t="s">
        <v>1009</v>
      </c>
      <c r="O515" s="76" t="s">
        <v>1693</v>
      </c>
      <c r="P515" s="77">
        <v>0</v>
      </c>
      <c r="Q515" s="57">
        <v>34</v>
      </c>
      <c r="R515" s="42">
        <v>31</v>
      </c>
      <c r="S515" s="69" t="str">
        <f>_xlfn.IFNA(IF(VLOOKUP(tabPontoPed[[#This Row],[CÓDIGO]],tabExcluirDoEstoque[#Data],1,FALSE),"sim",""),"")</f>
        <v/>
      </c>
      <c r="T515" s="43">
        <f>IF(AND(tabPontoPed[[#This Row],[MENSAL]]&gt;0,tabPontoPed[[#This Row],[CÁLCULO]]&gt;0), ABS( tabPontoPed[[#This Row],[MENSAL]] - tabPontoPed[[#This Row],[CÁLCULO]] ) / tabPontoPed[[#This Row],[MENSAL]], -1 )</f>
        <v>0.31111111111111112</v>
      </c>
      <c r="U515" s="58">
        <v>84</v>
      </c>
      <c r="V515" s="35">
        <f>IF(AND(tabPontoPed[[#This Row],[MENSAL]]&gt;0,tabPontoPed[[#This Row],[CÁLCULO]]&gt;0), IF( tabPontoPed[[#This Row],[MENSAL]] - tabPontoPed[[#This Row],[CÁLCULO]] &lt; 0, -1, IF( tabPontoPed[[#This Row],[MENSAL]] - tabPontoPed[[#This Row],[CÁLCULO]] &gt; 0, 1, -8)), -9 )</f>
        <v>1</v>
      </c>
      <c r="W515" s="35"/>
      <c r="X515" s="48" t="s">
        <v>1564</v>
      </c>
      <c r="Y515" s="53">
        <v>44391.599108796298</v>
      </c>
      <c r="Z515" s="72">
        <f>tabPontoPed[CÁLC_4M] - tabPontoPed[CÁLCULO]</f>
        <v>3</v>
      </c>
      <c r="AA515" s="79" t="str">
        <f>IF(tabPontoPed[MENSAL]-tabPontoPed[ATA MENSAL] = 0,"sim","")</f>
        <v/>
      </c>
      <c r="AB515" s="79"/>
      <c r="AC515" s="47" t="str">
        <f t="shared" ref="AC515:AC578" si="8">"*"</f>
        <v>*</v>
      </c>
    </row>
    <row r="516" spans="1:29" x14ac:dyDescent="0.25">
      <c r="A516" s="36">
        <v>71697</v>
      </c>
      <c r="B516" s="68" t="s">
        <v>980</v>
      </c>
      <c r="C516" s="33" t="s">
        <v>1317</v>
      </c>
      <c r="D516" s="32">
        <v>83</v>
      </c>
      <c r="E516" s="37">
        <v>2</v>
      </c>
      <c r="F516" s="38" t="str">
        <f>VLOOKUP(tabPontoPed[[#This Row],[GRUPO]],tabGrupos[#Data],2,FALSE)</f>
        <v>ABRASIVOS</v>
      </c>
      <c r="G516" s="32" t="str">
        <f>VLOOKUP(tabPontoPed[[#This Row],[GRUPO]],tabGrupos[#Data],3,FALSE)</f>
        <v>MAN</v>
      </c>
      <c r="H516" s="33" t="s">
        <v>1311</v>
      </c>
      <c r="I516" s="80">
        <v>4</v>
      </c>
      <c r="J516" s="39">
        <v>103</v>
      </c>
      <c r="K516" s="41">
        <f>tabPontoPed[[#This Row],[QTDMÊS]] * tabPontoPed[[#This Row],[MENSAL]]</f>
        <v>412</v>
      </c>
      <c r="L516" s="83"/>
      <c r="M516" s="81"/>
      <c r="N516" s="34" t="s">
        <v>1009</v>
      </c>
      <c r="O516" s="76" t="s">
        <v>1658</v>
      </c>
      <c r="P516" s="77">
        <v>0</v>
      </c>
      <c r="Q516" s="57">
        <v>138</v>
      </c>
      <c r="R516" s="42">
        <v>135</v>
      </c>
      <c r="S516" s="69" t="str">
        <f>_xlfn.IFNA(IF(VLOOKUP(tabPontoPed[[#This Row],[CÓDIGO]],tabExcluirDoEstoque[#Data],1,FALSE),"sim",""),"")</f>
        <v/>
      </c>
      <c r="T516" s="43">
        <f>IF(AND(tabPontoPed[[#This Row],[MENSAL]]&gt;0,tabPontoPed[[#This Row],[CÁLCULO]]&gt;0), ABS( tabPontoPed[[#This Row],[MENSAL]] - tabPontoPed[[#This Row],[CÁLCULO]] ) / tabPontoPed[[#This Row],[MENSAL]], -1 )</f>
        <v>0.31067961165048541</v>
      </c>
      <c r="U516" s="58">
        <v>353</v>
      </c>
      <c r="V516" s="35">
        <f>IF(AND(tabPontoPed[[#This Row],[MENSAL]]&gt;0,tabPontoPed[[#This Row],[CÁLCULO]]&gt;0), IF( tabPontoPed[[#This Row],[MENSAL]] - tabPontoPed[[#This Row],[CÁLCULO]] &lt; 0, -1, IF( tabPontoPed[[#This Row],[MENSAL]] - tabPontoPed[[#This Row],[CÁLCULO]] &gt; 0, 1, -8)), -9 )</f>
        <v>-1</v>
      </c>
      <c r="W516" s="35"/>
      <c r="X516" s="48" t="s">
        <v>1564</v>
      </c>
      <c r="Y516" s="53">
        <v>44391.599108796298</v>
      </c>
      <c r="Z516" s="72">
        <f>tabPontoPed[CÁLC_4M] - tabPontoPed[CÁLCULO]</f>
        <v>3</v>
      </c>
      <c r="AA516" s="79" t="str">
        <f>IF(tabPontoPed[MENSAL]-tabPontoPed[ATA MENSAL] = 0,"sim","")</f>
        <v/>
      </c>
      <c r="AB516" s="79"/>
      <c r="AC516" s="47" t="str">
        <f t="shared" si="8"/>
        <v>*</v>
      </c>
    </row>
    <row r="517" spans="1:29" x14ac:dyDescent="0.25">
      <c r="A517" s="36">
        <v>134560</v>
      </c>
      <c r="B517" s="68" t="s">
        <v>903</v>
      </c>
      <c r="C517" s="33" t="s">
        <v>1317</v>
      </c>
      <c r="D517" s="32">
        <v>70</v>
      </c>
      <c r="E517" s="37">
        <v>30</v>
      </c>
      <c r="F517" s="38" t="str">
        <f>VLOOKUP(tabPontoPed[[#This Row],[GRUPO]],tabGrupos[#Data],2,FALSE)</f>
        <v>FERRAMENTAS MAQ.FERRAMENTAS,ELETR.PECAS E ACESSORI</v>
      </c>
      <c r="G517" s="32" t="str">
        <f>VLOOKUP(tabPontoPed[[#This Row],[GRUPO]],tabGrupos[#Data],3,FALSE)</f>
        <v>MAN</v>
      </c>
      <c r="H517" s="33" t="s">
        <v>1311</v>
      </c>
      <c r="I517" s="80">
        <v>4</v>
      </c>
      <c r="J517" s="39">
        <v>36</v>
      </c>
      <c r="K517" s="41">
        <f>tabPontoPed[[#This Row],[QTDMÊS]] * tabPontoPed[[#This Row],[MENSAL]]</f>
        <v>144</v>
      </c>
      <c r="L517" s="83"/>
      <c r="M517" s="81"/>
      <c r="N517" s="34" t="s">
        <v>1009</v>
      </c>
      <c r="O517" s="76" t="s">
        <v>1708</v>
      </c>
      <c r="P517" s="77">
        <v>0</v>
      </c>
      <c r="Q517" s="57">
        <v>20</v>
      </c>
      <c r="R517" s="42">
        <v>25</v>
      </c>
      <c r="S517" s="69" t="str">
        <f>_xlfn.IFNA(IF(VLOOKUP(tabPontoPed[[#This Row],[CÓDIGO]],tabExcluirDoEstoque[#Data],1,FALSE),"sim",""),"")</f>
        <v/>
      </c>
      <c r="T517" s="43">
        <f>IF(AND(tabPontoPed[[#This Row],[MENSAL]]&gt;0,tabPontoPed[[#This Row],[CÁLCULO]]&gt;0), ABS( tabPontoPed[[#This Row],[MENSAL]] - tabPontoPed[[#This Row],[CÁLCULO]] ) / tabPontoPed[[#This Row],[MENSAL]], -1 )</f>
        <v>0.30555555555555558</v>
      </c>
      <c r="U517" s="58">
        <v>48</v>
      </c>
      <c r="V517" s="35">
        <f>IF(AND(tabPontoPed[[#This Row],[MENSAL]]&gt;0,tabPontoPed[[#This Row],[CÁLCULO]]&gt;0), IF( tabPontoPed[[#This Row],[MENSAL]] - tabPontoPed[[#This Row],[CÁLCULO]] &lt; 0, -1, IF( tabPontoPed[[#This Row],[MENSAL]] - tabPontoPed[[#This Row],[CÁLCULO]] &gt; 0, 1, -8)), -9 )</f>
        <v>1</v>
      </c>
      <c r="W517" s="35"/>
      <c r="X517" s="48" t="s">
        <v>1564</v>
      </c>
      <c r="Y517" s="53">
        <v>44391.599108796298</v>
      </c>
      <c r="Z517" s="72">
        <f>tabPontoPed[CÁLC_4M] - tabPontoPed[CÁLCULO]</f>
        <v>-5</v>
      </c>
      <c r="AA517" s="79" t="str">
        <f>IF(tabPontoPed[MENSAL]-tabPontoPed[ATA MENSAL] = 0,"sim","")</f>
        <v/>
      </c>
      <c r="AB517" s="79"/>
      <c r="AC517" s="47" t="str">
        <f t="shared" si="8"/>
        <v>*</v>
      </c>
    </row>
    <row r="518" spans="1:29" x14ac:dyDescent="0.25">
      <c r="A518" s="36">
        <v>13655</v>
      </c>
      <c r="B518" s="68" t="s">
        <v>439</v>
      </c>
      <c r="C518" s="33" t="s">
        <v>1317</v>
      </c>
      <c r="D518" s="32">
        <v>45</v>
      </c>
      <c r="E518" s="37">
        <v>11</v>
      </c>
      <c r="F518" s="38" t="str">
        <f>VLOOKUP(tabPontoPed[[#This Row],[GRUPO]],tabGrupos[#Data],2,FALSE)</f>
        <v>MAQ., EQUIP., COMP., ACES., MAT. PARA ESCRIT.E ESCOLAR</v>
      </c>
      <c r="G518" s="32" t="str">
        <f>VLOOKUP(tabPontoPed[[#This Row],[GRUPO]],tabGrupos[#Data],3,FALSE)</f>
        <v>EDU</v>
      </c>
      <c r="H518" s="33" t="s">
        <v>1311</v>
      </c>
      <c r="I518" s="80">
        <v>4</v>
      </c>
      <c r="J518" s="39">
        <v>1435</v>
      </c>
      <c r="K518" s="41">
        <f>tabPontoPed[[#This Row],[QTDMÊS]] * tabPontoPed[[#This Row],[MENSAL]]</f>
        <v>5740</v>
      </c>
      <c r="L518" s="83"/>
      <c r="M518" s="81"/>
      <c r="N518" s="34" t="s">
        <v>1009</v>
      </c>
      <c r="O518" s="76" t="s">
        <v>1739</v>
      </c>
      <c r="P518" s="77">
        <v>0</v>
      </c>
      <c r="Q518" s="57">
        <v>473</v>
      </c>
      <c r="R518" s="42">
        <v>997</v>
      </c>
      <c r="S518" s="69" t="str">
        <f>_xlfn.IFNA(IF(VLOOKUP(tabPontoPed[[#This Row],[CÓDIGO]],tabExcluirDoEstoque[#Data],1,FALSE),"sim",""),"")</f>
        <v/>
      </c>
      <c r="T518" s="43">
        <f>IF(AND(tabPontoPed[[#This Row],[MENSAL]]&gt;0,tabPontoPed[[#This Row],[CÁLCULO]]&gt;0), ABS( tabPontoPed[[#This Row],[MENSAL]] - tabPontoPed[[#This Row],[CÁLCULO]] ) / tabPontoPed[[#This Row],[MENSAL]], -1 )</f>
        <v>0.30522648083623694</v>
      </c>
      <c r="U518" s="58">
        <v>8139</v>
      </c>
      <c r="V518" s="35">
        <f>IF(AND(tabPontoPed[[#This Row],[MENSAL]]&gt;0,tabPontoPed[[#This Row],[CÁLCULO]]&gt;0), IF( tabPontoPed[[#This Row],[MENSAL]] - tabPontoPed[[#This Row],[CÁLCULO]] &lt; 0, -1, IF( tabPontoPed[[#This Row],[MENSAL]] - tabPontoPed[[#This Row],[CÁLCULO]] &gt; 0, 1, -8)), -9 )</f>
        <v>1</v>
      </c>
      <c r="W518" s="35"/>
      <c r="X518" s="48" t="s">
        <v>1564</v>
      </c>
      <c r="Y518" s="53">
        <v>44391.599108796298</v>
      </c>
      <c r="Z518" s="72">
        <f>tabPontoPed[CÁLC_4M] - tabPontoPed[CÁLCULO]</f>
        <v>-524</v>
      </c>
      <c r="AA518" s="79" t="str">
        <f>IF(tabPontoPed[MENSAL]-tabPontoPed[ATA MENSAL] = 0,"sim","")</f>
        <v/>
      </c>
      <c r="AB518" s="79"/>
      <c r="AC518" s="47" t="str">
        <f t="shared" si="8"/>
        <v>*</v>
      </c>
    </row>
    <row r="519" spans="1:29" x14ac:dyDescent="0.25">
      <c r="A519" s="36">
        <v>134548</v>
      </c>
      <c r="B519" s="68" t="s">
        <v>242</v>
      </c>
      <c r="C519" s="33" t="s">
        <v>1317</v>
      </c>
      <c r="D519" s="32">
        <v>51</v>
      </c>
      <c r="E519" s="37">
        <v>19</v>
      </c>
      <c r="F519" s="38" t="str">
        <f>VLOOKUP(tabPontoPed[[#This Row],[GRUPO]],tabGrupos[#Data],2,FALSE)</f>
        <v>MAT.E EQUIP. P/ CONSTR.CIVIL E CONSERV. DE VIAS PUBL.</v>
      </c>
      <c r="G519" s="32" t="str">
        <f>VLOOKUP(tabPontoPed[[#This Row],[GRUPO]],tabGrupos[#Data],3,FALSE)</f>
        <v>MCO</v>
      </c>
      <c r="H519" s="33" t="s">
        <v>1311</v>
      </c>
      <c r="I519" s="80">
        <v>4</v>
      </c>
      <c r="J519" s="39">
        <v>109</v>
      </c>
      <c r="K519" s="41">
        <f>tabPontoPed[[#This Row],[QTDMÊS]] * tabPontoPed[[#This Row],[MENSAL]]</f>
        <v>436</v>
      </c>
      <c r="L519" s="83"/>
      <c r="M519" s="81"/>
      <c r="N519" s="34" t="s">
        <v>1009</v>
      </c>
      <c r="O519" s="76" t="s">
        <v>1693</v>
      </c>
      <c r="P519" s="77">
        <v>0</v>
      </c>
      <c r="Q519" s="57">
        <v>132</v>
      </c>
      <c r="R519" s="42">
        <v>142</v>
      </c>
      <c r="S519" s="69" t="str">
        <f>_xlfn.IFNA(IF(VLOOKUP(tabPontoPed[[#This Row],[CÓDIGO]],tabExcluirDoEstoque[#Data],1,FALSE),"sim",""),"")</f>
        <v/>
      </c>
      <c r="T519" s="43">
        <f>IF(AND(tabPontoPed[[#This Row],[MENSAL]]&gt;0,tabPontoPed[[#This Row],[CÁLCULO]]&gt;0), ABS( tabPontoPed[[#This Row],[MENSAL]] - tabPontoPed[[#This Row],[CÁLCULO]] ) / tabPontoPed[[#This Row],[MENSAL]], -1 )</f>
        <v>0.30275229357798167</v>
      </c>
      <c r="U519" s="58">
        <v>298</v>
      </c>
      <c r="V519" s="35">
        <f>IF(AND(tabPontoPed[[#This Row],[MENSAL]]&gt;0,tabPontoPed[[#This Row],[CÁLCULO]]&gt;0), IF( tabPontoPed[[#This Row],[MENSAL]] - tabPontoPed[[#This Row],[CÁLCULO]] &lt; 0, -1, IF( tabPontoPed[[#This Row],[MENSAL]] - tabPontoPed[[#This Row],[CÁLCULO]] &gt; 0, 1, -8)), -9 )</f>
        <v>-1</v>
      </c>
      <c r="W519" s="35"/>
      <c r="X519" s="48" t="s">
        <v>1564</v>
      </c>
      <c r="Y519" s="53">
        <v>44391.599108796298</v>
      </c>
      <c r="Z519" s="72">
        <f>tabPontoPed[CÁLC_4M] - tabPontoPed[CÁLCULO]</f>
        <v>-10</v>
      </c>
      <c r="AA519" s="79" t="str">
        <f>IF(tabPontoPed[MENSAL]-tabPontoPed[ATA MENSAL] = 0,"sim","")</f>
        <v/>
      </c>
      <c r="AB519" s="79" t="s">
        <v>1614</v>
      </c>
      <c r="AC519" s="47" t="str">
        <f t="shared" si="8"/>
        <v>*</v>
      </c>
    </row>
    <row r="520" spans="1:29" x14ac:dyDescent="0.25">
      <c r="A520" s="36">
        <v>20034</v>
      </c>
      <c r="B520" s="68" t="s">
        <v>909</v>
      </c>
      <c r="C520" s="33" t="s">
        <v>1317</v>
      </c>
      <c r="D520" s="32">
        <v>70</v>
      </c>
      <c r="E520" s="37">
        <v>31</v>
      </c>
      <c r="F520" s="38" t="str">
        <f>VLOOKUP(tabPontoPed[[#This Row],[GRUPO]],tabGrupos[#Data],2,FALSE)</f>
        <v>FERRAMENTAS MAQ.FERRAMENTAS,ELETR.PECAS E ACESSORI</v>
      </c>
      <c r="G520" s="32" t="str">
        <f>VLOOKUP(tabPontoPed[[#This Row],[GRUPO]],tabGrupos[#Data],3,FALSE)</f>
        <v>MAN</v>
      </c>
      <c r="H520" s="33" t="s">
        <v>1311</v>
      </c>
      <c r="I520" s="80">
        <v>4</v>
      </c>
      <c r="J520" s="39">
        <v>40</v>
      </c>
      <c r="K520" s="41">
        <f>tabPontoPed[[#This Row],[QTDMÊS]] * tabPontoPed[[#This Row],[MENSAL]]</f>
        <v>160</v>
      </c>
      <c r="L520" s="83"/>
      <c r="M520" s="81"/>
      <c r="N520" s="34" t="s">
        <v>1009</v>
      </c>
      <c r="O520" s="76" t="s">
        <v>1708</v>
      </c>
      <c r="P520" s="77">
        <v>0</v>
      </c>
      <c r="Q520" s="57">
        <v>26</v>
      </c>
      <c r="R520" s="42">
        <v>28</v>
      </c>
      <c r="S520" s="69" t="str">
        <f>_xlfn.IFNA(IF(VLOOKUP(tabPontoPed[[#This Row],[CÓDIGO]],tabExcluirDoEstoque[#Data],1,FALSE),"sim",""),"")</f>
        <v/>
      </c>
      <c r="T520" s="43">
        <f>IF(AND(tabPontoPed[[#This Row],[MENSAL]]&gt;0,tabPontoPed[[#This Row],[CÁLCULO]]&gt;0), ABS( tabPontoPed[[#This Row],[MENSAL]] - tabPontoPed[[#This Row],[CÁLCULO]] ) / tabPontoPed[[#This Row],[MENSAL]], -1 )</f>
        <v>0.3</v>
      </c>
      <c r="U520" s="58">
        <v>61</v>
      </c>
      <c r="V520" s="35">
        <f>IF(AND(tabPontoPed[[#This Row],[MENSAL]]&gt;0,tabPontoPed[[#This Row],[CÁLCULO]]&gt;0), IF( tabPontoPed[[#This Row],[MENSAL]] - tabPontoPed[[#This Row],[CÁLCULO]] &lt; 0, -1, IF( tabPontoPed[[#This Row],[MENSAL]] - tabPontoPed[[#This Row],[CÁLCULO]] &gt; 0, 1, -8)), -9 )</f>
        <v>1</v>
      </c>
      <c r="W520" s="35"/>
      <c r="X520" s="49" t="s">
        <v>1564</v>
      </c>
      <c r="Y520" s="51">
        <v>44391.599108796298</v>
      </c>
      <c r="Z520" s="72">
        <f>tabPontoPed[CÁLC_4M] - tabPontoPed[CÁLCULO]</f>
        <v>-2</v>
      </c>
      <c r="AA520" s="79" t="str">
        <f>IF(tabPontoPed[MENSAL]-tabPontoPed[ATA MENSAL] = 0,"sim","")</f>
        <v/>
      </c>
      <c r="AB520" s="79"/>
      <c r="AC520" s="47" t="str">
        <f t="shared" si="8"/>
        <v>*</v>
      </c>
    </row>
    <row r="521" spans="1:29" x14ac:dyDescent="0.25">
      <c r="A521" s="36">
        <v>64044</v>
      </c>
      <c r="B521" s="68" t="s">
        <v>1504</v>
      </c>
      <c r="C521" s="33">
        <v>1</v>
      </c>
      <c r="D521" s="32">
        <v>51</v>
      </c>
      <c r="E521" s="37">
        <v>30</v>
      </c>
      <c r="F521" s="38" t="str">
        <f>VLOOKUP(tabPontoPed[[#This Row],[GRUPO]],tabGrupos[#Data],2,FALSE)</f>
        <v>MAT.E EQUIP. P/ CONSTR.CIVIL E CONSERV. DE VIAS PUBL.</v>
      </c>
      <c r="G521" s="32" t="str">
        <f>VLOOKUP(tabPontoPed[[#This Row],[GRUPO]],tabGrupos[#Data],3,FALSE)</f>
        <v>MCO</v>
      </c>
      <c r="H521" s="33" t="s">
        <v>1311</v>
      </c>
      <c r="I521" s="80">
        <v>4</v>
      </c>
      <c r="J521" s="39">
        <v>10</v>
      </c>
      <c r="K521" s="41">
        <f>tabPontoPed[[#This Row],[QTDMÊS]] * tabPontoPed[[#This Row],[MENSAL]]</f>
        <v>40</v>
      </c>
      <c r="L521" s="83"/>
      <c r="M521" s="81"/>
      <c r="N521" s="34" t="s">
        <v>1009</v>
      </c>
      <c r="O521" s="76" t="s">
        <v>1706</v>
      </c>
      <c r="P521" s="77">
        <v>0</v>
      </c>
      <c r="Q521" s="57">
        <v>11</v>
      </c>
      <c r="R521" s="42">
        <v>13</v>
      </c>
      <c r="S521" s="69" t="str">
        <f>_xlfn.IFNA(IF(VLOOKUP(tabPontoPed[[#This Row],[CÓDIGO]],tabExcluirDoEstoque[#Data],1,FALSE),"sim",""),"")</f>
        <v/>
      </c>
      <c r="T521" s="43">
        <f>IF(AND(tabPontoPed[[#This Row],[MENSAL]]&gt;0,tabPontoPed[[#This Row],[CÁLCULO]]&gt;0), ABS( tabPontoPed[[#This Row],[MENSAL]] - tabPontoPed[[#This Row],[CÁLCULO]] ) / tabPontoPed[[#This Row],[MENSAL]], -1 )</f>
        <v>0.3</v>
      </c>
      <c r="U521" s="58">
        <v>90</v>
      </c>
      <c r="V521" s="35">
        <f>IF(AND(tabPontoPed[[#This Row],[MENSAL]]&gt;0,tabPontoPed[[#This Row],[CÁLCULO]]&gt;0), IF( tabPontoPed[[#This Row],[MENSAL]] - tabPontoPed[[#This Row],[CÁLCULO]] &lt; 0, -1, IF( tabPontoPed[[#This Row],[MENSAL]] - tabPontoPed[[#This Row],[CÁLCULO]] &gt; 0, 1, -8)), -9 )</f>
        <v>-1</v>
      </c>
      <c r="W521" s="35"/>
      <c r="X521" s="49" t="s">
        <v>1564</v>
      </c>
      <c r="Y521" s="51">
        <v>44391.599108796298</v>
      </c>
      <c r="Z521" s="72">
        <f>tabPontoPed[CÁLC_4M] - tabPontoPed[CÁLCULO]</f>
        <v>-2</v>
      </c>
      <c r="AA521" s="79" t="str">
        <f>IF(tabPontoPed[MENSAL]-tabPontoPed[ATA MENSAL] = 0,"sim","")</f>
        <v/>
      </c>
      <c r="AB521" s="79"/>
      <c r="AC521" s="47" t="str">
        <f t="shared" si="8"/>
        <v>*</v>
      </c>
    </row>
    <row r="522" spans="1:29" x14ac:dyDescent="0.25">
      <c r="A522" s="36">
        <v>134582</v>
      </c>
      <c r="B522" s="68" t="s">
        <v>315</v>
      </c>
      <c r="C522" s="33" t="s">
        <v>1317</v>
      </c>
      <c r="D522" s="32">
        <v>61</v>
      </c>
      <c r="E522" s="37">
        <v>14</v>
      </c>
      <c r="F522" s="38" t="str">
        <f>VLOOKUP(tabPontoPed[[#This Row],[GRUPO]],tabGrupos[#Data],2,FALSE)</f>
        <v>MATERIAL HIDRAULICO, CANOS, TUBOS, MANGUEIRAS, CONEXOES E ACESS.</v>
      </c>
      <c r="G522" s="32" t="str">
        <f>VLOOKUP(tabPontoPed[[#This Row],[GRUPO]],tabGrupos[#Data],3,FALSE)</f>
        <v>MHI</v>
      </c>
      <c r="H522" s="33" t="s">
        <v>1311</v>
      </c>
      <c r="I522" s="80">
        <v>4</v>
      </c>
      <c r="J522" s="39">
        <v>10</v>
      </c>
      <c r="K522" s="41">
        <f>tabPontoPed[[#This Row],[QTDMÊS]] * tabPontoPed[[#This Row],[MENSAL]]</f>
        <v>40</v>
      </c>
      <c r="L522" s="83"/>
      <c r="M522" s="81"/>
      <c r="N522" s="34" t="s">
        <v>1009</v>
      </c>
      <c r="O522" s="76" t="s">
        <v>1679</v>
      </c>
      <c r="P522" s="77">
        <v>0</v>
      </c>
      <c r="Q522" s="57">
        <v>5</v>
      </c>
      <c r="R522" s="42">
        <v>7</v>
      </c>
      <c r="S522" s="69" t="str">
        <f>_xlfn.IFNA(IF(VLOOKUP(tabPontoPed[[#This Row],[CÓDIGO]],tabExcluirDoEstoque[#Data],1,FALSE),"sim",""),"")</f>
        <v/>
      </c>
      <c r="T522" s="43">
        <f>IF(AND(tabPontoPed[[#This Row],[MENSAL]]&gt;0,tabPontoPed[[#This Row],[CÁLCULO]]&gt;0), ABS( tabPontoPed[[#This Row],[MENSAL]] - tabPontoPed[[#This Row],[CÁLCULO]] ) / tabPontoPed[[#This Row],[MENSAL]], -1 )</f>
        <v>0.3</v>
      </c>
      <c r="U522" s="58">
        <v>16</v>
      </c>
      <c r="V522" s="35">
        <f>IF(AND(tabPontoPed[[#This Row],[MENSAL]]&gt;0,tabPontoPed[[#This Row],[CÁLCULO]]&gt;0), IF( tabPontoPed[[#This Row],[MENSAL]] - tabPontoPed[[#This Row],[CÁLCULO]] &lt; 0, -1, IF( tabPontoPed[[#This Row],[MENSAL]] - tabPontoPed[[#This Row],[CÁLCULO]] &gt; 0, 1, -8)), -9 )</f>
        <v>1</v>
      </c>
      <c r="W522" s="35"/>
      <c r="X522" s="48" t="s">
        <v>1564</v>
      </c>
      <c r="Y522" s="53">
        <v>44391.599108796298</v>
      </c>
      <c r="Z522" s="72">
        <f>tabPontoPed[CÁLC_4M] - tabPontoPed[CÁLCULO]</f>
        <v>-2</v>
      </c>
      <c r="AA522" s="79" t="str">
        <f>IF(tabPontoPed[MENSAL]-tabPontoPed[ATA MENSAL] = 0,"sim","")</f>
        <v/>
      </c>
      <c r="AB522" s="79"/>
      <c r="AC522" s="47" t="str">
        <f t="shared" si="8"/>
        <v>*</v>
      </c>
    </row>
    <row r="523" spans="1:29" x14ac:dyDescent="0.25">
      <c r="A523" s="36">
        <v>64646</v>
      </c>
      <c r="B523" s="68" t="s">
        <v>1539</v>
      </c>
      <c r="C523" s="33">
        <v>1</v>
      </c>
      <c r="D523" s="32">
        <v>78</v>
      </c>
      <c r="E523" s="37">
        <v>2</v>
      </c>
      <c r="F523" s="38" t="str">
        <f>VLOOKUP(tabPontoPed[[#This Row],[GRUPO]],tabGrupos[#Data],2,FALSE)</f>
        <v>MOBILIARIO E COFRE</v>
      </c>
      <c r="G523" s="32" t="str">
        <f>VLOOKUP(tabPontoPed[[#This Row],[GRUPO]],tabGrupos[#Data],3,FALSE)</f>
        <v>ADM</v>
      </c>
      <c r="H523" s="33" t="s">
        <v>1311</v>
      </c>
      <c r="I523" s="80">
        <v>4</v>
      </c>
      <c r="J523" s="39">
        <v>71</v>
      </c>
      <c r="K523" s="41">
        <f>tabPontoPed[[#This Row],[QTDMÊS]] * tabPontoPed[[#This Row],[MENSAL]]</f>
        <v>284</v>
      </c>
      <c r="L523" s="83"/>
      <c r="M523" s="81"/>
      <c r="N523" s="34" t="s">
        <v>1009</v>
      </c>
      <c r="O523" s="76"/>
      <c r="P523" s="77">
        <v>0</v>
      </c>
      <c r="Q523" s="57">
        <v>0</v>
      </c>
      <c r="R523" s="42">
        <v>50</v>
      </c>
      <c r="S523" s="69" t="str">
        <f>_xlfn.IFNA(IF(VLOOKUP(tabPontoPed[[#This Row],[CÓDIGO]],tabExcluirDoEstoque[#Data],1,FALSE),"sim",""),"")</f>
        <v/>
      </c>
      <c r="T523" s="43">
        <f>IF(AND(tabPontoPed[[#This Row],[MENSAL]]&gt;0,tabPontoPed[[#This Row],[CÁLCULO]]&gt;0), ABS( tabPontoPed[[#This Row],[MENSAL]] - tabPontoPed[[#This Row],[CÁLCULO]] ) / tabPontoPed[[#This Row],[MENSAL]], -1 )</f>
        <v>0.29577464788732394</v>
      </c>
      <c r="U523" s="58">
        <v>300</v>
      </c>
      <c r="V523" s="35">
        <f>IF(AND(tabPontoPed[[#This Row],[MENSAL]]&gt;0,tabPontoPed[[#This Row],[CÁLCULO]]&gt;0), IF( tabPontoPed[[#This Row],[MENSAL]] - tabPontoPed[[#This Row],[CÁLCULO]] &lt; 0, -1, IF( tabPontoPed[[#This Row],[MENSAL]] - tabPontoPed[[#This Row],[CÁLCULO]] &gt; 0, 1, -8)), -9 )</f>
        <v>1</v>
      </c>
      <c r="W523" s="35"/>
      <c r="X523" s="49" t="s">
        <v>1564</v>
      </c>
      <c r="Y523" s="51">
        <v>44391.599108796298</v>
      </c>
      <c r="Z523" s="72">
        <f>tabPontoPed[CÁLC_4M] - tabPontoPed[CÁLCULO]</f>
        <v>-50</v>
      </c>
      <c r="AA523" s="79" t="str">
        <f>IF(tabPontoPed[MENSAL]-tabPontoPed[ATA MENSAL] = 0,"sim","")</f>
        <v/>
      </c>
      <c r="AB523" s="79"/>
      <c r="AC523" s="47" t="str">
        <f t="shared" si="8"/>
        <v>*</v>
      </c>
    </row>
    <row r="524" spans="1:29" x14ac:dyDescent="0.25">
      <c r="A524" s="36">
        <v>57598</v>
      </c>
      <c r="B524" s="68" t="s">
        <v>274</v>
      </c>
      <c r="C524" s="33" t="s">
        <v>1317</v>
      </c>
      <c r="D524" s="32">
        <v>51</v>
      </c>
      <c r="E524" s="37">
        <v>19</v>
      </c>
      <c r="F524" s="38" t="str">
        <f>VLOOKUP(tabPontoPed[[#This Row],[GRUPO]],tabGrupos[#Data],2,FALSE)</f>
        <v>MAT.E EQUIP. P/ CONSTR.CIVIL E CONSERV. DE VIAS PUBL.</v>
      </c>
      <c r="G524" s="32" t="str">
        <f>VLOOKUP(tabPontoPed[[#This Row],[GRUPO]],tabGrupos[#Data],3,FALSE)</f>
        <v>MCO</v>
      </c>
      <c r="H524" s="33" t="s">
        <v>1311</v>
      </c>
      <c r="I524" s="80">
        <v>4</v>
      </c>
      <c r="J524" s="39">
        <v>105</v>
      </c>
      <c r="K524" s="41">
        <f>tabPontoPed[[#This Row],[QTDMÊS]] * tabPontoPed[[#This Row],[MENSAL]]</f>
        <v>420</v>
      </c>
      <c r="L524" s="83"/>
      <c r="M524" s="81"/>
      <c r="N524" s="34" t="s">
        <v>1009</v>
      </c>
      <c r="O524" s="76" t="s">
        <v>1678</v>
      </c>
      <c r="P524" s="77">
        <v>0</v>
      </c>
      <c r="Q524" s="57">
        <v>204</v>
      </c>
      <c r="R524" s="42">
        <v>136</v>
      </c>
      <c r="S524" s="69" t="str">
        <f>_xlfn.IFNA(IF(VLOOKUP(tabPontoPed[[#This Row],[CÓDIGO]],tabExcluirDoEstoque[#Data],1,FALSE),"sim",""),"")</f>
        <v/>
      </c>
      <c r="T524" s="43">
        <f>IF(AND(tabPontoPed[[#This Row],[MENSAL]]&gt;0,tabPontoPed[[#This Row],[CÁLCULO]]&gt;0), ABS( tabPontoPed[[#This Row],[MENSAL]] - tabPontoPed[[#This Row],[CÁLCULO]] ) / tabPontoPed[[#This Row],[MENSAL]], -1 )</f>
        <v>0.29523809523809524</v>
      </c>
      <c r="U524" s="58">
        <v>329</v>
      </c>
      <c r="V524" s="35">
        <f>IF(AND(tabPontoPed[[#This Row],[MENSAL]]&gt;0,tabPontoPed[[#This Row],[CÁLCULO]]&gt;0), IF( tabPontoPed[[#This Row],[MENSAL]] - tabPontoPed[[#This Row],[CÁLCULO]] &lt; 0, -1, IF( tabPontoPed[[#This Row],[MENSAL]] - tabPontoPed[[#This Row],[CÁLCULO]] &gt; 0, 1, -8)), -9 )</f>
        <v>-1</v>
      </c>
      <c r="W524" s="35"/>
      <c r="X524" s="49" t="s">
        <v>1564</v>
      </c>
      <c r="Y524" s="51">
        <v>44391.599108796298</v>
      </c>
      <c r="Z524" s="72">
        <f>tabPontoPed[CÁLC_4M] - tabPontoPed[CÁLCULO]</f>
        <v>68</v>
      </c>
      <c r="AA524" s="79" t="str">
        <f>IF(tabPontoPed[MENSAL]-tabPontoPed[ATA MENSAL] = 0,"sim","")</f>
        <v/>
      </c>
      <c r="AB524" s="79" t="s">
        <v>1614</v>
      </c>
      <c r="AC524" s="47" t="str">
        <f t="shared" si="8"/>
        <v>*</v>
      </c>
    </row>
    <row r="525" spans="1:29" x14ac:dyDescent="0.25">
      <c r="A525" s="36">
        <v>54019</v>
      </c>
      <c r="B525" s="68" t="s">
        <v>144</v>
      </c>
      <c r="C525" s="33" t="s">
        <v>1317</v>
      </c>
      <c r="D525" s="32">
        <v>61</v>
      </c>
      <c r="E525" s="37">
        <v>8</v>
      </c>
      <c r="F525" s="38" t="str">
        <f>VLOOKUP(tabPontoPed[[#This Row],[GRUPO]],tabGrupos[#Data],2,FALSE)</f>
        <v>MATERIAL HIDRAULICO, CANOS, TUBOS, MANGUEIRAS, CONEXOES E ACESS.</v>
      </c>
      <c r="G525" s="32" t="str">
        <f>VLOOKUP(tabPontoPed[[#This Row],[GRUPO]],tabGrupos[#Data],3,FALSE)</f>
        <v>MHI</v>
      </c>
      <c r="H525" s="33" t="s">
        <v>1311</v>
      </c>
      <c r="I525" s="80">
        <v>4</v>
      </c>
      <c r="J525" s="39">
        <v>17</v>
      </c>
      <c r="K525" s="41">
        <f>tabPontoPed[[#This Row],[QTDMÊS]] * tabPontoPed[[#This Row],[MENSAL]]</f>
        <v>68</v>
      </c>
      <c r="L525" s="83"/>
      <c r="M525" s="81"/>
      <c r="N525" s="34" t="s">
        <v>1009</v>
      </c>
      <c r="O525" s="76" t="s">
        <v>1682</v>
      </c>
      <c r="P525" s="77">
        <v>0</v>
      </c>
      <c r="Q525" s="57">
        <v>10</v>
      </c>
      <c r="R525" s="42">
        <v>12</v>
      </c>
      <c r="S525" s="69" t="str">
        <f>_xlfn.IFNA(IF(VLOOKUP(tabPontoPed[[#This Row],[CÓDIGO]],tabExcluirDoEstoque[#Data],1,FALSE),"sim",""),"")</f>
        <v/>
      </c>
      <c r="T525" s="43">
        <f>IF(AND(tabPontoPed[[#This Row],[MENSAL]]&gt;0,tabPontoPed[[#This Row],[CÁLCULO]]&gt;0), ABS( tabPontoPed[[#This Row],[MENSAL]] - tabPontoPed[[#This Row],[CÁLCULO]] ) / tabPontoPed[[#This Row],[MENSAL]], -1 )</f>
        <v>0.29411764705882354</v>
      </c>
      <c r="U525" s="58">
        <v>33</v>
      </c>
      <c r="V525" s="35">
        <f>IF(AND(tabPontoPed[[#This Row],[MENSAL]]&gt;0,tabPontoPed[[#This Row],[CÁLCULO]]&gt;0), IF( tabPontoPed[[#This Row],[MENSAL]] - tabPontoPed[[#This Row],[CÁLCULO]] &lt; 0, -1, IF( tabPontoPed[[#This Row],[MENSAL]] - tabPontoPed[[#This Row],[CÁLCULO]] &gt; 0, 1, -8)), -9 )</f>
        <v>1</v>
      </c>
      <c r="W525" s="35"/>
      <c r="X525" s="48" t="s">
        <v>1564</v>
      </c>
      <c r="Y525" s="53">
        <v>44391.599108796298</v>
      </c>
      <c r="Z525" s="72">
        <f>tabPontoPed[CÁLC_4M] - tabPontoPed[CÁLCULO]</f>
        <v>-2</v>
      </c>
      <c r="AA525" s="79" t="str">
        <f>IF(tabPontoPed[MENSAL]-tabPontoPed[ATA MENSAL] = 0,"sim","")</f>
        <v/>
      </c>
      <c r="AB525" s="79" t="s">
        <v>1614</v>
      </c>
      <c r="AC525" s="47" t="str">
        <f t="shared" si="8"/>
        <v>*</v>
      </c>
    </row>
    <row r="526" spans="1:29" x14ac:dyDescent="0.25">
      <c r="A526" s="36">
        <v>12654</v>
      </c>
      <c r="B526" s="68" t="s">
        <v>210</v>
      </c>
      <c r="C526" s="33" t="s">
        <v>1317</v>
      </c>
      <c r="D526" s="32">
        <v>52</v>
      </c>
      <c r="E526" s="37">
        <v>6</v>
      </c>
      <c r="F526" s="38" t="str">
        <f>VLOOKUP(tabPontoPed[[#This Row],[GRUPO]],tabGrupos[#Data],2,FALSE)</f>
        <v>EQUIP.E MAT. P/REFEITORIO, COPA E COZINHA</v>
      </c>
      <c r="G526" s="32" t="str">
        <f>VLOOKUP(tabPontoPed[[#This Row],[GRUPO]],tabGrupos[#Data],3,FALSE)</f>
        <v>ADM</v>
      </c>
      <c r="H526" s="33" t="s">
        <v>1321</v>
      </c>
      <c r="I526" s="80">
        <v>3</v>
      </c>
      <c r="J526" s="39">
        <v>6016</v>
      </c>
      <c r="K526" s="41">
        <f>tabPontoPed[[#This Row],[QTDMÊS]] * tabPontoPed[[#This Row],[MENSAL]]</f>
        <v>18048</v>
      </c>
      <c r="L526" s="83"/>
      <c r="M526" s="81"/>
      <c r="N526" s="34" t="s">
        <v>1009</v>
      </c>
      <c r="O526" s="76" t="s">
        <v>1740</v>
      </c>
      <c r="P526" s="77">
        <v>0</v>
      </c>
      <c r="Q526" s="57">
        <v>5132</v>
      </c>
      <c r="R526" s="42">
        <v>4249</v>
      </c>
      <c r="S526" s="69" t="str">
        <f>_xlfn.IFNA(IF(VLOOKUP(tabPontoPed[[#This Row],[CÓDIGO]],tabExcluirDoEstoque[#Data],1,FALSE),"sim",""),"")</f>
        <v/>
      </c>
      <c r="T526" s="43">
        <f>IF(AND(tabPontoPed[[#This Row],[MENSAL]]&gt;0,tabPontoPed[[#This Row],[CÁLCULO]]&gt;0), ABS( tabPontoPed[[#This Row],[MENSAL]] - tabPontoPed[[#This Row],[CÁLCULO]] ) / tabPontoPed[[#This Row],[MENSAL]], -1 )</f>
        <v>0.29371675531914893</v>
      </c>
      <c r="U526" s="58">
        <v>6864</v>
      </c>
      <c r="V526" s="35">
        <f>IF(AND(tabPontoPed[[#This Row],[MENSAL]]&gt;0,tabPontoPed[[#This Row],[CÁLCULO]]&gt;0), IF( tabPontoPed[[#This Row],[MENSAL]] - tabPontoPed[[#This Row],[CÁLCULO]] &lt; 0, -1, IF( tabPontoPed[[#This Row],[MENSAL]] - tabPontoPed[[#This Row],[CÁLCULO]] &gt; 0, 1, -8)), -9 )</f>
        <v>1</v>
      </c>
      <c r="W526" s="35"/>
      <c r="X526" s="49" t="s">
        <v>1450</v>
      </c>
      <c r="Y526" s="51">
        <v>43892.499652777777</v>
      </c>
      <c r="Z526" s="72">
        <f>tabPontoPed[CÁLC_4M] - tabPontoPed[CÁLCULO]</f>
        <v>883</v>
      </c>
      <c r="AA526" s="79" t="str">
        <f>IF(tabPontoPed[MENSAL]-tabPontoPed[ATA MENSAL] = 0,"sim","")</f>
        <v/>
      </c>
      <c r="AB526" s="79"/>
      <c r="AC526" s="47" t="str">
        <f t="shared" si="8"/>
        <v>*</v>
      </c>
    </row>
    <row r="527" spans="1:29" x14ac:dyDescent="0.25">
      <c r="A527" s="36">
        <v>135703</v>
      </c>
      <c r="B527" s="68" t="s">
        <v>1521</v>
      </c>
      <c r="C527" s="33">
        <v>1</v>
      </c>
      <c r="D527" s="32">
        <v>45</v>
      </c>
      <c r="E527" s="37">
        <v>9</v>
      </c>
      <c r="F527" s="38" t="str">
        <f>VLOOKUP(tabPontoPed[[#This Row],[GRUPO]],tabGrupos[#Data],2,FALSE)</f>
        <v>MAQ., EQUIP., COMP., ACES., MAT. PARA ESCRIT.E ESCOLAR</v>
      </c>
      <c r="G527" s="32" t="str">
        <f>VLOOKUP(tabPontoPed[[#This Row],[GRUPO]],tabGrupos[#Data],3,FALSE)</f>
        <v>EDU</v>
      </c>
      <c r="H527" s="33" t="s">
        <v>1311</v>
      </c>
      <c r="I527" s="80">
        <v>4</v>
      </c>
      <c r="J527" s="39">
        <v>695</v>
      </c>
      <c r="K527" s="41">
        <f>tabPontoPed[[#This Row],[QTDMÊS]] * tabPontoPed[[#This Row],[MENSAL]]</f>
        <v>2780</v>
      </c>
      <c r="L527" s="83"/>
      <c r="M527" s="81"/>
      <c r="N527" s="34" t="s">
        <v>1009</v>
      </c>
      <c r="O527" s="76" t="s">
        <v>1696</v>
      </c>
      <c r="P527" s="77">
        <v>0</v>
      </c>
      <c r="Q527" s="57">
        <v>294</v>
      </c>
      <c r="R527" s="42">
        <v>496</v>
      </c>
      <c r="S527" s="69" t="str">
        <f>_xlfn.IFNA(IF(VLOOKUP(tabPontoPed[[#This Row],[CÓDIGO]],tabExcluirDoEstoque[#Data],1,FALSE),"sim",""),"")</f>
        <v/>
      </c>
      <c r="T527" s="43">
        <f>IF(AND(tabPontoPed[[#This Row],[MENSAL]]&gt;0,tabPontoPed[[#This Row],[CÁLCULO]]&gt;0), ABS( tabPontoPed[[#This Row],[MENSAL]] - tabPontoPed[[#This Row],[CÁLCULO]] ) / tabPontoPed[[#This Row],[MENSAL]], -1 )</f>
        <v>0.28633093525179854</v>
      </c>
      <c r="U527" s="58">
        <v>3604</v>
      </c>
      <c r="V527" s="35">
        <f>IF(AND(tabPontoPed[[#This Row],[MENSAL]]&gt;0,tabPontoPed[[#This Row],[CÁLCULO]]&gt;0), IF( tabPontoPed[[#This Row],[MENSAL]] - tabPontoPed[[#This Row],[CÁLCULO]] &lt; 0, -1, IF( tabPontoPed[[#This Row],[MENSAL]] - tabPontoPed[[#This Row],[CÁLCULO]] &gt; 0, 1, -8)), -9 )</f>
        <v>1</v>
      </c>
      <c r="W527" s="35"/>
      <c r="X527" s="49" t="s">
        <v>1564</v>
      </c>
      <c r="Y527" s="51">
        <v>44391.599108796298</v>
      </c>
      <c r="Z527" s="72">
        <f>tabPontoPed[CÁLC_4M] - tabPontoPed[CÁLCULO]</f>
        <v>-202</v>
      </c>
      <c r="AA527" s="79" t="str">
        <f>IF(tabPontoPed[MENSAL]-tabPontoPed[ATA MENSAL] = 0,"sim","")</f>
        <v/>
      </c>
      <c r="AB527" s="79"/>
      <c r="AC527" s="47" t="str">
        <f t="shared" si="8"/>
        <v>*</v>
      </c>
    </row>
    <row r="528" spans="1:29" x14ac:dyDescent="0.25">
      <c r="A528" s="36">
        <v>136895</v>
      </c>
      <c r="B528" s="68" t="s">
        <v>1468</v>
      </c>
      <c r="C528" s="33" t="s">
        <v>1317</v>
      </c>
      <c r="D528" s="32">
        <v>55</v>
      </c>
      <c r="E528" s="37">
        <v>66</v>
      </c>
      <c r="F528" s="38" t="str">
        <f>VLOOKUP(tabPontoPed[[#This Row],[GRUPO]],tabGrupos[#Data],2,FALSE)</f>
        <v>EQUIP. MAT. P/ GERACAO, TRANSM. DISTR. RETIF...</v>
      </c>
      <c r="G528" s="32" t="str">
        <f>VLOOKUP(tabPontoPed[[#This Row],[GRUPO]],tabGrupos[#Data],3,FALSE)</f>
        <v>MEL</v>
      </c>
      <c r="H528" s="33" t="s">
        <v>1311</v>
      </c>
      <c r="I528" s="80">
        <v>4</v>
      </c>
      <c r="J528" s="39">
        <v>42</v>
      </c>
      <c r="K528" s="41">
        <f>tabPontoPed[[#This Row],[QTDMÊS]] * tabPontoPed[[#This Row],[MENSAL]]</f>
        <v>168</v>
      </c>
      <c r="L528" s="83"/>
      <c r="M528" s="81"/>
      <c r="N528" s="34" t="s">
        <v>1009</v>
      </c>
      <c r="O528" s="76" t="s">
        <v>1720</v>
      </c>
      <c r="P528" s="77">
        <v>0</v>
      </c>
      <c r="Q528" s="57">
        <v>9</v>
      </c>
      <c r="R528" s="42">
        <v>30</v>
      </c>
      <c r="S528" s="69" t="str">
        <f>_xlfn.IFNA(IF(VLOOKUP(tabPontoPed[[#This Row],[CÓDIGO]],tabExcluirDoEstoque[#Data],1,FALSE),"sim",""),"")</f>
        <v/>
      </c>
      <c r="T528" s="43">
        <f>IF(AND(tabPontoPed[[#This Row],[MENSAL]]&gt;0,tabPontoPed[[#This Row],[CÁLCULO]]&gt;0), ABS( tabPontoPed[[#This Row],[MENSAL]] - tabPontoPed[[#This Row],[CÁLCULO]] ) / tabPontoPed[[#This Row],[MENSAL]], -1 )</f>
        <v>0.2857142857142857</v>
      </c>
      <c r="U528" s="58">
        <v>95</v>
      </c>
      <c r="V528" s="35">
        <f>IF(AND(tabPontoPed[[#This Row],[MENSAL]]&gt;0,tabPontoPed[[#This Row],[CÁLCULO]]&gt;0), IF( tabPontoPed[[#This Row],[MENSAL]] - tabPontoPed[[#This Row],[CÁLCULO]] &lt; 0, -1, IF( tabPontoPed[[#This Row],[MENSAL]] - tabPontoPed[[#This Row],[CÁLCULO]] &gt; 0, 1, -8)), -9 )</f>
        <v>1</v>
      </c>
      <c r="W528" s="35"/>
      <c r="X528" s="48" t="s">
        <v>1564</v>
      </c>
      <c r="Y528" s="53">
        <v>44391.599108796298</v>
      </c>
      <c r="Z528" s="72">
        <f>tabPontoPed[CÁLC_4M] - tabPontoPed[CÁLCULO]</f>
        <v>-21</v>
      </c>
      <c r="AA528" s="79" t="str">
        <f>IF(tabPontoPed[MENSAL]-tabPontoPed[ATA MENSAL] = 0,"sim","")</f>
        <v/>
      </c>
      <c r="AB528" s="79" t="s">
        <v>1614</v>
      </c>
      <c r="AC528" s="47" t="str">
        <f t="shared" si="8"/>
        <v>*</v>
      </c>
    </row>
    <row r="529" spans="1:29" x14ac:dyDescent="0.25">
      <c r="A529" s="36">
        <v>131937</v>
      </c>
      <c r="B529" s="68" t="s">
        <v>411</v>
      </c>
      <c r="C529" s="33" t="s">
        <v>1317</v>
      </c>
      <c r="D529" s="32">
        <v>45</v>
      </c>
      <c r="E529" s="37">
        <v>9</v>
      </c>
      <c r="F529" s="38" t="str">
        <f>VLOOKUP(tabPontoPed[[#This Row],[GRUPO]],tabGrupos[#Data],2,FALSE)</f>
        <v>MAQ., EQUIP., COMP., ACES., MAT. PARA ESCRIT.E ESCOLAR</v>
      </c>
      <c r="G529" s="32" t="str">
        <f>VLOOKUP(tabPontoPed[[#This Row],[GRUPO]],tabGrupos[#Data],3,FALSE)</f>
        <v>EDU</v>
      </c>
      <c r="H529" s="33" t="s">
        <v>1311</v>
      </c>
      <c r="I529" s="80">
        <v>4</v>
      </c>
      <c r="J529" s="39">
        <v>304</v>
      </c>
      <c r="K529" s="41">
        <f>tabPontoPed[[#This Row],[QTDMÊS]] * tabPontoPed[[#This Row],[MENSAL]]</f>
        <v>1216</v>
      </c>
      <c r="L529" s="83"/>
      <c r="M529" s="81"/>
      <c r="N529" s="34" t="s">
        <v>1009</v>
      </c>
      <c r="O529" s="76"/>
      <c r="P529" s="77">
        <v>0</v>
      </c>
      <c r="Q529" s="57">
        <v>66</v>
      </c>
      <c r="R529" s="42">
        <v>390</v>
      </c>
      <c r="S529" s="69" t="str">
        <f>_xlfn.IFNA(IF(VLOOKUP(tabPontoPed[[#This Row],[CÓDIGO]],tabExcluirDoEstoque[#Data],1,FALSE),"sim",""),"")</f>
        <v/>
      </c>
      <c r="T529" s="43">
        <f>IF(AND(tabPontoPed[[#This Row],[MENSAL]]&gt;0,tabPontoPed[[#This Row],[CÁLCULO]]&gt;0), ABS( tabPontoPed[[#This Row],[MENSAL]] - tabPontoPed[[#This Row],[CÁLCULO]] ) / tabPontoPed[[#This Row],[MENSAL]], -1 )</f>
        <v>0.28289473684210525</v>
      </c>
      <c r="U529" s="58">
        <v>3956</v>
      </c>
      <c r="V529" s="35">
        <f>IF(AND(tabPontoPed[[#This Row],[MENSAL]]&gt;0,tabPontoPed[[#This Row],[CÁLCULO]]&gt;0), IF( tabPontoPed[[#This Row],[MENSAL]] - tabPontoPed[[#This Row],[CÁLCULO]] &lt; 0, -1, IF( tabPontoPed[[#This Row],[MENSAL]] - tabPontoPed[[#This Row],[CÁLCULO]] &gt; 0, 1, -8)), -9 )</f>
        <v>-1</v>
      </c>
      <c r="W529" s="35"/>
      <c r="X529" s="48" t="s">
        <v>1564</v>
      </c>
      <c r="Y529" s="53">
        <v>44391.599108796298</v>
      </c>
      <c r="Z529" s="72">
        <f>tabPontoPed[CÁLC_4M] - tabPontoPed[CÁLCULO]</f>
        <v>-324</v>
      </c>
      <c r="AA529" s="79" t="str">
        <f>IF(tabPontoPed[MENSAL]-tabPontoPed[ATA MENSAL] = 0,"sim","")</f>
        <v/>
      </c>
      <c r="AB529" s="79"/>
      <c r="AC529" s="47" t="str">
        <f t="shared" si="8"/>
        <v>*</v>
      </c>
    </row>
    <row r="530" spans="1:29" x14ac:dyDescent="0.25">
      <c r="A530" s="36">
        <v>136556</v>
      </c>
      <c r="B530" s="68" t="s">
        <v>1297</v>
      </c>
      <c r="C530" s="33" t="s">
        <v>1317</v>
      </c>
      <c r="D530" s="32">
        <v>51</v>
      </c>
      <c r="E530" s="37">
        <v>10</v>
      </c>
      <c r="F530" s="38" t="str">
        <f>VLOOKUP(tabPontoPed[[#This Row],[GRUPO]],tabGrupos[#Data],2,FALSE)</f>
        <v>MAT.E EQUIP. P/ CONSTR.CIVIL E CONSERV. DE VIAS PUBL.</v>
      </c>
      <c r="G530" s="32" t="str">
        <f>VLOOKUP(tabPontoPed[[#This Row],[GRUPO]],tabGrupos[#Data],3,FALSE)</f>
        <v>MCO</v>
      </c>
      <c r="H530" s="33" t="s">
        <v>1311</v>
      </c>
      <c r="I530" s="80">
        <v>4</v>
      </c>
      <c r="J530" s="39">
        <v>89</v>
      </c>
      <c r="K530" s="41">
        <f>tabPontoPed[[#This Row],[QTDMÊS]] * tabPontoPed[[#This Row],[MENSAL]]</f>
        <v>356</v>
      </c>
      <c r="L530" s="83"/>
      <c r="M530" s="81"/>
      <c r="N530" s="34" t="s">
        <v>1009</v>
      </c>
      <c r="O530" s="76" t="s">
        <v>1702</v>
      </c>
      <c r="P530" s="77">
        <v>0</v>
      </c>
      <c r="Q530" s="57">
        <v>61</v>
      </c>
      <c r="R530" s="42">
        <v>64</v>
      </c>
      <c r="S530" s="69" t="str">
        <f>_xlfn.IFNA(IF(VLOOKUP(tabPontoPed[[#This Row],[CÓDIGO]],tabExcluirDoEstoque[#Data],1,FALSE),"sim",""),"")</f>
        <v/>
      </c>
      <c r="T530" s="43">
        <f>IF(AND(tabPontoPed[[#This Row],[MENSAL]]&gt;0,tabPontoPed[[#This Row],[CÁLCULO]]&gt;0), ABS( tabPontoPed[[#This Row],[MENSAL]] - tabPontoPed[[#This Row],[CÁLCULO]] ) / tabPontoPed[[#This Row],[MENSAL]], -1 )</f>
        <v>0.2808988764044944</v>
      </c>
      <c r="U530" s="58">
        <v>168</v>
      </c>
      <c r="V530" s="35">
        <f>IF(AND(tabPontoPed[[#This Row],[MENSAL]]&gt;0,tabPontoPed[[#This Row],[CÁLCULO]]&gt;0), IF( tabPontoPed[[#This Row],[MENSAL]] - tabPontoPed[[#This Row],[CÁLCULO]] &lt; 0, -1, IF( tabPontoPed[[#This Row],[MENSAL]] - tabPontoPed[[#This Row],[CÁLCULO]] &gt; 0, 1, -8)), -9 )</f>
        <v>1</v>
      </c>
      <c r="W530" s="35"/>
      <c r="X530" s="49" t="s">
        <v>1564</v>
      </c>
      <c r="Y530" s="51">
        <v>44391.599108796298</v>
      </c>
      <c r="Z530" s="72">
        <f>tabPontoPed[CÁLC_4M] - tabPontoPed[CÁLCULO]</f>
        <v>-3</v>
      </c>
      <c r="AA530" s="79" t="str">
        <f>IF(tabPontoPed[MENSAL]-tabPontoPed[ATA MENSAL] = 0,"sim","")</f>
        <v/>
      </c>
      <c r="AB530" s="79"/>
      <c r="AC530" s="47" t="str">
        <f t="shared" si="8"/>
        <v>*</v>
      </c>
    </row>
    <row r="531" spans="1:29" x14ac:dyDescent="0.25">
      <c r="A531" s="36">
        <v>64604</v>
      </c>
      <c r="B531" s="68" t="s">
        <v>262</v>
      </c>
      <c r="C531" s="33" t="s">
        <v>1317</v>
      </c>
      <c r="D531" s="32">
        <v>69</v>
      </c>
      <c r="E531" s="37">
        <v>8</v>
      </c>
      <c r="F531" s="38" t="str">
        <f>VLOOKUP(tabPontoPed[[#This Row],[GRUPO]],tabGrupos[#Data],2,FALSE)</f>
        <v>METAIS,LAMINAD.,PERFILADOS E ARTEFATOS METALICOS</v>
      </c>
      <c r="G531" s="32" t="str">
        <f>VLOOKUP(tabPontoPed[[#This Row],[GRUPO]],tabGrupos[#Data],3,FALSE)</f>
        <v>MSE</v>
      </c>
      <c r="H531" s="33" t="s">
        <v>1311</v>
      </c>
      <c r="I531" s="80">
        <v>4</v>
      </c>
      <c r="J531" s="39">
        <v>25</v>
      </c>
      <c r="K531" s="41">
        <f>tabPontoPed[[#This Row],[QTDMÊS]] * tabPontoPed[[#This Row],[MENSAL]]</f>
        <v>100</v>
      </c>
      <c r="L531" s="83"/>
      <c r="M531" s="81"/>
      <c r="N531" s="34" t="s">
        <v>1009</v>
      </c>
      <c r="O531" s="76" t="s">
        <v>1681</v>
      </c>
      <c r="P531" s="77">
        <v>0</v>
      </c>
      <c r="Q531" s="57">
        <v>3</v>
      </c>
      <c r="R531" s="42">
        <v>18</v>
      </c>
      <c r="S531" s="69" t="str">
        <f>_xlfn.IFNA(IF(VLOOKUP(tabPontoPed[[#This Row],[CÓDIGO]],tabExcluirDoEstoque[#Data],1,FALSE),"sim",""),"")</f>
        <v/>
      </c>
      <c r="T531" s="43">
        <f>IF(AND(tabPontoPed[[#This Row],[MENSAL]]&gt;0,tabPontoPed[[#This Row],[CÁLCULO]]&gt;0), ABS( tabPontoPed[[#This Row],[MENSAL]] - tabPontoPed[[#This Row],[CÁLCULO]] ) / tabPontoPed[[#This Row],[MENSAL]], -1 )</f>
        <v>0.28000000000000003</v>
      </c>
      <c r="U531" s="58">
        <v>70</v>
      </c>
      <c r="V531" s="35">
        <f>IF(AND(tabPontoPed[[#This Row],[MENSAL]]&gt;0,tabPontoPed[[#This Row],[CÁLCULO]]&gt;0), IF( tabPontoPed[[#This Row],[MENSAL]] - tabPontoPed[[#This Row],[CÁLCULO]] &lt; 0, -1, IF( tabPontoPed[[#This Row],[MENSAL]] - tabPontoPed[[#This Row],[CÁLCULO]] &gt; 0, 1, -8)), -9 )</f>
        <v>1</v>
      </c>
      <c r="W531" s="35"/>
      <c r="X531" s="49" t="s">
        <v>1564</v>
      </c>
      <c r="Y531" s="51">
        <v>44391.599108796298</v>
      </c>
      <c r="Z531" s="72">
        <f>tabPontoPed[CÁLC_4M] - tabPontoPed[CÁLCULO]</f>
        <v>-15</v>
      </c>
      <c r="AA531" s="79" t="str">
        <f>IF(tabPontoPed[MENSAL]-tabPontoPed[ATA MENSAL] = 0,"sim","")</f>
        <v/>
      </c>
      <c r="AB531" s="79" t="s">
        <v>1614</v>
      </c>
      <c r="AC531" s="47" t="str">
        <f t="shared" si="8"/>
        <v>*</v>
      </c>
    </row>
    <row r="532" spans="1:29" x14ac:dyDescent="0.25">
      <c r="A532" s="36">
        <v>78055</v>
      </c>
      <c r="B532" s="68" t="s">
        <v>966</v>
      </c>
      <c r="C532" s="33" t="s">
        <v>1317</v>
      </c>
      <c r="D532" s="32">
        <v>78</v>
      </c>
      <c r="E532" s="37">
        <v>2</v>
      </c>
      <c r="F532" s="38" t="str">
        <f>VLOOKUP(tabPontoPed[[#This Row],[GRUPO]],tabGrupos[#Data],2,FALSE)</f>
        <v>MOBILIARIO E COFRE</v>
      </c>
      <c r="G532" s="32" t="str">
        <f>VLOOKUP(tabPontoPed[[#This Row],[GRUPO]],tabGrupos[#Data],3,FALSE)</f>
        <v>ADM</v>
      </c>
      <c r="H532" s="33" t="s">
        <v>1311</v>
      </c>
      <c r="I532" s="80">
        <v>4</v>
      </c>
      <c r="J532" s="39">
        <v>11</v>
      </c>
      <c r="K532" s="41">
        <f>tabPontoPed[[#This Row],[QTDMÊS]] * tabPontoPed[[#This Row],[MENSAL]]</f>
        <v>44</v>
      </c>
      <c r="L532" s="83"/>
      <c r="M532" s="81"/>
      <c r="N532" s="34" t="s">
        <v>1009</v>
      </c>
      <c r="O532" s="76"/>
      <c r="P532" s="77">
        <v>0</v>
      </c>
      <c r="Q532" s="57">
        <v>9</v>
      </c>
      <c r="R532" s="42">
        <v>8</v>
      </c>
      <c r="S532" s="69" t="str">
        <f>_xlfn.IFNA(IF(VLOOKUP(tabPontoPed[[#This Row],[CÓDIGO]],tabExcluirDoEstoque[#Data],1,FALSE),"sim",""),"")</f>
        <v/>
      </c>
      <c r="T532" s="43">
        <f>IF(AND(tabPontoPed[[#This Row],[MENSAL]]&gt;0,tabPontoPed[[#This Row],[CÁLCULO]]&gt;0), ABS( tabPontoPed[[#This Row],[MENSAL]] - tabPontoPed[[#This Row],[CÁLCULO]] ) / tabPontoPed[[#This Row],[MENSAL]], -1 )</f>
        <v>0.27272727272727271</v>
      </c>
      <c r="U532" s="58">
        <v>23</v>
      </c>
      <c r="V532" s="35">
        <f>IF(AND(tabPontoPed[[#This Row],[MENSAL]]&gt;0,tabPontoPed[[#This Row],[CÁLCULO]]&gt;0), IF( tabPontoPed[[#This Row],[MENSAL]] - tabPontoPed[[#This Row],[CÁLCULO]] &lt; 0, -1, IF( tabPontoPed[[#This Row],[MENSAL]] - tabPontoPed[[#This Row],[CÁLCULO]] &gt; 0, 1, -8)), -9 )</f>
        <v>1</v>
      </c>
      <c r="W532" s="35"/>
      <c r="X532" s="49" t="s">
        <v>1564</v>
      </c>
      <c r="Y532" s="51">
        <v>44391.599108796298</v>
      </c>
      <c r="Z532" s="72">
        <f>tabPontoPed[CÁLC_4M] - tabPontoPed[CÁLCULO]</f>
        <v>1</v>
      </c>
      <c r="AA532" s="79" t="str">
        <f>IF(tabPontoPed[MENSAL]-tabPontoPed[ATA MENSAL] = 0,"sim","")</f>
        <v/>
      </c>
      <c r="AB532" s="79"/>
      <c r="AC532" s="47" t="str">
        <f t="shared" si="8"/>
        <v>*</v>
      </c>
    </row>
    <row r="533" spans="1:29" x14ac:dyDescent="0.25">
      <c r="A533" s="36">
        <v>11448</v>
      </c>
      <c r="B533" s="68" t="s">
        <v>38</v>
      </c>
      <c r="C533" s="33" t="s">
        <v>1317</v>
      </c>
      <c r="D533" s="32">
        <v>45</v>
      </c>
      <c r="E533" s="37">
        <v>9</v>
      </c>
      <c r="F533" s="38" t="str">
        <f>VLOOKUP(tabPontoPed[[#This Row],[GRUPO]],tabGrupos[#Data],2,FALSE)</f>
        <v>MAQ., EQUIP., COMP., ACES., MAT. PARA ESCRIT.E ESCOLAR</v>
      </c>
      <c r="G533" s="32" t="str">
        <f>VLOOKUP(tabPontoPed[[#This Row],[GRUPO]],tabGrupos[#Data],3,FALSE)</f>
        <v>EDU</v>
      </c>
      <c r="H533" s="33" t="s">
        <v>1311</v>
      </c>
      <c r="I533" s="80">
        <v>4</v>
      </c>
      <c r="J533" s="39">
        <v>125</v>
      </c>
      <c r="K533" s="41">
        <f>tabPontoPed[[#This Row],[QTDMÊS]] * tabPontoPed[[#This Row],[MENSAL]]</f>
        <v>500</v>
      </c>
      <c r="L533" s="83"/>
      <c r="M533" s="81"/>
      <c r="N533" s="34" t="s">
        <v>1009</v>
      </c>
      <c r="O533" s="76" t="s">
        <v>1718</v>
      </c>
      <c r="P533" s="77">
        <v>0</v>
      </c>
      <c r="Q533" s="57">
        <v>63</v>
      </c>
      <c r="R533" s="42">
        <v>91</v>
      </c>
      <c r="S533" s="69" t="str">
        <f>_xlfn.IFNA(IF(VLOOKUP(tabPontoPed[[#This Row],[CÓDIGO]],tabExcluirDoEstoque[#Data],1,FALSE),"sim",""),"")</f>
        <v/>
      </c>
      <c r="T533" s="43">
        <f>IF(AND(tabPontoPed[[#This Row],[MENSAL]]&gt;0,tabPontoPed[[#This Row],[CÁLCULO]]&gt;0), ABS( tabPontoPed[[#This Row],[MENSAL]] - tabPontoPed[[#This Row],[CÁLCULO]] ) / tabPontoPed[[#This Row],[MENSAL]], -1 )</f>
        <v>0.27200000000000002</v>
      </c>
      <c r="U533" s="58">
        <v>515</v>
      </c>
      <c r="V533" s="35">
        <f>IF(AND(tabPontoPed[[#This Row],[MENSAL]]&gt;0,tabPontoPed[[#This Row],[CÁLCULO]]&gt;0), IF( tabPontoPed[[#This Row],[MENSAL]] - tabPontoPed[[#This Row],[CÁLCULO]] &lt; 0, -1, IF( tabPontoPed[[#This Row],[MENSAL]] - tabPontoPed[[#This Row],[CÁLCULO]] &gt; 0, 1, -8)), -9 )</f>
        <v>1</v>
      </c>
      <c r="W533" s="35"/>
      <c r="X533" s="49" t="s">
        <v>1564</v>
      </c>
      <c r="Y533" s="51">
        <v>44391.599108796298</v>
      </c>
      <c r="Z533" s="72">
        <f>tabPontoPed[CÁLC_4M] - tabPontoPed[CÁLCULO]</f>
        <v>-28</v>
      </c>
      <c r="AA533" s="79" t="str">
        <f>IF(tabPontoPed[MENSAL]-tabPontoPed[ATA MENSAL] = 0,"sim","")</f>
        <v/>
      </c>
      <c r="AB533" s="79" t="s">
        <v>1614</v>
      </c>
      <c r="AC533" s="47" t="str">
        <f t="shared" si="8"/>
        <v>*</v>
      </c>
    </row>
    <row r="534" spans="1:29" x14ac:dyDescent="0.25">
      <c r="A534" s="36">
        <v>59882</v>
      </c>
      <c r="B534" s="68" t="s">
        <v>892</v>
      </c>
      <c r="C534" s="33" t="s">
        <v>1317</v>
      </c>
      <c r="D534" s="32">
        <v>69</v>
      </c>
      <c r="E534" s="37">
        <v>8</v>
      </c>
      <c r="F534" s="38" t="str">
        <f>VLOOKUP(tabPontoPed[[#This Row],[GRUPO]],tabGrupos[#Data],2,FALSE)</f>
        <v>METAIS,LAMINAD.,PERFILADOS E ARTEFATOS METALICOS</v>
      </c>
      <c r="G534" s="32" t="str">
        <f>VLOOKUP(tabPontoPed[[#This Row],[GRUPO]],tabGrupos[#Data],3,FALSE)</f>
        <v>MSE</v>
      </c>
      <c r="H534" s="33" t="s">
        <v>1311</v>
      </c>
      <c r="I534" s="80">
        <v>4</v>
      </c>
      <c r="J534" s="39">
        <v>97</v>
      </c>
      <c r="K534" s="41">
        <f>tabPontoPed[[#This Row],[QTDMÊS]] * tabPontoPed[[#This Row],[MENSAL]]</f>
        <v>388</v>
      </c>
      <c r="L534" s="83"/>
      <c r="M534" s="81"/>
      <c r="N534" s="34" t="s">
        <v>1009</v>
      </c>
      <c r="O534" s="76" t="s">
        <v>1681</v>
      </c>
      <c r="P534" s="77">
        <v>0</v>
      </c>
      <c r="Q534" s="57">
        <v>6</v>
      </c>
      <c r="R534" s="42">
        <v>71</v>
      </c>
      <c r="S534" s="69" t="str">
        <f>_xlfn.IFNA(IF(VLOOKUP(tabPontoPed[[#This Row],[CÓDIGO]],tabExcluirDoEstoque[#Data],1,FALSE),"sim",""),"")</f>
        <v/>
      </c>
      <c r="T534" s="43">
        <f>IF(AND(tabPontoPed[[#This Row],[MENSAL]]&gt;0,tabPontoPed[[#This Row],[CÁLCULO]]&gt;0), ABS( tabPontoPed[[#This Row],[MENSAL]] - tabPontoPed[[#This Row],[CÁLCULO]] ) / tabPontoPed[[#This Row],[MENSAL]], -1 )</f>
        <v>0.26804123711340205</v>
      </c>
      <c r="U534" s="58">
        <v>214</v>
      </c>
      <c r="V534" s="35">
        <f>IF(AND(tabPontoPed[[#This Row],[MENSAL]]&gt;0,tabPontoPed[[#This Row],[CÁLCULO]]&gt;0), IF( tabPontoPed[[#This Row],[MENSAL]] - tabPontoPed[[#This Row],[CÁLCULO]] &lt; 0, -1, IF( tabPontoPed[[#This Row],[MENSAL]] - tabPontoPed[[#This Row],[CÁLCULO]] &gt; 0, 1, -8)), -9 )</f>
        <v>1</v>
      </c>
      <c r="W534" s="35"/>
      <c r="X534" s="48" t="s">
        <v>1564</v>
      </c>
      <c r="Y534" s="53">
        <v>44391.599108796298</v>
      </c>
      <c r="Z534" s="72">
        <f>tabPontoPed[CÁLC_4M] - tabPontoPed[CÁLCULO]</f>
        <v>-65</v>
      </c>
      <c r="AA534" s="79" t="str">
        <f>IF(tabPontoPed[MENSAL]-tabPontoPed[ATA MENSAL] = 0,"sim","")</f>
        <v/>
      </c>
      <c r="AB534" s="79"/>
      <c r="AC534" s="47" t="str">
        <f t="shared" si="8"/>
        <v>*</v>
      </c>
    </row>
    <row r="535" spans="1:29" x14ac:dyDescent="0.25">
      <c r="A535" s="36">
        <v>100802</v>
      </c>
      <c r="B535" s="68" t="s">
        <v>776</v>
      </c>
      <c r="C535" s="33" t="s">
        <v>1317</v>
      </c>
      <c r="D535" s="32">
        <v>61</v>
      </c>
      <c r="E535" s="37">
        <v>9</v>
      </c>
      <c r="F535" s="38" t="str">
        <f>VLOOKUP(tabPontoPed[[#This Row],[GRUPO]],tabGrupos[#Data],2,FALSE)</f>
        <v>MATERIAL HIDRAULICO, CANOS, TUBOS, MANGUEIRAS, CONEXOES E ACESS.</v>
      </c>
      <c r="G535" s="32" t="str">
        <f>VLOOKUP(tabPontoPed[[#This Row],[GRUPO]],tabGrupos[#Data],3,FALSE)</f>
        <v>MHI</v>
      </c>
      <c r="H535" s="33" t="s">
        <v>1311</v>
      </c>
      <c r="I535" s="80">
        <v>4</v>
      </c>
      <c r="J535" s="39">
        <v>49</v>
      </c>
      <c r="K535" s="41">
        <f>tabPontoPed[[#This Row],[QTDMÊS]] * tabPontoPed[[#This Row],[MENSAL]]</f>
        <v>196</v>
      </c>
      <c r="L535" s="83"/>
      <c r="M535" s="81"/>
      <c r="N535" s="34" t="s">
        <v>1009</v>
      </c>
      <c r="O535" s="76" t="s">
        <v>1699</v>
      </c>
      <c r="P535" s="77">
        <v>0</v>
      </c>
      <c r="Q535" s="57">
        <v>46</v>
      </c>
      <c r="R535" s="42">
        <v>36</v>
      </c>
      <c r="S535" s="69" t="str">
        <f>_xlfn.IFNA(IF(VLOOKUP(tabPontoPed[[#This Row],[CÓDIGO]],tabExcluirDoEstoque[#Data],1,FALSE),"sim",""),"")</f>
        <v/>
      </c>
      <c r="T535" s="43">
        <f>IF(AND(tabPontoPed[[#This Row],[MENSAL]]&gt;0,tabPontoPed[[#This Row],[CÁLCULO]]&gt;0), ABS( tabPontoPed[[#This Row],[MENSAL]] - tabPontoPed[[#This Row],[CÁLCULO]] ) / tabPontoPed[[#This Row],[MENSAL]], -1 )</f>
        <v>0.26530612244897961</v>
      </c>
      <c r="U535" s="58">
        <v>89</v>
      </c>
      <c r="V535" s="35">
        <f>IF(AND(tabPontoPed[[#This Row],[MENSAL]]&gt;0,tabPontoPed[[#This Row],[CÁLCULO]]&gt;0), IF( tabPontoPed[[#This Row],[MENSAL]] - tabPontoPed[[#This Row],[CÁLCULO]] &lt; 0, -1, IF( tabPontoPed[[#This Row],[MENSAL]] - tabPontoPed[[#This Row],[CÁLCULO]] &gt; 0, 1, -8)), -9 )</f>
        <v>1</v>
      </c>
      <c r="W535" s="35"/>
      <c r="X535" s="49" t="s">
        <v>1564</v>
      </c>
      <c r="Y535" s="51">
        <v>44391.599108796298</v>
      </c>
      <c r="Z535" s="72">
        <f>tabPontoPed[CÁLC_4M] - tabPontoPed[CÁLCULO]</f>
        <v>10</v>
      </c>
      <c r="AA535" s="79" t="str">
        <f>IF(tabPontoPed[MENSAL]-tabPontoPed[ATA MENSAL] = 0,"sim","")</f>
        <v/>
      </c>
      <c r="AB535" s="79"/>
      <c r="AC535" s="47" t="str">
        <f t="shared" si="8"/>
        <v>*</v>
      </c>
    </row>
    <row r="536" spans="1:29" x14ac:dyDescent="0.25">
      <c r="A536" s="36">
        <v>79687</v>
      </c>
      <c r="B536" s="68" t="s">
        <v>444</v>
      </c>
      <c r="C536" s="33" t="s">
        <v>1317</v>
      </c>
      <c r="D536" s="32">
        <v>45</v>
      </c>
      <c r="E536" s="37">
        <v>11</v>
      </c>
      <c r="F536" s="38" t="str">
        <f>VLOOKUP(tabPontoPed[[#This Row],[GRUPO]],tabGrupos[#Data],2,FALSE)</f>
        <v>MAQ., EQUIP., COMP., ACES., MAT. PARA ESCRIT.E ESCOLAR</v>
      </c>
      <c r="G536" s="32" t="str">
        <f>VLOOKUP(tabPontoPed[[#This Row],[GRUPO]],tabGrupos[#Data],3,FALSE)</f>
        <v>EDU</v>
      </c>
      <c r="H536" s="33" t="s">
        <v>1311</v>
      </c>
      <c r="I536" s="80">
        <v>4</v>
      </c>
      <c r="J536" s="39">
        <v>811</v>
      </c>
      <c r="K536" s="41">
        <f>tabPontoPed[[#This Row],[QTDMÊS]] * tabPontoPed[[#This Row],[MENSAL]]</f>
        <v>3244</v>
      </c>
      <c r="L536" s="83"/>
      <c r="M536" s="81"/>
      <c r="N536" s="34" t="s">
        <v>1009</v>
      </c>
      <c r="O536" s="76"/>
      <c r="P536" s="77">
        <v>0</v>
      </c>
      <c r="Q536" s="57">
        <v>1601</v>
      </c>
      <c r="R536" s="42">
        <v>1024</v>
      </c>
      <c r="S536" s="69" t="str">
        <f>_xlfn.IFNA(IF(VLOOKUP(tabPontoPed[[#This Row],[CÓDIGO]],tabExcluirDoEstoque[#Data],1,FALSE),"sim",""),"")</f>
        <v/>
      </c>
      <c r="T536" s="43">
        <f>IF(AND(tabPontoPed[[#This Row],[MENSAL]]&gt;0,tabPontoPed[[#This Row],[CÁLCULO]]&gt;0), ABS( tabPontoPed[[#This Row],[MENSAL]] - tabPontoPed[[#This Row],[CÁLCULO]] ) / tabPontoPed[[#This Row],[MENSAL]], -1 )</f>
        <v>0.26263871763255242</v>
      </c>
      <c r="U536" s="58">
        <v>2898</v>
      </c>
      <c r="V536" s="35">
        <f>IF(AND(tabPontoPed[[#This Row],[MENSAL]]&gt;0,tabPontoPed[[#This Row],[CÁLCULO]]&gt;0), IF( tabPontoPed[[#This Row],[MENSAL]] - tabPontoPed[[#This Row],[CÁLCULO]] &lt; 0, -1, IF( tabPontoPed[[#This Row],[MENSAL]] - tabPontoPed[[#This Row],[CÁLCULO]] &gt; 0, 1, -8)), -9 )</f>
        <v>-1</v>
      </c>
      <c r="W536" s="35"/>
      <c r="X536" s="48" t="s">
        <v>1564</v>
      </c>
      <c r="Y536" s="53">
        <v>44391.599108796298</v>
      </c>
      <c r="Z536" s="72">
        <f>tabPontoPed[CÁLC_4M] - tabPontoPed[CÁLCULO]</f>
        <v>577</v>
      </c>
      <c r="AA536" s="79" t="str">
        <f>IF(tabPontoPed[MENSAL]-tabPontoPed[ATA MENSAL] = 0,"sim","")</f>
        <v/>
      </c>
      <c r="AB536" s="79"/>
      <c r="AC536" s="47" t="str">
        <f t="shared" si="8"/>
        <v>*</v>
      </c>
    </row>
    <row r="537" spans="1:29" x14ac:dyDescent="0.25">
      <c r="A537" s="36">
        <v>136941</v>
      </c>
      <c r="B537" s="68" t="s">
        <v>1460</v>
      </c>
      <c r="C537" s="33"/>
      <c r="D537" s="32">
        <v>57</v>
      </c>
      <c r="E537" s="37">
        <v>2</v>
      </c>
      <c r="F537" s="38" t="str">
        <f>VLOOKUP(tabPontoPed[[#This Row],[GRUPO]],tabGrupos[#Data],2,FALSE)</f>
        <v>MAQ. E EQUIP. P/ IND. GRAFICA COMP. ACESS. E PAPEI</v>
      </c>
      <c r="G537" s="32" t="str">
        <f>VLOOKUP(tabPontoPed[[#This Row],[GRUPO]],tabGrupos[#Data],3,FALSE)</f>
        <v>EDU</v>
      </c>
      <c r="H537" s="33" t="s">
        <v>1311</v>
      </c>
      <c r="I537" s="80">
        <v>4</v>
      </c>
      <c r="J537" s="39">
        <v>50</v>
      </c>
      <c r="K537" s="41">
        <f>tabPontoPed[[#This Row],[QTDMÊS]] * tabPontoPed[[#This Row],[MENSAL]]</f>
        <v>200</v>
      </c>
      <c r="L537" s="83"/>
      <c r="M537" s="81"/>
      <c r="N537" s="34" t="s">
        <v>1009</v>
      </c>
      <c r="O537" s="76" t="s">
        <v>1696</v>
      </c>
      <c r="P537" s="77">
        <v>0</v>
      </c>
      <c r="Q537" s="57">
        <v>31</v>
      </c>
      <c r="R537" s="42">
        <v>63</v>
      </c>
      <c r="S537" s="69" t="str">
        <f>_xlfn.IFNA(IF(VLOOKUP(tabPontoPed[[#This Row],[CÓDIGO]],tabExcluirDoEstoque[#Data],1,FALSE),"sim",""),"")</f>
        <v/>
      </c>
      <c r="T537" s="43">
        <f>IF(AND(tabPontoPed[[#This Row],[MENSAL]]&gt;0,tabPontoPed[[#This Row],[CÁLCULO]]&gt;0), ABS( tabPontoPed[[#This Row],[MENSAL]] - tabPontoPed[[#This Row],[CÁLCULO]] ) / tabPontoPed[[#This Row],[MENSAL]], -1 )</f>
        <v>0.26</v>
      </c>
      <c r="U537" s="58">
        <v>473</v>
      </c>
      <c r="V537" s="35">
        <f>IF(AND(tabPontoPed[[#This Row],[MENSAL]]&gt;0,tabPontoPed[[#This Row],[CÁLCULO]]&gt;0), IF( tabPontoPed[[#This Row],[MENSAL]] - tabPontoPed[[#This Row],[CÁLCULO]] &lt; 0, -1, IF( tabPontoPed[[#This Row],[MENSAL]] - tabPontoPed[[#This Row],[CÁLCULO]] &gt; 0, 1, -8)), -9 )</f>
        <v>-1</v>
      </c>
      <c r="W537" s="35"/>
      <c r="X537" s="49" t="s">
        <v>1564</v>
      </c>
      <c r="Y537" s="51">
        <v>44391.599108796298</v>
      </c>
      <c r="Z537" s="72">
        <f>tabPontoPed[CÁLC_4M] - tabPontoPed[CÁLCULO]</f>
        <v>-32</v>
      </c>
      <c r="AA537" s="79" t="str">
        <f>IF(tabPontoPed[MENSAL]-tabPontoPed[ATA MENSAL] = 0,"sim","")</f>
        <v/>
      </c>
      <c r="AB537" s="79"/>
      <c r="AC537" s="47" t="str">
        <f t="shared" si="8"/>
        <v>*</v>
      </c>
    </row>
    <row r="538" spans="1:29" x14ac:dyDescent="0.25">
      <c r="A538" s="36">
        <v>27136</v>
      </c>
      <c r="B538" s="68" t="s">
        <v>185</v>
      </c>
      <c r="C538" s="33" t="s">
        <v>1317</v>
      </c>
      <c r="D538" s="32">
        <v>62</v>
      </c>
      <c r="E538" s="37">
        <v>10</v>
      </c>
      <c r="F538" s="38" t="str">
        <f>VLOOKUP(tabPontoPed[[#This Row],[GRUPO]],tabGrupos[#Data],2,FALSE)</f>
        <v>VEST., ART.P/ TOUC.E HIG. PES. MAQ., EQUIP., MAT.E ACES.</v>
      </c>
      <c r="G538" s="32" t="str">
        <f>VLOOKUP(tabPontoPed[[#This Row],[GRUPO]],tabGrupos[#Data],3,FALSE)</f>
        <v>ADM</v>
      </c>
      <c r="H538" s="33" t="s">
        <v>1311</v>
      </c>
      <c r="I538" s="80">
        <v>4</v>
      </c>
      <c r="J538" s="39">
        <v>9752</v>
      </c>
      <c r="K538" s="41">
        <f>tabPontoPed[[#This Row],[QTDMÊS]] * tabPontoPed[[#This Row],[MENSAL]]</f>
        <v>39008</v>
      </c>
      <c r="L538" s="83"/>
      <c r="M538" s="81"/>
      <c r="N538" s="34" t="s">
        <v>1009</v>
      </c>
      <c r="O538" s="76" t="s">
        <v>1721</v>
      </c>
      <c r="P538" s="77">
        <v>0</v>
      </c>
      <c r="Q538" s="57">
        <v>10036</v>
      </c>
      <c r="R538" s="42">
        <v>7222</v>
      </c>
      <c r="S538" s="69" t="str">
        <f>_xlfn.IFNA(IF(VLOOKUP(tabPontoPed[[#This Row],[CÓDIGO]],tabExcluirDoEstoque[#Data],1,FALSE),"sim",""),"")</f>
        <v/>
      </c>
      <c r="T538" s="43">
        <f>IF(AND(tabPontoPed[[#This Row],[MENSAL]]&gt;0,tabPontoPed[[#This Row],[CÁLCULO]]&gt;0), ABS( tabPontoPed[[#This Row],[MENSAL]] - tabPontoPed[[#This Row],[CÁLCULO]] ) / tabPontoPed[[#This Row],[MENSAL]], -1 )</f>
        <v>0.25943396226415094</v>
      </c>
      <c r="U538" s="58">
        <v>10830</v>
      </c>
      <c r="V538" s="35">
        <f>IF(AND(tabPontoPed[[#This Row],[MENSAL]]&gt;0,tabPontoPed[[#This Row],[CÁLCULO]]&gt;0), IF( tabPontoPed[[#This Row],[MENSAL]] - tabPontoPed[[#This Row],[CÁLCULO]] &lt; 0, -1, IF( tabPontoPed[[#This Row],[MENSAL]] - tabPontoPed[[#This Row],[CÁLCULO]] &gt; 0, 1, -8)), -9 )</f>
        <v>1</v>
      </c>
      <c r="W538" s="35"/>
      <c r="X538" s="48" t="s">
        <v>1564</v>
      </c>
      <c r="Y538" s="53">
        <v>44391.599108796298</v>
      </c>
      <c r="Z538" s="72">
        <f>tabPontoPed[CÁLC_4M] - tabPontoPed[CÁLCULO]</f>
        <v>2814</v>
      </c>
      <c r="AA538" s="79" t="str">
        <f>IF(tabPontoPed[MENSAL]-tabPontoPed[ATA MENSAL] = 0,"sim","")</f>
        <v/>
      </c>
      <c r="AB538" s="79"/>
      <c r="AC538" s="47" t="str">
        <f t="shared" si="8"/>
        <v>*</v>
      </c>
    </row>
    <row r="539" spans="1:29" x14ac:dyDescent="0.25">
      <c r="A539" s="36">
        <v>12754</v>
      </c>
      <c r="B539" s="68" t="s">
        <v>191</v>
      </c>
      <c r="C539" s="33" t="s">
        <v>1317</v>
      </c>
      <c r="D539" s="32">
        <v>72</v>
      </c>
      <c r="E539" s="37">
        <v>6</v>
      </c>
      <c r="F539" s="38" t="str">
        <f>VLOOKUP(tabPontoPed[[#This Row],[GRUPO]],tabGrupos[#Data],2,FALSE)</f>
        <v>MAQ.EQUIP.E MATERIAIS P/ HIGIEN.LIMP.POLIM.E LUBR.</v>
      </c>
      <c r="G539" s="32" t="str">
        <f>VLOOKUP(tabPontoPed[[#This Row],[GRUPO]],tabGrupos[#Data],3,FALSE)</f>
        <v>ADM</v>
      </c>
      <c r="H539" s="33" t="s">
        <v>1311</v>
      </c>
      <c r="I539" s="80">
        <v>4</v>
      </c>
      <c r="J539" s="39">
        <v>87</v>
      </c>
      <c r="K539" s="41">
        <f>tabPontoPed[[#This Row],[QTDMÊS]] * tabPontoPed[[#This Row],[MENSAL]]</f>
        <v>348</v>
      </c>
      <c r="L539" s="83"/>
      <c r="M539" s="81"/>
      <c r="N539" s="34" t="s">
        <v>1009</v>
      </c>
      <c r="O539" s="76" t="s">
        <v>1721</v>
      </c>
      <c r="P539" s="77">
        <v>0</v>
      </c>
      <c r="Q539" s="57">
        <v>74</v>
      </c>
      <c r="R539" s="42">
        <v>65</v>
      </c>
      <c r="S539" s="69" t="str">
        <f>_xlfn.IFNA(IF(VLOOKUP(tabPontoPed[[#This Row],[CÓDIGO]],tabExcluirDoEstoque[#Data],1,FALSE),"sim",""),"")</f>
        <v/>
      </c>
      <c r="T539" s="43">
        <f>IF(AND(tabPontoPed[[#This Row],[MENSAL]]&gt;0,tabPontoPed[[#This Row],[CÁLCULO]]&gt;0), ABS( tabPontoPed[[#This Row],[MENSAL]] - tabPontoPed[[#This Row],[CÁLCULO]] ) / tabPontoPed[[#This Row],[MENSAL]], -1 )</f>
        <v>0.25287356321839083</v>
      </c>
      <c r="U539" s="58">
        <v>129</v>
      </c>
      <c r="V539" s="35">
        <f>IF(AND(tabPontoPed[[#This Row],[MENSAL]]&gt;0,tabPontoPed[[#This Row],[CÁLCULO]]&gt;0), IF( tabPontoPed[[#This Row],[MENSAL]] - tabPontoPed[[#This Row],[CÁLCULO]] &lt; 0, -1, IF( tabPontoPed[[#This Row],[MENSAL]] - tabPontoPed[[#This Row],[CÁLCULO]] &gt; 0, 1, -8)), -9 )</f>
        <v>1</v>
      </c>
      <c r="W539" s="35"/>
      <c r="X539" s="49" t="s">
        <v>1564</v>
      </c>
      <c r="Y539" s="51">
        <v>44391.599108796298</v>
      </c>
      <c r="Z539" s="72">
        <f>tabPontoPed[CÁLC_4M] - tabPontoPed[CÁLCULO]</f>
        <v>9</v>
      </c>
      <c r="AA539" s="79" t="str">
        <f>IF(tabPontoPed[MENSAL]-tabPontoPed[ATA MENSAL] = 0,"sim","")</f>
        <v/>
      </c>
      <c r="AB539" s="79"/>
      <c r="AC539" s="47" t="str">
        <f t="shared" si="8"/>
        <v>*</v>
      </c>
    </row>
    <row r="540" spans="1:29" x14ac:dyDescent="0.25">
      <c r="A540" s="36">
        <v>83627</v>
      </c>
      <c r="B540" s="68" t="s">
        <v>446</v>
      </c>
      <c r="C540" s="33" t="s">
        <v>1317</v>
      </c>
      <c r="D540" s="32">
        <v>45</v>
      </c>
      <c r="E540" s="37">
        <v>11</v>
      </c>
      <c r="F540" s="38" t="str">
        <f>VLOOKUP(tabPontoPed[[#This Row],[GRUPO]],tabGrupos[#Data],2,FALSE)</f>
        <v>MAQ., EQUIP., COMP., ACES., MAT. PARA ESCRIT.E ESCOLAR</v>
      </c>
      <c r="G540" s="32" t="str">
        <f>VLOOKUP(tabPontoPed[[#This Row],[GRUPO]],tabGrupos[#Data],3,FALSE)</f>
        <v>EDU</v>
      </c>
      <c r="H540" s="33" t="s">
        <v>1311</v>
      </c>
      <c r="I540" s="80">
        <v>4</v>
      </c>
      <c r="J540" s="39">
        <v>5637</v>
      </c>
      <c r="K540" s="41">
        <f>tabPontoPed[[#This Row],[QTDMÊS]] * tabPontoPed[[#This Row],[MENSAL]]</f>
        <v>22548</v>
      </c>
      <c r="L540" s="83"/>
      <c r="M540" s="81"/>
      <c r="N540" s="34" t="s">
        <v>1009</v>
      </c>
      <c r="O540" s="76"/>
      <c r="P540" s="77">
        <v>0</v>
      </c>
      <c r="Q540" s="57">
        <v>8222</v>
      </c>
      <c r="R540" s="42">
        <v>7061</v>
      </c>
      <c r="S540" s="69" t="str">
        <f>_xlfn.IFNA(IF(VLOOKUP(tabPontoPed[[#This Row],[CÓDIGO]],tabExcluirDoEstoque[#Data],1,FALSE),"sim",""),"")</f>
        <v/>
      </c>
      <c r="T540" s="43">
        <f>IF(AND(tabPontoPed[[#This Row],[MENSAL]]&gt;0,tabPontoPed[[#This Row],[CÁLCULO]]&gt;0), ABS( tabPontoPed[[#This Row],[MENSAL]] - tabPontoPed[[#This Row],[CÁLCULO]] ) / tabPontoPed[[#This Row],[MENSAL]], -1 )</f>
        <v>0.25261664005676776</v>
      </c>
      <c r="U540" s="58">
        <v>13150</v>
      </c>
      <c r="V540" s="35">
        <f>IF(AND(tabPontoPed[[#This Row],[MENSAL]]&gt;0,tabPontoPed[[#This Row],[CÁLCULO]]&gt;0), IF( tabPontoPed[[#This Row],[MENSAL]] - tabPontoPed[[#This Row],[CÁLCULO]] &lt; 0, -1, IF( tabPontoPed[[#This Row],[MENSAL]] - tabPontoPed[[#This Row],[CÁLCULO]] &gt; 0, 1, -8)), -9 )</f>
        <v>-1</v>
      </c>
      <c r="W540" s="35"/>
      <c r="X540" s="49" t="s">
        <v>1564</v>
      </c>
      <c r="Y540" s="51">
        <v>44391.599108796298</v>
      </c>
      <c r="Z540" s="72">
        <f>tabPontoPed[CÁLC_4M] - tabPontoPed[CÁLCULO]</f>
        <v>1161</v>
      </c>
      <c r="AA540" s="79" t="str">
        <f>IF(tabPontoPed[MENSAL]-tabPontoPed[ATA MENSAL] = 0,"sim","")</f>
        <v/>
      </c>
      <c r="AB540" s="79"/>
      <c r="AC540" s="47" t="str">
        <f t="shared" si="8"/>
        <v>*</v>
      </c>
    </row>
    <row r="541" spans="1:29" x14ac:dyDescent="0.25">
      <c r="A541" s="36">
        <v>81514</v>
      </c>
      <c r="B541" s="68" t="s">
        <v>863</v>
      </c>
      <c r="C541" s="33" t="s">
        <v>1317</v>
      </c>
      <c r="D541" s="32">
        <v>67</v>
      </c>
      <c r="E541" s="37">
        <v>15</v>
      </c>
      <c r="F541" s="38" t="str">
        <f>VLOOKUP(tabPontoPed[[#This Row],[GRUPO]],tabGrupos[#Data],2,FALSE)</f>
        <v>PARAFUSOS ELEM. VEDACAO UNIAO CONEX . FIXACAO</v>
      </c>
      <c r="G541" s="32" t="str">
        <f>VLOOKUP(tabPontoPed[[#This Row],[GRUPO]],tabGrupos[#Data],3,FALSE)</f>
        <v>MSE</v>
      </c>
      <c r="H541" s="33" t="s">
        <v>1311</v>
      </c>
      <c r="I541" s="80">
        <v>4</v>
      </c>
      <c r="J541" s="39">
        <v>6564</v>
      </c>
      <c r="K541" s="41">
        <f>tabPontoPed[[#This Row],[QTDMÊS]] * tabPontoPed[[#This Row],[MENSAL]]</f>
        <v>26256</v>
      </c>
      <c r="L541" s="83"/>
      <c r="M541" s="81"/>
      <c r="N541" s="34" t="s">
        <v>1009</v>
      </c>
      <c r="O541" s="76"/>
      <c r="P541" s="77">
        <v>0</v>
      </c>
      <c r="Q541" s="57">
        <v>5351</v>
      </c>
      <c r="R541" s="42">
        <v>4909</v>
      </c>
      <c r="S541" s="69" t="str">
        <f>_xlfn.IFNA(IF(VLOOKUP(tabPontoPed[[#This Row],[CÓDIGO]],tabExcluirDoEstoque[#Data],1,FALSE),"sim",""),"")</f>
        <v/>
      </c>
      <c r="T541" s="43">
        <f>IF(AND(tabPontoPed[[#This Row],[MENSAL]]&gt;0,tabPontoPed[[#This Row],[CÁLCULO]]&gt;0), ABS( tabPontoPed[[#This Row],[MENSAL]] - tabPontoPed[[#This Row],[CÁLCULO]] ) / tabPontoPed[[#This Row],[MENSAL]], -1 )</f>
        <v>0.25213284582571605</v>
      </c>
      <c r="U541" s="58">
        <v>8200</v>
      </c>
      <c r="V541" s="35">
        <f>IF(AND(tabPontoPed[[#This Row],[MENSAL]]&gt;0,tabPontoPed[[#This Row],[CÁLCULO]]&gt;0), IF( tabPontoPed[[#This Row],[MENSAL]] - tabPontoPed[[#This Row],[CÁLCULO]] &lt; 0, -1, IF( tabPontoPed[[#This Row],[MENSAL]] - tabPontoPed[[#This Row],[CÁLCULO]] &gt; 0, 1, -8)), -9 )</f>
        <v>1</v>
      </c>
      <c r="W541" s="35"/>
      <c r="X541" s="48" t="s">
        <v>1564</v>
      </c>
      <c r="Y541" s="53">
        <v>44391.599108796298</v>
      </c>
      <c r="Z541" s="72">
        <f>tabPontoPed[CÁLC_4M] - tabPontoPed[CÁLCULO]</f>
        <v>442</v>
      </c>
      <c r="AA541" s="79" t="str">
        <f>IF(tabPontoPed[MENSAL]-tabPontoPed[ATA MENSAL] = 0,"sim","")</f>
        <v/>
      </c>
      <c r="AB541" s="79"/>
      <c r="AC541" s="47" t="str">
        <f t="shared" si="8"/>
        <v>*</v>
      </c>
    </row>
    <row r="542" spans="1:29" x14ac:dyDescent="0.25">
      <c r="A542" s="36">
        <v>29296</v>
      </c>
      <c r="B542" s="68" t="s">
        <v>197</v>
      </c>
      <c r="C542" s="33" t="s">
        <v>1317</v>
      </c>
      <c r="D542" s="32">
        <v>72</v>
      </c>
      <c r="E542" s="37">
        <v>7</v>
      </c>
      <c r="F542" s="38" t="str">
        <f>VLOOKUP(tabPontoPed[[#This Row],[GRUPO]],tabGrupos[#Data],2,FALSE)</f>
        <v>MAQ.EQUIP.E MATERIAIS P/ HIGIEN.LIMP.POLIM.E LUBR.</v>
      </c>
      <c r="G542" s="32" t="str">
        <f>VLOOKUP(tabPontoPed[[#This Row],[GRUPO]],tabGrupos[#Data],3,FALSE)</f>
        <v>ADM</v>
      </c>
      <c r="H542" s="33" t="s">
        <v>1311</v>
      </c>
      <c r="I542" s="80">
        <v>4</v>
      </c>
      <c r="J542" s="39">
        <v>16</v>
      </c>
      <c r="K542" s="41">
        <f>tabPontoPed[[#This Row],[QTDMÊS]] * tabPontoPed[[#This Row],[MENSAL]]</f>
        <v>64</v>
      </c>
      <c r="L542" s="83"/>
      <c r="M542" s="81"/>
      <c r="N542" s="34" t="s">
        <v>1009</v>
      </c>
      <c r="O542" s="76" t="s">
        <v>1736</v>
      </c>
      <c r="P542" s="77">
        <v>0</v>
      </c>
      <c r="Q542" s="57">
        <v>6</v>
      </c>
      <c r="R542" s="42">
        <v>12</v>
      </c>
      <c r="S542" s="69" t="str">
        <f>_xlfn.IFNA(IF(VLOOKUP(tabPontoPed[[#This Row],[CÓDIGO]],tabExcluirDoEstoque[#Data],1,FALSE),"sim",""),"")</f>
        <v/>
      </c>
      <c r="T542" s="43">
        <f>IF(AND(tabPontoPed[[#This Row],[MENSAL]]&gt;0,tabPontoPed[[#This Row],[CÁLCULO]]&gt;0), ABS( tabPontoPed[[#This Row],[MENSAL]] - tabPontoPed[[#This Row],[CÁLCULO]] ) / tabPontoPed[[#This Row],[MENSAL]], -1 )</f>
        <v>0.25</v>
      </c>
      <c r="U542" s="58">
        <v>34</v>
      </c>
      <c r="V542" s="35">
        <f>IF(AND(tabPontoPed[[#This Row],[MENSAL]]&gt;0,tabPontoPed[[#This Row],[CÁLCULO]]&gt;0), IF( tabPontoPed[[#This Row],[MENSAL]] - tabPontoPed[[#This Row],[CÁLCULO]] &lt; 0, -1, IF( tabPontoPed[[#This Row],[MENSAL]] - tabPontoPed[[#This Row],[CÁLCULO]] &gt; 0, 1, -8)), -9 )</f>
        <v>1</v>
      </c>
      <c r="W542" s="35"/>
      <c r="X542" s="49" t="s">
        <v>1564</v>
      </c>
      <c r="Y542" s="51">
        <v>44391.599108796298</v>
      </c>
      <c r="Z542" s="72">
        <f>tabPontoPed[CÁLC_4M] - tabPontoPed[CÁLCULO]</f>
        <v>-6</v>
      </c>
      <c r="AA542" s="79" t="str">
        <f>IF(tabPontoPed[MENSAL]-tabPontoPed[ATA MENSAL] = 0,"sim","")</f>
        <v/>
      </c>
      <c r="AB542" s="79"/>
      <c r="AC542" s="47" t="str">
        <f t="shared" si="8"/>
        <v>*</v>
      </c>
    </row>
    <row r="543" spans="1:29" x14ac:dyDescent="0.25">
      <c r="A543" s="36">
        <v>27353</v>
      </c>
      <c r="B543" s="68" t="s">
        <v>497</v>
      </c>
      <c r="C543" s="33" t="s">
        <v>1317</v>
      </c>
      <c r="D543" s="32">
        <v>51</v>
      </c>
      <c r="E543" s="37">
        <v>3</v>
      </c>
      <c r="F543" s="38" t="str">
        <f>VLOOKUP(tabPontoPed[[#This Row],[GRUPO]],tabGrupos[#Data],2,FALSE)</f>
        <v>MAT.E EQUIP. P/ CONSTR.CIVIL E CONSERV. DE VIAS PUBL.</v>
      </c>
      <c r="G543" s="32" t="str">
        <f>VLOOKUP(tabPontoPed[[#This Row],[GRUPO]],tabGrupos[#Data],3,FALSE)</f>
        <v>MCO</v>
      </c>
      <c r="H543" s="33" t="s">
        <v>1311</v>
      </c>
      <c r="I543" s="80">
        <v>4</v>
      </c>
      <c r="J543" s="39">
        <v>20</v>
      </c>
      <c r="K543" s="41">
        <f>tabPontoPed[[#This Row],[QTDMÊS]] * tabPontoPed[[#This Row],[MENSAL]]</f>
        <v>80</v>
      </c>
      <c r="L543" s="83"/>
      <c r="M543" s="81"/>
      <c r="N543" s="34" t="s">
        <v>1009</v>
      </c>
      <c r="O543" s="76" t="s">
        <v>1689</v>
      </c>
      <c r="P543" s="77">
        <v>0</v>
      </c>
      <c r="Q543" s="57">
        <v>17</v>
      </c>
      <c r="R543" s="42">
        <v>15</v>
      </c>
      <c r="S543" s="69" t="str">
        <f>_xlfn.IFNA(IF(VLOOKUP(tabPontoPed[[#This Row],[CÓDIGO]],tabExcluirDoEstoque[#Data],1,FALSE),"sim",""),"")</f>
        <v/>
      </c>
      <c r="T543" s="43">
        <f>IF(AND(tabPontoPed[[#This Row],[MENSAL]]&gt;0,tabPontoPed[[#This Row],[CÁLCULO]]&gt;0), ABS( tabPontoPed[[#This Row],[MENSAL]] - tabPontoPed[[#This Row],[CÁLCULO]] ) / tabPontoPed[[#This Row],[MENSAL]], -1 )</f>
        <v>0.25</v>
      </c>
      <c r="U543" s="58">
        <v>33</v>
      </c>
      <c r="V543" s="35">
        <f>IF(AND(tabPontoPed[[#This Row],[MENSAL]]&gt;0,tabPontoPed[[#This Row],[CÁLCULO]]&gt;0), IF( tabPontoPed[[#This Row],[MENSAL]] - tabPontoPed[[#This Row],[CÁLCULO]] &lt; 0, -1, IF( tabPontoPed[[#This Row],[MENSAL]] - tabPontoPed[[#This Row],[CÁLCULO]] &gt; 0, 1, -8)), -9 )</f>
        <v>1</v>
      </c>
      <c r="W543" s="35"/>
      <c r="X543" s="49" t="s">
        <v>1564</v>
      </c>
      <c r="Y543" s="51">
        <v>44391.599108796298</v>
      </c>
      <c r="Z543" s="72">
        <f>tabPontoPed[CÁLC_4M] - tabPontoPed[CÁLCULO]</f>
        <v>2</v>
      </c>
      <c r="AA543" s="79" t="str">
        <f>IF(tabPontoPed[MENSAL]-tabPontoPed[ATA MENSAL] = 0,"sim","")</f>
        <v/>
      </c>
      <c r="AB543" s="79"/>
      <c r="AC543" s="47" t="str">
        <f t="shared" si="8"/>
        <v>*</v>
      </c>
    </row>
    <row r="544" spans="1:29" x14ac:dyDescent="0.25">
      <c r="A544" s="36">
        <v>110771</v>
      </c>
      <c r="B544" s="68" t="s">
        <v>363</v>
      </c>
      <c r="C544" s="33" t="s">
        <v>1317</v>
      </c>
      <c r="D544" s="32">
        <v>55</v>
      </c>
      <c r="E544" s="37">
        <v>26</v>
      </c>
      <c r="F544" s="38" t="str">
        <f>VLOOKUP(tabPontoPed[[#This Row],[GRUPO]],tabGrupos[#Data],2,FALSE)</f>
        <v>EQUIP. MAT. P/ GERACAO, TRANSM. DISTR. RETIF...</v>
      </c>
      <c r="G544" s="32" t="str">
        <f>VLOOKUP(tabPontoPed[[#This Row],[GRUPO]],tabGrupos[#Data],3,FALSE)</f>
        <v>MEL</v>
      </c>
      <c r="H544" s="33" t="s">
        <v>1311</v>
      </c>
      <c r="I544" s="80">
        <v>4</v>
      </c>
      <c r="J544" s="39">
        <v>8</v>
      </c>
      <c r="K544" s="41">
        <f>tabPontoPed[[#This Row],[QTDMÊS]] * tabPontoPed[[#This Row],[MENSAL]]</f>
        <v>32</v>
      </c>
      <c r="L544" s="83"/>
      <c r="M544" s="81"/>
      <c r="N544" s="34" t="s">
        <v>1009</v>
      </c>
      <c r="O544" s="76" t="s">
        <v>1670</v>
      </c>
      <c r="P544" s="77">
        <v>0</v>
      </c>
      <c r="Q544" s="57">
        <v>2</v>
      </c>
      <c r="R544" s="42">
        <v>6</v>
      </c>
      <c r="S544" s="69" t="str">
        <f>_xlfn.IFNA(IF(VLOOKUP(tabPontoPed[[#This Row],[CÓDIGO]],tabExcluirDoEstoque[#Data],1,FALSE),"sim",""),"")</f>
        <v/>
      </c>
      <c r="T544" s="43">
        <f>IF(AND(tabPontoPed[[#This Row],[MENSAL]]&gt;0,tabPontoPed[[#This Row],[CÁLCULO]]&gt;0), ABS( tabPontoPed[[#This Row],[MENSAL]] - tabPontoPed[[#This Row],[CÁLCULO]] ) / tabPontoPed[[#This Row],[MENSAL]], -1 )</f>
        <v>0.25</v>
      </c>
      <c r="U544" s="58">
        <v>32</v>
      </c>
      <c r="V544" s="35">
        <f>IF(AND(tabPontoPed[[#This Row],[MENSAL]]&gt;0,tabPontoPed[[#This Row],[CÁLCULO]]&gt;0), IF( tabPontoPed[[#This Row],[MENSAL]] - tabPontoPed[[#This Row],[CÁLCULO]] &lt; 0, -1, IF( tabPontoPed[[#This Row],[MENSAL]] - tabPontoPed[[#This Row],[CÁLCULO]] &gt; 0, 1, -8)), -9 )</f>
        <v>1</v>
      </c>
      <c r="W544" s="35"/>
      <c r="X544" s="49" t="s">
        <v>1564</v>
      </c>
      <c r="Y544" s="51">
        <v>44391.599108796298</v>
      </c>
      <c r="Z544" s="72">
        <f>tabPontoPed[CÁLC_4M] - tabPontoPed[CÁLCULO]</f>
        <v>-4</v>
      </c>
      <c r="AA544" s="79" t="str">
        <f>IF(tabPontoPed[MENSAL]-tabPontoPed[ATA MENSAL] = 0,"sim","")</f>
        <v/>
      </c>
      <c r="AB544" s="79"/>
      <c r="AC544" s="47" t="str">
        <f t="shared" si="8"/>
        <v>*</v>
      </c>
    </row>
    <row r="545" spans="1:29" x14ac:dyDescent="0.25">
      <c r="A545" s="36">
        <v>13068</v>
      </c>
      <c r="B545" s="68" t="s">
        <v>739</v>
      </c>
      <c r="C545" s="33" t="s">
        <v>1317</v>
      </c>
      <c r="D545" s="32">
        <v>61</v>
      </c>
      <c r="E545" s="37">
        <v>8</v>
      </c>
      <c r="F545" s="38" t="str">
        <f>VLOOKUP(tabPontoPed[[#This Row],[GRUPO]],tabGrupos[#Data],2,FALSE)</f>
        <v>MATERIAL HIDRAULICO, CANOS, TUBOS, MANGUEIRAS, CONEXOES E ACESS.</v>
      </c>
      <c r="G545" s="32" t="str">
        <f>VLOOKUP(tabPontoPed[[#This Row],[GRUPO]],tabGrupos[#Data],3,FALSE)</f>
        <v>MHI</v>
      </c>
      <c r="H545" s="33" t="s">
        <v>1311</v>
      </c>
      <c r="I545" s="80">
        <v>4</v>
      </c>
      <c r="J545" s="39">
        <v>8</v>
      </c>
      <c r="K545" s="41">
        <f>tabPontoPed[[#This Row],[QTDMÊS]] * tabPontoPed[[#This Row],[MENSAL]]</f>
        <v>32</v>
      </c>
      <c r="L545" s="83"/>
      <c r="M545" s="81"/>
      <c r="N545" s="34" t="s">
        <v>1009</v>
      </c>
      <c r="O545" s="76"/>
      <c r="P545" s="77">
        <v>0</v>
      </c>
      <c r="Q545" s="57">
        <v>2</v>
      </c>
      <c r="R545" s="42">
        <v>6</v>
      </c>
      <c r="S545" s="69" t="str">
        <f>_xlfn.IFNA(IF(VLOOKUP(tabPontoPed[[#This Row],[CÓDIGO]],tabExcluirDoEstoque[#Data],1,FALSE),"sim",""),"")</f>
        <v/>
      </c>
      <c r="T545" s="43">
        <f>IF(AND(tabPontoPed[[#This Row],[MENSAL]]&gt;0,tabPontoPed[[#This Row],[CÁLCULO]]&gt;0), ABS( tabPontoPed[[#This Row],[MENSAL]] - tabPontoPed[[#This Row],[CÁLCULO]] ) / tabPontoPed[[#This Row],[MENSAL]], -1 )</f>
        <v>0.25</v>
      </c>
      <c r="U545" s="58">
        <v>23</v>
      </c>
      <c r="V545" s="35">
        <f>IF(AND(tabPontoPed[[#This Row],[MENSAL]]&gt;0,tabPontoPed[[#This Row],[CÁLCULO]]&gt;0), IF( tabPontoPed[[#This Row],[MENSAL]] - tabPontoPed[[#This Row],[CÁLCULO]] &lt; 0, -1, IF( tabPontoPed[[#This Row],[MENSAL]] - tabPontoPed[[#This Row],[CÁLCULO]] &gt; 0, 1, -8)), -9 )</f>
        <v>1</v>
      </c>
      <c r="W545" s="35"/>
      <c r="X545" s="48" t="s">
        <v>1564</v>
      </c>
      <c r="Y545" s="53">
        <v>44391.599108796298</v>
      </c>
      <c r="Z545" s="72">
        <f>tabPontoPed[CÁLC_4M] - tabPontoPed[CÁLCULO]</f>
        <v>-4</v>
      </c>
      <c r="AA545" s="79" t="str">
        <f>IF(tabPontoPed[MENSAL]-tabPontoPed[ATA MENSAL] = 0,"sim","")</f>
        <v/>
      </c>
      <c r="AB545" s="79"/>
      <c r="AC545" s="47" t="str">
        <f t="shared" si="8"/>
        <v>*</v>
      </c>
    </row>
    <row r="546" spans="1:29" ht="18.75" x14ac:dyDescent="0.25">
      <c r="A546" s="36">
        <v>20760</v>
      </c>
      <c r="B546" s="68" t="s">
        <v>179</v>
      </c>
      <c r="C546" s="33" t="s">
        <v>1317</v>
      </c>
      <c r="D546" s="32">
        <v>76</v>
      </c>
      <c r="E546" s="37">
        <v>5</v>
      </c>
      <c r="F546" s="38" t="str">
        <f>VLOOKUP(tabPontoPed[[#This Row],[GRUPO]],tabGrupos[#Data],2,FALSE)</f>
        <v>EQUIP. E MATERIAIS P/PINTURAS E IMPERMEABILIZACAO</v>
      </c>
      <c r="G546" s="32" t="str">
        <f>VLOOKUP(tabPontoPed[[#This Row],[GRUPO]],tabGrupos[#Data],3,FALSE)</f>
        <v>MPI</v>
      </c>
      <c r="H546" s="33" t="s">
        <v>1321</v>
      </c>
      <c r="I546" s="80">
        <v>3</v>
      </c>
      <c r="J546" s="39">
        <v>8</v>
      </c>
      <c r="K546" s="41">
        <f>tabPontoPed[[#This Row],[QTDMÊS]] * tabPontoPed[[#This Row],[MENSAL]]</f>
        <v>24</v>
      </c>
      <c r="L546" s="83"/>
      <c r="M546" s="81"/>
      <c r="N546" s="34" t="s">
        <v>1009</v>
      </c>
      <c r="O546" s="76" t="s">
        <v>1664</v>
      </c>
      <c r="P546" s="77">
        <v>0</v>
      </c>
      <c r="Q546" s="57">
        <v>15</v>
      </c>
      <c r="R546" s="42">
        <v>10</v>
      </c>
      <c r="S546" s="69" t="str">
        <f>_xlfn.IFNA(IF(VLOOKUP(tabPontoPed[[#This Row],[CÓDIGO]],tabExcluirDoEstoque[#Data],1,FALSE),"sim",""),"")</f>
        <v/>
      </c>
      <c r="T546" s="43">
        <f>IF(AND(tabPontoPed[[#This Row],[MENSAL]]&gt;0,tabPontoPed[[#This Row],[CÁLCULO]]&gt;0), ABS( tabPontoPed[[#This Row],[MENSAL]] - tabPontoPed[[#This Row],[CÁLCULO]] ) / tabPontoPed[[#This Row],[MENSAL]], -1 )</f>
        <v>0.25</v>
      </c>
      <c r="U546" s="58">
        <v>50</v>
      </c>
      <c r="V546" s="35">
        <f>IF(AND(tabPontoPed[[#This Row],[MENSAL]]&gt;0,tabPontoPed[[#This Row],[CÁLCULO]]&gt;0), IF( tabPontoPed[[#This Row],[MENSAL]] - tabPontoPed[[#This Row],[CÁLCULO]] &lt; 0, -1, IF( tabPontoPed[[#This Row],[MENSAL]] - tabPontoPed[[#This Row],[CÁLCULO]] &gt; 0, 1, -8)), -9 )</f>
        <v>-1</v>
      </c>
      <c r="W546" s="45"/>
      <c r="X546" s="50"/>
      <c r="Y546" s="52"/>
      <c r="Z546" s="73">
        <f>tabPontoPed[CÁLC_4M] - tabPontoPed[CÁLCULO]</f>
        <v>5</v>
      </c>
      <c r="AA546" s="79" t="str">
        <f>IF(tabPontoPed[MENSAL]-tabPontoPed[ATA MENSAL] = 0,"sim","")</f>
        <v/>
      </c>
      <c r="AB546" s="79"/>
      <c r="AC546" s="47" t="str">
        <f t="shared" si="8"/>
        <v>*</v>
      </c>
    </row>
    <row r="547" spans="1:29" x14ac:dyDescent="0.25">
      <c r="A547" s="36">
        <v>77788</v>
      </c>
      <c r="B547" s="68" t="s">
        <v>859</v>
      </c>
      <c r="C547" s="33" t="s">
        <v>1317</v>
      </c>
      <c r="D547" s="32">
        <v>67</v>
      </c>
      <c r="E547" s="37">
        <v>13</v>
      </c>
      <c r="F547" s="38" t="str">
        <f>VLOOKUP(tabPontoPed[[#This Row],[GRUPO]],tabGrupos[#Data],2,FALSE)</f>
        <v>PARAFUSOS ELEM. VEDACAO UNIAO CONEX . FIXACAO</v>
      </c>
      <c r="G547" s="32" t="str">
        <f>VLOOKUP(tabPontoPed[[#This Row],[GRUPO]],tabGrupos[#Data],3,FALSE)</f>
        <v>MSE</v>
      </c>
      <c r="H547" s="33" t="s">
        <v>1311</v>
      </c>
      <c r="I547" s="80">
        <v>4</v>
      </c>
      <c r="J547" s="39">
        <v>50</v>
      </c>
      <c r="K547" s="41">
        <f>tabPontoPed[[#This Row],[QTDMÊS]] * tabPontoPed[[#This Row],[MENSAL]]</f>
        <v>200</v>
      </c>
      <c r="L547" s="83"/>
      <c r="M547" s="81"/>
      <c r="N547" s="34" t="s">
        <v>1009</v>
      </c>
      <c r="O547" s="76"/>
      <c r="P547" s="77">
        <v>0</v>
      </c>
      <c r="Q547" s="57">
        <v>14</v>
      </c>
      <c r="R547" s="42">
        <v>38</v>
      </c>
      <c r="S547" s="69" t="str">
        <f>_xlfn.IFNA(IF(VLOOKUP(tabPontoPed[[#This Row],[CÓDIGO]],tabExcluirDoEstoque[#Data],1,FALSE),"sim",""),"")</f>
        <v/>
      </c>
      <c r="T547" s="43">
        <f>IF(AND(tabPontoPed[[#This Row],[MENSAL]]&gt;0,tabPontoPed[[#This Row],[CÁLCULO]]&gt;0), ABS( tabPontoPed[[#This Row],[MENSAL]] - tabPontoPed[[#This Row],[CÁLCULO]] ) / tabPontoPed[[#This Row],[MENSAL]], -1 )</f>
        <v>0.24</v>
      </c>
      <c r="U547" s="58">
        <v>200</v>
      </c>
      <c r="V547" s="35">
        <f>IF(AND(tabPontoPed[[#This Row],[MENSAL]]&gt;0,tabPontoPed[[#This Row],[CÁLCULO]]&gt;0), IF( tabPontoPed[[#This Row],[MENSAL]] - tabPontoPed[[#This Row],[CÁLCULO]] &lt; 0, -1, IF( tabPontoPed[[#This Row],[MENSAL]] - tabPontoPed[[#This Row],[CÁLCULO]] &gt; 0, 1, -8)), -9 )</f>
        <v>1</v>
      </c>
      <c r="W547" s="35"/>
      <c r="X547" s="48" t="s">
        <v>1564</v>
      </c>
      <c r="Y547" s="53">
        <v>44391.599108796298</v>
      </c>
      <c r="Z547" s="72">
        <f>tabPontoPed[CÁLC_4M] - tabPontoPed[CÁLCULO]</f>
        <v>-24</v>
      </c>
      <c r="AA547" s="79" t="str">
        <f>IF(tabPontoPed[MENSAL]-tabPontoPed[ATA MENSAL] = 0,"sim","")</f>
        <v/>
      </c>
      <c r="AB547" s="79"/>
      <c r="AC547" s="47" t="str">
        <f t="shared" si="8"/>
        <v>*</v>
      </c>
    </row>
    <row r="548" spans="1:29" x14ac:dyDescent="0.25">
      <c r="A548" s="36">
        <v>64605</v>
      </c>
      <c r="B548" s="68" t="s">
        <v>263</v>
      </c>
      <c r="C548" s="33" t="s">
        <v>1317</v>
      </c>
      <c r="D548" s="32">
        <v>69</v>
      </c>
      <c r="E548" s="37">
        <v>8</v>
      </c>
      <c r="F548" s="38" t="str">
        <f>VLOOKUP(tabPontoPed[[#This Row],[GRUPO]],tabGrupos[#Data],2,FALSE)</f>
        <v>METAIS,LAMINAD.,PERFILADOS E ARTEFATOS METALICOS</v>
      </c>
      <c r="G548" s="32" t="str">
        <f>VLOOKUP(tabPontoPed[[#This Row],[GRUPO]],tabGrupos[#Data],3,FALSE)</f>
        <v>MSE</v>
      </c>
      <c r="H548" s="33" t="s">
        <v>1311</v>
      </c>
      <c r="I548" s="80">
        <v>4</v>
      </c>
      <c r="J548" s="39">
        <v>50</v>
      </c>
      <c r="K548" s="41">
        <f>tabPontoPed[[#This Row],[QTDMÊS]] * tabPontoPed[[#This Row],[MENSAL]]</f>
        <v>200</v>
      </c>
      <c r="L548" s="83"/>
      <c r="M548" s="81"/>
      <c r="N548" s="34" t="s">
        <v>1009</v>
      </c>
      <c r="O548" s="76" t="s">
        <v>1681</v>
      </c>
      <c r="P548" s="77">
        <v>0</v>
      </c>
      <c r="Q548" s="57">
        <v>18</v>
      </c>
      <c r="R548" s="42">
        <v>38</v>
      </c>
      <c r="S548" s="69" t="str">
        <f>_xlfn.IFNA(IF(VLOOKUP(tabPontoPed[[#This Row],[CÓDIGO]],tabExcluirDoEstoque[#Data],1,FALSE),"sim",""),"")</f>
        <v/>
      </c>
      <c r="T548" s="43">
        <f>IF(AND(tabPontoPed[[#This Row],[MENSAL]]&gt;0,tabPontoPed[[#This Row],[CÁLCULO]]&gt;0), ABS( tabPontoPed[[#This Row],[MENSAL]] - tabPontoPed[[#This Row],[CÁLCULO]] ) / tabPontoPed[[#This Row],[MENSAL]], -1 )</f>
        <v>0.24</v>
      </c>
      <c r="U548" s="58">
        <v>110</v>
      </c>
      <c r="V548" s="35">
        <f>IF(AND(tabPontoPed[[#This Row],[MENSAL]]&gt;0,tabPontoPed[[#This Row],[CÁLCULO]]&gt;0), IF( tabPontoPed[[#This Row],[MENSAL]] - tabPontoPed[[#This Row],[CÁLCULO]] &lt; 0, -1, IF( tabPontoPed[[#This Row],[MENSAL]] - tabPontoPed[[#This Row],[CÁLCULO]] &gt; 0, 1, -8)), -9 )</f>
        <v>1</v>
      </c>
      <c r="W548" s="35"/>
      <c r="X548" s="48" t="s">
        <v>1564</v>
      </c>
      <c r="Y548" s="53">
        <v>44391.599108796298</v>
      </c>
      <c r="Z548" s="72">
        <f>tabPontoPed[CÁLC_4M] - tabPontoPed[CÁLCULO]</f>
        <v>-20</v>
      </c>
      <c r="AA548" s="79" t="str">
        <f>IF(tabPontoPed[MENSAL]-tabPontoPed[ATA MENSAL] = 0,"sim","")</f>
        <v/>
      </c>
      <c r="AB548" s="79"/>
      <c r="AC548" s="47" t="str">
        <f t="shared" si="8"/>
        <v>*</v>
      </c>
    </row>
    <row r="549" spans="1:29" x14ac:dyDescent="0.25">
      <c r="A549" s="36">
        <v>24371</v>
      </c>
      <c r="B549" s="68" t="s">
        <v>248</v>
      </c>
      <c r="C549" s="33" t="s">
        <v>1317</v>
      </c>
      <c r="D549" s="32">
        <v>51</v>
      </c>
      <c r="E549" s="37">
        <v>7</v>
      </c>
      <c r="F549" s="38" t="str">
        <f>VLOOKUP(tabPontoPed[[#This Row],[GRUPO]],tabGrupos[#Data],2,FALSE)</f>
        <v>MAT.E EQUIP. P/ CONSTR.CIVIL E CONSERV. DE VIAS PUBL.</v>
      </c>
      <c r="G549" s="32" t="str">
        <f>VLOOKUP(tabPontoPed[[#This Row],[GRUPO]],tabGrupos[#Data],3,FALSE)</f>
        <v>MCO</v>
      </c>
      <c r="H549" s="33"/>
      <c r="I549" s="80">
        <v>4</v>
      </c>
      <c r="J549" s="39">
        <v>2138</v>
      </c>
      <c r="K549" s="41">
        <f>tabPontoPed[[#This Row],[QTDMÊS]] * tabPontoPed[[#This Row],[MENSAL]]</f>
        <v>8552</v>
      </c>
      <c r="L549" s="83"/>
      <c r="M549" s="81"/>
      <c r="N549" s="34" t="s">
        <v>1009</v>
      </c>
      <c r="O549" s="76" t="s">
        <v>1657</v>
      </c>
      <c r="P549" s="77">
        <v>0</v>
      </c>
      <c r="Q549" s="57">
        <v>1684</v>
      </c>
      <c r="R549" s="42">
        <v>2650</v>
      </c>
      <c r="S549" s="69" t="str">
        <f>_xlfn.IFNA(IF(VLOOKUP(tabPontoPed[[#This Row],[CÓDIGO]],tabExcluirDoEstoque[#Data],1,FALSE),"sim",""),"")</f>
        <v/>
      </c>
      <c r="T549" s="43">
        <f>IF(AND(tabPontoPed[[#This Row],[MENSAL]]&gt;0,tabPontoPed[[#This Row],[CÁLCULO]]&gt;0), ABS( tabPontoPed[[#This Row],[MENSAL]] - tabPontoPed[[#This Row],[CÁLCULO]] ) / tabPontoPed[[#This Row],[MENSAL]], -1 )</f>
        <v>0.23947614593077643</v>
      </c>
      <c r="U549" s="58">
        <v>4504</v>
      </c>
      <c r="V549" s="35">
        <f>IF(AND(tabPontoPed[[#This Row],[MENSAL]]&gt;0,tabPontoPed[[#This Row],[CÁLCULO]]&gt;0), IF( tabPontoPed[[#This Row],[MENSAL]] - tabPontoPed[[#This Row],[CÁLCULO]] &lt; 0, -1, IF( tabPontoPed[[#This Row],[MENSAL]] - tabPontoPed[[#This Row],[CÁLCULO]] &gt; 0, 1, -8)), -9 )</f>
        <v>-1</v>
      </c>
      <c r="W549" s="35"/>
      <c r="X549" s="48" t="s">
        <v>1564</v>
      </c>
      <c r="Y549" s="53">
        <v>44294.589398148149</v>
      </c>
      <c r="Z549" s="72">
        <f>tabPontoPed[CÁLC_4M] - tabPontoPed[CÁLCULO]</f>
        <v>-966</v>
      </c>
      <c r="AA549" s="79" t="str">
        <f>IF(tabPontoPed[MENSAL]-tabPontoPed[ATA MENSAL] = 0,"sim","")</f>
        <v/>
      </c>
      <c r="AB549" s="79"/>
      <c r="AC549" s="47" t="str">
        <f t="shared" si="8"/>
        <v>*</v>
      </c>
    </row>
    <row r="550" spans="1:29" x14ac:dyDescent="0.25">
      <c r="A550" s="36">
        <v>87348</v>
      </c>
      <c r="B550" s="68" t="s">
        <v>520</v>
      </c>
      <c r="C550" s="33" t="s">
        <v>1317</v>
      </c>
      <c r="D550" s="32">
        <v>51</v>
      </c>
      <c r="E550" s="37">
        <v>13</v>
      </c>
      <c r="F550" s="38" t="str">
        <f>VLOOKUP(tabPontoPed[[#This Row],[GRUPO]],tabGrupos[#Data],2,FALSE)</f>
        <v>MAT.E EQUIP. P/ CONSTR.CIVIL E CONSERV. DE VIAS PUBL.</v>
      </c>
      <c r="G550" s="32" t="str">
        <f>VLOOKUP(tabPontoPed[[#This Row],[GRUPO]],tabGrupos[#Data],3,FALSE)</f>
        <v>MCO</v>
      </c>
      <c r="H550" s="33" t="s">
        <v>1311</v>
      </c>
      <c r="I550" s="80">
        <v>4</v>
      </c>
      <c r="J550" s="39">
        <v>42</v>
      </c>
      <c r="K550" s="41">
        <f>tabPontoPed[[#This Row],[QTDMÊS]] * tabPontoPed[[#This Row],[MENSAL]]</f>
        <v>168</v>
      </c>
      <c r="L550" s="83"/>
      <c r="M550" s="81"/>
      <c r="N550" s="34" t="s">
        <v>1009</v>
      </c>
      <c r="O550" s="76" t="s">
        <v>1668</v>
      </c>
      <c r="P550" s="77">
        <v>0</v>
      </c>
      <c r="Q550" s="57">
        <v>70</v>
      </c>
      <c r="R550" s="42">
        <v>32</v>
      </c>
      <c r="S550" s="69" t="str">
        <f>_xlfn.IFNA(IF(VLOOKUP(tabPontoPed[[#This Row],[CÓDIGO]],tabExcluirDoEstoque[#Data],1,FALSE),"sim",""),"")</f>
        <v/>
      </c>
      <c r="T550" s="43">
        <f>IF(AND(tabPontoPed[[#This Row],[MENSAL]]&gt;0,tabPontoPed[[#This Row],[CÁLCULO]]&gt;0), ABS( tabPontoPed[[#This Row],[MENSAL]] - tabPontoPed[[#This Row],[CÁLCULO]] ) / tabPontoPed[[#This Row],[MENSAL]], -1 )</f>
        <v>0.23809523809523808</v>
      </c>
      <c r="U550" s="58">
        <v>205</v>
      </c>
      <c r="V550" s="35">
        <f>IF(AND(tabPontoPed[[#This Row],[MENSAL]]&gt;0,tabPontoPed[[#This Row],[CÁLCULO]]&gt;0), IF( tabPontoPed[[#This Row],[MENSAL]] - tabPontoPed[[#This Row],[CÁLCULO]] &lt; 0, -1, IF( tabPontoPed[[#This Row],[MENSAL]] - tabPontoPed[[#This Row],[CÁLCULO]] &gt; 0, 1, -8)), -9 )</f>
        <v>1</v>
      </c>
      <c r="W550" s="35"/>
      <c r="X550" s="48" t="s">
        <v>1564</v>
      </c>
      <c r="Y550" s="53">
        <v>44391.599108796298</v>
      </c>
      <c r="Z550" s="72">
        <f>tabPontoPed[CÁLC_4M] - tabPontoPed[CÁLCULO]</f>
        <v>38</v>
      </c>
      <c r="AA550" s="79" t="str">
        <f>IF(tabPontoPed[MENSAL]-tabPontoPed[ATA MENSAL] = 0,"sim","")</f>
        <v/>
      </c>
      <c r="AB550" s="79" t="s">
        <v>1614</v>
      </c>
      <c r="AC550" s="47" t="str">
        <f t="shared" si="8"/>
        <v>*</v>
      </c>
    </row>
    <row r="551" spans="1:29" x14ac:dyDescent="0.25">
      <c r="A551" s="36">
        <v>10302</v>
      </c>
      <c r="B551" s="68" t="s">
        <v>709</v>
      </c>
      <c r="C551" s="33" t="s">
        <v>1317</v>
      </c>
      <c r="D551" s="32">
        <v>57</v>
      </c>
      <c r="E551" s="37">
        <v>19</v>
      </c>
      <c r="F551" s="38" t="str">
        <f>VLOOKUP(tabPontoPed[[#This Row],[GRUPO]],tabGrupos[#Data],2,FALSE)</f>
        <v>MAQ. E EQUIP. P/ IND. GRAFICA COMP. ACESS. E PAPEI</v>
      </c>
      <c r="G551" s="32" t="str">
        <f>VLOOKUP(tabPontoPed[[#This Row],[GRUPO]],tabGrupos[#Data],3,FALSE)</f>
        <v>EDU</v>
      </c>
      <c r="H551" s="33" t="s">
        <v>1311</v>
      </c>
      <c r="I551" s="80">
        <v>4</v>
      </c>
      <c r="J551" s="39">
        <v>316</v>
      </c>
      <c r="K551" s="41">
        <f>tabPontoPed[[#This Row],[QTDMÊS]] * tabPontoPed[[#This Row],[MENSAL]]</f>
        <v>1264</v>
      </c>
      <c r="L551" s="83"/>
      <c r="M551" s="81"/>
      <c r="N551" s="34" t="s">
        <v>1009</v>
      </c>
      <c r="O551" s="76" t="s">
        <v>1718</v>
      </c>
      <c r="P551" s="77">
        <v>0</v>
      </c>
      <c r="Q551" s="57">
        <v>88</v>
      </c>
      <c r="R551" s="42">
        <v>242</v>
      </c>
      <c r="S551" s="69" t="str">
        <f>_xlfn.IFNA(IF(VLOOKUP(tabPontoPed[[#This Row],[CÓDIGO]],tabExcluirDoEstoque[#Data],1,FALSE),"sim",""),"")</f>
        <v/>
      </c>
      <c r="T551" s="43">
        <f>IF(AND(tabPontoPed[[#This Row],[MENSAL]]&gt;0,tabPontoPed[[#This Row],[CÁLCULO]]&gt;0), ABS( tabPontoPed[[#This Row],[MENSAL]] - tabPontoPed[[#This Row],[CÁLCULO]] ) / tabPontoPed[[#This Row],[MENSAL]], -1 )</f>
        <v>0.23417721518987342</v>
      </c>
      <c r="U551" s="58">
        <v>1663</v>
      </c>
      <c r="V551" s="35">
        <f>IF(AND(tabPontoPed[[#This Row],[MENSAL]]&gt;0,tabPontoPed[[#This Row],[CÁLCULO]]&gt;0), IF( tabPontoPed[[#This Row],[MENSAL]] - tabPontoPed[[#This Row],[CÁLCULO]] &lt; 0, -1, IF( tabPontoPed[[#This Row],[MENSAL]] - tabPontoPed[[#This Row],[CÁLCULO]] &gt; 0, 1, -8)), -9 )</f>
        <v>1</v>
      </c>
      <c r="W551" s="35"/>
      <c r="X551" s="49" t="s">
        <v>1564</v>
      </c>
      <c r="Y551" s="51">
        <v>44391.599108796298</v>
      </c>
      <c r="Z551" s="72">
        <f>tabPontoPed[CÁLC_4M] - tabPontoPed[CÁLCULO]</f>
        <v>-154</v>
      </c>
      <c r="AA551" s="79" t="str">
        <f>IF(tabPontoPed[MENSAL]-tabPontoPed[ATA MENSAL] = 0,"sim","")</f>
        <v/>
      </c>
      <c r="AB551" s="79"/>
      <c r="AC551" s="47" t="str">
        <f t="shared" si="8"/>
        <v>*</v>
      </c>
    </row>
    <row r="552" spans="1:29" x14ac:dyDescent="0.25">
      <c r="A552" s="36">
        <v>127384</v>
      </c>
      <c r="B552" s="68" t="s">
        <v>551</v>
      </c>
      <c r="C552" s="33" t="s">
        <v>1317</v>
      </c>
      <c r="D552" s="32">
        <v>51</v>
      </c>
      <c r="E552" s="37">
        <v>33</v>
      </c>
      <c r="F552" s="38" t="str">
        <f>VLOOKUP(tabPontoPed[[#This Row],[GRUPO]],tabGrupos[#Data],2,FALSE)</f>
        <v>MAT.E EQUIP. P/ CONSTR.CIVIL E CONSERV. DE VIAS PUBL.</v>
      </c>
      <c r="G552" s="32" t="str">
        <f>VLOOKUP(tabPontoPed[[#This Row],[GRUPO]],tabGrupos[#Data],3,FALSE)</f>
        <v>MCO</v>
      </c>
      <c r="H552" s="33" t="s">
        <v>1311</v>
      </c>
      <c r="I552" s="80">
        <v>4</v>
      </c>
      <c r="J552" s="39">
        <v>13</v>
      </c>
      <c r="K552" s="41">
        <f>tabPontoPed[[#This Row],[QTDMÊS]] * tabPontoPed[[#This Row],[MENSAL]]</f>
        <v>52</v>
      </c>
      <c r="L552" s="83"/>
      <c r="M552" s="81"/>
      <c r="N552" s="34" t="s">
        <v>1009</v>
      </c>
      <c r="O552" s="76" t="s">
        <v>1689</v>
      </c>
      <c r="P552" s="77">
        <v>0</v>
      </c>
      <c r="Q552" s="57">
        <v>13</v>
      </c>
      <c r="R552" s="42">
        <v>10</v>
      </c>
      <c r="S552" s="69" t="str">
        <f>_xlfn.IFNA(IF(VLOOKUP(tabPontoPed[[#This Row],[CÓDIGO]],tabExcluirDoEstoque[#Data],1,FALSE),"sim",""),"")</f>
        <v/>
      </c>
      <c r="T552" s="43">
        <f>IF(AND(tabPontoPed[[#This Row],[MENSAL]]&gt;0,tabPontoPed[[#This Row],[CÁLCULO]]&gt;0), ABS( tabPontoPed[[#This Row],[MENSAL]] - tabPontoPed[[#This Row],[CÁLCULO]] ) / tabPontoPed[[#This Row],[MENSAL]], -1 )</f>
        <v>0.23076923076923078</v>
      </c>
      <c r="U552" s="58">
        <v>19</v>
      </c>
      <c r="V552" s="35">
        <f>IF(AND(tabPontoPed[[#This Row],[MENSAL]]&gt;0,tabPontoPed[[#This Row],[CÁLCULO]]&gt;0), IF( tabPontoPed[[#This Row],[MENSAL]] - tabPontoPed[[#This Row],[CÁLCULO]] &lt; 0, -1, IF( tabPontoPed[[#This Row],[MENSAL]] - tabPontoPed[[#This Row],[CÁLCULO]] &gt; 0, 1, -8)), -9 )</f>
        <v>1</v>
      </c>
      <c r="W552" s="35"/>
      <c r="X552" s="48" t="s">
        <v>1564</v>
      </c>
      <c r="Y552" s="53">
        <v>44391.599108796298</v>
      </c>
      <c r="Z552" s="72">
        <f>tabPontoPed[CÁLC_4M] - tabPontoPed[CÁLCULO]</f>
        <v>3</v>
      </c>
      <c r="AA552" s="79" t="str">
        <f>IF(tabPontoPed[MENSAL]-tabPontoPed[ATA MENSAL] = 0,"sim","")</f>
        <v/>
      </c>
      <c r="AB552" s="79"/>
      <c r="AC552" s="47" t="str">
        <f t="shared" si="8"/>
        <v>*</v>
      </c>
    </row>
    <row r="553" spans="1:29" x14ac:dyDescent="0.25">
      <c r="A553" s="36">
        <v>60889</v>
      </c>
      <c r="B553" s="68" t="s">
        <v>652</v>
      </c>
      <c r="C553" s="33" t="s">
        <v>1317</v>
      </c>
      <c r="D553" s="32">
        <v>55</v>
      </c>
      <c r="E553" s="37">
        <v>32</v>
      </c>
      <c r="F553" s="38" t="str">
        <f>VLOOKUP(tabPontoPed[[#This Row],[GRUPO]],tabGrupos[#Data],2,FALSE)</f>
        <v>EQUIP. MAT. P/ GERACAO, TRANSM. DISTR. RETIF...</v>
      </c>
      <c r="G553" s="32" t="str">
        <f>VLOOKUP(tabPontoPed[[#This Row],[GRUPO]],tabGrupos[#Data],3,FALSE)</f>
        <v>MEL</v>
      </c>
      <c r="H553" s="33" t="s">
        <v>1311</v>
      </c>
      <c r="I553" s="80">
        <v>4</v>
      </c>
      <c r="J553" s="39">
        <v>79</v>
      </c>
      <c r="K553" s="41">
        <f>tabPontoPed[[#This Row],[QTDMÊS]] * tabPontoPed[[#This Row],[MENSAL]]</f>
        <v>316</v>
      </c>
      <c r="L553" s="83"/>
      <c r="M553" s="81"/>
      <c r="N553" s="34" t="s">
        <v>1009</v>
      </c>
      <c r="O553" s="76" t="s">
        <v>1667</v>
      </c>
      <c r="P553" s="77">
        <v>0</v>
      </c>
      <c r="Q553" s="57">
        <v>136</v>
      </c>
      <c r="R553" s="42">
        <v>97</v>
      </c>
      <c r="S553" s="69" t="str">
        <f>_xlfn.IFNA(IF(VLOOKUP(tabPontoPed[[#This Row],[CÓDIGO]],tabExcluirDoEstoque[#Data],1,FALSE),"sim",""),"")</f>
        <v/>
      </c>
      <c r="T553" s="43">
        <f>IF(AND(tabPontoPed[[#This Row],[MENSAL]]&gt;0,tabPontoPed[[#This Row],[CÁLCULO]]&gt;0), ABS( tabPontoPed[[#This Row],[MENSAL]] - tabPontoPed[[#This Row],[CÁLCULO]] ) / tabPontoPed[[#This Row],[MENSAL]], -1 )</f>
        <v>0.22784810126582278</v>
      </c>
      <c r="U553" s="58">
        <v>183</v>
      </c>
      <c r="V553" s="35">
        <f>IF(AND(tabPontoPed[[#This Row],[MENSAL]]&gt;0,tabPontoPed[[#This Row],[CÁLCULO]]&gt;0), IF( tabPontoPed[[#This Row],[MENSAL]] - tabPontoPed[[#This Row],[CÁLCULO]] &lt; 0, -1, IF( tabPontoPed[[#This Row],[MENSAL]] - tabPontoPed[[#This Row],[CÁLCULO]] &gt; 0, 1, -8)), -9 )</f>
        <v>-1</v>
      </c>
      <c r="W553" s="35"/>
      <c r="X553" s="49" t="s">
        <v>1564</v>
      </c>
      <c r="Y553" s="51">
        <v>44391.599108796298</v>
      </c>
      <c r="Z553" s="72">
        <f>tabPontoPed[CÁLC_4M] - tabPontoPed[CÁLCULO]</f>
        <v>39</v>
      </c>
      <c r="AA553" s="79" t="str">
        <f>IF(tabPontoPed[MENSAL]-tabPontoPed[ATA MENSAL] = 0,"sim","")</f>
        <v/>
      </c>
      <c r="AB553" s="79"/>
      <c r="AC553" s="47" t="str">
        <f t="shared" si="8"/>
        <v>*</v>
      </c>
    </row>
    <row r="554" spans="1:29" x14ac:dyDescent="0.25">
      <c r="A554" s="36">
        <v>128815</v>
      </c>
      <c r="B554" s="68" t="s">
        <v>23</v>
      </c>
      <c r="C554" s="33" t="s">
        <v>1317</v>
      </c>
      <c r="D554" s="32">
        <v>55</v>
      </c>
      <c r="E554" s="37">
        <v>32</v>
      </c>
      <c r="F554" s="38" t="str">
        <f>VLOOKUP(tabPontoPed[[#This Row],[GRUPO]],tabGrupos[#Data],2,FALSE)</f>
        <v>EQUIP. MAT. P/ GERACAO, TRANSM. DISTR. RETIF...</v>
      </c>
      <c r="G554" s="32" t="str">
        <f>VLOOKUP(tabPontoPed[[#This Row],[GRUPO]],tabGrupos[#Data],3,FALSE)</f>
        <v>MEL</v>
      </c>
      <c r="H554" s="33" t="s">
        <v>1311</v>
      </c>
      <c r="I554" s="80">
        <v>4</v>
      </c>
      <c r="J554" s="39">
        <v>200</v>
      </c>
      <c r="K554" s="41">
        <f>tabPontoPed[[#This Row],[QTDMÊS]] * tabPontoPed[[#This Row],[MENSAL]]</f>
        <v>800</v>
      </c>
      <c r="L554" s="83"/>
      <c r="M554" s="81"/>
      <c r="N554" s="34" t="s">
        <v>1009</v>
      </c>
      <c r="O554" s="76" t="s">
        <v>1676</v>
      </c>
      <c r="P554" s="77">
        <v>0</v>
      </c>
      <c r="Q554" s="57">
        <v>49</v>
      </c>
      <c r="R554" s="42">
        <v>155</v>
      </c>
      <c r="S554" s="69" t="str">
        <f>_xlfn.IFNA(IF(VLOOKUP(tabPontoPed[[#This Row],[CÓDIGO]],tabExcluirDoEstoque[#Data],1,FALSE),"sim",""),"")</f>
        <v/>
      </c>
      <c r="T554" s="43">
        <f>IF(AND(tabPontoPed[[#This Row],[MENSAL]]&gt;0,tabPontoPed[[#This Row],[CÁLCULO]]&gt;0), ABS( tabPontoPed[[#This Row],[MENSAL]] - tabPontoPed[[#This Row],[CÁLCULO]] ) / tabPontoPed[[#This Row],[MENSAL]], -1 )</f>
        <v>0.22500000000000001</v>
      </c>
      <c r="U554" s="58">
        <v>340</v>
      </c>
      <c r="V554" s="35">
        <f>IF(AND(tabPontoPed[[#This Row],[MENSAL]]&gt;0,tabPontoPed[[#This Row],[CÁLCULO]]&gt;0), IF( tabPontoPed[[#This Row],[MENSAL]] - tabPontoPed[[#This Row],[CÁLCULO]] &lt; 0, -1, IF( tabPontoPed[[#This Row],[MENSAL]] - tabPontoPed[[#This Row],[CÁLCULO]] &gt; 0, 1, -8)), -9 )</f>
        <v>1</v>
      </c>
      <c r="W554" s="35"/>
      <c r="X554" s="49" t="s">
        <v>1564</v>
      </c>
      <c r="Y554" s="51">
        <v>44391.599108796298</v>
      </c>
      <c r="Z554" s="72">
        <f>tabPontoPed[CÁLC_4M] - tabPontoPed[CÁLCULO]</f>
        <v>-106</v>
      </c>
      <c r="AA554" s="79" t="str">
        <f>IF(tabPontoPed[MENSAL]-tabPontoPed[ATA MENSAL] = 0,"sim","")</f>
        <v/>
      </c>
      <c r="AB554" s="79"/>
      <c r="AC554" s="47" t="str">
        <f t="shared" si="8"/>
        <v>*</v>
      </c>
    </row>
    <row r="555" spans="1:29" x14ac:dyDescent="0.25">
      <c r="A555" s="36">
        <v>119554</v>
      </c>
      <c r="B555" s="68" t="s">
        <v>950</v>
      </c>
      <c r="C555" s="33" t="s">
        <v>1317</v>
      </c>
      <c r="D555" s="32">
        <v>74</v>
      </c>
      <c r="E555" s="37">
        <v>9</v>
      </c>
      <c r="F555" s="38" t="str">
        <f>VLOOKUP(tabPontoPed[[#This Row],[GRUPO]],tabGrupos[#Data],2,FALSE)</f>
        <v>MADEIRAS,LAMINADOS,COMPENSADOS E AGLOMERADOS</v>
      </c>
      <c r="G555" s="32" t="str">
        <f>VLOOKUP(tabPontoPed[[#This Row],[GRUPO]],tabGrupos[#Data],3,FALSE)</f>
        <v>MCO</v>
      </c>
      <c r="H555" s="33" t="s">
        <v>1311</v>
      </c>
      <c r="I555" s="80">
        <v>4</v>
      </c>
      <c r="J555" s="39">
        <v>9</v>
      </c>
      <c r="K555" s="41">
        <f>tabPontoPed[[#This Row],[QTDMÊS]] * tabPontoPed[[#This Row],[MENSAL]]</f>
        <v>36</v>
      </c>
      <c r="L555" s="83"/>
      <c r="M555" s="81"/>
      <c r="N555" s="34" t="s">
        <v>1009</v>
      </c>
      <c r="O555" s="76" t="s">
        <v>1714</v>
      </c>
      <c r="P555" s="77">
        <v>0</v>
      </c>
      <c r="Q555" s="57">
        <v>11</v>
      </c>
      <c r="R555" s="42">
        <v>11</v>
      </c>
      <c r="S555" s="69" t="str">
        <f>_xlfn.IFNA(IF(VLOOKUP(tabPontoPed[[#This Row],[CÓDIGO]],tabExcluirDoEstoque[#Data],1,FALSE),"sim",""),"")</f>
        <v/>
      </c>
      <c r="T555" s="43">
        <f>IF(AND(tabPontoPed[[#This Row],[MENSAL]]&gt;0,tabPontoPed[[#This Row],[CÁLCULO]]&gt;0), ABS( tabPontoPed[[#This Row],[MENSAL]] - tabPontoPed[[#This Row],[CÁLCULO]] ) / tabPontoPed[[#This Row],[MENSAL]], -1 )</f>
        <v>0.22222222222222221</v>
      </c>
      <c r="U555" s="58">
        <v>42</v>
      </c>
      <c r="V555" s="35">
        <f>IF(AND(tabPontoPed[[#This Row],[MENSAL]]&gt;0,tabPontoPed[[#This Row],[CÁLCULO]]&gt;0), IF( tabPontoPed[[#This Row],[MENSAL]] - tabPontoPed[[#This Row],[CÁLCULO]] &lt; 0, -1, IF( tabPontoPed[[#This Row],[MENSAL]] - tabPontoPed[[#This Row],[CÁLCULO]] &gt; 0, 1, -8)), -9 )</f>
        <v>-1</v>
      </c>
      <c r="W555" s="35"/>
      <c r="X555" s="49" t="s">
        <v>1564</v>
      </c>
      <c r="Y555" s="51">
        <v>44391.599108796298</v>
      </c>
      <c r="Z555" s="72">
        <f>tabPontoPed[CÁLC_4M] - tabPontoPed[CÁLCULO]</f>
        <v>0</v>
      </c>
      <c r="AA555" s="79" t="str">
        <f>IF(tabPontoPed[MENSAL]-tabPontoPed[ATA MENSAL] = 0,"sim","")</f>
        <v/>
      </c>
      <c r="AB555" s="79"/>
      <c r="AC555" s="47" t="str">
        <f t="shared" si="8"/>
        <v>*</v>
      </c>
    </row>
    <row r="556" spans="1:29" x14ac:dyDescent="0.25">
      <c r="A556" s="36">
        <v>12614</v>
      </c>
      <c r="B556" s="68" t="s">
        <v>438</v>
      </c>
      <c r="C556" s="33" t="s">
        <v>1317</v>
      </c>
      <c r="D556" s="32">
        <v>45</v>
      </c>
      <c r="E556" s="37">
        <v>11</v>
      </c>
      <c r="F556" s="38" t="str">
        <f>VLOOKUP(tabPontoPed[[#This Row],[GRUPO]],tabGrupos[#Data],2,FALSE)</f>
        <v>MAQ., EQUIP., COMP., ACES., MAT. PARA ESCRIT.E ESCOLAR</v>
      </c>
      <c r="G556" s="32" t="str">
        <f>VLOOKUP(tabPontoPed[[#This Row],[GRUPO]],tabGrupos[#Data],3,FALSE)</f>
        <v>EDU</v>
      </c>
      <c r="H556" s="33" t="s">
        <v>1311</v>
      </c>
      <c r="I556" s="80">
        <v>4</v>
      </c>
      <c r="J556" s="39">
        <v>2760</v>
      </c>
      <c r="K556" s="41">
        <f>tabPontoPed[[#This Row],[QTDMÊS]] * tabPontoPed[[#This Row],[MENSAL]]</f>
        <v>11040</v>
      </c>
      <c r="L556" s="83"/>
      <c r="M556" s="81"/>
      <c r="N556" s="34" t="s">
        <v>1009</v>
      </c>
      <c r="O556" s="76" t="s">
        <v>1696</v>
      </c>
      <c r="P556" s="77">
        <v>0</v>
      </c>
      <c r="Q556" s="57">
        <v>1859</v>
      </c>
      <c r="R556" s="42">
        <v>2149</v>
      </c>
      <c r="S556" s="69" t="str">
        <f>_xlfn.IFNA(IF(VLOOKUP(tabPontoPed[[#This Row],[CÓDIGO]],tabExcluirDoEstoque[#Data],1,FALSE),"sim",""),"")</f>
        <v/>
      </c>
      <c r="T556" s="43">
        <f>IF(AND(tabPontoPed[[#This Row],[MENSAL]]&gt;0,tabPontoPed[[#This Row],[CÁLCULO]]&gt;0), ABS( tabPontoPed[[#This Row],[MENSAL]] - tabPontoPed[[#This Row],[CÁLCULO]] ) / tabPontoPed[[#This Row],[MENSAL]], -1 )</f>
        <v>0.22137681159420289</v>
      </c>
      <c r="U556" s="58">
        <v>5362</v>
      </c>
      <c r="V556" s="35">
        <f>IF(AND(tabPontoPed[[#This Row],[MENSAL]]&gt;0,tabPontoPed[[#This Row],[CÁLCULO]]&gt;0), IF( tabPontoPed[[#This Row],[MENSAL]] - tabPontoPed[[#This Row],[CÁLCULO]] &lt; 0, -1, IF( tabPontoPed[[#This Row],[MENSAL]] - tabPontoPed[[#This Row],[CÁLCULO]] &gt; 0, 1, -8)), -9 )</f>
        <v>1</v>
      </c>
      <c r="W556" s="35"/>
      <c r="X556" s="49" t="s">
        <v>1564</v>
      </c>
      <c r="Y556" s="51">
        <v>44391.599108796298</v>
      </c>
      <c r="Z556" s="72">
        <f>tabPontoPed[CÁLC_4M] - tabPontoPed[CÁLCULO]</f>
        <v>-290</v>
      </c>
      <c r="AA556" s="79" t="str">
        <f>IF(tabPontoPed[MENSAL]-tabPontoPed[ATA MENSAL] = 0,"sim","")</f>
        <v/>
      </c>
      <c r="AB556" s="79"/>
      <c r="AC556" s="47" t="str">
        <f t="shared" si="8"/>
        <v>*</v>
      </c>
    </row>
    <row r="557" spans="1:29" x14ac:dyDescent="0.25">
      <c r="A557" s="36">
        <v>17136</v>
      </c>
      <c r="B557" s="68" t="s">
        <v>41</v>
      </c>
      <c r="C557" s="33" t="s">
        <v>1317</v>
      </c>
      <c r="D557" s="32">
        <v>45</v>
      </c>
      <c r="E557" s="37">
        <v>12</v>
      </c>
      <c r="F557" s="38" t="str">
        <f>VLOOKUP(tabPontoPed[[#This Row],[GRUPO]],tabGrupos[#Data],2,FALSE)</f>
        <v>MAQ., EQUIP., COMP., ACES., MAT. PARA ESCRIT.E ESCOLAR</v>
      </c>
      <c r="G557" s="32" t="str">
        <f>VLOOKUP(tabPontoPed[[#This Row],[GRUPO]],tabGrupos[#Data],3,FALSE)</f>
        <v>EDU</v>
      </c>
      <c r="H557" s="33" t="s">
        <v>1311</v>
      </c>
      <c r="I557" s="80">
        <v>4</v>
      </c>
      <c r="J557" s="39">
        <v>100</v>
      </c>
      <c r="K557" s="41">
        <f>tabPontoPed[[#This Row],[QTDMÊS]] * tabPontoPed[[#This Row],[MENSAL]]</f>
        <v>400</v>
      </c>
      <c r="L557" s="83"/>
      <c r="M557" s="81"/>
      <c r="N557" s="34" t="s">
        <v>1009</v>
      </c>
      <c r="O557" s="76" t="s">
        <v>1696</v>
      </c>
      <c r="P557" s="77">
        <v>0</v>
      </c>
      <c r="Q557" s="57">
        <v>84</v>
      </c>
      <c r="R557" s="42">
        <v>78</v>
      </c>
      <c r="S557" s="69" t="str">
        <f>_xlfn.IFNA(IF(VLOOKUP(tabPontoPed[[#This Row],[CÓDIGO]],tabExcluirDoEstoque[#Data],1,FALSE),"sim",""),"")</f>
        <v/>
      </c>
      <c r="T557" s="43">
        <f>IF(AND(tabPontoPed[[#This Row],[MENSAL]]&gt;0,tabPontoPed[[#This Row],[CÁLCULO]]&gt;0), ABS( tabPontoPed[[#This Row],[MENSAL]] - tabPontoPed[[#This Row],[CÁLCULO]] ) / tabPontoPed[[#This Row],[MENSAL]], -1 )</f>
        <v>0.22</v>
      </c>
      <c r="U557" s="58">
        <v>141</v>
      </c>
      <c r="V557" s="35">
        <f>IF(AND(tabPontoPed[[#This Row],[MENSAL]]&gt;0,tabPontoPed[[#This Row],[CÁLCULO]]&gt;0), IF( tabPontoPed[[#This Row],[MENSAL]] - tabPontoPed[[#This Row],[CÁLCULO]] &lt; 0, -1, IF( tabPontoPed[[#This Row],[MENSAL]] - tabPontoPed[[#This Row],[CÁLCULO]] &gt; 0, 1, -8)), -9 )</f>
        <v>1</v>
      </c>
      <c r="W557" s="35"/>
      <c r="X557" s="49" t="s">
        <v>1564</v>
      </c>
      <c r="Y557" s="51">
        <v>44391.599108796298</v>
      </c>
      <c r="Z557" s="72">
        <f>tabPontoPed[CÁLC_4M] - tabPontoPed[CÁLCULO]</f>
        <v>6</v>
      </c>
      <c r="AA557" s="79" t="str">
        <f>IF(tabPontoPed[MENSAL]-tabPontoPed[ATA MENSAL] = 0,"sim","")</f>
        <v/>
      </c>
      <c r="AB557" s="79"/>
      <c r="AC557" s="47" t="str">
        <f t="shared" si="8"/>
        <v>*</v>
      </c>
    </row>
    <row r="558" spans="1:29" x14ac:dyDescent="0.25">
      <c r="A558" s="36">
        <v>63385</v>
      </c>
      <c r="B558" s="68" t="s">
        <v>95</v>
      </c>
      <c r="C558" s="33" t="s">
        <v>1317</v>
      </c>
      <c r="D558" s="32">
        <v>57</v>
      </c>
      <c r="E558" s="37">
        <v>17</v>
      </c>
      <c r="F558" s="38" t="str">
        <f>VLOOKUP(tabPontoPed[[#This Row],[GRUPO]],tabGrupos[#Data],2,FALSE)</f>
        <v>MAQ. E EQUIP. P/ IND. GRAFICA COMP. ACESS. E PAPEI</v>
      </c>
      <c r="G558" s="32" t="str">
        <f>VLOOKUP(tabPontoPed[[#This Row],[GRUPO]],tabGrupos[#Data],3,FALSE)</f>
        <v>EDU</v>
      </c>
      <c r="H558" s="33" t="s">
        <v>1311</v>
      </c>
      <c r="I558" s="80">
        <v>4</v>
      </c>
      <c r="J558" s="39">
        <v>3677</v>
      </c>
      <c r="K558" s="41">
        <f>tabPontoPed[[#This Row],[QTDMÊS]] * tabPontoPed[[#This Row],[MENSAL]]</f>
        <v>14708</v>
      </c>
      <c r="L558" s="83"/>
      <c r="M558" s="81"/>
      <c r="N558" s="34" t="s">
        <v>1009</v>
      </c>
      <c r="O558" s="76" t="s">
        <v>1739</v>
      </c>
      <c r="P558" s="77">
        <v>0</v>
      </c>
      <c r="Q558" s="57">
        <v>1822</v>
      </c>
      <c r="R558" s="42">
        <v>2890</v>
      </c>
      <c r="S558" s="69" t="str">
        <f>_xlfn.IFNA(IF(VLOOKUP(tabPontoPed[[#This Row],[CÓDIGO]],tabExcluirDoEstoque[#Data],1,FALSE),"sim",""),"")</f>
        <v/>
      </c>
      <c r="T558" s="43">
        <f>IF(AND(tabPontoPed[[#This Row],[MENSAL]]&gt;0,tabPontoPed[[#This Row],[CÁLCULO]]&gt;0), ABS( tabPontoPed[[#This Row],[MENSAL]] - tabPontoPed[[#This Row],[CÁLCULO]] ) / tabPontoPed[[#This Row],[MENSAL]], -1 )</f>
        <v>0.214033179222192</v>
      </c>
      <c r="U558" s="58">
        <v>15190</v>
      </c>
      <c r="V558" s="35">
        <f>IF(AND(tabPontoPed[[#This Row],[MENSAL]]&gt;0,tabPontoPed[[#This Row],[CÁLCULO]]&gt;0), IF( tabPontoPed[[#This Row],[MENSAL]] - tabPontoPed[[#This Row],[CÁLCULO]] &lt; 0, -1, IF( tabPontoPed[[#This Row],[MENSAL]] - tabPontoPed[[#This Row],[CÁLCULO]] &gt; 0, 1, -8)), -9 )</f>
        <v>1</v>
      </c>
      <c r="W558" s="35"/>
      <c r="X558" s="49" t="s">
        <v>1564</v>
      </c>
      <c r="Y558" s="51">
        <v>44391.599108796298</v>
      </c>
      <c r="Z558" s="72">
        <f>tabPontoPed[CÁLC_4M] - tabPontoPed[CÁLCULO]</f>
        <v>-1068</v>
      </c>
      <c r="AA558" s="79" t="str">
        <f>IF(tabPontoPed[MENSAL]-tabPontoPed[ATA MENSAL] = 0,"sim","")</f>
        <v/>
      </c>
      <c r="AB558" s="79"/>
      <c r="AC558" s="47" t="str">
        <f t="shared" si="8"/>
        <v>*</v>
      </c>
    </row>
    <row r="559" spans="1:29" x14ac:dyDescent="0.25">
      <c r="A559" s="36">
        <v>131930</v>
      </c>
      <c r="B559" s="68" t="s">
        <v>407</v>
      </c>
      <c r="C559" s="33" t="s">
        <v>1317</v>
      </c>
      <c r="D559" s="32">
        <v>45</v>
      </c>
      <c r="E559" s="37">
        <v>9</v>
      </c>
      <c r="F559" s="38" t="str">
        <f>VLOOKUP(tabPontoPed[[#This Row],[GRUPO]],tabGrupos[#Data],2,FALSE)</f>
        <v>MAQ., EQUIP., COMP., ACES., MAT. PARA ESCRIT.E ESCOLAR</v>
      </c>
      <c r="G559" s="32" t="str">
        <f>VLOOKUP(tabPontoPed[[#This Row],[GRUPO]],tabGrupos[#Data],3,FALSE)</f>
        <v>EDU</v>
      </c>
      <c r="H559" s="33" t="s">
        <v>1311</v>
      </c>
      <c r="I559" s="80">
        <v>4</v>
      </c>
      <c r="J559" s="39">
        <v>1008</v>
      </c>
      <c r="K559" s="41">
        <f>tabPontoPed[[#This Row],[QTDMÊS]] * tabPontoPed[[#This Row],[MENSAL]]</f>
        <v>4032</v>
      </c>
      <c r="L559" s="83"/>
      <c r="M559" s="81"/>
      <c r="N559" s="34" t="s">
        <v>1009</v>
      </c>
      <c r="O559" s="76"/>
      <c r="P559" s="77">
        <v>0</v>
      </c>
      <c r="Q559" s="57">
        <v>8</v>
      </c>
      <c r="R559" s="42">
        <v>793</v>
      </c>
      <c r="S559" s="69" t="str">
        <f>_xlfn.IFNA(IF(VLOOKUP(tabPontoPed[[#This Row],[CÓDIGO]],tabExcluirDoEstoque[#Data],1,FALSE),"sim",""),"")</f>
        <v/>
      </c>
      <c r="T559" s="43">
        <f>IF(AND(tabPontoPed[[#This Row],[MENSAL]]&gt;0,tabPontoPed[[#This Row],[CÁLCULO]]&gt;0), ABS( tabPontoPed[[#This Row],[MENSAL]] - tabPontoPed[[#This Row],[CÁLCULO]] ) / tabPontoPed[[#This Row],[MENSAL]], -1 )</f>
        <v>0.21329365079365079</v>
      </c>
      <c r="U559" s="58">
        <v>4017</v>
      </c>
      <c r="V559" s="35">
        <f>IF(AND(tabPontoPed[[#This Row],[MENSAL]]&gt;0,tabPontoPed[[#This Row],[CÁLCULO]]&gt;0), IF( tabPontoPed[[#This Row],[MENSAL]] - tabPontoPed[[#This Row],[CÁLCULO]] &lt; 0, -1, IF( tabPontoPed[[#This Row],[MENSAL]] - tabPontoPed[[#This Row],[CÁLCULO]] &gt; 0, 1, -8)), -9 )</f>
        <v>1</v>
      </c>
      <c r="W559" s="35"/>
      <c r="X559" s="48" t="s">
        <v>1564</v>
      </c>
      <c r="Y559" s="53">
        <v>44391.599108796298</v>
      </c>
      <c r="Z559" s="72">
        <f>tabPontoPed[CÁLC_4M] - tabPontoPed[CÁLCULO]</f>
        <v>-785</v>
      </c>
      <c r="AA559" s="79" t="str">
        <f>IF(tabPontoPed[MENSAL]-tabPontoPed[ATA MENSAL] = 0,"sim","")</f>
        <v/>
      </c>
      <c r="AB559" s="79"/>
      <c r="AC559" s="47" t="str">
        <f t="shared" si="8"/>
        <v>*</v>
      </c>
    </row>
    <row r="560" spans="1:29" x14ac:dyDescent="0.25">
      <c r="A560" s="36">
        <v>127664</v>
      </c>
      <c r="B560" s="68" t="s">
        <v>271</v>
      </c>
      <c r="C560" s="33" t="s">
        <v>1317</v>
      </c>
      <c r="D560" s="32">
        <v>71</v>
      </c>
      <c r="E560" s="37">
        <v>34</v>
      </c>
      <c r="F560" s="38" t="str">
        <f>VLOOKUP(tabPontoPed[[#This Row],[GRUPO]],tabGrupos[#Data],2,FALSE)</f>
        <v>GENEROS ALIMENTICIOS E BEBIDAS</v>
      </c>
      <c r="G560" s="32" t="str">
        <f>VLOOKUP(tabPontoPed[[#This Row],[GRUPO]],tabGrupos[#Data],3,FALSE)</f>
        <v>EDU</v>
      </c>
      <c r="H560" s="33" t="s">
        <v>1321</v>
      </c>
      <c r="I560" s="80">
        <v>3</v>
      </c>
      <c r="J560" s="39">
        <v>420</v>
      </c>
      <c r="K560" s="41">
        <f>tabPontoPed[[#This Row],[QTDMÊS]] * tabPontoPed[[#This Row],[MENSAL]]</f>
        <v>1260</v>
      </c>
      <c r="L560" s="83"/>
      <c r="M560" s="81"/>
      <c r="N560" s="34" t="s">
        <v>1009</v>
      </c>
      <c r="O560" s="76" t="s">
        <v>1756</v>
      </c>
      <c r="P560" s="77">
        <v>0</v>
      </c>
      <c r="Q560" s="57">
        <v>552</v>
      </c>
      <c r="R560" s="42">
        <v>509</v>
      </c>
      <c r="S560" s="69" t="str">
        <f>_xlfn.IFNA(IF(VLOOKUP(tabPontoPed[[#This Row],[CÓDIGO]],tabExcluirDoEstoque[#Data],1,FALSE),"sim",""),"")</f>
        <v/>
      </c>
      <c r="T560" s="43">
        <f>IF(AND(tabPontoPed[[#This Row],[MENSAL]]&gt;0,tabPontoPed[[#This Row],[CÁLCULO]]&gt;0), ABS( tabPontoPed[[#This Row],[MENSAL]] - tabPontoPed[[#This Row],[CÁLCULO]] ) / tabPontoPed[[#This Row],[MENSAL]], -1 )</f>
        <v>0.2119047619047619</v>
      </c>
      <c r="U560" s="58">
        <v>994</v>
      </c>
      <c r="V560" s="35">
        <f>IF(AND(tabPontoPed[[#This Row],[MENSAL]]&gt;0,tabPontoPed[[#This Row],[CÁLCULO]]&gt;0), IF( tabPontoPed[[#This Row],[MENSAL]] - tabPontoPed[[#This Row],[CÁLCULO]] &lt; 0, -1, IF( tabPontoPed[[#This Row],[MENSAL]] - tabPontoPed[[#This Row],[CÁLCULO]] &gt; 0, 1, -8)), -9 )</f>
        <v>-1</v>
      </c>
      <c r="W560" s="35"/>
      <c r="X560" s="49" t="s">
        <v>1450</v>
      </c>
      <c r="Y560" s="51">
        <v>43892.576898148145</v>
      </c>
      <c r="Z560" s="72">
        <f>tabPontoPed[CÁLC_4M] - tabPontoPed[CÁLCULO]</f>
        <v>43</v>
      </c>
      <c r="AA560" s="79" t="str">
        <f>IF(tabPontoPed[MENSAL]-tabPontoPed[ATA MENSAL] = 0,"sim","")</f>
        <v/>
      </c>
      <c r="AB560" s="79"/>
      <c r="AC560" s="47" t="str">
        <f t="shared" si="8"/>
        <v>*</v>
      </c>
    </row>
    <row r="561" spans="1:29" x14ac:dyDescent="0.25">
      <c r="A561" s="36">
        <v>126837</v>
      </c>
      <c r="B561" s="68" t="s">
        <v>969</v>
      </c>
      <c r="C561" s="33" t="s">
        <v>1317</v>
      </c>
      <c r="D561" s="32">
        <v>78</v>
      </c>
      <c r="E561" s="37">
        <v>2</v>
      </c>
      <c r="F561" s="38" t="str">
        <f>VLOOKUP(tabPontoPed[[#This Row],[GRUPO]],tabGrupos[#Data],2,FALSE)</f>
        <v>MOBILIARIO E COFRE</v>
      </c>
      <c r="G561" s="32" t="str">
        <f>VLOOKUP(tabPontoPed[[#This Row],[GRUPO]],tabGrupos[#Data],3,FALSE)</f>
        <v>ADM</v>
      </c>
      <c r="H561" s="33" t="s">
        <v>1311</v>
      </c>
      <c r="I561" s="80">
        <v>4</v>
      </c>
      <c r="J561" s="39">
        <v>138</v>
      </c>
      <c r="K561" s="41">
        <f>tabPontoPed[[#This Row],[QTDMÊS]] * tabPontoPed[[#This Row],[MENSAL]]</f>
        <v>552</v>
      </c>
      <c r="L561" s="83"/>
      <c r="M561" s="81"/>
      <c r="N561" s="34" t="s">
        <v>1009</v>
      </c>
      <c r="O561" s="76"/>
      <c r="P561" s="77">
        <v>0</v>
      </c>
      <c r="Q561" s="57">
        <v>75</v>
      </c>
      <c r="R561" s="42">
        <v>109</v>
      </c>
      <c r="S561" s="69" t="str">
        <f>_xlfn.IFNA(IF(VLOOKUP(tabPontoPed[[#This Row],[CÓDIGO]],tabExcluirDoEstoque[#Data],1,FALSE),"sim",""),"")</f>
        <v/>
      </c>
      <c r="T561" s="43">
        <f>IF(AND(tabPontoPed[[#This Row],[MENSAL]]&gt;0,tabPontoPed[[#This Row],[CÁLCULO]]&gt;0), ABS( tabPontoPed[[#This Row],[MENSAL]] - tabPontoPed[[#This Row],[CÁLCULO]] ) / tabPontoPed[[#This Row],[MENSAL]], -1 )</f>
        <v>0.21014492753623187</v>
      </c>
      <c r="U561" s="58">
        <v>500</v>
      </c>
      <c r="V561" s="35">
        <f>IF(AND(tabPontoPed[[#This Row],[MENSAL]]&gt;0,tabPontoPed[[#This Row],[CÁLCULO]]&gt;0), IF( tabPontoPed[[#This Row],[MENSAL]] - tabPontoPed[[#This Row],[CÁLCULO]] &lt; 0, -1, IF( tabPontoPed[[#This Row],[MENSAL]] - tabPontoPed[[#This Row],[CÁLCULO]] &gt; 0, 1, -8)), -9 )</f>
        <v>1</v>
      </c>
      <c r="W561" s="35"/>
      <c r="X561" s="49" t="s">
        <v>1564</v>
      </c>
      <c r="Y561" s="51">
        <v>44391.599108796298</v>
      </c>
      <c r="Z561" s="72">
        <f>tabPontoPed[CÁLC_4M] - tabPontoPed[CÁLCULO]</f>
        <v>-34</v>
      </c>
      <c r="AA561" s="79" t="str">
        <f>IF(tabPontoPed[MENSAL]-tabPontoPed[ATA MENSAL] = 0,"sim","")</f>
        <v/>
      </c>
      <c r="AB561" s="79"/>
      <c r="AC561" s="47" t="str">
        <f t="shared" si="8"/>
        <v>*</v>
      </c>
    </row>
    <row r="562" spans="1:29" x14ac:dyDescent="0.25">
      <c r="A562" s="36">
        <v>13161</v>
      </c>
      <c r="B562" s="68" t="s">
        <v>779</v>
      </c>
      <c r="C562" s="33" t="s">
        <v>1317</v>
      </c>
      <c r="D562" s="32">
        <v>61</v>
      </c>
      <c r="E562" s="37">
        <v>14</v>
      </c>
      <c r="F562" s="38" t="str">
        <f>VLOOKUP(tabPontoPed[[#This Row],[GRUPO]],tabGrupos[#Data],2,FALSE)</f>
        <v>MATERIAL HIDRAULICO, CANOS, TUBOS, MANGUEIRAS, CONEXOES E ACESS.</v>
      </c>
      <c r="G562" s="32" t="str">
        <f>VLOOKUP(tabPontoPed[[#This Row],[GRUPO]],tabGrupos[#Data],3,FALSE)</f>
        <v>MHI</v>
      </c>
      <c r="H562" s="33" t="s">
        <v>1311</v>
      </c>
      <c r="I562" s="80">
        <v>4</v>
      </c>
      <c r="J562" s="39">
        <v>24</v>
      </c>
      <c r="K562" s="41">
        <f>tabPontoPed[[#This Row],[QTDMÊS]] * tabPontoPed[[#This Row],[MENSAL]]</f>
        <v>96</v>
      </c>
      <c r="L562" s="83"/>
      <c r="M562" s="81"/>
      <c r="N562" s="34" t="s">
        <v>1009</v>
      </c>
      <c r="O562" s="76" t="s">
        <v>1691</v>
      </c>
      <c r="P562" s="77">
        <v>0</v>
      </c>
      <c r="Q562" s="57">
        <v>13</v>
      </c>
      <c r="R562" s="42">
        <v>19</v>
      </c>
      <c r="S562" s="69" t="str">
        <f>_xlfn.IFNA(IF(VLOOKUP(tabPontoPed[[#This Row],[CÓDIGO]],tabExcluirDoEstoque[#Data],1,FALSE),"sim",""),"")</f>
        <v/>
      </c>
      <c r="T562" s="43">
        <f>IF(AND(tabPontoPed[[#This Row],[MENSAL]]&gt;0,tabPontoPed[[#This Row],[CÁLCULO]]&gt;0), ABS( tabPontoPed[[#This Row],[MENSAL]] - tabPontoPed[[#This Row],[CÁLCULO]] ) / tabPontoPed[[#This Row],[MENSAL]], -1 )</f>
        <v>0.20833333333333334</v>
      </c>
      <c r="U562" s="58">
        <v>37</v>
      </c>
      <c r="V562" s="35">
        <f>IF(AND(tabPontoPed[[#This Row],[MENSAL]]&gt;0,tabPontoPed[[#This Row],[CÁLCULO]]&gt;0), IF( tabPontoPed[[#This Row],[MENSAL]] - tabPontoPed[[#This Row],[CÁLCULO]] &lt; 0, -1, IF( tabPontoPed[[#This Row],[MENSAL]] - tabPontoPed[[#This Row],[CÁLCULO]] &gt; 0, 1, -8)), -9 )</f>
        <v>1</v>
      </c>
      <c r="W562" s="35"/>
      <c r="X562" s="49" t="s">
        <v>1564</v>
      </c>
      <c r="Y562" s="51">
        <v>44391.599108796298</v>
      </c>
      <c r="Z562" s="72">
        <f>tabPontoPed[CÁLC_4M] - tabPontoPed[CÁLCULO]</f>
        <v>-6</v>
      </c>
      <c r="AA562" s="79" t="str">
        <f>IF(tabPontoPed[MENSAL]-tabPontoPed[ATA MENSAL] = 0,"sim","")</f>
        <v/>
      </c>
      <c r="AB562" s="79"/>
      <c r="AC562" s="47" t="str">
        <f t="shared" si="8"/>
        <v>*</v>
      </c>
    </row>
    <row r="563" spans="1:29" x14ac:dyDescent="0.25">
      <c r="A563" s="36">
        <v>14921</v>
      </c>
      <c r="B563" s="68" t="s">
        <v>681</v>
      </c>
      <c r="C563" s="33" t="s">
        <v>1317</v>
      </c>
      <c r="D563" s="32">
        <v>55</v>
      </c>
      <c r="E563" s="37">
        <v>40</v>
      </c>
      <c r="F563" s="38" t="str">
        <f>VLOOKUP(tabPontoPed[[#This Row],[GRUPO]],tabGrupos[#Data],2,FALSE)</f>
        <v>EQUIP. MAT. P/ GERACAO, TRANSM. DISTR. RETIF...</v>
      </c>
      <c r="G563" s="32" t="str">
        <f>VLOOKUP(tabPontoPed[[#This Row],[GRUPO]],tabGrupos[#Data],3,FALSE)</f>
        <v>MEL</v>
      </c>
      <c r="H563" s="33" t="s">
        <v>1311</v>
      </c>
      <c r="I563" s="80">
        <v>4</v>
      </c>
      <c r="J563" s="39">
        <v>102</v>
      </c>
      <c r="K563" s="41">
        <f>tabPontoPed[[#This Row],[QTDMÊS]] * tabPontoPed[[#This Row],[MENSAL]]</f>
        <v>408</v>
      </c>
      <c r="L563" s="83"/>
      <c r="M563" s="81"/>
      <c r="N563" s="34" t="s">
        <v>1009</v>
      </c>
      <c r="O563" s="76" t="s">
        <v>1617</v>
      </c>
      <c r="P563" s="77">
        <v>0</v>
      </c>
      <c r="Q563" s="57">
        <v>86</v>
      </c>
      <c r="R563" s="42">
        <v>81</v>
      </c>
      <c r="S563" s="69" t="str">
        <f>_xlfn.IFNA(IF(VLOOKUP(tabPontoPed[[#This Row],[CÓDIGO]],tabExcluirDoEstoque[#Data],1,FALSE),"sim",""),"")</f>
        <v/>
      </c>
      <c r="T563" s="43">
        <f>IF(AND(tabPontoPed[[#This Row],[MENSAL]]&gt;0,tabPontoPed[[#This Row],[CÁLCULO]]&gt;0), ABS( tabPontoPed[[#This Row],[MENSAL]] - tabPontoPed[[#This Row],[CÁLCULO]] ) / tabPontoPed[[#This Row],[MENSAL]], -1 )</f>
        <v>0.20588235294117646</v>
      </c>
      <c r="U563" s="58">
        <v>109</v>
      </c>
      <c r="V563" s="35">
        <f>IF(AND(tabPontoPed[[#This Row],[MENSAL]]&gt;0,tabPontoPed[[#This Row],[CÁLCULO]]&gt;0), IF( tabPontoPed[[#This Row],[MENSAL]] - tabPontoPed[[#This Row],[CÁLCULO]] &lt; 0, -1, IF( tabPontoPed[[#This Row],[MENSAL]] - tabPontoPed[[#This Row],[CÁLCULO]] &gt; 0, 1, -8)), -9 )</f>
        <v>1</v>
      </c>
      <c r="W563" s="35"/>
      <c r="X563" s="49" t="s">
        <v>1564</v>
      </c>
      <c r="Y563" s="51">
        <v>44391.599108796298</v>
      </c>
      <c r="Z563" s="72">
        <f>tabPontoPed[CÁLC_4M] - tabPontoPed[CÁLCULO]</f>
        <v>5</v>
      </c>
      <c r="AA563" s="79" t="str">
        <f>IF(tabPontoPed[MENSAL]-tabPontoPed[ATA MENSAL] = 0,"sim","")</f>
        <v/>
      </c>
      <c r="AB563" s="79"/>
      <c r="AC563" s="47" t="str">
        <f t="shared" si="8"/>
        <v>*</v>
      </c>
    </row>
    <row r="564" spans="1:29" x14ac:dyDescent="0.25">
      <c r="A564" s="36">
        <v>121126</v>
      </c>
      <c r="B564" s="68" t="s">
        <v>814</v>
      </c>
      <c r="C564" s="33" t="s">
        <v>1317</v>
      </c>
      <c r="D564" s="32">
        <v>62</v>
      </c>
      <c r="E564" s="37">
        <v>10</v>
      </c>
      <c r="F564" s="38" t="str">
        <f>VLOOKUP(tabPontoPed[[#This Row],[GRUPO]],tabGrupos[#Data],2,FALSE)</f>
        <v>VEST., ART.P/ TOUC.E HIG. PES. MAQ., EQUIP., MAT.E ACES.</v>
      </c>
      <c r="G564" s="32" t="str">
        <f>VLOOKUP(tabPontoPed[[#This Row],[GRUPO]],tabGrupos[#Data],3,FALSE)</f>
        <v>ADM</v>
      </c>
      <c r="H564" s="33" t="s">
        <v>1311</v>
      </c>
      <c r="I564" s="80">
        <v>4</v>
      </c>
      <c r="J564" s="39">
        <v>2875</v>
      </c>
      <c r="K564" s="41">
        <f>tabPontoPed[[#This Row],[QTDMÊS]] * tabPontoPed[[#This Row],[MENSAL]]</f>
        <v>11500</v>
      </c>
      <c r="L564" s="83"/>
      <c r="M564" s="81"/>
      <c r="N564" s="34" t="s">
        <v>1009</v>
      </c>
      <c r="O564" s="76" t="s">
        <v>1731</v>
      </c>
      <c r="P564" s="77">
        <v>0</v>
      </c>
      <c r="Q564" s="57">
        <v>6133</v>
      </c>
      <c r="R564" s="42">
        <v>3457</v>
      </c>
      <c r="S564" s="69" t="str">
        <f>_xlfn.IFNA(IF(VLOOKUP(tabPontoPed[[#This Row],[CÓDIGO]],tabExcluirDoEstoque[#Data],1,FALSE),"sim",""),"")</f>
        <v/>
      </c>
      <c r="T564" s="43">
        <f>IF(AND(tabPontoPed[[#This Row],[MENSAL]]&gt;0,tabPontoPed[[#This Row],[CÁLCULO]]&gt;0), ABS( tabPontoPed[[#This Row],[MENSAL]] - tabPontoPed[[#This Row],[CÁLCULO]] ) / tabPontoPed[[#This Row],[MENSAL]], -1 )</f>
        <v>0.20243478260869566</v>
      </c>
      <c r="U564" s="58">
        <v>6630</v>
      </c>
      <c r="V564" s="35">
        <f>IF(AND(tabPontoPed[[#This Row],[MENSAL]]&gt;0,tabPontoPed[[#This Row],[CÁLCULO]]&gt;0), IF( tabPontoPed[[#This Row],[MENSAL]] - tabPontoPed[[#This Row],[CÁLCULO]] &lt; 0, -1, IF( tabPontoPed[[#This Row],[MENSAL]] - tabPontoPed[[#This Row],[CÁLCULO]] &gt; 0, 1, -8)), -9 )</f>
        <v>-1</v>
      </c>
      <c r="W564" s="35"/>
      <c r="X564" s="48" t="s">
        <v>1564</v>
      </c>
      <c r="Y564" s="53">
        <v>44391.599108796298</v>
      </c>
      <c r="Z564" s="72">
        <f>tabPontoPed[CÁLC_4M] - tabPontoPed[CÁLCULO]</f>
        <v>2676</v>
      </c>
      <c r="AA564" s="79" t="str">
        <f>IF(tabPontoPed[MENSAL]-tabPontoPed[ATA MENSAL] = 0,"sim","")</f>
        <v/>
      </c>
      <c r="AB564" s="79"/>
      <c r="AC564" s="47" t="str">
        <f t="shared" si="8"/>
        <v>*</v>
      </c>
    </row>
    <row r="565" spans="1:29" x14ac:dyDescent="0.25">
      <c r="A565" s="36">
        <v>58116</v>
      </c>
      <c r="B565" s="68" t="s">
        <v>917</v>
      </c>
      <c r="C565" s="33" t="s">
        <v>1317</v>
      </c>
      <c r="D565" s="32">
        <v>70</v>
      </c>
      <c r="E565" s="37">
        <v>38</v>
      </c>
      <c r="F565" s="38" t="str">
        <f>VLOOKUP(tabPontoPed[[#This Row],[GRUPO]],tabGrupos[#Data],2,FALSE)</f>
        <v>FERRAMENTAS MAQ.FERRAMENTAS,ELETR.PECAS E ACESSORI</v>
      </c>
      <c r="G565" s="32" t="str">
        <f>VLOOKUP(tabPontoPed[[#This Row],[GRUPO]],tabGrupos[#Data],3,FALSE)</f>
        <v>MAN</v>
      </c>
      <c r="H565" s="33" t="s">
        <v>1311</v>
      </c>
      <c r="I565" s="80">
        <v>4</v>
      </c>
      <c r="J565" s="39">
        <v>5</v>
      </c>
      <c r="K565" s="41">
        <f>tabPontoPed[[#This Row],[QTDMÊS]] * tabPontoPed[[#This Row],[MENSAL]]</f>
        <v>20</v>
      </c>
      <c r="L565" s="83"/>
      <c r="M565" s="81"/>
      <c r="N565" s="34" t="s">
        <v>1009</v>
      </c>
      <c r="O565" s="76" t="s">
        <v>1737</v>
      </c>
      <c r="P565" s="77">
        <v>0</v>
      </c>
      <c r="Q565" s="57">
        <v>4</v>
      </c>
      <c r="R565" s="42">
        <v>6</v>
      </c>
      <c r="S565" s="69" t="str">
        <f>_xlfn.IFNA(IF(VLOOKUP(tabPontoPed[[#This Row],[CÓDIGO]],tabExcluirDoEstoque[#Data],1,FALSE),"sim",""),"")</f>
        <v>sim</v>
      </c>
      <c r="T565" s="43">
        <f>IF(AND(tabPontoPed[[#This Row],[MENSAL]]&gt;0,tabPontoPed[[#This Row],[CÁLCULO]]&gt;0), ABS( tabPontoPed[[#This Row],[MENSAL]] - tabPontoPed[[#This Row],[CÁLCULO]] ) / tabPontoPed[[#This Row],[MENSAL]], -1 )</f>
        <v>0.2</v>
      </c>
      <c r="U565" s="58">
        <v>30</v>
      </c>
      <c r="V565" s="35">
        <f>IF(AND(tabPontoPed[[#This Row],[MENSAL]]&gt;0,tabPontoPed[[#This Row],[CÁLCULO]]&gt;0), IF( tabPontoPed[[#This Row],[MENSAL]] - tabPontoPed[[#This Row],[CÁLCULO]] &lt; 0, -1, IF( tabPontoPed[[#This Row],[MENSAL]] - tabPontoPed[[#This Row],[CÁLCULO]] &gt; 0, 1, -8)), -9 )</f>
        <v>-1</v>
      </c>
      <c r="W565" s="35"/>
      <c r="X565" s="49" t="s">
        <v>1564</v>
      </c>
      <c r="Y565" s="51">
        <v>44391.599108796298</v>
      </c>
      <c r="Z565" s="72">
        <f>tabPontoPed[CÁLC_4M] - tabPontoPed[CÁLCULO]</f>
        <v>-2</v>
      </c>
      <c r="AA565" s="79" t="str">
        <f>IF(tabPontoPed[MENSAL]-tabPontoPed[ATA MENSAL] = 0,"sim","")</f>
        <v/>
      </c>
      <c r="AB565" s="79"/>
      <c r="AC565" s="47" t="str">
        <f t="shared" si="8"/>
        <v>*</v>
      </c>
    </row>
    <row r="566" spans="1:29" x14ac:dyDescent="0.25">
      <c r="A566" s="36">
        <v>100383</v>
      </c>
      <c r="B566" s="68" t="s">
        <v>330</v>
      </c>
      <c r="C566" s="33" t="s">
        <v>1317</v>
      </c>
      <c r="D566" s="32">
        <v>80</v>
      </c>
      <c r="E566" s="37">
        <v>7</v>
      </c>
      <c r="F566" s="38" t="str">
        <f>VLOOKUP(tabPontoPed[[#This Row],[GRUPO]],tabGrupos[#Data],2,FALSE)</f>
        <v>CABOS CORRENTES CORDAS ESTICADORES E ART. BORRACHA</v>
      </c>
      <c r="G566" s="32" t="str">
        <f>VLOOKUP(tabPontoPed[[#This Row],[GRUPO]],tabGrupos[#Data],3,FALSE)</f>
        <v>MAN</v>
      </c>
      <c r="H566" s="33" t="s">
        <v>1311</v>
      </c>
      <c r="I566" s="80">
        <v>4</v>
      </c>
      <c r="J566" s="39">
        <v>5</v>
      </c>
      <c r="K566" s="41">
        <f>tabPontoPed[[#This Row],[QTDMÊS]] * tabPontoPed[[#This Row],[MENSAL]]</f>
        <v>20</v>
      </c>
      <c r="L566" s="83"/>
      <c r="M566" s="81"/>
      <c r="N566" s="34" t="s">
        <v>1009</v>
      </c>
      <c r="O566" s="76" t="s">
        <v>1705</v>
      </c>
      <c r="P566" s="77">
        <v>0</v>
      </c>
      <c r="Q566" s="57">
        <v>5</v>
      </c>
      <c r="R566" s="42">
        <v>4</v>
      </c>
      <c r="S566" s="69" t="str">
        <f>_xlfn.IFNA(IF(VLOOKUP(tabPontoPed[[#This Row],[CÓDIGO]],tabExcluirDoEstoque[#Data],1,FALSE),"sim",""),"")</f>
        <v>sim</v>
      </c>
      <c r="T566" s="43">
        <f>IF(AND(tabPontoPed[[#This Row],[MENSAL]]&gt;0,tabPontoPed[[#This Row],[CÁLCULO]]&gt;0), ABS( tabPontoPed[[#This Row],[MENSAL]] - tabPontoPed[[#This Row],[CÁLCULO]] ) / tabPontoPed[[#This Row],[MENSAL]], -1 )</f>
        <v>0.2</v>
      </c>
      <c r="U566" s="58">
        <v>10</v>
      </c>
      <c r="V566" s="35">
        <f>IF(AND(tabPontoPed[[#This Row],[MENSAL]]&gt;0,tabPontoPed[[#This Row],[CÁLCULO]]&gt;0), IF( tabPontoPed[[#This Row],[MENSAL]] - tabPontoPed[[#This Row],[CÁLCULO]] &lt; 0, -1, IF( tabPontoPed[[#This Row],[MENSAL]] - tabPontoPed[[#This Row],[CÁLCULO]] &gt; 0, 1, -8)), -9 )</f>
        <v>1</v>
      </c>
      <c r="W566" s="35"/>
      <c r="X566" s="49" t="s">
        <v>1564</v>
      </c>
      <c r="Y566" s="51">
        <v>44391.599108796298</v>
      </c>
      <c r="Z566" s="72">
        <f>tabPontoPed[CÁLC_4M] - tabPontoPed[CÁLCULO]</f>
        <v>1</v>
      </c>
      <c r="AA566" s="79" t="str">
        <f>IF(tabPontoPed[MENSAL]-tabPontoPed[ATA MENSAL] = 0,"sim","")</f>
        <v/>
      </c>
      <c r="AB566" s="79"/>
      <c r="AC566" s="47" t="str">
        <f t="shared" si="8"/>
        <v>*</v>
      </c>
    </row>
    <row r="567" spans="1:29" x14ac:dyDescent="0.25">
      <c r="A567" s="36">
        <v>132624</v>
      </c>
      <c r="B567" s="68" t="s">
        <v>559</v>
      </c>
      <c r="C567" s="33" t="s">
        <v>1317</v>
      </c>
      <c r="D567" s="32">
        <v>51</v>
      </c>
      <c r="E567" s="37">
        <v>36</v>
      </c>
      <c r="F567" s="38" t="str">
        <f>VLOOKUP(tabPontoPed[[#This Row],[GRUPO]],tabGrupos[#Data],2,FALSE)</f>
        <v>MAT.E EQUIP. P/ CONSTR.CIVIL E CONSERV. DE VIAS PUBL.</v>
      </c>
      <c r="G567" s="32" t="str">
        <f>VLOOKUP(tabPontoPed[[#This Row],[GRUPO]],tabGrupos[#Data],3,FALSE)</f>
        <v>MCO</v>
      </c>
      <c r="H567" s="33" t="s">
        <v>1311</v>
      </c>
      <c r="I567" s="80">
        <v>4</v>
      </c>
      <c r="J567" s="39">
        <v>5</v>
      </c>
      <c r="K567" s="41">
        <f>tabPontoPed[[#This Row],[QTDMÊS]] * tabPontoPed[[#This Row],[MENSAL]]</f>
        <v>20</v>
      </c>
      <c r="L567" s="83"/>
      <c r="M567" s="81"/>
      <c r="N567" s="34" t="s">
        <v>1009</v>
      </c>
      <c r="O567" s="76" t="s">
        <v>1689</v>
      </c>
      <c r="P567" s="77">
        <v>0</v>
      </c>
      <c r="Q567" s="57">
        <v>3</v>
      </c>
      <c r="R567" s="42">
        <v>4</v>
      </c>
      <c r="S567" s="69" t="str">
        <f>_xlfn.IFNA(IF(VLOOKUP(tabPontoPed[[#This Row],[CÓDIGO]],tabExcluirDoEstoque[#Data],1,FALSE),"sim",""),"")</f>
        <v/>
      </c>
      <c r="T567" s="43">
        <f>IF(AND(tabPontoPed[[#This Row],[MENSAL]]&gt;0,tabPontoPed[[#This Row],[CÁLCULO]]&gt;0), ABS( tabPontoPed[[#This Row],[MENSAL]] - tabPontoPed[[#This Row],[CÁLCULO]] ) / tabPontoPed[[#This Row],[MENSAL]], -1 )</f>
        <v>0.2</v>
      </c>
      <c r="U567" s="58">
        <v>12</v>
      </c>
      <c r="V567" s="35">
        <f>IF(AND(tabPontoPed[[#This Row],[MENSAL]]&gt;0,tabPontoPed[[#This Row],[CÁLCULO]]&gt;0), IF( tabPontoPed[[#This Row],[MENSAL]] - tabPontoPed[[#This Row],[CÁLCULO]] &lt; 0, -1, IF( tabPontoPed[[#This Row],[MENSAL]] - tabPontoPed[[#This Row],[CÁLCULO]] &gt; 0, 1, -8)), -9 )</f>
        <v>1</v>
      </c>
      <c r="W567" s="35"/>
      <c r="X567" s="49" t="s">
        <v>1564</v>
      </c>
      <c r="Y567" s="51">
        <v>44391.599108796298</v>
      </c>
      <c r="Z567" s="72">
        <f>tabPontoPed[CÁLC_4M] - tabPontoPed[CÁLCULO]</f>
        <v>-1</v>
      </c>
      <c r="AA567" s="79" t="str">
        <f>IF(tabPontoPed[MENSAL]-tabPontoPed[ATA MENSAL] = 0,"sim","")</f>
        <v/>
      </c>
      <c r="AB567" s="79"/>
      <c r="AC567" s="47" t="str">
        <f t="shared" si="8"/>
        <v>*</v>
      </c>
    </row>
    <row r="568" spans="1:29" x14ac:dyDescent="0.25">
      <c r="A568" s="36">
        <v>74911</v>
      </c>
      <c r="B568" s="68" t="s">
        <v>218</v>
      </c>
      <c r="C568" s="33" t="s">
        <v>1317</v>
      </c>
      <c r="D568" s="32">
        <v>74</v>
      </c>
      <c r="E568" s="37">
        <v>3</v>
      </c>
      <c r="F568" s="38" t="str">
        <f>VLOOKUP(tabPontoPed[[#This Row],[GRUPO]],tabGrupos[#Data],2,FALSE)</f>
        <v>MADEIRAS,LAMINADOS,COMPENSADOS E AGLOMERADOS</v>
      </c>
      <c r="G568" s="32" t="str">
        <f>VLOOKUP(tabPontoPed[[#This Row],[GRUPO]],tabGrupos[#Data],3,FALSE)</f>
        <v>MCO</v>
      </c>
      <c r="H568" s="33" t="s">
        <v>1311</v>
      </c>
      <c r="I568" s="80">
        <v>4</v>
      </c>
      <c r="J568" s="39">
        <v>20</v>
      </c>
      <c r="K568" s="41">
        <f>tabPontoPed[[#This Row],[QTDMÊS]] * tabPontoPed[[#This Row],[MENSAL]]</f>
        <v>80</v>
      </c>
      <c r="L568" s="83"/>
      <c r="M568" s="81"/>
      <c r="N568" s="34" t="s">
        <v>1009</v>
      </c>
      <c r="O568" s="76" t="s">
        <v>1669</v>
      </c>
      <c r="P568" s="77">
        <v>0</v>
      </c>
      <c r="Q568" s="57">
        <v>0</v>
      </c>
      <c r="R568" s="42">
        <v>16</v>
      </c>
      <c r="S568" s="69" t="str">
        <f>_xlfn.IFNA(IF(VLOOKUP(tabPontoPed[[#This Row],[CÓDIGO]],tabExcluirDoEstoque[#Data],1,FALSE),"sim",""),"")</f>
        <v/>
      </c>
      <c r="T568" s="43">
        <f>IF(AND(tabPontoPed[[#This Row],[MENSAL]]&gt;0,tabPontoPed[[#This Row],[CÁLCULO]]&gt;0), ABS( tabPontoPed[[#This Row],[MENSAL]] - tabPontoPed[[#This Row],[CÁLCULO]] ) / tabPontoPed[[#This Row],[MENSAL]], -1 )</f>
        <v>0.2</v>
      </c>
      <c r="U568" s="58">
        <v>57</v>
      </c>
      <c r="V568" s="35">
        <f>IF(AND(tabPontoPed[[#This Row],[MENSAL]]&gt;0,tabPontoPed[[#This Row],[CÁLCULO]]&gt;0), IF( tabPontoPed[[#This Row],[MENSAL]] - tabPontoPed[[#This Row],[CÁLCULO]] &lt; 0, -1, IF( tabPontoPed[[#This Row],[MENSAL]] - tabPontoPed[[#This Row],[CÁLCULO]] &gt; 0, 1, -8)), -9 )</f>
        <v>1</v>
      </c>
      <c r="W568" s="35"/>
      <c r="X568" s="48" t="s">
        <v>1564</v>
      </c>
      <c r="Y568" s="53">
        <v>44391.599108796298</v>
      </c>
      <c r="Z568" s="72">
        <f>tabPontoPed[CÁLC_4M] - tabPontoPed[CÁLCULO]</f>
        <v>-16</v>
      </c>
      <c r="AA568" s="79" t="str">
        <f>IF(tabPontoPed[MENSAL]-tabPontoPed[ATA MENSAL] = 0,"sim","")</f>
        <v/>
      </c>
      <c r="AB568" s="79"/>
      <c r="AC568" s="47" t="str">
        <f t="shared" si="8"/>
        <v>*</v>
      </c>
    </row>
    <row r="569" spans="1:29" x14ac:dyDescent="0.25">
      <c r="A569" s="36">
        <v>106408</v>
      </c>
      <c r="B569" s="68" t="s">
        <v>25</v>
      </c>
      <c r="C569" s="33" t="s">
        <v>1317</v>
      </c>
      <c r="D569" s="32">
        <v>55</v>
      </c>
      <c r="E569" s="37">
        <v>32</v>
      </c>
      <c r="F569" s="38" t="str">
        <f>VLOOKUP(tabPontoPed[[#This Row],[GRUPO]],tabGrupos[#Data],2,FALSE)</f>
        <v>EQUIP. MAT. P/ GERACAO, TRANSM. DISTR. RETIF...</v>
      </c>
      <c r="G569" s="32" t="str">
        <f>VLOOKUP(tabPontoPed[[#This Row],[GRUPO]],tabGrupos[#Data],3,FALSE)</f>
        <v>MEL</v>
      </c>
      <c r="H569" s="33" t="s">
        <v>1311</v>
      </c>
      <c r="I569" s="80">
        <v>4</v>
      </c>
      <c r="J569" s="39">
        <v>5</v>
      </c>
      <c r="K569" s="41">
        <f>tabPontoPed[[#This Row],[QTDMÊS]] * tabPontoPed[[#This Row],[MENSAL]]</f>
        <v>20</v>
      </c>
      <c r="L569" s="83"/>
      <c r="M569" s="81"/>
      <c r="N569" s="34" t="s">
        <v>1009</v>
      </c>
      <c r="O569" s="76"/>
      <c r="P569" s="77">
        <v>0</v>
      </c>
      <c r="Q569" s="57">
        <v>0</v>
      </c>
      <c r="R569" s="42">
        <v>4</v>
      </c>
      <c r="S569" s="69" t="str">
        <f>_xlfn.IFNA(IF(VLOOKUP(tabPontoPed[[#This Row],[CÓDIGO]],tabExcluirDoEstoque[#Data],1,FALSE),"sim",""),"")</f>
        <v/>
      </c>
      <c r="T569" s="43">
        <f>IF(AND(tabPontoPed[[#This Row],[MENSAL]]&gt;0,tabPontoPed[[#This Row],[CÁLCULO]]&gt;0), ABS( tabPontoPed[[#This Row],[MENSAL]] - tabPontoPed[[#This Row],[CÁLCULO]] ) / tabPontoPed[[#This Row],[MENSAL]], -1 )</f>
        <v>0.2</v>
      </c>
      <c r="U569" s="58">
        <v>24</v>
      </c>
      <c r="V569" s="35">
        <f>IF(AND(tabPontoPed[[#This Row],[MENSAL]]&gt;0,tabPontoPed[[#This Row],[CÁLCULO]]&gt;0), IF( tabPontoPed[[#This Row],[MENSAL]] - tabPontoPed[[#This Row],[CÁLCULO]] &lt; 0, -1, IF( tabPontoPed[[#This Row],[MENSAL]] - tabPontoPed[[#This Row],[CÁLCULO]] &gt; 0, 1, -8)), -9 )</f>
        <v>1</v>
      </c>
      <c r="W569" s="35"/>
      <c r="X569" s="49" t="s">
        <v>1564</v>
      </c>
      <c r="Y569" s="51">
        <v>44391.599108796298</v>
      </c>
      <c r="Z569" s="72">
        <f>tabPontoPed[CÁLC_4M] - tabPontoPed[CÁLCULO]</f>
        <v>-4</v>
      </c>
      <c r="AA569" s="79" t="str">
        <f>IF(tabPontoPed[MENSAL]-tabPontoPed[ATA MENSAL] = 0,"sim","")</f>
        <v/>
      </c>
      <c r="AB569" s="79"/>
      <c r="AC569" s="47" t="str">
        <f t="shared" si="8"/>
        <v>*</v>
      </c>
    </row>
    <row r="570" spans="1:29" x14ac:dyDescent="0.25">
      <c r="A570" s="36">
        <v>128816</v>
      </c>
      <c r="B570" s="68" t="s">
        <v>24</v>
      </c>
      <c r="C570" s="33" t="s">
        <v>1317</v>
      </c>
      <c r="D570" s="32">
        <v>55</v>
      </c>
      <c r="E570" s="37">
        <v>32</v>
      </c>
      <c r="F570" s="38" t="str">
        <f>VLOOKUP(tabPontoPed[[#This Row],[GRUPO]],tabGrupos[#Data],2,FALSE)</f>
        <v>EQUIP. MAT. P/ GERACAO, TRANSM. DISTR. RETIF...</v>
      </c>
      <c r="G570" s="32" t="str">
        <f>VLOOKUP(tabPontoPed[[#This Row],[GRUPO]],tabGrupos[#Data],3,FALSE)</f>
        <v>MEL</v>
      </c>
      <c r="H570" s="33" t="s">
        <v>1311</v>
      </c>
      <c r="I570" s="80">
        <v>4</v>
      </c>
      <c r="J570" s="39">
        <v>5</v>
      </c>
      <c r="K570" s="41">
        <f>tabPontoPed[[#This Row],[QTDMÊS]] * tabPontoPed[[#This Row],[MENSAL]]</f>
        <v>20</v>
      </c>
      <c r="L570" s="83"/>
      <c r="M570" s="81"/>
      <c r="N570" s="34" t="s">
        <v>1009</v>
      </c>
      <c r="O570" s="76" t="s">
        <v>1676</v>
      </c>
      <c r="P570" s="77">
        <v>0</v>
      </c>
      <c r="Q570" s="57">
        <v>0</v>
      </c>
      <c r="R570" s="42">
        <v>6</v>
      </c>
      <c r="S570" s="69" t="str">
        <f>_xlfn.IFNA(IF(VLOOKUP(tabPontoPed[[#This Row],[CÓDIGO]],tabExcluirDoEstoque[#Data],1,FALSE),"sim",""),"")</f>
        <v/>
      </c>
      <c r="T570" s="43">
        <f>IF(AND(tabPontoPed[[#This Row],[MENSAL]]&gt;0,tabPontoPed[[#This Row],[CÁLCULO]]&gt;0), ABS( tabPontoPed[[#This Row],[MENSAL]] - tabPontoPed[[#This Row],[CÁLCULO]] ) / tabPontoPed[[#This Row],[MENSAL]], -1 )</f>
        <v>0.2</v>
      </c>
      <c r="U570" s="58">
        <v>70</v>
      </c>
      <c r="V570" s="35">
        <f>IF(AND(tabPontoPed[[#This Row],[MENSAL]]&gt;0,tabPontoPed[[#This Row],[CÁLCULO]]&gt;0), IF( tabPontoPed[[#This Row],[MENSAL]] - tabPontoPed[[#This Row],[CÁLCULO]] &lt; 0, -1, IF( tabPontoPed[[#This Row],[MENSAL]] - tabPontoPed[[#This Row],[CÁLCULO]] &gt; 0, 1, -8)), -9 )</f>
        <v>-1</v>
      </c>
      <c r="W570" s="35"/>
      <c r="X570" s="49" t="s">
        <v>1564</v>
      </c>
      <c r="Y570" s="51">
        <v>44391.599108796298</v>
      </c>
      <c r="Z570" s="72">
        <f>tabPontoPed[CÁLC_4M] - tabPontoPed[CÁLCULO]</f>
        <v>-6</v>
      </c>
      <c r="AA570" s="79" t="str">
        <f>IF(tabPontoPed[MENSAL]-tabPontoPed[ATA MENSAL] = 0,"sim","")</f>
        <v/>
      </c>
      <c r="AB570" s="79" t="s">
        <v>1614</v>
      </c>
      <c r="AC570" s="47" t="str">
        <f t="shared" si="8"/>
        <v>*</v>
      </c>
    </row>
    <row r="571" spans="1:29" ht="18.75" x14ac:dyDescent="0.25">
      <c r="A571" s="36">
        <v>109848</v>
      </c>
      <c r="B571" s="68" t="s">
        <v>960</v>
      </c>
      <c r="C571" s="33" t="s">
        <v>1317</v>
      </c>
      <c r="D571" s="32">
        <v>76</v>
      </c>
      <c r="E571" s="37">
        <v>9</v>
      </c>
      <c r="F571" s="38" t="str">
        <f>VLOOKUP(tabPontoPed[[#This Row],[GRUPO]],tabGrupos[#Data],2,FALSE)</f>
        <v>EQUIP. E MATERIAIS P/PINTURAS E IMPERMEABILIZACAO</v>
      </c>
      <c r="G571" s="32" t="str">
        <f>VLOOKUP(tabPontoPed[[#This Row],[GRUPO]],tabGrupos[#Data],3,FALSE)</f>
        <v>MPI</v>
      </c>
      <c r="H571" s="33" t="s">
        <v>1311</v>
      </c>
      <c r="I571" s="80">
        <v>4</v>
      </c>
      <c r="J571" s="39">
        <v>5</v>
      </c>
      <c r="K571" s="41">
        <f>tabPontoPed[[#This Row],[QTDMÊS]] * tabPontoPed[[#This Row],[MENSAL]]</f>
        <v>20</v>
      </c>
      <c r="L571" s="83"/>
      <c r="M571" s="81"/>
      <c r="N571" s="34" t="s">
        <v>1009</v>
      </c>
      <c r="O571" s="76" t="s">
        <v>1724</v>
      </c>
      <c r="P571" s="77">
        <v>0</v>
      </c>
      <c r="Q571" s="57">
        <v>4</v>
      </c>
      <c r="R571" s="42">
        <v>6</v>
      </c>
      <c r="S571" s="69" t="str">
        <f>_xlfn.IFNA(IF(VLOOKUP(tabPontoPed[[#This Row],[CÓDIGO]],tabExcluirDoEstoque[#Data],1,FALSE),"sim",""),"")</f>
        <v/>
      </c>
      <c r="T571" s="43">
        <f>IF(AND(tabPontoPed[[#This Row],[MENSAL]]&gt;0,tabPontoPed[[#This Row],[CÁLCULO]]&gt;0), ABS( tabPontoPed[[#This Row],[MENSAL]] - tabPontoPed[[#This Row],[CÁLCULO]] ) / tabPontoPed[[#This Row],[MENSAL]], -1 )</f>
        <v>0.2</v>
      </c>
      <c r="U571" s="58">
        <v>13</v>
      </c>
      <c r="V571" s="35">
        <f>IF(AND(tabPontoPed[[#This Row],[MENSAL]]&gt;0,tabPontoPed[[#This Row],[CÁLCULO]]&gt;0), IF( tabPontoPed[[#This Row],[MENSAL]] - tabPontoPed[[#This Row],[CÁLCULO]] &lt; 0, -1, IF( tabPontoPed[[#This Row],[MENSAL]] - tabPontoPed[[#This Row],[CÁLCULO]] &gt; 0, 1, -8)), -9 )</f>
        <v>-1</v>
      </c>
      <c r="W571" s="45"/>
      <c r="X571" s="48" t="s">
        <v>1564</v>
      </c>
      <c r="Y571" s="53">
        <v>44391.599108796298</v>
      </c>
      <c r="Z571" s="72">
        <f>tabPontoPed[CÁLC_4M] - tabPontoPed[CÁLCULO]</f>
        <v>-2</v>
      </c>
      <c r="AA571" s="79" t="str">
        <f>IF(tabPontoPed[MENSAL]-tabPontoPed[ATA MENSAL] = 0,"sim","")</f>
        <v/>
      </c>
      <c r="AB571" s="79"/>
      <c r="AC571" s="47" t="str">
        <f t="shared" si="8"/>
        <v>*</v>
      </c>
    </row>
    <row r="572" spans="1:29" x14ac:dyDescent="0.25">
      <c r="A572" s="36">
        <v>134563</v>
      </c>
      <c r="B572" s="68" t="s">
        <v>828</v>
      </c>
      <c r="C572" s="33" t="s">
        <v>1317</v>
      </c>
      <c r="D572" s="32">
        <v>67</v>
      </c>
      <c r="E572" s="37">
        <v>3</v>
      </c>
      <c r="F572" s="38" t="str">
        <f>VLOOKUP(tabPontoPed[[#This Row],[GRUPO]],tabGrupos[#Data],2,FALSE)</f>
        <v>PARAFUSOS ELEM. VEDACAO UNIAO CONEX . FIXACAO</v>
      </c>
      <c r="G572" s="32" t="str">
        <f>VLOOKUP(tabPontoPed[[#This Row],[GRUPO]],tabGrupos[#Data],3,FALSE)</f>
        <v>MSE</v>
      </c>
      <c r="H572" s="33" t="s">
        <v>1311</v>
      </c>
      <c r="I572" s="80">
        <v>4</v>
      </c>
      <c r="J572" s="39">
        <v>5</v>
      </c>
      <c r="K572" s="41">
        <f>tabPontoPed[[#This Row],[QTDMÊS]] * tabPontoPed[[#This Row],[MENSAL]]</f>
        <v>20</v>
      </c>
      <c r="L572" s="83"/>
      <c r="M572" s="81"/>
      <c r="N572" s="34" t="s">
        <v>1009</v>
      </c>
      <c r="O572" s="76"/>
      <c r="P572" s="77">
        <v>0</v>
      </c>
      <c r="Q572" s="57">
        <v>7</v>
      </c>
      <c r="R572" s="42">
        <v>6</v>
      </c>
      <c r="S572" s="69" t="str">
        <f>_xlfn.IFNA(IF(VLOOKUP(tabPontoPed[[#This Row],[CÓDIGO]],tabExcluirDoEstoque[#Data],1,FALSE),"sim",""),"")</f>
        <v/>
      </c>
      <c r="T572" s="43">
        <f>IF(AND(tabPontoPed[[#This Row],[MENSAL]]&gt;0,tabPontoPed[[#This Row],[CÁLCULO]]&gt;0), ABS( tabPontoPed[[#This Row],[MENSAL]] - tabPontoPed[[#This Row],[CÁLCULO]] ) / tabPontoPed[[#This Row],[MENSAL]], -1 )</f>
        <v>0.2</v>
      </c>
      <c r="U572" s="58">
        <v>13</v>
      </c>
      <c r="V572" s="35">
        <f>IF(AND(tabPontoPed[[#This Row],[MENSAL]]&gt;0,tabPontoPed[[#This Row],[CÁLCULO]]&gt;0), IF( tabPontoPed[[#This Row],[MENSAL]] - tabPontoPed[[#This Row],[CÁLCULO]] &lt; 0, -1, IF( tabPontoPed[[#This Row],[MENSAL]] - tabPontoPed[[#This Row],[CÁLCULO]] &gt; 0, 1, -8)), -9 )</f>
        <v>-1</v>
      </c>
      <c r="W572" s="35"/>
      <c r="X572" s="49" t="s">
        <v>1564</v>
      </c>
      <c r="Y572" s="51">
        <v>44391.599108796298</v>
      </c>
      <c r="Z572" s="72">
        <f>tabPontoPed[CÁLC_4M] - tabPontoPed[CÁLCULO]</f>
        <v>1</v>
      </c>
      <c r="AA572" s="79" t="str">
        <f>IF(tabPontoPed[MENSAL]-tabPontoPed[ATA MENSAL] = 0,"sim","")</f>
        <v/>
      </c>
      <c r="AB572" s="79"/>
      <c r="AC572" s="47" t="str">
        <f t="shared" si="8"/>
        <v>*</v>
      </c>
    </row>
    <row r="573" spans="1:29" x14ac:dyDescent="0.25">
      <c r="A573" s="36">
        <v>88856</v>
      </c>
      <c r="B573" s="68" t="s">
        <v>880</v>
      </c>
      <c r="C573" s="33" t="s">
        <v>1317</v>
      </c>
      <c r="D573" s="32">
        <v>69</v>
      </c>
      <c r="E573" s="37">
        <v>2</v>
      </c>
      <c r="F573" s="38" t="str">
        <f>VLOOKUP(tabPontoPed[[#This Row],[GRUPO]],tabGrupos[#Data],2,FALSE)</f>
        <v>METAIS,LAMINAD.,PERFILADOS E ARTEFATOS METALICOS</v>
      </c>
      <c r="G573" s="32" t="str">
        <f>VLOOKUP(tabPontoPed[[#This Row],[GRUPO]],tabGrupos[#Data],3,FALSE)</f>
        <v>MSE</v>
      </c>
      <c r="H573" s="33" t="s">
        <v>1311</v>
      </c>
      <c r="I573" s="80">
        <v>4</v>
      </c>
      <c r="J573" s="39">
        <v>20</v>
      </c>
      <c r="K573" s="41">
        <f>tabPontoPed[[#This Row],[QTDMÊS]] * tabPontoPed[[#This Row],[MENSAL]]</f>
        <v>80</v>
      </c>
      <c r="L573" s="83"/>
      <c r="M573" s="81"/>
      <c r="N573" s="34" t="s">
        <v>1009</v>
      </c>
      <c r="O573" s="76" t="s">
        <v>1701</v>
      </c>
      <c r="P573" s="77">
        <v>0</v>
      </c>
      <c r="Q573" s="57">
        <v>0</v>
      </c>
      <c r="R573" s="42">
        <v>16</v>
      </c>
      <c r="S573" s="69" t="str">
        <f>_xlfn.IFNA(IF(VLOOKUP(tabPontoPed[[#This Row],[CÓDIGO]],tabExcluirDoEstoque[#Data],1,FALSE),"sim",""),"")</f>
        <v/>
      </c>
      <c r="T573" s="43">
        <f>IF(AND(tabPontoPed[[#This Row],[MENSAL]]&gt;0,tabPontoPed[[#This Row],[CÁLCULO]]&gt;0), ABS( tabPontoPed[[#This Row],[MENSAL]] - tabPontoPed[[#This Row],[CÁLCULO]] ) / tabPontoPed[[#This Row],[MENSAL]], -1 )</f>
        <v>0.2</v>
      </c>
      <c r="U573" s="58">
        <v>153</v>
      </c>
      <c r="V573" s="35">
        <f>IF(AND(tabPontoPed[[#This Row],[MENSAL]]&gt;0,tabPontoPed[[#This Row],[CÁLCULO]]&gt;0), IF( tabPontoPed[[#This Row],[MENSAL]] - tabPontoPed[[#This Row],[CÁLCULO]] &lt; 0, -1, IF( tabPontoPed[[#This Row],[MENSAL]] - tabPontoPed[[#This Row],[CÁLCULO]] &gt; 0, 1, -8)), -9 )</f>
        <v>1</v>
      </c>
      <c r="W573" s="35"/>
      <c r="X573" s="48" t="s">
        <v>1564</v>
      </c>
      <c r="Y573" s="53">
        <v>44391.599108796298</v>
      </c>
      <c r="Z573" s="72">
        <f>tabPontoPed[CÁLC_4M] - tabPontoPed[CÁLCULO]</f>
        <v>-16</v>
      </c>
      <c r="AA573" s="79" t="str">
        <f>IF(tabPontoPed[MENSAL]-tabPontoPed[ATA MENSAL] = 0,"sim","")</f>
        <v/>
      </c>
      <c r="AB573" s="79"/>
      <c r="AC573" s="47" t="str">
        <f t="shared" si="8"/>
        <v>*</v>
      </c>
    </row>
    <row r="574" spans="1:29" x14ac:dyDescent="0.25">
      <c r="A574" s="36">
        <v>64860</v>
      </c>
      <c r="B574" s="68" t="s">
        <v>267</v>
      </c>
      <c r="C574" s="33" t="s">
        <v>1317</v>
      </c>
      <c r="D574" s="32">
        <v>69</v>
      </c>
      <c r="E574" s="37">
        <v>8</v>
      </c>
      <c r="F574" s="38" t="str">
        <f>VLOOKUP(tabPontoPed[[#This Row],[GRUPO]],tabGrupos[#Data],2,FALSE)</f>
        <v>METAIS,LAMINAD.,PERFILADOS E ARTEFATOS METALICOS</v>
      </c>
      <c r="G574" s="32" t="str">
        <f>VLOOKUP(tabPontoPed[[#This Row],[GRUPO]],tabGrupos[#Data],3,FALSE)</f>
        <v>MSE</v>
      </c>
      <c r="H574" s="33" t="s">
        <v>1311</v>
      </c>
      <c r="I574" s="80">
        <v>4</v>
      </c>
      <c r="J574" s="39">
        <v>10</v>
      </c>
      <c r="K574" s="41">
        <f>tabPontoPed[[#This Row],[QTDMÊS]] * tabPontoPed[[#This Row],[MENSAL]]</f>
        <v>40</v>
      </c>
      <c r="L574" s="83"/>
      <c r="M574" s="81"/>
      <c r="N574" s="34" t="s">
        <v>1009</v>
      </c>
      <c r="O574" s="76" t="s">
        <v>1681</v>
      </c>
      <c r="P574" s="77">
        <v>0</v>
      </c>
      <c r="Q574" s="57">
        <v>2</v>
      </c>
      <c r="R574" s="42">
        <v>12</v>
      </c>
      <c r="S574" s="69" t="str">
        <f>_xlfn.IFNA(IF(VLOOKUP(tabPontoPed[[#This Row],[CÓDIGO]],tabExcluirDoEstoque[#Data],1,FALSE),"sim",""),"")</f>
        <v/>
      </c>
      <c r="T574" s="43">
        <f>IF(AND(tabPontoPed[[#This Row],[MENSAL]]&gt;0,tabPontoPed[[#This Row],[CÁLCULO]]&gt;0), ABS( tabPontoPed[[#This Row],[MENSAL]] - tabPontoPed[[#This Row],[CÁLCULO]] ) / tabPontoPed[[#This Row],[MENSAL]], -1 )</f>
        <v>0.2</v>
      </c>
      <c r="U574" s="58">
        <v>42</v>
      </c>
      <c r="V574" s="35">
        <f>IF(AND(tabPontoPed[[#This Row],[MENSAL]]&gt;0,tabPontoPed[[#This Row],[CÁLCULO]]&gt;0), IF( tabPontoPed[[#This Row],[MENSAL]] - tabPontoPed[[#This Row],[CÁLCULO]] &lt; 0, -1, IF( tabPontoPed[[#This Row],[MENSAL]] - tabPontoPed[[#This Row],[CÁLCULO]] &gt; 0, 1, -8)), -9 )</f>
        <v>-1</v>
      </c>
      <c r="W574" s="35"/>
      <c r="X574" s="49" t="s">
        <v>1564</v>
      </c>
      <c r="Y574" s="51">
        <v>44391.599108796298</v>
      </c>
      <c r="Z574" s="72">
        <f>tabPontoPed[CÁLC_4M] - tabPontoPed[CÁLCULO]</f>
        <v>-10</v>
      </c>
      <c r="AA574" s="79" t="str">
        <f>IF(tabPontoPed[MENSAL]-tabPontoPed[ATA MENSAL] = 0,"sim","")</f>
        <v/>
      </c>
      <c r="AB574" s="79"/>
      <c r="AC574" s="47" t="str">
        <f t="shared" si="8"/>
        <v>*</v>
      </c>
    </row>
    <row r="575" spans="1:29" x14ac:dyDescent="0.25">
      <c r="A575" s="36">
        <v>63031</v>
      </c>
      <c r="B575" s="68" t="s">
        <v>778</v>
      </c>
      <c r="C575" s="33" t="s">
        <v>1317</v>
      </c>
      <c r="D575" s="32">
        <v>61</v>
      </c>
      <c r="E575" s="37">
        <v>11</v>
      </c>
      <c r="F575" s="38" t="str">
        <f>VLOOKUP(tabPontoPed[[#This Row],[GRUPO]],tabGrupos[#Data],2,FALSE)</f>
        <v>MATERIAL HIDRAULICO, CANOS, TUBOS, MANGUEIRAS, CONEXOES E ACESS.</v>
      </c>
      <c r="G575" s="32" t="str">
        <f>VLOOKUP(tabPontoPed[[#This Row],[GRUPO]],tabGrupos[#Data],3,FALSE)</f>
        <v>MHI</v>
      </c>
      <c r="H575" s="33" t="s">
        <v>1311</v>
      </c>
      <c r="I575" s="80">
        <v>4</v>
      </c>
      <c r="J575" s="39">
        <v>66</v>
      </c>
      <c r="K575" s="41">
        <f>tabPontoPed[[#This Row],[QTDMÊS]] * tabPontoPed[[#This Row],[MENSAL]]</f>
        <v>264</v>
      </c>
      <c r="L575" s="83"/>
      <c r="M575" s="81"/>
      <c r="N575" s="34" t="s">
        <v>1009</v>
      </c>
      <c r="O575" s="76" t="s">
        <v>1691</v>
      </c>
      <c r="P575" s="77">
        <v>0</v>
      </c>
      <c r="Q575" s="57">
        <v>58</v>
      </c>
      <c r="R575" s="42">
        <v>53</v>
      </c>
      <c r="S575" s="69" t="str">
        <f>_xlfn.IFNA(IF(VLOOKUP(tabPontoPed[[#This Row],[CÓDIGO]],tabExcluirDoEstoque[#Data],1,FALSE),"sim",""),"")</f>
        <v/>
      </c>
      <c r="T575" s="43">
        <f>IF(AND(tabPontoPed[[#This Row],[MENSAL]]&gt;0,tabPontoPed[[#This Row],[CÁLCULO]]&gt;0), ABS( tabPontoPed[[#This Row],[MENSAL]] - tabPontoPed[[#This Row],[CÁLCULO]] ) / tabPontoPed[[#This Row],[MENSAL]], -1 )</f>
        <v>0.19696969696969696</v>
      </c>
      <c r="U575" s="58">
        <v>118</v>
      </c>
      <c r="V575" s="35">
        <f>IF(AND(tabPontoPed[[#This Row],[MENSAL]]&gt;0,tabPontoPed[[#This Row],[CÁLCULO]]&gt;0), IF( tabPontoPed[[#This Row],[MENSAL]] - tabPontoPed[[#This Row],[CÁLCULO]] &lt; 0, -1, IF( tabPontoPed[[#This Row],[MENSAL]] - tabPontoPed[[#This Row],[CÁLCULO]] &gt; 0, 1, -8)), -9 )</f>
        <v>1</v>
      </c>
      <c r="W575" s="35"/>
      <c r="X575" s="49" t="s">
        <v>1564</v>
      </c>
      <c r="Y575" s="51">
        <v>44391.599108796298</v>
      </c>
      <c r="Z575" s="72">
        <f>tabPontoPed[CÁLC_4M] - tabPontoPed[CÁLCULO]</f>
        <v>5</v>
      </c>
      <c r="AA575" s="79" t="str">
        <f>IF(tabPontoPed[MENSAL]-tabPontoPed[ATA MENSAL] = 0,"sim","")</f>
        <v/>
      </c>
      <c r="AB575" s="79"/>
      <c r="AC575" s="47" t="str">
        <f t="shared" si="8"/>
        <v>*</v>
      </c>
    </row>
    <row r="576" spans="1:29" x14ac:dyDescent="0.25">
      <c r="A576" s="36">
        <v>132300</v>
      </c>
      <c r="B576" s="68" t="s">
        <v>472</v>
      </c>
      <c r="C576" s="33" t="s">
        <v>1317</v>
      </c>
      <c r="D576" s="32">
        <v>45</v>
      </c>
      <c r="E576" s="37">
        <v>16</v>
      </c>
      <c r="F576" s="38" t="str">
        <f>VLOOKUP(tabPontoPed[[#This Row],[GRUPO]],tabGrupos[#Data],2,FALSE)</f>
        <v>MAQ., EQUIP., COMP., ACES., MAT. PARA ESCRIT.E ESCOLAR</v>
      </c>
      <c r="G576" s="32" t="str">
        <f>VLOOKUP(tabPontoPed[[#This Row],[GRUPO]],tabGrupos[#Data],3,FALSE)</f>
        <v>EDU</v>
      </c>
      <c r="H576" s="33" t="s">
        <v>1311</v>
      </c>
      <c r="I576" s="80">
        <v>4</v>
      </c>
      <c r="J576" s="39">
        <v>697</v>
      </c>
      <c r="K576" s="41">
        <f>tabPontoPed[[#This Row],[QTDMÊS]] * tabPontoPed[[#This Row],[MENSAL]]</f>
        <v>2788</v>
      </c>
      <c r="L576" s="83"/>
      <c r="M576" s="81"/>
      <c r="N576" s="34" t="s">
        <v>1009</v>
      </c>
      <c r="O576" s="76"/>
      <c r="P576" s="77">
        <v>0</v>
      </c>
      <c r="Q576" s="57">
        <v>137</v>
      </c>
      <c r="R576" s="42">
        <v>828</v>
      </c>
      <c r="S576" s="69" t="str">
        <f>_xlfn.IFNA(IF(VLOOKUP(tabPontoPed[[#This Row],[CÓDIGO]],tabExcluirDoEstoque[#Data],1,FALSE),"sim",""),"")</f>
        <v/>
      </c>
      <c r="T576" s="43">
        <f>IF(AND(tabPontoPed[[#This Row],[MENSAL]]&gt;0,tabPontoPed[[#This Row],[CÁLCULO]]&gt;0), ABS( tabPontoPed[[#This Row],[MENSAL]] - tabPontoPed[[#This Row],[CÁLCULO]] ) / tabPontoPed[[#This Row],[MENSAL]], -1 )</f>
        <v>0.18794835007173602</v>
      </c>
      <c r="U576" s="58">
        <v>8365</v>
      </c>
      <c r="V576" s="35">
        <f>IF(AND(tabPontoPed[[#This Row],[MENSAL]]&gt;0,tabPontoPed[[#This Row],[CÁLCULO]]&gt;0), IF( tabPontoPed[[#This Row],[MENSAL]] - tabPontoPed[[#This Row],[CÁLCULO]] &lt; 0, -1, IF( tabPontoPed[[#This Row],[MENSAL]] - tabPontoPed[[#This Row],[CÁLCULO]] &gt; 0, 1, -8)), -9 )</f>
        <v>-1</v>
      </c>
      <c r="W576" s="35"/>
      <c r="X576" s="49" t="s">
        <v>1564</v>
      </c>
      <c r="Y576" s="51">
        <v>44391.599108796298</v>
      </c>
      <c r="Z576" s="72">
        <f>tabPontoPed[CÁLC_4M] - tabPontoPed[CÁLCULO]</f>
        <v>-691</v>
      </c>
      <c r="AA576" s="79" t="str">
        <f>IF(tabPontoPed[MENSAL]-tabPontoPed[ATA MENSAL] = 0,"sim","")</f>
        <v/>
      </c>
      <c r="AB576" s="79"/>
      <c r="AC576" s="47" t="str">
        <f t="shared" si="8"/>
        <v>*</v>
      </c>
    </row>
    <row r="577" spans="1:29" x14ac:dyDescent="0.25">
      <c r="A577" s="36">
        <v>58706</v>
      </c>
      <c r="B577" s="68" t="s">
        <v>224</v>
      </c>
      <c r="C577" s="33" t="s">
        <v>1317</v>
      </c>
      <c r="D577" s="32">
        <v>74</v>
      </c>
      <c r="E577" s="37">
        <v>3</v>
      </c>
      <c r="F577" s="38" t="str">
        <f>VLOOKUP(tabPontoPed[[#This Row],[GRUPO]],tabGrupos[#Data],2,FALSE)</f>
        <v>MADEIRAS,LAMINADOS,COMPENSADOS E AGLOMERADOS</v>
      </c>
      <c r="G577" s="32" t="str">
        <f>VLOOKUP(tabPontoPed[[#This Row],[GRUPO]],tabGrupos[#Data],3,FALSE)</f>
        <v>MCO</v>
      </c>
      <c r="H577" s="33" t="s">
        <v>1311</v>
      </c>
      <c r="I577" s="80">
        <v>4</v>
      </c>
      <c r="J577" s="39">
        <v>32</v>
      </c>
      <c r="K577" s="41">
        <f>tabPontoPed[[#This Row],[QTDMÊS]] * tabPontoPed[[#This Row],[MENSAL]]</f>
        <v>128</v>
      </c>
      <c r="L577" s="83"/>
      <c r="M577" s="81"/>
      <c r="N577" s="34" t="s">
        <v>1009</v>
      </c>
      <c r="O577" s="76" t="s">
        <v>1738</v>
      </c>
      <c r="P577" s="77">
        <v>0</v>
      </c>
      <c r="Q577" s="57">
        <v>30</v>
      </c>
      <c r="R577" s="42">
        <v>26</v>
      </c>
      <c r="S577" s="69" t="str">
        <f>_xlfn.IFNA(IF(VLOOKUP(tabPontoPed[[#This Row],[CÓDIGO]],tabExcluirDoEstoque[#Data],1,FALSE),"sim",""),"")</f>
        <v/>
      </c>
      <c r="T577" s="43">
        <f>IF(AND(tabPontoPed[[#This Row],[MENSAL]]&gt;0,tabPontoPed[[#This Row],[CÁLCULO]]&gt;0), ABS( tabPontoPed[[#This Row],[MENSAL]] - tabPontoPed[[#This Row],[CÁLCULO]] ) / tabPontoPed[[#This Row],[MENSAL]], -1 )</f>
        <v>0.1875</v>
      </c>
      <c r="U577" s="58">
        <v>180</v>
      </c>
      <c r="V577" s="35">
        <f>IF(AND(tabPontoPed[[#This Row],[MENSAL]]&gt;0,tabPontoPed[[#This Row],[CÁLCULO]]&gt;0), IF( tabPontoPed[[#This Row],[MENSAL]] - tabPontoPed[[#This Row],[CÁLCULO]] &lt; 0, -1, IF( tabPontoPed[[#This Row],[MENSAL]] - tabPontoPed[[#This Row],[CÁLCULO]] &gt; 0, 1, -8)), -9 )</f>
        <v>1</v>
      </c>
      <c r="W577" s="35"/>
      <c r="X577" s="48" t="s">
        <v>1564</v>
      </c>
      <c r="Y577" s="53">
        <v>44391.599108796298</v>
      </c>
      <c r="Z577" s="72">
        <f>tabPontoPed[CÁLC_4M] - tabPontoPed[CÁLCULO]</f>
        <v>4</v>
      </c>
      <c r="AA577" s="79" t="str">
        <f>IF(tabPontoPed[MENSAL]-tabPontoPed[ATA MENSAL] = 0,"sim","")</f>
        <v/>
      </c>
      <c r="AB577" s="79"/>
      <c r="AC577" s="47" t="str">
        <f t="shared" si="8"/>
        <v>*</v>
      </c>
    </row>
    <row r="578" spans="1:29" x14ac:dyDescent="0.25">
      <c r="A578" s="36">
        <v>132296</v>
      </c>
      <c r="B578" s="68" t="s">
        <v>466</v>
      </c>
      <c r="C578" s="33" t="s">
        <v>1317</v>
      </c>
      <c r="D578" s="32">
        <v>45</v>
      </c>
      <c r="E578" s="37">
        <v>14</v>
      </c>
      <c r="F578" s="38" t="str">
        <f>VLOOKUP(tabPontoPed[[#This Row],[GRUPO]],tabGrupos[#Data],2,FALSE)</f>
        <v>MAQ., EQUIP., COMP., ACES., MAT. PARA ESCRIT.E ESCOLAR</v>
      </c>
      <c r="G578" s="32" t="str">
        <f>VLOOKUP(tabPontoPed[[#This Row],[GRUPO]],tabGrupos[#Data],3,FALSE)</f>
        <v>EDU</v>
      </c>
      <c r="H578" s="33" t="s">
        <v>1311</v>
      </c>
      <c r="I578" s="80">
        <v>4</v>
      </c>
      <c r="J578" s="39">
        <v>855</v>
      </c>
      <c r="K578" s="41">
        <f>tabPontoPed[[#This Row],[QTDMÊS]] * tabPontoPed[[#This Row],[MENSAL]]</f>
        <v>3420</v>
      </c>
      <c r="L578" s="83"/>
      <c r="M578" s="81"/>
      <c r="N578" s="34" t="s">
        <v>1009</v>
      </c>
      <c r="O578" s="76" t="s">
        <v>1696</v>
      </c>
      <c r="P578" s="77">
        <v>0</v>
      </c>
      <c r="Q578" s="57">
        <v>447</v>
      </c>
      <c r="R578" s="42">
        <v>695</v>
      </c>
      <c r="S578" s="69" t="str">
        <f>_xlfn.IFNA(IF(VLOOKUP(tabPontoPed[[#This Row],[CÓDIGO]],tabExcluirDoEstoque[#Data],1,FALSE),"sim",""),"")</f>
        <v/>
      </c>
      <c r="T578" s="43">
        <f>IF(AND(tabPontoPed[[#This Row],[MENSAL]]&gt;0,tabPontoPed[[#This Row],[CÁLCULO]]&gt;0), ABS( tabPontoPed[[#This Row],[MENSAL]] - tabPontoPed[[#This Row],[CÁLCULO]] ) / tabPontoPed[[#This Row],[MENSAL]], -1 )</f>
        <v>0.1871345029239766</v>
      </c>
      <c r="U578" s="58">
        <v>3738</v>
      </c>
      <c r="V578" s="35">
        <f>IF(AND(tabPontoPed[[#This Row],[MENSAL]]&gt;0,tabPontoPed[[#This Row],[CÁLCULO]]&gt;0), IF( tabPontoPed[[#This Row],[MENSAL]] - tabPontoPed[[#This Row],[CÁLCULO]] &lt; 0, -1, IF( tabPontoPed[[#This Row],[MENSAL]] - tabPontoPed[[#This Row],[CÁLCULO]] &gt; 0, 1, -8)), -9 )</f>
        <v>1</v>
      </c>
      <c r="W578" s="35"/>
      <c r="X578" s="48" t="s">
        <v>1564</v>
      </c>
      <c r="Y578" s="53">
        <v>44391.599108796298</v>
      </c>
      <c r="Z578" s="72">
        <f>tabPontoPed[CÁLC_4M] - tabPontoPed[CÁLCULO]</f>
        <v>-248</v>
      </c>
      <c r="AA578" s="79" t="str">
        <f>IF(tabPontoPed[MENSAL]-tabPontoPed[ATA MENSAL] = 0,"sim","")</f>
        <v/>
      </c>
      <c r="AB578" s="79"/>
      <c r="AC578" s="47" t="str">
        <f t="shared" si="8"/>
        <v>*</v>
      </c>
    </row>
    <row r="579" spans="1:29" x14ac:dyDescent="0.25">
      <c r="A579" s="36">
        <v>87465</v>
      </c>
      <c r="B579" s="68" t="s">
        <v>934</v>
      </c>
      <c r="C579" s="33" t="s">
        <v>1317</v>
      </c>
      <c r="D579" s="32">
        <v>72</v>
      </c>
      <c r="E579" s="37">
        <v>7</v>
      </c>
      <c r="F579" s="38" t="str">
        <f>VLOOKUP(tabPontoPed[[#This Row],[GRUPO]],tabGrupos[#Data],2,FALSE)</f>
        <v>MAQ.EQUIP.E MATERIAIS P/ HIGIEN.LIMP.POLIM.E LUBR.</v>
      </c>
      <c r="G579" s="32" t="str">
        <f>VLOOKUP(tabPontoPed[[#This Row],[GRUPO]],tabGrupos[#Data],3,FALSE)</f>
        <v>ADM</v>
      </c>
      <c r="H579" s="33" t="s">
        <v>1311</v>
      </c>
      <c r="I579" s="80">
        <v>4</v>
      </c>
      <c r="J579" s="39">
        <v>125</v>
      </c>
      <c r="K579" s="41">
        <f>tabPontoPed[[#This Row],[QTDMÊS]] * tabPontoPed[[#This Row],[MENSAL]]</f>
        <v>500</v>
      </c>
      <c r="L579" s="83"/>
      <c r="M579" s="81"/>
      <c r="N579" s="34" t="s">
        <v>1009</v>
      </c>
      <c r="O579" s="76" t="s">
        <v>1661</v>
      </c>
      <c r="P579" s="77">
        <v>0</v>
      </c>
      <c r="Q579" s="57">
        <v>129</v>
      </c>
      <c r="R579" s="42">
        <v>102</v>
      </c>
      <c r="S579" s="69" t="str">
        <f>_xlfn.IFNA(IF(VLOOKUP(tabPontoPed[[#This Row],[CÓDIGO]],tabExcluirDoEstoque[#Data],1,FALSE),"sim",""),"")</f>
        <v>sim</v>
      </c>
      <c r="T579" s="43">
        <f>IF(AND(tabPontoPed[[#This Row],[MENSAL]]&gt;0,tabPontoPed[[#This Row],[CÁLCULO]]&gt;0), ABS( tabPontoPed[[#This Row],[MENSAL]] - tabPontoPed[[#This Row],[CÁLCULO]] ) / tabPontoPed[[#This Row],[MENSAL]], -1 )</f>
        <v>0.184</v>
      </c>
      <c r="U579" s="58">
        <v>186</v>
      </c>
      <c r="V579" s="35">
        <f>IF(AND(tabPontoPed[[#This Row],[MENSAL]]&gt;0,tabPontoPed[[#This Row],[CÁLCULO]]&gt;0), IF( tabPontoPed[[#This Row],[MENSAL]] - tabPontoPed[[#This Row],[CÁLCULO]] &lt; 0, -1, IF( tabPontoPed[[#This Row],[MENSAL]] - tabPontoPed[[#This Row],[CÁLCULO]] &gt; 0, 1, -8)), -9 )</f>
        <v>1</v>
      </c>
      <c r="W579" s="35"/>
      <c r="X579" s="48" t="s">
        <v>1564</v>
      </c>
      <c r="Y579" s="53">
        <v>44391.599108796298</v>
      </c>
      <c r="Z579" s="72">
        <f>tabPontoPed[CÁLC_4M] - tabPontoPed[CÁLCULO]</f>
        <v>27</v>
      </c>
      <c r="AA579" s="79" t="str">
        <f>IF(tabPontoPed[MENSAL]-tabPontoPed[ATA MENSAL] = 0,"sim","")</f>
        <v/>
      </c>
      <c r="AB579" s="79" t="s">
        <v>1614</v>
      </c>
      <c r="AC579" s="47" t="str">
        <f t="shared" ref="AC579:AC642" si="9">"*"</f>
        <v>*</v>
      </c>
    </row>
    <row r="580" spans="1:29" x14ac:dyDescent="0.25">
      <c r="A580" s="36">
        <v>84878</v>
      </c>
      <c r="B580" s="68" t="s">
        <v>447</v>
      </c>
      <c r="C580" s="33" t="s">
        <v>1317</v>
      </c>
      <c r="D580" s="32">
        <v>45</v>
      </c>
      <c r="E580" s="37">
        <v>11</v>
      </c>
      <c r="F580" s="38" t="str">
        <f>VLOOKUP(tabPontoPed[[#This Row],[GRUPO]],tabGrupos[#Data],2,FALSE)</f>
        <v>MAQ., EQUIP., COMP., ACES., MAT. PARA ESCRIT.E ESCOLAR</v>
      </c>
      <c r="G580" s="32" t="str">
        <f>VLOOKUP(tabPontoPed[[#This Row],[GRUPO]],tabGrupos[#Data],3,FALSE)</f>
        <v>EDU</v>
      </c>
      <c r="H580" s="33" t="s">
        <v>1311</v>
      </c>
      <c r="I580" s="80">
        <v>4</v>
      </c>
      <c r="J580" s="39">
        <v>6209</v>
      </c>
      <c r="K580" s="41">
        <f>tabPontoPed[[#This Row],[QTDMÊS]] * tabPontoPed[[#This Row],[MENSAL]]</f>
        <v>24836</v>
      </c>
      <c r="L580" s="83"/>
      <c r="M580" s="81"/>
      <c r="N580" s="34" t="s">
        <v>1009</v>
      </c>
      <c r="O580" s="76"/>
      <c r="P580" s="77">
        <v>0</v>
      </c>
      <c r="Q580" s="57">
        <v>1847</v>
      </c>
      <c r="R580" s="42">
        <v>5079</v>
      </c>
      <c r="S580" s="69" t="str">
        <f>_xlfn.IFNA(IF(VLOOKUP(tabPontoPed[[#This Row],[CÓDIGO]],tabExcluirDoEstoque[#Data],1,FALSE),"sim",""),"")</f>
        <v/>
      </c>
      <c r="T580" s="43">
        <f>IF(AND(tabPontoPed[[#This Row],[MENSAL]]&gt;0,tabPontoPed[[#This Row],[CÁLCULO]]&gt;0), ABS( tabPontoPed[[#This Row],[MENSAL]] - tabPontoPed[[#This Row],[CÁLCULO]] ) / tabPontoPed[[#This Row],[MENSAL]], -1 )</f>
        <v>0.18199387985182799</v>
      </c>
      <c r="U580" s="58">
        <v>41164</v>
      </c>
      <c r="V580" s="35">
        <f>IF(AND(tabPontoPed[[#This Row],[MENSAL]]&gt;0,tabPontoPed[[#This Row],[CÁLCULO]]&gt;0), IF( tabPontoPed[[#This Row],[MENSAL]] - tabPontoPed[[#This Row],[CÁLCULO]] &lt; 0, -1, IF( tabPontoPed[[#This Row],[MENSAL]] - tabPontoPed[[#This Row],[CÁLCULO]] &gt; 0, 1, -8)), -9 )</f>
        <v>1</v>
      </c>
      <c r="W580" s="35"/>
      <c r="X580" s="48" t="s">
        <v>1564</v>
      </c>
      <c r="Y580" s="53">
        <v>44391.599108796298</v>
      </c>
      <c r="Z580" s="72">
        <f>tabPontoPed[CÁLC_4M] - tabPontoPed[CÁLCULO]</f>
        <v>-3232</v>
      </c>
      <c r="AA580" s="79" t="str">
        <f>IF(tabPontoPed[MENSAL]-tabPontoPed[ATA MENSAL] = 0,"sim","")</f>
        <v/>
      </c>
      <c r="AB580" s="79"/>
      <c r="AC580" s="47" t="str">
        <f t="shared" si="9"/>
        <v>*</v>
      </c>
    </row>
    <row r="581" spans="1:29" ht="18.75" x14ac:dyDescent="0.25">
      <c r="A581" s="36">
        <v>128287</v>
      </c>
      <c r="B581" s="68" t="s">
        <v>13</v>
      </c>
      <c r="C581" s="33" t="s">
        <v>1317</v>
      </c>
      <c r="D581" s="32">
        <v>76</v>
      </c>
      <c r="E581" s="37">
        <v>16</v>
      </c>
      <c r="F581" s="38" t="str">
        <f>VLOOKUP(tabPontoPed[[#This Row],[GRUPO]],tabGrupos[#Data],2,FALSE)</f>
        <v>EQUIP. E MATERIAIS P/PINTURAS E IMPERMEABILIZACAO</v>
      </c>
      <c r="G581" s="32" t="str">
        <f>VLOOKUP(tabPontoPed[[#This Row],[GRUPO]],tabGrupos[#Data],3,FALSE)</f>
        <v>MPI</v>
      </c>
      <c r="H581" s="33" t="s">
        <v>1311</v>
      </c>
      <c r="I581" s="80">
        <v>4</v>
      </c>
      <c r="J581" s="39">
        <v>45</v>
      </c>
      <c r="K581" s="41">
        <f>tabPontoPed[[#This Row],[QTDMÊS]] * tabPontoPed[[#This Row],[MENSAL]]</f>
        <v>180</v>
      </c>
      <c r="L581" s="83"/>
      <c r="M581" s="81"/>
      <c r="N581" s="34" t="s">
        <v>1009</v>
      </c>
      <c r="O581" s="76" t="s">
        <v>1658</v>
      </c>
      <c r="P581" s="77">
        <v>0</v>
      </c>
      <c r="Q581" s="57">
        <v>34</v>
      </c>
      <c r="R581" s="42">
        <v>37</v>
      </c>
      <c r="S581" s="69" t="str">
        <f>_xlfn.IFNA(IF(VLOOKUP(tabPontoPed[[#This Row],[CÓDIGO]],tabExcluirDoEstoque[#Data],1,FALSE),"sim",""),"")</f>
        <v/>
      </c>
      <c r="T581" s="43">
        <f>IF(AND(tabPontoPed[[#This Row],[MENSAL]]&gt;0,tabPontoPed[[#This Row],[CÁLCULO]]&gt;0), ABS( tabPontoPed[[#This Row],[MENSAL]] - tabPontoPed[[#This Row],[CÁLCULO]] ) / tabPontoPed[[#This Row],[MENSAL]], -1 )</f>
        <v>0.17777777777777778</v>
      </c>
      <c r="U581" s="58">
        <v>63</v>
      </c>
      <c r="V581" s="35">
        <f>IF(AND(tabPontoPed[[#This Row],[MENSAL]]&gt;0,tabPontoPed[[#This Row],[CÁLCULO]]&gt;0), IF( tabPontoPed[[#This Row],[MENSAL]] - tabPontoPed[[#This Row],[CÁLCULO]] &lt; 0, -1, IF( tabPontoPed[[#This Row],[MENSAL]] - tabPontoPed[[#This Row],[CÁLCULO]] &gt; 0, 1, -8)), -9 )</f>
        <v>1</v>
      </c>
      <c r="W581" s="45"/>
      <c r="X581" s="50" t="s">
        <v>1564</v>
      </c>
      <c r="Y581" s="52">
        <v>44391.599108796298</v>
      </c>
      <c r="Z581" s="73">
        <f>tabPontoPed[CÁLC_4M] - tabPontoPed[CÁLCULO]</f>
        <v>-3</v>
      </c>
      <c r="AA581" s="79" t="str">
        <f>IF(tabPontoPed[MENSAL]-tabPontoPed[ATA MENSAL] = 0,"sim","")</f>
        <v/>
      </c>
      <c r="AB581" s="79"/>
      <c r="AC581" s="47" t="str">
        <f t="shared" si="9"/>
        <v>*</v>
      </c>
    </row>
    <row r="582" spans="1:29" x14ac:dyDescent="0.25">
      <c r="A582" s="36">
        <v>88727</v>
      </c>
      <c r="B582" s="68" t="s">
        <v>358</v>
      </c>
      <c r="C582" s="33" t="s">
        <v>1317</v>
      </c>
      <c r="D582" s="32">
        <v>55</v>
      </c>
      <c r="E582" s="37">
        <v>26</v>
      </c>
      <c r="F582" s="38" t="str">
        <f>VLOOKUP(tabPontoPed[[#This Row],[GRUPO]],tabGrupos[#Data],2,FALSE)</f>
        <v>EQUIP. MAT. P/ GERACAO, TRANSM. DISTR. RETIF...</v>
      </c>
      <c r="G582" s="32" t="str">
        <f>VLOOKUP(tabPontoPed[[#This Row],[GRUPO]],tabGrupos[#Data],3,FALSE)</f>
        <v>MEL</v>
      </c>
      <c r="H582" s="33" t="s">
        <v>1311</v>
      </c>
      <c r="I582" s="80">
        <v>4</v>
      </c>
      <c r="J582" s="39">
        <v>17</v>
      </c>
      <c r="K582" s="41">
        <f>tabPontoPed[[#This Row],[QTDMÊS]] * tabPontoPed[[#This Row],[MENSAL]]</f>
        <v>68</v>
      </c>
      <c r="L582" s="83"/>
      <c r="M582" s="81"/>
      <c r="N582" s="34" t="s">
        <v>1009</v>
      </c>
      <c r="O582" s="76" t="s">
        <v>1670</v>
      </c>
      <c r="P582" s="77">
        <v>0</v>
      </c>
      <c r="Q582" s="57">
        <v>6</v>
      </c>
      <c r="R582" s="42">
        <v>20</v>
      </c>
      <c r="S582" s="69" t="str">
        <f>_xlfn.IFNA(IF(VLOOKUP(tabPontoPed[[#This Row],[CÓDIGO]],tabExcluirDoEstoque[#Data],1,FALSE),"sim",""),"")</f>
        <v/>
      </c>
      <c r="T582" s="43">
        <f>IF(AND(tabPontoPed[[#This Row],[MENSAL]]&gt;0,tabPontoPed[[#This Row],[CÁLCULO]]&gt;0), ABS( tabPontoPed[[#This Row],[MENSAL]] - tabPontoPed[[#This Row],[CÁLCULO]] ) / tabPontoPed[[#This Row],[MENSAL]], -1 )</f>
        <v>0.17647058823529413</v>
      </c>
      <c r="U582" s="58">
        <v>85</v>
      </c>
      <c r="V582" s="35">
        <f>IF(AND(tabPontoPed[[#This Row],[MENSAL]]&gt;0,tabPontoPed[[#This Row],[CÁLCULO]]&gt;0), IF( tabPontoPed[[#This Row],[MENSAL]] - tabPontoPed[[#This Row],[CÁLCULO]] &lt; 0, -1, IF( tabPontoPed[[#This Row],[MENSAL]] - tabPontoPed[[#This Row],[CÁLCULO]] &gt; 0, 1, -8)), -9 )</f>
        <v>-1</v>
      </c>
      <c r="W582" s="35"/>
      <c r="X582" s="49" t="s">
        <v>1564</v>
      </c>
      <c r="Y582" s="51">
        <v>44391.599108796298</v>
      </c>
      <c r="Z582" s="72">
        <f>tabPontoPed[CÁLC_4M] - tabPontoPed[CÁLCULO]</f>
        <v>-14</v>
      </c>
      <c r="AA582" s="79" t="str">
        <f>IF(tabPontoPed[MENSAL]-tabPontoPed[ATA MENSAL] = 0,"sim","")</f>
        <v/>
      </c>
      <c r="AB582" s="79" t="s">
        <v>1614</v>
      </c>
      <c r="AC582" s="47" t="str">
        <f t="shared" si="9"/>
        <v>*</v>
      </c>
    </row>
    <row r="583" spans="1:29" x14ac:dyDescent="0.25">
      <c r="A583" s="36">
        <v>16978</v>
      </c>
      <c r="B583" s="68" t="s">
        <v>746</v>
      </c>
      <c r="C583" s="33" t="s">
        <v>1317</v>
      </c>
      <c r="D583" s="32">
        <v>61</v>
      </c>
      <c r="E583" s="37">
        <v>8</v>
      </c>
      <c r="F583" s="38" t="str">
        <f>VLOOKUP(tabPontoPed[[#This Row],[GRUPO]],tabGrupos[#Data],2,FALSE)</f>
        <v>MATERIAL HIDRAULICO, CANOS, TUBOS, MANGUEIRAS, CONEXOES E ACESS.</v>
      </c>
      <c r="G583" s="32" t="str">
        <f>VLOOKUP(tabPontoPed[[#This Row],[GRUPO]],tabGrupos[#Data],3,FALSE)</f>
        <v>MHI</v>
      </c>
      <c r="H583" s="33" t="s">
        <v>1311</v>
      </c>
      <c r="I583" s="80">
        <v>4</v>
      </c>
      <c r="J583" s="39">
        <v>34</v>
      </c>
      <c r="K583" s="41">
        <f>tabPontoPed[[#This Row],[QTDMÊS]] * tabPontoPed[[#This Row],[MENSAL]]</f>
        <v>136</v>
      </c>
      <c r="L583" s="83"/>
      <c r="M583" s="81"/>
      <c r="N583" s="34" t="s">
        <v>1009</v>
      </c>
      <c r="O583" s="76" t="s">
        <v>1691</v>
      </c>
      <c r="P583" s="77">
        <v>0</v>
      </c>
      <c r="Q583" s="57">
        <v>20</v>
      </c>
      <c r="R583" s="42">
        <v>40</v>
      </c>
      <c r="S583" s="69" t="str">
        <f>_xlfn.IFNA(IF(VLOOKUP(tabPontoPed[[#This Row],[CÓDIGO]],tabExcluirDoEstoque[#Data],1,FALSE),"sim",""),"")</f>
        <v/>
      </c>
      <c r="T583" s="43">
        <f>IF(AND(tabPontoPed[[#This Row],[MENSAL]]&gt;0,tabPontoPed[[#This Row],[CÁLCULO]]&gt;0), ABS( tabPontoPed[[#This Row],[MENSAL]] - tabPontoPed[[#This Row],[CÁLCULO]] ) / tabPontoPed[[#This Row],[MENSAL]], -1 )</f>
        <v>0.17647058823529413</v>
      </c>
      <c r="U583" s="58">
        <v>230</v>
      </c>
      <c r="V583" s="35">
        <f>IF(AND(tabPontoPed[[#This Row],[MENSAL]]&gt;0,tabPontoPed[[#This Row],[CÁLCULO]]&gt;0), IF( tabPontoPed[[#This Row],[MENSAL]] - tabPontoPed[[#This Row],[CÁLCULO]] &lt; 0, -1, IF( tabPontoPed[[#This Row],[MENSAL]] - tabPontoPed[[#This Row],[CÁLCULO]] &gt; 0, 1, -8)), -9 )</f>
        <v>-1</v>
      </c>
      <c r="W583" s="35"/>
      <c r="X583" s="48" t="s">
        <v>1564</v>
      </c>
      <c r="Y583" s="53">
        <v>44391.599108796298</v>
      </c>
      <c r="Z583" s="72">
        <f>tabPontoPed[CÁLC_4M] - tabPontoPed[CÁLCULO]</f>
        <v>-20</v>
      </c>
      <c r="AA583" s="79" t="str">
        <f>IF(tabPontoPed[MENSAL]-tabPontoPed[ATA MENSAL] = 0,"sim","")</f>
        <v/>
      </c>
      <c r="AB583" s="79" t="s">
        <v>1614</v>
      </c>
      <c r="AC583" s="47" t="str">
        <f t="shared" si="9"/>
        <v>*</v>
      </c>
    </row>
    <row r="584" spans="1:29" x14ac:dyDescent="0.25">
      <c r="A584" s="36">
        <v>134544</v>
      </c>
      <c r="B584" s="68" t="s">
        <v>245</v>
      </c>
      <c r="C584" s="33" t="s">
        <v>1317</v>
      </c>
      <c r="D584" s="32">
        <v>51</v>
      </c>
      <c r="E584" s="37">
        <v>21</v>
      </c>
      <c r="F584" s="38" t="str">
        <f>VLOOKUP(tabPontoPed[[#This Row],[GRUPO]],tabGrupos[#Data],2,FALSE)</f>
        <v>MAT.E EQUIP. P/ CONSTR.CIVIL E CONSERV. DE VIAS PUBL.</v>
      </c>
      <c r="G584" s="32" t="str">
        <f>VLOOKUP(tabPontoPed[[#This Row],[GRUPO]],tabGrupos[#Data],3,FALSE)</f>
        <v>MCO</v>
      </c>
      <c r="H584" s="33" t="s">
        <v>1311</v>
      </c>
      <c r="I584" s="80">
        <v>4</v>
      </c>
      <c r="J584" s="39">
        <v>125</v>
      </c>
      <c r="K584" s="41">
        <f>tabPontoPed[[#This Row],[QTDMÊS]] * tabPontoPed[[#This Row],[MENSAL]]</f>
        <v>500</v>
      </c>
      <c r="L584" s="83"/>
      <c r="M584" s="81"/>
      <c r="N584" s="34" t="s">
        <v>1009</v>
      </c>
      <c r="O584" s="76" t="s">
        <v>1665</v>
      </c>
      <c r="P584" s="77">
        <v>0</v>
      </c>
      <c r="Q584" s="57">
        <v>11</v>
      </c>
      <c r="R584" s="42">
        <v>103</v>
      </c>
      <c r="S584" s="69" t="str">
        <f>_xlfn.IFNA(IF(VLOOKUP(tabPontoPed[[#This Row],[CÓDIGO]],tabExcluirDoEstoque[#Data],1,FALSE),"sim",""),"")</f>
        <v/>
      </c>
      <c r="T584" s="43">
        <f>IF(AND(tabPontoPed[[#This Row],[MENSAL]]&gt;0,tabPontoPed[[#This Row],[CÁLCULO]]&gt;0), ABS( tabPontoPed[[#This Row],[MENSAL]] - tabPontoPed[[#This Row],[CÁLCULO]] ) / tabPontoPed[[#This Row],[MENSAL]], -1 )</f>
        <v>0.17599999999999999</v>
      </c>
      <c r="U584" s="58">
        <v>388</v>
      </c>
      <c r="V584" s="35">
        <f>IF(AND(tabPontoPed[[#This Row],[MENSAL]]&gt;0,tabPontoPed[[#This Row],[CÁLCULO]]&gt;0), IF( tabPontoPed[[#This Row],[MENSAL]] - tabPontoPed[[#This Row],[CÁLCULO]] &lt; 0, -1, IF( tabPontoPed[[#This Row],[MENSAL]] - tabPontoPed[[#This Row],[CÁLCULO]] &gt; 0, 1, -8)), -9 )</f>
        <v>1</v>
      </c>
      <c r="W584" s="35"/>
      <c r="X584" s="49" t="s">
        <v>1564</v>
      </c>
      <c r="Y584" s="51">
        <v>44391.599108796298</v>
      </c>
      <c r="Z584" s="72">
        <f>tabPontoPed[CÁLC_4M] - tabPontoPed[CÁLCULO]</f>
        <v>-92</v>
      </c>
      <c r="AA584" s="79" t="str">
        <f>IF(tabPontoPed[MENSAL]-tabPontoPed[ATA MENSAL] = 0,"sim","")</f>
        <v/>
      </c>
      <c r="AB584" s="79"/>
      <c r="AC584" s="47" t="str">
        <f t="shared" si="9"/>
        <v>*</v>
      </c>
    </row>
    <row r="585" spans="1:29" x14ac:dyDescent="0.25">
      <c r="A585" s="36">
        <v>15813</v>
      </c>
      <c r="B585" s="68" t="s">
        <v>500</v>
      </c>
      <c r="C585" s="33" t="s">
        <v>1317</v>
      </c>
      <c r="D585" s="32">
        <v>51</v>
      </c>
      <c r="E585" s="37">
        <v>6</v>
      </c>
      <c r="F585" s="38" t="str">
        <f>VLOOKUP(tabPontoPed[[#This Row],[GRUPO]],tabGrupos[#Data],2,FALSE)</f>
        <v>MAT.E EQUIP. P/ CONSTR.CIVIL E CONSERV. DE VIAS PUBL.</v>
      </c>
      <c r="G585" s="32" t="str">
        <f>VLOOKUP(tabPontoPed[[#This Row],[GRUPO]],tabGrupos[#Data],3,FALSE)</f>
        <v>MCO</v>
      </c>
      <c r="H585" s="33" t="s">
        <v>1311</v>
      </c>
      <c r="I585" s="80">
        <v>4</v>
      </c>
      <c r="J585" s="39">
        <v>542</v>
      </c>
      <c r="K585" s="41">
        <f>tabPontoPed[[#This Row],[QTDMÊS]] * tabPontoPed[[#This Row],[MENSAL]]</f>
        <v>2168</v>
      </c>
      <c r="L585" s="83"/>
      <c r="M585" s="81"/>
      <c r="N585" s="34" t="s">
        <v>1009</v>
      </c>
      <c r="O585" s="76" t="s">
        <v>1688</v>
      </c>
      <c r="P585" s="77">
        <v>0</v>
      </c>
      <c r="Q585" s="57">
        <v>17</v>
      </c>
      <c r="R585" s="42">
        <v>447</v>
      </c>
      <c r="S585" s="69" t="str">
        <f>_xlfn.IFNA(IF(VLOOKUP(tabPontoPed[[#This Row],[CÓDIGO]],tabExcluirDoEstoque[#Data],1,FALSE),"sim",""),"")</f>
        <v/>
      </c>
      <c r="T585" s="43">
        <f>IF(AND(tabPontoPed[[#This Row],[MENSAL]]&gt;0,tabPontoPed[[#This Row],[CÁLCULO]]&gt;0), ABS( tabPontoPed[[#This Row],[MENSAL]] - tabPontoPed[[#This Row],[CÁLCULO]] ) / tabPontoPed[[#This Row],[MENSAL]], -1 )</f>
        <v>0.17527675276752769</v>
      </c>
      <c r="U585" s="58">
        <v>1230</v>
      </c>
      <c r="V585" s="35">
        <f>IF(AND(tabPontoPed[[#This Row],[MENSAL]]&gt;0,tabPontoPed[[#This Row],[CÁLCULO]]&gt;0), IF( tabPontoPed[[#This Row],[MENSAL]] - tabPontoPed[[#This Row],[CÁLCULO]] &lt; 0, -1, IF( tabPontoPed[[#This Row],[MENSAL]] - tabPontoPed[[#This Row],[CÁLCULO]] &gt; 0, 1, -8)), -9 )</f>
        <v>1</v>
      </c>
      <c r="W585" s="35"/>
      <c r="X585" s="49" t="s">
        <v>1564</v>
      </c>
      <c r="Y585" s="51">
        <v>44391.599108796298</v>
      </c>
      <c r="Z585" s="72">
        <f>tabPontoPed[CÁLC_4M] - tabPontoPed[CÁLCULO]</f>
        <v>-430</v>
      </c>
      <c r="AA585" s="79" t="str">
        <f>IF(tabPontoPed[MENSAL]-tabPontoPed[ATA MENSAL] = 0,"sim","")</f>
        <v/>
      </c>
      <c r="AB585" s="79" t="s">
        <v>1614</v>
      </c>
      <c r="AC585" s="47" t="str">
        <f t="shared" si="9"/>
        <v>*</v>
      </c>
    </row>
    <row r="586" spans="1:29" x14ac:dyDescent="0.25">
      <c r="A586" s="36">
        <v>17132</v>
      </c>
      <c r="B586" s="68" t="s">
        <v>39</v>
      </c>
      <c r="C586" s="33" t="s">
        <v>1317</v>
      </c>
      <c r="D586" s="32">
        <v>45</v>
      </c>
      <c r="E586" s="37">
        <v>12</v>
      </c>
      <c r="F586" s="38" t="str">
        <f>VLOOKUP(tabPontoPed[[#This Row],[GRUPO]],tabGrupos[#Data],2,FALSE)</f>
        <v>MAQ., EQUIP., COMP., ACES., MAT. PARA ESCRIT.E ESCOLAR</v>
      </c>
      <c r="G586" s="32" t="str">
        <f>VLOOKUP(tabPontoPed[[#This Row],[GRUPO]],tabGrupos[#Data],3,FALSE)</f>
        <v>EDU</v>
      </c>
      <c r="H586" s="33" t="s">
        <v>1311</v>
      </c>
      <c r="I586" s="80">
        <v>4</v>
      </c>
      <c r="J586" s="39">
        <v>93</v>
      </c>
      <c r="K586" s="41">
        <f>tabPontoPed[[#This Row],[QTDMÊS]] * tabPontoPed[[#This Row],[MENSAL]]</f>
        <v>372</v>
      </c>
      <c r="L586" s="83"/>
      <c r="M586" s="81"/>
      <c r="N586" s="34" t="s">
        <v>1009</v>
      </c>
      <c r="O586" s="76" t="s">
        <v>1739</v>
      </c>
      <c r="P586" s="77">
        <v>0</v>
      </c>
      <c r="Q586" s="57">
        <v>34</v>
      </c>
      <c r="R586" s="42">
        <v>77</v>
      </c>
      <c r="S586" s="69" t="str">
        <f>_xlfn.IFNA(IF(VLOOKUP(tabPontoPed[[#This Row],[CÓDIGO]],tabExcluirDoEstoque[#Data],1,FALSE),"sim",""),"")</f>
        <v/>
      </c>
      <c r="T586" s="43">
        <f>IF(AND(tabPontoPed[[#This Row],[MENSAL]]&gt;0,tabPontoPed[[#This Row],[CÁLCULO]]&gt;0), ABS( tabPontoPed[[#This Row],[MENSAL]] - tabPontoPed[[#This Row],[CÁLCULO]] ) / tabPontoPed[[#This Row],[MENSAL]], -1 )</f>
        <v>0.17204301075268819</v>
      </c>
      <c r="U586" s="58">
        <v>470</v>
      </c>
      <c r="V586" s="35">
        <f>IF(AND(tabPontoPed[[#This Row],[MENSAL]]&gt;0,tabPontoPed[[#This Row],[CÁLCULO]]&gt;0), IF( tabPontoPed[[#This Row],[MENSAL]] - tabPontoPed[[#This Row],[CÁLCULO]] &lt; 0, -1, IF( tabPontoPed[[#This Row],[MENSAL]] - tabPontoPed[[#This Row],[CÁLCULO]] &gt; 0, 1, -8)), -9 )</f>
        <v>1</v>
      </c>
      <c r="W586" s="35"/>
      <c r="X586" s="48" t="s">
        <v>1564</v>
      </c>
      <c r="Y586" s="53">
        <v>44391.599108796298</v>
      </c>
      <c r="Z586" s="72">
        <f>tabPontoPed[CÁLC_4M] - tabPontoPed[CÁLCULO]</f>
        <v>-43</v>
      </c>
      <c r="AA586" s="79" t="str">
        <f>IF(tabPontoPed[MENSAL]-tabPontoPed[ATA MENSAL] = 0,"sim","")</f>
        <v/>
      </c>
      <c r="AB586" s="79"/>
      <c r="AC586" s="47" t="str">
        <f t="shared" si="9"/>
        <v>*</v>
      </c>
    </row>
    <row r="587" spans="1:29" x14ac:dyDescent="0.25">
      <c r="A587" s="36">
        <v>98702</v>
      </c>
      <c r="B587" s="68" t="s">
        <v>535</v>
      </c>
      <c r="C587" s="33" t="s">
        <v>1317</v>
      </c>
      <c r="D587" s="32">
        <v>51</v>
      </c>
      <c r="E587" s="37">
        <v>24</v>
      </c>
      <c r="F587" s="38" t="str">
        <f>VLOOKUP(tabPontoPed[[#This Row],[GRUPO]],tabGrupos[#Data],2,FALSE)</f>
        <v>MAT.E EQUIP. P/ CONSTR.CIVIL E CONSERV. DE VIAS PUBL.</v>
      </c>
      <c r="G587" s="32" t="str">
        <f>VLOOKUP(tabPontoPed[[#This Row],[GRUPO]],tabGrupos[#Data],3,FALSE)</f>
        <v>MCO</v>
      </c>
      <c r="H587" s="33" t="s">
        <v>1321</v>
      </c>
      <c r="I587" s="80">
        <v>3</v>
      </c>
      <c r="J587" s="39">
        <v>350</v>
      </c>
      <c r="K587" s="41">
        <f>tabPontoPed[[#This Row],[QTDMÊS]] * tabPontoPed[[#This Row],[MENSAL]]</f>
        <v>1050</v>
      </c>
      <c r="L587" s="83"/>
      <c r="M587" s="81"/>
      <c r="N587" s="34" t="s">
        <v>1009</v>
      </c>
      <c r="O587" s="76" t="s">
        <v>1689</v>
      </c>
      <c r="P587" s="77">
        <v>0</v>
      </c>
      <c r="Q587" s="57">
        <v>362</v>
      </c>
      <c r="R587" s="42">
        <v>291</v>
      </c>
      <c r="S587" s="69" t="str">
        <f>_xlfn.IFNA(IF(VLOOKUP(tabPontoPed[[#This Row],[CÓDIGO]],tabExcluirDoEstoque[#Data],1,FALSE),"sim",""),"")</f>
        <v/>
      </c>
      <c r="T587" s="43">
        <f>IF(AND(tabPontoPed[[#This Row],[MENSAL]]&gt;0,tabPontoPed[[#This Row],[CÁLCULO]]&gt;0), ABS( tabPontoPed[[#This Row],[MENSAL]] - tabPontoPed[[#This Row],[CÁLCULO]] ) / tabPontoPed[[#This Row],[MENSAL]], -1 )</f>
        <v>0.16857142857142857</v>
      </c>
      <c r="U587" s="58">
        <v>615</v>
      </c>
      <c r="V587" s="35">
        <f>IF(AND(tabPontoPed[[#This Row],[MENSAL]]&gt;0,tabPontoPed[[#This Row],[CÁLCULO]]&gt;0), IF( tabPontoPed[[#This Row],[MENSAL]] - tabPontoPed[[#This Row],[CÁLCULO]] &lt; 0, -1, IF( tabPontoPed[[#This Row],[MENSAL]] - tabPontoPed[[#This Row],[CÁLCULO]] &gt; 0, 1, -8)), -9 )</f>
        <v>1</v>
      </c>
      <c r="W587" s="35"/>
      <c r="X587" s="49" t="s">
        <v>1450</v>
      </c>
      <c r="Y587" s="51">
        <v>43683.693865740737</v>
      </c>
      <c r="Z587" s="72">
        <f>tabPontoPed[CÁLC_4M] - tabPontoPed[CÁLCULO]</f>
        <v>71</v>
      </c>
      <c r="AA587" s="79" t="str">
        <f>IF(tabPontoPed[MENSAL]-tabPontoPed[ATA MENSAL] = 0,"sim","")</f>
        <v/>
      </c>
      <c r="AB587" s="79"/>
      <c r="AC587" s="47" t="str">
        <f t="shared" si="9"/>
        <v>*</v>
      </c>
    </row>
    <row r="588" spans="1:29" ht="18.75" x14ac:dyDescent="0.25">
      <c r="A588" s="36">
        <v>12853</v>
      </c>
      <c r="B588" s="68" t="s">
        <v>961</v>
      </c>
      <c r="C588" s="33" t="s">
        <v>1317</v>
      </c>
      <c r="D588" s="32">
        <v>76</v>
      </c>
      <c r="E588" s="37">
        <v>11</v>
      </c>
      <c r="F588" s="38" t="str">
        <f>VLOOKUP(tabPontoPed[[#This Row],[GRUPO]],tabGrupos[#Data],2,FALSE)</f>
        <v>EQUIP. E MATERIAIS P/PINTURAS E IMPERMEABILIZACAO</v>
      </c>
      <c r="G588" s="32" t="str">
        <f>VLOOKUP(tabPontoPed[[#This Row],[GRUPO]],tabGrupos[#Data],3,FALSE)</f>
        <v>MPI</v>
      </c>
      <c r="H588" s="33" t="s">
        <v>1311</v>
      </c>
      <c r="I588" s="80">
        <v>4</v>
      </c>
      <c r="J588" s="39">
        <v>12</v>
      </c>
      <c r="K588" s="41">
        <f>tabPontoPed[[#This Row],[QTDMÊS]] * tabPontoPed[[#This Row],[MENSAL]]</f>
        <v>48</v>
      </c>
      <c r="L588" s="83"/>
      <c r="M588" s="81"/>
      <c r="N588" s="34" t="s">
        <v>1009</v>
      </c>
      <c r="O588" s="76" t="s">
        <v>1710</v>
      </c>
      <c r="P588" s="77">
        <v>0</v>
      </c>
      <c r="Q588" s="57">
        <v>14</v>
      </c>
      <c r="R588" s="42">
        <v>14</v>
      </c>
      <c r="S588" s="69" t="str">
        <f>_xlfn.IFNA(IF(VLOOKUP(tabPontoPed[[#This Row],[CÓDIGO]],tabExcluirDoEstoque[#Data],1,FALSE),"sim",""),"")</f>
        <v>sim</v>
      </c>
      <c r="T588" s="43">
        <f>IF(AND(tabPontoPed[[#This Row],[MENSAL]]&gt;0,tabPontoPed[[#This Row],[CÁLCULO]]&gt;0), ABS( tabPontoPed[[#This Row],[MENSAL]] - tabPontoPed[[#This Row],[CÁLCULO]] ) / tabPontoPed[[#This Row],[MENSAL]], -1 )</f>
        <v>0.16666666666666666</v>
      </c>
      <c r="U588" s="58">
        <v>23</v>
      </c>
      <c r="V588" s="35">
        <f>IF(AND(tabPontoPed[[#This Row],[MENSAL]]&gt;0,tabPontoPed[[#This Row],[CÁLCULO]]&gt;0), IF( tabPontoPed[[#This Row],[MENSAL]] - tabPontoPed[[#This Row],[CÁLCULO]] &lt; 0, -1, IF( tabPontoPed[[#This Row],[MENSAL]] - tabPontoPed[[#This Row],[CÁLCULO]] &gt; 0, 1, -8)), -9 )</f>
        <v>-1</v>
      </c>
      <c r="W588" s="45"/>
      <c r="X588" s="50" t="s">
        <v>1564</v>
      </c>
      <c r="Y588" s="52">
        <v>44391.599108796298</v>
      </c>
      <c r="Z588" s="73">
        <f>tabPontoPed[CÁLC_4M] - tabPontoPed[CÁLCULO]</f>
        <v>0</v>
      </c>
      <c r="AA588" s="79" t="str">
        <f>IF(tabPontoPed[MENSAL]-tabPontoPed[ATA MENSAL] = 0,"sim","")</f>
        <v/>
      </c>
      <c r="AB588" s="79"/>
      <c r="AC588" s="47" t="str">
        <f t="shared" si="9"/>
        <v>*</v>
      </c>
    </row>
    <row r="589" spans="1:29" x14ac:dyDescent="0.25">
      <c r="A589" s="36">
        <v>14154</v>
      </c>
      <c r="B589" s="68" t="s">
        <v>193</v>
      </c>
      <c r="C589" s="33" t="s">
        <v>1317</v>
      </c>
      <c r="D589" s="32">
        <v>72</v>
      </c>
      <c r="E589" s="37">
        <v>6</v>
      </c>
      <c r="F589" s="38" t="str">
        <f>VLOOKUP(tabPontoPed[[#This Row],[GRUPO]],tabGrupos[#Data],2,FALSE)</f>
        <v>MAQ.EQUIP.E MATERIAIS P/ HIGIEN.LIMP.POLIM.E LUBR.</v>
      </c>
      <c r="G589" s="32" t="str">
        <f>VLOOKUP(tabPontoPed[[#This Row],[GRUPO]],tabGrupos[#Data],3,FALSE)</f>
        <v>ADM</v>
      </c>
      <c r="H589" s="33" t="s">
        <v>1311</v>
      </c>
      <c r="I589" s="80">
        <v>4</v>
      </c>
      <c r="J589" s="39">
        <v>750</v>
      </c>
      <c r="K589" s="41">
        <f>tabPontoPed[[#This Row],[QTDMÊS]] * tabPontoPed[[#This Row],[MENSAL]]</f>
        <v>3000</v>
      </c>
      <c r="L589" s="83"/>
      <c r="M589" s="81"/>
      <c r="N589" s="34" t="s">
        <v>1009</v>
      </c>
      <c r="O589" s="76" t="s">
        <v>1721</v>
      </c>
      <c r="P589" s="77">
        <v>0</v>
      </c>
      <c r="Q589" s="57">
        <v>765</v>
      </c>
      <c r="R589" s="42">
        <v>870</v>
      </c>
      <c r="S589" s="69" t="str">
        <f>_xlfn.IFNA(IF(VLOOKUP(tabPontoPed[[#This Row],[CÓDIGO]],tabExcluirDoEstoque[#Data],1,FALSE),"sim",""),"")</f>
        <v/>
      </c>
      <c r="T589" s="43">
        <f>IF(AND(tabPontoPed[[#This Row],[MENSAL]]&gt;0,tabPontoPed[[#This Row],[CÁLCULO]]&gt;0), ABS( tabPontoPed[[#This Row],[MENSAL]] - tabPontoPed[[#This Row],[CÁLCULO]] ) / tabPontoPed[[#This Row],[MENSAL]], -1 )</f>
        <v>0.16</v>
      </c>
      <c r="U589" s="58">
        <v>3256</v>
      </c>
      <c r="V589" s="35">
        <f>IF(AND(tabPontoPed[[#This Row],[MENSAL]]&gt;0,tabPontoPed[[#This Row],[CÁLCULO]]&gt;0), IF( tabPontoPed[[#This Row],[MENSAL]] - tabPontoPed[[#This Row],[CÁLCULO]] &lt; 0, -1, IF( tabPontoPed[[#This Row],[MENSAL]] - tabPontoPed[[#This Row],[CÁLCULO]] &gt; 0, 1, -8)), -9 )</f>
        <v>-1</v>
      </c>
      <c r="W589" s="35"/>
      <c r="X589" s="48" t="s">
        <v>1564</v>
      </c>
      <c r="Y589" s="53">
        <v>44391.599108796298</v>
      </c>
      <c r="Z589" s="72">
        <f>tabPontoPed[CÁLC_4M] - tabPontoPed[CÁLCULO]</f>
        <v>-105</v>
      </c>
      <c r="AA589" s="79" t="str">
        <f>IF(tabPontoPed[MENSAL]-tabPontoPed[ATA MENSAL] = 0,"sim","")</f>
        <v/>
      </c>
      <c r="AB589" s="79" t="s">
        <v>1614</v>
      </c>
      <c r="AC589" s="47" t="str">
        <f t="shared" si="9"/>
        <v>*</v>
      </c>
    </row>
    <row r="590" spans="1:29" x14ac:dyDescent="0.25">
      <c r="A590" s="36">
        <v>12763</v>
      </c>
      <c r="B590" s="68" t="s">
        <v>494</v>
      </c>
      <c r="C590" s="33" t="s">
        <v>1317</v>
      </c>
      <c r="D590" s="32">
        <v>51</v>
      </c>
      <c r="E590" s="37">
        <v>3</v>
      </c>
      <c r="F590" s="38" t="str">
        <f>VLOOKUP(tabPontoPed[[#This Row],[GRUPO]],tabGrupos[#Data],2,FALSE)</f>
        <v>MAT.E EQUIP. P/ CONSTR.CIVIL E CONSERV. DE VIAS PUBL.</v>
      </c>
      <c r="G590" s="32" t="str">
        <f>VLOOKUP(tabPontoPed[[#This Row],[GRUPO]],tabGrupos[#Data],3,FALSE)</f>
        <v>MCO</v>
      </c>
      <c r="H590" s="33" t="s">
        <v>1311</v>
      </c>
      <c r="I590" s="80">
        <v>4</v>
      </c>
      <c r="J590" s="39">
        <v>100</v>
      </c>
      <c r="K590" s="41">
        <f>tabPontoPed[[#This Row],[QTDMÊS]] * tabPontoPed[[#This Row],[MENSAL]]</f>
        <v>400</v>
      </c>
      <c r="L590" s="83"/>
      <c r="M590" s="81"/>
      <c r="N590" s="34" t="s">
        <v>1009</v>
      </c>
      <c r="O590" s="76" t="s">
        <v>1700</v>
      </c>
      <c r="P590" s="77">
        <v>0</v>
      </c>
      <c r="Q590" s="57">
        <v>55</v>
      </c>
      <c r="R590" s="42">
        <v>84</v>
      </c>
      <c r="S590" s="69" t="str">
        <f>_xlfn.IFNA(IF(VLOOKUP(tabPontoPed[[#This Row],[CÓDIGO]],tabExcluirDoEstoque[#Data],1,FALSE),"sim",""),"")</f>
        <v/>
      </c>
      <c r="T590" s="43">
        <f>IF(AND(tabPontoPed[[#This Row],[MENSAL]]&gt;0,tabPontoPed[[#This Row],[CÁLCULO]]&gt;0), ABS( tabPontoPed[[#This Row],[MENSAL]] - tabPontoPed[[#This Row],[CÁLCULO]] ) / tabPontoPed[[#This Row],[MENSAL]], -1 )</f>
        <v>0.16</v>
      </c>
      <c r="U590" s="58">
        <v>142</v>
      </c>
      <c r="V590" s="35">
        <f>IF(AND(tabPontoPed[[#This Row],[MENSAL]]&gt;0,tabPontoPed[[#This Row],[CÁLCULO]]&gt;0), IF( tabPontoPed[[#This Row],[MENSAL]] - tabPontoPed[[#This Row],[CÁLCULO]] &lt; 0, -1, IF( tabPontoPed[[#This Row],[MENSAL]] - tabPontoPed[[#This Row],[CÁLCULO]] &gt; 0, 1, -8)), -9 )</f>
        <v>1</v>
      </c>
      <c r="W590" s="35"/>
      <c r="X590" s="49" t="s">
        <v>1564</v>
      </c>
      <c r="Y590" s="51">
        <v>44391.599108796298</v>
      </c>
      <c r="Z590" s="72">
        <f>tabPontoPed[CÁLC_4M] - tabPontoPed[CÁLCULO]</f>
        <v>-29</v>
      </c>
      <c r="AA590" s="79" t="str">
        <f>IF(tabPontoPed[MENSAL]-tabPontoPed[ATA MENSAL] = 0,"sim","")</f>
        <v/>
      </c>
      <c r="AB590" s="79"/>
      <c r="AC590" s="47" t="str">
        <f t="shared" si="9"/>
        <v>*</v>
      </c>
    </row>
    <row r="591" spans="1:29" x14ac:dyDescent="0.25">
      <c r="A591" s="36">
        <v>11109</v>
      </c>
      <c r="B591" s="68" t="s">
        <v>457</v>
      </c>
      <c r="C591" s="33" t="s">
        <v>1317</v>
      </c>
      <c r="D591" s="32">
        <v>45</v>
      </c>
      <c r="E591" s="37">
        <v>12</v>
      </c>
      <c r="F591" s="38" t="str">
        <f>VLOOKUP(tabPontoPed[[#This Row],[GRUPO]],tabGrupos[#Data],2,FALSE)</f>
        <v>MAQ., EQUIP., COMP., ACES., MAT. PARA ESCRIT.E ESCOLAR</v>
      </c>
      <c r="G591" s="32" t="str">
        <f>VLOOKUP(tabPontoPed[[#This Row],[GRUPO]],tabGrupos[#Data],3,FALSE)</f>
        <v>EDU</v>
      </c>
      <c r="H591" s="33" t="s">
        <v>1311</v>
      </c>
      <c r="I591" s="80">
        <v>4</v>
      </c>
      <c r="J591" s="39">
        <v>329</v>
      </c>
      <c r="K591" s="41">
        <f>tabPontoPed[[#This Row],[QTDMÊS]] * tabPontoPed[[#This Row],[MENSAL]]</f>
        <v>1316</v>
      </c>
      <c r="L591" s="83"/>
      <c r="M591" s="81"/>
      <c r="N591" s="34" t="s">
        <v>1009</v>
      </c>
      <c r="O591" s="76" t="s">
        <v>1696</v>
      </c>
      <c r="P591" s="77">
        <v>0</v>
      </c>
      <c r="Q591" s="57">
        <v>277</v>
      </c>
      <c r="R591" s="42">
        <v>277</v>
      </c>
      <c r="S591" s="69" t="str">
        <f>_xlfn.IFNA(IF(VLOOKUP(tabPontoPed[[#This Row],[CÓDIGO]],tabExcluirDoEstoque[#Data],1,FALSE),"sim",""),"")</f>
        <v/>
      </c>
      <c r="T591" s="43">
        <f>IF(AND(tabPontoPed[[#This Row],[MENSAL]]&gt;0,tabPontoPed[[#This Row],[CÁLCULO]]&gt;0), ABS( tabPontoPed[[#This Row],[MENSAL]] - tabPontoPed[[#This Row],[CÁLCULO]] ) / tabPontoPed[[#This Row],[MENSAL]], -1 )</f>
        <v>0.1580547112462006</v>
      </c>
      <c r="U591" s="58">
        <v>538</v>
      </c>
      <c r="V591" s="35">
        <f>IF(AND(tabPontoPed[[#This Row],[MENSAL]]&gt;0,tabPontoPed[[#This Row],[CÁLCULO]]&gt;0), IF( tabPontoPed[[#This Row],[MENSAL]] - tabPontoPed[[#This Row],[CÁLCULO]] &lt; 0, -1, IF( tabPontoPed[[#This Row],[MENSAL]] - tabPontoPed[[#This Row],[CÁLCULO]] &gt; 0, 1, -8)), -9 )</f>
        <v>1</v>
      </c>
      <c r="W591" s="35"/>
      <c r="X591" s="49" t="s">
        <v>1564</v>
      </c>
      <c r="Y591" s="51">
        <v>44391.599108796298</v>
      </c>
      <c r="Z591" s="72">
        <f>tabPontoPed[CÁLC_4M] - tabPontoPed[CÁLCULO]</f>
        <v>0</v>
      </c>
      <c r="AA591" s="79" t="str">
        <f>IF(tabPontoPed[MENSAL]-tabPontoPed[ATA MENSAL] = 0,"sim","")</f>
        <v/>
      </c>
      <c r="AB591" s="79"/>
      <c r="AC591" s="47" t="str">
        <f t="shared" si="9"/>
        <v>*</v>
      </c>
    </row>
    <row r="592" spans="1:29" x14ac:dyDescent="0.25">
      <c r="A592" s="36">
        <v>107483</v>
      </c>
      <c r="B592" s="68" t="s">
        <v>14</v>
      </c>
      <c r="C592" s="33" t="s">
        <v>1317</v>
      </c>
      <c r="D592" s="32">
        <v>55</v>
      </c>
      <c r="E592" s="37">
        <v>4</v>
      </c>
      <c r="F592" s="38" t="str">
        <f>VLOOKUP(tabPontoPed[[#This Row],[GRUPO]],tabGrupos[#Data],2,FALSE)</f>
        <v>EQUIP. MAT. P/ GERACAO, TRANSM. DISTR. RETIF...</v>
      </c>
      <c r="G592" s="32" t="str">
        <f>VLOOKUP(tabPontoPed[[#This Row],[GRUPO]],tabGrupos[#Data],3,FALSE)</f>
        <v>MEL</v>
      </c>
      <c r="H592" s="33" t="s">
        <v>1311</v>
      </c>
      <c r="I592" s="80">
        <v>4</v>
      </c>
      <c r="J592" s="39">
        <v>19</v>
      </c>
      <c r="K592" s="41">
        <f>tabPontoPed[[#This Row],[QTDMÊS]] * tabPontoPed[[#This Row],[MENSAL]]</f>
        <v>76</v>
      </c>
      <c r="L592" s="83"/>
      <c r="M592" s="81"/>
      <c r="N592" s="34" t="s">
        <v>1009</v>
      </c>
      <c r="O592" s="76" t="s">
        <v>1715</v>
      </c>
      <c r="P592" s="77">
        <v>0</v>
      </c>
      <c r="Q592" s="57">
        <v>15</v>
      </c>
      <c r="R592" s="42">
        <v>16</v>
      </c>
      <c r="S592" s="69" t="str">
        <f>_xlfn.IFNA(IF(VLOOKUP(tabPontoPed[[#This Row],[CÓDIGO]],tabExcluirDoEstoque[#Data],1,FALSE),"sim",""),"")</f>
        <v/>
      </c>
      <c r="T592" s="43">
        <f>IF(AND(tabPontoPed[[#This Row],[MENSAL]]&gt;0,tabPontoPed[[#This Row],[CÁLCULO]]&gt;0), ABS( tabPontoPed[[#This Row],[MENSAL]] - tabPontoPed[[#This Row],[CÁLCULO]] ) / tabPontoPed[[#This Row],[MENSAL]], -1 )</f>
        <v>0.15789473684210525</v>
      </c>
      <c r="U592" s="58">
        <v>36</v>
      </c>
      <c r="V592" s="35">
        <f>IF(AND(tabPontoPed[[#This Row],[MENSAL]]&gt;0,tabPontoPed[[#This Row],[CÁLCULO]]&gt;0), IF( tabPontoPed[[#This Row],[MENSAL]] - tabPontoPed[[#This Row],[CÁLCULO]] &lt; 0, -1, IF( tabPontoPed[[#This Row],[MENSAL]] - tabPontoPed[[#This Row],[CÁLCULO]] &gt; 0, 1, -8)), -9 )</f>
        <v>1</v>
      </c>
      <c r="W592" s="35"/>
      <c r="X592" s="48" t="s">
        <v>1564</v>
      </c>
      <c r="Y592" s="53">
        <v>44391.599108796298</v>
      </c>
      <c r="Z592" s="72">
        <f>tabPontoPed[CÁLC_4M] - tabPontoPed[CÁLCULO]</f>
        <v>-1</v>
      </c>
      <c r="AA592" s="79" t="str">
        <f>IF(tabPontoPed[MENSAL]-tabPontoPed[ATA MENSAL] = 0,"sim","")</f>
        <v/>
      </c>
      <c r="AB592" s="79"/>
      <c r="AC592" s="47" t="str">
        <f t="shared" si="9"/>
        <v>*</v>
      </c>
    </row>
    <row r="593" spans="1:29" x14ac:dyDescent="0.25">
      <c r="A593" s="36">
        <v>132647</v>
      </c>
      <c r="B593" s="68" t="s">
        <v>429</v>
      </c>
      <c r="C593" s="33" t="s">
        <v>1317</v>
      </c>
      <c r="D593" s="32">
        <v>45</v>
      </c>
      <c r="E593" s="37">
        <v>10</v>
      </c>
      <c r="F593" s="38" t="str">
        <f>VLOOKUP(tabPontoPed[[#This Row],[GRUPO]],tabGrupos[#Data],2,FALSE)</f>
        <v>MAQ., EQUIP., COMP., ACES., MAT. PARA ESCRIT.E ESCOLAR</v>
      </c>
      <c r="G593" s="32" t="str">
        <f>VLOOKUP(tabPontoPed[[#This Row],[GRUPO]],tabGrupos[#Data],3,FALSE)</f>
        <v>EDU</v>
      </c>
      <c r="H593" s="33" t="s">
        <v>1311</v>
      </c>
      <c r="I593" s="80">
        <v>4</v>
      </c>
      <c r="J593" s="39">
        <v>1149</v>
      </c>
      <c r="K593" s="41">
        <f>tabPontoPed[[#This Row],[QTDMÊS]] * tabPontoPed[[#This Row],[MENSAL]]</f>
        <v>4596</v>
      </c>
      <c r="L593" s="83"/>
      <c r="M593" s="81"/>
      <c r="N593" s="34" t="s">
        <v>1009</v>
      </c>
      <c r="O593" s="76"/>
      <c r="P593" s="77">
        <v>0</v>
      </c>
      <c r="Q593" s="57">
        <v>420</v>
      </c>
      <c r="R593" s="42">
        <v>971</v>
      </c>
      <c r="S593" s="69" t="str">
        <f>_xlfn.IFNA(IF(VLOOKUP(tabPontoPed[[#This Row],[CÓDIGO]],tabExcluirDoEstoque[#Data],1,FALSE),"sim",""),"")</f>
        <v/>
      </c>
      <c r="T593" s="43">
        <f>IF(AND(tabPontoPed[[#This Row],[MENSAL]]&gt;0,tabPontoPed[[#This Row],[CÁLCULO]]&gt;0), ABS( tabPontoPed[[#This Row],[MENSAL]] - tabPontoPed[[#This Row],[CÁLCULO]] ) / tabPontoPed[[#This Row],[MENSAL]], -1 )</f>
        <v>0.15491731940818101</v>
      </c>
      <c r="U593" s="58">
        <v>6824</v>
      </c>
      <c r="V593" s="35">
        <f>IF(AND(tabPontoPed[[#This Row],[MENSAL]]&gt;0,tabPontoPed[[#This Row],[CÁLCULO]]&gt;0), IF( tabPontoPed[[#This Row],[MENSAL]] - tabPontoPed[[#This Row],[CÁLCULO]] &lt; 0, -1, IF( tabPontoPed[[#This Row],[MENSAL]] - tabPontoPed[[#This Row],[CÁLCULO]] &gt; 0, 1, -8)), -9 )</f>
        <v>1</v>
      </c>
      <c r="W593" s="35"/>
      <c r="X593" s="49" t="s">
        <v>1564</v>
      </c>
      <c r="Y593" s="51">
        <v>44391.599108796298</v>
      </c>
      <c r="Z593" s="72">
        <f>tabPontoPed[CÁLC_4M] - tabPontoPed[CÁLCULO]</f>
        <v>-551</v>
      </c>
      <c r="AA593" s="79" t="str">
        <f>IF(tabPontoPed[MENSAL]-tabPontoPed[ATA MENSAL] = 0,"sim","")</f>
        <v/>
      </c>
      <c r="AB593" s="79"/>
      <c r="AC593" s="47" t="str">
        <f t="shared" si="9"/>
        <v>*</v>
      </c>
    </row>
    <row r="594" spans="1:29" x14ac:dyDescent="0.25">
      <c r="A594" s="36">
        <v>136896</v>
      </c>
      <c r="B594" s="68" t="s">
        <v>1469</v>
      </c>
      <c r="C594" s="33" t="s">
        <v>1317</v>
      </c>
      <c r="D594" s="32">
        <v>55</v>
      </c>
      <c r="E594" s="37">
        <v>66</v>
      </c>
      <c r="F594" s="38" t="str">
        <f>VLOOKUP(tabPontoPed[[#This Row],[GRUPO]],tabGrupos[#Data],2,FALSE)</f>
        <v>EQUIP. MAT. P/ GERACAO, TRANSM. DISTR. RETIF...</v>
      </c>
      <c r="G594" s="32" t="str">
        <f>VLOOKUP(tabPontoPed[[#This Row],[GRUPO]],tabGrupos[#Data],3,FALSE)</f>
        <v>MEL</v>
      </c>
      <c r="H594" s="33" t="s">
        <v>1311</v>
      </c>
      <c r="I594" s="80">
        <v>4</v>
      </c>
      <c r="J594" s="39">
        <v>97</v>
      </c>
      <c r="K594" s="41">
        <f>tabPontoPed[[#This Row],[QTDMÊS]] * tabPontoPed[[#This Row],[MENSAL]]</f>
        <v>388</v>
      </c>
      <c r="L594" s="83"/>
      <c r="M594" s="81"/>
      <c r="N594" s="34" t="s">
        <v>1009</v>
      </c>
      <c r="O594" s="76" t="s">
        <v>1677</v>
      </c>
      <c r="P594" s="77">
        <v>0</v>
      </c>
      <c r="Q594" s="57">
        <v>101</v>
      </c>
      <c r="R594" s="42">
        <v>112</v>
      </c>
      <c r="S594" s="69" t="str">
        <f>_xlfn.IFNA(IF(VLOOKUP(tabPontoPed[[#This Row],[CÓDIGO]],tabExcluirDoEstoque[#Data],1,FALSE),"sim",""),"")</f>
        <v/>
      </c>
      <c r="T594" s="43">
        <f>IF(AND(tabPontoPed[[#This Row],[MENSAL]]&gt;0,tabPontoPed[[#This Row],[CÁLCULO]]&gt;0), ABS( tabPontoPed[[#This Row],[MENSAL]] - tabPontoPed[[#This Row],[CÁLCULO]] ) / tabPontoPed[[#This Row],[MENSAL]], -1 )</f>
        <v>0.15463917525773196</v>
      </c>
      <c r="U594" s="58">
        <v>166</v>
      </c>
      <c r="V594" s="35">
        <f>IF(AND(tabPontoPed[[#This Row],[MENSAL]]&gt;0,tabPontoPed[[#This Row],[CÁLCULO]]&gt;0), IF( tabPontoPed[[#This Row],[MENSAL]] - tabPontoPed[[#This Row],[CÁLCULO]] &lt; 0, -1, IF( tabPontoPed[[#This Row],[MENSAL]] - tabPontoPed[[#This Row],[CÁLCULO]] &gt; 0, 1, -8)), -9 )</f>
        <v>-1</v>
      </c>
      <c r="W594" s="35"/>
      <c r="X594" s="48" t="s">
        <v>1564</v>
      </c>
      <c r="Y594" s="53">
        <v>44391.599108796298</v>
      </c>
      <c r="Z594" s="72">
        <f>tabPontoPed[CÁLC_4M] - tabPontoPed[CÁLCULO]</f>
        <v>-11</v>
      </c>
      <c r="AA594" s="79" t="str">
        <f>IF(tabPontoPed[MENSAL]-tabPontoPed[ATA MENSAL] = 0,"sim","")</f>
        <v/>
      </c>
      <c r="AB594" s="79"/>
      <c r="AC594" s="47" t="str">
        <f t="shared" si="9"/>
        <v>*</v>
      </c>
    </row>
    <row r="595" spans="1:29" x14ac:dyDescent="0.25">
      <c r="A595" s="36">
        <v>102279</v>
      </c>
      <c r="B595" s="68" t="s">
        <v>340</v>
      </c>
      <c r="C595" s="33" t="s">
        <v>1317</v>
      </c>
      <c r="D595" s="32">
        <v>61</v>
      </c>
      <c r="E595" s="37">
        <v>3</v>
      </c>
      <c r="F595" s="38" t="str">
        <f>VLOOKUP(tabPontoPed[[#This Row],[GRUPO]],tabGrupos[#Data],2,FALSE)</f>
        <v>MATERIAL HIDRAULICO, CANOS, TUBOS, MANGUEIRAS, CONEXOES E ACESS.</v>
      </c>
      <c r="G595" s="32" t="str">
        <f>VLOOKUP(tabPontoPed[[#This Row],[GRUPO]],tabGrupos[#Data],3,FALSE)</f>
        <v>MHI</v>
      </c>
      <c r="H595" s="33" t="s">
        <v>1311</v>
      </c>
      <c r="I595" s="80">
        <v>4</v>
      </c>
      <c r="J595" s="39">
        <v>13</v>
      </c>
      <c r="K595" s="41">
        <f>tabPontoPed[[#This Row],[QTDMÊS]] * tabPontoPed[[#This Row],[MENSAL]]</f>
        <v>52</v>
      </c>
      <c r="L595" s="83"/>
      <c r="M595" s="81"/>
      <c r="N595" s="34" t="s">
        <v>1009</v>
      </c>
      <c r="O595" s="76" t="s">
        <v>1668</v>
      </c>
      <c r="P595" s="77">
        <v>0</v>
      </c>
      <c r="Q595" s="57">
        <v>27</v>
      </c>
      <c r="R595" s="42">
        <v>11</v>
      </c>
      <c r="S595" s="69" t="str">
        <f>_xlfn.IFNA(IF(VLOOKUP(tabPontoPed[[#This Row],[CÓDIGO]],tabExcluirDoEstoque[#Data],1,FALSE),"sim",""),"")</f>
        <v/>
      </c>
      <c r="T595" s="43">
        <f>IF(AND(tabPontoPed[[#This Row],[MENSAL]]&gt;0,tabPontoPed[[#This Row],[CÁLCULO]]&gt;0), ABS( tabPontoPed[[#This Row],[MENSAL]] - tabPontoPed[[#This Row],[CÁLCULO]] ) / tabPontoPed[[#This Row],[MENSAL]], -1 )</f>
        <v>0.15384615384615385</v>
      </c>
      <c r="U595" s="58">
        <v>76</v>
      </c>
      <c r="V595" s="35">
        <f>IF(AND(tabPontoPed[[#This Row],[MENSAL]]&gt;0,tabPontoPed[[#This Row],[CÁLCULO]]&gt;0), IF( tabPontoPed[[#This Row],[MENSAL]] - tabPontoPed[[#This Row],[CÁLCULO]] &lt; 0, -1, IF( tabPontoPed[[#This Row],[MENSAL]] - tabPontoPed[[#This Row],[CÁLCULO]] &gt; 0, 1, -8)), -9 )</f>
        <v>1</v>
      </c>
      <c r="W595" s="35"/>
      <c r="X595" s="49" t="s">
        <v>1564</v>
      </c>
      <c r="Y595" s="51">
        <v>44391.599108796298</v>
      </c>
      <c r="Z595" s="72">
        <f>tabPontoPed[CÁLC_4M] - tabPontoPed[CÁLCULO]</f>
        <v>16</v>
      </c>
      <c r="AA595" s="79" t="str">
        <f>IF(tabPontoPed[MENSAL]-tabPontoPed[ATA MENSAL] = 0,"sim","")</f>
        <v/>
      </c>
      <c r="AB595" s="79" t="s">
        <v>1614</v>
      </c>
      <c r="AC595" s="47" t="str">
        <f t="shared" si="9"/>
        <v>*</v>
      </c>
    </row>
    <row r="596" spans="1:29" x14ac:dyDescent="0.25">
      <c r="A596" s="36">
        <v>60116</v>
      </c>
      <c r="B596" s="68" t="s">
        <v>279</v>
      </c>
      <c r="C596" s="33" t="s">
        <v>1317</v>
      </c>
      <c r="D596" s="32">
        <v>61</v>
      </c>
      <c r="E596" s="37">
        <v>3</v>
      </c>
      <c r="F596" s="38" t="str">
        <f>VLOOKUP(tabPontoPed[[#This Row],[GRUPO]],tabGrupos[#Data],2,FALSE)</f>
        <v>MATERIAL HIDRAULICO, CANOS, TUBOS, MANGUEIRAS, CONEXOES E ACESS.</v>
      </c>
      <c r="G596" s="32" t="str">
        <f>VLOOKUP(tabPontoPed[[#This Row],[GRUPO]],tabGrupos[#Data],3,FALSE)</f>
        <v>MHI</v>
      </c>
      <c r="H596" s="33" t="s">
        <v>1311</v>
      </c>
      <c r="I596" s="80">
        <v>4</v>
      </c>
      <c r="J596" s="39">
        <v>13</v>
      </c>
      <c r="K596" s="41">
        <f>tabPontoPed[[#This Row],[QTDMÊS]] * tabPontoPed[[#This Row],[MENSAL]]</f>
        <v>52</v>
      </c>
      <c r="L596" s="83"/>
      <c r="M596" s="81"/>
      <c r="N596" s="34" t="s">
        <v>1009</v>
      </c>
      <c r="O596" s="76" t="s">
        <v>1678</v>
      </c>
      <c r="P596" s="77">
        <v>0</v>
      </c>
      <c r="Q596" s="57">
        <v>6</v>
      </c>
      <c r="R596" s="42">
        <v>11</v>
      </c>
      <c r="S596" s="69" t="str">
        <f>_xlfn.IFNA(IF(VLOOKUP(tabPontoPed[[#This Row],[CÓDIGO]],tabExcluirDoEstoque[#Data],1,FALSE),"sim",""),"")</f>
        <v/>
      </c>
      <c r="T596" s="43">
        <f>IF(AND(tabPontoPed[[#This Row],[MENSAL]]&gt;0,tabPontoPed[[#This Row],[CÁLCULO]]&gt;0), ABS( tabPontoPed[[#This Row],[MENSAL]] - tabPontoPed[[#This Row],[CÁLCULO]] ) / tabPontoPed[[#This Row],[MENSAL]], -1 )</f>
        <v>0.15384615384615385</v>
      </c>
      <c r="U596" s="58">
        <v>23</v>
      </c>
      <c r="V596" s="35">
        <f>IF(AND(tabPontoPed[[#This Row],[MENSAL]]&gt;0,tabPontoPed[[#This Row],[CÁLCULO]]&gt;0), IF( tabPontoPed[[#This Row],[MENSAL]] - tabPontoPed[[#This Row],[CÁLCULO]] &lt; 0, -1, IF( tabPontoPed[[#This Row],[MENSAL]] - tabPontoPed[[#This Row],[CÁLCULO]] &gt; 0, 1, -8)), -9 )</f>
        <v>1</v>
      </c>
      <c r="W596" s="35"/>
      <c r="X596" s="49" t="s">
        <v>1564</v>
      </c>
      <c r="Y596" s="51">
        <v>44391.599108796298</v>
      </c>
      <c r="Z596" s="72">
        <f>tabPontoPed[CÁLC_4M] - tabPontoPed[CÁLCULO]</f>
        <v>-5</v>
      </c>
      <c r="AA596" s="79" t="str">
        <f>IF(tabPontoPed[MENSAL]-tabPontoPed[ATA MENSAL] = 0,"sim","")</f>
        <v/>
      </c>
      <c r="AB596" s="79" t="s">
        <v>1614</v>
      </c>
      <c r="AC596" s="47" t="str">
        <f t="shared" si="9"/>
        <v>*</v>
      </c>
    </row>
    <row r="597" spans="1:29" x14ac:dyDescent="0.25">
      <c r="A597" s="36">
        <v>12659</v>
      </c>
      <c r="B597" s="68" t="s">
        <v>212</v>
      </c>
      <c r="C597" s="33" t="s">
        <v>1317</v>
      </c>
      <c r="D597" s="32">
        <v>72</v>
      </c>
      <c r="E597" s="37">
        <v>7</v>
      </c>
      <c r="F597" s="38" t="str">
        <f>VLOOKUP(tabPontoPed[[#This Row],[GRUPO]],tabGrupos[#Data],2,FALSE)</f>
        <v>MAQ.EQUIP.E MATERIAIS P/ HIGIEN.LIMP.POLIM.E LUBR.</v>
      </c>
      <c r="G597" s="32" t="str">
        <f>VLOOKUP(tabPontoPed[[#This Row],[GRUPO]],tabGrupos[#Data],3,FALSE)</f>
        <v>ADM</v>
      </c>
      <c r="H597" s="33" t="s">
        <v>1311</v>
      </c>
      <c r="I597" s="80">
        <v>4</v>
      </c>
      <c r="J597" s="39">
        <v>178</v>
      </c>
      <c r="K597" s="41">
        <f>tabPontoPed[[#This Row],[QTDMÊS]] * tabPontoPed[[#This Row],[MENSAL]]</f>
        <v>712</v>
      </c>
      <c r="L597" s="83"/>
      <c r="M597" s="81"/>
      <c r="N597" s="34" t="s">
        <v>1009</v>
      </c>
      <c r="O597" s="76" t="s">
        <v>1740</v>
      </c>
      <c r="P597" s="77">
        <v>0</v>
      </c>
      <c r="Q597" s="57">
        <v>109</v>
      </c>
      <c r="R597" s="42">
        <v>151</v>
      </c>
      <c r="S597" s="69" t="str">
        <f>_xlfn.IFNA(IF(VLOOKUP(tabPontoPed[[#This Row],[CÓDIGO]],tabExcluirDoEstoque[#Data],1,FALSE),"sim",""),"")</f>
        <v/>
      </c>
      <c r="T597" s="43">
        <f>IF(AND(tabPontoPed[[#This Row],[MENSAL]]&gt;0,tabPontoPed[[#This Row],[CÁLCULO]]&gt;0), ABS( tabPontoPed[[#This Row],[MENSAL]] - tabPontoPed[[#This Row],[CÁLCULO]] ) / tabPontoPed[[#This Row],[MENSAL]], -1 )</f>
        <v>0.15168539325842698</v>
      </c>
      <c r="U597" s="58">
        <v>328</v>
      </c>
      <c r="V597" s="35">
        <f>IF(AND(tabPontoPed[[#This Row],[MENSAL]]&gt;0,tabPontoPed[[#This Row],[CÁLCULO]]&gt;0), IF( tabPontoPed[[#This Row],[MENSAL]] - tabPontoPed[[#This Row],[CÁLCULO]] &lt; 0, -1, IF( tabPontoPed[[#This Row],[MENSAL]] - tabPontoPed[[#This Row],[CÁLCULO]] &gt; 0, 1, -8)), -9 )</f>
        <v>1</v>
      </c>
      <c r="W597" s="35"/>
      <c r="X597" s="49" t="s">
        <v>1564</v>
      </c>
      <c r="Y597" s="51">
        <v>44391.599108796298</v>
      </c>
      <c r="Z597" s="72">
        <f>tabPontoPed[CÁLC_4M] - tabPontoPed[CÁLCULO]</f>
        <v>-42</v>
      </c>
      <c r="AA597" s="79" t="str">
        <f>IF(tabPontoPed[MENSAL]-tabPontoPed[ATA MENSAL] = 0,"sim","")</f>
        <v/>
      </c>
      <c r="AB597" s="79"/>
      <c r="AC597" s="47" t="str">
        <f t="shared" si="9"/>
        <v>*</v>
      </c>
    </row>
    <row r="598" spans="1:29" x14ac:dyDescent="0.25">
      <c r="A598" s="36">
        <v>69222</v>
      </c>
      <c r="B598" s="68" t="s">
        <v>443</v>
      </c>
      <c r="C598" s="33" t="s">
        <v>1317</v>
      </c>
      <c r="D598" s="32">
        <v>45</v>
      </c>
      <c r="E598" s="37">
        <v>11</v>
      </c>
      <c r="F598" s="38" t="str">
        <f>VLOOKUP(tabPontoPed[[#This Row],[GRUPO]],tabGrupos[#Data],2,FALSE)</f>
        <v>MAQ., EQUIP., COMP., ACES., MAT. PARA ESCRIT.E ESCOLAR</v>
      </c>
      <c r="G598" s="32" t="str">
        <f>VLOOKUP(tabPontoPed[[#This Row],[GRUPO]],tabGrupos[#Data],3,FALSE)</f>
        <v>EDU</v>
      </c>
      <c r="H598" s="33" t="s">
        <v>1311</v>
      </c>
      <c r="I598" s="80">
        <v>4</v>
      </c>
      <c r="J598" s="39">
        <v>304</v>
      </c>
      <c r="K598" s="41">
        <f>tabPontoPed[[#This Row],[QTDMÊS]] * tabPontoPed[[#This Row],[MENSAL]]</f>
        <v>1216</v>
      </c>
      <c r="L598" s="83"/>
      <c r="M598" s="81"/>
      <c r="N598" s="34" t="s">
        <v>1009</v>
      </c>
      <c r="O598" s="76"/>
      <c r="P598" s="77">
        <v>0</v>
      </c>
      <c r="Q598" s="57">
        <v>274</v>
      </c>
      <c r="R598" s="42">
        <v>258</v>
      </c>
      <c r="S598" s="69" t="str">
        <f>_xlfn.IFNA(IF(VLOOKUP(tabPontoPed[[#This Row],[CÓDIGO]],tabExcluirDoEstoque[#Data],1,FALSE),"sim",""),"")</f>
        <v/>
      </c>
      <c r="T598" s="43">
        <f>IF(AND(tabPontoPed[[#This Row],[MENSAL]]&gt;0,tabPontoPed[[#This Row],[CÁLCULO]]&gt;0), ABS( tabPontoPed[[#This Row],[MENSAL]] - tabPontoPed[[#This Row],[CÁLCULO]] ) / tabPontoPed[[#This Row],[MENSAL]], -1 )</f>
        <v>0.15131578947368421</v>
      </c>
      <c r="U598" s="58">
        <v>395</v>
      </c>
      <c r="V598" s="35">
        <f>IF(AND(tabPontoPed[[#This Row],[MENSAL]]&gt;0,tabPontoPed[[#This Row],[CÁLCULO]]&gt;0), IF( tabPontoPed[[#This Row],[MENSAL]] - tabPontoPed[[#This Row],[CÁLCULO]] &lt; 0, -1, IF( tabPontoPed[[#This Row],[MENSAL]] - tabPontoPed[[#This Row],[CÁLCULO]] &gt; 0, 1, -8)), -9 )</f>
        <v>1</v>
      </c>
      <c r="W598" s="35"/>
      <c r="X598" s="48" t="s">
        <v>1564</v>
      </c>
      <c r="Y598" s="53">
        <v>44391.599108796298</v>
      </c>
      <c r="Z598" s="72">
        <f>tabPontoPed[CÁLC_4M] - tabPontoPed[CÁLCULO]</f>
        <v>16</v>
      </c>
      <c r="AA598" s="79" t="str">
        <f>IF(tabPontoPed[MENSAL]-tabPontoPed[ATA MENSAL] = 0,"sim","")</f>
        <v/>
      </c>
      <c r="AB598" s="79"/>
      <c r="AC598" s="47" t="str">
        <f t="shared" si="9"/>
        <v>*</v>
      </c>
    </row>
    <row r="599" spans="1:29" x14ac:dyDescent="0.25">
      <c r="A599" s="36">
        <v>13091</v>
      </c>
      <c r="B599" s="68" t="s">
        <v>464</v>
      </c>
      <c r="C599" s="33" t="s">
        <v>1317</v>
      </c>
      <c r="D599" s="32">
        <v>45</v>
      </c>
      <c r="E599" s="37">
        <v>14</v>
      </c>
      <c r="F599" s="38" t="str">
        <f>VLOOKUP(tabPontoPed[[#This Row],[GRUPO]],tabGrupos[#Data],2,FALSE)</f>
        <v>MAQ., EQUIP., COMP., ACES., MAT. PARA ESCRIT.E ESCOLAR</v>
      </c>
      <c r="G599" s="32" t="str">
        <f>VLOOKUP(tabPontoPed[[#This Row],[GRUPO]],tabGrupos[#Data],3,FALSE)</f>
        <v>EDU</v>
      </c>
      <c r="H599" s="33" t="s">
        <v>1311</v>
      </c>
      <c r="I599" s="80">
        <v>4</v>
      </c>
      <c r="J599" s="39">
        <v>306</v>
      </c>
      <c r="K599" s="41">
        <f>tabPontoPed[[#This Row],[QTDMÊS]] * tabPontoPed[[#This Row],[MENSAL]]</f>
        <v>1224</v>
      </c>
      <c r="L599" s="83"/>
      <c r="M599" s="81"/>
      <c r="N599" s="34" t="s">
        <v>1009</v>
      </c>
      <c r="O599" s="76" t="s">
        <v>1696</v>
      </c>
      <c r="P599" s="77">
        <v>0</v>
      </c>
      <c r="Q599" s="57">
        <v>410</v>
      </c>
      <c r="R599" s="42">
        <v>352</v>
      </c>
      <c r="S599" s="69" t="str">
        <f>_xlfn.IFNA(IF(VLOOKUP(tabPontoPed[[#This Row],[CÓDIGO]],tabExcluirDoEstoque[#Data],1,FALSE),"sim",""),"")</f>
        <v/>
      </c>
      <c r="T599" s="43">
        <f>IF(AND(tabPontoPed[[#This Row],[MENSAL]]&gt;0,tabPontoPed[[#This Row],[CÁLCULO]]&gt;0), ABS( tabPontoPed[[#This Row],[MENSAL]] - tabPontoPed[[#This Row],[CÁLCULO]] ) / tabPontoPed[[#This Row],[MENSAL]], -1 )</f>
        <v>0.15032679738562091</v>
      </c>
      <c r="U599" s="58">
        <v>698</v>
      </c>
      <c r="V599" s="35">
        <f>IF(AND(tabPontoPed[[#This Row],[MENSAL]]&gt;0,tabPontoPed[[#This Row],[CÁLCULO]]&gt;0), IF( tabPontoPed[[#This Row],[MENSAL]] - tabPontoPed[[#This Row],[CÁLCULO]] &lt; 0, -1, IF( tabPontoPed[[#This Row],[MENSAL]] - tabPontoPed[[#This Row],[CÁLCULO]] &gt; 0, 1, -8)), -9 )</f>
        <v>-1</v>
      </c>
      <c r="W599" s="35"/>
      <c r="X599" s="49" t="s">
        <v>1564</v>
      </c>
      <c r="Y599" s="51">
        <v>44391.599108796298</v>
      </c>
      <c r="Z599" s="72">
        <f>tabPontoPed[CÁLC_4M] - tabPontoPed[CÁLCULO]</f>
        <v>58</v>
      </c>
      <c r="AA599" s="79" t="str">
        <f>IF(tabPontoPed[MENSAL]-tabPontoPed[ATA MENSAL] = 0,"sim","")</f>
        <v/>
      </c>
      <c r="AB599" s="79"/>
      <c r="AC599" s="47" t="str">
        <f t="shared" si="9"/>
        <v>*</v>
      </c>
    </row>
    <row r="600" spans="1:29" x14ac:dyDescent="0.25">
      <c r="A600" s="36">
        <v>34801</v>
      </c>
      <c r="B600" s="68" t="s">
        <v>249</v>
      </c>
      <c r="C600" s="33" t="s">
        <v>1317</v>
      </c>
      <c r="D600" s="32">
        <v>51</v>
      </c>
      <c r="E600" s="37">
        <v>7</v>
      </c>
      <c r="F600" s="38" t="str">
        <f>VLOOKUP(tabPontoPed[[#This Row],[GRUPO]],tabGrupos[#Data],2,FALSE)</f>
        <v>MAT.E EQUIP. P/ CONSTR.CIVIL E CONSERV. DE VIAS PUBL.</v>
      </c>
      <c r="G600" s="32" t="str">
        <f>VLOOKUP(tabPontoPed[[#This Row],[GRUPO]],tabGrupos[#Data],3,FALSE)</f>
        <v>MCO</v>
      </c>
      <c r="H600" s="33" t="s">
        <v>1321</v>
      </c>
      <c r="I600" s="80">
        <v>3</v>
      </c>
      <c r="J600" s="39">
        <v>417</v>
      </c>
      <c r="K600" s="41">
        <f>tabPontoPed[[#This Row],[QTDMÊS]] * tabPontoPed[[#This Row],[MENSAL]]</f>
        <v>1251</v>
      </c>
      <c r="L600" s="83"/>
      <c r="M600" s="81"/>
      <c r="N600" s="34" t="s">
        <v>1009</v>
      </c>
      <c r="O600" s="76" t="s">
        <v>1657</v>
      </c>
      <c r="P600" s="77">
        <v>0</v>
      </c>
      <c r="Q600" s="57">
        <v>344</v>
      </c>
      <c r="R600" s="42">
        <v>355</v>
      </c>
      <c r="S600" s="69" t="str">
        <f>_xlfn.IFNA(IF(VLOOKUP(tabPontoPed[[#This Row],[CÓDIGO]],tabExcluirDoEstoque[#Data],1,FALSE),"sim",""),"")</f>
        <v/>
      </c>
      <c r="T600" s="43">
        <f>IF(AND(tabPontoPed[[#This Row],[MENSAL]]&gt;0,tabPontoPed[[#This Row],[CÁLCULO]]&gt;0), ABS( tabPontoPed[[#This Row],[MENSAL]] - tabPontoPed[[#This Row],[CÁLCULO]] ) / tabPontoPed[[#This Row],[MENSAL]], -1 )</f>
        <v>0.14868105515587529</v>
      </c>
      <c r="U600" s="58">
        <v>762</v>
      </c>
      <c r="V600" s="35">
        <f>IF(AND(tabPontoPed[[#This Row],[MENSAL]]&gt;0,tabPontoPed[[#This Row],[CÁLCULO]]&gt;0), IF( tabPontoPed[[#This Row],[MENSAL]] - tabPontoPed[[#This Row],[CÁLCULO]] &lt; 0, -1, IF( tabPontoPed[[#This Row],[MENSAL]] - tabPontoPed[[#This Row],[CÁLCULO]] &gt; 0, 1, -8)), -9 )</f>
        <v>1</v>
      </c>
      <c r="W600" s="35"/>
      <c r="X600" s="49" t="s">
        <v>1450</v>
      </c>
      <c r="Y600" s="51">
        <v>43769.586388888885</v>
      </c>
      <c r="Z600" s="72">
        <f>tabPontoPed[CÁLC_4M] - tabPontoPed[CÁLCULO]</f>
        <v>-11</v>
      </c>
      <c r="AA600" s="79" t="str">
        <f>IF(tabPontoPed[MENSAL]-tabPontoPed[ATA MENSAL] = 0,"sim","")</f>
        <v/>
      </c>
      <c r="AB600" s="79" t="s">
        <v>1614</v>
      </c>
      <c r="AC600" s="47" t="str">
        <f t="shared" si="9"/>
        <v>*</v>
      </c>
    </row>
    <row r="601" spans="1:29" x14ac:dyDescent="0.25">
      <c r="A601" s="36">
        <v>16571</v>
      </c>
      <c r="B601" s="68" t="s">
        <v>333</v>
      </c>
      <c r="C601" s="33" t="s">
        <v>1317</v>
      </c>
      <c r="D601" s="32">
        <v>48</v>
      </c>
      <c r="E601" s="37">
        <v>24</v>
      </c>
      <c r="F601" s="38" t="str">
        <f>VLOOKUP(tabPontoPed[[#This Row],[GRUPO]],tabGrupos[#Data],2,FALSE)</f>
        <v>MAQ.EQUIP.E MAT.P/ CULTURA ANIMAL E VEGETAL</v>
      </c>
      <c r="G601" s="32" t="str">
        <f>VLOOKUP(tabPontoPed[[#This Row],[GRUPO]],tabGrupos[#Data],3,FALSE)</f>
        <v>MAN</v>
      </c>
      <c r="H601" s="33" t="s">
        <v>1311</v>
      </c>
      <c r="I601" s="80">
        <v>4</v>
      </c>
      <c r="J601" s="39">
        <v>256</v>
      </c>
      <c r="K601" s="41">
        <f>tabPontoPed[[#This Row],[QTDMÊS]] * tabPontoPed[[#This Row],[MENSAL]]</f>
        <v>1024</v>
      </c>
      <c r="L601" s="83"/>
      <c r="M601" s="81"/>
      <c r="N601" s="34" t="s">
        <v>1009</v>
      </c>
      <c r="O601" s="76" t="s">
        <v>1758</v>
      </c>
      <c r="P601" s="77">
        <v>0</v>
      </c>
      <c r="Q601" s="57">
        <v>51</v>
      </c>
      <c r="R601" s="42">
        <v>218</v>
      </c>
      <c r="S601" s="69" t="str">
        <f>_xlfn.IFNA(IF(VLOOKUP(tabPontoPed[[#This Row],[CÓDIGO]],tabExcluirDoEstoque[#Data],1,FALSE),"sim",""),"")</f>
        <v/>
      </c>
      <c r="T601" s="43">
        <f>IF(AND(tabPontoPed[[#This Row],[MENSAL]]&gt;0,tabPontoPed[[#This Row],[CÁLCULO]]&gt;0), ABS( tabPontoPed[[#This Row],[MENSAL]] - tabPontoPed[[#This Row],[CÁLCULO]] ) / tabPontoPed[[#This Row],[MENSAL]], -1 )</f>
        <v>0.1484375</v>
      </c>
      <c r="U601" s="58">
        <v>594</v>
      </c>
      <c r="V601" s="35">
        <f>IF(AND(tabPontoPed[[#This Row],[MENSAL]]&gt;0,tabPontoPed[[#This Row],[CÁLCULO]]&gt;0), IF( tabPontoPed[[#This Row],[MENSAL]] - tabPontoPed[[#This Row],[CÁLCULO]] &lt; 0, -1, IF( tabPontoPed[[#This Row],[MENSAL]] - tabPontoPed[[#This Row],[CÁLCULO]] &gt; 0, 1, -8)), -9 )</f>
        <v>1</v>
      </c>
      <c r="W601" s="35"/>
      <c r="X601" s="48" t="s">
        <v>1564</v>
      </c>
      <c r="Y601" s="53">
        <v>44391.599108796298</v>
      </c>
      <c r="Z601" s="72">
        <f>tabPontoPed[CÁLC_4M] - tabPontoPed[CÁLCULO]</f>
        <v>-167</v>
      </c>
      <c r="AA601" s="79" t="str">
        <f>IF(tabPontoPed[MENSAL]-tabPontoPed[ATA MENSAL] = 0,"sim","")</f>
        <v/>
      </c>
      <c r="AB601" s="79"/>
      <c r="AC601" s="47" t="str">
        <f t="shared" si="9"/>
        <v>*</v>
      </c>
    </row>
    <row r="602" spans="1:29" x14ac:dyDescent="0.25">
      <c r="A602" s="36">
        <v>12881</v>
      </c>
      <c r="B602" s="68" t="s">
        <v>733</v>
      </c>
      <c r="C602" s="33" t="s">
        <v>1317</v>
      </c>
      <c r="D602" s="32">
        <v>61</v>
      </c>
      <c r="E602" s="37">
        <v>8</v>
      </c>
      <c r="F602" s="38" t="str">
        <f>VLOOKUP(tabPontoPed[[#This Row],[GRUPO]],tabGrupos[#Data],2,FALSE)</f>
        <v>MATERIAL HIDRAULICO, CANOS, TUBOS, MANGUEIRAS, CONEXOES E ACESS.</v>
      </c>
      <c r="G602" s="32" t="str">
        <f>VLOOKUP(tabPontoPed[[#This Row],[GRUPO]],tabGrupos[#Data],3,FALSE)</f>
        <v>MHI</v>
      </c>
      <c r="H602" s="33" t="s">
        <v>1311</v>
      </c>
      <c r="I602" s="80">
        <v>4</v>
      </c>
      <c r="J602" s="39">
        <v>34</v>
      </c>
      <c r="K602" s="41">
        <f>tabPontoPed[[#This Row],[QTDMÊS]] * tabPontoPed[[#This Row],[MENSAL]]</f>
        <v>136</v>
      </c>
      <c r="L602" s="83"/>
      <c r="M602" s="81"/>
      <c r="N602" s="34" t="s">
        <v>1009</v>
      </c>
      <c r="O602" s="76" t="s">
        <v>1691</v>
      </c>
      <c r="P602" s="77">
        <v>0</v>
      </c>
      <c r="Q602" s="57">
        <v>20</v>
      </c>
      <c r="R602" s="42">
        <v>29</v>
      </c>
      <c r="S602" s="69" t="str">
        <f>_xlfn.IFNA(IF(VLOOKUP(tabPontoPed[[#This Row],[CÓDIGO]],tabExcluirDoEstoque[#Data],1,FALSE),"sim",""),"")</f>
        <v/>
      </c>
      <c r="T602" s="43">
        <f>IF(AND(tabPontoPed[[#This Row],[MENSAL]]&gt;0,tabPontoPed[[#This Row],[CÁLCULO]]&gt;0), ABS( tabPontoPed[[#This Row],[MENSAL]] - tabPontoPed[[#This Row],[CÁLCULO]] ) / tabPontoPed[[#This Row],[MENSAL]], -1 )</f>
        <v>0.14705882352941177</v>
      </c>
      <c r="U602" s="58">
        <v>96</v>
      </c>
      <c r="V602" s="35">
        <f>IF(AND(tabPontoPed[[#This Row],[MENSAL]]&gt;0,tabPontoPed[[#This Row],[CÁLCULO]]&gt;0), IF( tabPontoPed[[#This Row],[MENSAL]] - tabPontoPed[[#This Row],[CÁLCULO]] &lt; 0, -1, IF( tabPontoPed[[#This Row],[MENSAL]] - tabPontoPed[[#This Row],[CÁLCULO]] &gt; 0, 1, -8)), -9 )</f>
        <v>1</v>
      </c>
      <c r="W602" s="35"/>
      <c r="X602" s="49" t="s">
        <v>1564</v>
      </c>
      <c r="Y602" s="51">
        <v>44391.599108796298</v>
      </c>
      <c r="Z602" s="72">
        <f>tabPontoPed[CÁLC_4M] - tabPontoPed[CÁLCULO]</f>
        <v>-9</v>
      </c>
      <c r="AA602" s="79" t="str">
        <f>IF(tabPontoPed[MENSAL]-tabPontoPed[ATA MENSAL] = 0,"sim","")</f>
        <v/>
      </c>
      <c r="AB602" s="79" t="s">
        <v>1614</v>
      </c>
      <c r="AC602" s="47" t="str">
        <f t="shared" si="9"/>
        <v>*</v>
      </c>
    </row>
    <row r="603" spans="1:29" x14ac:dyDescent="0.25">
      <c r="A603" s="36">
        <v>16512</v>
      </c>
      <c r="B603" s="68" t="s">
        <v>478</v>
      </c>
      <c r="C603" s="33" t="s">
        <v>1317</v>
      </c>
      <c r="D603" s="32">
        <v>45</v>
      </c>
      <c r="E603" s="37">
        <v>17</v>
      </c>
      <c r="F603" s="38" t="str">
        <f>VLOOKUP(tabPontoPed[[#This Row],[GRUPO]],tabGrupos[#Data],2,FALSE)</f>
        <v>MAQ., EQUIP., COMP., ACES., MAT. PARA ESCRIT.E ESCOLAR</v>
      </c>
      <c r="G603" s="32" t="str">
        <f>VLOOKUP(tabPontoPed[[#This Row],[GRUPO]],tabGrupos[#Data],3,FALSE)</f>
        <v>EDU</v>
      </c>
      <c r="H603" s="33" t="s">
        <v>1311</v>
      </c>
      <c r="I603" s="80">
        <v>4</v>
      </c>
      <c r="J603" s="39">
        <v>179</v>
      </c>
      <c r="K603" s="41">
        <f>tabPontoPed[[#This Row],[QTDMÊS]] * tabPontoPed[[#This Row],[MENSAL]]</f>
        <v>716</v>
      </c>
      <c r="L603" s="83"/>
      <c r="M603" s="81"/>
      <c r="N603" s="34" t="s">
        <v>1009</v>
      </c>
      <c r="O603" s="76"/>
      <c r="P603" s="77">
        <v>0</v>
      </c>
      <c r="Q603" s="57">
        <v>187</v>
      </c>
      <c r="R603" s="42">
        <v>153</v>
      </c>
      <c r="S603" s="69" t="str">
        <f>_xlfn.IFNA(IF(VLOOKUP(tabPontoPed[[#This Row],[CÓDIGO]],tabExcluirDoEstoque[#Data],1,FALSE),"sim",""),"")</f>
        <v/>
      </c>
      <c r="T603" s="43">
        <f>IF(AND(tabPontoPed[[#This Row],[MENSAL]]&gt;0,tabPontoPed[[#This Row],[CÁLCULO]]&gt;0), ABS( tabPontoPed[[#This Row],[MENSAL]] - tabPontoPed[[#This Row],[CÁLCULO]] ) / tabPontoPed[[#This Row],[MENSAL]], -1 )</f>
        <v>0.14525139664804471</v>
      </c>
      <c r="U603" s="58">
        <v>327</v>
      </c>
      <c r="V603" s="35">
        <f>IF(AND(tabPontoPed[[#This Row],[MENSAL]]&gt;0,tabPontoPed[[#This Row],[CÁLCULO]]&gt;0), IF( tabPontoPed[[#This Row],[MENSAL]] - tabPontoPed[[#This Row],[CÁLCULO]] &lt; 0, -1, IF( tabPontoPed[[#This Row],[MENSAL]] - tabPontoPed[[#This Row],[CÁLCULO]] &gt; 0, 1, -8)), -9 )</f>
        <v>1</v>
      </c>
      <c r="W603" s="35"/>
      <c r="X603" s="48" t="s">
        <v>1564</v>
      </c>
      <c r="Y603" s="53">
        <v>44391.599108796298</v>
      </c>
      <c r="Z603" s="72">
        <f>tabPontoPed[CÁLC_4M] - tabPontoPed[CÁLCULO]</f>
        <v>34</v>
      </c>
      <c r="AA603" s="79" t="str">
        <f>IF(tabPontoPed[MENSAL]-tabPontoPed[ATA MENSAL] = 0,"sim","")</f>
        <v/>
      </c>
      <c r="AB603" s="79"/>
      <c r="AC603" s="47" t="str">
        <f t="shared" si="9"/>
        <v>*</v>
      </c>
    </row>
    <row r="604" spans="1:29" x14ac:dyDescent="0.25">
      <c r="A604" s="36">
        <v>107401</v>
      </c>
      <c r="B604" s="68" t="s">
        <v>299</v>
      </c>
      <c r="C604" s="33" t="s">
        <v>1317</v>
      </c>
      <c r="D604" s="32">
        <v>61</v>
      </c>
      <c r="E604" s="37">
        <v>8</v>
      </c>
      <c r="F604" s="38" t="str">
        <f>VLOOKUP(tabPontoPed[[#This Row],[GRUPO]],tabGrupos[#Data],2,FALSE)</f>
        <v>MATERIAL HIDRAULICO, CANOS, TUBOS, MANGUEIRAS, CONEXOES E ACESS.</v>
      </c>
      <c r="G604" s="32" t="str">
        <f>VLOOKUP(tabPontoPed[[#This Row],[GRUPO]],tabGrupos[#Data],3,FALSE)</f>
        <v>MHI</v>
      </c>
      <c r="H604" s="33" t="s">
        <v>1311</v>
      </c>
      <c r="I604" s="80">
        <v>4</v>
      </c>
      <c r="J604" s="39">
        <v>7</v>
      </c>
      <c r="K604" s="41">
        <f>tabPontoPed[[#This Row],[QTDMÊS]] * tabPontoPed[[#This Row],[MENSAL]]</f>
        <v>28</v>
      </c>
      <c r="L604" s="83"/>
      <c r="M604" s="81"/>
      <c r="N604" s="34" t="s">
        <v>1009</v>
      </c>
      <c r="O604" s="76" t="s">
        <v>1679</v>
      </c>
      <c r="P604" s="77">
        <v>0</v>
      </c>
      <c r="Q604" s="57">
        <v>4</v>
      </c>
      <c r="R604" s="42">
        <v>8</v>
      </c>
      <c r="S604" s="69" t="str">
        <f>_xlfn.IFNA(IF(VLOOKUP(tabPontoPed[[#This Row],[CÓDIGO]],tabExcluirDoEstoque[#Data],1,FALSE),"sim",""),"")</f>
        <v/>
      </c>
      <c r="T604" s="43">
        <f>IF(AND(tabPontoPed[[#This Row],[MENSAL]]&gt;0,tabPontoPed[[#This Row],[CÁLCULO]]&gt;0), ABS( tabPontoPed[[#This Row],[MENSAL]] - tabPontoPed[[#This Row],[CÁLCULO]] ) / tabPontoPed[[#This Row],[MENSAL]], -1 )</f>
        <v>0.14285714285714285</v>
      </c>
      <c r="U604" s="58">
        <v>31</v>
      </c>
      <c r="V604" s="35">
        <f>IF(AND(tabPontoPed[[#This Row],[MENSAL]]&gt;0,tabPontoPed[[#This Row],[CÁLCULO]]&gt;0), IF( tabPontoPed[[#This Row],[MENSAL]] - tabPontoPed[[#This Row],[CÁLCULO]] &lt; 0, -1, IF( tabPontoPed[[#This Row],[MENSAL]] - tabPontoPed[[#This Row],[CÁLCULO]] &gt; 0, 1, -8)), -9 )</f>
        <v>-1</v>
      </c>
      <c r="W604" s="35"/>
      <c r="X604" s="49" t="s">
        <v>1564</v>
      </c>
      <c r="Y604" s="51">
        <v>44391.599108796298</v>
      </c>
      <c r="Z604" s="72">
        <f>tabPontoPed[CÁLC_4M] - tabPontoPed[CÁLCULO]</f>
        <v>-4</v>
      </c>
      <c r="AA604" s="79" t="str">
        <f>IF(tabPontoPed[MENSAL]-tabPontoPed[ATA MENSAL] = 0,"sim","")</f>
        <v/>
      </c>
      <c r="AB604" s="79"/>
      <c r="AC604" s="47" t="str">
        <f t="shared" si="9"/>
        <v>*</v>
      </c>
    </row>
    <row r="605" spans="1:29" x14ac:dyDescent="0.25">
      <c r="A605" s="36">
        <v>13064</v>
      </c>
      <c r="B605" s="68" t="s">
        <v>775</v>
      </c>
      <c r="C605" s="33" t="s">
        <v>1317</v>
      </c>
      <c r="D605" s="32">
        <v>61</v>
      </c>
      <c r="E605" s="37">
        <v>9</v>
      </c>
      <c r="F605" s="38" t="str">
        <f>VLOOKUP(tabPontoPed[[#This Row],[GRUPO]],tabGrupos[#Data],2,FALSE)</f>
        <v>MATERIAL HIDRAULICO, CANOS, TUBOS, MANGUEIRAS, CONEXOES E ACESS.</v>
      </c>
      <c r="G605" s="32" t="str">
        <f>VLOOKUP(tabPontoPed[[#This Row],[GRUPO]],tabGrupos[#Data],3,FALSE)</f>
        <v>MHI</v>
      </c>
      <c r="H605" s="33" t="s">
        <v>1311</v>
      </c>
      <c r="I605" s="80">
        <v>4</v>
      </c>
      <c r="J605" s="39">
        <v>138</v>
      </c>
      <c r="K605" s="41">
        <f>tabPontoPed[[#This Row],[QTDMÊS]] * tabPontoPed[[#This Row],[MENSAL]]</f>
        <v>552</v>
      </c>
      <c r="L605" s="83"/>
      <c r="M605" s="81"/>
      <c r="N605" s="34" t="s">
        <v>1009</v>
      </c>
      <c r="O605" s="76" t="s">
        <v>1691</v>
      </c>
      <c r="P605" s="77">
        <v>0</v>
      </c>
      <c r="Q605" s="57">
        <v>105</v>
      </c>
      <c r="R605" s="42">
        <v>119</v>
      </c>
      <c r="S605" s="69" t="str">
        <f>_xlfn.IFNA(IF(VLOOKUP(tabPontoPed[[#This Row],[CÓDIGO]],tabExcluirDoEstoque[#Data],1,FALSE),"sim",""),"")</f>
        <v/>
      </c>
      <c r="T605" s="43">
        <f>IF(AND(tabPontoPed[[#This Row],[MENSAL]]&gt;0,tabPontoPed[[#This Row],[CÁLCULO]]&gt;0), ABS( tabPontoPed[[#This Row],[MENSAL]] - tabPontoPed[[#This Row],[CÁLCULO]] ) / tabPontoPed[[#This Row],[MENSAL]], -1 )</f>
        <v>0.13768115942028986</v>
      </c>
      <c r="U605" s="58">
        <v>202</v>
      </c>
      <c r="V605" s="35">
        <f>IF(AND(tabPontoPed[[#This Row],[MENSAL]]&gt;0,tabPontoPed[[#This Row],[CÁLCULO]]&gt;0), IF( tabPontoPed[[#This Row],[MENSAL]] - tabPontoPed[[#This Row],[CÁLCULO]] &lt; 0, -1, IF( tabPontoPed[[#This Row],[MENSAL]] - tabPontoPed[[#This Row],[CÁLCULO]] &gt; 0, 1, -8)), -9 )</f>
        <v>1</v>
      </c>
      <c r="W605" s="35"/>
      <c r="X605" s="48" t="s">
        <v>1564</v>
      </c>
      <c r="Y605" s="53">
        <v>44391.599108796298</v>
      </c>
      <c r="Z605" s="72">
        <f>tabPontoPed[CÁLC_4M] - tabPontoPed[CÁLCULO]</f>
        <v>-14</v>
      </c>
      <c r="AA605" s="79" t="str">
        <f>IF(tabPontoPed[MENSAL]-tabPontoPed[ATA MENSAL] = 0,"sim","")</f>
        <v/>
      </c>
      <c r="AB605" s="79"/>
      <c r="AC605" s="47" t="str">
        <f t="shared" si="9"/>
        <v>*</v>
      </c>
    </row>
    <row r="606" spans="1:29" x14ac:dyDescent="0.25">
      <c r="A606" s="36">
        <v>11072</v>
      </c>
      <c r="B606" s="68" t="s">
        <v>456</v>
      </c>
      <c r="C606" s="33" t="s">
        <v>1317</v>
      </c>
      <c r="D606" s="32">
        <v>45</v>
      </c>
      <c r="E606" s="37">
        <v>12</v>
      </c>
      <c r="F606" s="38" t="str">
        <f>VLOOKUP(tabPontoPed[[#This Row],[GRUPO]],tabGrupos[#Data],2,FALSE)</f>
        <v>MAQ., EQUIP., COMP., ACES., MAT. PARA ESCRIT.E ESCOLAR</v>
      </c>
      <c r="G606" s="32" t="str">
        <f>VLOOKUP(tabPontoPed[[#This Row],[GRUPO]],tabGrupos[#Data],3,FALSE)</f>
        <v>EDU</v>
      </c>
      <c r="H606" s="33" t="s">
        <v>1311</v>
      </c>
      <c r="I606" s="80">
        <v>4</v>
      </c>
      <c r="J606" s="39">
        <v>51</v>
      </c>
      <c r="K606" s="41">
        <f>tabPontoPed[[#This Row],[QTDMÊS]] * tabPontoPed[[#This Row],[MENSAL]]</f>
        <v>204</v>
      </c>
      <c r="L606" s="83"/>
      <c r="M606" s="81"/>
      <c r="N606" s="34" t="s">
        <v>1009</v>
      </c>
      <c r="O606" s="76" t="s">
        <v>1696</v>
      </c>
      <c r="P606" s="77">
        <v>0</v>
      </c>
      <c r="Q606" s="57">
        <v>51</v>
      </c>
      <c r="R606" s="42">
        <v>44</v>
      </c>
      <c r="S606" s="69" t="str">
        <f>_xlfn.IFNA(IF(VLOOKUP(tabPontoPed[[#This Row],[CÓDIGO]],tabExcluirDoEstoque[#Data],1,FALSE),"sim",""),"")</f>
        <v/>
      </c>
      <c r="T606" s="43">
        <f>IF(AND(tabPontoPed[[#This Row],[MENSAL]]&gt;0,tabPontoPed[[#This Row],[CÁLCULO]]&gt;0), ABS( tabPontoPed[[#This Row],[MENSAL]] - tabPontoPed[[#This Row],[CÁLCULO]] ) / tabPontoPed[[#This Row],[MENSAL]], -1 )</f>
        <v>0.13725490196078433</v>
      </c>
      <c r="U606" s="58">
        <v>76</v>
      </c>
      <c r="V606" s="35">
        <f>IF(AND(tabPontoPed[[#This Row],[MENSAL]]&gt;0,tabPontoPed[[#This Row],[CÁLCULO]]&gt;0), IF( tabPontoPed[[#This Row],[MENSAL]] - tabPontoPed[[#This Row],[CÁLCULO]] &lt; 0, -1, IF( tabPontoPed[[#This Row],[MENSAL]] - tabPontoPed[[#This Row],[CÁLCULO]] &gt; 0, 1, -8)), -9 )</f>
        <v>1</v>
      </c>
      <c r="W606" s="35"/>
      <c r="X606" s="48" t="s">
        <v>1564</v>
      </c>
      <c r="Y606" s="53">
        <v>44391.599108796298</v>
      </c>
      <c r="Z606" s="72">
        <f>tabPontoPed[CÁLC_4M] - tabPontoPed[CÁLCULO]</f>
        <v>7</v>
      </c>
      <c r="AA606" s="79" t="str">
        <f>IF(tabPontoPed[MENSAL]-tabPontoPed[ATA MENSAL] = 0,"sim","")</f>
        <v/>
      </c>
      <c r="AB606" s="79"/>
      <c r="AC606" s="47" t="str">
        <f t="shared" si="9"/>
        <v>*</v>
      </c>
    </row>
    <row r="607" spans="1:29" x14ac:dyDescent="0.25">
      <c r="A607" s="36">
        <v>77755</v>
      </c>
      <c r="B607" s="68" t="s">
        <v>427</v>
      </c>
      <c r="C607" s="33" t="s">
        <v>1317</v>
      </c>
      <c r="D607" s="32">
        <v>45</v>
      </c>
      <c r="E607" s="37">
        <v>10</v>
      </c>
      <c r="F607" s="38" t="str">
        <f>VLOOKUP(tabPontoPed[[#This Row],[GRUPO]],tabGrupos[#Data],2,FALSE)</f>
        <v>MAQ., EQUIP., COMP., ACES., MAT. PARA ESCRIT.E ESCOLAR</v>
      </c>
      <c r="G607" s="32" t="str">
        <f>VLOOKUP(tabPontoPed[[#This Row],[GRUPO]],tabGrupos[#Data],3,FALSE)</f>
        <v>EDU</v>
      </c>
      <c r="H607" s="33" t="s">
        <v>1311</v>
      </c>
      <c r="I607" s="80">
        <v>4</v>
      </c>
      <c r="J607" s="39">
        <v>469</v>
      </c>
      <c r="K607" s="41">
        <f>tabPontoPed[[#This Row],[QTDMÊS]] * tabPontoPed[[#This Row],[MENSAL]]</f>
        <v>1876</v>
      </c>
      <c r="L607" s="83"/>
      <c r="M607" s="81"/>
      <c r="N607" s="34" t="s">
        <v>1009</v>
      </c>
      <c r="O607" s="76" t="s">
        <v>1696</v>
      </c>
      <c r="P607" s="77">
        <v>0</v>
      </c>
      <c r="Q607" s="57">
        <v>145</v>
      </c>
      <c r="R607" s="42">
        <v>406</v>
      </c>
      <c r="S607" s="69" t="str">
        <f>_xlfn.IFNA(IF(VLOOKUP(tabPontoPed[[#This Row],[CÓDIGO]],tabExcluirDoEstoque[#Data],1,FALSE),"sim",""),"")</f>
        <v/>
      </c>
      <c r="T607" s="43">
        <f>IF(AND(tabPontoPed[[#This Row],[MENSAL]]&gt;0,tabPontoPed[[#This Row],[CÁLCULO]]&gt;0), ABS( tabPontoPed[[#This Row],[MENSAL]] - tabPontoPed[[#This Row],[CÁLCULO]] ) / tabPontoPed[[#This Row],[MENSAL]], -1 )</f>
        <v>0.13432835820895522</v>
      </c>
      <c r="U607" s="58">
        <v>3434</v>
      </c>
      <c r="V607" s="35">
        <f>IF(AND(tabPontoPed[[#This Row],[MENSAL]]&gt;0,tabPontoPed[[#This Row],[CÁLCULO]]&gt;0), IF( tabPontoPed[[#This Row],[MENSAL]] - tabPontoPed[[#This Row],[CÁLCULO]] &lt; 0, -1, IF( tabPontoPed[[#This Row],[MENSAL]] - tabPontoPed[[#This Row],[CÁLCULO]] &gt; 0, 1, -8)), -9 )</f>
        <v>1</v>
      </c>
      <c r="W607" s="35"/>
      <c r="X607" s="49" t="s">
        <v>1564</v>
      </c>
      <c r="Y607" s="51">
        <v>44391.599108796298</v>
      </c>
      <c r="Z607" s="72">
        <f>tabPontoPed[CÁLC_4M] - tabPontoPed[CÁLCULO]</f>
        <v>-261</v>
      </c>
      <c r="AA607" s="79" t="str">
        <f>IF(tabPontoPed[MENSAL]-tabPontoPed[ATA MENSAL] = 0,"sim","")</f>
        <v/>
      </c>
      <c r="AB607" s="79"/>
      <c r="AC607" s="47" t="str">
        <f t="shared" si="9"/>
        <v>*</v>
      </c>
    </row>
    <row r="608" spans="1:29" x14ac:dyDescent="0.25">
      <c r="A608" s="36">
        <v>60517</v>
      </c>
      <c r="B608" s="68" t="s">
        <v>519</v>
      </c>
      <c r="C608" s="33" t="s">
        <v>1317</v>
      </c>
      <c r="D608" s="32">
        <v>51</v>
      </c>
      <c r="E608" s="37">
        <v>13</v>
      </c>
      <c r="F608" s="38" t="str">
        <f>VLOOKUP(tabPontoPed[[#This Row],[GRUPO]],tabGrupos[#Data],2,FALSE)</f>
        <v>MAT.E EQUIP. P/ CONSTR.CIVIL E CONSERV. DE VIAS PUBL.</v>
      </c>
      <c r="G608" s="32" t="str">
        <f>VLOOKUP(tabPontoPed[[#This Row],[GRUPO]],tabGrupos[#Data],3,FALSE)</f>
        <v>MCO</v>
      </c>
      <c r="H608" s="33" t="s">
        <v>1311</v>
      </c>
      <c r="I608" s="80">
        <v>4</v>
      </c>
      <c r="J608" s="39">
        <v>30</v>
      </c>
      <c r="K608" s="41">
        <f>tabPontoPed[[#This Row],[QTDMÊS]] * tabPontoPed[[#This Row],[MENSAL]]</f>
        <v>120</v>
      </c>
      <c r="L608" s="83"/>
      <c r="M608" s="81"/>
      <c r="N608" s="34" t="s">
        <v>1009</v>
      </c>
      <c r="O608" s="76" t="s">
        <v>1668</v>
      </c>
      <c r="P608" s="77">
        <v>0</v>
      </c>
      <c r="Q608" s="57">
        <v>64</v>
      </c>
      <c r="R608" s="42">
        <v>26</v>
      </c>
      <c r="S608" s="69" t="str">
        <f>_xlfn.IFNA(IF(VLOOKUP(tabPontoPed[[#This Row],[CÓDIGO]],tabExcluirDoEstoque[#Data],1,FALSE),"sim",""),"")</f>
        <v/>
      </c>
      <c r="T608" s="43">
        <f>IF(AND(tabPontoPed[[#This Row],[MENSAL]]&gt;0,tabPontoPed[[#This Row],[CÁLCULO]]&gt;0), ABS( tabPontoPed[[#This Row],[MENSAL]] - tabPontoPed[[#This Row],[CÁLCULO]] ) / tabPontoPed[[#This Row],[MENSAL]], -1 )</f>
        <v>0.13333333333333333</v>
      </c>
      <c r="U608" s="58">
        <v>134</v>
      </c>
      <c r="V608" s="35">
        <f>IF(AND(tabPontoPed[[#This Row],[MENSAL]]&gt;0,tabPontoPed[[#This Row],[CÁLCULO]]&gt;0), IF( tabPontoPed[[#This Row],[MENSAL]] - tabPontoPed[[#This Row],[CÁLCULO]] &lt; 0, -1, IF( tabPontoPed[[#This Row],[MENSAL]] - tabPontoPed[[#This Row],[CÁLCULO]] &gt; 0, 1, -8)), -9 )</f>
        <v>1</v>
      </c>
      <c r="W608" s="35"/>
      <c r="X608" s="48" t="s">
        <v>1564</v>
      </c>
      <c r="Y608" s="53">
        <v>44391.599108796298</v>
      </c>
      <c r="Z608" s="72">
        <f>tabPontoPed[CÁLC_4M] - tabPontoPed[CÁLCULO]</f>
        <v>38</v>
      </c>
      <c r="AA608" s="79" t="str">
        <f>IF(tabPontoPed[MENSAL]-tabPontoPed[ATA MENSAL] = 0,"sim","")</f>
        <v/>
      </c>
      <c r="AB608" s="79"/>
      <c r="AC608" s="47" t="str">
        <f t="shared" si="9"/>
        <v>*</v>
      </c>
    </row>
    <row r="609" spans="1:29" x14ac:dyDescent="0.25">
      <c r="A609" s="36">
        <v>14885</v>
      </c>
      <c r="B609" s="68" t="s">
        <v>136</v>
      </c>
      <c r="C609" s="33" t="s">
        <v>1317</v>
      </c>
      <c r="D609" s="32">
        <v>55</v>
      </c>
      <c r="E609" s="37">
        <v>32</v>
      </c>
      <c r="F609" s="38" t="str">
        <f>VLOOKUP(tabPontoPed[[#This Row],[GRUPO]],tabGrupos[#Data],2,FALSE)</f>
        <v>EQUIP. MAT. P/ GERACAO, TRANSM. DISTR. RETIF...</v>
      </c>
      <c r="G609" s="32" t="str">
        <f>VLOOKUP(tabPontoPed[[#This Row],[GRUPO]],tabGrupos[#Data],3,FALSE)</f>
        <v>MEL</v>
      </c>
      <c r="H609" s="33" t="s">
        <v>1311</v>
      </c>
      <c r="I609" s="80">
        <v>4</v>
      </c>
      <c r="J609" s="39">
        <v>15</v>
      </c>
      <c r="K609" s="41">
        <f>tabPontoPed[[#This Row],[QTDMÊS]] * tabPontoPed[[#This Row],[MENSAL]]</f>
        <v>60</v>
      </c>
      <c r="L609" s="83"/>
      <c r="M609" s="81"/>
      <c r="N609" s="34" t="s">
        <v>1009</v>
      </c>
      <c r="O609" s="76" t="s">
        <v>1676</v>
      </c>
      <c r="P609" s="77">
        <v>0</v>
      </c>
      <c r="Q609" s="57">
        <v>3</v>
      </c>
      <c r="R609" s="42">
        <v>13</v>
      </c>
      <c r="S609" s="69" t="str">
        <f>_xlfn.IFNA(IF(VLOOKUP(tabPontoPed[[#This Row],[CÓDIGO]],tabExcluirDoEstoque[#Data],1,FALSE),"sim",""),"")</f>
        <v/>
      </c>
      <c r="T609" s="43">
        <f>IF(AND(tabPontoPed[[#This Row],[MENSAL]]&gt;0,tabPontoPed[[#This Row],[CÁLCULO]]&gt;0), ABS( tabPontoPed[[#This Row],[MENSAL]] - tabPontoPed[[#This Row],[CÁLCULO]] ) / tabPontoPed[[#This Row],[MENSAL]], -1 )</f>
        <v>0.13333333333333333</v>
      </c>
      <c r="U609" s="58">
        <v>50</v>
      </c>
      <c r="V609" s="35">
        <f>IF(AND(tabPontoPed[[#This Row],[MENSAL]]&gt;0,tabPontoPed[[#This Row],[CÁLCULO]]&gt;0), IF( tabPontoPed[[#This Row],[MENSAL]] - tabPontoPed[[#This Row],[CÁLCULO]] &lt; 0, -1, IF( tabPontoPed[[#This Row],[MENSAL]] - tabPontoPed[[#This Row],[CÁLCULO]] &gt; 0, 1, -8)), -9 )</f>
        <v>1</v>
      </c>
      <c r="W609" s="35"/>
      <c r="X609" s="49" t="s">
        <v>1564</v>
      </c>
      <c r="Y609" s="51">
        <v>44391.599108796298</v>
      </c>
      <c r="Z609" s="72">
        <f>tabPontoPed[CÁLC_4M] - tabPontoPed[CÁLCULO]</f>
        <v>-10</v>
      </c>
      <c r="AA609" s="79" t="str">
        <f>IF(tabPontoPed[MENSAL]-tabPontoPed[ATA MENSAL] = 0,"sim","")</f>
        <v/>
      </c>
      <c r="AB609" s="79"/>
      <c r="AC609" s="47" t="str">
        <f t="shared" si="9"/>
        <v>*</v>
      </c>
    </row>
    <row r="610" spans="1:29" x14ac:dyDescent="0.25">
      <c r="A610" s="36">
        <v>132650</v>
      </c>
      <c r="B610" s="68" t="s">
        <v>470</v>
      </c>
      <c r="C610" s="33" t="s">
        <v>1317</v>
      </c>
      <c r="D610" s="32">
        <v>45</v>
      </c>
      <c r="E610" s="37">
        <v>14</v>
      </c>
      <c r="F610" s="38" t="str">
        <f>VLOOKUP(tabPontoPed[[#This Row],[GRUPO]],tabGrupos[#Data],2,FALSE)</f>
        <v>MAQ., EQUIP., COMP., ACES., MAT. PARA ESCRIT.E ESCOLAR</v>
      </c>
      <c r="G610" s="32" t="str">
        <f>VLOOKUP(tabPontoPed[[#This Row],[GRUPO]],tabGrupos[#Data],3,FALSE)</f>
        <v>EDU</v>
      </c>
      <c r="H610" s="33" t="s">
        <v>1311</v>
      </c>
      <c r="I610" s="80">
        <v>4</v>
      </c>
      <c r="J610" s="39">
        <v>736</v>
      </c>
      <c r="K610" s="41">
        <f>tabPontoPed[[#This Row],[QTDMÊS]] * tabPontoPed[[#This Row],[MENSAL]]</f>
        <v>2944</v>
      </c>
      <c r="L610" s="83"/>
      <c r="M610" s="81"/>
      <c r="N610" s="34" t="s">
        <v>1009</v>
      </c>
      <c r="O610" s="76"/>
      <c r="P610" s="77">
        <v>0</v>
      </c>
      <c r="Q610" s="57">
        <v>351</v>
      </c>
      <c r="R610" s="42">
        <v>832</v>
      </c>
      <c r="S610" s="69" t="str">
        <f>_xlfn.IFNA(IF(VLOOKUP(tabPontoPed[[#This Row],[CÓDIGO]],tabExcluirDoEstoque[#Data],1,FALSE),"sim",""),"")</f>
        <v/>
      </c>
      <c r="T610" s="43">
        <f>IF(AND(tabPontoPed[[#This Row],[MENSAL]]&gt;0,tabPontoPed[[#This Row],[CÁLCULO]]&gt;0), ABS( tabPontoPed[[#This Row],[MENSAL]] - tabPontoPed[[#This Row],[CÁLCULO]] ) / tabPontoPed[[#This Row],[MENSAL]], -1 )</f>
        <v>0.13043478260869565</v>
      </c>
      <c r="U610" s="58">
        <v>7844</v>
      </c>
      <c r="V610" s="35">
        <f>IF(AND(tabPontoPed[[#This Row],[MENSAL]]&gt;0,tabPontoPed[[#This Row],[CÁLCULO]]&gt;0), IF( tabPontoPed[[#This Row],[MENSAL]] - tabPontoPed[[#This Row],[CÁLCULO]] &lt; 0, -1, IF( tabPontoPed[[#This Row],[MENSAL]] - tabPontoPed[[#This Row],[CÁLCULO]] &gt; 0, 1, -8)), -9 )</f>
        <v>-1</v>
      </c>
      <c r="W610" s="35"/>
      <c r="X610" s="48" t="s">
        <v>1564</v>
      </c>
      <c r="Y610" s="53">
        <v>44391.599108796298</v>
      </c>
      <c r="Z610" s="72">
        <f>tabPontoPed[CÁLC_4M] - tabPontoPed[CÁLCULO]</f>
        <v>-481</v>
      </c>
      <c r="AA610" s="79" t="str">
        <f>IF(tabPontoPed[MENSAL]-tabPontoPed[ATA MENSAL] = 0,"sim","")</f>
        <v/>
      </c>
      <c r="AB610" s="79"/>
      <c r="AC610" s="47" t="str">
        <f t="shared" si="9"/>
        <v>*</v>
      </c>
    </row>
    <row r="611" spans="1:29" x14ac:dyDescent="0.25">
      <c r="A611" s="36">
        <v>132297</v>
      </c>
      <c r="B611" s="68" t="s">
        <v>467</v>
      </c>
      <c r="C611" s="33" t="s">
        <v>1317</v>
      </c>
      <c r="D611" s="32">
        <v>45</v>
      </c>
      <c r="E611" s="37">
        <v>14</v>
      </c>
      <c r="F611" s="38" t="str">
        <f>VLOOKUP(tabPontoPed[[#This Row],[GRUPO]],tabGrupos[#Data],2,FALSE)</f>
        <v>MAQ., EQUIP., COMP., ACES., MAT. PARA ESCRIT.E ESCOLAR</v>
      </c>
      <c r="G611" s="32" t="str">
        <f>VLOOKUP(tabPontoPed[[#This Row],[GRUPO]],tabGrupos[#Data],3,FALSE)</f>
        <v>EDU</v>
      </c>
      <c r="H611" s="33" t="s">
        <v>1311</v>
      </c>
      <c r="I611" s="80">
        <v>4</v>
      </c>
      <c r="J611" s="39">
        <v>2358</v>
      </c>
      <c r="K611" s="41">
        <f>tabPontoPed[[#This Row],[QTDMÊS]] * tabPontoPed[[#This Row],[MENSAL]]</f>
        <v>9432</v>
      </c>
      <c r="L611" s="83"/>
      <c r="M611" s="81"/>
      <c r="N611" s="34" t="s">
        <v>1009</v>
      </c>
      <c r="O611" s="76" t="s">
        <v>1696</v>
      </c>
      <c r="P611" s="77">
        <v>0</v>
      </c>
      <c r="Q611" s="57">
        <v>911</v>
      </c>
      <c r="R611" s="42">
        <v>2059</v>
      </c>
      <c r="S611" s="69" t="str">
        <f>_xlfn.IFNA(IF(VLOOKUP(tabPontoPed[[#This Row],[CÓDIGO]],tabExcluirDoEstoque[#Data],1,FALSE),"sim",""),"")</f>
        <v/>
      </c>
      <c r="T611" s="43">
        <f>IF(AND(tabPontoPed[[#This Row],[MENSAL]]&gt;0,tabPontoPed[[#This Row],[CÁLCULO]]&gt;0), ABS( tabPontoPed[[#This Row],[MENSAL]] - tabPontoPed[[#This Row],[CÁLCULO]] ) / tabPontoPed[[#This Row],[MENSAL]], -1 )</f>
        <v>0.12680237489397794</v>
      </c>
      <c r="U611" s="58">
        <v>14150</v>
      </c>
      <c r="V611" s="35">
        <f>IF(AND(tabPontoPed[[#This Row],[MENSAL]]&gt;0,tabPontoPed[[#This Row],[CÁLCULO]]&gt;0), IF( tabPontoPed[[#This Row],[MENSAL]] - tabPontoPed[[#This Row],[CÁLCULO]] &lt; 0, -1, IF( tabPontoPed[[#This Row],[MENSAL]] - tabPontoPed[[#This Row],[CÁLCULO]] &gt; 0, 1, -8)), -9 )</f>
        <v>1</v>
      </c>
      <c r="W611" s="35"/>
      <c r="X611" s="48" t="s">
        <v>1564</v>
      </c>
      <c r="Y611" s="53">
        <v>44391.599108796298</v>
      </c>
      <c r="Z611" s="72">
        <f>tabPontoPed[CÁLC_4M] - tabPontoPed[CÁLCULO]</f>
        <v>-1148</v>
      </c>
      <c r="AA611" s="79" t="str">
        <f>IF(tabPontoPed[MENSAL]-tabPontoPed[ATA MENSAL] = 0,"sim","")</f>
        <v/>
      </c>
      <c r="AB611" s="79"/>
      <c r="AC611" s="47" t="str">
        <f t="shared" si="9"/>
        <v>*</v>
      </c>
    </row>
    <row r="612" spans="1:29" x14ac:dyDescent="0.25">
      <c r="A612" s="36">
        <v>131935</v>
      </c>
      <c r="B612" s="68" t="s">
        <v>410</v>
      </c>
      <c r="C612" s="33" t="s">
        <v>1317</v>
      </c>
      <c r="D612" s="32">
        <v>45</v>
      </c>
      <c r="E612" s="37">
        <v>9</v>
      </c>
      <c r="F612" s="38" t="str">
        <f>VLOOKUP(tabPontoPed[[#This Row],[GRUPO]],tabGrupos[#Data],2,FALSE)</f>
        <v>MAQ., EQUIP., COMP., ACES., MAT. PARA ESCRIT.E ESCOLAR</v>
      </c>
      <c r="G612" s="32" t="str">
        <f>VLOOKUP(tabPontoPed[[#This Row],[GRUPO]],tabGrupos[#Data],3,FALSE)</f>
        <v>EDU</v>
      </c>
      <c r="H612" s="33" t="s">
        <v>1311</v>
      </c>
      <c r="I612" s="80">
        <v>4</v>
      </c>
      <c r="J612" s="39">
        <v>834</v>
      </c>
      <c r="K612" s="41">
        <f>tabPontoPed[[#This Row],[QTDMÊS]] * tabPontoPed[[#This Row],[MENSAL]]</f>
        <v>3336</v>
      </c>
      <c r="L612" s="83"/>
      <c r="M612" s="81"/>
      <c r="N612" s="34" t="s">
        <v>1009</v>
      </c>
      <c r="O612" s="76"/>
      <c r="P612" s="77">
        <v>0</v>
      </c>
      <c r="Q612" s="57">
        <v>91</v>
      </c>
      <c r="R612" s="42">
        <v>729</v>
      </c>
      <c r="S612" s="69" t="str">
        <f>_xlfn.IFNA(IF(VLOOKUP(tabPontoPed[[#This Row],[CÓDIGO]],tabExcluirDoEstoque[#Data],1,FALSE),"sim",""),"")</f>
        <v/>
      </c>
      <c r="T612" s="43">
        <f>IF(AND(tabPontoPed[[#This Row],[MENSAL]]&gt;0,tabPontoPed[[#This Row],[CÁLCULO]]&gt;0), ABS( tabPontoPed[[#This Row],[MENSAL]] - tabPontoPed[[#This Row],[CÁLCULO]] ) / tabPontoPed[[#This Row],[MENSAL]], -1 )</f>
        <v>0.12589928057553956</v>
      </c>
      <c r="U612" s="58">
        <v>7784</v>
      </c>
      <c r="V612" s="35">
        <f>IF(AND(tabPontoPed[[#This Row],[MENSAL]]&gt;0,tabPontoPed[[#This Row],[CÁLCULO]]&gt;0), IF( tabPontoPed[[#This Row],[MENSAL]] - tabPontoPed[[#This Row],[CÁLCULO]] &lt; 0, -1, IF( tabPontoPed[[#This Row],[MENSAL]] - tabPontoPed[[#This Row],[CÁLCULO]] &gt; 0, 1, -8)), -9 )</f>
        <v>1</v>
      </c>
      <c r="W612" s="35"/>
      <c r="X612" s="49" t="s">
        <v>1564</v>
      </c>
      <c r="Y612" s="51">
        <v>44391.599108796298</v>
      </c>
      <c r="Z612" s="72">
        <f>tabPontoPed[CÁLC_4M] - tabPontoPed[CÁLCULO]</f>
        <v>-638</v>
      </c>
      <c r="AA612" s="79" t="str">
        <f>IF(tabPontoPed[MENSAL]-tabPontoPed[ATA MENSAL] = 0,"sim","")</f>
        <v/>
      </c>
      <c r="AB612" s="79"/>
      <c r="AC612" s="47" t="str">
        <f t="shared" si="9"/>
        <v>*</v>
      </c>
    </row>
    <row r="613" spans="1:29" x14ac:dyDescent="0.25">
      <c r="A613" s="36">
        <v>13009</v>
      </c>
      <c r="B613" s="68" t="s">
        <v>646</v>
      </c>
      <c r="C613" s="33" t="s">
        <v>1317</v>
      </c>
      <c r="D613" s="32">
        <v>55</v>
      </c>
      <c r="E613" s="37">
        <v>32</v>
      </c>
      <c r="F613" s="38" t="str">
        <f>VLOOKUP(tabPontoPed[[#This Row],[GRUPO]],tabGrupos[#Data],2,FALSE)</f>
        <v>EQUIP. MAT. P/ GERACAO, TRANSM. DISTR. RETIF...</v>
      </c>
      <c r="G613" s="32" t="str">
        <f>VLOOKUP(tabPontoPed[[#This Row],[GRUPO]],tabGrupos[#Data],3,FALSE)</f>
        <v>MEL</v>
      </c>
      <c r="H613" s="33" t="s">
        <v>1311</v>
      </c>
      <c r="I613" s="80">
        <v>4</v>
      </c>
      <c r="J613" s="39">
        <v>24</v>
      </c>
      <c r="K613" s="41">
        <f>tabPontoPed[[#This Row],[QTDMÊS]] * tabPontoPed[[#This Row],[MENSAL]]</f>
        <v>96</v>
      </c>
      <c r="L613" s="83"/>
      <c r="M613" s="81"/>
      <c r="N613" s="34" t="s">
        <v>1009</v>
      </c>
      <c r="O613" s="76"/>
      <c r="P613" s="77">
        <v>0</v>
      </c>
      <c r="Q613" s="57">
        <v>12</v>
      </c>
      <c r="R613" s="42">
        <v>27</v>
      </c>
      <c r="S613" s="69" t="str">
        <f>_xlfn.IFNA(IF(VLOOKUP(tabPontoPed[[#This Row],[CÓDIGO]],tabExcluirDoEstoque[#Data],1,FALSE),"sim",""),"")</f>
        <v/>
      </c>
      <c r="T613" s="43">
        <f>IF(AND(tabPontoPed[[#This Row],[MENSAL]]&gt;0,tabPontoPed[[#This Row],[CÁLCULO]]&gt;0), ABS( tabPontoPed[[#This Row],[MENSAL]] - tabPontoPed[[#This Row],[CÁLCULO]] ) / tabPontoPed[[#This Row],[MENSAL]], -1 )</f>
        <v>0.125</v>
      </c>
      <c r="U613" s="58">
        <v>118</v>
      </c>
      <c r="V613" s="35">
        <f>IF(AND(tabPontoPed[[#This Row],[MENSAL]]&gt;0,tabPontoPed[[#This Row],[CÁLCULO]]&gt;0), IF( tabPontoPed[[#This Row],[MENSAL]] - tabPontoPed[[#This Row],[CÁLCULO]] &lt; 0, -1, IF( tabPontoPed[[#This Row],[MENSAL]] - tabPontoPed[[#This Row],[CÁLCULO]] &gt; 0, 1, -8)), -9 )</f>
        <v>-1</v>
      </c>
      <c r="W613" s="35"/>
      <c r="X613" s="49" t="s">
        <v>1564</v>
      </c>
      <c r="Y613" s="51">
        <v>44391.599108796298</v>
      </c>
      <c r="Z613" s="72">
        <f>tabPontoPed[CÁLC_4M] - tabPontoPed[CÁLCULO]</f>
        <v>-15</v>
      </c>
      <c r="AA613" s="79" t="str">
        <f>IF(tabPontoPed[MENSAL]-tabPontoPed[ATA MENSAL] = 0,"sim","")</f>
        <v/>
      </c>
      <c r="AB613" s="79"/>
      <c r="AC613" s="47" t="str">
        <f t="shared" si="9"/>
        <v>*</v>
      </c>
    </row>
    <row r="614" spans="1:29" x14ac:dyDescent="0.25">
      <c r="A614" s="36">
        <v>59069</v>
      </c>
      <c r="B614" s="68" t="s">
        <v>289</v>
      </c>
      <c r="C614" s="33" t="s">
        <v>1317</v>
      </c>
      <c r="D614" s="32">
        <v>61</v>
      </c>
      <c r="E614" s="37">
        <v>8</v>
      </c>
      <c r="F614" s="38" t="str">
        <f>VLOOKUP(tabPontoPed[[#This Row],[GRUPO]],tabGrupos[#Data],2,FALSE)</f>
        <v>MATERIAL HIDRAULICO, CANOS, TUBOS, MANGUEIRAS, CONEXOES E ACESS.</v>
      </c>
      <c r="G614" s="32" t="str">
        <f>VLOOKUP(tabPontoPed[[#This Row],[GRUPO]],tabGrupos[#Data],3,FALSE)</f>
        <v>MHI</v>
      </c>
      <c r="H614" s="33" t="s">
        <v>1311</v>
      </c>
      <c r="I614" s="80">
        <v>4</v>
      </c>
      <c r="J614" s="39">
        <v>8</v>
      </c>
      <c r="K614" s="41">
        <f>tabPontoPed[[#This Row],[QTDMÊS]] * tabPontoPed[[#This Row],[MENSAL]]</f>
        <v>32</v>
      </c>
      <c r="L614" s="83"/>
      <c r="M614" s="81"/>
      <c r="N614" s="34" t="s">
        <v>1009</v>
      </c>
      <c r="O614" s="76" t="s">
        <v>1722</v>
      </c>
      <c r="P614" s="77">
        <v>0</v>
      </c>
      <c r="Q614" s="57">
        <v>9</v>
      </c>
      <c r="R614" s="42">
        <v>7</v>
      </c>
      <c r="S614" s="69" t="str">
        <f>_xlfn.IFNA(IF(VLOOKUP(tabPontoPed[[#This Row],[CÓDIGO]],tabExcluirDoEstoque[#Data],1,FALSE),"sim",""),"")</f>
        <v/>
      </c>
      <c r="T614" s="43">
        <f>IF(AND(tabPontoPed[[#This Row],[MENSAL]]&gt;0,tabPontoPed[[#This Row],[CÁLCULO]]&gt;0), ABS( tabPontoPed[[#This Row],[MENSAL]] - tabPontoPed[[#This Row],[CÁLCULO]] ) / tabPontoPed[[#This Row],[MENSAL]], -1 )</f>
        <v>0.125</v>
      </c>
      <c r="U614" s="58">
        <v>30</v>
      </c>
      <c r="V614" s="35">
        <f>IF(AND(tabPontoPed[[#This Row],[MENSAL]]&gt;0,tabPontoPed[[#This Row],[CÁLCULO]]&gt;0), IF( tabPontoPed[[#This Row],[MENSAL]] - tabPontoPed[[#This Row],[CÁLCULO]] &lt; 0, -1, IF( tabPontoPed[[#This Row],[MENSAL]] - tabPontoPed[[#This Row],[CÁLCULO]] &gt; 0, 1, -8)), -9 )</f>
        <v>1</v>
      </c>
      <c r="W614" s="35"/>
      <c r="X614" s="48" t="s">
        <v>1564</v>
      </c>
      <c r="Y614" s="53">
        <v>44391.599108796298</v>
      </c>
      <c r="Z614" s="72">
        <f>tabPontoPed[CÁLC_4M] - tabPontoPed[CÁLCULO]</f>
        <v>2</v>
      </c>
      <c r="AA614" s="79" t="str">
        <f>IF(tabPontoPed[MENSAL]-tabPontoPed[ATA MENSAL] = 0,"sim","")</f>
        <v/>
      </c>
      <c r="AB614" s="79"/>
      <c r="AC614" s="47" t="str">
        <f t="shared" si="9"/>
        <v>*</v>
      </c>
    </row>
    <row r="615" spans="1:29" x14ac:dyDescent="0.25">
      <c r="A615" s="36">
        <v>111524</v>
      </c>
      <c r="B615" s="68" t="s">
        <v>782</v>
      </c>
      <c r="C615" s="33" t="s">
        <v>1317</v>
      </c>
      <c r="D615" s="32">
        <v>61</v>
      </c>
      <c r="E615" s="37">
        <v>14</v>
      </c>
      <c r="F615" s="38" t="str">
        <f>VLOOKUP(tabPontoPed[[#This Row],[GRUPO]],tabGrupos[#Data],2,FALSE)</f>
        <v>MATERIAL HIDRAULICO, CANOS, TUBOS, MANGUEIRAS, CONEXOES E ACESS.</v>
      </c>
      <c r="G615" s="32" t="str">
        <f>VLOOKUP(tabPontoPed[[#This Row],[GRUPO]],tabGrupos[#Data],3,FALSE)</f>
        <v>MHI</v>
      </c>
      <c r="H615" s="33" t="s">
        <v>1311</v>
      </c>
      <c r="I615" s="80">
        <v>4</v>
      </c>
      <c r="J615" s="39">
        <v>24</v>
      </c>
      <c r="K615" s="41">
        <f>tabPontoPed[[#This Row],[QTDMÊS]] * tabPontoPed[[#This Row],[MENSAL]]</f>
        <v>96</v>
      </c>
      <c r="L615" s="83"/>
      <c r="M615" s="81"/>
      <c r="N615" s="34" t="s">
        <v>1009</v>
      </c>
      <c r="O615" s="76" t="s">
        <v>1691</v>
      </c>
      <c r="P615" s="77">
        <v>0</v>
      </c>
      <c r="Q615" s="57">
        <v>24</v>
      </c>
      <c r="R615" s="42">
        <v>21</v>
      </c>
      <c r="S615" s="69" t="str">
        <f>_xlfn.IFNA(IF(VLOOKUP(tabPontoPed[[#This Row],[CÓDIGO]],tabExcluirDoEstoque[#Data],1,FALSE),"sim",""),"")</f>
        <v/>
      </c>
      <c r="T615" s="43">
        <f>IF(AND(tabPontoPed[[#This Row],[MENSAL]]&gt;0,tabPontoPed[[#This Row],[CÁLCULO]]&gt;0), ABS( tabPontoPed[[#This Row],[MENSAL]] - tabPontoPed[[#This Row],[CÁLCULO]] ) / tabPontoPed[[#This Row],[MENSAL]], -1 )</f>
        <v>0.125</v>
      </c>
      <c r="U615" s="58">
        <v>33</v>
      </c>
      <c r="V615" s="35">
        <f>IF(AND(tabPontoPed[[#This Row],[MENSAL]]&gt;0,tabPontoPed[[#This Row],[CÁLCULO]]&gt;0), IF( tabPontoPed[[#This Row],[MENSAL]] - tabPontoPed[[#This Row],[CÁLCULO]] &lt; 0, -1, IF( tabPontoPed[[#This Row],[MENSAL]] - tabPontoPed[[#This Row],[CÁLCULO]] &gt; 0, 1, -8)), -9 )</f>
        <v>1</v>
      </c>
      <c r="W615" s="35"/>
      <c r="X615" s="49" t="s">
        <v>1564</v>
      </c>
      <c r="Y615" s="51">
        <v>44391.599108796298</v>
      </c>
      <c r="Z615" s="72">
        <f>tabPontoPed[CÁLC_4M] - tabPontoPed[CÁLCULO]</f>
        <v>3</v>
      </c>
      <c r="AA615" s="79" t="str">
        <f>IF(tabPontoPed[MENSAL]-tabPontoPed[ATA MENSAL] = 0,"sim","")</f>
        <v/>
      </c>
      <c r="AB615" s="79"/>
      <c r="AC615" s="47" t="str">
        <f t="shared" si="9"/>
        <v>*</v>
      </c>
    </row>
    <row r="616" spans="1:29" x14ac:dyDescent="0.25">
      <c r="A616" s="36">
        <v>65173</v>
      </c>
      <c r="B616" s="68" t="s">
        <v>792</v>
      </c>
      <c r="C616" s="33" t="s">
        <v>1317</v>
      </c>
      <c r="D616" s="32">
        <v>61</v>
      </c>
      <c r="E616" s="37">
        <v>15</v>
      </c>
      <c r="F616" s="38" t="str">
        <f>VLOOKUP(tabPontoPed[[#This Row],[GRUPO]],tabGrupos[#Data],2,FALSE)</f>
        <v>MATERIAL HIDRAULICO, CANOS, TUBOS, MANGUEIRAS, CONEXOES E ACESS.</v>
      </c>
      <c r="G616" s="32" t="str">
        <f>VLOOKUP(tabPontoPed[[#This Row],[GRUPO]],tabGrupos[#Data],3,FALSE)</f>
        <v>MHI</v>
      </c>
      <c r="H616" s="33" t="s">
        <v>1311</v>
      </c>
      <c r="I616" s="80">
        <v>4</v>
      </c>
      <c r="J616" s="39">
        <v>8</v>
      </c>
      <c r="K616" s="41">
        <f>tabPontoPed[[#This Row],[QTDMÊS]] * tabPontoPed[[#This Row],[MENSAL]]</f>
        <v>32</v>
      </c>
      <c r="L616" s="83"/>
      <c r="M616" s="81"/>
      <c r="N616" s="34" t="s">
        <v>1009</v>
      </c>
      <c r="O616" s="76" t="s">
        <v>1691</v>
      </c>
      <c r="P616" s="77">
        <v>0</v>
      </c>
      <c r="Q616" s="57">
        <v>7</v>
      </c>
      <c r="R616" s="42">
        <v>7</v>
      </c>
      <c r="S616" s="69" t="str">
        <f>_xlfn.IFNA(IF(VLOOKUP(tabPontoPed[[#This Row],[CÓDIGO]],tabExcluirDoEstoque[#Data],1,FALSE),"sim",""),"")</f>
        <v/>
      </c>
      <c r="T616" s="43">
        <f>IF(AND(tabPontoPed[[#This Row],[MENSAL]]&gt;0,tabPontoPed[[#This Row],[CÁLCULO]]&gt;0), ABS( tabPontoPed[[#This Row],[MENSAL]] - tabPontoPed[[#This Row],[CÁLCULO]] ) / tabPontoPed[[#This Row],[MENSAL]], -1 )</f>
        <v>0.125</v>
      </c>
      <c r="U616" s="58">
        <v>11</v>
      </c>
      <c r="V616" s="35">
        <f>IF(AND(tabPontoPed[[#This Row],[MENSAL]]&gt;0,tabPontoPed[[#This Row],[CÁLCULO]]&gt;0), IF( tabPontoPed[[#This Row],[MENSAL]] - tabPontoPed[[#This Row],[CÁLCULO]] &lt; 0, -1, IF( tabPontoPed[[#This Row],[MENSAL]] - tabPontoPed[[#This Row],[CÁLCULO]] &gt; 0, 1, -8)), -9 )</f>
        <v>1</v>
      </c>
      <c r="W616" s="35"/>
      <c r="X616" s="48" t="s">
        <v>1564</v>
      </c>
      <c r="Y616" s="53">
        <v>44391.599108796298</v>
      </c>
      <c r="Z616" s="72">
        <f>tabPontoPed[CÁLC_4M] - tabPontoPed[CÁLCULO]</f>
        <v>0</v>
      </c>
      <c r="AA616" s="79" t="str">
        <f>IF(tabPontoPed[MENSAL]-tabPontoPed[ATA MENSAL] = 0,"sim","")</f>
        <v/>
      </c>
      <c r="AB616" s="79"/>
      <c r="AC616" s="47" t="str">
        <f t="shared" si="9"/>
        <v>*</v>
      </c>
    </row>
    <row r="617" spans="1:29" ht="18.75" x14ac:dyDescent="0.25">
      <c r="A617" s="36">
        <v>69229</v>
      </c>
      <c r="B617" s="68" t="s">
        <v>179</v>
      </c>
      <c r="C617" s="33" t="s">
        <v>1317</v>
      </c>
      <c r="D617" s="32">
        <v>76</v>
      </c>
      <c r="E617" s="37">
        <v>5</v>
      </c>
      <c r="F617" s="38" t="str">
        <f>VLOOKUP(tabPontoPed[[#This Row],[GRUPO]],tabGrupos[#Data],2,FALSE)</f>
        <v>EQUIP. E MATERIAIS P/PINTURAS E IMPERMEABILIZACAO</v>
      </c>
      <c r="G617" s="32" t="str">
        <f>VLOOKUP(tabPontoPed[[#This Row],[GRUPO]],tabGrupos[#Data],3,FALSE)</f>
        <v>MPI</v>
      </c>
      <c r="H617" s="33" t="s">
        <v>1321</v>
      </c>
      <c r="I617" s="80">
        <v>3</v>
      </c>
      <c r="J617" s="39">
        <v>8</v>
      </c>
      <c r="K617" s="41">
        <f>tabPontoPed[[#This Row],[QTDMÊS]] * tabPontoPed[[#This Row],[MENSAL]]</f>
        <v>24</v>
      </c>
      <c r="L617" s="83"/>
      <c r="M617" s="81"/>
      <c r="N617" s="34" t="s">
        <v>1009</v>
      </c>
      <c r="O617" s="76" t="s">
        <v>1664</v>
      </c>
      <c r="P617" s="77">
        <v>0</v>
      </c>
      <c r="Q617" s="57">
        <v>4</v>
      </c>
      <c r="R617" s="42">
        <v>7</v>
      </c>
      <c r="S617" s="69" t="str">
        <f>_xlfn.IFNA(IF(VLOOKUP(tabPontoPed[[#This Row],[CÓDIGO]],tabExcluirDoEstoque[#Data],1,FALSE),"sim",""),"")</f>
        <v/>
      </c>
      <c r="T617" s="43">
        <f>IF(AND(tabPontoPed[[#This Row],[MENSAL]]&gt;0,tabPontoPed[[#This Row],[CÁLCULO]]&gt;0), ABS( tabPontoPed[[#This Row],[MENSAL]] - tabPontoPed[[#This Row],[CÁLCULO]] ) / tabPontoPed[[#This Row],[MENSAL]], -1 )</f>
        <v>0.125</v>
      </c>
      <c r="U617" s="58">
        <v>20</v>
      </c>
      <c r="V617" s="35">
        <f>IF(AND(tabPontoPed[[#This Row],[MENSAL]]&gt;0,tabPontoPed[[#This Row],[CÁLCULO]]&gt;0), IF( tabPontoPed[[#This Row],[MENSAL]] - tabPontoPed[[#This Row],[CÁLCULO]] &lt; 0, -1, IF( tabPontoPed[[#This Row],[MENSAL]] - tabPontoPed[[#This Row],[CÁLCULO]] &gt; 0, 1, -8)), -9 )</f>
        <v>1</v>
      </c>
      <c r="W617" s="45"/>
      <c r="X617" s="48" t="s">
        <v>1450</v>
      </c>
      <c r="Y617" s="53">
        <v>43685.555092592593</v>
      </c>
      <c r="Z617" s="72">
        <f>tabPontoPed[CÁLC_4M] - tabPontoPed[CÁLCULO]</f>
        <v>-3</v>
      </c>
      <c r="AA617" s="79" t="str">
        <f>IF(tabPontoPed[MENSAL]-tabPontoPed[ATA MENSAL] = 0,"sim","")</f>
        <v/>
      </c>
      <c r="AB617" s="79"/>
      <c r="AC617" s="47" t="str">
        <f t="shared" si="9"/>
        <v>*</v>
      </c>
    </row>
    <row r="618" spans="1:29" x14ac:dyDescent="0.25">
      <c r="A618" s="36">
        <v>89863</v>
      </c>
      <c r="B618" s="68" t="s">
        <v>821</v>
      </c>
      <c r="C618" s="33" t="s">
        <v>1317</v>
      </c>
      <c r="D618" s="32">
        <v>67</v>
      </c>
      <c r="E618" s="37">
        <v>3</v>
      </c>
      <c r="F618" s="38" t="str">
        <f>VLOOKUP(tabPontoPed[[#This Row],[GRUPO]],tabGrupos[#Data],2,FALSE)</f>
        <v>PARAFUSOS ELEM. VEDACAO UNIAO CONEX . FIXACAO</v>
      </c>
      <c r="G618" s="32" t="str">
        <f>VLOOKUP(tabPontoPed[[#This Row],[GRUPO]],tabGrupos[#Data],3,FALSE)</f>
        <v>MSE</v>
      </c>
      <c r="H618" s="33" t="s">
        <v>1311</v>
      </c>
      <c r="I618" s="80">
        <v>4</v>
      </c>
      <c r="J618" s="39">
        <v>8</v>
      </c>
      <c r="K618" s="41">
        <f>tabPontoPed[[#This Row],[QTDMÊS]] * tabPontoPed[[#This Row],[MENSAL]]</f>
        <v>32</v>
      </c>
      <c r="L618" s="83"/>
      <c r="M618" s="81"/>
      <c r="N618" s="34" t="s">
        <v>1009</v>
      </c>
      <c r="O618" s="76"/>
      <c r="P618" s="77">
        <v>0</v>
      </c>
      <c r="Q618" s="57">
        <v>7</v>
      </c>
      <c r="R618" s="42">
        <v>7</v>
      </c>
      <c r="S618" s="69" t="str">
        <f>_xlfn.IFNA(IF(VLOOKUP(tabPontoPed[[#This Row],[CÓDIGO]],tabExcluirDoEstoque[#Data],1,FALSE),"sim",""),"")</f>
        <v/>
      </c>
      <c r="T618" s="43">
        <f>IF(AND(tabPontoPed[[#This Row],[MENSAL]]&gt;0,tabPontoPed[[#This Row],[CÁLCULO]]&gt;0), ABS( tabPontoPed[[#This Row],[MENSAL]] - tabPontoPed[[#This Row],[CÁLCULO]] ) / tabPontoPed[[#This Row],[MENSAL]], -1 )</f>
        <v>0.125</v>
      </c>
      <c r="U618" s="58">
        <v>12</v>
      </c>
      <c r="V618" s="35">
        <f>IF(AND(tabPontoPed[[#This Row],[MENSAL]]&gt;0,tabPontoPed[[#This Row],[CÁLCULO]]&gt;0), IF( tabPontoPed[[#This Row],[MENSAL]] - tabPontoPed[[#This Row],[CÁLCULO]] &lt; 0, -1, IF( tabPontoPed[[#This Row],[MENSAL]] - tabPontoPed[[#This Row],[CÁLCULO]] &gt; 0, 1, -8)), -9 )</f>
        <v>1</v>
      </c>
      <c r="W618" s="35"/>
      <c r="X618" s="49" t="s">
        <v>1564</v>
      </c>
      <c r="Y618" s="51">
        <v>44391.599108796298</v>
      </c>
      <c r="Z618" s="72">
        <f>tabPontoPed[CÁLC_4M] - tabPontoPed[CÁLCULO]</f>
        <v>0</v>
      </c>
      <c r="AA618" s="79" t="str">
        <f>IF(tabPontoPed[MENSAL]-tabPontoPed[ATA MENSAL] = 0,"sim","")</f>
        <v/>
      </c>
      <c r="AB618" s="79"/>
      <c r="AC618" s="47" t="str">
        <f t="shared" si="9"/>
        <v>*</v>
      </c>
    </row>
    <row r="619" spans="1:29" x14ac:dyDescent="0.25">
      <c r="A619" s="36">
        <v>13179</v>
      </c>
      <c r="B619" s="68" t="s">
        <v>852</v>
      </c>
      <c r="C619" s="33">
        <v>1</v>
      </c>
      <c r="D619" s="32">
        <v>67</v>
      </c>
      <c r="E619" s="37">
        <v>9</v>
      </c>
      <c r="F619" s="38" t="str">
        <f>VLOOKUP(tabPontoPed[[#This Row],[GRUPO]],tabGrupos[#Data],2,FALSE)</f>
        <v>PARAFUSOS ELEM. VEDACAO UNIAO CONEX . FIXACAO</v>
      </c>
      <c r="G619" s="32" t="str">
        <f>VLOOKUP(tabPontoPed[[#This Row],[GRUPO]],tabGrupos[#Data],3,FALSE)</f>
        <v>MSE</v>
      </c>
      <c r="H619" s="33" t="s">
        <v>1311</v>
      </c>
      <c r="I619" s="80">
        <v>4</v>
      </c>
      <c r="J619" s="39">
        <v>591</v>
      </c>
      <c r="K619" s="41">
        <f>tabPontoPed[[#This Row],[QTDMÊS]] * tabPontoPed[[#This Row],[MENSAL]]</f>
        <v>2364</v>
      </c>
      <c r="L619" s="83"/>
      <c r="M619" s="81"/>
      <c r="N619" s="34" t="s">
        <v>1009</v>
      </c>
      <c r="O619" s="76" t="s">
        <v>1682</v>
      </c>
      <c r="P619" s="77">
        <v>0</v>
      </c>
      <c r="Q619" s="57">
        <v>563</v>
      </c>
      <c r="R619" s="42">
        <v>664</v>
      </c>
      <c r="S619" s="69" t="str">
        <f>_xlfn.IFNA(IF(VLOOKUP(tabPontoPed[[#This Row],[CÓDIGO]],tabExcluirDoEstoque[#Data],1,FALSE),"sim",""),"")</f>
        <v/>
      </c>
      <c r="T619" s="43">
        <f>IF(AND(tabPontoPed[[#This Row],[MENSAL]]&gt;0,tabPontoPed[[#This Row],[CÁLCULO]]&gt;0), ABS( tabPontoPed[[#This Row],[MENSAL]] - tabPontoPed[[#This Row],[CÁLCULO]] ) / tabPontoPed[[#This Row],[MENSAL]], -1 )</f>
        <v>0.12351945854483926</v>
      </c>
      <c r="U619" s="58">
        <v>1350</v>
      </c>
      <c r="V619" s="35">
        <f>IF(AND(tabPontoPed[[#This Row],[MENSAL]]&gt;0,tabPontoPed[[#This Row],[CÁLCULO]]&gt;0), IF( tabPontoPed[[#This Row],[MENSAL]] - tabPontoPed[[#This Row],[CÁLCULO]] &lt; 0, -1, IF( tabPontoPed[[#This Row],[MENSAL]] - tabPontoPed[[#This Row],[CÁLCULO]] &gt; 0, 1, -8)), -9 )</f>
        <v>-1</v>
      </c>
      <c r="W619" s="35"/>
      <c r="X619" s="49" t="s">
        <v>1564</v>
      </c>
      <c r="Y619" s="51">
        <v>44391.599108796298</v>
      </c>
      <c r="Z619" s="72">
        <f>tabPontoPed[CÁLC_4M] - tabPontoPed[CÁLCULO]</f>
        <v>-101</v>
      </c>
      <c r="AA619" s="79" t="str">
        <f>IF(tabPontoPed[MENSAL]-tabPontoPed[ATA MENSAL] = 0,"sim","")</f>
        <v/>
      </c>
      <c r="AB619" s="79"/>
      <c r="AC619" s="47" t="str">
        <f t="shared" si="9"/>
        <v>*</v>
      </c>
    </row>
    <row r="620" spans="1:29" x14ac:dyDescent="0.25">
      <c r="A620" s="36">
        <v>92907</v>
      </c>
      <c r="B620" s="68" t="s">
        <v>707</v>
      </c>
      <c r="C620" s="33" t="s">
        <v>1317</v>
      </c>
      <c r="D620" s="32">
        <v>57</v>
      </c>
      <c r="E620" s="37">
        <v>17</v>
      </c>
      <c r="F620" s="38" t="str">
        <f>VLOOKUP(tabPontoPed[[#This Row],[GRUPO]],tabGrupos[#Data],2,FALSE)</f>
        <v>MAQ. E EQUIP. P/ IND. GRAFICA COMP. ACESS. E PAPEI</v>
      </c>
      <c r="G620" s="32" t="str">
        <f>VLOOKUP(tabPontoPed[[#This Row],[GRUPO]],tabGrupos[#Data],3,FALSE)</f>
        <v>EDU</v>
      </c>
      <c r="H620" s="33" t="s">
        <v>1311</v>
      </c>
      <c r="I620" s="80">
        <v>4</v>
      </c>
      <c r="J620" s="39">
        <v>325</v>
      </c>
      <c r="K620" s="41">
        <f>tabPontoPed[[#This Row],[QTDMÊS]] * tabPontoPed[[#This Row],[MENSAL]]</f>
        <v>1300</v>
      </c>
      <c r="L620" s="83"/>
      <c r="M620" s="81"/>
      <c r="N620" s="34" t="s">
        <v>1009</v>
      </c>
      <c r="O620" s="76" t="s">
        <v>1718</v>
      </c>
      <c r="P620" s="77">
        <v>0</v>
      </c>
      <c r="Q620" s="57">
        <v>132</v>
      </c>
      <c r="R620" s="42">
        <v>285</v>
      </c>
      <c r="S620" s="69" t="str">
        <f>_xlfn.IFNA(IF(VLOOKUP(tabPontoPed[[#This Row],[CÓDIGO]],tabExcluirDoEstoque[#Data],1,FALSE),"sim",""),"")</f>
        <v/>
      </c>
      <c r="T620" s="43">
        <f>IF(AND(tabPontoPed[[#This Row],[MENSAL]]&gt;0,tabPontoPed[[#This Row],[CÁLCULO]]&gt;0), ABS( tabPontoPed[[#This Row],[MENSAL]] - tabPontoPed[[#This Row],[CÁLCULO]] ) / tabPontoPed[[#This Row],[MENSAL]], -1 )</f>
        <v>0.12307692307692308</v>
      </c>
      <c r="U620" s="58">
        <v>1713</v>
      </c>
      <c r="V620" s="35">
        <f>IF(AND(tabPontoPed[[#This Row],[MENSAL]]&gt;0,tabPontoPed[[#This Row],[CÁLCULO]]&gt;0), IF( tabPontoPed[[#This Row],[MENSAL]] - tabPontoPed[[#This Row],[CÁLCULO]] &lt; 0, -1, IF( tabPontoPed[[#This Row],[MENSAL]] - tabPontoPed[[#This Row],[CÁLCULO]] &gt; 0, 1, -8)), -9 )</f>
        <v>1</v>
      </c>
      <c r="W620" s="35"/>
      <c r="X620" s="49" t="s">
        <v>1564</v>
      </c>
      <c r="Y620" s="51">
        <v>44391.599108796298</v>
      </c>
      <c r="Z620" s="72">
        <f>tabPontoPed[CÁLC_4M] - tabPontoPed[CÁLCULO]</f>
        <v>-153</v>
      </c>
      <c r="AA620" s="79" t="str">
        <f>IF(tabPontoPed[MENSAL]-tabPontoPed[ATA MENSAL] = 0,"sim","")</f>
        <v/>
      </c>
      <c r="AB620" s="79"/>
      <c r="AC620" s="47" t="str">
        <f t="shared" si="9"/>
        <v>*</v>
      </c>
    </row>
    <row r="621" spans="1:29" x14ac:dyDescent="0.25">
      <c r="A621" s="36">
        <v>29952</v>
      </c>
      <c r="B621" s="68" t="s">
        <v>461</v>
      </c>
      <c r="C621" s="33" t="s">
        <v>1317</v>
      </c>
      <c r="D621" s="32">
        <v>45</v>
      </c>
      <c r="E621" s="37">
        <v>12</v>
      </c>
      <c r="F621" s="38" t="str">
        <f>VLOOKUP(tabPontoPed[[#This Row],[GRUPO]],tabGrupos[#Data],2,FALSE)</f>
        <v>MAQ., EQUIP., COMP., ACES., MAT. PARA ESCRIT.E ESCOLAR</v>
      </c>
      <c r="G621" s="32" t="str">
        <f>VLOOKUP(tabPontoPed[[#This Row],[GRUPO]],tabGrupos[#Data],3,FALSE)</f>
        <v>EDU</v>
      </c>
      <c r="H621" s="33" t="s">
        <v>1311</v>
      </c>
      <c r="I621" s="80">
        <v>4</v>
      </c>
      <c r="J621" s="39">
        <v>450</v>
      </c>
      <c r="K621" s="41">
        <f>tabPontoPed[[#This Row],[QTDMÊS]] * tabPontoPed[[#This Row],[MENSAL]]</f>
        <v>1800</v>
      </c>
      <c r="L621" s="83"/>
      <c r="M621" s="81"/>
      <c r="N621" s="34" t="s">
        <v>1009</v>
      </c>
      <c r="O621" s="76"/>
      <c r="P621" s="77">
        <v>0</v>
      </c>
      <c r="Q621" s="57">
        <v>259</v>
      </c>
      <c r="R621" s="42">
        <v>395</v>
      </c>
      <c r="S621" s="69" t="str">
        <f>_xlfn.IFNA(IF(VLOOKUP(tabPontoPed[[#This Row],[CÓDIGO]],tabExcluirDoEstoque[#Data],1,FALSE),"sim",""),"")</f>
        <v/>
      </c>
      <c r="T621" s="43">
        <f>IF(AND(tabPontoPed[[#This Row],[MENSAL]]&gt;0,tabPontoPed[[#This Row],[CÁLCULO]]&gt;0), ABS( tabPontoPed[[#This Row],[MENSAL]] - tabPontoPed[[#This Row],[CÁLCULO]] ) / tabPontoPed[[#This Row],[MENSAL]], -1 )</f>
        <v>0.12222222222222222</v>
      </c>
      <c r="U621" s="58">
        <v>2258</v>
      </c>
      <c r="V621" s="35">
        <f>IF(AND(tabPontoPed[[#This Row],[MENSAL]]&gt;0,tabPontoPed[[#This Row],[CÁLCULO]]&gt;0), IF( tabPontoPed[[#This Row],[MENSAL]] - tabPontoPed[[#This Row],[CÁLCULO]] &lt; 0, -1, IF( tabPontoPed[[#This Row],[MENSAL]] - tabPontoPed[[#This Row],[CÁLCULO]] &gt; 0, 1, -8)), -9 )</f>
        <v>1</v>
      </c>
      <c r="W621" s="35"/>
      <c r="X621" s="49" t="s">
        <v>1564</v>
      </c>
      <c r="Y621" s="51">
        <v>44391.599108796298</v>
      </c>
      <c r="Z621" s="72">
        <f>tabPontoPed[CÁLC_4M] - tabPontoPed[CÁLCULO]</f>
        <v>-136</v>
      </c>
      <c r="AA621" s="79" t="str">
        <f>IF(tabPontoPed[MENSAL]-tabPontoPed[ATA MENSAL] = 0,"sim","")</f>
        <v/>
      </c>
      <c r="AB621" s="79"/>
      <c r="AC621" s="47" t="str">
        <f t="shared" si="9"/>
        <v>*</v>
      </c>
    </row>
    <row r="622" spans="1:29" x14ac:dyDescent="0.25">
      <c r="A622" s="36">
        <v>91669</v>
      </c>
      <c r="B622" s="68" t="s">
        <v>385</v>
      </c>
      <c r="C622" s="33" t="s">
        <v>1317</v>
      </c>
      <c r="D622" s="32">
        <v>72</v>
      </c>
      <c r="E622" s="37">
        <v>9</v>
      </c>
      <c r="F622" s="38" t="str">
        <f>VLOOKUP(tabPontoPed[[#This Row],[GRUPO]],tabGrupos[#Data],2,FALSE)</f>
        <v>MAQ.EQUIP.E MATERIAIS P/ HIGIEN.LIMP.POLIM.E LUBR.</v>
      </c>
      <c r="G622" s="32" t="str">
        <f>VLOOKUP(tabPontoPed[[#This Row],[GRUPO]],tabGrupos[#Data],3,FALSE)</f>
        <v>ADM</v>
      </c>
      <c r="H622" s="33" t="s">
        <v>1311</v>
      </c>
      <c r="I622" s="80">
        <v>4</v>
      </c>
      <c r="J622" s="39">
        <v>391</v>
      </c>
      <c r="K622" s="41">
        <f>tabPontoPed[[#This Row],[QTDMÊS]] * tabPontoPed[[#This Row],[MENSAL]]</f>
        <v>1564</v>
      </c>
      <c r="L622" s="83"/>
      <c r="M622" s="81"/>
      <c r="N622" s="34" t="s">
        <v>1009</v>
      </c>
      <c r="O622" s="76" t="s">
        <v>1661</v>
      </c>
      <c r="P622" s="77">
        <v>0</v>
      </c>
      <c r="Q622" s="57">
        <v>456</v>
      </c>
      <c r="R622" s="42">
        <v>344</v>
      </c>
      <c r="S622" s="69" t="str">
        <f>_xlfn.IFNA(IF(VLOOKUP(tabPontoPed[[#This Row],[CÓDIGO]],tabExcluirDoEstoque[#Data],1,FALSE),"sim",""),"")</f>
        <v/>
      </c>
      <c r="T622" s="43">
        <f>IF(AND(tabPontoPed[[#This Row],[MENSAL]]&gt;0,tabPontoPed[[#This Row],[CÁLCULO]]&gt;0), ABS( tabPontoPed[[#This Row],[MENSAL]] - tabPontoPed[[#This Row],[CÁLCULO]] ) / tabPontoPed[[#This Row],[MENSAL]], -1 )</f>
        <v>0.12020460358056266</v>
      </c>
      <c r="U622" s="58">
        <v>565</v>
      </c>
      <c r="V622" s="35">
        <f>IF(AND(tabPontoPed[[#This Row],[MENSAL]]&gt;0,tabPontoPed[[#This Row],[CÁLCULO]]&gt;0), IF( tabPontoPed[[#This Row],[MENSAL]] - tabPontoPed[[#This Row],[CÁLCULO]] &lt; 0, -1, IF( tabPontoPed[[#This Row],[MENSAL]] - tabPontoPed[[#This Row],[CÁLCULO]] &gt; 0, 1, -8)), -9 )</f>
        <v>1</v>
      </c>
      <c r="W622" s="35"/>
      <c r="X622" s="48" t="s">
        <v>1564</v>
      </c>
      <c r="Y622" s="53">
        <v>44391.599108796298</v>
      </c>
      <c r="Z622" s="72">
        <f>tabPontoPed[CÁLC_4M] - tabPontoPed[CÁLCULO]</f>
        <v>112</v>
      </c>
      <c r="AA622" s="79" t="str">
        <f>IF(tabPontoPed[MENSAL]-tabPontoPed[ATA MENSAL] = 0,"sim","")</f>
        <v/>
      </c>
      <c r="AB622" s="79"/>
      <c r="AC622" s="47" t="str">
        <f t="shared" si="9"/>
        <v>*</v>
      </c>
    </row>
    <row r="623" spans="1:29" x14ac:dyDescent="0.25">
      <c r="A623" s="36">
        <v>12623</v>
      </c>
      <c r="B623" s="68" t="s">
        <v>85</v>
      </c>
      <c r="C623" s="33" t="s">
        <v>1317</v>
      </c>
      <c r="D623" s="32">
        <v>57</v>
      </c>
      <c r="E623" s="37">
        <v>16</v>
      </c>
      <c r="F623" s="38" t="str">
        <f>VLOOKUP(tabPontoPed[[#This Row],[GRUPO]],tabGrupos[#Data],2,FALSE)</f>
        <v>MAQ. E EQUIP. P/ IND. GRAFICA COMP. ACESS. E PAPEI</v>
      </c>
      <c r="G623" s="32" t="str">
        <f>VLOOKUP(tabPontoPed[[#This Row],[GRUPO]],tabGrupos[#Data],3,FALSE)</f>
        <v>EDU</v>
      </c>
      <c r="H623" s="33" t="s">
        <v>1311</v>
      </c>
      <c r="I623" s="80">
        <v>4</v>
      </c>
      <c r="J623" s="39">
        <v>3334</v>
      </c>
      <c r="K623" s="41">
        <f>tabPontoPed[[#This Row],[QTDMÊS]] * tabPontoPed[[#This Row],[MENSAL]]</f>
        <v>13336</v>
      </c>
      <c r="L623" s="83"/>
      <c r="M623" s="81"/>
      <c r="N623" s="34" t="s">
        <v>1009</v>
      </c>
      <c r="O623" s="76" t="s">
        <v>1718</v>
      </c>
      <c r="P623" s="77">
        <v>0</v>
      </c>
      <c r="Q623" s="57">
        <v>5506</v>
      </c>
      <c r="R623" s="42">
        <v>2937</v>
      </c>
      <c r="S623" s="69" t="str">
        <f>_xlfn.IFNA(IF(VLOOKUP(tabPontoPed[[#This Row],[CÓDIGO]],tabExcluirDoEstoque[#Data],1,FALSE),"sim",""),"")</f>
        <v/>
      </c>
      <c r="T623" s="43">
        <f>IF(AND(tabPontoPed[[#This Row],[MENSAL]]&gt;0,tabPontoPed[[#This Row],[CÁLCULO]]&gt;0), ABS( tabPontoPed[[#This Row],[MENSAL]] - tabPontoPed[[#This Row],[CÁLCULO]] ) / tabPontoPed[[#This Row],[MENSAL]], -1 )</f>
        <v>0.11907618476304739</v>
      </c>
      <c r="U623" s="58">
        <v>15057</v>
      </c>
      <c r="V623" s="35">
        <f>IF(AND(tabPontoPed[[#This Row],[MENSAL]]&gt;0,tabPontoPed[[#This Row],[CÁLCULO]]&gt;0), IF( tabPontoPed[[#This Row],[MENSAL]] - tabPontoPed[[#This Row],[CÁLCULO]] &lt; 0, -1, IF( tabPontoPed[[#This Row],[MENSAL]] - tabPontoPed[[#This Row],[CÁLCULO]] &gt; 0, 1, -8)), -9 )</f>
        <v>1</v>
      </c>
      <c r="W623" s="35"/>
      <c r="X623" s="49" t="s">
        <v>1564</v>
      </c>
      <c r="Y623" s="51">
        <v>44391.599108796298</v>
      </c>
      <c r="Z623" s="72">
        <f>tabPontoPed[CÁLC_4M] - tabPontoPed[CÁLCULO]</f>
        <v>2569</v>
      </c>
      <c r="AA623" s="79" t="str">
        <f>IF(tabPontoPed[MENSAL]-tabPontoPed[ATA MENSAL] = 0,"sim","")</f>
        <v/>
      </c>
      <c r="AB623" s="79" t="s">
        <v>1614</v>
      </c>
      <c r="AC623" s="47" t="str">
        <f t="shared" si="9"/>
        <v>*</v>
      </c>
    </row>
    <row r="624" spans="1:29" x14ac:dyDescent="0.25">
      <c r="A624" s="36">
        <v>98703</v>
      </c>
      <c r="B624" s="68" t="s">
        <v>99</v>
      </c>
      <c r="C624" s="33" t="s">
        <v>1317</v>
      </c>
      <c r="D624" s="32">
        <v>69</v>
      </c>
      <c r="E624" s="37">
        <v>3</v>
      </c>
      <c r="F624" s="38" t="str">
        <f>VLOOKUP(tabPontoPed[[#This Row],[GRUPO]],tabGrupos[#Data],2,FALSE)</f>
        <v>METAIS,LAMINAD.,PERFILADOS E ARTEFATOS METALICOS</v>
      </c>
      <c r="G624" s="32" t="str">
        <f>VLOOKUP(tabPontoPed[[#This Row],[GRUPO]],tabGrupos[#Data],3,FALSE)</f>
        <v>MSE</v>
      </c>
      <c r="H624" s="33" t="s">
        <v>1311</v>
      </c>
      <c r="I624" s="80">
        <v>4</v>
      </c>
      <c r="J624" s="39">
        <v>51</v>
      </c>
      <c r="K624" s="41">
        <f>tabPontoPed[[#This Row],[QTDMÊS]] * tabPontoPed[[#This Row],[MENSAL]]</f>
        <v>204</v>
      </c>
      <c r="L624" s="83"/>
      <c r="M624" s="81"/>
      <c r="N624" s="34" t="s">
        <v>1009</v>
      </c>
      <c r="O624" s="76" t="s">
        <v>1689</v>
      </c>
      <c r="P624" s="77">
        <v>0</v>
      </c>
      <c r="Q624" s="57">
        <v>48</v>
      </c>
      <c r="R624" s="42">
        <v>45</v>
      </c>
      <c r="S624" s="69" t="str">
        <f>_xlfn.IFNA(IF(VLOOKUP(tabPontoPed[[#This Row],[CÓDIGO]],tabExcluirDoEstoque[#Data],1,FALSE),"sim",""),"")</f>
        <v/>
      </c>
      <c r="T624" s="43">
        <f>IF(AND(tabPontoPed[[#This Row],[MENSAL]]&gt;0,tabPontoPed[[#This Row],[CÁLCULO]]&gt;0), ABS( tabPontoPed[[#This Row],[MENSAL]] - tabPontoPed[[#This Row],[CÁLCULO]] ) / tabPontoPed[[#This Row],[MENSAL]], -1 )</f>
        <v>0.11764705882352941</v>
      </c>
      <c r="U624" s="58">
        <v>90</v>
      </c>
      <c r="V624" s="35">
        <f>IF(AND(tabPontoPed[[#This Row],[MENSAL]]&gt;0,tabPontoPed[[#This Row],[CÁLCULO]]&gt;0), IF( tabPontoPed[[#This Row],[MENSAL]] - tabPontoPed[[#This Row],[CÁLCULO]] &lt; 0, -1, IF( tabPontoPed[[#This Row],[MENSAL]] - tabPontoPed[[#This Row],[CÁLCULO]] &gt; 0, 1, -8)), -9 )</f>
        <v>1</v>
      </c>
      <c r="W624" s="35"/>
      <c r="X624" s="49" t="s">
        <v>1564</v>
      </c>
      <c r="Y624" s="51">
        <v>44391.599108796298</v>
      </c>
      <c r="Z624" s="72">
        <f>tabPontoPed[CÁLC_4M] - tabPontoPed[CÁLCULO]</f>
        <v>3</v>
      </c>
      <c r="AA624" s="79" t="str">
        <f>IF(tabPontoPed[MENSAL]-tabPontoPed[ATA MENSAL] = 0,"sim","")</f>
        <v/>
      </c>
      <c r="AB624" s="79"/>
      <c r="AC624" s="47" t="str">
        <f t="shared" si="9"/>
        <v>*</v>
      </c>
    </row>
    <row r="625" spans="1:29" x14ac:dyDescent="0.25">
      <c r="A625" s="36">
        <v>13768</v>
      </c>
      <c r="B625" s="68" t="s">
        <v>440</v>
      </c>
      <c r="C625" s="33" t="s">
        <v>1317</v>
      </c>
      <c r="D625" s="32">
        <v>45</v>
      </c>
      <c r="E625" s="37">
        <v>11</v>
      </c>
      <c r="F625" s="38" t="str">
        <f>VLOOKUP(tabPontoPed[[#This Row],[GRUPO]],tabGrupos[#Data],2,FALSE)</f>
        <v>MAQ., EQUIP., COMP., ACES., MAT. PARA ESCRIT.E ESCOLAR</v>
      </c>
      <c r="G625" s="32" t="str">
        <f>VLOOKUP(tabPontoPed[[#This Row],[GRUPO]],tabGrupos[#Data],3,FALSE)</f>
        <v>EDU</v>
      </c>
      <c r="H625" s="33" t="s">
        <v>1311</v>
      </c>
      <c r="I625" s="80">
        <v>4</v>
      </c>
      <c r="J625" s="39">
        <v>580</v>
      </c>
      <c r="K625" s="41">
        <f>tabPontoPed[[#This Row],[QTDMÊS]] * tabPontoPed[[#This Row],[MENSAL]]</f>
        <v>2320</v>
      </c>
      <c r="L625" s="83"/>
      <c r="M625" s="81"/>
      <c r="N625" s="34" t="s">
        <v>1009</v>
      </c>
      <c r="O625" s="76" t="s">
        <v>1696</v>
      </c>
      <c r="P625" s="77">
        <v>0</v>
      </c>
      <c r="Q625" s="57">
        <v>310</v>
      </c>
      <c r="R625" s="42">
        <v>512</v>
      </c>
      <c r="S625" s="69" t="str">
        <f>_xlfn.IFNA(IF(VLOOKUP(tabPontoPed[[#This Row],[CÓDIGO]],tabExcluirDoEstoque[#Data],1,FALSE),"sim",""),"")</f>
        <v/>
      </c>
      <c r="T625" s="43">
        <f>IF(AND(tabPontoPed[[#This Row],[MENSAL]]&gt;0,tabPontoPed[[#This Row],[CÁLCULO]]&gt;0), ABS( tabPontoPed[[#This Row],[MENSAL]] - tabPontoPed[[#This Row],[CÁLCULO]] ) / tabPontoPed[[#This Row],[MENSAL]], -1 )</f>
        <v>0.11724137931034483</v>
      </c>
      <c r="U625" s="58">
        <v>2573</v>
      </c>
      <c r="V625" s="35">
        <f>IF(AND(tabPontoPed[[#This Row],[MENSAL]]&gt;0,tabPontoPed[[#This Row],[CÁLCULO]]&gt;0), IF( tabPontoPed[[#This Row],[MENSAL]] - tabPontoPed[[#This Row],[CÁLCULO]] &lt; 0, -1, IF( tabPontoPed[[#This Row],[MENSAL]] - tabPontoPed[[#This Row],[CÁLCULO]] &gt; 0, 1, -8)), -9 )</f>
        <v>1</v>
      </c>
      <c r="W625" s="35"/>
      <c r="X625" s="48" t="s">
        <v>1564</v>
      </c>
      <c r="Y625" s="53">
        <v>44391.599108796298</v>
      </c>
      <c r="Z625" s="72">
        <f>tabPontoPed[CÁLC_4M] - tabPontoPed[CÁLCULO]</f>
        <v>-202</v>
      </c>
      <c r="AA625" s="79" t="str">
        <f>IF(tabPontoPed[MENSAL]-tabPontoPed[ATA MENSAL] = 0,"sim","")</f>
        <v/>
      </c>
      <c r="AB625" s="79"/>
      <c r="AC625" s="47" t="str">
        <f t="shared" si="9"/>
        <v>*</v>
      </c>
    </row>
    <row r="626" spans="1:29" x14ac:dyDescent="0.25">
      <c r="A626" s="36">
        <v>111806</v>
      </c>
      <c r="B626" s="68" t="s">
        <v>22</v>
      </c>
      <c r="C626" s="33" t="s">
        <v>1317</v>
      </c>
      <c r="D626" s="32">
        <v>55</v>
      </c>
      <c r="E626" s="37">
        <v>32</v>
      </c>
      <c r="F626" s="38" t="str">
        <f>VLOOKUP(tabPontoPed[[#This Row],[GRUPO]],tabGrupos[#Data],2,FALSE)</f>
        <v>EQUIP. MAT. P/ GERACAO, TRANSM. DISTR. RETIF...</v>
      </c>
      <c r="G626" s="32" t="str">
        <f>VLOOKUP(tabPontoPed[[#This Row],[GRUPO]],tabGrupos[#Data],3,FALSE)</f>
        <v>MEL</v>
      </c>
      <c r="H626" s="33" t="s">
        <v>1311</v>
      </c>
      <c r="I626" s="80">
        <v>4</v>
      </c>
      <c r="J626" s="39">
        <v>60</v>
      </c>
      <c r="K626" s="41">
        <f>tabPontoPed[[#This Row],[QTDMÊS]] * tabPontoPed[[#This Row],[MENSAL]]</f>
        <v>240</v>
      </c>
      <c r="L626" s="83"/>
      <c r="M626" s="81"/>
      <c r="N626" s="34" t="s">
        <v>1009</v>
      </c>
      <c r="O626" s="76" t="s">
        <v>1676</v>
      </c>
      <c r="P626" s="77">
        <v>0</v>
      </c>
      <c r="Q626" s="57">
        <v>132</v>
      </c>
      <c r="R626" s="42">
        <v>67</v>
      </c>
      <c r="S626" s="69" t="str">
        <f>_xlfn.IFNA(IF(VLOOKUP(tabPontoPed[[#This Row],[CÓDIGO]],tabExcluirDoEstoque[#Data],1,FALSE),"sim",""),"")</f>
        <v/>
      </c>
      <c r="T626" s="43">
        <f>IF(AND(tabPontoPed[[#This Row],[MENSAL]]&gt;0,tabPontoPed[[#This Row],[CÁLCULO]]&gt;0), ABS( tabPontoPed[[#This Row],[MENSAL]] - tabPontoPed[[#This Row],[CÁLCULO]] ) / tabPontoPed[[#This Row],[MENSAL]], -1 )</f>
        <v>0.11666666666666667</v>
      </c>
      <c r="U626" s="58">
        <v>260</v>
      </c>
      <c r="V626" s="35">
        <f>IF(AND(tabPontoPed[[#This Row],[MENSAL]]&gt;0,tabPontoPed[[#This Row],[CÁLCULO]]&gt;0), IF( tabPontoPed[[#This Row],[MENSAL]] - tabPontoPed[[#This Row],[CÁLCULO]] &lt; 0, -1, IF( tabPontoPed[[#This Row],[MENSAL]] - tabPontoPed[[#This Row],[CÁLCULO]] &gt; 0, 1, -8)), -9 )</f>
        <v>-1</v>
      </c>
      <c r="W626" s="35"/>
      <c r="X626" s="48" t="s">
        <v>1564</v>
      </c>
      <c r="Y626" s="53">
        <v>44391.599108796298</v>
      </c>
      <c r="Z626" s="72">
        <f>tabPontoPed[CÁLC_4M] - tabPontoPed[CÁLCULO]</f>
        <v>65</v>
      </c>
      <c r="AA626" s="79" t="str">
        <f>IF(tabPontoPed[MENSAL]-tabPontoPed[ATA MENSAL] = 0,"sim","")</f>
        <v/>
      </c>
      <c r="AB626" s="79"/>
      <c r="AC626" s="47" t="str">
        <f t="shared" si="9"/>
        <v>*</v>
      </c>
    </row>
    <row r="627" spans="1:29" x14ac:dyDescent="0.25">
      <c r="A627" s="36">
        <v>126060</v>
      </c>
      <c r="B627" s="68" t="s">
        <v>870</v>
      </c>
      <c r="C627" s="33" t="s">
        <v>1317</v>
      </c>
      <c r="D627" s="32">
        <v>67</v>
      </c>
      <c r="E627" s="37">
        <v>18</v>
      </c>
      <c r="F627" s="38" t="str">
        <f>VLOOKUP(tabPontoPed[[#This Row],[GRUPO]],tabGrupos[#Data],2,FALSE)</f>
        <v>PARAFUSOS ELEM. VEDACAO UNIAO CONEX . FIXACAO</v>
      </c>
      <c r="G627" s="32" t="str">
        <f>VLOOKUP(tabPontoPed[[#This Row],[GRUPO]],tabGrupos[#Data],3,FALSE)</f>
        <v>MSE</v>
      </c>
      <c r="H627" s="33" t="s">
        <v>1311</v>
      </c>
      <c r="I627" s="80">
        <v>4</v>
      </c>
      <c r="J627" s="39">
        <v>9</v>
      </c>
      <c r="K627" s="41">
        <f>tabPontoPed[[#This Row],[QTDMÊS]] * tabPontoPed[[#This Row],[MENSAL]]</f>
        <v>36</v>
      </c>
      <c r="L627" s="83"/>
      <c r="M627" s="81"/>
      <c r="N627" s="34" t="s">
        <v>1009</v>
      </c>
      <c r="O627" s="76"/>
      <c r="P627" s="77">
        <v>0</v>
      </c>
      <c r="Q627" s="57">
        <v>11</v>
      </c>
      <c r="R627" s="42">
        <v>8</v>
      </c>
      <c r="S627" s="69" t="str">
        <f>_xlfn.IFNA(IF(VLOOKUP(tabPontoPed[[#This Row],[CÓDIGO]],tabExcluirDoEstoque[#Data],1,FALSE),"sim",""),"")</f>
        <v/>
      </c>
      <c r="T627" s="43">
        <f>IF(AND(tabPontoPed[[#This Row],[MENSAL]]&gt;0,tabPontoPed[[#This Row],[CÁLCULO]]&gt;0), ABS( tabPontoPed[[#This Row],[MENSAL]] - tabPontoPed[[#This Row],[CÁLCULO]] ) / tabPontoPed[[#This Row],[MENSAL]], -1 )</f>
        <v>0.1111111111111111</v>
      </c>
      <c r="U627" s="58">
        <v>39</v>
      </c>
      <c r="V627" s="35">
        <f>IF(AND(tabPontoPed[[#This Row],[MENSAL]]&gt;0,tabPontoPed[[#This Row],[CÁLCULO]]&gt;0), IF( tabPontoPed[[#This Row],[MENSAL]] - tabPontoPed[[#This Row],[CÁLCULO]] &lt; 0, -1, IF( tabPontoPed[[#This Row],[MENSAL]] - tabPontoPed[[#This Row],[CÁLCULO]] &gt; 0, 1, -8)), -9 )</f>
        <v>1</v>
      </c>
      <c r="W627" s="35"/>
      <c r="X627" s="49" t="s">
        <v>1564</v>
      </c>
      <c r="Y627" s="51">
        <v>44391.599108796298</v>
      </c>
      <c r="Z627" s="72">
        <f>tabPontoPed[CÁLC_4M] - tabPontoPed[CÁLCULO]</f>
        <v>3</v>
      </c>
      <c r="AA627" s="79" t="str">
        <f>IF(tabPontoPed[MENSAL]-tabPontoPed[ATA MENSAL] = 0,"sim","")</f>
        <v/>
      </c>
      <c r="AB627" s="79"/>
      <c r="AC627" s="47" t="str">
        <f t="shared" si="9"/>
        <v>*</v>
      </c>
    </row>
    <row r="628" spans="1:29" x14ac:dyDescent="0.25">
      <c r="A628" s="36">
        <v>135302</v>
      </c>
      <c r="B628" s="68" t="s">
        <v>303</v>
      </c>
      <c r="C628" s="33" t="s">
        <v>1317</v>
      </c>
      <c r="D628" s="32">
        <v>61</v>
      </c>
      <c r="E628" s="37">
        <v>8</v>
      </c>
      <c r="F628" s="38" t="str">
        <f>VLOOKUP(tabPontoPed[[#This Row],[GRUPO]],tabGrupos[#Data],2,FALSE)</f>
        <v>MATERIAL HIDRAULICO, CANOS, TUBOS, MANGUEIRAS, CONEXOES E ACESS.</v>
      </c>
      <c r="G628" s="32" t="str">
        <f>VLOOKUP(tabPontoPed[[#This Row],[GRUPO]],tabGrupos[#Data],3,FALSE)</f>
        <v>MHI</v>
      </c>
      <c r="H628" s="33" t="s">
        <v>1311</v>
      </c>
      <c r="I628" s="80">
        <v>4</v>
      </c>
      <c r="J628" s="39">
        <v>19</v>
      </c>
      <c r="K628" s="41">
        <f>tabPontoPed[[#This Row],[QTDMÊS]] * tabPontoPed[[#This Row],[MENSAL]]</f>
        <v>76</v>
      </c>
      <c r="L628" s="83"/>
      <c r="M628" s="81"/>
      <c r="N628" s="34" t="s">
        <v>1009</v>
      </c>
      <c r="O628" s="76" t="s">
        <v>1678</v>
      </c>
      <c r="P628" s="77">
        <v>0</v>
      </c>
      <c r="Q628" s="57">
        <v>20</v>
      </c>
      <c r="R628" s="42">
        <v>21</v>
      </c>
      <c r="S628" s="69" t="str">
        <f>_xlfn.IFNA(IF(VLOOKUP(tabPontoPed[[#This Row],[CÓDIGO]],tabExcluirDoEstoque[#Data],1,FALSE),"sim",""),"")</f>
        <v/>
      </c>
      <c r="T628" s="43">
        <f>IF(AND(tabPontoPed[[#This Row],[MENSAL]]&gt;0,tabPontoPed[[#This Row],[CÁLCULO]]&gt;0), ABS( tabPontoPed[[#This Row],[MENSAL]] - tabPontoPed[[#This Row],[CÁLCULO]] ) / tabPontoPed[[#This Row],[MENSAL]], -1 )</f>
        <v>0.10526315789473684</v>
      </c>
      <c r="U628" s="58">
        <v>38</v>
      </c>
      <c r="V628" s="35">
        <f>IF(AND(tabPontoPed[[#This Row],[MENSAL]]&gt;0,tabPontoPed[[#This Row],[CÁLCULO]]&gt;0), IF( tabPontoPed[[#This Row],[MENSAL]] - tabPontoPed[[#This Row],[CÁLCULO]] &lt; 0, -1, IF( tabPontoPed[[#This Row],[MENSAL]] - tabPontoPed[[#This Row],[CÁLCULO]] &gt; 0, 1, -8)), -9 )</f>
        <v>-1</v>
      </c>
      <c r="W628" s="35"/>
      <c r="X628" s="48" t="s">
        <v>1564</v>
      </c>
      <c r="Y628" s="53">
        <v>44391.599108796298</v>
      </c>
      <c r="Z628" s="72">
        <f>tabPontoPed[CÁLC_4M] - tabPontoPed[CÁLCULO]</f>
        <v>-1</v>
      </c>
      <c r="AA628" s="79" t="str">
        <f>IF(tabPontoPed[MENSAL]-tabPontoPed[ATA MENSAL] = 0,"sim","")</f>
        <v/>
      </c>
      <c r="AB628" s="79"/>
      <c r="AC628" s="47" t="str">
        <f t="shared" si="9"/>
        <v>*</v>
      </c>
    </row>
    <row r="629" spans="1:29" x14ac:dyDescent="0.25">
      <c r="A629" s="36">
        <v>81370</v>
      </c>
      <c r="B629" s="68" t="s">
        <v>923</v>
      </c>
      <c r="C629" s="33" t="s">
        <v>1317</v>
      </c>
      <c r="D629" s="32">
        <v>71</v>
      </c>
      <c r="E629" s="37">
        <v>33</v>
      </c>
      <c r="F629" s="38" t="str">
        <f>VLOOKUP(tabPontoPed[[#This Row],[GRUPO]],tabGrupos[#Data],2,FALSE)</f>
        <v>GENEROS ALIMENTICIOS E BEBIDAS</v>
      </c>
      <c r="G629" s="32" t="str">
        <f>VLOOKUP(tabPontoPed[[#This Row],[GRUPO]],tabGrupos[#Data],3,FALSE)</f>
        <v>EDU</v>
      </c>
      <c r="H629" s="33" t="s">
        <v>1311</v>
      </c>
      <c r="I629" s="80">
        <v>4</v>
      </c>
      <c r="J629" s="39">
        <v>354</v>
      </c>
      <c r="K629" s="41">
        <f>tabPontoPed[[#This Row],[QTDMÊS]] * tabPontoPed[[#This Row],[MENSAL]]</f>
        <v>1416</v>
      </c>
      <c r="L629" s="83"/>
      <c r="M629" s="81"/>
      <c r="N629" s="34" t="s">
        <v>1009</v>
      </c>
      <c r="O629" s="76"/>
      <c r="P629" s="77">
        <v>0</v>
      </c>
      <c r="Q629" s="57">
        <v>103</v>
      </c>
      <c r="R629" s="42">
        <v>391</v>
      </c>
      <c r="S629" s="69" t="str">
        <f>_xlfn.IFNA(IF(VLOOKUP(tabPontoPed[[#This Row],[CÓDIGO]],tabExcluirDoEstoque[#Data],1,FALSE),"sim",""),"")</f>
        <v/>
      </c>
      <c r="T629" s="43">
        <f>IF(AND(tabPontoPed[[#This Row],[MENSAL]]&gt;0,tabPontoPed[[#This Row],[CÁLCULO]]&gt;0), ABS( tabPontoPed[[#This Row],[MENSAL]] - tabPontoPed[[#This Row],[CÁLCULO]] ) / tabPontoPed[[#This Row],[MENSAL]], -1 )</f>
        <v>0.10451977401129943</v>
      </c>
      <c r="U629" s="58">
        <v>3324</v>
      </c>
      <c r="V629" s="35">
        <f>IF(AND(tabPontoPed[[#This Row],[MENSAL]]&gt;0,tabPontoPed[[#This Row],[CÁLCULO]]&gt;0), IF( tabPontoPed[[#This Row],[MENSAL]] - tabPontoPed[[#This Row],[CÁLCULO]] &lt; 0, -1, IF( tabPontoPed[[#This Row],[MENSAL]] - tabPontoPed[[#This Row],[CÁLCULO]] &gt; 0, 1, -8)), -9 )</f>
        <v>-1</v>
      </c>
      <c r="W629" s="35"/>
      <c r="X629" s="49" t="s">
        <v>1564</v>
      </c>
      <c r="Y629" s="51">
        <v>44391.599108796298</v>
      </c>
      <c r="Z629" s="72">
        <f>tabPontoPed[CÁLC_4M] - tabPontoPed[CÁLCULO]</f>
        <v>-288</v>
      </c>
      <c r="AA629" s="79" t="str">
        <f>IF(tabPontoPed[MENSAL]-tabPontoPed[ATA MENSAL] = 0,"sim","")</f>
        <v/>
      </c>
      <c r="AB629" s="79"/>
      <c r="AC629" s="47" t="str">
        <f t="shared" si="9"/>
        <v>*</v>
      </c>
    </row>
    <row r="630" spans="1:29" x14ac:dyDescent="0.25">
      <c r="A630" s="36">
        <v>92908</v>
      </c>
      <c r="B630" s="68" t="s">
        <v>708</v>
      </c>
      <c r="C630" s="33" t="s">
        <v>1317</v>
      </c>
      <c r="D630" s="32">
        <v>57</v>
      </c>
      <c r="E630" s="37">
        <v>17</v>
      </c>
      <c r="F630" s="38" t="str">
        <f>VLOOKUP(tabPontoPed[[#This Row],[GRUPO]],tabGrupos[#Data],2,FALSE)</f>
        <v>MAQ. E EQUIP. P/ IND. GRAFICA COMP. ACESS. E PAPEI</v>
      </c>
      <c r="G630" s="32" t="str">
        <f>VLOOKUP(tabPontoPed[[#This Row],[GRUPO]],tabGrupos[#Data],3,FALSE)</f>
        <v>EDU</v>
      </c>
      <c r="H630" s="33" t="s">
        <v>1311</v>
      </c>
      <c r="I630" s="80">
        <v>4</v>
      </c>
      <c r="J630" s="39">
        <v>327</v>
      </c>
      <c r="K630" s="41">
        <f>tabPontoPed[[#This Row],[QTDMÊS]] * tabPontoPed[[#This Row],[MENSAL]]</f>
        <v>1308</v>
      </c>
      <c r="L630" s="83"/>
      <c r="M630" s="81"/>
      <c r="N630" s="34" t="s">
        <v>1009</v>
      </c>
      <c r="O630" s="76" t="s">
        <v>1718</v>
      </c>
      <c r="P630" s="77">
        <v>0</v>
      </c>
      <c r="Q630" s="57">
        <v>137</v>
      </c>
      <c r="R630" s="42">
        <v>293</v>
      </c>
      <c r="S630" s="69" t="str">
        <f>_xlfn.IFNA(IF(VLOOKUP(tabPontoPed[[#This Row],[CÓDIGO]],tabExcluirDoEstoque[#Data],1,FALSE),"sim",""),"")</f>
        <v/>
      </c>
      <c r="T630" s="43">
        <f>IF(AND(tabPontoPed[[#This Row],[MENSAL]]&gt;0,tabPontoPed[[#This Row],[CÁLCULO]]&gt;0), ABS( tabPontoPed[[#This Row],[MENSAL]] - tabPontoPed[[#This Row],[CÁLCULO]] ) / tabPontoPed[[#This Row],[MENSAL]], -1 )</f>
        <v>0.10397553516819572</v>
      </c>
      <c r="U630" s="58">
        <v>1735</v>
      </c>
      <c r="V630" s="35">
        <f>IF(AND(tabPontoPed[[#This Row],[MENSAL]]&gt;0,tabPontoPed[[#This Row],[CÁLCULO]]&gt;0), IF( tabPontoPed[[#This Row],[MENSAL]] - tabPontoPed[[#This Row],[CÁLCULO]] &lt; 0, -1, IF( tabPontoPed[[#This Row],[MENSAL]] - tabPontoPed[[#This Row],[CÁLCULO]] &gt; 0, 1, -8)), -9 )</f>
        <v>1</v>
      </c>
      <c r="W630" s="35"/>
      <c r="X630" s="49" t="s">
        <v>1564</v>
      </c>
      <c r="Y630" s="51">
        <v>44391.599108796298</v>
      </c>
      <c r="Z630" s="72">
        <f>tabPontoPed[CÁLC_4M] - tabPontoPed[CÁLCULO]</f>
        <v>-156</v>
      </c>
      <c r="AA630" s="79" t="str">
        <f>IF(tabPontoPed[MENSAL]-tabPontoPed[ATA MENSAL] = 0,"sim","")</f>
        <v/>
      </c>
      <c r="AB630" s="79"/>
      <c r="AC630" s="47" t="str">
        <f t="shared" si="9"/>
        <v>*</v>
      </c>
    </row>
    <row r="631" spans="1:29" x14ac:dyDescent="0.25">
      <c r="A631" s="36">
        <v>123146</v>
      </c>
      <c r="B631" s="68" t="s">
        <v>499</v>
      </c>
      <c r="C631" s="33" t="s">
        <v>1317</v>
      </c>
      <c r="D631" s="32">
        <v>51</v>
      </c>
      <c r="E631" s="37">
        <v>4</v>
      </c>
      <c r="F631" s="38" t="str">
        <f>VLOOKUP(tabPontoPed[[#This Row],[GRUPO]],tabGrupos[#Data],2,FALSE)</f>
        <v>MAT.E EQUIP. P/ CONSTR.CIVIL E CONSERV. DE VIAS PUBL.</v>
      </c>
      <c r="G631" s="32" t="str">
        <f>VLOOKUP(tabPontoPed[[#This Row],[GRUPO]],tabGrupos[#Data],3,FALSE)</f>
        <v>MCO</v>
      </c>
      <c r="H631" s="33" t="s">
        <v>1311</v>
      </c>
      <c r="I631" s="80">
        <v>4</v>
      </c>
      <c r="J631" s="39">
        <v>267</v>
      </c>
      <c r="K631" s="41">
        <f>tabPontoPed[[#This Row],[QTDMÊS]] * tabPontoPed[[#This Row],[MENSAL]]</f>
        <v>1068</v>
      </c>
      <c r="L631" s="83"/>
      <c r="M631" s="81"/>
      <c r="N631" s="34" t="s">
        <v>1009</v>
      </c>
      <c r="O631" s="76" t="s">
        <v>1666</v>
      </c>
      <c r="P631" s="77">
        <v>0</v>
      </c>
      <c r="Q631" s="57">
        <v>297</v>
      </c>
      <c r="R631" s="42">
        <v>240</v>
      </c>
      <c r="S631" s="69" t="str">
        <f>_xlfn.IFNA(IF(VLOOKUP(tabPontoPed[[#This Row],[CÓDIGO]],tabExcluirDoEstoque[#Data],1,FALSE),"sim",""),"")</f>
        <v>sim</v>
      </c>
      <c r="T631" s="43">
        <f>IF(AND(tabPontoPed[[#This Row],[MENSAL]]&gt;0,tabPontoPed[[#This Row],[CÁLCULO]]&gt;0), ABS( tabPontoPed[[#This Row],[MENSAL]] - tabPontoPed[[#This Row],[CÁLCULO]] ) / tabPontoPed[[#This Row],[MENSAL]], -1 )</f>
        <v>0.10112359550561797</v>
      </c>
      <c r="U631" s="58">
        <v>457</v>
      </c>
      <c r="V631" s="35">
        <f>IF(AND(tabPontoPed[[#This Row],[MENSAL]]&gt;0,tabPontoPed[[#This Row],[CÁLCULO]]&gt;0), IF( tabPontoPed[[#This Row],[MENSAL]] - tabPontoPed[[#This Row],[CÁLCULO]] &lt; 0, -1, IF( tabPontoPed[[#This Row],[MENSAL]] - tabPontoPed[[#This Row],[CÁLCULO]] &gt; 0, 1, -8)), -9 )</f>
        <v>1</v>
      </c>
      <c r="W631" s="35"/>
      <c r="X631" s="49" t="s">
        <v>1564</v>
      </c>
      <c r="Y631" s="51">
        <v>44391.599108796298</v>
      </c>
      <c r="Z631" s="72">
        <f>tabPontoPed[CÁLC_4M] - tabPontoPed[CÁLCULO]</f>
        <v>57</v>
      </c>
      <c r="AA631" s="79" t="str">
        <f>IF(tabPontoPed[MENSAL]-tabPontoPed[ATA MENSAL] = 0,"sim","")</f>
        <v/>
      </c>
      <c r="AB631" s="79" t="s">
        <v>1614</v>
      </c>
      <c r="AC631" s="47" t="str">
        <f t="shared" si="9"/>
        <v>*</v>
      </c>
    </row>
    <row r="632" spans="1:29" x14ac:dyDescent="0.25">
      <c r="A632" s="36">
        <v>11590</v>
      </c>
      <c r="B632" s="68" t="s">
        <v>426</v>
      </c>
      <c r="C632" s="33" t="s">
        <v>1317</v>
      </c>
      <c r="D632" s="32">
        <v>45</v>
      </c>
      <c r="E632" s="37">
        <v>10</v>
      </c>
      <c r="F632" s="38" t="str">
        <f>VLOOKUP(tabPontoPed[[#This Row],[GRUPO]],tabGrupos[#Data],2,FALSE)</f>
        <v>MAQ., EQUIP., COMP., ACES., MAT. PARA ESCRIT.E ESCOLAR</v>
      </c>
      <c r="G632" s="32" t="str">
        <f>VLOOKUP(tabPontoPed[[#This Row],[GRUPO]],tabGrupos[#Data],3,FALSE)</f>
        <v>EDU</v>
      </c>
      <c r="H632" s="33" t="s">
        <v>1311</v>
      </c>
      <c r="I632" s="80">
        <v>4</v>
      </c>
      <c r="J632" s="39">
        <v>456</v>
      </c>
      <c r="K632" s="41">
        <f>tabPontoPed[[#This Row],[QTDMÊS]] * tabPontoPed[[#This Row],[MENSAL]]</f>
        <v>1824</v>
      </c>
      <c r="L632" s="83"/>
      <c r="M632" s="81"/>
      <c r="N632" s="34" t="s">
        <v>1009</v>
      </c>
      <c r="O632" s="76" t="s">
        <v>1696</v>
      </c>
      <c r="P632" s="77">
        <v>0</v>
      </c>
      <c r="Q632" s="57">
        <v>141</v>
      </c>
      <c r="R632" s="42">
        <v>410</v>
      </c>
      <c r="S632" s="69" t="str">
        <f>_xlfn.IFNA(IF(VLOOKUP(tabPontoPed[[#This Row],[CÓDIGO]],tabExcluirDoEstoque[#Data],1,FALSE),"sim",""),"")</f>
        <v/>
      </c>
      <c r="T632" s="43">
        <f>IF(AND(tabPontoPed[[#This Row],[MENSAL]]&gt;0,tabPontoPed[[#This Row],[CÁLCULO]]&gt;0), ABS( tabPontoPed[[#This Row],[MENSAL]] - tabPontoPed[[#This Row],[CÁLCULO]] ) / tabPontoPed[[#This Row],[MENSAL]], -1 )</f>
        <v>0.10087719298245613</v>
      </c>
      <c r="U632" s="58">
        <v>3432</v>
      </c>
      <c r="V632" s="35">
        <f>IF(AND(tabPontoPed[[#This Row],[MENSAL]]&gt;0,tabPontoPed[[#This Row],[CÁLCULO]]&gt;0), IF( tabPontoPed[[#This Row],[MENSAL]] - tabPontoPed[[#This Row],[CÁLCULO]] &lt; 0, -1, IF( tabPontoPed[[#This Row],[MENSAL]] - tabPontoPed[[#This Row],[CÁLCULO]] &gt; 0, 1, -8)), -9 )</f>
        <v>1</v>
      </c>
      <c r="W632" s="35"/>
      <c r="X632" s="49" t="s">
        <v>1564</v>
      </c>
      <c r="Y632" s="51">
        <v>44391.599108796298</v>
      </c>
      <c r="Z632" s="72">
        <f>tabPontoPed[CÁLC_4M] - tabPontoPed[CÁLCULO]</f>
        <v>-269</v>
      </c>
      <c r="AA632" s="79" t="str">
        <f>IF(tabPontoPed[MENSAL]-tabPontoPed[ATA MENSAL] = 0,"sim","")</f>
        <v/>
      </c>
      <c r="AB632" s="79"/>
      <c r="AC632" s="47" t="str">
        <f t="shared" si="9"/>
        <v>*</v>
      </c>
    </row>
    <row r="633" spans="1:29" x14ac:dyDescent="0.25">
      <c r="A633" s="36">
        <v>111336</v>
      </c>
      <c r="B633" s="68" t="s">
        <v>727</v>
      </c>
      <c r="C633" s="33" t="s">
        <v>1317</v>
      </c>
      <c r="D633" s="32">
        <v>61</v>
      </c>
      <c r="E633" s="37">
        <v>3</v>
      </c>
      <c r="F633" s="38" t="str">
        <f>VLOOKUP(tabPontoPed[[#This Row],[GRUPO]],tabGrupos[#Data],2,FALSE)</f>
        <v>MATERIAL HIDRAULICO, CANOS, TUBOS, MANGUEIRAS, CONEXOES E ACESS.</v>
      </c>
      <c r="G633" s="32" t="str">
        <f>VLOOKUP(tabPontoPed[[#This Row],[GRUPO]],tabGrupos[#Data],3,FALSE)</f>
        <v>MHI</v>
      </c>
      <c r="H633" s="33" t="s">
        <v>1311</v>
      </c>
      <c r="I633" s="80">
        <v>4</v>
      </c>
      <c r="J633" s="39">
        <v>30</v>
      </c>
      <c r="K633" s="41">
        <f>tabPontoPed[[#This Row],[QTDMÊS]] * tabPontoPed[[#This Row],[MENSAL]]</f>
        <v>120</v>
      </c>
      <c r="L633" s="83"/>
      <c r="M633" s="81"/>
      <c r="N633" s="34" t="s">
        <v>1009</v>
      </c>
      <c r="O633" s="76" t="s">
        <v>1692</v>
      </c>
      <c r="P633" s="77">
        <v>0</v>
      </c>
      <c r="Q633" s="57">
        <v>16</v>
      </c>
      <c r="R633" s="42">
        <v>27</v>
      </c>
      <c r="S633" s="69" t="str">
        <f>_xlfn.IFNA(IF(VLOOKUP(tabPontoPed[[#This Row],[CÓDIGO]],tabExcluirDoEstoque[#Data],1,FALSE),"sim",""),"")</f>
        <v/>
      </c>
      <c r="T633" s="43">
        <f>IF(AND(tabPontoPed[[#This Row],[MENSAL]]&gt;0,tabPontoPed[[#This Row],[CÁLCULO]]&gt;0), ABS( tabPontoPed[[#This Row],[MENSAL]] - tabPontoPed[[#This Row],[CÁLCULO]] ) / tabPontoPed[[#This Row],[MENSAL]], -1 )</f>
        <v>0.1</v>
      </c>
      <c r="U633" s="58">
        <v>81</v>
      </c>
      <c r="V633" s="35">
        <f>IF(AND(tabPontoPed[[#This Row],[MENSAL]]&gt;0,tabPontoPed[[#This Row],[CÁLCULO]]&gt;0), IF( tabPontoPed[[#This Row],[MENSAL]] - tabPontoPed[[#This Row],[CÁLCULO]] &lt; 0, -1, IF( tabPontoPed[[#This Row],[MENSAL]] - tabPontoPed[[#This Row],[CÁLCULO]] &gt; 0, 1, -8)), -9 )</f>
        <v>1</v>
      </c>
      <c r="W633" s="35"/>
      <c r="X633" s="49" t="s">
        <v>1564</v>
      </c>
      <c r="Y633" s="51">
        <v>44391.599108796298</v>
      </c>
      <c r="Z633" s="72">
        <f>tabPontoPed[CÁLC_4M] - tabPontoPed[CÁLCULO]</f>
        <v>-11</v>
      </c>
      <c r="AA633" s="79" t="str">
        <f>IF(tabPontoPed[MENSAL]-tabPontoPed[ATA MENSAL] = 0,"sim","")</f>
        <v/>
      </c>
      <c r="AB633" s="79" t="s">
        <v>1614</v>
      </c>
      <c r="AC633" s="47" t="str">
        <f t="shared" si="9"/>
        <v>*</v>
      </c>
    </row>
    <row r="634" spans="1:29" ht="18.75" x14ac:dyDescent="0.25">
      <c r="A634" s="36">
        <v>23778</v>
      </c>
      <c r="B634" s="68" t="s">
        <v>182</v>
      </c>
      <c r="C634" s="33" t="s">
        <v>1317</v>
      </c>
      <c r="D634" s="32">
        <v>76</v>
      </c>
      <c r="E634" s="37">
        <v>16</v>
      </c>
      <c r="F634" s="38" t="str">
        <f>VLOOKUP(tabPontoPed[[#This Row],[GRUPO]],tabGrupos[#Data],2,FALSE)</f>
        <v>EQUIP. E MATERIAIS P/PINTURAS E IMPERMEABILIZACAO</v>
      </c>
      <c r="G634" s="32" t="str">
        <f>VLOOKUP(tabPontoPed[[#This Row],[GRUPO]],tabGrupos[#Data],3,FALSE)</f>
        <v>MPI</v>
      </c>
      <c r="H634" s="33" t="s">
        <v>1311</v>
      </c>
      <c r="I634" s="80">
        <v>4</v>
      </c>
      <c r="J634" s="39">
        <v>10</v>
      </c>
      <c r="K634" s="41">
        <f>tabPontoPed[[#This Row],[QTDMÊS]] * tabPontoPed[[#This Row],[MENSAL]]</f>
        <v>40</v>
      </c>
      <c r="L634" s="83"/>
      <c r="M634" s="81"/>
      <c r="N634" s="34" t="s">
        <v>1009</v>
      </c>
      <c r="O634" s="76" t="s">
        <v>1664</v>
      </c>
      <c r="P634" s="77">
        <v>0</v>
      </c>
      <c r="Q634" s="57">
        <v>11</v>
      </c>
      <c r="R634" s="42">
        <v>11</v>
      </c>
      <c r="S634" s="69" t="str">
        <f>_xlfn.IFNA(IF(VLOOKUP(tabPontoPed[[#This Row],[CÓDIGO]],tabExcluirDoEstoque[#Data],1,FALSE),"sim",""),"")</f>
        <v/>
      </c>
      <c r="T634" s="43">
        <f>IF(AND(tabPontoPed[[#This Row],[MENSAL]]&gt;0,tabPontoPed[[#This Row],[CÁLCULO]]&gt;0), ABS( tabPontoPed[[#This Row],[MENSAL]] - tabPontoPed[[#This Row],[CÁLCULO]] ) / tabPontoPed[[#This Row],[MENSAL]], -1 )</f>
        <v>0.1</v>
      </c>
      <c r="U634" s="58">
        <v>22</v>
      </c>
      <c r="V634" s="35">
        <f>IF(AND(tabPontoPed[[#This Row],[MENSAL]]&gt;0,tabPontoPed[[#This Row],[CÁLCULO]]&gt;0), IF( tabPontoPed[[#This Row],[MENSAL]] - tabPontoPed[[#This Row],[CÁLCULO]] &lt; 0, -1, IF( tabPontoPed[[#This Row],[MENSAL]] - tabPontoPed[[#This Row],[CÁLCULO]] &gt; 0, 1, -8)), -9 )</f>
        <v>-1</v>
      </c>
      <c r="W634" s="45"/>
      <c r="X634" s="48" t="s">
        <v>1564</v>
      </c>
      <c r="Y634" s="53">
        <v>44391.599108796298</v>
      </c>
      <c r="Z634" s="72">
        <f>tabPontoPed[CÁLC_4M] - tabPontoPed[CÁLCULO]</f>
        <v>0</v>
      </c>
      <c r="AA634" s="79" t="str">
        <f>IF(tabPontoPed[MENSAL]-tabPontoPed[ATA MENSAL] = 0,"sim","")</f>
        <v/>
      </c>
      <c r="AB634" s="79"/>
      <c r="AC634" s="47" t="str">
        <f t="shared" si="9"/>
        <v>*</v>
      </c>
    </row>
    <row r="635" spans="1:29" x14ac:dyDescent="0.25">
      <c r="A635" s="36">
        <v>76806</v>
      </c>
      <c r="B635" s="68" t="s">
        <v>879</v>
      </c>
      <c r="C635" s="33" t="s">
        <v>1317</v>
      </c>
      <c r="D635" s="32">
        <v>69</v>
      </c>
      <c r="E635" s="37">
        <v>2</v>
      </c>
      <c r="F635" s="38" t="str">
        <f>VLOOKUP(tabPontoPed[[#This Row],[GRUPO]],tabGrupos[#Data],2,FALSE)</f>
        <v>METAIS,LAMINAD.,PERFILADOS E ARTEFATOS METALICOS</v>
      </c>
      <c r="G635" s="32" t="str">
        <f>VLOOKUP(tabPontoPed[[#This Row],[GRUPO]],tabGrupos[#Data],3,FALSE)</f>
        <v>MSE</v>
      </c>
      <c r="H635" s="33" t="s">
        <v>1311</v>
      </c>
      <c r="I635" s="80">
        <v>4</v>
      </c>
      <c r="J635" s="39">
        <v>20</v>
      </c>
      <c r="K635" s="41">
        <f>tabPontoPed[[#This Row],[QTDMÊS]] * tabPontoPed[[#This Row],[MENSAL]]</f>
        <v>80</v>
      </c>
      <c r="L635" s="83"/>
      <c r="M635" s="81"/>
      <c r="N635" s="34" t="s">
        <v>1009</v>
      </c>
      <c r="O635" s="76" t="s">
        <v>1745</v>
      </c>
      <c r="P635" s="77">
        <v>0</v>
      </c>
      <c r="Q635" s="57">
        <v>18</v>
      </c>
      <c r="R635" s="42">
        <v>18</v>
      </c>
      <c r="S635" s="69" t="str">
        <f>_xlfn.IFNA(IF(VLOOKUP(tabPontoPed[[#This Row],[CÓDIGO]],tabExcluirDoEstoque[#Data],1,FALSE),"sim",""),"")</f>
        <v/>
      </c>
      <c r="T635" s="43">
        <f>IF(AND(tabPontoPed[[#This Row],[MENSAL]]&gt;0,tabPontoPed[[#This Row],[CÁLCULO]]&gt;0), ABS( tabPontoPed[[#This Row],[MENSAL]] - tabPontoPed[[#This Row],[CÁLCULO]] ) / tabPontoPed[[#This Row],[MENSAL]], -1 )</f>
        <v>0.1</v>
      </c>
      <c r="U635" s="58">
        <v>38</v>
      </c>
      <c r="V635" s="35">
        <f>IF(AND(tabPontoPed[[#This Row],[MENSAL]]&gt;0,tabPontoPed[[#This Row],[CÁLCULO]]&gt;0), IF( tabPontoPed[[#This Row],[MENSAL]] - tabPontoPed[[#This Row],[CÁLCULO]] &lt; 0, -1, IF( tabPontoPed[[#This Row],[MENSAL]] - tabPontoPed[[#This Row],[CÁLCULO]] &gt; 0, 1, -8)), -9 )</f>
        <v>1</v>
      </c>
      <c r="W635" s="35"/>
      <c r="X635" s="48" t="s">
        <v>1564</v>
      </c>
      <c r="Y635" s="53">
        <v>44391.599108796298</v>
      </c>
      <c r="Z635" s="72">
        <f>tabPontoPed[CÁLC_4M] - tabPontoPed[CÁLCULO]</f>
        <v>0</v>
      </c>
      <c r="AA635" s="79" t="str">
        <f>IF(tabPontoPed[MENSAL]-tabPontoPed[ATA MENSAL] = 0,"sim","")</f>
        <v/>
      </c>
      <c r="AB635" s="79"/>
      <c r="AC635" s="47" t="str">
        <f t="shared" si="9"/>
        <v>*</v>
      </c>
    </row>
    <row r="636" spans="1:29" x14ac:dyDescent="0.25">
      <c r="A636" s="36">
        <v>136564</v>
      </c>
      <c r="B636" s="68" t="s">
        <v>1466</v>
      </c>
      <c r="C636" s="33"/>
      <c r="D636" s="32">
        <v>60</v>
      </c>
      <c r="E636" s="37">
        <v>21</v>
      </c>
      <c r="F636" s="38" t="str">
        <f>VLOOKUP(tabPontoPed[[#This Row],[GRUPO]],tabGrupos[#Data],2,FALSE)</f>
        <v>COMPUT.SOFT. PROCES. EQUIP. SUPRI. COMP. ACESS. INFORMAT</v>
      </c>
      <c r="G636" s="32" t="str">
        <f>VLOOKUP(tabPontoPed[[#This Row],[GRUPO]],tabGrupos[#Data],3,FALSE)</f>
        <v>INF</v>
      </c>
      <c r="H636" s="33" t="s">
        <v>1311</v>
      </c>
      <c r="I636" s="80">
        <v>4</v>
      </c>
      <c r="J636" s="39">
        <v>1466</v>
      </c>
      <c r="K636" s="41">
        <f>tabPontoPed[[#This Row],[QTDMÊS]] * tabPontoPed[[#This Row],[MENSAL]]</f>
        <v>5864</v>
      </c>
      <c r="L636" s="83"/>
      <c r="M636" s="81"/>
      <c r="N636" s="34" t="s">
        <v>1009</v>
      </c>
      <c r="O636" s="76"/>
      <c r="P636" s="77">
        <v>0</v>
      </c>
      <c r="Q636" s="57">
        <v>1683</v>
      </c>
      <c r="R636" s="42">
        <v>1324</v>
      </c>
      <c r="S636" s="69" t="str">
        <f>_xlfn.IFNA(IF(VLOOKUP(tabPontoPed[[#This Row],[CÓDIGO]],tabExcluirDoEstoque[#Data],1,FALSE),"sim",""),"")</f>
        <v/>
      </c>
      <c r="T636" s="43">
        <f>IF(AND(tabPontoPed[[#This Row],[MENSAL]]&gt;0,tabPontoPed[[#This Row],[CÁLCULO]]&gt;0), ABS( tabPontoPed[[#This Row],[MENSAL]] - tabPontoPed[[#This Row],[CÁLCULO]] ) / tabPontoPed[[#This Row],[MENSAL]], -1 )</f>
        <v>9.6862210095497947E-2</v>
      </c>
      <c r="U636" s="58">
        <v>2135</v>
      </c>
      <c r="V636" s="35">
        <f>IF(AND(tabPontoPed[[#This Row],[MENSAL]]&gt;0,tabPontoPed[[#This Row],[CÁLCULO]]&gt;0), IF( tabPontoPed[[#This Row],[MENSAL]] - tabPontoPed[[#This Row],[CÁLCULO]] &lt; 0, -1, IF( tabPontoPed[[#This Row],[MENSAL]] - tabPontoPed[[#This Row],[CÁLCULO]] &gt; 0, 1, -8)), -9 )</f>
        <v>1</v>
      </c>
      <c r="W636" s="35"/>
      <c r="X636" s="49" t="s">
        <v>1564</v>
      </c>
      <c r="Y636" s="51">
        <v>44391.599108796298</v>
      </c>
      <c r="Z636" s="72">
        <f>tabPontoPed[CÁLC_4M] - tabPontoPed[CÁLCULO]</f>
        <v>359</v>
      </c>
      <c r="AA636" s="79" t="str">
        <f>IF(tabPontoPed[MENSAL]-tabPontoPed[ATA MENSAL] = 0,"sim","")</f>
        <v/>
      </c>
      <c r="AB636" s="79"/>
      <c r="AC636" s="47" t="str">
        <f t="shared" si="9"/>
        <v>*</v>
      </c>
    </row>
    <row r="637" spans="1:29" x14ac:dyDescent="0.25">
      <c r="A637" s="36">
        <v>113611</v>
      </c>
      <c r="B637" s="68" t="s">
        <v>563</v>
      </c>
      <c r="C637" s="33" t="s">
        <v>1317</v>
      </c>
      <c r="D637" s="32">
        <v>51</v>
      </c>
      <c r="E637" s="37">
        <v>37</v>
      </c>
      <c r="F637" s="38" t="str">
        <f>VLOOKUP(tabPontoPed[[#This Row],[GRUPO]],tabGrupos[#Data],2,FALSE)</f>
        <v>MAT.E EQUIP. P/ CONSTR.CIVIL E CONSERV. DE VIAS PUBL.</v>
      </c>
      <c r="G637" s="32" t="str">
        <f>VLOOKUP(tabPontoPed[[#This Row],[GRUPO]],tabGrupos[#Data],3,FALSE)</f>
        <v>MCO</v>
      </c>
      <c r="H637" s="33" t="s">
        <v>1311</v>
      </c>
      <c r="I637" s="80">
        <v>4</v>
      </c>
      <c r="J637" s="39">
        <v>42</v>
      </c>
      <c r="K637" s="41">
        <f>tabPontoPed[[#This Row],[QTDMÊS]] * tabPontoPed[[#This Row],[MENSAL]]</f>
        <v>168</v>
      </c>
      <c r="L637" s="83"/>
      <c r="M637" s="81"/>
      <c r="N637" s="34" t="s">
        <v>1009</v>
      </c>
      <c r="O637" s="76" t="s">
        <v>1691</v>
      </c>
      <c r="P637" s="77">
        <v>0</v>
      </c>
      <c r="Q637" s="57">
        <v>52</v>
      </c>
      <c r="R637" s="42">
        <v>46</v>
      </c>
      <c r="S637" s="69" t="str">
        <f>_xlfn.IFNA(IF(VLOOKUP(tabPontoPed[[#This Row],[CÓDIGO]],tabExcluirDoEstoque[#Data],1,FALSE),"sim",""),"")</f>
        <v/>
      </c>
      <c r="T637" s="43">
        <f>IF(AND(tabPontoPed[[#This Row],[MENSAL]]&gt;0,tabPontoPed[[#This Row],[CÁLCULO]]&gt;0), ABS( tabPontoPed[[#This Row],[MENSAL]] - tabPontoPed[[#This Row],[CÁLCULO]] ) / tabPontoPed[[#This Row],[MENSAL]], -1 )</f>
        <v>9.5238095238095233E-2</v>
      </c>
      <c r="U637" s="58">
        <v>96</v>
      </c>
      <c r="V637" s="35">
        <f>IF(AND(tabPontoPed[[#This Row],[MENSAL]]&gt;0,tabPontoPed[[#This Row],[CÁLCULO]]&gt;0), IF( tabPontoPed[[#This Row],[MENSAL]] - tabPontoPed[[#This Row],[CÁLCULO]] &lt; 0, -1, IF( tabPontoPed[[#This Row],[MENSAL]] - tabPontoPed[[#This Row],[CÁLCULO]] &gt; 0, 1, -8)), -9 )</f>
        <v>-1</v>
      </c>
      <c r="W637" s="35"/>
      <c r="X637" s="48" t="s">
        <v>1564</v>
      </c>
      <c r="Y637" s="53">
        <v>44391.599108796298</v>
      </c>
      <c r="Z637" s="72">
        <f>tabPontoPed[CÁLC_4M] - tabPontoPed[CÁLCULO]</f>
        <v>6</v>
      </c>
      <c r="AA637" s="79" t="str">
        <f>IF(tabPontoPed[MENSAL]-tabPontoPed[ATA MENSAL] = 0,"sim","")</f>
        <v/>
      </c>
      <c r="AB637" s="79"/>
      <c r="AC637" s="47" t="str">
        <f t="shared" si="9"/>
        <v>*</v>
      </c>
    </row>
    <row r="638" spans="1:29" x14ac:dyDescent="0.25">
      <c r="A638" s="36">
        <v>10412</v>
      </c>
      <c r="B638" s="68" t="s">
        <v>270</v>
      </c>
      <c r="C638" s="33" t="s">
        <v>1317</v>
      </c>
      <c r="D638" s="32">
        <v>71</v>
      </c>
      <c r="E638" s="37">
        <v>24</v>
      </c>
      <c r="F638" s="38" t="str">
        <f>VLOOKUP(tabPontoPed[[#This Row],[GRUPO]],tabGrupos[#Data],2,FALSE)</f>
        <v>GENEROS ALIMENTICIOS E BEBIDAS</v>
      </c>
      <c r="G638" s="32" t="str">
        <f>VLOOKUP(tabPontoPed[[#This Row],[GRUPO]],tabGrupos[#Data],3,FALSE)</f>
        <v>EDU</v>
      </c>
      <c r="H638" s="33" t="s">
        <v>1321</v>
      </c>
      <c r="I638" s="80">
        <v>2</v>
      </c>
      <c r="J638" s="39">
        <v>86</v>
      </c>
      <c r="K638" s="41">
        <f>tabPontoPed[[#This Row],[QTDMÊS]] * tabPontoPed[[#This Row],[MENSAL]]</f>
        <v>172</v>
      </c>
      <c r="L638" s="83"/>
      <c r="M638" s="81"/>
      <c r="N638" s="34" t="s">
        <v>1009</v>
      </c>
      <c r="O638" s="76" t="s">
        <v>1754</v>
      </c>
      <c r="P638" s="77">
        <v>0</v>
      </c>
      <c r="Q638" s="57">
        <v>47</v>
      </c>
      <c r="R638" s="42">
        <v>78</v>
      </c>
      <c r="S638" s="69" t="str">
        <f>_xlfn.IFNA(IF(VLOOKUP(tabPontoPed[[#This Row],[CÓDIGO]],tabExcluirDoEstoque[#Data],1,FALSE),"sim",""),"")</f>
        <v/>
      </c>
      <c r="T638" s="43">
        <f>IF(AND(tabPontoPed[[#This Row],[MENSAL]]&gt;0,tabPontoPed[[#This Row],[CÁLCULO]]&gt;0), ABS( tabPontoPed[[#This Row],[MENSAL]] - tabPontoPed[[#This Row],[CÁLCULO]] ) / tabPontoPed[[#This Row],[MENSAL]], -1 )</f>
        <v>9.3023255813953487E-2</v>
      </c>
      <c r="U638" s="58">
        <v>108</v>
      </c>
      <c r="V638" s="35">
        <f>IF(AND(tabPontoPed[[#This Row],[MENSAL]]&gt;0,tabPontoPed[[#This Row],[CÁLCULO]]&gt;0), IF( tabPontoPed[[#This Row],[MENSAL]] - tabPontoPed[[#This Row],[CÁLCULO]] &lt; 0, -1, IF( tabPontoPed[[#This Row],[MENSAL]] - tabPontoPed[[#This Row],[CÁLCULO]] &gt; 0, 1, -8)), -9 )</f>
        <v>1</v>
      </c>
      <c r="W638" s="35"/>
      <c r="X638" s="49" t="s">
        <v>1450</v>
      </c>
      <c r="Y638" s="51">
        <v>43899.352280092593</v>
      </c>
      <c r="Z638" s="72">
        <f>tabPontoPed[CÁLC_4M] - tabPontoPed[CÁLCULO]</f>
        <v>-31</v>
      </c>
      <c r="AA638" s="79" t="str">
        <f>IF(tabPontoPed[MENSAL]-tabPontoPed[ATA MENSAL] = 0,"sim","")</f>
        <v/>
      </c>
      <c r="AB638" s="79"/>
      <c r="AC638" s="47" t="str">
        <f t="shared" si="9"/>
        <v>*</v>
      </c>
    </row>
    <row r="639" spans="1:29" x14ac:dyDescent="0.25">
      <c r="A639" s="36">
        <v>15085</v>
      </c>
      <c r="B639" s="68" t="s">
        <v>788</v>
      </c>
      <c r="C639" s="33" t="s">
        <v>1317</v>
      </c>
      <c r="D639" s="32">
        <v>61</v>
      </c>
      <c r="E639" s="37">
        <v>15</v>
      </c>
      <c r="F639" s="38" t="str">
        <f>VLOOKUP(tabPontoPed[[#This Row],[GRUPO]],tabGrupos[#Data],2,FALSE)</f>
        <v>MATERIAL HIDRAULICO, CANOS, TUBOS, MANGUEIRAS, CONEXOES E ACESS.</v>
      </c>
      <c r="G639" s="32" t="str">
        <f>VLOOKUP(tabPontoPed[[#This Row],[GRUPO]],tabGrupos[#Data],3,FALSE)</f>
        <v>MHI</v>
      </c>
      <c r="H639" s="33" t="s">
        <v>1311</v>
      </c>
      <c r="I639" s="80">
        <v>4</v>
      </c>
      <c r="J639" s="39">
        <v>11</v>
      </c>
      <c r="K639" s="41">
        <f>tabPontoPed[[#This Row],[QTDMÊS]] * tabPontoPed[[#This Row],[MENSAL]]</f>
        <v>44</v>
      </c>
      <c r="L639" s="83"/>
      <c r="M639" s="81"/>
      <c r="N639" s="34" t="s">
        <v>1009</v>
      </c>
      <c r="O639" s="76" t="s">
        <v>1742</v>
      </c>
      <c r="P639" s="77">
        <v>0</v>
      </c>
      <c r="Q639" s="57">
        <v>12</v>
      </c>
      <c r="R639" s="42">
        <v>10</v>
      </c>
      <c r="S639" s="69" t="str">
        <f>_xlfn.IFNA(IF(VLOOKUP(tabPontoPed[[#This Row],[CÓDIGO]],tabExcluirDoEstoque[#Data],1,FALSE),"sim",""),"")</f>
        <v/>
      </c>
      <c r="T639" s="43">
        <f>IF(AND(tabPontoPed[[#This Row],[MENSAL]]&gt;0,tabPontoPed[[#This Row],[CÁLCULO]]&gt;0), ABS( tabPontoPed[[#This Row],[MENSAL]] - tabPontoPed[[#This Row],[CÁLCULO]] ) / tabPontoPed[[#This Row],[MENSAL]], -1 )</f>
        <v>9.0909090909090912E-2</v>
      </c>
      <c r="U639" s="58">
        <v>30</v>
      </c>
      <c r="V639" s="35">
        <f>IF(AND(tabPontoPed[[#This Row],[MENSAL]]&gt;0,tabPontoPed[[#This Row],[CÁLCULO]]&gt;0), IF( tabPontoPed[[#This Row],[MENSAL]] - tabPontoPed[[#This Row],[CÁLCULO]] &lt; 0, -1, IF( tabPontoPed[[#This Row],[MENSAL]] - tabPontoPed[[#This Row],[CÁLCULO]] &gt; 0, 1, -8)), -9 )</f>
        <v>1</v>
      </c>
      <c r="W639" s="35"/>
      <c r="X639" s="48" t="s">
        <v>1564</v>
      </c>
      <c r="Y639" s="53">
        <v>44391.599108796298</v>
      </c>
      <c r="Z639" s="72">
        <f>tabPontoPed[CÁLC_4M] - tabPontoPed[CÁLCULO]</f>
        <v>2</v>
      </c>
      <c r="AA639" s="79" t="str">
        <f>IF(tabPontoPed[MENSAL]-tabPontoPed[ATA MENSAL] = 0,"sim","")</f>
        <v/>
      </c>
      <c r="AB639" s="79" t="s">
        <v>1614</v>
      </c>
      <c r="AC639" s="47" t="str">
        <f t="shared" si="9"/>
        <v>*</v>
      </c>
    </row>
    <row r="640" spans="1:29" x14ac:dyDescent="0.25">
      <c r="A640" s="36">
        <v>130024</v>
      </c>
      <c r="B640" s="68" t="s">
        <v>211</v>
      </c>
      <c r="C640" s="33" t="s">
        <v>1317</v>
      </c>
      <c r="D640" s="32">
        <v>52</v>
      </c>
      <c r="E640" s="37">
        <v>8</v>
      </c>
      <c r="F640" s="38" t="str">
        <f>VLOOKUP(tabPontoPed[[#This Row],[GRUPO]],tabGrupos[#Data],2,FALSE)</f>
        <v>EQUIP.E MAT. P/REFEITORIO, COPA E COZINHA</v>
      </c>
      <c r="G640" s="32" t="str">
        <f>VLOOKUP(tabPontoPed[[#This Row],[GRUPO]],tabGrupos[#Data],3,FALSE)</f>
        <v>ADM</v>
      </c>
      <c r="H640" s="33" t="s">
        <v>1311</v>
      </c>
      <c r="I640" s="80">
        <v>4</v>
      </c>
      <c r="J640" s="39">
        <v>265</v>
      </c>
      <c r="K640" s="41">
        <f>tabPontoPed[[#This Row],[QTDMÊS]] * tabPontoPed[[#This Row],[MENSAL]]</f>
        <v>1060</v>
      </c>
      <c r="L640" s="83"/>
      <c r="M640" s="81"/>
      <c r="N640" s="34" t="s">
        <v>1009</v>
      </c>
      <c r="O640" s="76" t="s">
        <v>1740</v>
      </c>
      <c r="P640" s="77">
        <v>0</v>
      </c>
      <c r="Q640" s="57">
        <v>274</v>
      </c>
      <c r="R640" s="42">
        <v>241</v>
      </c>
      <c r="S640" s="69" t="str">
        <f>_xlfn.IFNA(IF(VLOOKUP(tabPontoPed[[#This Row],[CÓDIGO]],tabExcluirDoEstoque[#Data],1,FALSE),"sim",""),"")</f>
        <v/>
      </c>
      <c r="T640" s="43">
        <f>IF(AND(tabPontoPed[[#This Row],[MENSAL]]&gt;0,tabPontoPed[[#This Row],[CÁLCULO]]&gt;0), ABS( tabPontoPed[[#This Row],[MENSAL]] - tabPontoPed[[#This Row],[CÁLCULO]] ) / tabPontoPed[[#This Row],[MENSAL]], -1 )</f>
        <v>9.056603773584905E-2</v>
      </c>
      <c r="U640" s="58">
        <v>454</v>
      </c>
      <c r="V640" s="35">
        <f>IF(AND(tabPontoPed[[#This Row],[MENSAL]]&gt;0,tabPontoPed[[#This Row],[CÁLCULO]]&gt;0), IF( tabPontoPed[[#This Row],[MENSAL]] - tabPontoPed[[#This Row],[CÁLCULO]] &lt; 0, -1, IF( tabPontoPed[[#This Row],[MENSAL]] - tabPontoPed[[#This Row],[CÁLCULO]] &gt; 0, 1, -8)), -9 )</f>
        <v>1</v>
      </c>
      <c r="W640" s="35"/>
      <c r="X640" s="49" t="s">
        <v>1564</v>
      </c>
      <c r="Y640" s="51">
        <v>44391.599108796298</v>
      </c>
      <c r="Z640" s="72">
        <f>tabPontoPed[CÁLC_4M] - tabPontoPed[CÁLCULO]</f>
        <v>33</v>
      </c>
      <c r="AA640" s="79" t="str">
        <f>IF(tabPontoPed[MENSAL]-tabPontoPed[ATA MENSAL] = 0,"sim","")</f>
        <v/>
      </c>
      <c r="AB640" s="79"/>
      <c r="AC640" s="47" t="str">
        <f t="shared" si="9"/>
        <v>*</v>
      </c>
    </row>
    <row r="641" spans="1:29" x14ac:dyDescent="0.25">
      <c r="A641" s="36">
        <v>81371</v>
      </c>
      <c r="B641" s="68" t="s">
        <v>924</v>
      </c>
      <c r="C641" s="33" t="s">
        <v>1317</v>
      </c>
      <c r="D641" s="32">
        <v>71</v>
      </c>
      <c r="E641" s="37">
        <v>33</v>
      </c>
      <c r="F641" s="38" t="str">
        <f>VLOOKUP(tabPontoPed[[#This Row],[GRUPO]],tabGrupos[#Data],2,FALSE)</f>
        <v>GENEROS ALIMENTICIOS E BEBIDAS</v>
      </c>
      <c r="G641" s="32" t="str">
        <f>VLOOKUP(tabPontoPed[[#This Row],[GRUPO]],tabGrupos[#Data],3,FALSE)</f>
        <v>EDU</v>
      </c>
      <c r="H641" s="33" t="s">
        <v>1311</v>
      </c>
      <c r="I641" s="80">
        <v>4</v>
      </c>
      <c r="J641" s="39">
        <v>358</v>
      </c>
      <c r="K641" s="41">
        <f>tabPontoPed[[#This Row],[QTDMÊS]] * tabPontoPed[[#This Row],[MENSAL]]</f>
        <v>1432</v>
      </c>
      <c r="L641" s="83"/>
      <c r="M641" s="81"/>
      <c r="N641" s="34" t="s">
        <v>1009</v>
      </c>
      <c r="O641" s="76"/>
      <c r="P641" s="77">
        <v>0</v>
      </c>
      <c r="Q641" s="57">
        <v>98</v>
      </c>
      <c r="R641" s="42">
        <v>390</v>
      </c>
      <c r="S641" s="69" t="str">
        <f>_xlfn.IFNA(IF(VLOOKUP(tabPontoPed[[#This Row],[CÓDIGO]],tabExcluirDoEstoque[#Data],1,FALSE),"sim",""),"")</f>
        <v/>
      </c>
      <c r="T641" s="43">
        <f>IF(AND(tabPontoPed[[#This Row],[MENSAL]]&gt;0,tabPontoPed[[#This Row],[CÁLCULO]]&gt;0), ABS( tabPontoPed[[#This Row],[MENSAL]] - tabPontoPed[[#This Row],[CÁLCULO]] ) / tabPontoPed[[#This Row],[MENSAL]], -1 )</f>
        <v>8.9385474860335198E-2</v>
      </c>
      <c r="U641" s="58">
        <v>3352</v>
      </c>
      <c r="V641" s="35">
        <f>IF(AND(tabPontoPed[[#This Row],[MENSAL]]&gt;0,tabPontoPed[[#This Row],[CÁLCULO]]&gt;0), IF( tabPontoPed[[#This Row],[MENSAL]] - tabPontoPed[[#This Row],[CÁLCULO]] &lt; 0, -1, IF( tabPontoPed[[#This Row],[MENSAL]] - tabPontoPed[[#This Row],[CÁLCULO]] &gt; 0, 1, -8)), -9 )</f>
        <v>-1</v>
      </c>
      <c r="W641" s="35"/>
      <c r="X641" s="49" t="s">
        <v>1564</v>
      </c>
      <c r="Y641" s="51">
        <v>44391.599108796298</v>
      </c>
      <c r="Z641" s="72">
        <f>tabPontoPed[CÁLC_4M] - tabPontoPed[CÁLCULO]</f>
        <v>-292</v>
      </c>
      <c r="AA641" s="79" t="str">
        <f>IF(tabPontoPed[MENSAL]-tabPontoPed[ATA MENSAL] = 0,"sim","")</f>
        <v/>
      </c>
      <c r="AB641" s="79"/>
      <c r="AC641" s="47" t="str">
        <f t="shared" si="9"/>
        <v>*</v>
      </c>
    </row>
    <row r="642" spans="1:29" x14ac:dyDescent="0.25">
      <c r="A642" s="36">
        <v>16528</v>
      </c>
      <c r="B642" s="68" t="s">
        <v>400</v>
      </c>
      <c r="C642" s="33" t="s">
        <v>1317</v>
      </c>
      <c r="D642" s="32">
        <v>73</v>
      </c>
      <c r="E642" s="37">
        <v>4</v>
      </c>
      <c r="F642" s="38" t="str">
        <f>VLOOKUP(tabPontoPed[[#This Row],[GRUPO]],tabGrupos[#Data],2,FALSE)</f>
        <v>EMBALAG., RECIP., ACESSOR., EQUIP., MATER. P/ACONDICIO</v>
      </c>
      <c r="G642" s="32" t="str">
        <f>VLOOKUP(tabPontoPed[[#This Row],[GRUPO]],tabGrupos[#Data],3,FALSE)</f>
        <v>EDU</v>
      </c>
      <c r="H642" s="33" t="s">
        <v>1311</v>
      </c>
      <c r="I642" s="80">
        <v>4</v>
      </c>
      <c r="J642" s="39">
        <v>79</v>
      </c>
      <c r="K642" s="41">
        <f>tabPontoPed[[#This Row],[QTDMÊS]] * tabPontoPed[[#This Row],[MENSAL]]</f>
        <v>316</v>
      </c>
      <c r="L642" s="83"/>
      <c r="M642" s="81"/>
      <c r="N642" s="34" t="s">
        <v>1009</v>
      </c>
      <c r="O642" s="76" t="s">
        <v>1746</v>
      </c>
      <c r="P642" s="77">
        <v>0</v>
      </c>
      <c r="Q642" s="57">
        <v>87</v>
      </c>
      <c r="R642" s="42">
        <v>72</v>
      </c>
      <c r="S642" s="69" t="str">
        <f>_xlfn.IFNA(IF(VLOOKUP(tabPontoPed[[#This Row],[CÓDIGO]],tabExcluirDoEstoque[#Data],1,FALSE),"sim",""),"")</f>
        <v>sim</v>
      </c>
      <c r="T642" s="43">
        <f>IF(AND(tabPontoPed[[#This Row],[MENSAL]]&gt;0,tabPontoPed[[#This Row],[CÁLCULO]]&gt;0), ABS( tabPontoPed[[#This Row],[MENSAL]] - tabPontoPed[[#This Row],[CÁLCULO]] ) / tabPontoPed[[#This Row],[MENSAL]], -1 )</f>
        <v>8.8607594936708861E-2</v>
      </c>
      <c r="U642" s="58">
        <v>113</v>
      </c>
      <c r="V642" s="35">
        <f>IF(AND(tabPontoPed[[#This Row],[MENSAL]]&gt;0,tabPontoPed[[#This Row],[CÁLCULO]]&gt;0), IF( tabPontoPed[[#This Row],[MENSAL]] - tabPontoPed[[#This Row],[CÁLCULO]] &lt; 0, -1, IF( tabPontoPed[[#This Row],[MENSAL]] - tabPontoPed[[#This Row],[CÁLCULO]] &gt; 0, 1, -8)), -9 )</f>
        <v>1</v>
      </c>
      <c r="W642" s="35"/>
      <c r="X642" s="48" t="s">
        <v>1564</v>
      </c>
      <c r="Y642" s="53">
        <v>44391.599108796298</v>
      </c>
      <c r="Z642" s="72">
        <f>tabPontoPed[CÁLC_4M] - tabPontoPed[CÁLCULO]</f>
        <v>15</v>
      </c>
      <c r="AA642" s="79" t="str">
        <f>IF(tabPontoPed[MENSAL]-tabPontoPed[ATA MENSAL] = 0,"sim","")</f>
        <v/>
      </c>
      <c r="AB642" s="79"/>
      <c r="AC642" s="47" t="str">
        <f t="shared" si="9"/>
        <v>*</v>
      </c>
    </row>
    <row r="643" spans="1:29" x14ac:dyDescent="0.25">
      <c r="A643" s="36">
        <v>132649</v>
      </c>
      <c r="B643" s="68" t="s">
        <v>430</v>
      </c>
      <c r="C643" s="33" t="s">
        <v>1317</v>
      </c>
      <c r="D643" s="32">
        <v>45</v>
      </c>
      <c r="E643" s="37">
        <v>10</v>
      </c>
      <c r="F643" s="38" t="str">
        <f>VLOOKUP(tabPontoPed[[#This Row],[GRUPO]],tabGrupos[#Data],2,FALSE)</f>
        <v>MAQ., EQUIP., COMP., ACES., MAT. PARA ESCRIT.E ESCOLAR</v>
      </c>
      <c r="G643" s="32" t="str">
        <f>VLOOKUP(tabPontoPed[[#This Row],[GRUPO]],tabGrupos[#Data],3,FALSE)</f>
        <v>EDU</v>
      </c>
      <c r="H643" s="33" t="s">
        <v>1311</v>
      </c>
      <c r="I643" s="80">
        <v>4</v>
      </c>
      <c r="J643" s="39">
        <v>883</v>
      </c>
      <c r="K643" s="41">
        <f>tabPontoPed[[#This Row],[QTDMÊS]] * tabPontoPed[[#This Row],[MENSAL]]</f>
        <v>3532</v>
      </c>
      <c r="L643" s="83"/>
      <c r="M643" s="81"/>
      <c r="N643" s="34" t="s">
        <v>1009</v>
      </c>
      <c r="O643" s="76"/>
      <c r="P643" s="77">
        <v>0</v>
      </c>
      <c r="Q643" s="57">
        <v>255</v>
      </c>
      <c r="R643" s="42">
        <v>806</v>
      </c>
      <c r="S643" s="69" t="str">
        <f>_xlfn.IFNA(IF(VLOOKUP(tabPontoPed[[#This Row],[CÓDIGO]],tabExcluirDoEstoque[#Data],1,FALSE),"sim",""),"")</f>
        <v/>
      </c>
      <c r="T643" s="43">
        <f>IF(AND(tabPontoPed[[#This Row],[MENSAL]]&gt;0,tabPontoPed[[#This Row],[CÁLCULO]]&gt;0), ABS( tabPontoPed[[#This Row],[MENSAL]] - tabPontoPed[[#This Row],[CÁLCULO]] ) / tabPontoPed[[#This Row],[MENSAL]], -1 )</f>
        <v>8.7202718006795021E-2</v>
      </c>
      <c r="U643" s="58">
        <v>6752</v>
      </c>
      <c r="V643" s="35">
        <f>IF(AND(tabPontoPed[[#This Row],[MENSAL]]&gt;0,tabPontoPed[[#This Row],[CÁLCULO]]&gt;0), IF( tabPontoPed[[#This Row],[MENSAL]] - tabPontoPed[[#This Row],[CÁLCULO]] &lt; 0, -1, IF( tabPontoPed[[#This Row],[MENSAL]] - tabPontoPed[[#This Row],[CÁLCULO]] &gt; 0, 1, -8)), -9 )</f>
        <v>1</v>
      </c>
      <c r="W643" s="35"/>
      <c r="X643" s="48" t="s">
        <v>1564</v>
      </c>
      <c r="Y643" s="53">
        <v>44391.599108796298</v>
      </c>
      <c r="Z643" s="72">
        <f>tabPontoPed[CÁLC_4M] - tabPontoPed[CÁLCULO]</f>
        <v>-551</v>
      </c>
      <c r="AA643" s="79" t="str">
        <f>IF(tabPontoPed[MENSAL]-tabPontoPed[ATA MENSAL] = 0,"sim","")</f>
        <v/>
      </c>
      <c r="AB643" s="79"/>
      <c r="AC643" s="47" t="str">
        <f t="shared" ref="AC643:AC706" si="10">"*"</f>
        <v>*</v>
      </c>
    </row>
    <row r="644" spans="1:29" x14ac:dyDescent="0.25">
      <c r="A644" s="36">
        <v>10359</v>
      </c>
      <c r="B644" s="68" t="s">
        <v>177</v>
      </c>
      <c r="C644" s="33" t="s">
        <v>1317</v>
      </c>
      <c r="D644" s="32">
        <v>71</v>
      </c>
      <c r="E644" s="37">
        <v>7</v>
      </c>
      <c r="F644" s="38" t="str">
        <f>VLOOKUP(tabPontoPed[[#This Row],[GRUPO]],tabGrupos[#Data],2,FALSE)</f>
        <v>GENEROS ALIMENTICIOS E BEBIDAS</v>
      </c>
      <c r="G644" s="32" t="str">
        <f>VLOOKUP(tabPontoPed[[#This Row],[GRUPO]],tabGrupos[#Data],3,FALSE)</f>
        <v>EDU</v>
      </c>
      <c r="H644" s="33" t="s">
        <v>1311</v>
      </c>
      <c r="I644" s="80">
        <v>4</v>
      </c>
      <c r="J644" s="39">
        <v>166</v>
      </c>
      <c r="K644" s="41">
        <f>tabPontoPed[[#This Row],[QTDMÊS]] * tabPontoPed[[#This Row],[MENSAL]]</f>
        <v>664</v>
      </c>
      <c r="L644" s="83"/>
      <c r="M644" s="81"/>
      <c r="N644" s="34" t="s">
        <v>1009</v>
      </c>
      <c r="O644" s="76" t="s">
        <v>1752</v>
      </c>
      <c r="P644" s="77">
        <v>0</v>
      </c>
      <c r="Q644" s="57">
        <v>130</v>
      </c>
      <c r="R644" s="42">
        <v>180</v>
      </c>
      <c r="S644" s="69" t="str">
        <f>_xlfn.IFNA(IF(VLOOKUP(tabPontoPed[[#This Row],[CÓDIGO]],tabExcluirDoEstoque[#Data],1,FALSE),"sim",""),"")</f>
        <v/>
      </c>
      <c r="T644" s="43">
        <f>IF(AND(tabPontoPed[[#This Row],[MENSAL]]&gt;0,tabPontoPed[[#This Row],[CÁLCULO]]&gt;0), ABS( tabPontoPed[[#This Row],[MENSAL]] - tabPontoPed[[#This Row],[CÁLCULO]] ) / tabPontoPed[[#This Row],[MENSAL]], -1 )</f>
        <v>8.4337349397590355E-2</v>
      </c>
      <c r="U644" s="58">
        <v>228</v>
      </c>
      <c r="V644" s="35">
        <f>IF(AND(tabPontoPed[[#This Row],[MENSAL]]&gt;0,tabPontoPed[[#This Row],[CÁLCULO]]&gt;0), IF( tabPontoPed[[#This Row],[MENSAL]] - tabPontoPed[[#This Row],[CÁLCULO]] &lt; 0, -1, IF( tabPontoPed[[#This Row],[MENSAL]] - tabPontoPed[[#This Row],[CÁLCULO]] &gt; 0, 1, -8)), -9 )</f>
        <v>-1</v>
      </c>
      <c r="W644" s="35"/>
      <c r="X644" s="49" t="s">
        <v>1564</v>
      </c>
      <c r="Y644" s="51">
        <v>44391.599108796298</v>
      </c>
      <c r="Z644" s="72">
        <f>tabPontoPed[CÁLC_4M] - tabPontoPed[CÁLCULO]</f>
        <v>-50</v>
      </c>
      <c r="AA644" s="79" t="str">
        <f>IF(tabPontoPed[MENSAL]-tabPontoPed[ATA MENSAL] = 0,"sim","")</f>
        <v/>
      </c>
      <c r="AB644" s="79"/>
      <c r="AC644" s="47" t="str">
        <f t="shared" si="10"/>
        <v>*</v>
      </c>
    </row>
    <row r="645" spans="1:29" x14ac:dyDescent="0.25">
      <c r="A645" s="36">
        <v>59074</v>
      </c>
      <c r="B645" s="68" t="s">
        <v>442</v>
      </c>
      <c r="C645" s="33" t="s">
        <v>1317</v>
      </c>
      <c r="D645" s="32">
        <v>45</v>
      </c>
      <c r="E645" s="37">
        <v>11</v>
      </c>
      <c r="F645" s="38" t="str">
        <f>VLOOKUP(tabPontoPed[[#This Row],[GRUPO]],tabGrupos[#Data],2,FALSE)</f>
        <v>MAQ., EQUIP., COMP., ACES., MAT. PARA ESCRIT.E ESCOLAR</v>
      </c>
      <c r="G645" s="32" t="str">
        <f>VLOOKUP(tabPontoPed[[#This Row],[GRUPO]],tabGrupos[#Data],3,FALSE)</f>
        <v>EDU</v>
      </c>
      <c r="H645" s="33" t="s">
        <v>1311</v>
      </c>
      <c r="I645" s="80">
        <v>4</v>
      </c>
      <c r="J645" s="39">
        <v>119</v>
      </c>
      <c r="K645" s="41">
        <f>tabPontoPed[[#This Row],[QTDMÊS]] * tabPontoPed[[#This Row],[MENSAL]]</f>
        <v>476</v>
      </c>
      <c r="L645" s="83"/>
      <c r="M645" s="81"/>
      <c r="N645" s="34" t="s">
        <v>1009</v>
      </c>
      <c r="O645" s="76"/>
      <c r="P645" s="77">
        <v>0</v>
      </c>
      <c r="Q645" s="57">
        <v>89</v>
      </c>
      <c r="R645" s="42">
        <v>109</v>
      </c>
      <c r="S645" s="69" t="str">
        <f>_xlfn.IFNA(IF(VLOOKUP(tabPontoPed[[#This Row],[CÓDIGO]],tabExcluirDoEstoque[#Data],1,FALSE),"sim",""),"")</f>
        <v/>
      </c>
      <c r="T645" s="43">
        <f>IF(AND(tabPontoPed[[#This Row],[MENSAL]]&gt;0,tabPontoPed[[#This Row],[CÁLCULO]]&gt;0), ABS( tabPontoPed[[#This Row],[MENSAL]] - tabPontoPed[[#This Row],[CÁLCULO]] ) / tabPontoPed[[#This Row],[MENSAL]], -1 )</f>
        <v>8.4033613445378158E-2</v>
      </c>
      <c r="U645" s="58">
        <v>259</v>
      </c>
      <c r="V645" s="35">
        <f>IF(AND(tabPontoPed[[#This Row],[MENSAL]]&gt;0,tabPontoPed[[#This Row],[CÁLCULO]]&gt;0), IF( tabPontoPed[[#This Row],[MENSAL]] - tabPontoPed[[#This Row],[CÁLCULO]] &lt; 0, -1, IF( tabPontoPed[[#This Row],[MENSAL]] - tabPontoPed[[#This Row],[CÁLCULO]] &gt; 0, 1, -8)), -9 )</f>
        <v>1</v>
      </c>
      <c r="W645" s="35"/>
      <c r="X645" s="49" t="s">
        <v>1564</v>
      </c>
      <c r="Y645" s="51">
        <v>44391.599108796298</v>
      </c>
      <c r="Z645" s="72">
        <f>tabPontoPed[CÁLC_4M] - tabPontoPed[CÁLCULO]</f>
        <v>-20</v>
      </c>
      <c r="AA645" s="79" t="str">
        <f>IF(tabPontoPed[MENSAL]-tabPontoPed[ATA MENSAL] = 0,"sim","")</f>
        <v/>
      </c>
      <c r="AB645" s="79"/>
      <c r="AC645" s="47" t="str">
        <f t="shared" si="10"/>
        <v>*</v>
      </c>
    </row>
    <row r="646" spans="1:29" x14ac:dyDescent="0.25">
      <c r="A646" s="36">
        <v>132400</v>
      </c>
      <c r="B646" s="68" t="s">
        <v>925</v>
      </c>
      <c r="C646" s="33" t="s">
        <v>1317</v>
      </c>
      <c r="D646" s="32">
        <v>71</v>
      </c>
      <c r="E646" s="37">
        <v>33</v>
      </c>
      <c r="F646" s="38" t="str">
        <f>VLOOKUP(tabPontoPed[[#This Row],[GRUPO]],tabGrupos[#Data],2,FALSE)</f>
        <v>GENEROS ALIMENTICIOS E BEBIDAS</v>
      </c>
      <c r="G646" s="32" t="str">
        <f>VLOOKUP(tabPontoPed[[#This Row],[GRUPO]],tabGrupos[#Data],3,FALSE)</f>
        <v>EDU</v>
      </c>
      <c r="H646" s="33" t="s">
        <v>1311</v>
      </c>
      <c r="I646" s="80">
        <v>4</v>
      </c>
      <c r="J646" s="39">
        <v>359</v>
      </c>
      <c r="K646" s="41">
        <f>tabPontoPed[[#This Row],[QTDMÊS]] * tabPontoPed[[#This Row],[MENSAL]]</f>
        <v>1436</v>
      </c>
      <c r="L646" s="83"/>
      <c r="M646" s="81"/>
      <c r="N646" s="34" t="s">
        <v>1009</v>
      </c>
      <c r="O646" s="76"/>
      <c r="P646" s="77">
        <v>0</v>
      </c>
      <c r="Q646" s="57">
        <v>100</v>
      </c>
      <c r="R646" s="42">
        <v>389</v>
      </c>
      <c r="S646" s="69" t="str">
        <f>_xlfn.IFNA(IF(VLOOKUP(tabPontoPed[[#This Row],[CÓDIGO]],tabExcluirDoEstoque[#Data],1,FALSE),"sim",""),"")</f>
        <v/>
      </c>
      <c r="T646" s="43">
        <f>IF(AND(tabPontoPed[[#This Row],[MENSAL]]&gt;0,tabPontoPed[[#This Row],[CÁLCULO]]&gt;0), ABS( tabPontoPed[[#This Row],[MENSAL]] - tabPontoPed[[#This Row],[CÁLCULO]] ) / tabPontoPed[[#This Row],[MENSAL]], -1 )</f>
        <v>8.3565459610027856E-2</v>
      </c>
      <c r="U646" s="58">
        <v>3352</v>
      </c>
      <c r="V646" s="35">
        <f>IF(AND(tabPontoPed[[#This Row],[MENSAL]]&gt;0,tabPontoPed[[#This Row],[CÁLCULO]]&gt;0), IF( tabPontoPed[[#This Row],[MENSAL]] - tabPontoPed[[#This Row],[CÁLCULO]] &lt; 0, -1, IF( tabPontoPed[[#This Row],[MENSAL]] - tabPontoPed[[#This Row],[CÁLCULO]] &gt; 0, 1, -8)), -9 )</f>
        <v>-1</v>
      </c>
      <c r="W646" s="35"/>
      <c r="X646" s="49" t="s">
        <v>1564</v>
      </c>
      <c r="Y646" s="51">
        <v>44391.599108796298</v>
      </c>
      <c r="Z646" s="72">
        <f>tabPontoPed[CÁLC_4M] - tabPontoPed[CÁLCULO]</f>
        <v>-289</v>
      </c>
      <c r="AA646" s="79" t="str">
        <f>IF(tabPontoPed[MENSAL]-tabPontoPed[ATA MENSAL] = 0,"sim","")</f>
        <v/>
      </c>
      <c r="AB646" s="79"/>
      <c r="AC646" s="47" t="str">
        <f t="shared" si="10"/>
        <v>*</v>
      </c>
    </row>
    <row r="647" spans="1:29" x14ac:dyDescent="0.25">
      <c r="A647" s="36">
        <v>11509</v>
      </c>
      <c r="B647" s="68" t="s">
        <v>425</v>
      </c>
      <c r="C647" s="33" t="s">
        <v>1317</v>
      </c>
      <c r="D647" s="32">
        <v>45</v>
      </c>
      <c r="E647" s="37">
        <v>10</v>
      </c>
      <c r="F647" s="38" t="str">
        <f>VLOOKUP(tabPontoPed[[#This Row],[GRUPO]],tabGrupos[#Data],2,FALSE)</f>
        <v>MAQ., EQUIP., COMP., ACES., MAT. PARA ESCRIT.E ESCOLAR</v>
      </c>
      <c r="G647" s="32" t="str">
        <f>VLOOKUP(tabPontoPed[[#This Row],[GRUPO]],tabGrupos[#Data],3,FALSE)</f>
        <v>EDU</v>
      </c>
      <c r="H647" s="33" t="s">
        <v>1311</v>
      </c>
      <c r="I647" s="80">
        <v>4</v>
      </c>
      <c r="J647" s="39">
        <v>635</v>
      </c>
      <c r="K647" s="41">
        <f>tabPontoPed[[#This Row],[QTDMÊS]] * tabPontoPed[[#This Row],[MENSAL]]</f>
        <v>2540</v>
      </c>
      <c r="L647" s="83"/>
      <c r="M647" s="81"/>
      <c r="N647" s="34" t="s">
        <v>1009</v>
      </c>
      <c r="O647" s="76"/>
      <c r="P647" s="77">
        <v>0</v>
      </c>
      <c r="Q647" s="57">
        <v>193</v>
      </c>
      <c r="R647" s="42">
        <v>582</v>
      </c>
      <c r="S647" s="69" t="str">
        <f>_xlfn.IFNA(IF(VLOOKUP(tabPontoPed[[#This Row],[CÓDIGO]],tabExcluirDoEstoque[#Data],1,FALSE),"sim",""),"")</f>
        <v/>
      </c>
      <c r="T647" s="43">
        <f>IF(AND(tabPontoPed[[#This Row],[MENSAL]]&gt;0,tabPontoPed[[#This Row],[CÁLCULO]]&gt;0), ABS( tabPontoPed[[#This Row],[MENSAL]] - tabPontoPed[[#This Row],[CÁLCULO]] ) / tabPontoPed[[#This Row],[MENSAL]], -1 )</f>
        <v>8.3464566929133857E-2</v>
      </c>
      <c r="U647" s="58">
        <v>5051</v>
      </c>
      <c r="V647" s="35">
        <f>IF(AND(tabPontoPed[[#This Row],[MENSAL]]&gt;0,tabPontoPed[[#This Row],[CÁLCULO]]&gt;0), IF( tabPontoPed[[#This Row],[MENSAL]] - tabPontoPed[[#This Row],[CÁLCULO]] &lt; 0, -1, IF( tabPontoPed[[#This Row],[MENSAL]] - tabPontoPed[[#This Row],[CÁLCULO]] &gt; 0, 1, -8)), -9 )</f>
        <v>1</v>
      </c>
      <c r="W647" s="35"/>
      <c r="X647" s="48" t="s">
        <v>1564</v>
      </c>
      <c r="Y647" s="53">
        <v>44391.599108796298</v>
      </c>
      <c r="Z647" s="72">
        <f>tabPontoPed[CÁLC_4M] - tabPontoPed[CÁLCULO]</f>
        <v>-389</v>
      </c>
      <c r="AA647" s="79" t="str">
        <f>IF(tabPontoPed[MENSAL]-tabPontoPed[ATA MENSAL] = 0,"sim","")</f>
        <v/>
      </c>
      <c r="AB647" s="79"/>
      <c r="AC647" s="47" t="str">
        <f t="shared" si="10"/>
        <v>*</v>
      </c>
    </row>
    <row r="648" spans="1:29" x14ac:dyDescent="0.25">
      <c r="A648" s="36">
        <v>10719</v>
      </c>
      <c r="B648" s="68" t="s">
        <v>922</v>
      </c>
      <c r="C648" s="33" t="s">
        <v>1317</v>
      </c>
      <c r="D648" s="32">
        <v>71</v>
      </c>
      <c r="E648" s="37">
        <v>26</v>
      </c>
      <c r="F648" s="38" t="str">
        <f>VLOOKUP(tabPontoPed[[#This Row],[GRUPO]],tabGrupos[#Data],2,FALSE)</f>
        <v>GENEROS ALIMENTICIOS E BEBIDAS</v>
      </c>
      <c r="G648" s="32" t="str">
        <f>VLOOKUP(tabPontoPed[[#This Row],[GRUPO]],tabGrupos[#Data],3,FALSE)</f>
        <v>EDU</v>
      </c>
      <c r="H648" s="33" t="s">
        <v>1321</v>
      </c>
      <c r="I648" s="80">
        <v>3</v>
      </c>
      <c r="J648" s="39">
        <v>3498</v>
      </c>
      <c r="K648" s="41">
        <f>tabPontoPed[[#This Row],[QTDMÊS]] * tabPontoPed[[#This Row],[MENSAL]]</f>
        <v>10494</v>
      </c>
      <c r="L648" s="83"/>
      <c r="M648" s="81"/>
      <c r="N648" s="34" t="s">
        <v>1009</v>
      </c>
      <c r="O648" s="76" t="s">
        <v>1755</v>
      </c>
      <c r="P648" s="77">
        <v>0</v>
      </c>
      <c r="Q648" s="57">
        <v>3729</v>
      </c>
      <c r="R648" s="42">
        <v>3211</v>
      </c>
      <c r="S648" s="69" t="str">
        <f>_xlfn.IFNA(IF(VLOOKUP(tabPontoPed[[#This Row],[CÓDIGO]],tabExcluirDoEstoque[#Data],1,FALSE),"sim",""),"")</f>
        <v/>
      </c>
      <c r="T648" s="43">
        <f>IF(AND(tabPontoPed[[#This Row],[MENSAL]]&gt;0,tabPontoPed[[#This Row],[CÁLCULO]]&gt;0), ABS( tabPontoPed[[#This Row],[MENSAL]] - tabPontoPed[[#This Row],[CÁLCULO]] ) / tabPontoPed[[#This Row],[MENSAL]], -1 )</f>
        <v>8.2046883933676387E-2</v>
      </c>
      <c r="U648" s="58">
        <v>6605</v>
      </c>
      <c r="V648" s="35">
        <f>IF(AND(tabPontoPed[[#This Row],[MENSAL]]&gt;0,tabPontoPed[[#This Row],[CÁLCULO]]&gt;0), IF( tabPontoPed[[#This Row],[MENSAL]] - tabPontoPed[[#This Row],[CÁLCULO]] &lt; 0, -1, IF( tabPontoPed[[#This Row],[MENSAL]] - tabPontoPed[[#This Row],[CÁLCULO]] &gt; 0, 1, -8)), -9 )</f>
        <v>1</v>
      </c>
      <c r="W648" s="35"/>
      <c r="X648" s="49" t="s">
        <v>1564</v>
      </c>
      <c r="Y648" s="51">
        <v>44075.67633101852</v>
      </c>
      <c r="Z648" s="72">
        <f>tabPontoPed[CÁLC_4M] - tabPontoPed[CÁLCULO]</f>
        <v>518</v>
      </c>
      <c r="AA648" s="79" t="str">
        <f>IF(tabPontoPed[MENSAL]-tabPontoPed[ATA MENSAL] = 0,"sim","")</f>
        <v/>
      </c>
      <c r="AB648" s="79"/>
      <c r="AC648" s="47" t="str">
        <f t="shared" si="10"/>
        <v>*</v>
      </c>
    </row>
    <row r="649" spans="1:29" x14ac:dyDescent="0.25">
      <c r="A649" s="36">
        <v>80300</v>
      </c>
      <c r="B649" s="68" t="s">
        <v>227</v>
      </c>
      <c r="C649" s="33" t="s">
        <v>1317</v>
      </c>
      <c r="D649" s="32">
        <v>74</v>
      </c>
      <c r="E649" s="37">
        <v>10</v>
      </c>
      <c r="F649" s="38" t="str">
        <f>VLOOKUP(tabPontoPed[[#This Row],[GRUPO]],tabGrupos[#Data],2,FALSE)</f>
        <v>MADEIRAS,LAMINADOS,COMPENSADOS E AGLOMERADOS</v>
      </c>
      <c r="G649" s="32" t="str">
        <f>VLOOKUP(tabPontoPed[[#This Row],[GRUPO]],tabGrupos[#Data],3,FALSE)</f>
        <v>MCO</v>
      </c>
      <c r="H649" s="33" t="s">
        <v>1311</v>
      </c>
      <c r="I649" s="80">
        <v>4</v>
      </c>
      <c r="J649" s="39">
        <v>13</v>
      </c>
      <c r="K649" s="41">
        <f>tabPontoPed[[#This Row],[QTDMÊS]] * tabPontoPed[[#This Row],[MENSAL]]</f>
        <v>52</v>
      </c>
      <c r="L649" s="83"/>
      <c r="M649" s="81"/>
      <c r="N649" s="34" t="s">
        <v>1009</v>
      </c>
      <c r="O649" s="76" t="s">
        <v>1669</v>
      </c>
      <c r="P649" s="77">
        <v>0</v>
      </c>
      <c r="Q649" s="57">
        <v>8</v>
      </c>
      <c r="R649" s="42">
        <v>12</v>
      </c>
      <c r="S649" s="69" t="str">
        <f>_xlfn.IFNA(IF(VLOOKUP(tabPontoPed[[#This Row],[CÓDIGO]],tabExcluirDoEstoque[#Data],1,FALSE),"sim",""),"")</f>
        <v/>
      </c>
      <c r="T649" s="43">
        <f>IF(AND(tabPontoPed[[#This Row],[MENSAL]]&gt;0,tabPontoPed[[#This Row],[CÁLCULO]]&gt;0), ABS( tabPontoPed[[#This Row],[MENSAL]] - tabPontoPed[[#This Row],[CÁLCULO]] ) / tabPontoPed[[#This Row],[MENSAL]], -1 )</f>
        <v>7.6923076923076927E-2</v>
      </c>
      <c r="U649" s="58">
        <v>33</v>
      </c>
      <c r="V649" s="35">
        <f>IF(AND(tabPontoPed[[#This Row],[MENSAL]]&gt;0,tabPontoPed[[#This Row],[CÁLCULO]]&gt;0), IF( tabPontoPed[[#This Row],[MENSAL]] - tabPontoPed[[#This Row],[CÁLCULO]] &lt; 0, -1, IF( tabPontoPed[[#This Row],[MENSAL]] - tabPontoPed[[#This Row],[CÁLCULO]] &gt; 0, 1, -8)), -9 )</f>
        <v>1</v>
      </c>
      <c r="W649" s="35"/>
      <c r="X649" s="48" t="s">
        <v>1564</v>
      </c>
      <c r="Y649" s="53">
        <v>44391.599108796298</v>
      </c>
      <c r="Z649" s="72">
        <f>tabPontoPed[CÁLC_4M] - tabPontoPed[CÁLCULO]</f>
        <v>-4</v>
      </c>
      <c r="AA649" s="79" t="str">
        <f>IF(tabPontoPed[MENSAL]-tabPontoPed[ATA MENSAL] = 0,"sim","")</f>
        <v/>
      </c>
      <c r="AB649" s="79" t="s">
        <v>1614</v>
      </c>
      <c r="AC649" s="47" t="str">
        <f t="shared" si="10"/>
        <v>*</v>
      </c>
    </row>
    <row r="650" spans="1:29" x14ac:dyDescent="0.25">
      <c r="A650" s="36">
        <v>88728</v>
      </c>
      <c r="B650" s="68" t="s">
        <v>346</v>
      </c>
      <c r="C650" s="33" t="s">
        <v>1317</v>
      </c>
      <c r="D650" s="32">
        <v>55</v>
      </c>
      <c r="E650" s="37">
        <v>26</v>
      </c>
      <c r="F650" s="38" t="str">
        <f>VLOOKUP(tabPontoPed[[#This Row],[GRUPO]],tabGrupos[#Data],2,FALSE)</f>
        <v>EQUIP. MAT. P/ GERACAO, TRANSM. DISTR. RETIF...</v>
      </c>
      <c r="G650" s="32" t="str">
        <f>VLOOKUP(tabPontoPed[[#This Row],[GRUPO]],tabGrupos[#Data],3,FALSE)</f>
        <v>MEL</v>
      </c>
      <c r="H650" s="33" t="s">
        <v>1311</v>
      </c>
      <c r="I650" s="80">
        <v>4</v>
      </c>
      <c r="J650" s="39">
        <v>13</v>
      </c>
      <c r="K650" s="41">
        <f>tabPontoPed[[#This Row],[QTDMÊS]] * tabPontoPed[[#This Row],[MENSAL]]</f>
        <v>52</v>
      </c>
      <c r="L650" s="83"/>
      <c r="M650" s="81"/>
      <c r="N650" s="34" t="s">
        <v>1009</v>
      </c>
      <c r="O650" s="76" t="s">
        <v>1670</v>
      </c>
      <c r="P650" s="77">
        <v>0</v>
      </c>
      <c r="Q650" s="57">
        <v>6</v>
      </c>
      <c r="R650" s="42">
        <v>12</v>
      </c>
      <c r="S650" s="69" t="str">
        <f>_xlfn.IFNA(IF(VLOOKUP(tabPontoPed[[#This Row],[CÓDIGO]],tabExcluirDoEstoque[#Data],1,FALSE),"sim",""),"")</f>
        <v/>
      </c>
      <c r="T650" s="43">
        <f>IF(AND(tabPontoPed[[#This Row],[MENSAL]]&gt;0,tabPontoPed[[#This Row],[CÁLCULO]]&gt;0), ABS( tabPontoPed[[#This Row],[MENSAL]] - tabPontoPed[[#This Row],[CÁLCULO]] ) / tabPontoPed[[#This Row],[MENSAL]], -1 )</f>
        <v>7.6923076923076927E-2</v>
      </c>
      <c r="U650" s="58">
        <v>44</v>
      </c>
      <c r="V650" s="35">
        <f>IF(AND(tabPontoPed[[#This Row],[MENSAL]]&gt;0,tabPontoPed[[#This Row],[CÁLCULO]]&gt;0), IF( tabPontoPed[[#This Row],[MENSAL]] - tabPontoPed[[#This Row],[CÁLCULO]] &lt; 0, -1, IF( tabPontoPed[[#This Row],[MENSAL]] - tabPontoPed[[#This Row],[CÁLCULO]] &gt; 0, 1, -8)), -9 )</f>
        <v>1</v>
      </c>
      <c r="W650" s="35"/>
      <c r="X650" s="49" t="s">
        <v>1564</v>
      </c>
      <c r="Y650" s="51">
        <v>44391.599108796298</v>
      </c>
      <c r="Z650" s="72">
        <f>tabPontoPed[CÁLC_4M] - tabPontoPed[CÁLCULO]</f>
        <v>-6</v>
      </c>
      <c r="AA650" s="79" t="str">
        <f>IF(tabPontoPed[MENSAL]-tabPontoPed[ATA MENSAL] = 0,"sim","")</f>
        <v/>
      </c>
      <c r="AB650" s="79" t="s">
        <v>1614</v>
      </c>
      <c r="AC650" s="47" t="str">
        <f t="shared" si="10"/>
        <v>*</v>
      </c>
    </row>
    <row r="651" spans="1:29" x14ac:dyDescent="0.25">
      <c r="A651" s="36">
        <v>11418</v>
      </c>
      <c r="B651" s="68" t="s">
        <v>424</v>
      </c>
      <c r="C651" s="33" t="s">
        <v>1317</v>
      </c>
      <c r="D651" s="32">
        <v>45</v>
      </c>
      <c r="E651" s="37">
        <v>10</v>
      </c>
      <c r="F651" s="38" t="str">
        <f>VLOOKUP(tabPontoPed[[#This Row],[GRUPO]],tabGrupos[#Data],2,FALSE)</f>
        <v>MAQ., EQUIP., COMP., ACES., MAT. PARA ESCRIT.E ESCOLAR</v>
      </c>
      <c r="G651" s="32" t="str">
        <f>VLOOKUP(tabPontoPed[[#This Row],[GRUPO]],tabGrupos[#Data],3,FALSE)</f>
        <v>EDU</v>
      </c>
      <c r="H651" s="33" t="s">
        <v>1311</v>
      </c>
      <c r="I651" s="80">
        <v>4</v>
      </c>
      <c r="J651" s="39">
        <v>657</v>
      </c>
      <c r="K651" s="41">
        <f>tabPontoPed[[#This Row],[QTDMÊS]] * tabPontoPed[[#This Row],[MENSAL]]</f>
        <v>2628</v>
      </c>
      <c r="L651" s="83"/>
      <c r="M651" s="81"/>
      <c r="N651" s="34" t="s">
        <v>1009</v>
      </c>
      <c r="O651" s="76"/>
      <c r="P651" s="77">
        <v>0</v>
      </c>
      <c r="Q651" s="57">
        <v>216</v>
      </c>
      <c r="R651" s="42">
        <v>609</v>
      </c>
      <c r="S651" s="69" t="str">
        <f>_xlfn.IFNA(IF(VLOOKUP(tabPontoPed[[#This Row],[CÓDIGO]],tabExcluirDoEstoque[#Data],1,FALSE),"sim",""),"")</f>
        <v/>
      </c>
      <c r="T651" s="43">
        <f>IF(AND(tabPontoPed[[#This Row],[MENSAL]]&gt;0,tabPontoPed[[#This Row],[CÁLCULO]]&gt;0), ABS( tabPontoPed[[#This Row],[MENSAL]] - tabPontoPed[[#This Row],[CÁLCULO]] ) / tabPontoPed[[#This Row],[MENSAL]], -1 )</f>
        <v>7.3059360730593603E-2</v>
      </c>
      <c r="U651" s="58">
        <v>5151</v>
      </c>
      <c r="V651" s="35">
        <f>IF(AND(tabPontoPed[[#This Row],[MENSAL]]&gt;0,tabPontoPed[[#This Row],[CÁLCULO]]&gt;0), IF( tabPontoPed[[#This Row],[MENSAL]] - tabPontoPed[[#This Row],[CÁLCULO]] &lt; 0, -1, IF( tabPontoPed[[#This Row],[MENSAL]] - tabPontoPed[[#This Row],[CÁLCULO]] &gt; 0, 1, -8)), -9 )</f>
        <v>1</v>
      </c>
      <c r="W651" s="35"/>
      <c r="X651" s="48" t="s">
        <v>1564</v>
      </c>
      <c r="Y651" s="53">
        <v>44391.599108796298</v>
      </c>
      <c r="Z651" s="72">
        <f>tabPontoPed[CÁLC_4M] - tabPontoPed[CÁLCULO]</f>
        <v>-393</v>
      </c>
      <c r="AA651" s="79" t="str">
        <f>IF(tabPontoPed[MENSAL]-tabPontoPed[ATA MENSAL] = 0,"sim","")</f>
        <v/>
      </c>
      <c r="AB651" s="79"/>
      <c r="AC651" s="47" t="str">
        <f t="shared" si="10"/>
        <v>*</v>
      </c>
    </row>
    <row r="652" spans="1:29" x14ac:dyDescent="0.25">
      <c r="A652" s="36">
        <v>80874</v>
      </c>
      <c r="B652" s="68" t="s">
        <v>486</v>
      </c>
      <c r="C652" s="33" t="s">
        <v>1317</v>
      </c>
      <c r="D652" s="32">
        <v>45</v>
      </c>
      <c r="E652" s="37">
        <v>30</v>
      </c>
      <c r="F652" s="38" t="str">
        <f>VLOOKUP(tabPontoPed[[#This Row],[GRUPO]],tabGrupos[#Data],2,FALSE)</f>
        <v>MAQ., EQUIP., COMP., ACES., MAT. PARA ESCRIT.E ESCOLAR</v>
      </c>
      <c r="G652" s="32" t="str">
        <f>VLOOKUP(tabPontoPed[[#This Row],[GRUPO]],tabGrupos[#Data],3,FALSE)</f>
        <v>EDU</v>
      </c>
      <c r="H652" s="33" t="s">
        <v>1311</v>
      </c>
      <c r="I652" s="80">
        <v>4</v>
      </c>
      <c r="J652" s="39">
        <v>558</v>
      </c>
      <c r="K652" s="41">
        <f>tabPontoPed[[#This Row],[QTDMÊS]] * tabPontoPed[[#This Row],[MENSAL]]</f>
        <v>2232</v>
      </c>
      <c r="L652" s="83"/>
      <c r="M652" s="81"/>
      <c r="N652" s="34" t="s">
        <v>1009</v>
      </c>
      <c r="O652" s="76"/>
      <c r="P652" s="77">
        <v>0</v>
      </c>
      <c r="Q652" s="57">
        <v>264</v>
      </c>
      <c r="R652" s="42">
        <v>519</v>
      </c>
      <c r="S652" s="69" t="str">
        <f>_xlfn.IFNA(IF(VLOOKUP(tabPontoPed[[#This Row],[CÓDIGO]],tabExcluirDoEstoque[#Data],1,FALSE),"sim",""),"")</f>
        <v/>
      </c>
      <c r="T652" s="43">
        <f>IF(AND(tabPontoPed[[#This Row],[MENSAL]]&gt;0,tabPontoPed[[#This Row],[CÁLCULO]]&gt;0), ABS( tabPontoPed[[#This Row],[MENSAL]] - tabPontoPed[[#This Row],[CÁLCULO]] ) / tabPontoPed[[#This Row],[MENSAL]], -1 )</f>
        <v>6.9892473118279563E-2</v>
      </c>
      <c r="U652" s="58">
        <v>2457</v>
      </c>
      <c r="V652" s="35">
        <f>IF(AND(tabPontoPed[[#This Row],[MENSAL]]&gt;0,tabPontoPed[[#This Row],[CÁLCULO]]&gt;0), IF( tabPontoPed[[#This Row],[MENSAL]] - tabPontoPed[[#This Row],[CÁLCULO]] &lt; 0, -1, IF( tabPontoPed[[#This Row],[MENSAL]] - tabPontoPed[[#This Row],[CÁLCULO]] &gt; 0, 1, -8)), -9 )</f>
        <v>1</v>
      </c>
      <c r="W652" s="35"/>
      <c r="X652" s="49" t="s">
        <v>1564</v>
      </c>
      <c r="Y652" s="51">
        <v>44391.599108796298</v>
      </c>
      <c r="Z652" s="72">
        <f>tabPontoPed[CÁLC_4M] - tabPontoPed[CÁLCULO]</f>
        <v>-255</v>
      </c>
      <c r="AA652" s="79" t="str">
        <f>IF(tabPontoPed[MENSAL]-tabPontoPed[ATA MENSAL] = 0,"sim","")</f>
        <v/>
      </c>
      <c r="AB652" s="79"/>
      <c r="AC652" s="47" t="str">
        <f t="shared" si="10"/>
        <v>*</v>
      </c>
    </row>
    <row r="653" spans="1:29" ht="18.75" x14ac:dyDescent="0.25">
      <c r="A653" s="36">
        <v>12856</v>
      </c>
      <c r="B653" s="68" t="s">
        <v>962</v>
      </c>
      <c r="C653" s="33" t="s">
        <v>1317</v>
      </c>
      <c r="D653" s="32">
        <v>76</v>
      </c>
      <c r="E653" s="37">
        <v>11</v>
      </c>
      <c r="F653" s="38" t="str">
        <f>VLOOKUP(tabPontoPed[[#This Row],[GRUPO]],tabGrupos[#Data],2,FALSE)</f>
        <v>EQUIP. E MATERIAIS P/PINTURAS E IMPERMEABILIZACAO</v>
      </c>
      <c r="G653" s="32" t="str">
        <f>VLOOKUP(tabPontoPed[[#This Row],[GRUPO]],tabGrupos[#Data],3,FALSE)</f>
        <v>MPI</v>
      </c>
      <c r="H653" s="33" t="s">
        <v>1311</v>
      </c>
      <c r="I653" s="80">
        <v>4</v>
      </c>
      <c r="J653" s="39">
        <v>280</v>
      </c>
      <c r="K653" s="41">
        <f>tabPontoPed[[#This Row],[QTDMÊS]] * tabPontoPed[[#This Row],[MENSAL]]</f>
        <v>1120</v>
      </c>
      <c r="L653" s="83"/>
      <c r="M653" s="81"/>
      <c r="N653" s="34" t="s">
        <v>1009</v>
      </c>
      <c r="O653" s="76" t="s">
        <v>1710</v>
      </c>
      <c r="P653" s="77">
        <v>0</v>
      </c>
      <c r="Q653" s="57">
        <v>99</v>
      </c>
      <c r="R653" s="42">
        <v>261</v>
      </c>
      <c r="S653" s="69" t="str">
        <f>_xlfn.IFNA(IF(VLOOKUP(tabPontoPed[[#This Row],[CÓDIGO]],tabExcluirDoEstoque[#Data],1,FALSE),"sim",""),"")</f>
        <v/>
      </c>
      <c r="T653" s="43">
        <f>IF(AND(tabPontoPed[[#This Row],[MENSAL]]&gt;0,tabPontoPed[[#This Row],[CÁLCULO]]&gt;0), ABS( tabPontoPed[[#This Row],[MENSAL]] - tabPontoPed[[#This Row],[CÁLCULO]] ) / tabPontoPed[[#This Row],[MENSAL]], -1 )</f>
        <v>6.7857142857142852E-2</v>
      </c>
      <c r="U653" s="58">
        <v>2049</v>
      </c>
      <c r="V653" s="35">
        <f>IF(AND(tabPontoPed[[#This Row],[MENSAL]]&gt;0,tabPontoPed[[#This Row],[CÁLCULO]]&gt;0), IF( tabPontoPed[[#This Row],[MENSAL]] - tabPontoPed[[#This Row],[CÁLCULO]] &lt; 0, -1, IF( tabPontoPed[[#This Row],[MENSAL]] - tabPontoPed[[#This Row],[CÁLCULO]] &gt; 0, 1, -8)), -9 )</f>
        <v>1</v>
      </c>
      <c r="W653" s="45"/>
      <c r="X653" s="50" t="s">
        <v>1564</v>
      </c>
      <c r="Y653" s="52">
        <v>44391.599108796298</v>
      </c>
      <c r="Z653" s="73">
        <f>tabPontoPed[CÁLC_4M] - tabPontoPed[CÁLCULO]</f>
        <v>-162</v>
      </c>
      <c r="AA653" s="79" t="str">
        <f>IF(tabPontoPed[MENSAL]-tabPontoPed[ATA MENSAL] = 0,"sim","")</f>
        <v/>
      </c>
      <c r="AB653" s="79"/>
      <c r="AC653" s="47" t="str">
        <f t="shared" si="10"/>
        <v>*</v>
      </c>
    </row>
    <row r="654" spans="1:29" x14ac:dyDescent="0.25">
      <c r="A654" s="36">
        <v>24219</v>
      </c>
      <c r="B654" s="68" t="s">
        <v>975</v>
      </c>
      <c r="C654" s="33" t="s">
        <v>1317</v>
      </c>
      <c r="D654" s="32">
        <v>79</v>
      </c>
      <c r="E654" s="37">
        <v>6</v>
      </c>
      <c r="F654" s="38" t="str">
        <f>VLOOKUP(tabPontoPed[[#This Row],[GRUPO]],tabGrupos[#Data],2,FALSE)</f>
        <v>ART. DOMEST. DECO. GUARNI. DE AMBI.TECI. VEICULOS</v>
      </c>
      <c r="G654" s="32" t="str">
        <f>VLOOKUP(tabPontoPed[[#This Row],[GRUPO]],tabGrupos[#Data],3,FALSE)</f>
        <v>ADM</v>
      </c>
      <c r="H654" s="33" t="s">
        <v>1311</v>
      </c>
      <c r="I654" s="80">
        <v>4</v>
      </c>
      <c r="J654" s="39">
        <v>30</v>
      </c>
      <c r="K654" s="41">
        <f>tabPontoPed[[#This Row],[QTDMÊS]] * tabPontoPed[[#This Row],[MENSAL]]</f>
        <v>120</v>
      </c>
      <c r="L654" s="83"/>
      <c r="M654" s="81"/>
      <c r="N654" s="34" t="s">
        <v>1009</v>
      </c>
      <c r="O654" s="76"/>
      <c r="P654" s="77">
        <v>0</v>
      </c>
      <c r="Q654" s="57">
        <v>34</v>
      </c>
      <c r="R654" s="42">
        <v>32</v>
      </c>
      <c r="S654" s="69" t="str">
        <f>_xlfn.IFNA(IF(VLOOKUP(tabPontoPed[[#This Row],[CÓDIGO]],tabExcluirDoEstoque[#Data],1,FALSE),"sim",""),"")</f>
        <v/>
      </c>
      <c r="T654" s="43">
        <f>IF(AND(tabPontoPed[[#This Row],[MENSAL]]&gt;0,tabPontoPed[[#This Row],[CÁLCULO]]&gt;0), ABS( tabPontoPed[[#This Row],[MENSAL]] - tabPontoPed[[#This Row],[CÁLCULO]] ) / tabPontoPed[[#This Row],[MENSAL]], -1 )</f>
        <v>6.6666666666666666E-2</v>
      </c>
      <c r="U654" s="58">
        <v>51</v>
      </c>
      <c r="V654" s="35">
        <f>IF(AND(tabPontoPed[[#This Row],[MENSAL]]&gt;0,tabPontoPed[[#This Row],[CÁLCULO]]&gt;0), IF( tabPontoPed[[#This Row],[MENSAL]] - tabPontoPed[[#This Row],[CÁLCULO]] &lt; 0, -1, IF( tabPontoPed[[#This Row],[MENSAL]] - tabPontoPed[[#This Row],[CÁLCULO]] &gt; 0, 1, -8)), -9 )</f>
        <v>-1</v>
      </c>
      <c r="W654" s="35"/>
      <c r="X654" s="49" t="s">
        <v>1564</v>
      </c>
      <c r="Y654" s="51">
        <v>44391.599108796298</v>
      </c>
      <c r="Z654" s="72">
        <f>tabPontoPed[CÁLC_4M] - tabPontoPed[CÁLCULO]</f>
        <v>2</v>
      </c>
      <c r="AA654" s="79" t="str">
        <f>IF(tabPontoPed[MENSAL]-tabPontoPed[ATA MENSAL] = 0,"sim","")</f>
        <v/>
      </c>
      <c r="AB654" s="79"/>
      <c r="AC654" s="47" t="str">
        <f t="shared" si="10"/>
        <v>*</v>
      </c>
    </row>
    <row r="655" spans="1:29" x14ac:dyDescent="0.25">
      <c r="A655" s="36">
        <v>13063</v>
      </c>
      <c r="B655" s="68" t="s">
        <v>774</v>
      </c>
      <c r="C655" s="33" t="s">
        <v>1317</v>
      </c>
      <c r="D655" s="32">
        <v>61</v>
      </c>
      <c r="E655" s="37">
        <v>9</v>
      </c>
      <c r="F655" s="38" t="str">
        <f>VLOOKUP(tabPontoPed[[#This Row],[GRUPO]],tabGrupos[#Data],2,FALSE)</f>
        <v>MATERIAL HIDRAULICO, CANOS, TUBOS, MANGUEIRAS, CONEXOES E ACESS.</v>
      </c>
      <c r="G655" s="32" t="str">
        <f>VLOOKUP(tabPontoPed[[#This Row],[GRUPO]],tabGrupos[#Data],3,FALSE)</f>
        <v>MHI</v>
      </c>
      <c r="H655" s="33" t="s">
        <v>1311</v>
      </c>
      <c r="I655" s="80">
        <v>4</v>
      </c>
      <c r="J655" s="39">
        <v>63</v>
      </c>
      <c r="K655" s="41">
        <f>tabPontoPed[[#This Row],[QTDMÊS]] * tabPontoPed[[#This Row],[MENSAL]]</f>
        <v>252</v>
      </c>
      <c r="L655" s="83"/>
      <c r="M655" s="81"/>
      <c r="N655" s="34" t="s">
        <v>1009</v>
      </c>
      <c r="O655" s="76" t="s">
        <v>1742</v>
      </c>
      <c r="P655" s="77">
        <v>0</v>
      </c>
      <c r="Q655" s="57">
        <v>40</v>
      </c>
      <c r="R655" s="42">
        <v>67</v>
      </c>
      <c r="S655" s="69" t="str">
        <f>_xlfn.IFNA(IF(VLOOKUP(tabPontoPed[[#This Row],[CÓDIGO]],tabExcluirDoEstoque[#Data],1,FALSE),"sim",""),"")</f>
        <v/>
      </c>
      <c r="T655" s="43">
        <f>IF(AND(tabPontoPed[[#This Row],[MENSAL]]&gt;0,tabPontoPed[[#This Row],[CÁLCULO]]&gt;0), ABS( tabPontoPed[[#This Row],[MENSAL]] - tabPontoPed[[#This Row],[CÁLCULO]] ) / tabPontoPed[[#This Row],[MENSAL]], -1 )</f>
        <v>6.3492063492063489E-2</v>
      </c>
      <c r="U655" s="58">
        <v>156</v>
      </c>
      <c r="V655" s="35">
        <f>IF(AND(tabPontoPed[[#This Row],[MENSAL]]&gt;0,tabPontoPed[[#This Row],[CÁLCULO]]&gt;0), IF( tabPontoPed[[#This Row],[MENSAL]] - tabPontoPed[[#This Row],[CÁLCULO]] &lt; 0, -1, IF( tabPontoPed[[#This Row],[MENSAL]] - tabPontoPed[[#This Row],[CÁLCULO]] &gt; 0, 1, -8)), -9 )</f>
        <v>-1</v>
      </c>
      <c r="W655" s="35"/>
      <c r="X655" s="48" t="s">
        <v>1564</v>
      </c>
      <c r="Y655" s="53">
        <v>44391.599108796298</v>
      </c>
      <c r="Z655" s="72">
        <f>tabPontoPed[CÁLC_4M] - tabPontoPed[CÁLCULO]</f>
        <v>-27</v>
      </c>
      <c r="AA655" s="79" t="str">
        <f>IF(tabPontoPed[MENSAL]-tabPontoPed[ATA MENSAL] = 0,"sim","")</f>
        <v/>
      </c>
      <c r="AB655" s="79"/>
      <c r="AC655" s="47" t="str">
        <f t="shared" si="10"/>
        <v>*</v>
      </c>
    </row>
    <row r="656" spans="1:29" x14ac:dyDescent="0.25">
      <c r="A656" s="36">
        <v>95209</v>
      </c>
      <c r="B656" s="68" t="s">
        <v>316</v>
      </c>
      <c r="C656" s="33" t="s">
        <v>1317</v>
      </c>
      <c r="D656" s="32">
        <v>61</v>
      </c>
      <c r="E656" s="37">
        <v>15</v>
      </c>
      <c r="F656" s="38" t="str">
        <f>VLOOKUP(tabPontoPed[[#This Row],[GRUPO]],tabGrupos[#Data],2,FALSE)</f>
        <v>MATERIAL HIDRAULICO, CANOS, TUBOS, MANGUEIRAS, CONEXOES E ACESS.</v>
      </c>
      <c r="G656" s="32" t="str">
        <f>VLOOKUP(tabPontoPed[[#This Row],[GRUPO]],tabGrupos[#Data],3,FALSE)</f>
        <v>MHI</v>
      </c>
      <c r="H656" s="33" t="s">
        <v>1311</v>
      </c>
      <c r="I656" s="80">
        <v>4</v>
      </c>
      <c r="J656" s="39">
        <v>16</v>
      </c>
      <c r="K656" s="41">
        <f>tabPontoPed[[#This Row],[QTDMÊS]] * tabPontoPed[[#This Row],[MENSAL]]</f>
        <v>64</v>
      </c>
      <c r="L656" s="83"/>
      <c r="M656" s="81"/>
      <c r="N656" s="34" t="s">
        <v>1009</v>
      </c>
      <c r="O656" s="76" t="s">
        <v>1678</v>
      </c>
      <c r="P656" s="77">
        <v>0</v>
      </c>
      <c r="Q656" s="57">
        <v>18</v>
      </c>
      <c r="R656" s="42">
        <v>15</v>
      </c>
      <c r="S656" s="69" t="str">
        <f>_xlfn.IFNA(IF(VLOOKUP(tabPontoPed[[#This Row],[CÓDIGO]],tabExcluirDoEstoque[#Data],1,FALSE),"sim",""),"")</f>
        <v/>
      </c>
      <c r="T656" s="43">
        <f>IF(AND(tabPontoPed[[#This Row],[MENSAL]]&gt;0,tabPontoPed[[#This Row],[CÁLCULO]]&gt;0), ABS( tabPontoPed[[#This Row],[MENSAL]] - tabPontoPed[[#This Row],[CÁLCULO]] ) / tabPontoPed[[#This Row],[MENSAL]], -1 )</f>
        <v>6.25E-2</v>
      </c>
      <c r="U656" s="58">
        <v>31</v>
      </c>
      <c r="V656" s="35">
        <f>IF(AND(tabPontoPed[[#This Row],[MENSAL]]&gt;0,tabPontoPed[[#This Row],[CÁLCULO]]&gt;0), IF( tabPontoPed[[#This Row],[MENSAL]] - tabPontoPed[[#This Row],[CÁLCULO]] &lt; 0, -1, IF( tabPontoPed[[#This Row],[MENSAL]] - tabPontoPed[[#This Row],[CÁLCULO]] &gt; 0, 1, -8)), -9 )</f>
        <v>1</v>
      </c>
      <c r="W656" s="35"/>
      <c r="X656" s="48" t="s">
        <v>1564</v>
      </c>
      <c r="Y656" s="53">
        <v>44391.599108796298</v>
      </c>
      <c r="Z656" s="72">
        <f>tabPontoPed[CÁLC_4M] - tabPontoPed[CÁLCULO]</f>
        <v>3</v>
      </c>
      <c r="AA656" s="79" t="str">
        <f>IF(tabPontoPed[MENSAL]-tabPontoPed[ATA MENSAL] = 0,"sim","")</f>
        <v/>
      </c>
      <c r="AB656" s="79"/>
      <c r="AC656" s="47" t="str">
        <f t="shared" si="10"/>
        <v>*</v>
      </c>
    </row>
    <row r="657" spans="1:29" x14ac:dyDescent="0.25">
      <c r="A657" s="36">
        <v>54029</v>
      </c>
      <c r="B657" s="68" t="s">
        <v>650</v>
      </c>
      <c r="C657" s="33" t="s">
        <v>1317</v>
      </c>
      <c r="D657" s="32">
        <v>55</v>
      </c>
      <c r="E657" s="37">
        <v>32</v>
      </c>
      <c r="F657" s="38" t="str">
        <f>VLOOKUP(tabPontoPed[[#This Row],[GRUPO]],tabGrupos[#Data],2,FALSE)</f>
        <v>EQUIP. MAT. P/ GERACAO, TRANSM. DISTR. RETIF...</v>
      </c>
      <c r="G657" s="32" t="str">
        <f>VLOOKUP(tabPontoPed[[#This Row],[GRUPO]],tabGrupos[#Data],3,FALSE)</f>
        <v>MEL</v>
      </c>
      <c r="H657" s="33" t="s">
        <v>1311</v>
      </c>
      <c r="I657" s="80">
        <v>4</v>
      </c>
      <c r="J657" s="39">
        <v>113</v>
      </c>
      <c r="K657" s="41">
        <f>tabPontoPed[[#This Row],[QTDMÊS]] * tabPontoPed[[#This Row],[MENSAL]]</f>
        <v>452</v>
      </c>
      <c r="L657" s="83"/>
      <c r="M657" s="81"/>
      <c r="N657" s="34" t="s">
        <v>1009</v>
      </c>
      <c r="O657" s="76"/>
      <c r="P657" s="77">
        <v>0</v>
      </c>
      <c r="Q657" s="57">
        <v>200</v>
      </c>
      <c r="R657" s="42">
        <v>106</v>
      </c>
      <c r="S657" s="69" t="str">
        <f>_xlfn.IFNA(IF(VLOOKUP(tabPontoPed[[#This Row],[CÓDIGO]],tabExcluirDoEstoque[#Data],1,FALSE),"sim",""),"")</f>
        <v/>
      </c>
      <c r="T657" s="43">
        <f>IF(AND(tabPontoPed[[#This Row],[MENSAL]]&gt;0,tabPontoPed[[#This Row],[CÁLCULO]]&gt;0), ABS( tabPontoPed[[#This Row],[MENSAL]] - tabPontoPed[[#This Row],[CÁLCULO]] ) / tabPontoPed[[#This Row],[MENSAL]], -1 )</f>
        <v>6.1946902654867256E-2</v>
      </c>
      <c r="U657" s="58">
        <v>550</v>
      </c>
      <c r="V657" s="35">
        <f>IF(AND(tabPontoPed[[#This Row],[MENSAL]]&gt;0,tabPontoPed[[#This Row],[CÁLCULO]]&gt;0), IF( tabPontoPed[[#This Row],[MENSAL]] - tabPontoPed[[#This Row],[CÁLCULO]] &lt; 0, -1, IF( tabPontoPed[[#This Row],[MENSAL]] - tabPontoPed[[#This Row],[CÁLCULO]] &gt; 0, 1, -8)), -9 )</f>
        <v>1</v>
      </c>
      <c r="W657" s="35"/>
      <c r="X657" s="48" t="s">
        <v>1564</v>
      </c>
      <c r="Y657" s="53">
        <v>44391.599108796298</v>
      </c>
      <c r="Z657" s="72">
        <f>tabPontoPed[CÁLC_4M] - tabPontoPed[CÁLCULO]</f>
        <v>94</v>
      </c>
      <c r="AA657" s="79" t="str">
        <f>IF(tabPontoPed[MENSAL]-tabPontoPed[ATA MENSAL] = 0,"sim","")</f>
        <v/>
      </c>
      <c r="AB657" s="79"/>
      <c r="AC657" s="47" t="str">
        <f t="shared" si="10"/>
        <v>*</v>
      </c>
    </row>
    <row r="658" spans="1:29" x14ac:dyDescent="0.25">
      <c r="A658" s="36">
        <v>12613</v>
      </c>
      <c r="B658" s="68" t="s">
        <v>437</v>
      </c>
      <c r="C658" s="33" t="s">
        <v>1317</v>
      </c>
      <c r="D658" s="32">
        <v>45</v>
      </c>
      <c r="E658" s="37">
        <v>11</v>
      </c>
      <c r="F658" s="38" t="str">
        <f>VLOOKUP(tabPontoPed[[#This Row],[GRUPO]],tabGrupos[#Data],2,FALSE)</f>
        <v>MAQ., EQUIP., COMP., ACES., MAT. PARA ESCRIT.E ESCOLAR</v>
      </c>
      <c r="G658" s="32" t="str">
        <f>VLOOKUP(tabPontoPed[[#This Row],[GRUPO]],tabGrupos[#Data],3,FALSE)</f>
        <v>EDU</v>
      </c>
      <c r="H658" s="33" t="s">
        <v>1311</v>
      </c>
      <c r="I658" s="80">
        <v>4</v>
      </c>
      <c r="J658" s="39">
        <v>4367</v>
      </c>
      <c r="K658" s="41">
        <f>tabPontoPed[[#This Row],[QTDMÊS]] * tabPontoPed[[#This Row],[MENSAL]]</f>
        <v>17468</v>
      </c>
      <c r="L658" s="83"/>
      <c r="M658" s="81"/>
      <c r="N658" s="34" t="s">
        <v>1009</v>
      </c>
      <c r="O658" s="76" t="s">
        <v>1696</v>
      </c>
      <c r="P658" s="77">
        <v>0</v>
      </c>
      <c r="Q658" s="57">
        <v>4280</v>
      </c>
      <c r="R658" s="42">
        <v>4104</v>
      </c>
      <c r="S658" s="69" t="str">
        <f>_xlfn.IFNA(IF(VLOOKUP(tabPontoPed[[#This Row],[CÓDIGO]],tabExcluirDoEstoque[#Data],1,FALSE),"sim",""),"")</f>
        <v/>
      </c>
      <c r="T658" s="43">
        <f>IF(AND(tabPontoPed[[#This Row],[MENSAL]]&gt;0,tabPontoPed[[#This Row],[CÁLCULO]]&gt;0), ABS( tabPontoPed[[#This Row],[MENSAL]] - tabPontoPed[[#This Row],[CÁLCULO]] ) / tabPontoPed[[#This Row],[MENSAL]], -1 )</f>
        <v>6.0224410350354932E-2</v>
      </c>
      <c r="U658" s="58">
        <v>6300</v>
      </c>
      <c r="V658" s="35">
        <f>IF(AND(tabPontoPed[[#This Row],[MENSAL]]&gt;0,tabPontoPed[[#This Row],[CÁLCULO]]&gt;0), IF( tabPontoPed[[#This Row],[MENSAL]] - tabPontoPed[[#This Row],[CÁLCULO]] &lt; 0, -1, IF( tabPontoPed[[#This Row],[MENSAL]] - tabPontoPed[[#This Row],[CÁLCULO]] &gt; 0, 1, -8)), -9 )</f>
        <v>1</v>
      </c>
      <c r="W658" s="35"/>
      <c r="X658" s="49" t="s">
        <v>1564</v>
      </c>
      <c r="Y658" s="51">
        <v>44391.599108796298</v>
      </c>
      <c r="Z658" s="72">
        <f>tabPontoPed[CÁLC_4M] - tabPontoPed[CÁLCULO]</f>
        <v>176</v>
      </c>
      <c r="AA658" s="79" t="str">
        <f>IF(tabPontoPed[MENSAL]-tabPontoPed[ATA MENSAL] = 0,"sim","")</f>
        <v/>
      </c>
      <c r="AB658" s="79"/>
      <c r="AC658" s="47" t="str">
        <f t="shared" si="10"/>
        <v>*</v>
      </c>
    </row>
    <row r="659" spans="1:29" x14ac:dyDescent="0.25">
      <c r="A659" s="36">
        <v>13109</v>
      </c>
      <c r="B659" s="68" t="s">
        <v>978</v>
      </c>
      <c r="C659" s="33" t="s">
        <v>1317</v>
      </c>
      <c r="D659" s="32">
        <v>83</v>
      </c>
      <c r="E659" s="37">
        <v>2</v>
      </c>
      <c r="F659" s="38" t="str">
        <f>VLOOKUP(tabPontoPed[[#This Row],[GRUPO]],tabGrupos[#Data],2,FALSE)</f>
        <v>ABRASIVOS</v>
      </c>
      <c r="G659" s="32" t="str">
        <f>VLOOKUP(tabPontoPed[[#This Row],[GRUPO]],tabGrupos[#Data],3,FALSE)</f>
        <v>MAN</v>
      </c>
      <c r="H659" s="33" t="s">
        <v>1311</v>
      </c>
      <c r="I659" s="80">
        <v>4</v>
      </c>
      <c r="J659" s="39">
        <v>17</v>
      </c>
      <c r="K659" s="41">
        <f>tabPontoPed[[#This Row],[QTDMÊS]] * tabPontoPed[[#This Row],[MENSAL]]</f>
        <v>68</v>
      </c>
      <c r="L659" s="83"/>
      <c r="M659" s="81"/>
      <c r="N659" s="34" t="s">
        <v>1009</v>
      </c>
      <c r="O659" s="76" t="s">
        <v>1658</v>
      </c>
      <c r="P659" s="77">
        <v>0</v>
      </c>
      <c r="Q659" s="57">
        <v>21</v>
      </c>
      <c r="R659" s="42">
        <v>18</v>
      </c>
      <c r="S659" s="69" t="str">
        <f>_xlfn.IFNA(IF(VLOOKUP(tabPontoPed[[#This Row],[CÓDIGO]],tabExcluirDoEstoque[#Data],1,FALSE),"sim",""),"")</f>
        <v/>
      </c>
      <c r="T659" s="43">
        <f>IF(AND(tabPontoPed[[#This Row],[MENSAL]]&gt;0,tabPontoPed[[#This Row],[CÁLCULO]]&gt;0), ABS( tabPontoPed[[#This Row],[MENSAL]] - tabPontoPed[[#This Row],[CÁLCULO]] ) / tabPontoPed[[#This Row],[MENSAL]], -1 )</f>
        <v>5.8823529411764705E-2</v>
      </c>
      <c r="U659" s="58">
        <v>39</v>
      </c>
      <c r="V659" s="35">
        <f>IF(AND(tabPontoPed[[#This Row],[MENSAL]]&gt;0,tabPontoPed[[#This Row],[CÁLCULO]]&gt;0), IF( tabPontoPed[[#This Row],[MENSAL]] - tabPontoPed[[#This Row],[CÁLCULO]] &lt; 0, -1, IF( tabPontoPed[[#This Row],[MENSAL]] - tabPontoPed[[#This Row],[CÁLCULO]] &gt; 0, 1, -8)), -9 )</f>
        <v>-1</v>
      </c>
      <c r="W659" s="35"/>
      <c r="X659" s="49" t="s">
        <v>1564</v>
      </c>
      <c r="Y659" s="51">
        <v>44391.599108796298</v>
      </c>
      <c r="Z659" s="72">
        <f>tabPontoPed[CÁLC_4M] - tabPontoPed[CÁLCULO]</f>
        <v>3</v>
      </c>
      <c r="AA659" s="79" t="str">
        <f>IF(tabPontoPed[MENSAL]-tabPontoPed[ATA MENSAL] = 0,"sim","")</f>
        <v/>
      </c>
      <c r="AB659" s="79"/>
      <c r="AC659" s="47" t="str">
        <f t="shared" si="10"/>
        <v>*</v>
      </c>
    </row>
    <row r="660" spans="1:29" x14ac:dyDescent="0.25">
      <c r="A660" s="36">
        <v>53814</v>
      </c>
      <c r="B660" s="68" t="s">
        <v>518</v>
      </c>
      <c r="C660" s="33" t="s">
        <v>1317</v>
      </c>
      <c r="D660" s="32">
        <v>51</v>
      </c>
      <c r="E660" s="37">
        <v>13</v>
      </c>
      <c r="F660" s="38" t="str">
        <f>VLOOKUP(tabPontoPed[[#This Row],[GRUPO]],tabGrupos[#Data],2,FALSE)</f>
        <v>MAT.E EQUIP. P/ CONSTR.CIVIL E CONSERV. DE VIAS PUBL.</v>
      </c>
      <c r="G660" s="32" t="str">
        <f>VLOOKUP(tabPontoPed[[#This Row],[GRUPO]],tabGrupos[#Data],3,FALSE)</f>
        <v>MCO</v>
      </c>
      <c r="H660" s="33" t="s">
        <v>1311</v>
      </c>
      <c r="I660" s="80">
        <v>4</v>
      </c>
      <c r="J660" s="39">
        <v>17</v>
      </c>
      <c r="K660" s="41">
        <f>tabPontoPed[[#This Row],[QTDMÊS]] * tabPontoPed[[#This Row],[MENSAL]]</f>
        <v>68</v>
      </c>
      <c r="L660" s="83"/>
      <c r="M660" s="81"/>
      <c r="N660" s="34" t="s">
        <v>1009</v>
      </c>
      <c r="O660" s="76" t="s">
        <v>1672</v>
      </c>
      <c r="P660" s="77">
        <v>0</v>
      </c>
      <c r="Q660" s="57">
        <v>0</v>
      </c>
      <c r="R660" s="42">
        <v>18</v>
      </c>
      <c r="S660" s="69" t="str">
        <f>_xlfn.IFNA(IF(VLOOKUP(tabPontoPed[[#This Row],[CÓDIGO]],tabExcluirDoEstoque[#Data],1,FALSE),"sim",""),"")</f>
        <v/>
      </c>
      <c r="T660" s="43">
        <f>IF(AND(tabPontoPed[[#This Row],[MENSAL]]&gt;0,tabPontoPed[[#This Row],[CÁLCULO]]&gt;0), ABS( tabPontoPed[[#This Row],[MENSAL]] - tabPontoPed[[#This Row],[CÁLCULO]] ) / tabPontoPed[[#This Row],[MENSAL]], -1 )</f>
        <v>5.8823529411764705E-2</v>
      </c>
      <c r="U660" s="58">
        <v>182</v>
      </c>
      <c r="V660" s="35">
        <f>IF(AND(tabPontoPed[[#This Row],[MENSAL]]&gt;0,tabPontoPed[[#This Row],[CÁLCULO]]&gt;0), IF( tabPontoPed[[#This Row],[MENSAL]] - tabPontoPed[[#This Row],[CÁLCULO]] &lt; 0, -1, IF( tabPontoPed[[#This Row],[MENSAL]] - tabPontoPed[[#This Row],[CÁLCULO]] &gt; 0, 1, -8)), -9 )</f>
        <v>-1</v>
      </c>
      <c r="W660" s="35"/>
      <c r="X660" s="48" t="s">
        <v>1564</v>
      </c>
      <c r="Y660" s="53">
        <v>44391.599108796298</v>
      </c>
      <c r="Z660" s="72">
        <f>tabPontoPed[CÁLC_4M] - tabPontoPed[CÁLCULO]</f>
        <v>-18</v>
      </c>
      <c r="AA660" s="79" t="str">
        <f>IF(tabPontoPed[MENSAL]-tabPontoPed[ATA MENSAL] = 0,"sim","")</f>
        <v/>
      </c>
      <c r="AB660" s="79"/>
      <c r="AC660" s="47" t="str">
        <f t="shared" si="10"/>
        <v>*</v>
      </c>
    </row>
    <row r="661" spans="1:29" ht="18.75" x14ac:dyDescent="0.25">
      <c r="A661" s="36">
        <v>12857</v>
      </c>
      <c r="B661" s="68" t="s">
        <v>152</v>
      </c>
      <c r="C661" s="33" t="s">
        <v>1317</v>
      </c>
      <c r="D661" s="32">
        <v>76</v>
      </c>
      <c r="E661" s="37">
        <v>11</v>
      </c>
      <c r="F661" s="38" t="str">
        <f>VLOOKUP(tabPontoPed[[#This Row],[GRUPO]],tabGrupos[#Data],2,FALSE)</f>
        <v>EQUIP. E MATERIAIS P/PINTURAS E IMPERMEABILIZACAO</v>
      </c>
      <c r="G661" s="32" t="str">
        <f>VLOOKUP(tabPontoPed[[#This Row],[GRUPO]],tabGrupos[#Data],3,FALSE)</f>
        <v>MPI</v>
      </c>
      <c r="H661" s="33" t="s">
        <v>1311</v>
      </c>
      <c r="I661" s="80">
        <v>4</v>
      </c>
      <c r="J661" s="39">
        <v>20</v>
      </c>
      <c r="K661" s="41">
        <f>tabPontoPed[[#This Row],[QTDMÊS]] * tabPontoPed[[#This Row],[MENSAL]]</f>
        <v>80</v>
      </c>
      <c r="L661" s="83"/>
      <c r="M661" s="81"/>
      <c r="N661" s="34" t="s">
        <v>1009</v>
      </c>
      <c r="O661" s="76" t="s">
        <v>1658</v>
      </c>
      <c r="P661" s="77">
        <v>0</v>
      </c>
      <c r="Q661" s="57">
        <v>21</v>
      </c>
      <c r="R661" s="42">
        <v>19</v>
      </c>
      <c r="S661" s="69" t="str">
        <f>_xlfn.IFNA(IF(VLOOKUP(tabPontoPed[[#This Row],[CÓDIGO]],tabExcluirDoEstoque[#Data],1,FALSE),"sim",""),"")</f>
        <v>sim</v>
      </c>
      <c r="T661" s="43">
        <f>IF(AND(tabPontoPed[[#This Row],[MENSAL]]&gt;0,tabPontoPed[[#This Row],[CÁLCULO]]&gt;0), ABS( tabPontoPed[[#This Row],[MENSAL]] - tabPontoPed[[#This Row],[CÁLCULO]] ) / tabPontoPed[[#This Row],[MENSAL]], -1 )</f>
        <v>0.05</v>
      </c>
      <c r="U661" s="58">
        <v>30</v>
      </c>
      <c r="V661" s="35">
        <f>IF(AND(tabPontoPed[[#This Row],[MENSAL]]&gt;0,tabPontoPed[[#This Row],[CÁLCULO]]&gt;0), IF( tabPontoPed[[#This Row],[MENSAL]] - tabPontoPed[[#This Row],[CÁLCULO]] &lt; 0, -1, IF( tabPontoPed[[#This Row],[MENSAL]] - tabPontoPed[[#This Row],[CÁLCULO]] &gt; 0, 1, -8)), -9 )</f>
        <v>1</v>
      </c>
      <c r="W661" s="45"/>
      <c r="X661" s="48" t="s">
        <v>1564</v>
      </c>
      <c r="Y661" s="53">
        <v>44391.599108796298</v>
      </c>
      <c r="Z661" s="72">
        <f>tabPontoPed[CÁLC_4M] - tabPontoPed[CÁLCULO]</f>
        <v>2</v>
      </c>
      <c r="AA661" s="79" t="str">
        <f>IF(tabPontoPed[MENSAL]-tabPontoPed[ATA MENSAL] = 0,"sim","")</f>
        <v/>
      </c>
      <c r="AB661" s="79"/>
      <c r="AC661" s="47" t="str">
        <f t="shared" si="10"/>
        <v>*</v>
      </c>
    </row>
    <row r="662" spans="1:29" x14ac:dyDescent="0.25">
      <c r="A662" s="36">
        <v>10392</v>
      </c>
      <c r="B662" s="68" t="s">
        <v>423</v>
      </c>
      <c r="C662" s="33" t="s">
        <v>1317</v>
      </c>
      <c r="D662" s="32">
        <v>45</v>
      </c>
      <c r="E662" s="37">
        <v>10</v>
      </c>
      <c r="F662" s="38" t="str">
        <f>VLOOKUP(tabPontoPed[[#This Row],[GRUPO]],tabGrupos[#Data],2,FALSE)</f>
        <v>MAQ., EQUIP., COMP., ACES., MAT. PARA ESCRIT.E ESCOLAR</v>
      </c>
      <c r="G662" s="32" t="str">
        <f>VLOOKUP(tabPontoPed[[#This Row],[GRUPO]],tabGrupos[#Data],3,FALSE)</f>
        <v>EDU</v>
      </c>
      <c r="H662" s="33" t="s">
        <v>1311</v>
      </c>
      <c r="I662" s="80">
        <v>4</v>
      </c>
      <c r="J662" s="39">
        <v>565</v>
      </c>
      <c r="K662" s="41">
        <f>tabPontoPed[[#This Row],[QTDMÊS]] * tabPontoPed[[#This Row],[MENSAL]]</f>
        <v>2260</v>
      </c>
      <c r="L662" s="83"/>
      <c r="M662" s="81"/>
      <c r="N662" s="34" t="s">
        <v>1009</v>
      </c>
      <c r="O662" s="76" t="s">
        <v>1696</v>
      </c>
      <c r="P662" s="77">
        <v>0</v>
      </c>
      <c r="Q662" s="57">
        <v>304</v>
      </c>
      <c r="R662" s="42">
        <v>593</v>
      </c>
      <c r="S662" s="69" t="str">
        <f>_xlfn.IFNA(IF(VLOOKUP(tabPontoPed[[#This Row],[CÓDIGO]],tabExcluirDoEstoque[#Data],1,FALSE),"sim",""),"")</f>
        <v/>
      </c>
      <c r="T662" s="43">
        <f>IF(AND(tabPontoPed[[#This Row],[MENSAL]]&gt;0,tabPontoPed[[#This Row],[CÁLCULO]]&gt;0), ABS( tabPontoPed[[#This Row],[MENSAL]] - tabPontoPed[[#This Row],[CÁLCULO]] ) / tabPontoPed[[#This Row],[MENSAL]], -1 )</f>
        <v>4.9557522123893805E-2</v>
      </c>
      <c r="U662" s="58">
        <v>4173</v>
      </c>
      <c r="V662" s="35">
        <f>IF(AND(tabPontoPed[[#This Row],[MENSAL]]&gt;0,tabPontoPed[[#This Row],[CÁLCULO]]&gt;0), IF( tabPontoPed[[#This Row],[MENSAL]] - tabPontoPed[[#This Row],[CÁLCULO]] &lt; 0, -1, IF( tabPontoPed[[#This Row],[MENSAL]] - tabPontoPed[[#This Row],[CÁLCULO]] &gt; 0, 1, -8)), -9 )</f>
        <v>-1</v>
      </c>
      <c r="W662" s="35"/>
      <c r="X662" s="49" t="s">
        <v>1564</v>
      </c>
      <c r="Y662" s="51">
        <v>44391.599108796298</v>
      </c>
      <c r="Z662" s="72">
        <f>tabPontoPed[CÁLC_4M] - tabPontoPed[CÁLCULO]</f>
        <v>-289</v>
      </c>
      <c r="AA662" s="79" t="str">
        <f>IF(tabPontoPed[MENSAL]-tabPontoPed[ATA MENSAL] = 0,"sim","")</f>
        <v/>
      </c>
      <c r="AB662" s="79"/>
      <c r="AC662" s="47" t="str">
        <f t="shared" si="10"/>
        <v>*</v>
      </c>
    </row>
    <row r="663" spans="1:29" x14ac:dyDescent="0.25">
      <c r="A663" s="36">
        <v>78641</v>
      </c>
      <c r="B663" s="68" t="s">
        <v>481</v>
      </c>
      <c r="C663" s="33" t="s">
        <v>1317</v>
      </c>
      <c r="D663" s="32">
        <v>45</v>
      </c>
      <c r="E663" s="37">
        <v>30</v>
      </c>
      <c r="F663" s="38" t="str">
        <f>VLOOKUP(tabPontoPed[[#This Row],[GRUPO]],tabGrupos[#Data],2,FALSE)</f>
        <v>MAQ., EQUIP., COMP., ACES., MAT. PARA ESCRIT.E ESCOLAR</v>
      </c>
      <c r="G663" s="32" t="str">
        <f>VLOOKUP(tabPontoPed[[#This Row],[GRUPO]],tabGrupos[#Data],3,FALSE)</f>
        <v>EDU</v>
      </c>
      <c r="H663" s="33" t="s">
        <v>1311</v>
      </c>
      <c r="I663" s="80">
        <v>4</v>
      </c>
      <c r="J663" s="39">
        <v>528</v>
      </c>
      <c r="K663" s="41">
        <f>tabPontoPed[[#This Row],[QTDMÊS]] * tabPontoPed[[#This Row],[MENSAL]]</f>
        <v>2112</v>
      </c>
      <c r="L663" s="83"/>
      <c r="M663" s="81"/>
      <c r="N663" s="34" t="s">
        <v>1009</v>
      </c>
      <c r="O663" s="76"/>
      <c r="P663" s="77">
        <v>0</v>
      </c>
      <c r="Q663" s="57">
        <v>201</v>
      </c>
      <c r="R663" s="42">
        <v>553</v>
      </c>
      <c r="S663" s="69" t="str">
        <f>_xlfn.IFNA(IF(VLOOKUP(tabPontoPed[[#This Row],[CÓDIGO]],tabExcluirDoEstoque[#Data],1,FALSE),"sim",""),"")</f>
        <v/>
      </c>
      <c r="T663" s="43">
        <f>IF(AND(tabPontoPed[[#This Row],[MENSAL]]&gt;0,tabPontoPed[[#This Row],[CÁLCULO]]&gt;0), ABS( tabPontoPed[[#This Row],[MENSAL]] - tabPontoPed[[#This Row],[CÁLCULO]] ) / tabPontoPed[[#This Row],[MENSAL]], -1 )</f>
        <v>4.7348484848484848E-2</v>
      </c>
      <c r="U663" s="58">
        <v>3332</v>
      </c>
      <c r="V663" s="35">
        <f>IF(AND(tabPontoPed[[#This Row],[MENSAL]]&gt;0,tabPontoPed[[#This Row],[CÁLCULO]]&gt;0), IF( tabPontoPed[[#This Row],[MENSAL]] - tabPontoPed[[#This Row],[CÁLCULO]] &lt; 0, -1, IF( tabPontoPed[[#This Row],[MENSAL]] - tabPontoPed[[#This Row],[CÁLCULO]] &gt; 0, 1, -8)), -9 )</f>
        <v>-1</v>
      </c>
      <c r="W663" s="35"/>
      <c r="X663" s="49" t="s">
        <v>1564</v>
      </c>
      <c r="Y663" s="51">
        <v>44391.599108796298</v>
      </c>
      <c r="Z663" s="72">
        <f>tabPontoPed[CÁLC_4M] - tabPontoPed[CÁLCULO]</f>
        <v>-352</v>
      </c>
      <c r="AA663" s="79" t="str">
        <f>IF(tabPontoPed[MENSAL]-tabPontoPed[ATA MENSAL] = 0,"sim","")</f>
        <v/>
      </c>
      <c r="AB663" s="79"/>
      <c r="AC663" s="47" t="str">
        <f t="shared" si="10"/>
        <v>*</v>
      </c>
    </row>
    <row r="664" spans="1:29" x14ac:dyDescent="0.25">
      <c r="A664" s="36">
        <v>130695</v>
      </c>
      <c r="B664" s="68" t="s">
        <v>145</v>
      </c>
      <c r="C664" s="33" t="s">
        <v>1317</v>
      </c>
      <c r="D664" s="32">
        <v>62</v>
      </c>
      <c r="E664" s="37">
        <v>26</v>
      </c>
      <c r="F664" s="38" t="str">
        <f>VLOOKUP(tabPontoPed[[#This Row],[GRUPO]],tabGrupos[#Data],2,FALSE)</f>
        <v>VEST., ART.P/ TOUC.E HIG. PES. MAQ., EQUIP., MAT.E ACES.</v>
      </c>
      <c r="G664" s="32" t="str">
        <f>VLOOKUP(tabPontoPed[[#This Row],[GRUPO]],tabGrupos[#Data],3,FALSE)</f>
        <v>ADM</v>
      </c>
      <c r="H664" s="33" t="s">
        <v>1311</v>
      </c>
      <c r="I664" s="80">
        <v>4</v>
      </c>
      <c r="J664" s="39">
        <v>266</v>
      </c>
      <c r="K664" s="41">
        <f>tabPontoPed[[#This Row],[QTDMÊS]] * tabPontoPed[[#This Row],[MENSAL]]</f>
        <v>1064</v>
      </c>
      <c r="L664" s="83"/>
      <c r="M664" s="81"/>
      <c r="N664" s="34" t="s">
        <v>1009</v>
      </c>
      <c r="O664" s="76" t="s">
        <v>1751</v>
      </c>
      <c r="P664" s="77">
        <v>0</v>
      </c>
      <c r="Q664" s="57">
        <v>360</v>
      </c>
      <c r="R664" s="42">
        <v>254</v>
      </c>
      <c r="S664" s="69" t="str">
        <f>_xlfn.IFNA(IF(VLOOKUP(tabPontoPed[[#This Row],[CÓDIGO]],tabExcluirDoEstoque[#Data],1,FALSE),"sim",""),"")</f>
        <v/>
      </c>
      <c r="T664" s="43">
        <f>IF(AND(tabPontoPed[[#This Row],[MENSAL]]&gt;0,tabPontoPed[[#This Row],[CÁLCULO]]&gt;0), ABS( tabPontoPed[[#This Row],[MENSAL]] - tabPontoPed[[#This Row],[CÁLCULO]] ) / tabPontoPed[[#This Row],[MENSAL]], -1 )</f>
        <v>4.5112781954887216E-2</v>
      </c>
      <c r="U664" s="58">
        <v>375</v>
      </c>
      <c r="V664" s="35">
        <f>IF(AND(tabPontoPed[[#This Row],[MENSAL]]&gt;0,tabPontoPed[[#This Row],[CÁLCULO]]&gt;0), IF( tabPontoPed[[#This Row],[MENSAL]] - tabPontoPed[[#This Row],[CÁLCULO]] &lt; 0, -1, IF( tabPontoPed[[#This Row],[MENSAL]] - tabPontoPed[[#This Row],[CÁLCULO]] &gt; 0, 1, -8)), -9 )</f>
        <v>1</v>
      </c>
      <c r="W664" s="35"/>
      <c r="X664" s="49" t="s">
        <v>1564</v>
      </c>
      <c r="Y664" s="51">
        <v>44391.599108796298</v>
      </c>
      <c r="Z664" s="72">
        <f>tabPontoPed[CÁLC_4M] - tabPontoPed[CÁLCULO]</f>
        <v>106</v>
      </c>
      <c r="AA664" s="79" t="str">
        <f>IF(tabPontoPed[MENSAL]-tabPontoPed[ATA MENSAL] = 0,"sim","")</f>
        <v/>
      </c>
      <c r="AB664" s="79"/>
      <c r="AC664" s="47" t="str">
        <f t="shared" si="10"/>
        <v>*</v>
      </c>
    </row>
    <row r="665" spans="1:29" x14ac:dyDescent="0.25">
      <c r="A665" s="36">
        <v>17135</v>
      </c>
      <c r="B665" s="68" t="s">
        <v>460</v>
      </c>
      <c r="C665" s="33" t="s">
        <v>1317</v>
      </c>
      <c r="D665" s="32">
        <v>45</v>
      </c>
      <c r="E665" s="37">
        <v>12</v>
      </c>
      <c r="F665" s="38" t="str">
        <f>VLOOKUP(tabPontoPed[[#This Row],[GRUPO]],tabGrupos[#Data],2,FALSE)</f>
        <v>MAQ., EQUIP., COMP., ACES., MAT. PARA ESCRIT.E ESCOLAR</v>
      </c>
      <c r="G665" s="32" t="str">
        <f>VLOOKUP(tabPontoPed[[#This Row],[GRUPO]],tabGrupos[#Data],3,FALSE)</f>
        <v>EDU</v>
      </c>
      <c r="H665" s="33" t="s">
        <v>1311</v>
      </c>
      <c r="I665" s="80">
        <v>4</v>
      </c>
      <c r="J665" s="39">
        <v>610</v>
      </c>
      <c r="K665" s="41">
        <f>tabPontoPed[[#This Row],[QTDMÊS]] * tabPontoPed[[#This Row],[MENSAL]]</f>
        <v>2440</v>
      </c>
      <c r="L665" s="83"/>
      <c r="M665" s="81"/>
      <c r="N665" s="34" t="s">
        <v>1009</v>
      </c>
      <c r="O665" s="76"/>
      <c r="P665" s="77">
        <v>0</v>
      </c>
      <c r="Q665" s="57">
        <v>218</v>
      </c>
      <c r="R665" s="42">
        <v>584</v>
      </c>
      <c r="S665" s="69" t="str">
        <f>_xlfn.IFNA(IF(VLOOKUP(tabPontoPed[[#This Row],[CÓDIGO]],tabExcluirDoEstoque[#Data],1,FALSE),"sim",""),"")</f>
        <v/>
      </c>
      <c r="T665" s="43">
        <f>IF(AND(tabPontoPed[[#This Row],[MENSAL]]&gt;0,tabPontoPed[[#This Row],[CÁLCULO]]&gt;0), ABS( tabPontoPed[[#This Row],[MENSAL]] - tabPontoPed[[#This Row],[CÁLCULO]] ) / tabPontoPed[[#This Row],[MENSAL]], -1 )</f>
        <v>4.2622950819672129E-2</v>
      </c>
      <c r="U665" s="58">
        <v>4074</v>
      </c>
      <c r="V665" s="35">
        <f>IF(AND(tabPontoPed[[#This Row],[MENSAL]]&gt;0,tabPontoPed[[#This Row],[CÁLCULO]]&gt;0), IF( tabPontoPed[[#This Row],[MENSAL]] - tabPontoPed[[#This Row],[CÁLCULO]] &lt; 0, -1, IF( tabPontoPed[[#This Row],[MENSAL]] - tabPontoPed[[#This Row],[CÁLCULO]] &gt; 0, 1, -8)), -9 )</f>
        <v>1</v>
      </c>
      <c r="W665" s="35"/>
      <c r="X665" s="48" t="s">
        <v>1564</v>
      </c>
      <c r="Y665" s="53">
        <v>44391.599108796298</v>
      </c>
      <c r="Z665" s="72">
        <f>tabPontoPed[CÁLC_4M] - tabPontoPed[CÁLCULO]</f>
        <v>-366</v>
      </c>
      <c r="AA665" s="79" t="str">
        <f>IF(tabPontoPed[MENSAL]-tabPontoPed[ATA MENSAL] = 0,"sim","")</f>
        <v/>
      </c>
      <c r="AB665" s="79"/>
      <c r="AC665" s="47" t="str">
        <f t="shared" si="10"/>
        <v>*</v>
      </c>
    </row>
    <row r="666" spans="1:29" x14ac:dyDescent="0.25">
      <c r="A666" s="36">
        <v>13178</v>
      </c>
      <c r="B666" s="68" t="s">
        <v>851</v>
      </c>
      <c r="C666" s="33" t="s">
        <v>1317</v>
      </c>
      <c r="D666" s="32">
        <v>67</v>
      </c>
      <c r="E666" s="37">
        <v>9</v>
      </c>
      <c r="F666" s="38" t="str">
        <f>VLOOKUP(tabPontoPed[[#This Row],[GRUPO]],tabGrupos[#Data],2,FALSE)</f>
        <v>PARAFUSOS ELEM. VEDACAO UNIAO CONEX . FIXACAO</v>
      </c>
      <c r="G666" s="32" t="str">
        <f>VLOOKUP(tabPontoPed[[#This Row],[GRUPO]],tabGrupos[#Data],3,FALSE)</f>
        <v>MSE</v>
      </c>
      <c r="H666" s="33" t="s">
        <v>1311</v>
      </c>
      <c r="I666" s="80">
        <v>4</v>
      </c>
      <c r="J666" s="39">
        <v>662</v>
      </c>
      <c r="K666" s="41">
        <f>tabPontoPed[[#This Row],[QTDMÊS]] * tabPontoPed[[#This Row],[MENSAL]]</f>
        <v>2648</v>
      </c>
      <c r="L666" s="83"/>
      <c r="M666" s="81"/>
      <c r="N666" s="34" t="s">
        <v>1009</v>
      </c>
      <c r="O666" s="76" t="s">
        <v>1682</v>
      </c>
      <c r="P666" s="77">
        <v>0</v>
      </c>
      <c r="Q666" s="57">
        <v>905</v>
      </c>
      <c r="R666" s="42">
        <v>690</v>
      </c>
      <c r="S666" s="69" t="str">
        <f>_xlfn.IFNA(IF(VLOOKUP(tabPontoPed[[#This Row],[CÓDIGO]],tabExcluirDoEstoque[#Data],1,FALSE),"sim",""),"")</f>
        <v/>
      </c>
      <c r="T666" s="43">
        <f>IF(AND(tabPontoPed[[#This Row],[MENSAL]]&gt;0,tabPontoPed[[#This Row],[CÁLCULO]]&gt;0), ABS( tabPontoPed[[#This Row],[MENSAL]] - tabPontoPed[[#This Row],[CÁLCULO]] ) / tabPontoPed[[#This Row],[MENSAL]], -1 )</f>
        <v>4.2296072507552872E-2</v>
      </c>
      <c r="U666" s="58">
        <v>1350</v>
      </c>
      <c r="V666" s="35">
        <f>IF(AND(tabPontoPed[[#This Row],[MENSAL]]&gt;0,tabPontoPed[[#This Row],[CÁLCULO]]&gt;0), IF( tabPontoPed[[#This Row],[MENSAL]] - tabPontoPed[[#This Row],[CÁLCULO]] &lt; 0, -1, IF( tabPontoPed[[#This Row],[MENSAL]] - tabPontoPed[[#This Row],[CÁLCULO]] &gt; 0, 1, -8)), -9 )</f>
        <v>-1</v>
      </c>
      <c r="W666" s="35"/>
      <c r="X666" s="48" t="s">
        <v>1564</v>
      </c>
      <c r="Y666" s="53">
        <v>44391.599108796298</v>
      </c>
      <c r="Z666" s="72">
        <f>tabPontoPed[CÁLC_4M] - tabPontoPed[CÁLCULO]</f>
        <v>215</v>
      </c>
      <c r="AA666" s="79" t="str">
        <f>IF(tabPontoPed[MENSAL]-tabPontoPed[ATA MENSAL] = 0,"sim","")</f>
        <v/>
      </c>
      <c r="AB666" s="79"/>
      <c r="AC666" s="47" t="str">
        <f t="shared" si="10"/>
        <v>*</v>
      </c>
    </row>
    <row r="667" spans="1:29" x14ac:dyDescent="0.25">
      <c r="A667" s="36">
        <v>129991</v>
      </c>
      <c r="B667" s="68" t="s">
        <v>137</v>
      </c>
      <c r="C667" s="33" t="s">
        <v>1317</v>
      </c>
      <c r="D667" s="32">
        <v>55</v>
      </c>
      <c r="E667" s="37">
        <v>32</v>
      </c>
      <c r="F667" s="38" t="str">
        <f>VLOOKUP(tabPontoPed[[#This Row],[GRUPO]],tabGrupos[#Data],2,FALSE)</f>
        <v>EQUIP. MAT. P/ GERACAO, TRANSM. DISTR. RETIF...</v>
      </c>
      <c r="G667" s="32" t="str">
        <f>VLOOKUP(tabPontoPed[[#This Row],[GRUPO]],tabGrupos[#Data],3,FALSE)</f>
        <v>MEL</v>
      </c>
      <c r="H667" s="33" t="s">
        <v>1311</v>
      </c>
      <c r="I667" s="80">
        <v>4</v>
      </c>
      <c r="J667" s="39">
        <v>25</v>
      </c>
      <c r="K667" s="41">
        <f>tabPontoPed[[#This Row],[QTDMÊS]] * tabPontoPed[[#This Row],[MENSAL]]</f>
        <v>100</v>
      </c>
      <c r="L667" s="83"/>
      <c r="M667" s="81"/>
      <c r="N667" s="34" t="s">
        <v>1009</v>
      </c>
      <c r="O667" s="76" t="s">
        <v>1676</v>
      </c>
      <c r="P667" s="77">
        <v>0</v>
      </c>
      <c r="Q667" s="57">
        <v>0</v>
      </c>
      <c r="R667" s="42">
        <v>26</v>
      </c>
      <c r="S667" s="69" t="str">
        <f>_xlfn.IFNA(IF(VLOOKUP(tabPontoPed[[#This Row],[CÓDIGO]],tabExcluirDoEstoque[#Data],1,FALSE),"sim",""),"")</f>
        <v/>
      </c>
      <c r="T667" s="43">
        <f>IF(AND(tabPontoPed[[#This Row],[MENSAL]]&gt;0,tabPontoPed[[#This Row],[CÁLCULO]]&gt;0), ABS( tabPontoPed[[#This Row],[MENSAL]] - tabPontoPed[[#This Row],[CÁLCULO]] ) / tabPontoPed[[#This Row],[MENSAL]], -1 )</f>
        <v>0.04</v>
      </c>
      <c r="U667" s="58">
        <v>108</v>
      </c>
      <c r="V667" s="35">
        <f>IF(AND(tabPontoPed[[#This Row],[MENSAL]]&gt;0,tabPontoPed[[#This Row],[CÁLCULO]]&gt;0), IF( tabPontoPed[[#This Row],[MENSAL]] - tabPontoPed[[#This Row],[CÁLCULO]] &lt; 0, -1, IF( tabPontoPed[[#This Row],[MENSAL]] - tabPontoPed[[#This Row],[CÁLCULO]] &gt; 0, 1, -8)), -9 )</f>
        <v>-1</v>
      </c>
      <c r="W667" s="35"/>
      <c r="X667" s="48" t="s">
        <v>1564</v>
      </c>
      <c r="Y667" s="53">
        <v>44391.599108796298</v>
      </c>
      <c r="Z667" s="72">
        <f>tabPontoPed[CÁLC_4M] - tabPontoPed[CÁLCULO]</f>
        <v>-26</v>
      </c>
      <c r="AA667" s="79" t="str">
        <f>IF(tabPontoPed[MENSAL]-tabPontoPed[ATA MENSAL] = 0,"sim","")</f>
        <v/>
      </c>
      <c r="AB667" s="79"/>
      <c r="AC667" s="47" t="str">
        <f t="shared" si="10"/>
        <v>*</v>
      </c>
    </row>
    <row r="668" spans="1:29" x14ac:dyDescent="0.25">
      <c r="A668" s="36">
        <v>9413</v>
      </c>
      <c r="B668" s="68" t="s">
        <v>208</v>
      </c>
      <c r="C668" s="33" t="s">
        <v>1317</v>
      </c>
      <c r="D668" s="32">
        <v>72</v>
      </c>
      <c r="E668" s="37">
        <v>6</v>
      </c>
      <c r="F668" s="38" t="str">
        <f>VLOOKUP(tabPontoPed[[#This Row],[GRUPO]],tabGrupos[#Data],2,FALSE)</f>
        <v>MAQ.EQUIP.E MATERIAIS P/ HIGIEN.LIMP.POLIM.E LUBR.</v>
      </c>
      <c r="G668" s="32" t="str">
        <f>VLOOKUP(tabPontoPed[[#This Row],[GRUPO]],tabGrupos[#Data],3,FALSE)</f>
        <v>ADM</v>
      </c>
      <c r="H668" s="33" t="s">
        <v>1311</v>
      </c>
      <c r="I668" s="80">
        <v>4</v>
      </c>
      <c r="J668" s="39">
        <v>1132</v>
      </c>
      <c r="K668" s="41">
        <f>tabPontoPed[[#This Row],[QTDMÊS]] * tabPontoPed[[#This Row],[MENSAL]]</f>
        <v>4528</v>
      </c>
      <c r="L668" s="83"/>
      <c r="M668" s="81"/>
      <c r="N668" s="34" t="s">
        <v>1009</v>
      </c>
      <c r="O668" s="76" t="s">
        <v>1663</v>
      </c>
      <c r="P668" s="77">
        <v>0</v>
      </c>
      <c r="Q668" s="57">
        <v>740</v>
      </c>
      <c r="R668" s="42">
        <v>1177</v>
      </c>
      <c r="S668" s="69" t="str">
        <f>_xlfn.IFNA(IF(VLOOKUP(tabPontoPed[[#This Row],[CÓDIGO]],tabExcluirDoEstoque[#Data],1,FALSE),"sim",""),"")</f>
        <v/>
      </c>
      <c r="T668" s="43">
        <f>IF(AND(tabPontoPed[[#This Row],[MENSAL]]&gt;0,tabPontoPed[[#This Row],[CÁLCULO]]&gt;0), ABS( tabPontoPed[[#This Row],[MENSAL]] - tabPontoPed[[#This Row],[CÁLCULO]] ) / tabPontoPed[[#This Row],[MENSAL]], -1 )</f>
        <v>3.9752650176678443E-2</v>
      </c>
      <c r="U668" s="58">
        <v>2427</v>
      </c>
      <c r="V668" s="35">
        <f>IF(AND(tabPontoPed[[#This Row],[MENSAL]]&gt;0,tabPontoPed[[#This Row],[CÁLCULO]]&gt;0), IF( tabPontoPed[[#This Row],[MENSAL]] - tabPontoPed[[#This Row],[CÁLCULO]] &lt; 0, -1, IF( tabPontoPed[[#This Row],[MENSAL]] - tabPontoPed[[#This Row],[CÁLCULO]] &gt; 0, 1, -8)), -9 )</f>
        <v>-1</v>
      </c>
      <c r="W668" s="35"/>
      <c r="X668" s="49" t="s">
        <v>1564</v>
      </c>
      <c r="Y668" s="51">
        <v>44391.599108796298</v>
      </c>
      <c r="Z668" s="72">
        <f>tabPontoPed[CÁLC_4M] - tabPontoPed[CÁLCULO]</f>
        <v>-437</v>
      </c>
      <c r="AA668" s="79" t="str">
        <f>IF(tabPontoPed[MENSAL]-tabPontoPed[ATA MENSAL] = 0,"sim","")</f>
        <v/>
      </c>
      <c r="AB668" s="79"/>
      <c r="AC668" s="47" t="str">
        <f t="shared" si="10"/>
        <v>*</v>
      </c>
    </row>
    <row r="669" spans="1:29" x14ac:dyDescent="0.25">
      <c r="A669" s="36">
        <v>106697</v>
      </c>
      <c r="B669" s="68" t="s">
        <v>487</v>
      </c>
      <c r="C669" s="33" t="s">
        <v>1317</v>
      </c>
      <c r="D669" s="32">
        <v>45</v>
      </c>
      <c r="E669" s="37">
        <v>30</v>
      </c>
      <c r="F669" s="38" t="str">
        <f>VLOOKUP(tabPontoPed[[#This Row],[GRUPO]],tabGrupos[#Data],2,FALSE)</f>
        <v>MAQ., EQUIP., COMP., ACES., MAT. PARA ESCRIT.E ESCOLAR</v>
      </c>
      <c r="G669" s="32" t="str">
        <f>VLOOKUP(tabPontoPed[[#This Row],[GRUPO]],tabGrupos[#Data],3,FALSE)</f>
        <v>EDU</v>
      </c>
      <c r="H669" s="33" t="s">
        <v>1311</v>
      </c>
      <c r="I669" s="80">
        <v>4</v>
      </c>
      <c r="J669" s="39">
        <v>544</v>
      </c>
      <c r="K669" s="41">
        <f>tabPontoPed[[#This Row],[QTDMÊS]] * tabPontoPed[[#This Row],[MENSAL]]</f>
        <v>2176</v>
      </c>
      <c r="L669" s="83"/>
      <c r="M669" s="81"/>
      <c r="N669" s="34" t="s">
        <v>1009</v>
      </c>
      <c r="O669" s="76"/>
      <c r="P669" s="77">
        <v>0</v>
      </c>
      <c r="Q669" s="57">
        <v>272</v>
      </c>
      <c r="R669" s="42">
        <v>525</v>
      </c>
      <c r="S669" s="69" t="str">
        <f>_xlfn.IFNA(IF(VLOOKUP(tabPontoPed[[#This Row],[CÓDIGO]],tabExcluirDoEstoque[#Data],1,FALSE),"sim",""),"")</f>
        <v/>
      </c>
      <c r="T669" s="43">
        <f>IF(AND(tabPontoPed[[#This Row],[MENSAL]]&gt;0,tabPontoPed[[#This Row],[CÁLCULO]]&gt;0), ABS( tabPontoPed[[#This Row],[MENSAL]] - tabPontoPed[[#This Row],[CÁLCULO]] ) / tabPontoPed[[#This Row],[MENSAL]], -1 )</f>
        <v>3.4926470588235295E-2</v>
      </c>
      <c r="U669" s="58">
        <v>3192</v>
      </c>
      <c r="V669" s="35">
        <f>IF(AND(tabPontoPed[[#This Row],[MENSAL]]&gt;0,tabPontoPed[[#This Row],[CÁLCULO]]&gt;0), IF( tabPontoPed[[#This Row],[MENSAL]] - tabPontoPed[[#This Row],[CÁLCULO]] &lt; 0, -1, IF( tabPontoPed[[#This Row],[MENSAL]] - tabPontoPed[[#This Row],[CÁLCULO]] &gt; 0, 1, -8)), -9 )</f>
        <v>1</v>
      </c>
      <c r="W669" s="35"/>
      <c r="X669" s="49" t="s">
        <v>1564</v>
      </c>
      <c r="Y669" s="51">
        <v>44391.599108796298</v>
      </c>
      <c r="Z669" s="72">
        <f>tabPontoPed[CÁLC_4M] - tabPontoPed[CÁLCULO]</f>
        <v>-253</v>
      </c>
      <c r="AA669" s="79" t="str">
        <f>IF(tabPontoPed[MENSAL]-tabPontoPed[ATA MENSAL] = 0,"sim","")</f>
        <v/>
      </c>
      <c r="AB669" s="79"/>
      <c r="AC669" s="47" t="str">
        <f t="shared" si="10"/>
        <v>*</v>
      </c>
    </row>
    <row r="670" spans="1:29" x14ac:dyDescent="0.25">
      <c r="A670" s="36">
        <v>10867</v>
      </c>
      <c r="B670" s="68" t="s">
        <v>334</v>
      </c>
      <c r="C670" s="33" t="s">
        <v>1317</v>
      </c>
      <c r="D670" s="32">
        <v>71</v>
      </c>
      <c r="E670" s="37">
        <v>20</v>
      </c>
      <c r="F670" s="38" t="str">
        <f>VLOOKUP(tabPontoPed[[#This Row],[GRUPO]],tabGrupos[#Data],2,FALSE)</f>
        <v>GENEROS ALIMENTICIOS E BEBIDAS</v>
      </c>
      <c r="G670" s="32" t="str">
        <f>VLOOKUP(tabPontoPed[[#This Row],[GRUPO]],tabGrupos[#Data],3,FALSE)</f>
        <v>EDU</v>
      </c>
      <c r="H670" s="33" t="s">
        <v>1321</v>
      </c>
      <c r="I670" s="80">
        <v>3</v>
      </c>
      <c r="J670" s="39">
        <v>2776</v>
      </c>
      <c r="K670" s="41">
        <f>tabPontoPed[[#This Row],[QTDMÊS]] * tabPontoPed[[#This Row],[MENSAL]]</f>
        <v>8328</v>
      </c>
      <c r="L670" s="83"/>
      <c r="M670" s="81"/>
      <c r="N670" s="34" t="s">
        <v>1009</v>
      </c>
      <c r="O670" s="76" t="s">
        <v>1753</v>
      </c>
      <c r="P670" s="77">
        <v>0</v>
      </c>
      <c r="Q670" s="57">
        <v>2801</v>
      </c>
      <c r="R670" s="42">
        <v>2690</v>
      </c>
      <c r="S670" s="69" t="str">
        <f>_xlfn.IFNA(IF(VLOOKUP(tabPontoPed[[#This Row],[CÓDIGO]],tabExcluirDoEstoque[#Data],1,FALSE),"sim",""),"")</f>
        <v/>
      </c>
      <c r="T670" s="43">
        <f>IF(AND(tabPontoPed[[#This Row],[MENSAL]]&gt;0,tabPontoPed[[#This Row],[CÁLCULO]]&gt;0), ABS( tabPontoPed[[#This Row],[MENSAL]] - tabPontoPed[[#This Row],[CÁLCULO]] ) / tabPontoPed[[#This Row],[MENSAL]], -1 )</f>
        <v>3.0979827089337175E-2</v>
      </c>
      <c r="U670" s="58">
        <v>6021</v>
      </c>
      <c r="V670" s="35">
        <f>IF(AND(tabPontoPed[[#This Row],[MENSAL]]&gt;0,tabPontoPed[[#This Row],[CÁLCULO]]&gt;0), IF( tabPontoPed[[#This Row],[MENSAL]] - tabPontoPed[[#This Row],[CÁLCULO]] &lt; 0, -1, IF( tabPontoPed[[#This Row],[MENSAL]] - tabPontoPed[[#This Row],[CÁLCULO]] &gt; 0, 1, -8)), -9 )</f>
        <v>1</v>
      </c>
      <c r="W670" s="35"/>
      <c r="X670" s="49" t="s">
        <v>1564</v>
      </c>
      <c r="Y670" s="51">
        <v>44110.370937500003</v>
      </c>
      <c r="Z670" s="72">
        <f>tabPontoPed[CÁLC_4M] - tabPontoPed[CÁLCULO]</f>
        <v>111</v>
      </c>
      <c r="AA670" s="79" t="str">
        <f>IF(tabPontoPed[MENSAL]-tabPontoPed[ATA MENSAL] = 0,"sim","")</f>
        <v/>
      </c>
      <c r="AB670" s="79"/>
      <c r="AC670" s="47" t="str">
        <f t="shared" si="10"/>
        <v>*</v>
      </c>
    </row>
    <row r="671" spans="1:29" x14ac:dyDescent="0.25">
      <c r="A671" s="36">
        <v>80872</v>
      </c>
      <c r="B671" s="68" t="s">
        <v>485</v>
      </c>
      <c r="C671" s="33" t="s">
        <v>1317</v>
      </c>
      <c r="D671" s="32">
        <v>45</v>
      </c>
      <c r="E671" s="37">
        <v>30</v>
      </c>
      <c r="F671" s="38" t="str">
        <f>VLOOKUP(tabPontoPed[[#This Row],[GRUPO]],tabGrupos[#Data],2,FALSE)</f>
        <v>MAQ., EQUIP., COMP., ACES., MAT. PARA ESCRIT.E ESCOLAR</v>
      </c>
      <c r="G671" s="32" t="str">
        <f>VLOOKUP(tabPontoPed[[#This Row],[GRUPO]],tabGrupos[#Data],3,FALSE)</f>
        <v>EDU</v>
      </c>
      <c r="H671" s="33" t="s">
        <v>1311</v>
      </c>
      <c r="I671" s="80">
        <v>4</v>
      </c>
      <c r="J671" s="39">
        <v>542</v>
      </c>
      <c r="K671" s="41">
        <f>tabPontoPed[[#This Row],[QTDMÊS]] * tabPontoPed[[#This Row],[MENSAL]]</f>
        <v>2168</v>
      </c>
      <c r="L671" s="83"/>
      <c r="M671" s="81"/>
      <c r="N671" s="34" t="s">
        <v>1009</v>
      </c>
      <c r="O671" s="76"/>
      <c r="P671" s="77">
        <v>0</v>
      </c>
      <c r="Q671" s="57">
        <v>239</v>
      </c>
      <c r="R671" s="42">
        <v>558</v>
      </c>
      <c r="S671" s="69" t="str">
        <f>_xlfn.IFNA(IF(VLOOKUP(tabPontoPed[[#This Row],[CÓDIGO]],tabExcluirDoEstoque[#Data],1,FALSE),"sim",""),"")</f>
        <v/>
      </c>
      <c r="T671" s="43">
        <f>IF(AND(tabPontoPed[[#This Row],[MENSAL]]&gt;0,tabPontoPed[[#This Row],[CÁLCULO]]&gt;0), ABS( tabPontoPed[[#This Row],[MENSAL]] - tabPontoPed[[#This Row],[CÁLCULO]] ) / tabPontoPed[[#This Row],[MENSAL]], -1 )</f>
        <v>2.9520295202952029E-2</v>
      </c>
      <c r="U671" s="58">
        <v>3266</v>
      </c>
      <c r="V671" s="35">
        <f>IF(AND(tabPontoPed[[#This Row],[MENSAL]]&gt;0,tabPontoPed[[#This Row],[CÁLCULO]]&gt;0), IF( tabPontoPed[[#This Row],[MENSAL]] - tabPontoPed[[#This Row],[CÁLCULO]] &lt; 0, -1, IF( tabPontoPed[[#This Row],[MENSAL]] - tabPontoPed[[#This Row],[CÁLCULO]] &gt; 0, 1, -8)), -9 )</f>
        <v>-1</v>
      </c>
      <c r="W671" s="35"/>
      <c r="X671" s="49" t="s">
        <v>1564</v>
      </c>
      <c r="Y671" s="51">
        <v>44391.599108796298</v>
      </c>
      <c r="Z671" s="72">
        <f>tabPontoPed[CÁLC_4M] - tabPontoPed[CÁLCULO]</f>
        <v>-319</v>
      </c>
      <c r="AA671" s="79" t="str">
        <f>IF(tabPontoPed[MENSAL]-tabPontoPed[ATA MENSAL] = 0,"sim","")</f>
        <v/>
      </c>
      <c r="AB671" s="79"/>
      <c r="AC671" s="47" t="str">
        <f t="shared" si="10"/>
        <v>*</v>
      </c>
    </row>
    <row r="672" spans="1:29" x14ac:dyDescent="0.25">
      <c r="A672" s="36">
        <v>105259</v>
      </c>
      <c r="B672" s="68" t="s">
        <v>701</v>
      </c>
      <c r="C672" s="33" t="s">
        <v>1317</v>
      </c>
      <c r="D672" s="32">
        <v>57</v>
      </c>
      <c r="E672" s="37">
        <v>3</v>
      </c>
      <c r="F672" s="38" t="str">
        <f>VLOOKUP(tabPontoPed[[#This Row],[GRUPO]],tabGrupos[#Data],2,FALSE)</f>
        <v>MAQ. E EQUIP. P/ IND. GRAFICA COMP. ACESS. E PAPEI</v>
      </c>
      <c r="G672" s="32" t="str">
        <f>VLOOKUP(tabPontoPed[[#This Row],[GRUPO]],tabGrupos[#Data],3,FALSE)</f>
        <v>EDU</v>
      </c>
      <c r="H672" s="33" t="s">
        <v>1311</v>
      </c>
      <c r="I672" s="80">
        <v>4</v>
      </c>
      <c r="J672" s="39">
        <v>408</v>
      </c>
      <c r="K672" s="41">
        <f>tabPontoPed[[#This Row],[QTDMÊS]] * tabPontoPed[[#This Row],[MENSAL]]</f>
        <v>1632</v>
      </c>
      <c r="L672" s="83"/>
      <c r="M672" s="81"/>
      <c r="N672" s="34" t="s">
        <v>1009</v>
      </c>
      <c r="O672" s="76"/>
      <c r="P672" s="77">
        <v>0</v>
      </c>
      <c r="Q672" s="57">
        <v>127</v>
      </c>
      <c r="R672" s="42">
        <v>396</v>
      </c>
      <c r="S672" s="69" t="str">
        <f>_xlfn.IFNA(IF(VLOOKUP(tabPontoPed[[#This Row],[CÓDIGO]],tabExcluirDoEstoque[#Data],1,FALSE),"sim",""),"")</f>
        <v/>
      </c>
      <c r="T672" s="43">
        <f>IF(AND(tabPontoPed[[#This Row],[MENSAL]]&gt;0,tabPontoPed[[#This Row],[CÁLCULO]]&gt;0), ABS( tabPontoPed[[#This Row],[MENSAL]] - tabPontoPed[[#This Row],[CÁLCULO]] ) / tabPontoPed[[#This Row],[MENSAL]], -1 )</f>
        <v>2.9411764705882353E-2</v>
      </c>
      <c r="U672" s="58">
        <v>3387</v>
      </c>
      <c r="V672" s="35">
        <f>IF(AND(tabPontoPed[[#This Row],[MENSAL]]&gt;0,tabPontoPed[[#This Row],[CÁLCULO]]&gt;0), IF( tabPontoPed[[#This Row],[MENSAL]] - tabPontoPed[[#This Row],[CÁLCULO]] &lt; 0, -1, IF( tabPontoPed[[#This Row],[MENSAL]] - tabPontoPed[[#This Row],[CÁLCULO]] &gt; 0, 1, -8)), -9 )</f>
        <v>1</v>
      </c>
      <c r="W672" s="35"/>
      <c r="X672" s="49" t="s">
        <v>1564</v>
      </c>
      <c r="Y672" s="51">
        <v>44391.599108796298</v>
      </c>
      <c r="Z672" s="72">
        <f>tabPontoPed[CÁLC_4M] - tabPontoPed[CÁLCULO]</f>
        <v>-269</v>
      </c>
      <c r="AA672" s="79" t="str">
        <f>IF(tabPontoPed[MENSAL]-tabPontoPed[ATA MENSAL] = 0,"sim","")</f>
        <v/>
      </c>
      <c r="AB672" s="79"/>
      <c r="AC672" s="47" t="str">
        <f t="shared" si="10"/>
        <v>*</v>
      </c>
    </row>
    <row r="673" spans="1:29" x14ac:dyDescent="0.25">
      <c r="A673" s="36">
        <v>115282</v>
      </c>
      <c r="B673" s="68" t="s">
        <v>942</v>
      </c>
      <c r="C673" s="33" t="s">
        <v>1317</v>
      </c>
      <c r="D673" s="32">
        <v>73</v>
      </c>
      <c r="E673" s="37">
        <v>10</v>
      </c>
      <c r="F673" s="38" t="str">
        <f>VLOOKUP(tabPontoPed[[#This Row],[GRUPO]],tabGrupos[#Data],2,FALSE)</f>
        <v>EMBALAG., RECIP., ACESSOR., EQUIP., MATER. P/ACONDICIO</v>
      </c>
      <c r="G673" s="32" t="str">
        <f>VLOOKUP(tabPontoPed[[#This Row],[GRUPO]],tabGrupos[#Data],3,FALSE)</f>
        <v>EDU</v>
      </c>
      <c r="H673" s="33" t="s">
        <v>1311</v>
      </c>
      <c r="I673" s="80">
        <v>4</v>
      </c>
      <c r="J673" s="39">
        <v>37</v>
      </c>
      <c r="K673" s="41">
        <f>tabPontoPed[[#This Row],[QTDMÊS]] * tabPontoPed[[#This Row],[MENSAL]]</f>
        <v>148</v>
      </c>
      <c r="L673" s="83"/>
      <c r="M673" s="81"/>
      <c r="N673" s="34" t="s">
        <v>1009</v>
      </c>
      <c r="O673" s="76" t="s">
        <v>1734</v>
      </c>
      <c r="P673" s="77">
        <v>0</v>
      </c>
      <c r="Q673" s="57">
        <v>41</v>
      </c>
      <c r="R673" s="42">
        <v>36</v>
      </c>
      <c r="S673" s="69" t="str">
        <f>_xlfn.IFNA(IF(VLOOKUP(tabPontoPed[[#This Row],[CÓDIGO]],tabExcluirDoEstoque[#Data],1,FALSE),"sim",""),"")</f>
        <v/>
      </c>
      <c r="T673" s="43">
        <f>IF(AND(tabPontoPed[[#This Row],[MENSAL]]&gt;0,tabPontoPed[[#This Row],[CÁLCULO]]&gt;0), ABS( tabPontoPed[[#This Row],[MENSAL]] - tabPontoPed[[#This Row],[CÁLCULO]] ) / tabPontoPed[[#This Row],[MENSAL]], -1 )</f>
        <v>2.7027027027027029E-2</v>
      </c>
      <c r="U673" s="58">
        <v>94</v>
      </c>
      <c r="V673" s="35">
        <f>IF(AND(tabPontoPed[[#This Row],[MENSAL]]&gt;0,tabPontoPed[[#This Row],[CÁLCULO]]&gt;0), IF( tabPontoPed[[#This Row],[MENSAL]] - tabPontoPed[[#This Row],[CÁLCULO]] &lt; 0, -1, IF( tabPontoPed[[#This Row],[MENSAL]] - tabPontoPed[[#This Row],[CÁLCULO]] &gt; 0, 1, -8)), -9 )</f>
        <v>1</v>
      </c>
      <c r="W673" s="35"/>
      <c r="X673" s="48" t="s">
        <v>1564</v>
      </c>
      <c r="Y673" s="53">
        <v>44391.599108796298</v>
      </c>
      <c r="Z673" s="72">
        <f>tabPontoPed[CÁLC_4M] - tabPontoPed[CÁLCULO]</f>
        <v>5</v>
      </c>
      <c r="AA673" s="79" t="str">
        <f>IF(tabPontoPed[MENSAL]-tabPontoPed[ATA MENSAL] = 0,"sim","")</f>
        <v/>
      </c>
      <c r="AB673" s="79"/>
      <c r="AC673" s="47" t="str">
        <f t="shared" si="10"/>
        <v>*</v>
      </c>
    </row>
    <row r="674" spans="1:29" x14ac:dyDescent="0.25">
      <c r="A674" s="36">
        <v>132394</v>
      </c>
      <c r="B674" s="68" t="s">
        <v>468</v>
      </c>
      <c r="C674" s="33" t="s">
        <v>1317</v>
      </c>
      <c r="D674" s="32">
        <v>45</v>
      </c>
      <c r="E674" s="37">
        <v>14</v>
      </c>
      <c r="F674" s="38" t="str">
        <f>VLOOKUP(tabPontoPed[[#This Row],[GRUPO]],tabGrupos[#Data],2,FALSE)</f>
        <v>MAQ., EQUIP., COMP., ACES., MAT. PARA ESCRIT.E ESCOLAR</v>
      </c>
      <c r="G674" s="32" t="str">
        <f>VLOOKUP(tabPontoPed[[#This Row],[GRUPO]],tabGrupos[#Data],3,FALSE)</f>
        <v>EDU</v>
      </c>
      <c r="H674" s="33" t="s">
        <v>1311</v>
      </c>
      <c r="I674" s="80">
        <v>4</v>
      </c>
      <c r="J674" s="39">
        <v>582</v>
      </c>
      <c r="K674" s="41">
        <f>tabPontoPed[[#This Row],[QTDMÊS]] * tabPontoPed[[#This Row],[MENSAL]]</f>
        <v>2328</v>
      </c>
      <c r="L674" s="83"/>
      <c r="M674" s="81"/>
      <c r="N674" s="34" t="s">
        <v>1009</v>
      </c>
      <c r="O674" s="76"/>
      <c r="P674" s="77">
        <v>0</v>
      </c>
      <c r="Q674" s="57">
        <v>317</v>
      </c>
      <c r="R674" s="42">
        <v>567</v>
      </c>
      <c r="S674" s="69" t="str">
        <f>_xlfn.IFNA(IF(VLOOKUP(tabPontoPed[[#This Row],[CÓDIGO]],tabExcluirDoEstoque[#Data],1,FALSE),"sim",""),"")</f>
        <v/>
      </c>
      <c r="T674" s="43">
        <f>IF(AND(tabPontoPed[[#This Row],[MENSAL]]&gt;0,tabPontoPed[[#This Row],[CÁLCULO]]&gt;0), ABS( tabPontoPed[[#This Row],[MENSAL]] - tabPontoPed[[#This Row],[CÁLCULO]] ) / tabPontoPed[[#This Row],[MENSAL]], -1 )</f>
        <v>2.5773195876288658E-2</v>
      </c>
      <c r="U674" s="58">
        <v>3575</v>
      </c>
      <c r="V674" s="35">
        <f>IF(AND(tabPontoPed[[#This Row],[MENSAL]]&gt;0,tabPontoPed[[#This Row],[CÁLCULO]]&gt;0), IF( tabPontoPed[[#This Row],[MENSAL]] - tabPontoPed[[#This Row],[CÁLCULO]] &lt; 0, -1, IF( tabPontoPed[[#This Row],[MENSAL]] - tabPontoPed[[#This Row],[CÁLCULO]] &gt; 0, 1, -8)), -9 )</f>
        <v>1</v>
      </c>
      <c r="W674" s="35"/>
      <c r="X674" s="48" t="s">
        <v>1564</v>
      </c>
      <c r="Y674" s="53">
        <v>44391.599108796298</v>
      </c>
      <c r="Z674" s="72">
        <f>tabPontoPed[CÁLC_4M] - tabPontoPed[CÁLCULO]</f>
        <v>-250</v>
      </c>
      <c r="AA674" s="79" t="str">
        <f>IF(tabPontoPed[MENSAL]-tabPontoPed[ATA MENSAL] = 0,"sim","")</f>
        <v/>
      </c>
      <c r="AB674" s="79"/>
      <c r="AC674" s="47" t="str">
        <f t="shared" si="10"/>
        <v>*</v>
      </c>
    </row>
    <row r="675" spans="1:29" x14ac:dyDescent="0.25">
      <c r="A675" s="36">
        <v>14012</v>
      </c>
      <c r="B675" s="68" t="s">
        <v>684</v>
      </c>
      <c r="C675" s="33" t="s">
        <v>1317</v>
      </c>
      <c r="D675" s="32">
        <v>55</v>
      </c>
      <c r="E675" s="37">
        <v>46</v>
      </c>
      <c r="F675" s="38" t="str">
        <f>VLOOKUP(tabPontoPed[[#This Row],[GRUPO]],tabGrupos[#Data],2,FALSE)</f>
        <v>EQUIP. MAT. P/ GERACAO, TRANSM. DISTR. RETIF...</v>
      </c>
      <c r="G675" s="32" t="str">
        <f>VLOOKUP(tabPontoPed[[#This Row],[GRUPO]],tabGrupos[#Data],3,FALSE)</f>
        <v>MEL</v>
      </c>
      <c r="H675" s="33" t="s">
        <v>1311</v>
      </c>
      <c r="I675" s="80">
        <v>4</v>
      </c>
      <c r="J675" s="39">
        <v>119</v>
      </c>
      <c r="K675" s="41">
        <f>tabPontoPed[[#This Row],[QTDMÊS]] * tabPontoPed[[#This Row],[MENSAL]]</f>
        <v>476</v>
      </c>
      <c r="L675" s="83"/>
      <c r="M675" s="81"/>
      <c r="N675" s="34" t="s">
        <v>1009</v>
      </c>
      <c r="O675" s="76"/>
      <c r="P675" s="77">
        <v>0</v>
      </c>
      <c r="Q675" s="57">
        <v>107</v>
      </c>
      <c r="R675" s="42">
        <v>116</v>
      </c>
      <c r="S675" s="69" t="str">
        <f>_xlfn.IFNA(IF(VLOOKUP(tabPontoPed[[#This Row],[CÓDIGO]],tabExcluirDoEstoque[#Data],1,FALSE),"sim",""),"")</f>
        <v/>
      </c>
      <c r="T675" s="43">
        <f>IF(AND(tabPontoPed[[#This Row],[MENSAL]]&gt;0,tabPontoPed[[#This Row],[CÁLCULO]]&gt;0), ABS( tabPontoPed[[#This Row],[MENSAL]] - tabPontoPed[[#This Row],[CÁLCULO]] ) / tabPontoPed[[#This Row],[MENSAL]], -1 )</f>
        <v>2.5210084033613446E-2</v>
      </c>
      <c r="U675" s="58">
        <v>240</v>
      </c>
      <c r="V675" s="35">
        <f>IF(AND(tabPontoPed[[#This Row],[MENSAL]]&gt;0,tabPontoPed[[#This Row],[CÁLCULO]]&gt;0), IF( tabPontoPed[[#This Row],[MENSAL]] - tabPontoPed[[#This Row],[CÁLCULO]] &lt; 0, -1, IF( tabPontoPed[[#This Row],[MENSAL]] - tabPontoPed[[#This Row],[CÁLCULO]] &gt; 0, 1, -8)), -9 )</f>
        <v>1</v>
      </c>
      <c r="W675" s="35"/>
      <c r="X675" s="48" t="s">
        <v>1564</v>
      </c>
      <c r="Y675" s="53">
        <v>44391.599108796298</v>
      </c>
      <c r="Z675" s="72">
        <f>tabPontoPed[CÁLC_4M] - tabPontoPed[CÁLCULO]</f>
        <v>-9</v>
      </c>
      <c r="AA675" s="79" t="str">
        <f>IF(tabPontoPed[MENSAL]-tabPontoPed[ATA MENSAL] = 0,"sim","")</f>
        <v/>
      </c>
      <c r="AB675" s="79"/>
      <c r="AC675" s="47" t="str">
        <f t="shared" si="10"/>
        <v>*</v>
      </c>
    </row>
    <row r="676" spans="1:29" x14ac:dyDescent="0.25">
      <c r="A676" s="36">
        <v>70379</v>
      </c>
      <c r="B676" s="68" t="s">
        <v>705</v>
      </c>
      <c r="C676" s="33" t="s">
        <v>1317</v>
      </c>
      <c r="D676" s="32">
        <v>57</v>
      </c>
      <c r="E676" s="37">
        <v>17</v>
      </c>
      <c r="F676" s="38" t="str">
        <f>VLOOKUP(tabPontoPed[[#This Row],[GRUPO]],tabGrupos[#Data],2,FALSE)</f>
        <v>MAQ. E EQUIP. P/ IND. GRAFICA COMP. ACESS. E PAPEI</v>
      </c>
      <c r="G676" s="32" t="str">
        <f>VLOOKUP(tabPontoPed[[#This Row],[GRUPO]],tabGrupos[#Data],3,FALSE)</f>
        <v>EDU</v>
      </c>
      <c r="H676" s="33" t="s">
        <v>1311</v>
      </c>
      <c r="I676" s="80">
        <v>4</v>
      </c>
      <c r="J676" s="39">
        <v>275</v>
      </c>
      <c r="K676" s="41">
        <f>tabPontoPed[[#This Row],[QTDMÊS]] * tabPontoPed[[#This Row],[MENSAL]]</f>
        <v>1100</v>
      </c>
      <c r="L676" s="83"/>
      <c r="M676" s="81"/>
      <c r="N676" s="34" t="s">
        <v>1009</v>
      </c>
      <c r="O676" s="76" t="s">
        <v>1718</v>
      </c>
      <c r="P676" s="77">
        <v>0</v>
      </c>
      <c r="Q676" s="57">
        <v>121</v>
      </c>
      <c r="R676" s="42">
        <v>281</v>
      </c>
      <c r="S676" s="69" t="str">
        <f>_xlfn.IFNA(IF(VLOOKUP(tabPontoPed[[#This Row],[CÓDIGO]],tabExcluirDoEstoque[#Data],1,FALSE),"sim",""),"")</f>
        <v/>
      </c>
      <c r="T676" s="43">
        <f>IF(AND(tabPontoPed[[#This Row],[MENSAL]]&gt;0,tabPontoPed[[#This Row],[CÁLCULO]]&gt;0), ABS( tabPontoPed[[#This Row],[MENSAL]] - tabPontoPed[[#This Row],[CÁLCULO]] ) / tabPontoPed[[#This Row],[MENSAL]], -1 )</f>
        <v>2.181818181818182E-2</v>
      </c>
      <c r="U676" s="58">
        <v>2639</v>
      </c>
      <c r="V676" s="35">
        <f>IF(AND(tabPontoPed[[#This Row],[MENSAL]]&gt;0,tabPontoPed[[#This Row],[CÁLCULO]]&gt;0), IF( tabPontoPed[[#This Row],[MENSAL]] - tabPontoPed[[#This Row],[CÁLCULO]] &lt; 0, -1, IF( tabPontoPed[[#This Row],[MENSAL]] - tabPontoPed[[#This Row],[CÁLCULO]] &gt; 0, 1, -8)), -9 )</f>
        <v>-1</v>
      </c>
      <c r="W676" s="35"/>
      <c r="X676" s="49" t="s">
        <v>1564</v>
      </c>
      <c r="Y676" s="51">
        <v>44391.599108796298</v>
      </c>
      <c r="Z676" s="72">
        <f>tabPontoPed[CÁLC_4M] - tabPontoPed[CÁLCULO]</f>
        <v>-160</v>
      </c>
      <c r="AA676" s="79" t="str">
        <f>IF(tabPontoPed[MENSAL]-tabPontoPed[ATA MENSAL] = 0,"sim","")</f>
        <v/>
      </c>
      <c r="AB676" s="79"/>
      <c r="AC676" s="47" t="str">
        <f t="shared" si="10"/>
        <v>*</v>
      </c>
    </row>
    <row r="677" spans="1:29" x14ac:dyDescent="0.25">
      <c r="A677" s="36">
        <v>54682</v>
      </c>
      <c r="B677" s="68" t="s">
        <v>462</v>
      </c>
      <c r="C677" s="33" t="s">
        <v>1317</v>
      </c>
      <c r="D677" s="32">
        <v>45</v>
      </c>
      <c r="E677" s="37">
        <v>12</v>
      </c>
      <c r="F677" s="38" t="str">
        <f>VLOOKUP(tabPontoPed[[#This Row],[GRUPO]],tabGrupos[#Data],2,FALSE)</f>
        <v>MAQ., EQUIP., COMP., ACES., MAT. PARA ESCRIT.E ESCOLAR</v>
      </c>
      <c r="G677" s="32" t="str">
        <f>VLOOKUP(tabPontoPed[[#This Row],[GRUPO]],tabGrupos[#Data],3,FALSE)</f>
        <v>EDU</v>
      </c>
      <c r="H677" s="33" t="s">
        <v>1311</v>
      </c>
      <c r="I677" s="80">
        <v>4</v>
      </c>
      <c r="J677" s="39">
        <v>394</v>
      </c>
      <c r="K677" s="41">
        <f>tabPontoPed[[#This Row],[QTDMÊS]] * tabPontoPed[[#This Row],[MENSAL]]</f>
        <v>1576</v>
      </c>
      <c r="L677" s="83"/>
      <c r="M677" s="81"/>
      <c r="N677" s="34" t="s">
        <v>1009</v>
      </c>
      <c r="O677" s="76"/>
      <c r="P677" s="77">
        <v>0</v>
      </c>
      <c r="Q677" s="57">
        <v>80</v>
      </c>
      <c r="R677" s="42">
        <v>402</v>
      </c>
      <c r="S677" s="69" t="str">
        <f>_xlfn.IFNA(IF(VLOOKUP(tabPontoPed[[#This Row],[CÓDIGO]],tabExcluirDoEstoque[#Data],1,FALSE),"sim",""),"")</f>
        <v/>
      </c>
      <c r="T677" s="43">
        <f>IF(AND(tabPontoPed[[#This Row],[MENSAL]]&gt;0,tabPontoPed[[#This Row],[CÁLCULO]]&gt;0), ABS( tabPontoPed[[#This Row],[MENSAL]] - tabPontoPed[[#This Row],[CÁLCULO]] ) / tabPontoPed[[#This Row],[MENSAL]], -1 )</f>
        <v>2.030456852791878E-2</v>
      </c>
      <c r="U677" s="58">
        <v>3962</v>
      </c>
      <c r="V677" s="35">
        <f>IF(AND(tabPontoPed[[#This Row],[MENSAL]]&gt;0,tabPontoPed[[#This Row],[CÁLCULO]]&gt;0), IF( tabPontoPed[[#This Row],[MENSAL]] - tabPontoPed[[#This Row],[CÁLCULO]] &lt; 0, -1, IF( tabPontoPed[[#This Row],[MENSAL]] - tabPontoPed[[#This Row],[CÁLCULO]] &gt; 0, 1, -8)), -9 )</f>
        <v>-1</v>
      </c>
      <c r="W677" s="35"/>
      <c r="X677" s="49" t="s">
        <v>1564</v>
      </c>
      <c r="Y677" s="51">
        <v>44391.599108796298</v>
      </c>
      <c r="Z677" s="72">
        <f>tabPontoPed[CÁLC_4M] - tabPontoPed[CÁLCULO]</f>
        <v>-322</v>
      </c>
      <c r="AA677" s="79" t="str">
        <f>IF(tabPontoPed[MENSAL]-tabPontoPed[ATA MENSAL] = 0,"sim","")</f>
        <v/>
      </c>
      <c r="AB677" s="79"/>
      <c r="AC677" s="47" t="str">
        <f t="shared" si="10"/>
        <v>*</v>
      </c>
    </row>
    <row r="678" spans="1:29" x14ac:dyDescent="0.25">
      <c r="A678" s="36">
        <v>10547</v>
      </c>
      <c r="B678" s="68" t="s">
        <v>463</v>
      </c>
      <c r="C678" s="33" t="s">
        <v>1317</v>
      </c>
      <c r="D678" s="32">
        <v>45</v>
      </c>
      <c r="E678" s="37">
        <v>14</v>
      </c>
      <c r="F678" s="38" t="str">
        <f>VLOOKUP(tabPontoPed[[#This Row],[GRUPO]],tabGrupos[#Data],2,FALSE)</f>
        <v>MAQ., EQUIP., COMP., ACES., MAT. PARA ESCRIT.E ESCOLAR</v>
      </c>
      <c r="G678" s="32" t="str">
        <f>VLOOKUP(tabPontoPed[[#This Row],[GRUPO]],tabGrupos[#Data],3,FALSE)</f>
        <v>EDU</v>
      </c>
      <c r="H678" s="33" t="s">
        <v>1311</v>
      </c>
      <c r="I678" s="80">
        <v>4</v>
      </c>
      <c r="J678" s="39">
        <v>1355</v>
      </c>
      <c r="K678" s="41">
        <f>tabPontoPed[[#This Row],[QTDMÊS]] * tabPontoPed[[#This Row],[MENSAL]]</f>
        <v>5420</v>
      </c>
      <c r="L678" s="83"/>
      <c r="M678" s="81"/>
      <c r="N678" s="34" t="s">
        <v>1009</v>
      </c>
      <c r="O678" s="76" t="s">
        <v>1696</v>
      </c>
      <c r="P678" s="77">
        <v>0</v>
      </c>
      <c r="Q678" s="57">
        <v>701</v>
      </c>
      <c r="R678" s="42">
        <v>1331</v>
      </c>
      <c r="S678" s="69" t="str">
        <f>_xlfn.IFNA(IF(VLOOKUP(tabPontoPed[[#This Row],[CÓDIGO]],tabExcluirDoEstoque[#Data],1,FALSE),"sim",""),"")</f>
        <v/>
      </c>
      <c r="T678" s="43">
        <f>IF(AND(tabPontoPed[[#This Row],[MENSAL]]&gt;0,tabPontoPed[[#This Row],[CÁLCULO]]&gt;0), ABS( tabPontoPed[[#This Row],[MENSAL]] - tabPontoPed[[#This Row],[CÁLCULO]] ) / tabPontoPed[[#This Row],[MENSAL]], -1 )</f>
        <v>1.7712177121771217E-2</v>
      </c>
      <c r="U678" s="58">
        <v>8789</v>
      </c>
      <c r="V678" s="35">
        <f>IF(AND(tabPontoPed[[#This Row],[MENSAL]]&gt;0,tabPontoPed[[#This Row],[CÁLCULO]]&gt;0), IF( tabPontoPed[[#This Row],[MENSAL]] - tabPontoPed[[#This Row],[CÁLCULO]] &lt; 0, -1, IF( tabPontoPed[[#This Row],[MENSAL]] - tabPontoPed[[#This Row],[CÁLCULO]] &gt; 0, 1, -8)), -9 )</f>
        <v>1</v>
      </c>
      <c r="W678" s="35"/>
      <c r="X678" s="48" t="s">
        <v>1564</v>
      </c>
      <c r="Y678" s="53">
        <v>44391.599108796298</v>
      </c>
      <c r="Z678" s="72">
        <f>tabPontoPed[CÁLC_4M] - tabPontoPed[CÁLCULO]</f>
        <v>-630</v>
      </c>
      <c r="AA678" s="79" t="str">
        <f>IF(tabPontoPed[MENSAL]-tabPontoPed[ATA MENSAL] = 0,"sim","")</f>
        <v/>
      </c>
      <c r="AB678" s="79"/>
      <c r="AC678" s="47" t="str">
        <f t="shared" si="10"/>
        <v>*</v>
      </c>
    </row>
    <row r="679" spans="1:29" x14ac:dyDescent="0.25">
      <c r="A679" s="36">
        <v>64626</v>
      </c>
      <c r="B679" s="68" t="s">
        <v>893</v>
      </c>
      <c r="C679" s="33" t="s">
        <v>1317</v>
      </c>
      <c r="D679" s="32">
        <v>69</v>
      </c>
      <c r="E679" s="37">
        <v>8</v>
      </c>
      <c r="F679" s="38" t="str">
        <f>VLOOKUP(tabPontoPed[[#This Row],[GRUPO]],tabGrupos[#Data],2,FALSE)</f>
        <v>METAIS,LAMINAD.,PERFILADOS E ARTEFATOS METALICOS</v>
      </c>
      <c r="G679" s="32" t="str">
        <f>VLOOKUP(tabPontoPed[[#This Row],[GRUPO]],tabGrupos[#Data],3,FALSE)</f>
        <v>MSE</v>
      </c>
      <c r="H679" s="33" t="s">
        <v>1311</v>
      </c>
      <c r="I679" s="80">
        <v>4</v>
      </c>
      <c r="J679" s="39">
        <v>125</v>
      </c>
      <c r="K679" s="41">
        <f>tabPontoPed[[#This Row],[QTDMÊS]] * tabPontoPed[[#This Row],[MENSAL]]</f>
        <v>500</v>
      </c>
      <c r="L679" s="83"/>
      <c r="M679" s="81"/>
      <c r="N679" s="34" t="s">
        <v>1009</v>
      </c>
      <c r="O679" s="76" t="s">
        <v>1668</v>
      </c>
      <c r="P679" s="77">
        <v>0</v>
      </c>
      <c r="Q679" s="57">
        <v>234</v>
      </c>
      <c r="R679" s="42">
        <v>123</v>
      </c>
      <c r="S679" s="69" t="str">
        <f>_xlfn.IFNA(IF(VLOOKUP(tabPontoPed[[#This Row],[CÓDIGO]],tabExcluirDoEstoque[#Data],1,FALSE),"sim",""),"")</f>
        <v/>
      </c>
      <c r="T679" s="43">
        <f>IF(AND(tabPontoPed[[#This Row],[MENSAL]]&gt;0,tabPontoPed[[#This Row],[CÁLCULO]]&gt;0), ABS( tabPontoPed[[#This Row],[MENSAL]] - tabPontoPed[[#This Row],[CÁLCULO]] ) / tabPontoPed[[#This Row],[MENSAL]], -1 )</f>
        <v>1.6E-2</v>
      </c>
      <c r="U679" s="58">
        <v>294</v>
      </c>
      <c r="V679" s="35">
        <f>IF(AND(tabPontoPed[[#This Row],[MENSAL]]&gt;0,tabPontoPed[[#This Row],[CÁLCULO]]&gt;0), IF( tabPontoPed[[#This Row],[MENSAL]] - tabPontoPed[[#This Row],[CÁLCULO]] &lt; 0, -1, IF( tabPontoPed[[#This Row],[MENSAL]] - tabPontoPed[[#This Row],[CÁLCULO]] &gt; 0, 1, -8)), -9 )</f>
        <v>1</v>
      </c>
      <c r="W679" s="35"/>
      <c r="X679" s="49" t="s">
        <v>1564</v>
      </c>
      <c r="Y679" s="51">
        <v>44391.599108796298</v>
      </c>
      <c r="Z679" s="72">
        <f>tabPontoPed[CÁLC_4M] - tabPontoPed[CÁLCULO]</f>
        <v>111</v>
      </c>
      <c r="AA679" s="79" t="str">
        <f>IF(tabPontoPed[MENSAL]-tabPontoPed[ATA MENSAL] = 0,"sim","")</f>
        <v/>
      </c>
      <c r="AB679" s="79" t="s">
        <v>1614</v>
      </c>
      <c r="AC679" s="47" t="str">
        <f t="shared" si="10"/>
        <v>*</v>
      </c>
    </row>
    <row r="680" spans="1:29" x14ac:dyDescent="0.25">
      <c r="A680" s="36">
        <v>78642</v>
      </c>
      <c r="B680" s="68" t="s">
        <v>482</v>
      </c>
      <c r="C680" s="33" t="s">
        <v>1317</v>
      </c>
      <c r="D680" s="32">
        <v>45</v>
      </c>
      <c r="E680" s="37">
        <v>30</v>
      </c>
      <c r="F680" s="38" t="str">
        <f>VLOOKUP(tabPontoPed[[#This Row],[GRUPO]],tabGrupos[#Data],2,FALSE)</f>
        <v>MAQ., EQUIP., COMP., ACES., MAT. PARA ESCRIT.E ESCOLAR</v>
      </c>
      <c r="G680" s="32" t="str">
        <f>VLOOKUP(tabPontoPed[[#This Row],[GRUPO]],tabGrupos[#Data],3,FALSE)</f>
        <v>EDU</v>
      </c>
      <c r="H680" s="33" t="s">
        <v>1311</v>
      </c>
      <c r="I680" s="80">
        <v>4</v>
      </c>
      <c r="J680" s="39">
        <v>509</v>
      </c>
      <c r="K680" s="41">
        <f>tabPontoPed[[#This Row],[QTDMÊS]] * tabPontoPed[[#This Row],[MENSAL]]</f>
        <v>2036</v>
      </c>
      <c r="L680" s="83"/>
      <c r="M680" s="81"/>
      <c r="N680" s="34" t="s">
        <v>1009</v>
      </c>
      <c r="O680" s="76"/>
      <c r="P680" s="77">
        <v>0</v>
      </c>
      <c r="Q680" s="57">
        <v>187</v>
      </c>
      <c r="R680" s="42">
        <v>517</v>
      </c>
      <c r="S680" s="69" t="str">
        <f>_xlfn.IFNA(IF(VLOOKUP(tabPontoPed[[#This Row],[CÓDIGO]],tabExcluirDoEstoque[#Data],1,FALSE),"sim",""),"")</f>
        <v/>
      </c>
      <c r="T680" s="43">
        <f>IF(AND(tabPontoPed[[#This Row],[MENSAL]]&gt;0,tabPontoPed[[#This Row],[CÁLCULO]]&gt;0), ABS( tabPontoPed[[#This Row],[MENSAL]] - tabPontoPed[[#This Row],[CÁLCULO]] ) / tabPontoPed[[#This Row],[MENSAL]], -1 )</f>
        <v>1.5717092337917484E-2</v>
      </c>
      <c r="U680" s="58">
        <v>3111</v>
      </c>
      <c r="V680" s="35">
        <f>IF(AND(tabPontoPed[[#This Row],[MENSAL]]&gt;0,tabPontoPed[[#This Row],[CÁLCULO]]&gt;0), IF( tabPontoPed[[#This Row],[MENSAL]] - tabPontoPed[[#This Row],[CÁLCULO]] &lt; 0, -1, IF( tabPontoPed[[#This Row],[MENSAL]] - tabPontoPed[[#This Row],[CÁLCULO]] &gt; 0, 1, -8)), -9 )</f>
        <v>-1</v>
      </c>
      <c r="W680" s="35"/>
      <c r="X680" s="48" t="s">
        <v>1564</v>
      </c>
      <c r="Y680" s="53">
        <v>44391.599108796298</v>
      </c>
      <c r="Z680" s="72">
        <f>tabPontoPed[CÁLC_4M] - tabPontoPed[CÁLCULO]</f>
        <v>-330</v>
      </c>
      <c r="AA680" s="79" t="str">
        <f>IF(tabPontoPed[MENSAL]-tabPontoPed[ATA MENSAL] = 0,"sim","")</f>
        <v/>
      </c>
      <c r="AB680" s="79"/>
      <c r="AC680" s="47" t="str">
        <f t="shared" si="10"/>
        <v>*</v>
      </c>
    </row>
    <row r="681" spans="1:29" x14ac:dyDescent="0.25">
      <c r="A681" s="36">
        <v>106544</v>
      </c>
      <c r="B681" s="68" t="s">
        <v>854</v>
      </c>
      <c r="C681" s="33" t="s">
        <v>1317</v>
      </c>
      <c r="D681" s="32">
        <v>67</v>
      </c>
      <c r="E681" s="37">
        <v>9</v>
      </c>
      <c r="F681" s="38" t="str">
        <f>VLOOKUP(tabPontoPed[[#This Row],[GRUPO]],tabGrupos[#Data],2,FALSE)</f>
        <v>PARAFUSOS ELEM. VEDACAO UNIAO CONEX . FIXACAO</v>
      </c>
      <c r="G681" s="32" t="str">
        <f>VLOOKUP(tabPontoPed[[#This Row],[GRUPO]],tabGrupos[#Data],3,FALSE)</f>
        <v>MSE</v>
      </c>
      <c r="H681" s="33" t="s">
        <v>1311</v>
      </c>
      <c r="I681" s="80">
        <v>4</v>
      </c>
      <c r="J681" s="39">
        <v>142</v>
      </c>
      <c r="K681" s="41">
        <f>tabPontoPed[[#This Row],[QTDMÊS]] * tabPontoPed[[#This Row],[MENSAL]]</f>
        <v>568</v>
      </c>
      <c r="L681" s="83"/>
      <c r="M681" s="81"/>
      <c r="N681" s="34" t="s">
        <v>1009</v>
      </c>
      <c r="O681" s="76" t="s">
        <v>1671</v>
      </c>
      <c r="P681" s="77">
        <v>0</v>
      </c>
      <c r="Q681" s="57">
        <v>157</v>
      </c>
      <c r="R681" s="42">
        <v>144</v>
      </c>
      <c r="S681" s="69" t="str">
        <f>_xlfn.IFNA(IF(VLOOKUP(tabPontoPed[[#This Row],[CÓDIGO]],tabExcluirDoEstoque[#Data],1,FALSE),"sim",""),"")</f>
        <v/>
      </c>
      <c r="T681" s="43">
        <f>IF(AND(tabPontoPed[[#This Row],[MENSAL]]&gt;0,tabPontoPed[[#This Row],[CÁLCULO]]&gt;0), ABS( tabPontoPed[[#This Row],[MENSAL]] - tabPontoPed[[#This Row],[CÁLCULO]] ) / tabPontoPed[[#This Row],[MENSAL]], -1 )</f>
        <v>1.4084507042253521E-2</v>
      </c>
      <c r="U681" s="58">
        <v>225</v>
      </c>
      <c r="V681" s="35">
        <f>IF(AND(tabPontoPed[[#This Row],[MENSAL]]&gt;0,tabPontoPed[[#This Row],[CÁLCULO]]&gt;0), IF( tabPontoPed[[#This Row],[MENSAL]] - tabPontoPed[[#This Row],[CÁLCULO]] &lt; 0, -1, IF( tabPontoPed[[#This Row],[MENSAL]] - tabPontoPed[[#This Row],[CÁLCULO]] &gt; 0, 1, -8)), -9 )</f>
        <v>-1</v>
      </c>
      <c r="W681" s="35"/>
      <c r="X681" s="49" t="s">
        <v>1564</v>
      </c>
      <c r="Y681" s="51">
        <v>44391.599108796298</v>
      </c>
      <c r="Z681" s="72">
        <f>tabPontoPed[CÁLC_4M] - tabPontoPed[CÁLCULO]</f>
        <v>13</v>
      </c>
      <c r="AA681" s="79" t="str">
        <f>IF(tabPontoPed[MENSAL]-tabPontoPed[ATA MENSAL] = 0,"sim","")</f>
        <v/>
      </c>
      <c r="AB681" s="79"/>
      <c r="AC681" s="47" t="str">
        <f t="shared" si="10"/>
        <v>*</v>
      </c>
    </row>
    <row r="682" spans="1:29" x14ac:dyDescent="0.25">
      <c r="A682" s="36">
        <v>78646</v>
      </c>
      <c r="B682" s="68" t="s">
        <v>484</v>
      </c>
      <c r="C682" s="33" t="s">
        <v>1317</v>
      </c>
      <c r="D682" s="32">
        <v>45</v>
      </c>
      <c r="E682" s="37">
        <v>30</v>
      </c>
      <c r="F682" s="38" t="str">
        <f>VLOOKUP(tabPontoPed[[#This Row],[GRUPO]],tabGrupos[#Data],2,FALSE)</f>
        <v>MAQ., EQUIP., COMP., ACES., MAT. PARA ESCRIT.E ESCOLAR</v>
      </c>
      <c r="G682" s="32" t="str">
        <f>VLOOKUP(tabPontoPed[[#This Row],[GRUPO]],tabGrupos[#Data],3,FALSE)</f>
        <v>EDU</v>
      </c>
      <c r="H682" s="33" t="s">
        <v>1311</v>
      </c>
      <c r="I682" s="80">
        <v>4</v>
      </c>
      <c r="J682" s="39">
        <v>576</v>
      </c>
      <c r="K682" s="41">
        <f>tabPontoPed[[#This Row],[QTDMÊS]] * tabPontoPed[[#This Row],[MENSAL]]</f>
        <v>2304</v>
      </c>
      <c r="L682" s="83"/>
      <c r="M682" s="81"/>
      <c r="N682" s="34" t="s">
        <v>1009</v>
      </c>
      <c r="O682" s="76"/>
      <c r="P682" s="77">
        <v>0</v>
      </c>
      <c r="Q682" s="57">
        <v>273</v>
      </c>
      <c r="R682" s="42">
        <v>569</v>
      </c>
      <c r="S682" s="69" t="str">
        <f>_xlfn.IFNA(IF(VLOOKUP(tabPontoPed[[#This Row],[CÓDIGO]],tabExcluirDoEstoque[#Data],1,FALSE),"sim",""),"")</f>
        <v/>
      </c>
      <c r="T682" s="43">
        <f>IF(AND(tabPontoPed[[#This Row],[MENSAL]]&gt;0,tabPontoPed[[#This Row],[CÁLCULO]]&gt;0), ABS( tabPontoPed[[#This Row],[MENSAL]] - tabPontoPed[[#This Row],[CÁLCULO]] ) / tabPontoPed[[#This Row],[MENSAL]], -1 )</f>
        <v>1.2152777777777778E-2</v>
      </c>
      <c r="U682" s="58">
        <v>3112</v>
      </c>
      <c r="V682" s="35">
        <f>IF(AND(tabPontoPed[[#This Row],[MENSAL]]&gt;0,tabPontoPed[[#This Row],[CÁLCULO]]&gt;0), IF( tabPontoPed[[#This Row],[MENSAL]] - tabPontoPed[[#This Row],[CÁLCULO]] &lt; 0, -1, IF( tabPontoPed[[#This Row],[MENSAL]] - tabPontoPed[[#This Row],[CÁLCULO]] &gt; 0, 1, -8)), -9 )</f>
        <v>1</v>
      </c>
      <c r="W682" s="35"/>
      <c r="X682" s="49" t="s">
        <v>1564</v>
      </c>
      <c r="Y682" s="51">
        <v>44391.599108796298</v>
      </c>
      <c r="Z682" s="72">
        <f>tabPontoPed[CÁLC_4M] - tabPontoPed[CÁLCULO]</f>
        <v>-296</v>
      </c>
      <c r="AA682" s="79" t="str">
        <f>IF(tabPontoPed[MENSAL]-tabPontoPed[ATA MENSAL] = 0,"sim","")</f>
        <v/>
      </c>
      <c r="AB682" s="79"/>
      <c r="AC682" s="47" t="str">
        <f t="shared" si="10"/>
        <v>*</v>
      </c>
    </row>
    <row r="683" spans="1:29" x14ac:dyDescent="0.25">
      <c r="A683" s="36">
        <v>78643</v>
      </c>
      <c r="B683" s="68" t="s">
        <v>483</v>
      </c>
      <c r="C683" s="33" t="s">
        <v>1317</v>
      </c>
      <c r="D683" s="32">
        <v>45</v>
      </c>
      <c r="E683" s="37">
        <v>30</v>
      </c>
      <c r="F683" s="38" t="str">
        <f>VLOOKUP(tabPontoPed[[#This Row],[GRUPO]],tabGrupos[#Data],2,FALSE)</f>
        <v>MAQ., EQUIP., COMP., ACES., MAT. PARA ESCRIT.E ESCOLAR</v>
      </c>
      <c r="G683" s="32" t="str">
        <f>VLOOKUP(tabPontoPed[[#This Row],[GRUPO]],tabGrupos[#Data],3,FALSE)</f>
        <v>EDU</v>
      </c>
      <c r="H683" s="33" t="s">
        <v>1311</v>
      </c>
      <c r="I683" s="80">
        <v>4</v>
      </c>
      <c r="J683" s="39">
        <v>562</v>
      </c>
      <c r="K683" s="41">
        <f>tabPontoPed[[#This Row],[QTDMÊS]] * tabPontoPed[[#This Row],[MENSAL]]</f>
        <v>2248</v>
      </c>
      <c r="L683" s="83"/>
      <c r="M683" s="81"/>
      <c r="N683" s="34" t="s">
        <v>1009</v>
      </c>
      <c r="O683" s="76"/>
      <c r="P683" s="77">
        <v>0</v>
      </c>
      <c r="Q683" s="57">
        <v>244</v>
      </c>
      <c r="R683" s="42">
        <v>557</v>
      </c>
      <c r="S683" s="69" t="str">
        <f>_xlfn.IFNA(IF(VLOOKUP(tabPontoPed[[#This Row],[CÓDIGO]],tabExcluirDoEstoque[#Data],1,FALSE),"sim",""),"")</f>
        <v/>
      </c>
      <c r="T683" s="43">
        <f>IF(AND(tabPontoPed[[#This Row],[MENSAL]]&gt;0,tabPontoPed[[#This Row],[CÁLCULO]]&gt;0), ABS( tabPontoPed[[#This Row],[MENSAL]] - tabPontoPed[[#This Row],[CÁLCULO]] ) / tabPontoPed[[#This Row],[MENSAL]], -1 )</f>
        <v>8.8967971530249119E-3</v>
      </c>
      <c r="U683" s="58">
        <v>3240</v>
      </c>
      <c r="V683" s="35">
        <f>IF(AND(tabPontoPed[[#This Row],[MENSAL]]&gt;0,tabPontoPed[[#This Row],[CÁLCULO]]&gt;0), IF( tabPontoPed[[#This Row],[MENSAL]] - tabPontoPed[[#This Row],[CÁLCULO]] &lt; 0, -1, IF( tabPontoPed[[#This Row],[MENSAL]] - tabPontoPed[[#This Row],[CÁLCULO]] &gt; 0, 1, -8)), -9 )</f>
        <v>1</v>
      </c>
      <c r="W683" s="35"/>
      <c r="X683" s="49" t="s">
        <v>1564</v>
      </c>
      <c r="Y683" s="51">
        <v>44391.599108796298</v>
      </c>
      <c r="Z683" s="72">
        <f>tabPontoPed[CÁLC_4M] - tabPontoPed[CÁLCULO]</f>
        <v>-313</v>
      </c>
      <c r="AA683" s="79" t="str">
        <f>IF(tabPontoPed[MENSAL]-tabPontoPed[ATA MENSAL] = 0,"sim","")</f>
        <v/>
      </c>
      <c r="AB683" s="79"/>
      <c r="AC683" s="47" t="str">
        <f t="shared" si="10"/>
        <v>*</v>
      </c>
    </row>
    <row r="684" spans="1:29" x14ac:dyDescent="0.25">
      <c r="A684" s="36">
        <v>132395</v>
      </c>
      <c r="B684" s="68" t="s">
        <v>469</v>
      </c>
      <c r="C684" s="33" t="s">
        <v>1317</v>
      </c>
      <c r="D684" s="32">
        <v>45</v>
      </c>
      <c r="E684" s="37">
        <v>14</v>
      </c>
      <c r="F684" s="38" t="str">
        <f>VLOOKUP(tabPontoPed[[#This Row],[GRUPO]],tabGrupos[#Data],2,FALSE)</f>
        <v>MAQ., EQUIP., COMP., ACES., MAT. PARA ESCRIT.E ESCOLAR</v>
      </c>
      <c r="G684" s="32" t="str">
        <f>VLOOKUP(tabPontoPed[[#This Row],[GRUPO]],tabGrupos[#Data],3,FALSE)</f>
        <v>EDU</v>
      </c>
      <c r="H684" s="33" t="s">
        <v>1311</v>
      </c>
      <c r="I684" s="80">
        <v>4</v>
      </c>
      <c r="J684" s="39">
        <v>579</v>
      </c>
      <c r="K684" s="41">
        <f>tabPontoPed[[#This Row],[QTDMÊS]] * tabPontoPed[[#This Row],[MENSAL]]</f>
        <v>2316</v>
      </c>
      <c r="L684" s="83"/>
      <c r="M684" s="81"/>
      <c r="N684" s="34" t="s">
        <v>1009</v>
      </c>
      <c r="O684" s="76"/>
      <c r="P684" s="77">
        <v>0</v>
      </c>
      <c r="Q684" s="57">
        <v>323</v>
      </c>
      <c r="R684" s="42">
        <v>574</v>
      </c>
      <c r="S684" s="69" t="str">
        <f>_xlfn.IFNA(IF(VLOOKUP(tabPontoPed[[#This Row],[CÓDIGO]],tabExcluirDoEstoque[#Data],1,FALSE),"sim",""),"")</f>
        <v/>
      </c>
      <c r="T684" s="43">
        <f>IF(AND(tabPontoPed[[#This Row],[MENSAL]]&gt;0,tabPontoPed[[#This Row],[CÁLCULO]]&gt;0), ABS( tabPontoPed[[#This Row],[MENSAL]] - tabPontoPed[[#This Row],[CÁLCULO]] ) / tabPontoPed[[#This Row],[MENSAL]], -1 )</f>
        <v>8.6355785837651123E-3</v>
      </c>
      <c r="U684" s="58">
        <v>3577</v>
      </c>
      <c r="V684" s="35">
        <f>IF(AND(tabPontoPed[[#This Row],[MENSAL]]&gt;0,tabPontoPed[[#This Row],[CÁLCULO]]&gt;0), IF( tabPontoPed[[#This Row],[MENSAL]] - tabPontoPed[[#This Row],[CÁLCULO]] &lt; 0, -1, IF( tabPontoPed[[#This Row],[MENSAL]] - tabPontoPed[[#This Row],[CÁLCULO]] &gt; 0, 1, -8)), -9 )</f>
        <v>1</v>
      </c>
      <c r="W684" s="35"/>
      <c r="X684" s="48" t="s">
        <v>1564</v>
      </c>
      <c r="Y684" s="53">
        <v>44391.599108796298</v>
      </c>
      <c r="Z684" s="72">
        <f>tabPontoPed[CÁLC_4M] - tabPontoPed[CÁLCULO]</f>
        <v>-251</v>
      </c>
      <c r="AA684" s="79" t="str">
        <f>IF(tabPontoPed[MENSAL]-tabPontoPed[ATA MENSAL] = 0,"sim","")</f>
        <v/>
      </c>
      <c r="AB684" s="79"/>
      <c r="AC684" s="47" t="str">
        <f t="shared" si="10"/>
        <v>*</v>
      </c>
    </row>
    <row r="685" spans="1:29" x14ac:dyDescent="0.25">
      <c r="A685" s="36">
        <v>131927</v>
      </c>
      <c r="B685" s="68" t="s">
        <v>406</v>
      </c>
      <c r="C685" s="33" t="s">
        <v>1317</v>
      </c>
      <c r="D685" s="32">
        <v>45</v>
      </c>
      <c r="E685" s="37">
        <v>9</v>
      </c>
      <c r="F685" s="38" t="str">
        <f>VLOOKUP(tabPontoPed[[#This Row],[GRUPO]],tabGrupos[#Data],2,FALSE)</f>
        <v>MAQ., EQUIP., COMP., ACES., MAT. PARA ESCRIT.E ESCOLAR</v>
      </c>
      <c r="G685" s="32" t="str">
        <f>VLOOKUP(tabPontoPed[[#This Row],[GRUPO]],tabGrupos[#Data],3,FALSE)</f>
        <v>EDU</v>
      </c>
      <c r="H685" s="33" t="s">
        <v>1311</v>
      </c>
      <c r="I685" s="80">
        <v>4</v>
      </c>
      <c r="J685" s="39">
        <v>691</v>
      </c>
      <c r="K685" s="41">
        <f>tabPontoPed[[#This Row],[QTDMÊS]] * tabPontoPed[[#This Row],[MENSAL]]</f>
        <v>2764</v>
      </c>
      <c r="L685" s="83"/>
      <c r="M685" s="81"/>
      <c r="N685" s="34" t="s">
        <v>1009</v>
      </c>
      <c r="O685" s="76"/>
      <c r="P685" s="77">
        <v>0</v>
      </c>
      <c r="Q685" s="57">
        <v>157</v>
      </c>
      <c r="R685" s="42">
        <v>688</v>
      </c>
      <c r="S685" s="69" t="str">
        <f>_xlfn.IFNA(IF(VLOOKUP(tabPontoPed[[#This Row],[CÓDIGO]],tabExcluirDoEstoque[#Data],1,FALSE),"sim",""),"")</f>
        <v/>
      </c>
      <c r="T685" s="43">
        <f>IF(AND(tabPontoPed[[#This Row],[MENSAL]]&gt;0,tabPontoPed[[#This Row],[CÁLCULO]]&gt;0), ABS( tabPontoPed[[#This Row],[MENSAL]] - tabPontoPed[[#This Row],[CÁLCULO]] ) / tabPontoPed[[#This Row],[MENSAL]], -1 )</f>
        <v>4.3415340086830683E-3</v>
      </c>
      <c r="U685" s="58">
        <v>6591</v>
      </c>
      <c r="V685" s="35">
        <f>IF(AND(tabPontoPed[[#This Row],[MENSAL]]&gt;0,tabPontoPed[[#This Row],[CÁLCULO]]&gt;0), IF( tabPontoPed[[#This Row],[MENSAL]] - tabPontoPed[[#This Row],[CÁLCULO]] &lt; 0, -1, IF( tabPontoPed[[#This Row],[MENSAL]] - tabPontoPed[[#This Row],[CÁLCULO]] &gt; 0, 1, -8)), -9 )</f>
        <v>1</v>
      </c>
      <c r="W685" s="35"/>
      <c r="X685" s="48" t="s">
        <v>1564</v>
      </c>
      <c r="Y685" s="53">
        <v>44391.599108796298</v>
      </c>
      <c r="Z685" s="72">
        <f>tabPontoPed[CÁLC_4M] - tabPontoPed[CÁLCULO]</f>
        <v>-531</v>
      </c>
      <c r="AA685" s="79" t="str">
        <f>IF(tabPontoPed[MENSAL]-tabPontoPed[ATA MENSAL] = 0,"sim","")</f>
        <v/>
      </c>
      <c r="AB685" s="79"/>
      <c r="AC685" s="47" t="str">
        <f t="shared" si="10"/>
        <v>*</v>
      </c>
    </row>
    <row r="686" spans="1:29" x14ac:dyDescent="0.25">
      <c r="A686" s="36">
        <v>131926</v>
      </c>
      <c r="B686" s="68" t="s">
        <v>405</v>
      </c>
      <c r="C686" s="33" t="s">
        <v>1317</v>
      </c>
      <c r="D686" s="32">
        <v>45</v>
      </c>
      <c r="E686" s="37">
        <v>9</v>
      </c>
      <c r="F686" s="38" t="str">
        <f>VLOOKUP(tabPontoPed[[#This Row],[GRUPO]],tabGrupos[#Data],2,FALSE)</f>
        <v>MAQ., EQUIP., COMP., ACES., MAT. PARA ESCRIT.E ESCOLAR</v>
      </c>
      <c r="G686" s="32" t="str">
        <f>VLOOKUP(tabPontoPed[[#This Row],[GRUPO]],tabGrupos[#Data],3,FALSE)</f>
        <v>EDU</v>
      </c>
      <c r="H686" s="33" t="s">
        <v>1311</v>
      </c>
      <c r="I686" s="80">
        <v>4</v>
      </c>
      <c r="J686" s="39">
        <v>873</v>
      </c>
      <c r="K686" s="41">
        <f>tabPontoPed[[#This Row],[QTDMÊS]] * tabPontoPed[[#This Row],[MENSAL]]</f>
        <v>3492</v>
      </c>
      <c r="L686" s="83"/>
      <c r="M686" s="81"/>
      <c r="N686" s="34" t="s">
        <v>1009</v>
      </c>
      <c r="O686" s="76"/>
      <c r="P686" s="77">
        <v>0</v>
      </c>
      <c r="Q686" s="57">
        <v>315</v>
      </c>
      <c r="R686" s="42">
        <v>871</v>
      </c>
      <c r="S686" s="69" t="str">
        <f>_xlfn.IFNA(IF(VLOOKUP(tabPontoPed[[#This Row],[CÓDIGO]],tabExcluirDoEstoque[#Data],1,FALSE),"sim",""),"")</f>
        <v/>
      </c>
      <c r="T686" s="43">
        <f>IF(AND(tabPontoPed[[#This Row],[MENSAL]]&gt;0,tabPontoPed[[#This Row],[CÁLCULO]]&gt;0), ABS( tabPontoPed[[#This Row],[MENSAL]] - tabPontoPed[[#This Row],[CÁLCULO]] ) / tabPontoPed[[#This Row],[MENSAL]], -1 )</f>
        <v>2.2909507445589921E-3</v>
      </c>
      <c r="U686" s="58">
        <v>6879</v>
      </c>
      <c r="V686" s="35">
        <f>IF(AND(tabPontoPed[[#This Row],[MENSAL]]&gt;0,tabPontoPed[[#This Row],[CÁLCULO]]&gt;0), IF( tabPontoPed[[#This Row],[MENSAL]] - tabPontoPed[[#This Row],[CÁLCULO]] &lt; 0, -1, IF( tabPontoPed[[#This Row],[MENSAL]] - tabPontoPed[[#This Row],[CÁLCULO]] &gt; 0, 1, -8)), -9 )</f>
        <v>1</v>
      </c>
      <c r="W686" s="35"/>
      <c r="X686" s="48" t="s">
        <v>1564</v>
      </c>
      <c r="Y686" s="53">
        <v>44391.599108796298</v>
      </c>
      <c r="Z686" s="72">
        <f>tabPontoPed[CÁLC_4M] - tabPontoPed[CÁLCULO]</f>
        <v>-556</v>
      </c>
      <c r="AA686" s="79" t="str">
        <f>IF(tabPontoPed[MENSAL]-tabPontoPed[ATA MENSAL] = 0,"sim","")</f>
        <v/>
      </c>
      <c r="AB686" s="79"/>
      <c r="AC686" s="47" t="str">
        <f t="shared" si="10"/>
        <v>*</v>
      </c>
    </row>
    <row r="687" spans="1:29" x14ac:dyDescent="0.25">
      <c r="A687" s="36">
        <v>105117</v>
      </c>
      <c r="B687" s="68" t="s">
        <v>800</v>
      </c>
      <c r="C687" s="33" t="s">
        <v>1317</v>
      </c>
      <c r="D687" s="32">
        <v>62</v>
      </c>
      <c r="E687" s="37">
        <v>1</v>
      </c>
      <c r="F687" s="38" t="str">
        <f>VLOOKUP(tabPontoPed[[#This Row],[GRUPO]],tabGrupos[#Data],2,FALSE)</f>
        <v>VEST., ART.P/ TOUC.E HIG. PES. MAQ., EQUIP., MAT.E ACES.</v>
      </c>
      <c r="G687" s="32" t="str">
        <f>VLOOKUP(tabPontoPed[[#This Row],[GRUPO]],tabGrupos[#Data],3,FALSE)</f>
        <v>ADM</v>
      </c>
      <c r="H687" s="33" t="s">
        <v>1311</v>
      </c>
      <c r="I687" s="80">
        <v>4</v>
      </c>
      <c r="J687" s="39">
        <v>1</v>
      </c>
      <c r="K687" s="41">
        <f>tabPontoPed[[#This Row],[QTDMÊS]] * tabPontoPed[[#This Row],[MENSAL]]</f>
        <v>4</v>
      </c>
      <c r="L687" s="83"/>
      <c r="M687" s="81"/>
      <c r="N687" s="34" t="s">
        <v>1009</v>
      </c>
      <c r="O687" s="76" t="s">
        <v>1748</v>
      </c>
      <c r="P687" s="77">
        <v>0</v>
      </c>
      <c r="Q687" s="57">
        <v>2</v>
      </c>
      <c r="R687" s="42">
        <v>1</v>
      </c>
      <c r="S687" s="69" t="str">
        <f>_xlfn.IFNA(IF(VLOOKUP(tabPontoPed[[#This Row],[CÓDIGO]],tabExcluirDoEstoque[#Data],1,FALSE),"sim",""),"")</f>
        <v>sim</v>
      </c>
      <c r="T687" s="43">
        <f>IF(AND(tabPontoPed[[#This Row],[MENSAL]]&gt;0,tabPontoPed[[#This Row],[CÁLCULO]]&gt;0), ABS( tabPontoPed[[#This Row],[MENSAL]] - tabPontoPed[[#This Row],[CÁLCULO]] ) / tabPontoPed[[#This Row],[MENSAL]], -1 )</f>
        <v>0</v>
      </c>
      <c r="U687" s="58">
        <v>6</v>
      </c>
      <c r="V687" s="35">
        <f>IF(AND(tabPontoPed[[#This Row],[MENSAL]]&gt;0,tabPontoPed[[#This Row],[CÁLCULO]]&gt;0), IF( tabPontoPed[[#This Row],[MENSAL]] - tabPontoPed[[#This Row],[CÁLCULO]] &lt; 0, -1, IF( tabPontoPed[[#This Row],[MENSAL]] - tabPontoPed[[#This Row],[CÁLCULO]] &gt; 0, 1, -8)), -9 )</f>
        <v>-8</v>
      </c>
      <c r="W687" s="35"/>
      <c r="X687" s="49" t="s">
        <v>1564</v>
      </c>
      <c r="Y687" s="51">
        <v>44391.599108796298</v>
      </c>
      <c r="Z687" s="72">
        <f>tabPontoPed[CÁLC_4M] - tabPontoPed[CÁLCULO]</f>
        <v>1</v>
      </c>
      <c r="AA687" s="79" t="str">
        <f>IF(tabPontoPed[MENSAL]-tabPontoPed[ATA MENSAL] = 0,"sim","")</f>
        <v/>
      </c>
      <c r="AB687" s="79"/>
      <c r="AC687" s="47" t="str">
        <f t="shared" si="10"/>
        <v>*</v>
      </c>
    </row>
    <row r="688" spans="1:29" x14ac:dyDescent="0.25">
      <c r="A688" s="36">
        <v>105107</v>
      </c>
      <c r="B688" s="68" t="s">
        <v>807</v>
      </c>
      <c r="C688" s="33" t="s">
        <v>1317</v>
      </c>
      <c r="D688" s="32">
        <v>62</v>
      </c>
      <c r="E688" s="37">
        <v>4</v>
      </c>
      <c r="F688" s="38" t="str">
        <f>VLOOKUP(tabPontoPed[[#This Row],[GRUPO]],tabGrupos[#Data],2,FALSE)</f>
        <v>VEST., ART.P/ TOUC.E HIG. PES. MAQ., EQUIP., MAT.E ACES.</v>
      </c>
      <c r="G688" s="32" t="str">
        <f>VLOOKUP(tabPontoPed[[#This Row],[GRUPO]],tabGrupos[#Data],3,FALSE)</f>
        <v>ADM</v>
      </c>
      <c r="H688" s="33" t="s">
        <v>1311</v>
      </c>
      <c r="I688" s="80">
        <v>4</v>
      </c>
      <c r="J688" s="39">
        <v>1</v>
      </c>
      <c r="K688" s="41">
        <f>tabPontoPed[[#This Row],[QTDMÊS]] * tabPontoPed[[#This Row],[MENSAL]]</f>
        <v>4</v>
      </c>
      <c r="L688" s="83"/>
      <c r="M688" s="81"/>
      <c r="N688" s="34" t="s">
        <v>1009</v>
      </c>
      <c r="O688" s="76" t="s">
        <v>1749</v>
      </c>
      <c r="P688" s="77">
        <v>0</v>
      </c>
      <c r="Q688" s="57">
        <v>1</v>
      </c>
      <c r="R688" s="42">
        <v>1</v>
      </c>
      <c r="S688" s="69" t="str">
        <f>_xlfn.IFNA(IF(VLOOKUP(tabPontoPed[[#This Row],[CÓDIGO]],tabExcluirDoEstoque[#Data],1,FALSE),"sim",""),"")</f>
        <v/>
      </c>
      <c r="T688" s="43">
        <f>IF(AND(tabPontoPed[[#This Row],[MENSAL]]&gt;0,tabPontoPed[[#This Row],[CÁLCULO]]&gt;0), ABS( tabPontoPed[[#This Row],[MENSAL]] - tabPontoPed[[#This Row],[CÁLCULO]] ) / tabPontoPed[[#This Row],[MENSAL]], -1 )</f>
        <v>0</v>
      </c>
      <c r="U688" s="58">
        <v>3</v>
      </c>
      <c r="V688" s="35">
        <f>IF(AND(tabPontoPed[[#This Row],[MENSAL]]&gt;0,tabPontoPed[[#This Row],[CÁLCULO]]&gt;0), IF( tabPontoPed[[#This Row],[MENSAL]] - tabPontoPed[[#This Row],[CÁLCULO]] &lt; 0, -1, IF( tabPontoPed[[#This Row],[MENSAL]] - tabPontoPed[[#This Row],[CÁLCULO]] &gt; 0, 1, -8)), -9 )</f>
        <v>-8</v>
      </c>
      <c r="W688" s="35"/>
      <c r="X688" s="49" t="s">
        <v>1564</v>
      </c>
      <c r="Y688" s="51">
        <v>44391.599108796298</v>
      </c>
      <c r="Z688" s="72">
        <f>tabPontoPed[CÁLC_4M] - tabPontoPed[CÁLCULO]</f>
        <v>0</v>
      </c>
      <c r="AA688" s="79" t="str">
        <f>IF(tabPontoPed[MENSAL]-tabPontoPed[ATA MENSAL] = 0,"sim","")</f>
        <v/>
      </c>
      <c r="AB688" s="79"/>
      <c r="AC688" s="47" t="str">
        <f t="shared" si="10"/>
        <v>*</v>
      </c>
    </row>
    <row r="689" spans="1:29" x14ac:dyDescent="0.25">
      <c r="A689" s="36">
        <v>114430</v>
      </c>
      <c r="B689" s="68" t="s">
        <v>184</v>
      </c>
      <c r="C689" s="33" t="s">
        <v>1317</v>
      </c>
      <c r="D689" s="32">
        <v>62</v>
      </c>
      <c r="E689" s="37">
        <v>25</v>
      </c>
      <c r="F689" s="38" t="str">
        <f>VLOOKUP(tabPontoPed[[#This Row],[GRUPO]],tabGrupos[#Data],2,FALSE)</f>
        <v>VEST., ART.P/ TOUC.E HIG. PES. MAQ., EQUIP., MAT.E ACES.</v>
      </c>
      <c r="G689" s="32" t="str">
        <f>VLOOKUP(tabPontoPed[[#This Row],[GRUPO]],tabGrupos[#Data],3,FALSE)</f>
        <v>ADM</v>
      </c>
      <c r="H689" s="33" t="s">
        <v>1311</v>
      </c>
      <c r="I689" s="80">
        <v>4</v>
      </c>
      <c r="J689" s="39">
        <v>15</v>
      </c>
      <c r="K689" s="41">
        <f>tabPontoPed[[#This Row],[QTDMÊS]] * tabPontoPed[[#This Row],[MENSAL]]</f>
        <v>60</v>
      </c>
      <c r="L689" s="83"/>
      <c r="M689" s="81"/>
      <c r="N689" s="34" t="s">
        <v>1009</v>
      </c>
      <c r="O689" s="76" t="s">
        <v>1750</v>
      </c>
      <c r="P689" s="77">
        <v>0</v>
      </c>
      <c r="Q689" s="57">
        <v>17</v>
      </c>
      <c r="R689" s="42">
        <v>15</v>
      </c>
      <c r="S689" s="69" t="str">
        <f>_xlfn.IFNA(IF(VLOOKUP(tabPontoPed[[#This Row],[CÓDIGO]],tabExcluirDoEstoque[#Data],1,FALSE),"sim",""),"")</f>
        <v/>
      </c>
      <c r="T689" s="43">
        <f>IF(AND(tabPontoPed[[#This Row],[MENSAL]]&gt;0,tabPontoPed[[#This Row],[CÁLCULO]]&gt;0), ABS( tabPontoPed[[#This Row],[MENSAL]] - tabPontoPed[[#This Row],[CÁLCULO]] ) / tabPontoPed[[#This Row],[MENSAL]], -1 )</f>
        <v>0</v>
      </c>
      <c r="U689" s="58">
        <v>30</v>
      </c>
      <c r="V689" s="35">
        <f>IF(AND(tabPontoPed[[#This Row],[MENSAL]]&gt;0,tabPontoPed[[#This Row],[CÁLCULO]]&gt;0), IF( tabPontoPed[[#This Row],[MENSAL]] - tabPontoPed[[#This Row],[CÁLCULO]] &lt; 0, -1, IF( tabPontoPed[[#This Row],[MENSAL]] - tabPontoPed[[#This Row],[CÁLCULO]] &gt; 0, 1, -8)), -9 )</f>
        <v>-8</v>
      </c>
      <c r="W689" s="35"/>
      <c r="X689" s="49" t="s">
        <v>1564</v>
      </c>
      <c r="Y689" s="51">
        <v>44391.599108796298</v>
      </c>
      <c r="Z689" s="72">
        <f>tabPontoPed[CÁLC_4M] - tabPontoPed[CÁLCULO]</f>
        <v>2</v>
      </c>
      <c r="AA689" s="79" t="str">
        <f>IF(tabPontoPed[MENSAL]-tabPontoPed[ATA MENSAL] = 0,"sim","")</f>
        <v/>
      </c>
      <c r="AB689" s="79"/>
      <c r="AC689" s="47" t="str">
        <f t="shared" si="10"/>
        <v>*</v>
      </c>
    </row>
    <row r="690" spans="1:29" x14ac:dyDescent="0.25">
      <c r="A690" s="36">
        <v>91868</v>
      </c>
      <c r="B690" s="68" t="s">
        <v>931</v>
      </c>
      <c r="C690" s="33" t="s">
        <v>1317</v>
      </c>
      <c r="D690" s="32">
        <v>72</v>
      </c>
      <c r="E690" s="37">
        <v>5</v>
      </c>
      <c r="F690" s="38" t="str">
        <f>VLOOKUP(tabPontoPed[[#This Row],[GRUPO]],tabGrupos[#Data],2,FALSE)</f>
        <v>MAQ.EQUIP.E MATERIAIS P/ HIGIEN.LIMP.POLIM.E LUBR.</v>
      </c>
      <c r="G690" s="32" t="str">
        <f>VLOOKUP(tabPontoPed[[#This Row],[GRUPO]],tabGrupos[#Data],3,FALSE)</f>
        <v>ADM</v>
      </c>
      <c r="H690" s="33" t="s">
        <v>1311</v>
      </c>
      <c r="I690" s="80">
        <v>4</v>
      </c>
      <c r="J690" s="39">
        <v>3</v>
      </c>
      <c r="K690" s="41">
        <f>tabPontoPed[[#This Row],[QTDMÊS]] * tabPontoPed[[#This Row],[MENSAL]]</f>
        <v>12</v>
      </c>
      <c r="L690" s="83"/>
      <c r="M690" s="81"/>
      <c r="N690" s="34" t="s">
        <v>1009</v>
      </c>
      <c r="O690" s="76" t="s">
        <v>1728</v>
      </c>
      <c r="P690" s="77">
        <v>0</v>
      </c>
      <c r="Q690" s="57">
        <v>3</v>
      </c>
      <c r="R690" s="42">
        <v>3</v>
      </c>
      <c r="S690" s="69" t="str">
        <f>_xlfn.IFNA(IF(VLOOKUP(tabPontoPed[[#This Row],[CÓDIGO]],tabExcluirDoEstoque[#Data],1,FALSE),"sim",""),"")</f>
        <v>sim</v>
      </c>
      <c r="T690" s="43">
        <f>IF(AND(tabPontoPed[[#This Row],[MENSAL]]&gt;0,tabPontoPed[[#This Row],[CÁLCULO]]&gt;0), ABS( tabPontoPed[[#This Row],[MENSAL]] - tabPontoPed[[#This Row],[CÁLCULO]] ) / tabPontoPed[[#This Row],[MENSAL]], -1 )</f>
        <v>0</v>
      </c>
      <c r="U690" s="58">
        <v>8</v>
      </c>
      <c r="V690" s="35">
        <f>IF(AND(tabPontoPed[[#This Row],[MENSAL]]&gt;0,tabPontoPed[[#This Row],[CÁLCULO]]&gt;0), IF( tabPontoPed[[#This Row],[MENSAL]] - tabPontoPed[[#This Row],[CÁLCULO]] &lt; 0, -1, IF( tabPontoPed[[#This Row],[MENSAL]] - tabPontoPed[[#This Row],[CÁLCULO]] &gt; 0, 1, -8)), -9 )</f>
        <v>-8</v>
      </c>
      <c r="W690" s="35"/>
      <c r="X690" s="48" t="s">
        <v>1564</v>
      </c>
      <c r="Y690" s="53">
        <v>44391.599108796298</v>
      </c>
      <c r="Z690" s="72">
        <f>tabPontoPed[CÁLC_4M] - tabPontoPed[CÁLCULO]</f>
        <v>0</v>
      </c>
      <c r="AA690" s="79" t="str">
        <f>IF(tabPontoPed[MENSAL]-tabPontoPed[ATA MENSAL] = 0,"sim","")</f>
        <v/>
      </c>
      <c r="AB690" s="79"/>
      <c r="AC690" s="47" t="str">
        <f t="shared" si="10"/>
        <v>*</v>
      </c>
    </row>
    <row r="691" spans="1:29" x14ac:dyDescent="0.25">
      <c r="A691" s="36">
        <v>109251</v>
      </c>
      <c r="B691" s="68" t="s">
        <v>1822</v>
      </c>
      <c r="C691" s="33">
        <v>1</v>
      </c>
      <c r="D691" s="32">
        <v>72</v>
      </c>
      <c r="E691" s="37">
        <v>6</v>
      </c>
      <c r="F691" s="38" t="str">
        <f>VLOOKUP(tabPontoPed[[#This Row],[GRUPO]],tabGrupos[#Data],2,FALSE)</f>
        <v>MAQ.EQUIP.E MATERIAIS P/ HIGIEN.LIMP.POLIM.E LUBR.</v>
      </c>
      <c r="G691" s="32" t="str">
        <f>VLOOKUP(tabPontoPed[[#This Row],[GRUPO]],tabGrupos[#Data],3,FALSE)</f>
        <v>ADM</v>
      </c>
      <c r="H691" s="33" t="s">
        <v>1311</v>
      </c>
      <c r="I691" s="80">
        <v>4</v>
      </c>
      <c r="J691" s="39">
        <v>67</v>
      </c>
      <c r="K691" s="41">
        <f>tabPontoPed[[#This Row],[QTDMÊS]] * tabPontoPed[[#This Row],[MENSAL]]</f>
        <v>268</v>
      </c>
      <c r="L691" s="83"/>
      <c r="M691" s="81"/>
      <c r="N691" s="34" t="s">
        <v>1009</v>
      </c>
      <c r="O691" s="76" t="s">
        <v>1656</v>
      </c>
      <c r="P691" s="77">
        <v>0</v>
      </c>
      <c r="Q691" s="57">
        <v>200</v>
      </c>
      <c r="R691" s="42">
        <v>67</v>
      </c>
      <c r="S691" s="69" t="str">
        <f>_xlfn.IFNA(IF(VLOOKUP(tabPontoPed[[#This Row],[CÓDIGO]],tabExcluirDoEstoque[#Data],1,FALSE),"sim",""),"")</f>
        <v>sim</v>
      </c>
      <c r="T691" s="43">
        <f>IF(AND(tabPontoPed[[#This Row],[MENSAL]]&gt;0,tabPontoPed[[#This Row],[CÁLCULO]]&gt;0), ABS( tabPontoPed[[#This Row],[MENSAL]] - tabPontoPed[[#This Row],[CÁLCULO]] ) / tabPontoPed[[#This Row],[MENSAL]], -1 )</f>
        <v>0</v>
      </c>
      <c r="U691" s="58">
        <v>660</v>
      </c>
      <c r="V691" s="35">
        <f>IF(AND(tabPontoPed[[#This Row],[MENSAL]]&gt;0,tabPontoPed[[#This Row],[CÁLCULO]]&gt;0), IF( tabPontoPed[[#This Row],[MENSAL]] - tabPontoPed[[#This Row],[CÁLCULO]] &lt; 0, -1, IF( tabPontoPed[[#This Row],[MENSAL]] - tabPontoPed[[#This Row],[CÁLCULO]] &gt; 0, 1, -8)), -9 )</f>
        <v>-8</v>
      </c>
      <c r="W691" s="35"/>
      <c r="X691" s="48" t="s">
        <v>1564</v>
      </c>
      <c r="Y691" s="53">
        <v>44391.647175925929</v>
      </c>
      <c r="Z691" s="72">
        <f>tabPontoPed[CÁLC_4M] - tabPontoPed[CÁLCULO]</f>
        <v>133</v>
      </c>
      <c r="AA691" s="79" t="str">
        <f>IF(tabPontoPed[MENSAL]-tabPontoPed[ATA MENSAL] = 0,"sim","")</f>
        <v/>
      </c>
      <c r="AB691" s="79"/>
      <c r="AC691" s="47" t="str">
        <f t="shared" si="10"/>
        <v>*</v>
      </c>
    </row>
    <row r="692" spans="1:29" x14ac:dyDescent="0.25">
      <c r="A692" s="36">
        <v>110578</v>
      </c>
      <c r="B692" s="68" t="s">
        <v>936</v>
      </c>
      <c r="C692" s="33" t="s">
        <v>1317</v>
      </c>
      <c r="D692" s="32">
        <v>72</v>
      </c>
      <c r="E692" s="37">
        <v>9</v>
      </c>
      <c r="F692" s="38" t="str">
        <f>VLOOKUP(tabPontoPed[[#This Row],[GRUPO]],tabGrupos[#Data],2,FALSE)</f>
        <v>MAQ.EQUIP.E MATERIAIS P/ HIGIEN.LIMP.POLIM.E LUBR.</v>
      </c>
      <c r="G692" s="32" t="str">
        <f>VLOOKUP(tabPontoPed[[#This Row],[GRUPO]],tabGrupos[#Data],3,FALSE)</f>
        <v>ADM</v>
      </c>
      <c r="H692" s="33" t="s">
        <v>1311</v>
      </c>
      <c r="I692" s="80">
        <v>4</v>
      </c>
      <c r="J692" s="39">
        <v>31</v>
      </c>
      <c r="K692" s="41">
        <f>tabPontoPed[[#This Row],[QTDMÊS]] * tabPontoPed[[#This Row],[MENSAL]]</f>
        <v>124</v>
      </c>
      <c r="L692" s="83"/>
      <c r="M692" s="81"/>
      <c r="N692" s="34" t="s">
        <v>1011</v>
      </c>
      <c r="O692" s="76" t="s">
        <v>1659</v>
      </c>
      <c r="P692" s="77">
        <v>0</v>
      </c>
      <c r="Q692" s="57">
        <v>23</v>
      </c>
      <c r="R692" s="42">
        <v>31</v>
      </c>
      <c r="S692" s="69" t="str">
        <f>_xlfn.IFNA(IF(VLOOKUP(tabPontoPed[[#This Row],[CÓDIGO]],tabExcluirDoEstoque[#Data],1,FALSE),"sim",""),"")</f>
        <v/>
      </c>
      <c r="T692" s="43">
        <f>IF(AND(tabPontoPed[[#This Row],[MENSAL]]&gt;0,tabPontoPed[[#This Row],[CÁLCULO]]&gt;0), ABS( tabPontoPed[[#This Row],[MENSAL]] - tabPontoPed[[#This Row],[CÁLCULO]] ) / tabPontoPed[[#This Row],[MENSAL]], -1 )</f>
        <v>0</v>
      </c>
      <c r="U692" s="58">
        <v>57</v>
      </c>
      <c r="V692" s="35">
        <f>IF(AND(tabPontoPed[[#This Row],[MENSAL]]&gt;0,tabPontoPed[[#This Row],[CÁLCULO]]&gt;0), IF( tabPontoPed[[#This Row],[MENSAL]] - tabPontoPed[[#This Row],[CÁLCULO]] &lt; 0, -1, IF( tabPontoPed[[#This Row],[MENSAL]] - tabPontoPed[[#This Row],[CÁLCULO]] &gt; 0, 1, -8)), -9 )</f>
        <v>-8</v>
      </c>
      <c r="W692" s="35"/>
      <c r="X692" s="48" t="s">
        <v>1564</v>
      </c>
      <c r="Y692" s="53">
        <v>44391.599108796298</v>
      </c>
      <c r="Z692" s="72">
        <f>tabPontoPed[CÁLC_4M] - tabPontoPed[CÁLCULO]</f>
        <v>-8</v>
      </c>
      <c r="AA692" s="79" t="str">
        <f>IF(tabPontoPed[MENSAL]-tabPontoPed[ATA MENSAL] = 0,"sim","")</f>
        <v/>
      </c>
      <c r="AB692" s="79"/>
      <c r="AC692" s="47" t="str">
        <f t="shared" si="10"/>
        <v>*</v>
      </c>
    </row>
    <row r="693" spans="1:29" x14ac:dyDescent="0.25">
      <c r="A693" s="36">
        <v>78057</v>
      </c>
      <c r="B693" s="68" t="s">
        <v>967</v>
      </c>
      <c r="C693" s="33" t="s">
        <v>1317</v>
      </c>
      <c r="D693" s="32">
        <v>78</v>
      </c>
      <c r="E693" s="37">
        <v>2</v>
      </c>
      <c r="F693" s="38" t="str">
        <f>VLOOKUP(tabPontoPed[[#This Row],[GRUPO]],tabGrupos[#Data],2,FALSE)</f>
        <v>MOBILIARIO E COFRE</v>
      </c>
      <c r="G693" s="32" t="str">
        <f>VLOOKUP(tabPontoPed[[#This Row],[GRUPO]],tabGrupos[#Data],3,FALSE)</f>
        <v>ADM</v>
      </c>
      <c r="H693" s="33" t="s">
        <v>1311</v>
      </c>
      <c r="I693" s="80">
        <v>4</v>
      </c>
      <c r="J693" s="39">
        <v>2</v>
      </c>
      <c r="K693" s="41">
        <f>tabPontoPed[[#This Row],[QTDMÊS]] * tabPontoPed[[#This Row],[MENSAL]]</f>
        <v>8</v>
      </c>
      <c r="L693" s="83"/>
      <c r="M693" s="81"/>
      <c r="N693" s="34" t="s">
        <v>1009</v>
      </c>
      <c r="O693" s="76"/>
      <c r="P693" s="77">
        <v>0</v>
      </c>
      <c r="Q693" s="57">
        <v>2</v>
      </c>
      <c r="R693" s="42">
        <v>2</v>
      </c>
      <c r="S693" s="69" t="str">
        <f>_xlfn.IFNA(IF(VLOOKUP(tabPontoPed[[#This Row],[CÓDIGO]],tabExcluirDoEstoque[#Data],1,FALSE),"sim",""),"")</f>
        <v/>
      </c>
      <c r="T693" s="43">
        <f>IF(AND(tabPontoPed[[#This Row],[MENSAL]]&gt;0,tabPontoPed[[#This Row],[CÁLCULO]]&gt;0), ABS( tabPontoPed[[#This Row],[MENSAL]] - tabPontoPed[[#This Row],[CÁLCULO]] ) / tabPontoPed[[#This Row],[MENSAL]], -1 )</f>
        <v>0</v>
      </c>
      <c r="U693" s="58">
        <v>10</v>
      </c>
      <c r="V693" s="35">
        <f>IF(AND(tabPontoPed[[#This Row],[MENSAL]]&gt;0,tabPontoPed[[#This Row],[CÁLCULO]]&gt;0), IF( tabPontoPed[[#This Row],[MENSAL]] - tabPontoPed[[#This Row],[CÁLCULO]] &lt; 0, -1, IF( tabPontoPed[[#This Row],[MENSAL]] - tabPontoPed[[#This Row],[CÁLCULO]] &gt; 0, 1, -8)), -9 )</f>
        <v>-8</v>
      </c>
      <c r="W693" s="35"/>
      <c r="X693" s="48" t="s">
        <v>1564</v>
      </c>
      <c r="Y693" s="53">
        <v>44391.599108796298</v>
      </c>
      <c r="Z693" s="72">
        <f>tabPontoPed[CÁLC_4M] - tabPontoPed[CÁLCULO]</f>
        <v>0</v>
      </c>
      <c r="AA693" s="79" t="str">
        <f>IF(tabPontoPed[MENSAL]-tabPontoPed[ATA MENSAL] = 0,"sim","")</f>
        <v/>
      </c>
      <c r="AB693" s="79"/>
      <c r="AC693" s="47" t="str">
        <f t="shared" si="10"/>
        <v>*</v>
      </c>
    </row>
    <row r="694" spans="1:29" x14ac:dyDescent="0.25">
      <c r="A694" s="36">
        <v>139767</v>
      </c>
      <c r="B694" s="68" t="s">
        <v>1818</v>
      </c>
      <c r="C694" s="33">
        <v>1</v>
      </c>
      <c r="D694" s="32">
        <v>45</v>
      </c>
      <c r="E694" s="37">
        <v>11</v>
      </c>
      <c r="F694" s="38" t="str">
        <f>VLOOKUP(tabPontoPed[[#This Row],[GRUPO]],tabGrupos[#Data],2,FALSE)</f>
        <v>MAQ., EQUIP., COMP., ACES., MAT. PARA ESCRIT.E ESCOLAR</v>
      </c>
      <c r="G694" s="32" t="str">
        <f>VLOOKUP(tabPontoPed[[#This Row],[GRUPO]],tabGrupos[#Data],3,FALSE)</f>
        <v>EDU</v>
      </c>
      <c r="H694" s="33" t="s">
        <v>1311</v>
      </c>
      <c r="I694" s="80">
        <v>4</v>
      </c>
      <c r="J694" s="39">
        <v>135</v>
      </c>
      <c r="K694" s="41">
        <f>tabPontoPed[[#This Row],[QTDMÊS]] * tabPontoPed[[#This Row],[MENSAL]]</f>
        <v>540</v>
      </c>
      <c r="L694" s="83"/>
      <c r="M694" s="81"/>
      <c r="N694" s="34" t="s">
        <v>1009</v>
      </c>
      <c r="O694" s="76" t="s">
        <v>1696</v>
      </c>
      <c r="P694" s="77">
        <v>0</v>
      </c>
      <c r="Q694" s="57">
        <v>116</v>
      </c>
      <c r="R694" s="42">
        <v>135</v>
      </c>
      <c r="S694" s="69" t="str">
        <f>_xlfn.IFNA(IF(VLOOKUP(tabPontoPed[[#This Row],[CÓDIGO]],tabExcluirDoEstoque[#Data],1,FALSE),"sim",""),"")</f>
        <v/>
      </c>
      <c r="T694" s="43">
        <f>IF(AND(tabPontoPed[[#This Row],[MENSAL]]&gt;0,tabPontoPed[[#This Row],[CÁLCULO]]&gt;0), ABS( tabPontoPed[[#This Row],[MENSAL]] - tabPontoPed[[#This Row],[CÁLCULO]] ) / tabPontoPed[[#This Row],[MENSAL]], -1 )</f>
        <v>0</v>
      </c>
      <c r="U694" s="58">
        <v>372</v>
      </c>
      <c r="V694" s="35">
        <f>IF(AND(tabPontoPed[[#This Row],[MENSAL]]&gt;0,tabPontoPed[[#This Row],[CÁLCULO]]&gt;0), IF( tabPontoPed[[#This Row],[MENSAL]] - tabPontoPed[[#This Row],[CÁLCULO]] &lt; 0, -1, IF( tabPontoPed[[#This Row],[MENSAL]] - tabPontoPed[[#This Row],[CÁLCULO]] &gt; 0, 1, -8)), -9 )</f>
        <v>-8</v>
      </c>
      <c r="W694" s="35"/>
      <c r="X694" s="48" t="s">
        <v>1564</v>
      </c>
      <c r="Y694" s="53">
        <v>44391.647175925929</v>
      </c>
      <c r="Z694" s="72">
        <f>tabPontoPed[CÁLC_4M] - tabPontoPed[CÁLCULO]</f>
        <v>-19</v>
      </c>
      <c r="AA694" s="79" t="str">
        <f>IF(tabPontoPed[MENSAL]-tabPontoPed[ATA MENSAL] = 0,"sim","")</f>
        <v/>
      </c>
      <c r="AB694" s="79"/>
      <c r="AC694" s="47" t="str">
        <f t="shared" si="10"/>
        <v>*</v>
      </c>
    </row>
    <row r="695" spans="1:29" x14ac:dyDescent="0.25">
      <c r="A695" s="36">
        <v>15530</v>
      </c>
      <c r="B695" s="68" t="s">
        <v>1817</v>
      </c>
      <c r="C695" s="33">
        <v>1</v>
      </c>
      <c r="D695" s="32">
        <v>45</v>
      </c>
      <c r="E695" s="37">
        <v>13</v>
      </c>
      <c r="F695" s="38" t="str">
        <f>VLOOKUP(tabPontoPed[[#This Row],[GRUPO]],tabGrupos[#Data],2,FALSE)</f>
        <v>MAQ., EQUIP., COMP., ACES., MAT. PARA ESCRIT.E ESCOLAR</v>
      </c>
      <c r="G695" s="32" t="str">
        <f>VLOOKUP(tabPontoPed[[#This Row],[GRUPO]],tabGrupos[#Data],3,FALSE)</f>
        <v>EDU</v>
      </c>
      <c r="H695" s="33" t="s">
        <v>1311</v>
      </c>
      <c r="I695" s="80">
        <v>4</v>
      </c>
      <c r="J695" s="39">
        <v>649</v>
      </c>
      <c r="K695" s="41">
        <f>tabPontoPed[[#This Row],[QTDMÊS]] * tabPontoPed[[#This Row],[MENSAL]]</f>
        <v>2596</v>
      </c>
      <c r="L695" s="83"/>
      <c r="M695" s="81"/>
      <c r="N695" s="34" t="s">
        <v>1009</v>
      </c>
      <c r="O695" s="76"/>
      <c r="P695" s="77">
        <v>0</v>
      </c>
      <c r="Q695" s="57">
        <v>1060</v>
      </c>
      <c r="R695" s="42">
        <v>649</v>
      </c>
      <c r="S695" s="69" t="str">
        <f>_xlfn.IFNA(IF(VLOOKUP(tabPontoPed[[#This Row],[CÓDIGO]],tabExcluirDoEstoque[#Data],1,FALSE),"sim",""),"")</f>
        <v/>
      </c>
      <c r="T695" s="43">
        <f>IF(AND(tabPontoPed[[#This Row],[MENSAL]]&gt;0,tabPontoPed[[#This Row],[CÁLCULO]]&gt;0), ABS( tabPontoPed[[#This Row],[MENSAL]] - tabPontoPed[[#This Row],[CÁLCULO]] ) / tabPontoPed[[#This Row],[MENSAL]], -1 )</f>
        <v>0</v>
      </c>
      <c r="U695" s="58">
        <v>2230</v>
      </c>
      <c r="V695" s="35">
        <f>IF(AND(tabPontoPed[[#This Row],[MENSAL]]&gt;0,tabPontoPed[[#This Row],[CÁLCULO]]&gt;0), IF( tabPontoPed[[#This Row],[MENSAL]] - tabPontoPed[[#This Row],[CÁLCULO]] &lt; 0, -1, IF( tabPontoPed[[#This Row],[MENSAL]] - tabPontoPed[[#This Row],[CÁLCULO]] &gt; 0, 1, -8)), -9 )</f>
        <v>-8</v>
      </c>
      <c r="W695" s="35"/>
      <c r="X695" s="48" t="s">
        <v>1564</v>
      </c>
      <c r="Y695" s="53">
        <v>44391.647175925929</v>
      </c>
      <c r="Z695" s="72">
        <f>tabPontoPed[CÁLC_4M] - tabPontoPed[CÁLCULO]</f>
        <v>411</v>
      </c>
      <c r="AA695" s="79" t="str">
        <f>IF(tabPontoPed[MENSAL]-tabPontoPed[ATA MENSAL] = 0,"sim","")</f>
        <v/>
      </c>
      <c r="AB695" s="79"/>
      <c r="AC695" s="47" t="str">
        <f t="shared" si="10"/>
        <v>*</v>
      </c>
    </row>
    <row r="696" spans="1:29" x14ac:dyDescent="0.25">
      <c r="A696" s="36">
        <v>132290</v>
      </c>
      <c r="B696" s="68" t="s">
        <v>465</v>
      </c>
      <c r="C696" s="33" t="s">
        <v>1317</v>
      </c>
      <c r="D696" s="32">
        <v>45</v>
      </c>
      <c r="E696" s="37">
        <v>14</v>
      </c>
      <c r="F696" s="38" t="str">
        <f>VLOOKUP(tabPontoPed[[#This Row],[GRUPO]],tabGrupos[#Data],2,FALSE)</f>
        <v>MAQ., EQUIP., COMP., ACES., MAT. PARA ESCRIT.E ESCOLAR</v>
      </c>
      <c r="G696" s="32" t="str">
        <f>VLOOKUP(tabPontoPed[[#This Row],[GRUPO]],tabGrupos[#Data],3,FALSE)</f>
        <v>EDU</v>
      </c>
      <c r="H696" s="33" t="s">
        <v>1311</v>
      </c>
      <c r="I696" s="80">
        <v>4</v>
      </c>
      <c r="J696" s="39">
        <v>571</v>
      </c>
      <c r="K696" s="41">
        <f>tabPontoPed[[#This Row],[QTDMÊS]] * tabPontoPed[[#This Row],[MENSAL]]</f>
        <v>2284</v>
      </c>
      <c r="L696" s="83"/>
      <c r="M696" s="81"/>
      <c r="N696" s="34" t="s">
        <v>1009</v>
      </c>
      <c r="O696" s="76"/>
      <c r="P696" s="77">
        <v>0</v>
      </c>
      <c r="Q696" s="57">
        <v>325</v>
      </c>
      <c r="R696" s="42">
        <v>571</v>
      </c>
      <c r="S696" s="69" t="str">
        <f>_xlfn.IFNA(IF(VLOOKUP(tabPontoPed[[#This Row],[CÓDIGO]],tabExcluirDoEstoque[#Data],1,FALSE),"sim",""),"")</f>
        <v/>
      </c>
      <c r="T696" s="43">
        <f>IF(AND(tabPontoPed[[#This Row],[MENSAL]]&gt;0,tabPontoPed[[#This Row],[CÁLCULO]]&gt;0), ABS( tabPontoPed[[#This Row],[MENSAL]] - tabPontoPed[[#This Row],[CÁLCULO]] ) / tabPontoPed[[#This Row],[MENSAL]], -1 )</f>
        <v>0</v>
      </c>
      <c r="U696" s="58">
        <v>3582</v>
      </c>
      <c r="V696" s="35">
        <f>IF(AND(tabPontoPed[[#This Row],[MENSAL]]&gt;0,tabPontoPed[[#This Row],[CÁLCULO]]&gt;0), IF( tabPontoPed[[#This Row],[MENSAL]] - tabPontoPed[[#This Row],[CÁLCULO]] &lt; 0, -1, IF( tabPontoPed[[#This Row],[MENSAL]] - tabPontoPed[[#This Row],[CÁLCULO]] &gt; 0, 1, -8)), -9 )</f>
        <v>-8</v>
      </c>
      <c r="W696" s="35"/>
      <c r="X696" s="48" t="s">
        <v>1564</v>
      </c>
      <c r="Y696" s="53">
        <v>44391.599108796298</v>
      </c>
      <c r="Z696" s="72">
        <f>tabPontoPed[CÁLC_4M] - tabPontoPed[CÁLCULO]</f>
        <v>-246</v>
      </c>
      <c r="AA696" s="79" t="str">
        <f>IF(tabPontoPed[MENSAL]-tabPontoPed[ATA MENSAL] = 0,"sim","")</f>
        <v/>
      </c>
      <c r="AB696" s="79"/>
      <c r="AC696" s="47" t="str">
        <f t="shared" si="10"/>
        <v>*</v>
      </c>
    </row>
    <row r="697" spans="1:29" x14ac:dyDescent="0.25">
      <c r="A697" s="36">
        <v>132299</v>
      </c>
      <c r="B697" s="68" t="s">
        <v>1813</v>
      </c>
      <c r="C697" s="33">
        <v>1</v>
      </c>
      <c r="D697" s="32">
        <v>45</v>
      </c>
      <c r="E697" s="37">
        <v>16</v>
      </c>
      <c r="F697" s="38" t="str">
        <f>VLOOKUP(tabPontoPed[[#This Row],[GRUPO]],tabGrupos[#Data],2,FALSE)</f>
        <v>MAQ., EQUIP., COMP., ACES., MAT. PARA ESCRIT.E ESCOLAR</v>
      </c>
      <c r="G697" s="32" t="str">
        <f>VLOOKUP(tabPontoPed[[#This Row],[GRUPO]],tabGrupos[#Data],3,FALSE)</f>
        <v>EDU</v>
      </c>
      <c r="H697" s="33" t="s">
        <v>1311</v>
      </c>
      <c r="I697" s="80">
        <v>4</v>
      </c>
      <c r="J697" s="39">
        <v>14</v>
      </c>
      <c r="K697" s="41">
        <f>tabPontoPed[[#This Row],[QTDMÊS]] * tabPontoPed[[#This Row],[MENSAL]]</f>
        <v>56</v>
      </c>
      <c r="L697" s="83"/>
      <c r="M697" s="81"/>
      <c r="N697" s="34" t="s">
        <v>1009</v>
      </c>
      <c r="O697" s="76"/>
      <c r="P697" s="77">
        <v>0</v>
      </c>
      <c r="Q697" s="57">
        <v>0</v>
      </c>
      <c r="R697" s="42">
        <v>14</v>
      </c>
      <c r="S697" s="69" t="str">
        <f>_xlfn.IFNA(IF(VLOOKUP(tabPontoPed[[#This Row],[CÓDIGO]],tabExcluirDoEstoque[#Data],1,FALSE),"sim",""),"")</f>
        <v/>
      </c>
      <c r="T697" s="43">
        <f>IF(AND(tabPontoPed[[#This Row],[MENSAL]]&gt;0,tabPontoPed[[#This Row],[CÁLCULO]]&gt;0), ABS( tabPontoPed[[#This Row],[MENSAL]] - tabPontoPed[[#This Row],[CÁLCULO]] ) / tabPontoPed[[#This Row],[MENSAL]], -1 )</f>
        <v>0</v>
      </c>
      <c r="U697" s="58">
        <v>0</v>
      </c>
      <c r="V697" s="35">
        <f>IF(AND(tabPontoPed[[#This Row],[MENSAL]]&gt;0,tabPontoPed[[#This Row],[CÁLCULO]]&gt;0), IF( tabPontoPed[[#This Row],[MENSAL]] - tabPontoPed[[#This Row],[CÁLCULO]] &lt; 0, -1, IF( tabPontoPed[[#This Row],[MENSAL]] - tabPontoPed[[#This Row],[CÁLCULO]] &gt; 0, 1, -8)), -9 )</f>
        <v>-8</v>
      </c>
      <c r="W697" s="35"/>
      <c r="X697" s="48" t="s">
        <v>1564</v>
      </c>
      <c r="Y697" s="53">
        <v>44391.647175925929</v>
      </c>
      <c r="Z697" s="72">
        <f>tabPontoPed[CÁLC_4M] - tabPontoPed[CÁLCULO]</f>
        <v>-14</v>
      </c>
      <c r="AA697" s="79" t="str">
        <f>IF(tabPontoPed[MENSAL]-tabPontoPed[ATA MENSAL] = 0,"sim","")</f>
        <v/>
      </c>
      <c r="AB697" s="79"/>
      <c r="AC697" s="47" t="str">
        <f t="shared" si="10"/>
        <v>*</v>
      </c>
    </row>
    <row r="698" spans="1:29" x14ac:dyDescent="0.25">
      <c r="A698" s="36">
        <v>103490</v>
      </c>
      <c r="B698" s="68" t="s">
        <v>715</v>
      </c>
      <c r="C698" s="33" t="s">
        <v>1317</v>
      </c>
      <c r="D698" s="32">
        <v>59</v>
      </c>
      <c r="E698" s="37">
        <v>18</v>
      </c>
      <c r="F698" s="38" t="str">
        <f>VLOOKUP(tabPontoPed[[#This Row],[GRUPO]],tabGrupos[#Data],2,FALSE)</f>
        <v>EQUIP.MAT.E ACESS.COMUNIC.CINE FOTO OTICA SOM</v>
      </c>
      <c r="G698" s="32" t="str">
        <f>VLOOKUP(tabPontoPed[[#This Row],[GRUPO]],tabGrupos[#Data],3,FALSE)</f>
        <v>INF</v>
      </c>
      <c r="H698" s="33" t="s">
        <v>1311</v>
      </c>
      <c r="I698" s="80">
        <v>4</v>
      </c>
      <c r="J698" s="39">
        <v>1</v>
      </c>
      <c r="K698" s="41">
        <f>tabPontoPed[[#This Row],[QTDMÊS]] * tabPontoPed[[#This Row],[MENSAL]]</f>
        <v>4</v>
      </c>
      <c r="L698" s="83"/>
      <c r="M698" s="81"/>
      <c r="N698" s="34" t="s">
        <v>1009</v>
      </c>
      <c r="O698" s="76"/>
      <c r="P698" s="77">
        <v>0</v>
      </c>
      <c r="Q698" s="57">
        <v>1</v>
      </c>
      <c r="R698" s="42">
        <v>1</v>
      </c>
      <c r="S698" s="69" t="str">
        <f>_xlfn.IFNA(IF(VLOOKUP(tabPontoPed[[#This Row],[CÓDIGO]],tabExcluirDoEstoque[#Data],1,FALSE),"sim",""),"")</f>
        <v>sim</v>
      </c>
      <c r="T698" s="43">
        <f>IF(AND(tabPontoPed[[#This Row],[MENSAL]]&gt;0,tabPontoPed[[#This Row],[CÁLCULO]]&gt;0), ABS( tabPontoPed[[#This Row],[MENSAL]] - tabPontoPed[[#This Row],[CÁLCULO]] ) / tabPontoPed[[#This Row],[MENSAL]], -1 )</f>
        <v>0</v>
      </c>
      <c r="U698" s="58">
        <v>1</v>
      </c>
      <c r="V698" s="35">
        <f>IF(AND(tabPontoPed[[#This Row],[MENSAL]]&gt;0,tabPontoPed[[#This Row],[CÁLCULO]]&gt;0), IF( tabPontoPed[[#This Row],[MENSAL]] - tabPontoPed[[#This Row],[CÁLCULO]] &lt; 0, -1, IF( tabPontoPed[[#This Row],[MENSAL]] - tabPontoPed[[#This Row],[CÁLCULO]] &gt; 0, 1, -8)), -9 )</f>
        <v>-8</v>
      </c>
      <c r="W698" s="35"/>
      <c r="X698" s="49" t="s">
        <v>1564</v>
      </c>
      <c r="Y698" s="51">
        <v>44391.599108796298</v>
      </c>
      <c r="Z698" s="72">
        <f>tabPontoPed[CÁLC_4M] - tabPontoPed[CÁLCULO]</f>
        <v>0</v>
      </c>
      <c r="AA698" s="79" t="str">
        <f>IF(tabPontoPed[MENSAL]-tabPontoPed[ATA MENSAL] = 0,"sim","")</f>
        <v/>
      </c>
      <c r="AB698" s="79"/>
      <c r="AC698" s="47" t="str">
        <f t="shared" si="10"/>
        <v>*</v>
      </c>
    </row>
    <row r="699" spans="1:29" x14ac:dyDescent="0.25">
      <c r="A699" s="36">
        <v>106131</v>
      </c>
      <c r="B699" s="68" t="s">
        <v>492</v>
      </c>
      <c r="C699" s="33" t="s">
        <v>1317</v>
      </c>
      <c r="D699" s="32">
        <v>50</v>
      </c>
      <c r="E699" s="37">
        <v>2</v>
      </c>
      <c r="F699" s="38" t="str">
        <f>VLOOKUP(tabPontoPed[[#This Row],[GRUPO]],tabGrupos[#Data],2,FALSE)</f>
        <v>EQUIP. P/ COND. VENT. PURIF. DE AR, COMPONENTES E ACES.</v>
      </c>
      <c r="G699" s="32" t="str">
        <f>VLOOKUP(tabPontoPed[[#This Row],[GRUPO]],tabGrupos[#Data],3,FALSE)</f>
        <v>MAN</v>
      </c>
      <c r="H699" s="33" t="s">
        <v>1311</v>
      </c>
      <c r="I699" s="80">
        <v>4</v>
      </c>
      <c r="J699" s="39">
        <v>1</v>
      </c>
      <c r="K699" s="41">
        <f>tabPontoPed[[#This Row],[QTDMÊS]] * tabPontoPed[[#This Row],[MENSAL]]</f>
        <v>4</v>
      </c>
      <c r="L699" s="83"/>
      <c r="M699" s="81"/>
      <c r="N699" s="34" t="s">
        <v>1009</v>
      </c>
      <c r="O699" s="76"/>
      <c r="P699" s="77">
        <v>0</v>
      </c>
      <c r="Q699" s="57">
        <v>2</v>
      </c>
      <c r="R699" s="42">
        <v>1</v>
      </c>
      <c r="S699" s="69" t="str">
        <f>_xlfn.IFNA(IF(VLOOKUP(tabPontoPed[[#This Row],[CÓDIGO]],tabExcluirDoEstoque[#Data],1,FALSE),"sim",""),"")</f>
        <v/>
      </c>
      <c r="T699" s="43">
        <f>IF(AND(tabPontoPed[[#This Row],[MENSAL]]&gt;0,tabPontoPed[[#This Row],[CÁLCULO]]&gt;0), ABS( tabPontoPed[[#This Row],[MENSAL]] - tabPontoPed[[#This Row],[CÁLCULO]] ) / tabPontoPed[[#This Row],[MENSAL]], -1 )</f>
        <v>0</v>
      </c>
      <c r="U699" s="58">
        <v>3</v>
      </c>
      <c r="V699" s="35">
        <f>IF(AND(tabPontoPed[[#This Row],[MENSAL]]&gt;0,tabPontoPed[[#This Row],[CÁLCULO]]&gt;0), IF( tabPontoPed[[#This Row],[MENSAL]] - tabPontoPed[[#This Row],[CÁLCULO]] &lt; 0, -1, IF( tabPontoPed[[#This Row],[MENSAL]] - tabPontoPed[[#This Row],[CÁLCULO]] &gt; 0, 1, -8)), -9 )</f>
        <v>-8</v>
      </c>
      <c r="W699" s="35"/>
      <c r="X699" s="49" t="s">
        <v>1564</v>
      </c>
      <c r="Y699" s="51">
        <v>44391.599108796298</v>
      </c>
      <c r="Z699" s="72">
        <f>tabPontoPed[CÁLC_4M] - tabPontoPed[CÁLCULO]</f>
        <v>1</v>
      </c>
      <c r="AA699" s="79" t="str">
        <f>IF(tabPontoPed[MENSAL]-tabPontoPed[ATA MENSAL] = 0,"sim","")</f>
        <v/>
      </c>
      <c r="AB699" s="79"/>
      <c r="AC699" s="47" t="str">
        <f t="shared" si="10"/>
        <v>*</v>
      </c>
    </row>
    <row r="700" spans="1:29" x14ac:dyDescent="0.25">
      <c r="A700" s="36">
        <v>106129</v>
      </c>
      <c r="B700" s="68" t="s">
        <v>490</v>
      </c>
      <c r="C700" s="33" t="s">
        <v>1317</v>
      </c>
      <c r="D700" s="32">
        <v>50</v>
      </c>
      <c r="E700" s="37">
        <v>2</v>
      </c>
      <c r="F700" s="38" t="str">
        <f>VLOOKUP(tabPontoPed[[#This Row],[GRUPO]],tabGrupos[#Data],2,FALSE)</f>
        <v>EQUIP. P/ COND. VENT. PURIF. DE AR, COMPONENTES E ACES.</v>
      </c>
      <c r="G700" s="32" t="str">
        <f>VLOOKUP(tabPontoPed[[#This Row],[GRUPO]],tabGrupos[#Data],3,FALSE)</f>
        <v>MAN</v>
      </c>
      <c r="H700" s="33" t="s">
        <v>1311</v>
      </c>
      <c r="I700" s="80">
        <v>4</v>
      </c>
      <c r="J700" s="39">
        <v>1</v>
      </c>
      <c r="K700" s="41">
        <f>tabPontoPed[[#This Row],[QTDMÊS]] * tabPontoPed[[#This Row],[MENSAL]]</f>
        <v>4</v>
      </c>
      <c r="L700" s="83"/>
      <c r="M700" s="81"/>
      <c r="N700" s="34" t="s">
        <v>1009</v>
      </c>
      <c r="O700" s="76"/>
      <c r="P700" s="77">
        <v>0</v>
      </c>
      <c r="Q700" s="57">
        <v>0</v>
      </c>
      <c r="R700" s="42">
        <v>1</v>
      </c>
      <c r="S700" s="69" t="str">
        <f>_xlfn.IFNA(IF(VLOOKUP(tabPontoPed[[#This Row],[CÓDIGO]],tabExcluirDoEstoque[#Data],1,FALSE),"sim",""),"")</f>
        <v/>
      </c>
      <c r="T700" s="43">
        <f>IF(AND(tabPontoPed[[#This Row],[MENSAL]]&gt;0,tabPontoPed[[#This Row],[CÁLCULO]]&gt;0), ABS( tabPontoPed[[#This Row],[MENSAL]] - tabPontoPed[[#This Row],[CÁLCULO]] ) / tabPontoPed[[#This Row],[MENSAL]], -1 )</f>
        <v>0</v>
      </c>
      <c r="U700" s="58">
        <v>2</v>
      </c>
      <c r="V700" s="35">
        <f>IF(AND(tabPontoPed[[#This Row],[MENSAL]]&gt;0,tabPontoPed[[#This Row],[CÁLCULO]]&gt;0), IF( tabPontoPed[[#This Row],[MENSAL]] - tabPontoPed[[#This Row],[CÁLCULO]] &lt; 0, -1, IF( tabPontoPed[[#This Row],[MENSAL]] - tabPontoPed[[#This Row],[CÁLCULO]] &gt; 0, 1, -8)), -9 )</f>
        <v>-8</v>
      </c>
      <c r="W700" s="35"/>
      <c r="X700" s="49" t="s">
        <v>1564</v>
      </c>
      <c r="Y700" s="51">
        <v>44391.599108796298</v>
      </c>
      <c r="Z700" s="72">
        <f>tabPontoPed[CÁLC_4M] - tabPontoPed[CÁLCULO]</f>
        <v>-1</v>
      </c>
      <c r="AA700" s="79" t="str">
        <f>IF(tabPontoPed[MENSAL]-tabPontoPed[ATA MENSAL] = 0,"sim","")</f>
        <v/>
      </c>
      <c r="AB700" s="79"/>
      <c r="AC700" s="47" t="str">
        <f t="shared" si="10"/>
        <v>*</v>
      </c>
    </row>
    <row r="701" spans="1:29" x14ac:dyDescent="0.25">
      <c r="A701" s="36">
        <v>137798</v>
      </c>
      <c r="B701" s="68" t="s">
        <v>1776</v>
      </c>
      <c r="C701" s="33">
        <v>1</v>
      </c>
      <c r="D701" s="32">
        <v>54</v>
      </c>
      <c r="E701" s="37">
        <v>4</v>
      </c>
      <c r="F701" s="38" t="str">
        <f>VLOOKUP(tabPontoPed[[#This Row],[GRUPO]],tabGrupos[#Data],2,FALSE)</f>
        <v>EQUIP PROT IND, INST MAT P/ SINAL, CONTR, COMB ...</v>
      </c>
      <c r="G701" s="32" t="str">
        <f>VLOOKUP(tabPontoPed[[#This Row],[GRUPO]],tabGrupos[#Data],3,FALSE)</f>
        <v>MAN</v>
      </c>
      <c r="H701" s="33" t="s">
        <v>1311</v>
      </c>
      <c r="I701" s="80">
        <v>4</v>
      </c>
      <c r="J701" s="39">
        <v>2</v>
      </c>
      <c r="K701" s="41">
        <f>tabPontoPed[[#This Row],[QTDMÊS]] * tabPontoPed[[#This Row],[MENSAL]]</f>
        <v>8</v>
      </c>
      <c r="L701" s="83"/>
      <c r="M701" s="81"/>
      <c r="N701" s="34" t="s">
        <v>1009</v>
      </c>
      <c r="O701" s="76"/>
      <c r="P701" s="77">
        <v>0</v>
      </c>
      <c r="Q701" s="57">
        <v>2</v>
      </c>
      <c r="R701" s="42">
        <v>2</v>
      </c>
      <c r="S701" s="69" t="str">
        <f>_xlfn.IFNA(IF(VLOOKUP(tabPontoPed[[#This Row],[CÓDIGO]],tabExcluirDoEstoque[#Data],1,FALSE),"sim",""),"")</f>
        <v/>
      </c>
      <c r="T701" s="43">
        <f>IF(AND(tabPontoPed[[#This Row],[MENSAL]]&gt;0,tabPontoPed[[#This Row],[CÁLCULO]]&gt;0), ABS( tabPontoPed[[#This Row],[MENSAL]] - tabPontoPed[[#This Row],[CÁLCULO]] ) / tabPontoPed[[#This Row],[MENSAL]], -1 )</f>
        <v>0</v>
      </c>
      <c r="U701" s="58">
        <v>5</v>
      </c>
      <c r="V701" s="35">
        <f>IF(AND(tabPontoPed[[#This Row],[MENSAL]]&gt;0,tabPontoPed[[#This Row],[CÁLCULO]]&gt;0), IF( tabPontoPed[[#This Row],[MENSAL]] - tabPontoPed[[#This Row],[CÁLCULO]] &lt; 0, -1, IF( tabPontoPed[[#This Row],[MENSAL]] - tabPontoPed[[#This Row],[CÁLCULO]] &gt; 0, 1, -8)), -9 )</f>
        <v>-8</v>
      </c>
      <c r="W701" s="35"/>
      <c r="X701" s="48" t="s">
        <v>1564</v>
      </c>
      <c r="Y701" s="53">
        <v>44391.647175925929</v>
      </c>
      <c r="Z701" s="72">
        <f>tabPontoPed[CÁLC_4M] - tabPontoPed[CÁLCULO]</f>
        <v>0</v>
      </c>
      <c r="AA701" s="79" t="str">
        <f>IF(tabPontoPed[MENSAL]-tabPontoPed[ATA MENSAL] = 0,"sim","")</f>
        <v/>
      </c>
      <c r="AB701" s="79"/>
      <c r="AC701" s="47" t="str">
        <f t="shared" si="10"/>
        <v>*</v>
      </c>
    </row>
    <row r="702" spans="1:29" x14ac:dyDescent="0.25">
      <c r="A702" s="36">
        <v>136877</v>
      </c>
      <c r="B702" s="68" t="s">
        <v>1777</v>
      </c>
      <c r="C702" s="33">
        <v>1</v>
      </c>
      <c r="D702" s="32">
        <v>54</v>
      </c>
      <c r="E702" s="37">
        <v>4</v>
      </c>
      <c r="F702" s="38" t="str">
        <f>VLOOKUP(tabPontoPed[[#This Row],[GRUPO]],tabGrupos[#Data],2,FALSE)</f>
        <v>EQUIP PROT IND, INST MAT P/ SINAL, CONTR, COMB ...</v>
      </c>
      <c r="G702" s="32" t="str">
        <f>VLOOKUP(tabPontoPed[[#This Row],[GRUPO]],tabGrupos[#Data],3,FALSE)</f>
        <v>MAN</v>
      </c>
      <c r="H702" s="33" t="s">
        <v>1311</v>
      </c>
      <c r="I702" s="80">
        <v>4</v>
      </c>
      <c r="J702" s="39">
        <v>1</v>
      </c>
      <c r="K702" s="41">
        <f>tabPontoPed[[#This Row],[QTDMÊS]] * tabPontoPed[[#This Row],[MENSAL]]</f>
        <v>4</v>
      </c>
      <c r="L702" s="83"/>
      <c r="M702" s="81"/>
      <c r="N702" s="34" t="s">
        <v>1009</v>
      </c>
      <c r="O702" s="76" t="s">
        <v>1778</v>
      </c>
      <c r="P702" s="77">
        <v>0</v>
      </c>
      <c r="Q702" s="57">
        <v>1</v>
      </c>
      <c r="R702" s="42">
        <v>1</v>
      </c>
      <c r="S702" s="69" t="str">
        <f>_xlfn.IFNA(IF(VLOOKUP(tabPontoPed[[#This Row],[CÓDIGO]],tabExcluirDoEstoque[#Data],1,FALSE),"sim",""),"")</f>
        <v/>
      </c>
      <c r="T702" s="43">
        <f>IF(AND(tabPontoPed[[#This Row],[MENSAL]]&gt;0,tabPontoPed[[#This Row],[CÁLCULO]]&gt;0), ABS( tabPontoPed[[#This Row],[MENSAL]] - tabPontoPed[[#This Row],[CÁLCULO]] ) / tabPontoPed[[#This Row],[MENSAL]], -1 )</f>
        <v>0</v>
      </c>
      <c r="U702" s="58">
        <v>3</v>
      </c>
      <c r="V702" s="35">
        <f>IF(AND(tabPontoPed[[#This Row],[MENSAL]]&gt;0,tabPontoPed[[#This Row],[CÁLCULO]]&gt;0), IF( tabPontoPed[[#This Row],[MENSAL]] - tabPontoPed[[#This Row],[CÁLCULO]] &lt; 0, -1, IF( tabPontoPed[[#This Row],[MENSAL]] - tabPontoPed[[#This Row],[CÁLCULO]] &gt; 0, 1, -8)), -9 )</f>
        <v>-8</v>
      </c>
      <c r="W702" s="35"/>
      <c r="X702" s="48" t="s">
        <v>1564</v>
      </c>
      <c r="Y702" s="53">
        <v>44391.647175925929</v>
      </c>
      <c r="Z702" s="72">
        <f>tabPontoPed[CÁLC_4M] - tabPontoPed[CÁLCULO]</f>
        <v>0</v>
      </c>
      <c r="AA702" s="79" t="str">
        <f>IF(tabPontoPed[MENSAL]-tabPontoPed[ATA MENSAL] = 0,"sim","")</f>
        <v/>
      </c>
      <c r="AB702" s="79"/>
      <c r="AC702" s="47" t="str">
        <f t="shared" si="10"/>
        <v>*</v>
      </c>
    </row>
    <row r="703" spans="1:29" x14ac:dyDescent="0.25">
      <c r="A703" s="36">
        <v>136855</v>
      </c>
      <c r="B703" s="68" t="s">
        <v>1816</v>
      </c>
      <c r="C703" s="33">
        <v>1</v>
      </c>
      <c r="D703" s="32">
        <v>54</v>
      </c>
      <c r="E703" s="37">
        <v>4</v>
      </c>
      <c r="F703" s="38" t="str">
        <f>VLOOKUP(tabPontoPed[[#This Row],[GRUPO]],tabGrupos[#Data],2,FALSE)</f>
        <v>EQUIP PROT IND, INST MAT P/ SINAL, CONTR, COMB ...</v>
      </c>
      <c r="G703" s="32" t="str">
        <f>VLOOKUP(tabPontoPed[[#This Row],[GRUPO]],tabGrupos[#Data],3,FALSE)</f>
        <v>MAN</v>
      </c>
      <c r="H703" s="33" t="s">
        <v>1311</v>
      </c>
      <c r="I703" s="80">
        <v>4</v>
      </c>
      <c r="J703" s="39">
        <v>2</v>
      </c>
      <c r="K703" s="41">
        <f>tabPontoPed[[#This Row],[QTDMÊS]] * tabPontoPed[[#This Row],[MENSAL]]</f>
        <v>8</v>
      </c>
      <c r="L703" s="83"/>
      <c r="M703" s="81"/>
      <c r="N703" s="34" t="s">
        <v>1009</v>
      </c>
      <c r="O703" s="76"/>
      <c r="P703" s="77">
        <v>0</v>
      </c>
      <c r="Q703" s="57">
        <v>3</v>
      </c>
      <c r="R703" s="42">
        <v>2</v>
      </c>
      <c r="S703" s="69" t="str">
        <f>_xlfn.IFNA(IF(VLOOKUP(tabPontoPed[[#This Row],[CÓDIGO]],tabExcluirDoEstoque[#Data],1,FALSE),"sim",""),"")</f>
        <v/>
      </c>
      <c r="T703" s="43">
        <f>IF(AND(tabPontoPed[[#This Row],[MENSAL]]&gt;0,tabPontoPed[[#This Row],[CÁLCULO]]&gt;0), ABS( tabPontoPed[[#This Row],[MENSAL]] - tabPontoPed[[#This Row],[CÁLCULO]] ) / tabPontoPed[[#This Row],[MENSAL]], -1 )</f>
        <v>0</v>
      </c>
      <c r="U703" s="58">
        <v>9</v>
      </c>
      <c r="V703" s="35">
        <f>IF(AND(tabPontoPed[[#This Row],[MENSAL]]&gt;0,tabPontoPed[[#This Row],[CÁLCULO]]&gt;0), IF( tabPontoPed[[#This Row],[MENSAL]] - tabPontoPed[[#This Row],[CÁLCULO]] &lt; 0, -1, IF( tabPontoPed[[#This Row],[MENSAL]] - tabPontoPed[[#This Row],[CÁLCULO]] &gt; 0, 1, -8)), -9 )</f>
        <v>-8</v>
      </c>
      <c r="W703" s="35"/>
      <c r="X703" s="48" t="s">
        <v>1564</v>
      </c>
      <c r="Y703" s="53">
        <v>44391.647175925929</v>
      </c>
      <c r="Z703" s="72">
        <f>tabPontoPed[CÁLC_4M] - tabPontoPed[CÁLCULO]</f>
        <v>1</v>
      </c>
      <c r="AA703" s="79" t="str">
        <f>IF(tabPontoPed[MENSAL]-tabPontoPed[ATA MENSAL] = 0,"sim","")</f>
        <v/>
      </c>
      <c r="AB703" s="79"/>
      <c r="AC703" s="47" t="str">
        <f t="shared" si="10"/>
        <v>*</v>
      </c>
    </row>
    <row r="704" spans="1:29" x14ac:dyDescent="0.25">
      <c r="A704" s="36">
        <v>134559</v>
      </c>
      <c r="B704" s="68" t="s">
        <v>900</v>
      </c>
      <c r="C704" s="33" t="s">
        <v>1317</v>
      </c>
      <c r="D704" s="32">
        <v>70</v>
      </c>
      <c r="E704" s="37">
        <v>16</v>
      </c>
      <c r="F704" s="38" t="str">
        <f>VLOOKUP(tabPontoPed[[#This Row],[GRUPO]],tabGrupos[#Data],2,FALSE)</f>
        <v>FERRAMENTAS MAQ.FERRAMENTAS,ELETR.PECAS E ACESSORI</v>
      </c>
      <c r="G704" s="32" t="str">
        <f>VLOOKUP(tabPontoPed[[#This Row],[GRUPO]],tabGrupos[#Data],3,FALSE)</f>
        <v>MAN</v>
      </c>
      <c r="H704" s="33" t="s">
        <v>1311</v>
      </c>
      <c r="I704" s="80">
        <v>4</v>
      </c>
      <c r="J704" s="39">
        <v>67</v>
      </c>
      <c r="K704" s="41">
        <f>tabPontoPed[[#This Row],[QTDMÊS]] * tabPontoPed[[#This Row],[MENSAL]]</f>
        <v>268</v>
      </c>
      <c r="L704" s="83"/>
      <c r="M704" s="81"/>
      <c r="N704" s="34" t="s">
        <v>1009</v>
      </c>
      <c r="O704" s="76"/>
      <c r="P704" s="77">
        <v>0</v>
      </c>
      <c r="Q704" s="57">
        <v>125</v>
      </c>
      <c r="R704" s="42">
        <v>67</v>
      </c>
      <c r="S704" s="69" t="str">
        <f>_xlfn.IFNA(IF(VLOOKUP(tabPontoPed[[#This Row],[CÓDIGO]],tabExcluirDoEstoque[#Data],1,FALSE),"sim",""),"")</f>
        <v/>
      </c>
      <c r="T704" s="43">
        <f>IF(AND(tabPontoPed[[#This Row],[MENSAL]]&gt;0,tabPontoPed[[#This Row],[CÁLCULO]]&gt;0), ABS( tabPontoPed[[#This Row],[MENSAL]] - tabPontoPed[[#This Row],[CÁLCULO]] ) / tabPontoPed[[#This Row],[MENSAL]], -1 )</f>
        <v>0</v>
      </c>
      <c r="U704" s="58">
        <v>500</v>
      </c>
      <c r="V704" s="35">
        <f>IF(AND(tabPontoPed[[#This Row],[MENSAL]]&gt;0,tabPontoPed[[#This Row],[CÁLCULO]]&gt;0), IF( tabPontoPed[[#This Row],[MENSAL]] - tabPontoPed[[#This Row],[CÁLCULO]] &lt; 0, -1, IF( tabPontoPed[[#This Row],[MENSAL]] - tabPontoPed[[#This Row],[CÁLCULO]] &gt; 0, 1, -8)), -9 )</f>
        <v>-8</v>
      </c>
      <c r="W704" s="35"/>
      <c r="X704" s="49" t="s">
        <v>1564</v>
      </c>
      <c r="Y704" s="51">
        <v>44391.599108796298</v>
      </c>
      <c r="Z704" s="72">
        <f>tabPontoPed[CÁLC_4M] - tabPontoPed[CÁLCULO]</f>
        <v>58</v>
      </c>
      <c r="AA704" s="79" t="str">
        <f>IF(tabPontoPed[MENSAL]-tabPontoPed[ATA MENSAL] = 0,"sim","")</f>
        <v/>
      </c>
      <c r="AB704" s="79"/>
      <c r="AC704" s="47" t="str">
        <f t="shared" si="10"/>
        <v>*</v>
      </c>
    </row>
    <row r="705" spans="1:29" x14ac:dyDescent="0.25">
      <c r="A705" s="36">
        <v>19882</v>
      </c>
      <c r="B705" s="68" t="s">
        <v>905</v>
      </c>
      <c r="C705" s="33" t="s">
        <v>1317</v>
      </c>
      <c r="D705" s="32">
        <v>70</v>
      </c>
      <c r="E705" s="37">
        <v>31</v>
      </c>
      <c r="F705" s="38" t="str">
        <f>VLOOKUP(tabPontoPed[[#This Row],[GRUPO]],tabGrupos[#Data],2,FALSE)</f>
        <v>FERRAMENTAS MAQ.FERRAMENTAS,ELETR.PECAS E ACESSORI</v>
      </c>
      <c r="G705" s="32" t="str">
        <f>VLOOKUP(tabPontoPed[[#This Row],[GRUPO]],tabGrupos[#Data],3,FALSE)</f>
        <v>MAN</v>
      </c>
      <c r="H705" s="33" t="s">
        <v>1311</v>
      </c>
      <c r="I705" s="80">
        <v>4</v>
      </c>
      <c r="J705" s="39">
        <v>3</v>
      </c>
      <c r="K705" s="41">
        <f>tabPontoPed[[#This Row],[QTDMÊS]] * tabPontoPed[[#This Row],[MENSAL]]</f>
        <v>12</v>
      </c>
      <c r="L705" s="83"/>
      <c r="M705" s="81"/>
      <c r="N705" s="34" t="s">
        <v>1009</v>
      </c>
      <c r="O705" s="76"/>
      <c r="P705" s="77">
        <v>0</v>
      </c>
      <c r="Q705" s="57">
        <v>4</v>
      </c>
      <c r="R705" s="42">
        <v>3</v>
      </c>
      <c r="S705" s="69" t="str">
        <f>_xlfn.IFNA(IF(VLOOKUP(tabPontoPed[[#This Row],[CÓDIGO]],tabExcluirDoEstoque[#Data],1,FALSE),"sim",""),"")</f>
        <v/>
      </c>
      <c r="T705" s="43">
        <f>IF(AND(tabPontoPed[[#This Row],[MENSAL]]&gt;0,tabPontoPed[[#This Row],[CÁLCULO]]&gt;0), ABS( tabPontoPed[[#This Row],[MENSAL]] - tabPontoPed[[#This Row],[CÁLCULO]] ) / tabPontoPed[[#This Row],[MENSAL]], -1 )</f>
        <v>0</v>
      </c>
      <c r="U705" s="58">
        <v>10</v>
      </c>
      <c r="V705" s="35">
        <f>IF(AND(tabPontoPed[[#This Row],[MENSAL]]&gt;0,tabPontoPed[[#This Row],[CÁLCULO]]&gt;0), IF( tabPontoPed[[#This Row],[MENSAL]] - tabPontoPed[[#This Row],[CÁLCULO]] &lt; 0, -1, IF( tabPontoPed[[#This Row],[MENSAL]] - tabPontoPed[[#This Row],[CÁLCULO]] &gt; 0, 1, -8)), -9 )</f>
        <v>-8</v>
      </c>
      <c r="W705" s="35"/>
      <c r="X705" s="49" t="s">
        <v>1564</v>
      </c>
      <c r="Y705" s="51">
        <v>44391.599108796298</v>
      </c>
      <c r="Z705" s="72">
        <f>tabPontoPed[CÁLC_4M] - tabPontoPed[CÁLCULO]</f>
        <v>1</v>
      </c>
      <c r="AA705" s="79" t="str">
        <f>IF(tabPontoPed[MENSAL]-tabPontoPed[ATA MENSAL] = 0,"sim","")</f>
        <v/>
      </c>
      <c r="AB705" s="79"/>
      <c r="AC705" s="47" t="str">
        <f t="shared" si="10"/>
        <v>*</v>
      </c>
    </row>
    <row r="706" spans="1:29" x14ac:dyDescent="0.25">
      <c r="A706" s="36">
        <v>38930</v>
      </c>
      <c r="B706" s="68" t="s">
        <v>915</v>
      </c>
      <c r="C706" s="33" t="s">
        <v>1317</v>
      </c>
      <c r="D706" s="32">
        <v>70</v>
      </c>
      <c r="E706" s="37">
        <v>33</v>
      </c>
      <c r="F706" s="38" t="str">
        <f>VLOOKUP(tabPontoPed[[#This Row],[GRUPO]],tabGrupos[#Data],2,FALSE)</f>
        <v>FERRAMENTAS MAQ.FERRAMENTAS,ELETR.PECAS E ACESSORI</v>
      </c>
      <c r="G706" s="32" t="str">
        <f>VLOOKUP(tabPontoPed[[#This Row],[GRUPO]],tabGrupos[#Data],3,FALSE)</f>
        <v>MAN</v>
      </c>
      <c r="H706" s="33" t="s">
        <v>1311</v>
      </c>
      <c r="I706" s="80">
        <v>4</v>
      </c>
      <c r="J706" s="39">
        <v>2</v>
      </c>
      <c r="K706" s="41">
        <f>tabPontoPed[[#This Row],[QTDMÊS]] * tabPontoPed[[#This Row],[MENSAL]]</f>
        <v>8</v>
      </c>
      <c r="L706" s="83"/>
      <c r="M706" s="81"/>
      <c r="N706" s="34" t="s">
        <v>1009</v>
      </c>
      <c r="O706" s="76"/>
      <c r="P706" s="77">
        <v>0</v>
      </c>
      <c r="Q706" s="57">
        <v>3</v>
      </c>
      <c r="R706" s="42">
        <v>2</v>
      </c>
      <c r="S706" s="69" t="str">
        <f>_xlfn.IFNA(IF(VLOOKUP(tabPontoPed[[#This Row],[CÓDIGO]],tabExcluirDoEstoque[#Data],1,FALSE),"sim",""),"")</f>
        <v/>
      </c>
      <c r="T706" s="43">
        <f>IF(AND(tabPontoPed[[#This Row],[MENSAL]]&gt;0,tabPontoPed[[#This Row],[CÁLCULO]]&gt;0), ABS( tabPontoPed[[#This Row],[MENSAL]] - tabPontoPed[[#This Row],[CÁLCULO]] ) / tabPontoPed[[#This Row],[MENSAL]], -1 )</f>
        <v>0</v>
      </c>
      <c r="U706" s="58">
        <v>10</v>
      </c>
      <c r="V706" s="35">
        <f>IF(AND(tabPontoPed[[#This Row],[MENSAL]]&gt;0,tabPontoPed[[#This Row],[CÁLCULO]]&gt;0), IF( tabPontoPed[[#This Row],[MENSAL]] - tabPontoPed[[#This Row],[CÁLCULO]] &lt; 0, -1, IF( tabPontoPed[[#This Row],[MENSAL]] - tabPontoPed[[#This Row],[CÁLCULO]] &gt; 0, 1, -8)), -9 )</f>
        <v>-8</v>
      </c>
      <c r="W706" s="35"/>
      <c r="X706" s="49" t="s">
        <v>1564</v>
      </c>
      <c r="Y706" s="51">
        <v>44391.599108796298</v>
      </c>
      <c r="Z706" s="72">
        <f>tabPontoPed[CÁLC_4M] - tabPontoPed[CÁLCULO]</f>
        <v>1</v>
      </c>
      <c r="AA706" s="79" t="str">
        <f>IF(tabPontoPed[MENSAL]-tabPontoPed[ATA MENSAL] = 0,"sim","")</f>
        <v/>
      </c>
      <c r="AB706" s="79"/>
      <c r="AC706" s="47" t="str">
        <f t="shared" si="10"/>
        <v>*</v>
      </c>
    </row>
    <row r="707" spans="1:29" x14ac:dyDescent="0.25">
      <c r="A707" s="36">
        <v>104911</v>
      </c>
      <c r="B707" s="68" t="s">
        <v>920</v>
      </c>
      <c r="C707" s="33" t="s">
        <v>1317</v>
      </c>
      <c r="D707" s="32">
        <v>70</v>
      </c>
      <c r="E707" s="37">
        <v>45</v>
      </c>
      <c r="F707" s="38" t="str">
        <f>VLOOKUP(tabPontoPed[[#This Row],[GRUPO]],tabGrupos[#Data],2,FALSE)</f>
        <v>FERRAMENTAS MAQ.FERRAMENTAS,ELETR.PECAS E ACESSORI</v>
      </c>
      <c r="G707" s="32" t="str">
        <f>VLOOKUP(tabPontoPed[[#This Row],[GRUPO]],tabGrupos[#Data],3,FALSE)</f>
        <v>MAN</v>
      </c>
      <c r="H707" s="33" t="s">
        <v>1311</v>
      </c>
      <c r="I707" s="80">
        <v>4</v>
      </c>
      <c r="J707" s="39">
        <v>2</v>
      </c>
      <c r="K707" s="41">
        <f>tabPontoPed[[#This Row],[QTDMÊS]] * tabPontoPed[[#This Row],[MENSAL]]</f>
        <v>8</v>
      </c>
      <c r="L707" s="83"/>
      <c r="M707" s="81"/>
      <c r="N707" s="34" t="s">
        <v>1009</v>
      </c>
      <c r="O707" s="76"/>
      <c r="P707" s="77">
        <v>0</v>
      </c>
      <c r="Q707" s="57">
        <v>2</v>
      </c>
      <c r="R707" s="42">
        <v>2</v>
      </c>
      <c r="S707" s="69" t="str">
        <f>_xlfn.IFNA(IF(VLOOKUP(tabPontoPed[[#This Row],[CÓDIGO]],tabExcluirDoEstoque[#Data],1,FALSE),"sim",""),"")</f>
        <v/>
      </c>
      <c r="T707" s="43">
        <f>IF(AND(tabPontoPed[[#This Row],[MENSAL]]&gt;0,tabPontoPed[[#This Row],[CÁLCULO]]&gt;0), ABS( tabPontoPed[[#This Row],[MENSAL]] - tabPontoPed[[#This Row],[CÁLCULO]] ) / tabPontoPed[[#This Row],[MENSAL]], -1 )</f>
        <v>0</v>
      </c>
      <c r="U707" s="58">
        <v>6</v>
      </c>
      <c r="V707" s="35">
        <f>IF(AND(tabPontoPed[[#This Row],[MENSAL]]&gt;0,tabPontoPed[[#This Row],[CÁLCULO]]&gt;0), IF( tabPontoPed[[#This Row],[MENSAL]] - tabPontoPed[[#This Row],[CÁLCULO]] &lt; 0, -1, IF( tabPontoPed[[#This Row],[MENSAL]] - tabPontoPed[[#This Row],[CÁLCULO]] &gt; 0, 1, -8)), -9 )</f>
        <v>-8</v>
      </c>
      <c r="W707" s="35"/>
      <c r="X707" s="49" t="s">
        <v>1564</v>
      </c>
      <c r="Y707" s="51">
        <v>44391.599108796298</v>
      </c>
      <c r="Z707" s="72">
        <f>tabPontoPed[CÁLC_4M] - tabPontoPed[CÁLCULO]</f>
        <v>0</v>
      </c>
      <c r="AA707" s="79" t="str">
        <f>IF(tabPontoPed[MENSAL]-tabPontoPed[ATA MENSAL] = 0,"sim","")</f>
        <v/>
      </c>
      <c r="AB707" s="79"/>
      <c r="AC707" s="47" t="str">
        <f t="shared" ref="AC707:AC770" si="11">"*"</f>
        <v>*</v>
      </c>
    </row>
    <row r="708" spans="1:29" x14ac:dyDescent="0.25">
      <c r="A708" s="36">
        <v>139545</v>
      </c>
      <c r="B708" s="68" t="s">
        <v>1811</v>
      </c>
      <c r="C708" s="33">
        <v>1</v>
      </c>
      <c r="D708" s="32">
        <v>83</v>
      </c>
      <c r="E708" s="37">
        <v>4</v>
      </c>
      <c r="F708" s="38" t="str">
        <f>VLOOKUP(tabPontoPed[[#This Row],[GRUPO]],tabGrupos[#Data],2,FALSE)</f>
        <v>ABRASIVOS</v>
      </c>
      <c r="G708" s="32" t="str">
        <f>VLOOKUP(tabPontoPed[[#This Row],[GRUPO]],tabGrupos[#Data],3,FALSE)</f>
        <v>MAN</v>
      </c>
      <c r="H708" s="33" t="s">
        <v>1311</v>
      </c>
      <c r="I708" s="80">
        <v>4</v>
      </c>
      <c r="J708" s="39">
        <v>3</v>
      </c>
      <c r="K708" s="41">
        <f>tabPontoPed[[#This Row],[QTDMÊS]] * tabPontoPed[[#This Row],[MENSAL]]</f>
        <v>12</v>
      </c>
      <c r="L708" s="83"/>
      <c r="M708" s="81"/>
      <c r="N708" s="34" t="s">
        <v>1009</v>
      </c>
      <c r="O708" s="76"/>
      <c r="P708" s="77">
        <v>0</v>
      </c>
      <c r="Q708" s="57">
        <v>7</v>
      </c>
      <c r="R708" s="42">
        <v>3</v>
      </c>
      <c r="S708" s="69" t="str">
        <f>_xlfn.IFNA(IF(VLOOKUP(tabPontoPed[[#This Row],[CÓDIGO]],tabExcluirDoEstoque[#Data],1,FALSE),"sim",""),"")</f>
        <v/>
      </c>
      <c r="T708" s="43">
        <f>IF(AND(tabPontoPed[[#This Row],[MENSAL]]&gt;0,tabPontoPed[[#This Row],[CÁLCULO]]&gt;0), ABS( tabPontoPed[[#This Row],[MENSAL]] - tabPontoPed[[#This Row],[CÁLCULO]] ) / tabPontoPed[[#This Row],[MENSAL]], -1 )</f>
        <v>0</v>
      </c>
      <c r="U708" s="58">
        <v>28</v>
      </c>
      <c r="V708" s="35">
        <f>IF(AND(tabPontoPed[[#This Row],[MENSAL]]&gt;0,tabPontoPed[[#This Row],[CÁLCULO]]&gt;0), IF( tabPontoPed[[#This Row],[MENSAL]] - tabPontoPed[[#This Row],[CÁLCULO]] &lt; 0, -1, IF( tabPontoPed[[#This Row],[MENSAL]] - tabPontoPed[[#This Row],[CÁLCULO]] &gt; 0, 1, -8)), -9 )</f>
        <v>-8</v>
      </c>
      <c r="W708" s="35"/>
      <c r="X708" s="48" t="s">
        <v>1564</v>
      </c>
      <c r="Y708" s="53">
        <v>44391.647175925929</v>
      </c>
      <c r="Z708" s="72">
        <f>tabPontoPed[CÁLC_4M] - tabPontoPed[CÁLCULO]</f>
        <v>4</v>
      </c>
      <c r="AA708" s="79" t="str">
        <f>IF(tabPontoPed[MENSAL]-tabPontoPed[ATA MENSAL] = 0,"sim","")</f>
        <v/>
      </c>
      <c r="AB708" s="79"/>
      <c r="AC708" s="47" t="str">
        <f t="shared" si="11"/>
        <v>*</v>
      </c>
    </row>
    <row r="709" spans="1:29" x14ac:dyDescent="0.25">
      <c r="A709" s="36">
        <v>64634</v>
      </c>
      <c r="B709" s="68" t="s">
        <v>992</v>
      </c>
      <c r="C709" s="33" t="s">
        <v>1317</v>
      </c>
      <c r="D709" s="32">
        <v>83</v>
      </c>
      <c r="E709" s="37">
        <v>10</v>
      </c>
      <c r="F709" s="38" t="str">
        <f>VLOOKUP(tabPontoPed[[#This Row],[GRUPO]],tabGrupos[#Data],2,FALSE)</f>
        <v>ABRASIVOS</v>
      </c>
      <c r="G709" s="32" t="str">
        <f>VLOOKUP(tabPontoPed[[#This Row],[GRUPO]],tabGrupos[#Data],3,FALSE)</f>
        <v>MAN</v>
      </c>
      <c r="H709" s="33" t="s">
        <v>1311</v>
      </c>
      <c r="I709" s="80">
        <v>4</v>
      </c>
      <c r="J709" s="39">
        <v>1</v>
      </c>
      <c r="K709" s="41">
        <f>tabPontoPed[[#This Row],[QTDMÊS]] * tabPontoPed[[#This Row],[MENSAL]]</f>
        <v>4</v>
      </c>
      <c r="L709" s="83"/>
      <c r="M709" s="81"/>
      <c r="N709" s="34" t="s">
        <v>1009</v>
      </c>
      <c r="O709" s="76"/>
      <c r="P709" s="77">
        <v>0</v>
      </c>
      <c r="Q709" s="57">
        <v>0</v>
      </c>
      <c r="R709" s="42">
        <v>1</v>
      </c>
      <c r="S709" s="69" t="str">
        <f>_xlfn.IFNA(IF(VLOOKUP(tabPontoPed[[#This Row],[CÓDIGO]],tabExcluirDoEstoque[#Data],1,FALSE),"sim",""),"")</f>
        <v/>
      </c>
      <c r="T709" s="43">
        <f>IF(AND(tabPontoPed[[#This Row],[MENSAL]]&gt;0,tabPontoPed[[#This Row],[CÁLCULO]]&gt;0), ABS( tabPontoPed[[#This Row],[MENSAL]] - tabPontoPed[[#This Row],[CÁLCULO]] ) / tabPontoPed[[#This Row],[MENSAL]], -1 )</f>
        <v>0</v>
      </c>
      <c r="U709" s="58">
        <v>5</v>
      </c>
      <c r="V709" s="35">
        <f>IF(AND(tabPontoPed[[#This Row],[MENSAL]]&gt;0,tabPontoPed[[#This Row],[CÁLCULO]]&gt;0), IF( tabPontoPed[[#This Row],[MENSAL]] - tabPontoPed[[#This Row],[CÁLCULO]] &lt; 0, -1, IF( tabPontoPed[[#This Row],[MENSAL]] - tabPontoPed[[#This Row],[CÁLCULO]] &gt; 0, 1, -8)), -9 )</f>
        <v>-8</v>
      </c>
      <c r="W709" s="35"/>
      <c r="X709" s="49" t="s">
        <v>1564</v>
      </c>
      <c r="Y709" s="51">
        <v>44391.599108796298</v>
      </c>
      <c r="Z709" s="72">
        <f>tabPontoPed[CÁLC_4M] - tabPontoPed[CÁLCULO]</f>
        <v>-1</v>
      </c>
      <c r="AA709" s="79" t="str">
        <f>IF(tabPontoPed[MENSAL]-tabPontoPed[ATA MENSAL] = 0,"sim","")</f>
        <v/>
      </c>
      <c r="AB709" s="79"/>
      <c r="AC709" s="47" t="str">
        <f t="shared" si="11"/>
        <v>*</v>
      </c>
    </row>
    <row r="710" spans="1:29" x14ac:dyDescent="0.25">
      <c r="A710" s="36">
        <v>130632</v>
      </c>
      <c r="B710" s="68" t="s">
        <v>498</v>
      </c>
      <c r="C710" s="33" t="s">
        <v>1317</v>
      </c>
      <c r="D710" s="32">
        <v>51</v>
      </c>
      <c r="E710" s="37">
        <v>3</v>
      </c>
      <c r="F710" s="38" t="str">
        <f>VLOOKUP(tabPontoPed[[#This Row],[GRUPO]],tabGrupos[#Data],2,FALSE)</f>
        <v>MAT.E EQUIP. P/ CONSTR.CIVIL E CONSERV. DE VIAS PUBL.</v>
      </c>
      <c r="G710" s="32" t="str">
        <f>VLOOKUP(tabPontoPed[[#This Row],[GRUPO]],tabGrupos[#Data],3,FALSE)</f>
        <v>MCO</v>
      </c>
      <c r="H710" s="33" t="s">
        <v>1311</v>
      </c>
      <c r="I710" s="80">
        <v>4</v>
      </c>
      <c r="J710" s="39">
        <v>2</v>
      </c>
      <c r="K710" s="41">
        <f>tabPontoPed[[#This Row],[QTDMÊS]] * tabPontoPed[[#This Row],[MENSAL]]</f>
        <v>8</v>
      </c>
      <c r="L710" s="83"/>
      <c r="M710" s="81"/>
      <c r="N710" s="34" t="s">
        <v>1009</v>
      </c>
      <c r="O710" s="76"/>
      <c r="P710" s="77">
        <v>0</v>
      </c>
      <c r="Q710" s="57">
        <v>2</v>
      </c>
      <c r="R710" s="42">
        <v>2</v>
      </c>
      <c r="S710" s="69" t="str">
        <f>_xlfn.IFNA(IF(VLOOKUP(tabPontoPed[[#This Row],[CÓDIGO]],tabExcluirDoEstoque[#Data],1,FALSE),"sim",""),"")</f>
        <v/>
      </c>
      <c r="T710" s="43">
        <f>IF(AND(tabPontoPed[[#This Row],[MENSAL]]&gt;0,tabPontoPed[[#This Row],[CÁLCULO]]&gt;0), ABS( tabPontoPed[[#This Row],[MENSAL]] - tabPontoPed[[#This Row],[CÁLCULO]] ) / tabPontoPed[[#This Row],[MENSAL]], -1 )</f>
        <v>0</v>
      </c>
      <c r="U710" s="58">
        <v>10</v>
      </c>
      <c r="V710" s="35">
        <f>IF(AND(tabPontoPed[[#This Row],[MENSAL]]&gt;0,tabPontoPed[[#This Row],[CÁLCULO]]&gt;0), IF( tabPontoPed[[#This Row],[MENSAL]] - tabPontoPed[[#This Row],[CÁLCULO]] &lt; 0, -1, IF( tabPontoPed[[#This Row],[MENSAL]] - tabPontoPed[[#This Row],[CÁLCULO]] &gt; 0, 1, -8)), -9 )</f>
        <v>-8</v>
      </c>
      <c r="W710" s="35"/>
      <c r="X710" s="49" t="s">
        <v>1564</v>
      </c>
      <c r="Y710" s="51">
        <v>44391.599108796298</v>
      </c>
      <c r="Z710" s="72">
        <f>tabPontoPed[CÁLC_4M] - tabPontoPed[CÁLCULO]</f>
        <v>0</v>
      </c>
      <c r="AA710" s="79" t="str">
        <f>IF(tabPontoPed[MENSAL]-tabPontoPed[ATA MENSAL] = 0,"sim","")</f>
        <v/>
      </c>
      <c r="AB710" s="79"/>
      <c r="AC710" s="47" t="str">
        <f t="shared" si="11"/>
        <v>*</v>
      </c>
    </row>
    <row r="711" spans="1:29" x14ac:dyDescent="0.25">
      <c r="A711" s="36">
        <v>14056</v>
      </c>
      <c r="B711" s="68" t="s">
        <v>513</v>
      </c>
      <c r="C711" s="33" t="s">
        <v>1317</v>
      </c>
      <c r="D711" s="32">
        <v>51</v>
      </c>
      <c r="E711" s="37">
        <v>12</v>
      </c>
      <c r="F711" s="38" t="str">
        <f>VLOOKUP(tabPontoPed[[#This Row],[GRUPO]],tabGrupos[#Data],2,FALSE)</f>
        <v>MAT.E EQUIP. P/ CONSTR.CIVIL E CONSERV. DE VIAS PUBL.</v>
      </c>
      <c r="G711" s="32" t="str">
        <f>VLOOKUP(tabPontoPed[[#This Row],[GRUPO]],tabGrupos[#Data],3,FALSE)</f>
        <v>MCO</v>
      </c>
      <c r="H711" s="33" t="s">
        <v>1311</v>
      </c>
      <c r="I711" s="80">
        <v>4</v>
      </c>
      <c r="J711" s="39">
        <v>1</v>
      </c>
      <c r="K711" s="41">
        <f>tabPontoPed[[#This Row],[QTDMÊS]] * tabPontoPed[[#This Row],[MENSAL]]</f>
        <v>4</v>
      </c>
      <c r="L711" s="83"/>
      <c r="M711" s="81"/>
      <c r="N711" s="34" t="s">
        <v>1009</v>
      </c>
      <c r="O711" s="76"/>
      <c r="P711" s="77">
        <v>0</v>
      </c>
      <c r="Q711" s="57">
        <v>0</v>
      </c>
      <c r="R711" s="42">
        <v>1</v>
      </c>
      <c r="S711" s="69" t="str">
        <f>_xlfn.IFNA(IF(VLOOKUP(tabPontoPed[[#This Row],[CÓDIGO]],tabExcluirDoEstoque[#Data],1,FALSE),"sim",""),"")</f>
        <v/>
      </c>
      <c r="T711" s="43">
        <f>IF(AND(tabPontoPed[[#This Row],[MENSAL]]&gt;0,tabPontoPed[[#This Row],[CÁLCULO]]&gt;0), ABS( tabPontoPed[[#This Row],[MENSAL]] - tabPontoPed[[#This Row],[CÁLCULO]] ) / tabPontoPed[[#This Row],[MENSAL]], -1 )</f>
        <v>0</v>
      </c>
      <c r="U711" s="58">
        <v>3</v>
      </c>
      <c r="V711" s="35">
        <f>IF(AND(tabPontoPed[[#This Row],[MENSAL]]&gt;0,tabPontoPed[[#This Row],[CÁLCULO]]&gt;0), IF( tabPontoPed[[#This Row],[MENSAL]] - tabPontoPed[[#This Row],[CÁLCULO]] &lt; 0, -1, IF( tabPontoPed[[#This Row],[MENSAL]] - tabPontoPed[[#This Row],[CÁLCULO]] &gt; 0, 1, -8)), -9 )</f>
        <v>-8</v>
      </c>
      <c r="W711" s="35"/>
      <c r="X711" s="49" t="s">
        <v>1564</v>
      </c>
      <c r="Y711" s="51">
        <v>44391.599108796298</v>
      </c>
      <c r="Z711" s="72">
        <f>tabPontoPed[CÁLC_4M] - tabPontoPed[CÁLCULO]</f>
        <v>-1</v>
      </c>
      <c r="AA711" s="79" t="str">
        <f>IF(tabPontoPed[MENSAL]-tabPontoPed[ATA MENSAL] = 0,"sim","")</f>
        <v/>
      </c>
      <c r="AB711" s="79"/>
      <c r="AC711" s="47" t="str">
        <f t="shared" si="11"/>
        <v>*</v>
      </c>
    </row>
    <row r="712" spans="1:29" x14ac:dyDescent="0.25">
      <c r="A712" s="36">
        <v>118515</v>
      </c>
      <c r="B712" s="68" t="s">
        <v>246</v>
      </c>
      <c r="C712" s="33" t="s">
        <v>1317</v>
      </c>
      <c r="D712" s="32">
        <v>51</v>
      </c>
      <c r="E712" s="37">
        <v>21</v>
      </c>
      <c r="F712" s="38" t="str">
        <f>VLOOKUP(tabPontoPed[[#This Row],[GRUPO]],tabGrupos[#Data],2,FALSE)</f>
        <v>MAT.E EQUIP. P/ CONSTR.CIVIL E CONSERV. DE VIAS PUBL.</v>
      </c>
      <c r="G712" s="32" t="str">
        <f>VLOOKUP(tabPontoPed[[#This Row],[GRUPO]],tabGrupos[#Data],3,FALSE)</f>
        <v>MCO</v>
      </c>
      <c r="H712" s="33" t="s">
        <v>1311</v>
      </c>
      <c r="I712" s="80">
        <v>4</v>
      </c>
      <c r="J712" s="39">
        <v>17</v>
      </c>
      <c r="K712" s="41">
        <f>tabPontoPed[[#This Row],[QTDMÊS]] * tabPontoPed[[#This Row],[MENSAL]]</f>
        <v>68</v>
      </c>
      <c r="L712" s="83"/>
      <c r="M712" s="81"/>
      <c r="N712" s="34" t="s">
        <v>1009</v>
      </c>
      <c r="O712" s="76" t="s">
        <v>1727</v>
      </c>
      <c r="P712" s="77">
        <v>0</v>
      </c>
      <c r="Q712" s="57">
        <v>1</v>
      </c>
      <c r="R712" s="42">
        <v>17</v>
      </c>
      <c r="S712" s="69" t="str">
        <f>_xlfn.IFNA(IF(VLOOKUP(tabPontoPed[[#This Row],[CÓDIGO]],tabExcluirDoEstoque[#Data],1,FALSE),"sim",""),"")</f>
        <v/>
      </c>
      <c r="T712" s="43">
        <f>IF(AND(tabPontoPed[[#This Row],[MENSAL]]&gt;0,tabPontoPed[[#This Row],[CÁLCULO]]&gt;0), ABS( tabPontoPed[[#This Row],[MENSAL]] - tabPontoPed[[#This Row],[CÁLCULO]] ) / tabPontoPed[[#This Row],[MENSAL]], -1 )</f>
        <v>0</v>
      </c>
      <c r="U712" s="58">
        <v>81</v>
      </c>
      <c r="V712" s="35">
        <f>IF(AND(tabPontoPed[[#This Row],[MENSAL]]&gt;0,tabPontoPed[[#This Row],[CÁLCULO]]&gt;0), IF( tabPontoPed[[#This Row],[MENSAL]] - tabPontoPed[[#This Row],[CÁLCULO]] &lt; 0, -1, IF( tabPontoPed[[#This Row],[MENSAL]] - tabPontoPed[[#This Row],[CÁLCULO]] &gt; 0, 1, -8)), -9 )</f>
        <v>-8</v>
      </c>
      <c r="W712" s="35"/>
      <c r="X712" s="49" t="s">
        <v>1564</v>
      </c>
      <c r="Y712" s="51">
        <v>44391.599108796298</v>
      </c>
      <c r="Z712" s="72">
        <f>tabPontoPed[CÁLC_4M] - tabPontoPed[CÁLCULO]</f>
        <v>-16</v>
      </c>
      <c r="AA712" s="79" t="str">
        <f>IF(tabPontoPed[MENSAL]-tabPontoPed[ATA MENSAL] = 0,"sim","")</f>
        <v/>
      </c>
      <c r="AB712" s="79" t="s">
        <v>1614</v>
      </c>
      <c r="AC712" s="47" t="str">
        <f t="shared" si="11"/>
        <v>*</v>
      </c>
    </row>
    <row r="713" spans="1:29" x14ac:dyDescent="0.25">
      <c r="A713" s="36">
        <v>139957</v>
      </c>
      <c r="B713" s="68" t="s">
        <v>1819</v>
      </c>
      <c r="C713" s="33">
        <v>1</v>
      </c>
      <c r="D713" s="32">
        <v>51</v>
      </c>
      <c r="E713" s="37">
        <v>21</v>
      </c>
      <c r="F713" s="38" t="str">
        <f>VLOOKUP(tabPontoPed[[#This Row],[GRUPO]],tabGrupos[#Data],2,FALSE)</f>
        <v>MAT.E EQUIP. P/ CONSTR.CIVIL E CONSERV. DE VIAS PUBL.</v>
      </c>
      <c r="G713" s="32" t="str">
        <f>VLOOKUP(tabPontoPed[[#This Row],[GRUPO]],tabGrupos[#Data],3,FALSE)</f>
        <v>MCO</v>
      </c>
      <c r="H713" s="33" t="s">
        <v>1311</v>
      </c>
      <c r="I713" s="80">
        <v>4</v>
      </c>
      <c r="J713" s="39">
        <v>266</v>
      </c>
      <c r="K713" s="41">
        <f>tabPontoPed[[#This Row],[QTDMÊS]] * tabPontoPed[[#This Row],[MENSAL]]</f>
        <v>1064</v>
      </c>
      <c r="L713" s="83"/>
      <c r="M713" s="81"/>
      <c r="N713" s="34" t="s">
        <v>1009</v>
      </c>
      <c r="O713" s="76" t="s">
        <v>1700</v>
      </c>
      <c r="P713" s="77">
        <v>0</v>
      </c>
      <c r="Q713" s="57">
        <v>154</v>
      </c>
      <c r="R713" s="42">
        <v>266</v>
      </c>
      <c r="S713" s="69" t="str">
        <f>_xlfn.IFNA(IF(VLOOKUP(tabPontoPed[[#This Row],[CÓDIGO]],tabExcluirDoEstoque[#Data],1,FALSE),"sim",""),"")</f>
        <v/>
      </c>
      <c r="T713" s="43">
        <f>IF(AND(tabPontoPed[[#This Row],[MENSAL]]&gt;0,tabPontoPed[[#This Row],[CÁLCULO]]&gt;0), ABS( tabPontoPed[[#This Row],[MENSAL]] - tabPontoPed[[#This Row],[CÁLCULO]] ) / tabPontoPed[[#This Row],[MENSAL]], -1 )</f>
        <v>0</v>
      </c>
      <c r="U713" s="58">
        <v>564</v>
      </c>
      <c r="V713" s="35">
        <f>IF(AND(tabPontoPed[[#This Row],[MENSAL]]&gt;0,tabPontoPed[[#This Row],[CÁLCULO]]&gt;0), IF( tabPontoPed[[#This Row],[MENSAL]] - tabPontoPed[[#This Row],[CÁLCULO]] &lt; 0, -1, IF( tabPontoPed[[#This Row],[MENSAL]] - tabPontoPed[[#This Row],[CÁLCULO]] &gt; 0, 1, -8)), -9 )</f>
        <v>-8</v>
      </c>
      <c r="W713" s="35"/>
      <c r="X713" s="48" t="s">
        <v>1564</v>
      </c>
      <c r="Y713" s="53">
        <v>44391.647175925929</v>
      </c>
      <c r="Z713" s="72">
        <f>tabPontoPed[CÁLC_4M] - tabPontoPed[CÁLCULO]</f>
        <v>-112</v>
      </c>
      <c r="AA713" s="79" t="str">
        <f>IF(tabPontoPed[MENSAL]-tabPontoPed[ATA MENSAL] = 0,"sim","")</f>
        <v/>
      </c>
      <c r="AB713" s="79"/>
      <c r="AC713" s="47" t="str">
        <f t="shared" si="11"/>
        <v>*</v>
      </c>
    </row>
    <row r="714" spans="1:29" x14ac:dyDescent="0.25">
      <c r="A714" s="36">
        <v>139958</v>
      </c>
      <c r="B714" s="68" t="s">
        <v>1820</v>
      </c>
      <c r="C714" s="33">
        <v>1</v>
      </c>
      <c r="D714" s="32">
        <v>51</v>
      </c>
      <c r="E714" s="37">
        <v>21</v>
      </c>
      <c r="F714" s="38" t="str">
        <f>VLOOKUP(tabPontoPed[[#This Row],[GRUPO]],tabGrupos[#Data],2,FALSE)</f>
        <v>MAT.E EQUIP. P/ CONSTR.CIVIL E CONSERV. DE VIAS PUBL.</v>
      </c>
      <c r="G714" s="32" t="str">
        <f>VLOOKUP(tabPontoPed[[#This Row],[GRUPO]],tabGrupos[#Data],3,FALSE)</f>
        <v>MCO</v>
      </c>
      <c r="H714" s="33" t="s">
        <v>1311</v>
      </c>
      <c r="I714" s="80">
        <v>4</v>
      </c>
      <c r="J714" s="39">
        <v>214</v>
      </c>
      <c r="K714" s="41">
        <f>tabPontoPed[[#This Row],[QTDMÊS]] * tabPontoPed[[#This Row],[MENSAL]]</f>
        <v>856</v>
      </c>
      <c r="L714" s="83"/>
      <c r="M714" s="81"/>
      <c r="N714" s="34" t="s">
        <v>1009</v>
      </c>
      <c r="O714" s="76" t="s">
        <v>1700</v>
      </c>
      <c r="P714" s="77">
        <v>0</v>
      </c>
      <c r="Q714" s="57">
        <v>209</v>
      </c>
      <c r="R714" s="42">
        <v>214</v>
      </c>
      <c r="S714" s="69" t="str">
        <f>_xlfn.IFNA(IF(VLOOKUP(tabPontoPed[[#This Row],[CÓDIGO]],tabExcluirDoEstoque[#Data],1,FALSE),"sim",""),"")</f>
        <v/>
      </c>
      <c r="T714" s="43">
        <f>IF(AND(tabPontoPed[[#This Row],[MENSAL]]&gt;0,tabPontoPed[[#This Row],[CÁLCULO]]&gt;0), ABS( tabPontoPed[[#This Row],[MENSAL]] - tabPontoPed[[#This Row],[CÁLCULO]] ) / tabPontoPed[[#This Row],[MENSAL]], -1 )</f>
        <v>0</v>
      </c>
      <c r="U714" s="58">
        <v>601</v>
      </c>
      <c r="V714" s="35">
        <f>IF(AND(tabPontoPed[[#This Row],[MENSAL]]&gt;0,tabPontoPed[[#This Row],[CÁLCULO]]&gt;0), IF( tabPontoPed[[#This Row],[MENSAL]] - tabPontoPed[[#This Row],[CÁLCULO]] &lt; 0, -1, IF( tabPontoPed[[#This Row],[MENSAL]] - tabPontoPed[[#This Row],[CÁLCULO]] &gt; 0, 1, -8)), -9 )</f>
        <v>-8</v>
      </c>
      <c r="W714" s="35"/>
      <c r="X714" s="48" t="s">
        <v>1564</v>
      </c>
      <c r="Y714" s="53">
        <v>44391.647175925929</v>
      </c>
      <c r="Z714" s="72">
        <f>tabPontoPed[CÁLC_4M] - tabPontoPed[CÁLCULO]</f>
        <v>-5</v>
      </c>
      <c r="AA714" s="79" t="str">
        <f>IF(tabPontoPed[MENSAL]-tabPontoPed[ATA MENSAL] = 0,"sim","")</f>
        <v/>
      </c>
      <c r="AB714" s="79"/>
      <c r="AC714" s="47" t="str">
        <f t="shared" si="11"/>
        <v>*</v>
      </c>
    </row>
    <row r="715" spans="1:29" x14ac:dyDescent="0.25">
      <c r="A715" s="36">
        <v>26282</v>
      </c>
      <c r="B715" s="68" t="s">
        <v>538</v>
      </c>
      <c r="C715" s="33" t="s">
        <v>1317</v>
      </c>
      <c r="D715" s="32">
        <v>51</v>
      </c>
      <c r="E715" s="37">
        <v>26</v>
      </c>
      <c r="F715" s="38" t="str">
        <f>VLOOKUP(tabPontoPed[[#This Row],[GRUPO]],tabGrupos[#Data],2,FALSE)</f>
        <v>MAT.E EQUIP. P/ CONSTR.CIVIL E CONSERV. DE VIAS PUBL.</v>
      </c>
      <c r="G715" s="32" t="str">
        <f>VLOOKUP(tabPontoPed[[#This Row],[GRUPO]],tabGrupos[#Data],3,FALSE)</f>
        <v>MCO</v>
      </c>
      <c r="H715" s="33" t="s">
        <v>1311</v>
      </c>
      <c r="I715" s="80">
        <v>4</v>
      </c>
      <c r="J715" s="39">
        <v>1</v>
      </c>
      <c r="K715" s="41">
        <f>tabPontoPed[[#This Row],[QTDMÊS]] * tabPontoPed[[#This Row],[MENSAL]]</f>
        <v>4</v>
      </c>
      <c r="L715" s="83"/>
      <c r="M715" s="81"/>
      <c r="N715" s="34" t="s">
        <v>1009</v>
      </c>
      <c r="O715" s="76" t="s">
        <v>1700</v>
      </c>
      <c r="P715" s="77">
        <v>0</v>
      </c>
      <c r="Q715" s="57">
        <v>0</v>
      </c>
      <c r="R715" s="42">
        <v>1</v>
      </c>
      <c r="S715" s="69" t="str">
        <f>_xlfn.IFNA(IF(VLOOKUP(tabPontoPed[[#This Row],[CÓDIGO]],tabExcluirDoEstoque[#Data],1,FALSE),"sim",""),"")</f>
        <v/>
      </c>
      <c r="T715" s="43">
        <f>IF(AND(tabPontoPed[[#This Row],[MENSAL]]&gt;0,tabPontoPed[[#This Row],[CÁLCULO]]&gt;0), ABS( tabPontoPed[[#This Row],[MENSAL]] - tabPontoPed[[#This Row],[CÁLCULO]] ) / tabPontoPed[[#This Row],[MENSAL]], -1 )</f>
        <v>0</v>
      </c>
      <c r="U715" s="58">
        <v>4</v>
      </c>
      <c r="V715" s="35">
        <f>IF(AND(tabPontoPed[[#This Row],[MENSAL]]&gt;0,tabPontoPed[[#This Row],[CÁLCULO]]&gt;0), IF( tabPontoPed[[#This Row],[MENSAL]] - tabPontoPed[[#This Row],[CÁLCULO]] &lt; 0, -1, IF( tabPontoPed[[#This Row],[MENSAL]] - tabPontoPed[[#This Row],[CÁLCULO]] &gt; 0, 1, -8)), -9 )</f>
        <v>-8</v>
      </c>
      <c r="W715" s="35"/>
      <c r="X715" s="49" t="s">
        <v>1564</v>
      </c>
      <c r="Y715" s="51">
        <v>44391.599108796298</v>
      </c>
      <c r="Z715" s="72">
        <f>tabPontoPed[CÁLC_4M] - tabPontoPed[CÁLCULO]</f>
        <v>-1</v>
      </c>
      <c r="AA715" s="79" t="str">
        <f>IF(tabPontoPed[MENSAL]-tabPontoPed[ATA MENSAL] = 0,"sim","")</f>
        <v/>
      </c>
      <c r="AB715" s="79" t="s">
        <v>1614</v>
      </c>
      <c r="AC715" s="47" t="str">
        <f t="shared" si="11"/>
        <v>*</v>
      </c>
    </row>
    <row r="716" spans="1:29" x14ac:dyDescent="0.25">
      <c r="A716" s="36">
        <v>34214</v>
      </c>
      <c r="B716" s="68" t="s">
        <v>540</v>
      </c>
      <c r="C716" s="33" t="s">
        <v>1317</v>
      </c>
      <c r="D716" s="32">
        <v>51</v>
      </c>
      <c r="E716" s="37">
        <v>26</v>
      </c>
      <c r="F716" s="38" t="str">
        <f>VLOOKUP(tabPontoPed[[#This Row],[GRUPO]],tabGrupos[#Data],2,FALSE)</f>
        <v>MAT.E EQUIP. P/ CONSTR.CIVIL E CONSERV. DE VIAS PUBL.</v>
      </c>
      <c r="G716" s="32" t="str">
        <f>VLOOKUP(tabPontoPed[[#This Row],[GRUPO]],tabGrupos[#Data],3,FALSE)</f>
        <v>MCO</v>
      </c>
      <c r="H716" s="33" t="s">
        <v>1311</v>
      </c>
      <c r="I716" s="80">
        <v>4</v>
      </c>
      <c r="J716" s="39">
        <v>1</v>
      </c>
      <c r="K716" s="41">
        <f>tabPontoPed[[#This Row],[QTDMÊS]] * tabPontoPed[[#This Row],[MENSAL]]</f>
        <v>4</v>
      </c>
      <c r="L716" s="83"/>
      <c r="M716" s="81"/>
      <c r="N716" s="34" t="s">
        <v>1009</v>
      </c>
      <c r="O716" s="76" t="s">
        <v>1700</v>
      </c>
      <c r="P716" s="77">
        <v>0</v>
      </c>
      <c r="Q716" s="57">
        <v>0</v>
      </c>
      <c r="R716" s="42">
        <v>1</v>
      </c>
      <c r="S716" s="69" t="str">
        <f>_xlfn.IFNA(IF(VLOOKUP(tabPontoPed[[#This Row],[CÓDIGO]],tabExcluirDoEstoque[#Data],1,FALSE),"sim",""),"")</f>
        <v/>
      </c>
      <c r="T716" s="43">
        <f>IF(AND(tabPontoPed[[#This Row],[MENSAL]]&gt;0,tabPontoPed[[#This Row],[CÁLCULO]]&gt;0), ABS( tabPontoPed[[#This Row],[MENSAL]] - tabPontoPed[[#This Row],[CÁLCULO]] ) / tabPontoPed[[#This Row],[MENSAL]], -1 )</f>
        <v>0</v>
      </c>
      <c r="U716" s="58">
        <v>7</v>
      </c>
      <c r="V716" s="35">
        <f>IF(AND(tabPontoPed[[#This Row],[MENSAL]]&gt;0,tabPontoPed[[#This Row],[CÁLCULO]]&gt;0), IF( tabPontoPed[[#This Row],[MENSAL]] - tabPontoPed[[#This Row],[CÁLCULO]] &lt; 0, -1, IF( tabPontoPed[[#This Row],[MENSAL]] - tabPontoPed[[#This Row],[CÁLCULO]] &gt; 0, 1, -8)), -9 )</f>
        <v>-8</v>
      </c>
      <c r="W716" s="35"/>
      <c r="X716" s="49" t="s">
        <v>1564</v>
      </c>
      <c r="Y716" s="51">
        <v>44391.599108796298</v>
      </c>
      <c r="Z716" s="72">
        <f>tabPontoPed[CÁLC_4M] - tabPontoPed[CÁLCULO]</f>
        <v>-1</v>
      </c>
      <c r="AA716" s="79" t="str">
        <f>IF(tabPontoPed[MENSAL]-tabPontoPed[ATA MENSAL] = 0,"sim","")</f>
        <v/>
      </c>
      <c r="AB716" s="79" t="s">
        <v>1614</v>
      </c>
      <c r="AC716" s="47" t="str">
        <f t="shared" si="11"/>
        <v>*</v>
      </c>
    </row>
    <row r="717" spans="1:29" x14ac:dyDescent="0.25">
      <c r="A717" s="36">
        <v>140326</v>
      </c>
      <c r="B717" s="68" t="s">
        <v>1775</v>
      </c>
      <c r="C717" s="33">
        <v>1</v>
      </c>
      <c r="D717" s="32">
        <v>51</v>
      </c>
      <c r="E717" s="37">
        <v>33</v>
      </c>
      <c r="F717" s="38" t="str">
        <f>VLOOKUP(tabPontoPed[[#This Row],[GRUPO]],tabGrupos[#Data],2,FALSE)</f>
        <v>MAT.E EQUIP. P/ CONSTR.CIVIL E CONSERV. DE VIAS PUBL.</v>
      </c>
      <c r="G717" s="32" t="str">
        <f>VLOOKUP(tabPontoPed[[#This Row],[GRUPO]],tabGrupos[#Data],3,FALSE)</f>
        <v>MCO</v>
      </c>
      <c r="H717" s="33" t="s">
        <v>1311</v>
      </c>
      <c r="I717" s="80">
        <v>4</v>
      </c>
      <c r="J717" s="39">
        <v>45</v>
      </c>
      <c r="K717" s="41">
        <f>tabPontoPed[[#This Row],[QTDMÊS]] * tabPontoPed[[#This Row],[MENSAL]]</f>
        <v>180</v>
      </c>
      <c r="L717" s="83"/>
      <c r="M717" s="81"/>
      <c r="N717" s="34" t="s">
        <v>1009</v>
      </c>
      <c r="O717" s="76" t="s">
        <v>1576</v>
      </c>
      <c r="P717" s="77">
        <v>0</v>
      </c>
      <c r="Q717" s="57">
        <v>20</v>
      </c>
      <c r="R717" s="42">
        <v>45</v>
      </c>
      <c r="S717" s="69" t="str">
        <f>_xlfn.IFNA(IF(VLOOKUP(tabPontoPed[[#This Row],[CÓDIGO]],tabExcluirDoEstoque[#Data],1,FALSE),"sim",""),"")</f>
        <v/>
      </c>
      <c r="T717" s="43">
        <f>IF(AND(tabPontoPed[[#This Row],[MENSAL]]&gt;0,tabPontoPed[[#This Row],[CÁLCULO]]&gt;0), ABS( tabPontoPed[[#This Row],[MENSAL]] - tabPontoPed[[#This Row],[CÁLCULO]] ) / tabPontoPed[[#This Row],[MENSAL]], -1 )</f>
        <v>0</v>
      </c>
      <c r="U717" s="58">
        <v>55</v>
      </c>
      <c r="V717" s="35">
        <f>IF(AND(tabPontoPed[[#This Row],[MENSAL]]&gt;0,tabPontoPed[[#This Row],[CÁLCULO]]&gt;0), IF( tabPontoPed[[#This Row],[MENSAL]] - tabPontoPed[[#This Row],[CÁLCULO]] &lt; 0, -1, IF( tabPontoPed[[#This Row],[MENSAL]] - tabPontoPed[[#This Row],[CÁLCULO]] &gt; 0, 1, -8)), -9 )</f>
        <v>-8</v>
      </c>
      <c r="W717" s="35"/>
      <c r="X717" s="48" t="s">
        <v>1564</v>
      </c>
      <c r="Y717" s="53">
        <v>44391.647175925929</v>
      </c>
      <c r="Z717" s="72">
        <f>tabPontoPed[CÁLC_4M] - tabPontoPed[CÁLCULO]</f>
        <v>-25</v>
      </c>
      <c r="AA717" s="79" t="str">
        <f>IF(tabPontoPed[MENSAL]-tabPontoPed[ATA MENSAL] = 0,"sim","")</f>
        <v/>
      </c>
      <c r="AB717" s="79"/>
      <c r="AC717" s="47" t="str">
        <f t="shared" si="11"/>
        <v>*</v>
      </c>
    </row>
    <row r="718" spans="1:29" x14ac:dyDescent="0.25">
      <c r="A718" s="36">
        <v>13192</v>
      </c>
      <c r="B718" s="68" t="s">
        <v>553</v>
      </c>
      <c r="C718" s="33" t="s">
        <v>1317</v>
      </c>
      <c r="D718" s="32">
        <v>51</v>
      </c>
      <c r="E718" s="37">
        <v>35</v>
      </c>
      <c r="F718" s="38" t="str">
        <f>VLOOKUP(tabPontoPed[[#This Row],[GRUPO]],tabGrupos[#Data],2,FALSE)</f>
        <v>MAT.E EQUIP. P/ CONSTR.CIVIL E CONSERV. DE VIAS PUBL.</v>
      </c>
      <c r="G718" s="32" t="str">
        <f>VLOOKUP(tabPontoPed[[#This Row],[GRUPO]],tabGrupos[#Data],3,FALSE)</f>
        <v>MCO</v>
      </c>
      <c r="H718" s="33" t="s">
        <v>1311</v>
      </c>
      <c r="I718" s="80">
        <v>4</v>
      </c>
      <c r="J718" s="39">
        <v>3</v>
      </c>
      <c r="K718" s="41">
        <f>tabPontoPed[[#This Row],[QTDMÊS]] * tabPontoPed[[#This Row],[MENSAL]]</f>
        <v>12</v>
      </c>
      <c r="L718" s="83"/>
      <c r="M718" s="81"/>
      <c r="N718" s="34" t="s">
        <v>1009</v>
      </c>
      <c r="O718" s="76" t="s">
        <v>1742</v>
      </c>
      <c r="P718" s="77">
        <v>0</v>
      </c>
      <c r="Q718" s="57">
        <v>2</v>
      </c>
      <c r="R718" s="42">
        <v>3</v>
      </c>
      <c r="S718" s="69" t="str">
        <f>_xlfn.IFNA(IF(VLOOKUP(tabPontoPed[[#This Row],[CÓDIGO]],tabExcluirDoEstoque[#Data],1,FALSE),"sim",""),"")</f>
        <v/>
      </c>
      <c r="T718" s="43">
        <f>IF(AND(tabPontoPed[[#This Row],[MENSAL]]&gt;0,tabPontoPed[[#This Row],[CÁLCULO]]&gt;0), ABS( tabPontoPed[[#This Row],[MENSAL]] - tabPontoPed[[#This Row],[CÁLCULO]] ) / tabPontoPed[[#This Row],[MENSAL]], -1 )</f>
        <v>0</v>
      </c>
      <c r="U718" s="58">
        <v>7</v>
      </c>
      <c r="V718" s="35">
        <f>IF(AND(tabPontoPed[[#This Row],[MENSAL]]&gt;0,tabPontoPed[[#This Row],[CÁLCULO]]&gt;0), IF( tabPontoPed[[#This Row],[MENSAL]] - tabPontoPed[[#This Row],[CÁLCULO]] &lt; 0, -1, IF( tabPontoPed[[#This Row],[MENSAL]] - tabPontoPed[[#This Row],[CÁLCULO]] &gt; 0, 1, -8)), -9 )</f>
        <v>-8</v>
      </c>
      <c r="W718" s="35"/>
      <c r="X718" s="49" t="s">
        <v>1564</v>
      </c>
      <c r="Y718" s="51">
        <v>44391.599108796298</v>
      </c>
      <c r="Z718" s="72">
        <f>tabPontoPed[CÁLC_4M] - tabPontoPed[CÁLCULO]</f>
        <v>-1</v>
      </c>
      <c r="AA718" s="79" t="str">
        <f>IF(tabPontoPed[MENSAL]-tabPontoPed[ATA MENSAL] = 0,"sim","")</f>
        <v/>
      </c>
      <c r="AB718" s="79"/>
      <c r="AC718" s="47" t="str">
        <f t="shared" si="11"/>
        <v>*</v>
      </c>
    </row>
    <row r="719" spans="1:29" x14ac:dyDescent="0.25">
      <c r="A719" s="36">
        <v>140283</v>
      </c>
      <c r="B719" s="68" t="s">
        <v>1814</v>
      </c>
      <c r="C719" s="33">
        <v>1</v>
      </c>
      <c r="D719" s="32">
        <v>51</v>
      </c>
      <c r="E719" s="37">
        <v>36</v>
      </c>
      <c r="F719" s="38" t="str">
        <f>VLOOKUP(tabPontoPed[[#This Row],[GRUPO]],tabGrupos[#Data],2,FALSE)</f>
        <v>MAT.E EQUIP. P/ CONSTR.CIVIL E CONSERV. DE VIAS PUBL.</v>
      </c>
      <c r="G719" s="32" t="str">
        <f>VLOOKUP(tabPontoPed[[#This Row],[GRUPO]],tabGrupos[#Data],3,FALSE)</f>
        <v>MCO</v>
      </c>
      <c r="H719" s="33" t="s">
        <v>1311</v>
      </c>
      <c r="I719" s="80">
        <v>4</v>
      </c>
      <c r="J719" s="39">
        <v>5</v>
      </c>
      <c r="K719" s="41">
        <f>tabPontoPed[[#This Row],[QTDMÊS]] * tabPontoPed[[#This Row],[MENSAL]]</f>
        <v>20</v>
      </c>
      <c r="L719" s="83"/>
      <c r="M719" s="81"/>
      <c r="N719" s="34" t="s">
        <v>1009</v>
      </c>
      <c r="O719" s="76" t="s">
        <v>1575</v>
      </c>
      <c r="P719" s="77">
        <v>0</v>
      </c>
      <c r="Q719" s="57">
        <v>4</v>
      </c>
      <c r="R719" s="42">
        <v>5</v>
      </c>
      <c r="S719" s="69" t="str">
        <f>_xlfn.IFNA(IF(VLOOKUP(tabPontoPed[[#This Row],[CÓDIGO]],tabExcluirDoEstoque[#Data],1,FALSE),"sim",""),"")</f>
        <v/>
      </c>
      <c r="T719" s="43">
        <f>IF(AND(tabPontoPed[[#This Row],[MENSAL]]&gt;0,tabPontoPed[[#This Row],[CÁLCULO]]&gt;0), ABS( tabPontoPed[[#This Row],[MENSAL]] - tabPontoPed[[#This Row],[CÁLCULO]] ) / tabPontoPed[[#This Row],[MENSAL]], -1 )</f>
        <v>0</v>
      </c>
      <c r="U719" s="58">
        <v>10</v>
      </c>
      <c r="V719" s="35">
        <f>IF(AND(tabPontoPed[[#This Row],[MENSAL]]&gt;0,tabPontoPed[[#This Row],[CÁLCULO]]&gt;0), IF( tabPontoPed[[#This Row],[MENSAL]] - tabPontoPed[[#This Row],[CÁLCULO]] &lt; 0, -1, IF( tabPontoPed[[#This Row],[MENSAL]] - tabPontoPed[[#This Row],[CÁLCULO]] &gt; 0, 1, -8)), -9 )</f>
        <v>-8</v>
      </c>
      <c r="W719" s="35"/>
      <c r="X719" s="48" t="s">
        <v>1564</v>
      </c>
      <c r="Y719" s="53">
        <v>44391.647175925929</v>
      </c>
      <c r="Z719" s="72">
        <f>tabPontoPed[CÁLC_4M] - tabPontoPed[CÁLCULO]</f>
        <v>-1</v>
      </c>
      <c r="AA719" s="79" t="str">
        <f>IF(tabPontoPed[MENSAL]-tabPontoPed[ATA MENSAL] = 0,"sim","")</f>
        <v/>
      </c>
      <c r="AB719" s="79"/>
      <c r="AC719" s="47" t="str">
        <f t="shared" si="11"/>
        <v>*</v>
      </c>
    </row>
    <row r="720" spans="1:29" x14ac:dyDescent="0.25">
      <c r="A720" s="36">
        <v>78306</v>
      </c>
      <c r="B720" s="68" t="s">
        <v>557</v>
      </c>
      <c r="C720" s="33" t="s">
        <v>1317</v>
      </c>
      <c r="D720" s="32">
        <v>51</v>
      </c>
      <c r="E720" s="37">
        <v>36</v>
      </c>
      <c r="F720" s="38" t="str">
        <f>VLOOKUP(tabPontoPed[[#This Row],[GRUPO]],tabGrupos[#Data],2,FALSE)</f>
        <v>MAT.E EQUIP. P/ CONSTR.CIVIL E CONSERV. DE VIAS PUBL.</v>
      </c>
      <c r="G720" s="32" t="str">
        <f>VLOOKUP(tabPontoPed[[#This Row],[GRUPO]],tabGrupos[#Data],3,FALSE)</f>
        <v>MCO</v>
      </c>
      <c r="H720" s="33" t="s">
        <v>1311</v>
      </c>
      <c r="I720" s="80">
        <v>4</v>
      </c>
      <c r="J720" s="39">
        <v>1</v>
      </c>
      <c r="K720" s="41">
        <f>tabPontoPed[[#This Row],[QTDMÊS]] * tabPontoPed[[#This Row],[MENSAL]]</f>
        <v>4</v>
      </c>
      <c r="L720" s="83"/>
      <c r="M720" s="81"/>
      <c r="N720" s="34" t="s">
        <v>1009</v>
      </c>
      <c r="O720" s="76"/>
      <c r="P720" s="77">
        <v>0</v>
      </c>
      <c r="Q720" s="57">
        <v>1</v>
      </c>
      <c r="R720" s="42">
        <v>1</v>
      </c>
      <c r="S720" s="69" t="str">
        <f>_xlfn.IFNA(IF(VLOOKUP(tabPontoPed[[#This Row],[CÓDIGO]],tabExcluirDoEstoque[#Data],1,FALSE),"sim",""),"")</f>
        <v/>
      </c>
      <c r="T720" s="43">
        <f>IF(AND(tabPontoPed[[#This Row],[MENSAL]]&gt;0,tabPontoPed[[#This Row],[CÁLCULO]]&gt;0), ABS( tabPontoPed[[#This Row],[MENSAL]] - tabPontoPed[[#This Row],[CÁLCULO]] ) / tabPontoPed[[#This Row],[MENSAL]], -1 )</f>
        <v>0</v>
      </c>
      <c r="U720" s="58">
        <v>1</v>
      </c>
      <c r="V720" s="35">
        <f>IF(AND(tabPontoPed[[#This Row],[MENSAL]]&gt;0,tabPontoPed[[#This Row],[CÁLCULO]]&gt;0), IF( tabPontoPed[[#This Row],[MENSAL]] - tabPontoPed[[#This Row],[CÁLCULO]] &lt; 0, -1, IF( tabPontoPed[[#This Row],[MENSAL]] - tabPontoPed[[#This Row],[CÁLCULO]] &gt; 0, 1, -8)), -9 )</f>
        <v>-8</v>
      </c>
      <c r="W720" s="35"/>
      <c r="X720" s="49" t="s">
        <v>1564</v>
      </c>
      <c r="Y720" s="51">
        <v>44391.599108796298</v>
      </c>
      <c r="Z720" s="72">
        <f>tabPontoPed[CÁLC_4M] - tabPontoPed[CÁLCULO]</f>
        <v>0</v>
      </c>
      <c r="AA720" s="79" t="str">
        <f>IF(tabPontoPed[MENSAL]-tabPontoPed[ATA MENSAL] = 0,"sim","")</f>
        <v/>
      </c>
      <c r="AB720" s="79"/>
      <c r="AC720" s="47" t="str">
        <f t="shared" si="11"/>
        <v>*</v>
      </c>
    </row>
    <row r="721" spans="1:29" x14ac:dyDescent="0.25">
      <c r="A721" s="36">
        <v>78509</v>
      </c>
      <c r="B721" s="68" t="s">
        <v>558</v>
      </c>
      <c r="C721" s="33" t="s">
        <v>1317</v>
      </c>
      <c r="D721" s="32">
        <v>51</v>
      </c>
      <c r="E721" s="37">
        <v>36</v>
      </c>
      <c r="F721" s="38" t="str">
        <f>VLOOKUP(tabPontoPed[[#This Row],[GRUPO]],tabGrupos[#Data],2,FALSE)</f>
        <v>MAT.E EQUIP. P/ CONSTR.CIVIL E CONSERV. DE VIAS PUBL.</v>
      </c>
      <c r="G721" s="32" t="str">
        <f>VLOOKUP(tabPontoPed[[#This Row],[GRUPO]],tabGrupos[#Data],3,FALSE)</f>
        <v>MCO</v>
      </c>
      <c r="H721" s="33" t="s">
        <v>1311</v>
      </c>
      <c r="I721" s="80">
        <v>4</v>
      </c>
      <c r="J721" s="39">
        <v>1</v>
      </c>
      <c r="K721" s="41">
        <f>tabPontoPed[[#This Row],[QTDMÊS]] * tabPontoPed[[#This Row],[MENSAL]]</f>
        <v>4</v>
      </c>
      <c r="L721" s="83"/>
      <c r="M721" s="81"/>
      <c r="N721" s="34" t="s">
        <v>1009</v>
      </c>
      <c r="O721" s="76" t="s">
        <v>1616</v>
      </c>
      <c r="P721" s="77">
        <v>0</v>
      </c>
      <c r="Q721" s="57">
        <v>1</v>
      </c>
      <c r="R721" s="42">
        <v>1</v>
      </c>
      <c r="S721" s="69" t="str">
        <f>_xlfn.IFNA(IF(VLOOKUP(tabPontoPed[[#This Row],[CÓDIGO]],tabExcluirDoEstoque[#Data],1,FALSE),"sim",""),"")</f>
        <v/>
      </c>
      <c r="T721" s="43">
        <f>IF(AND(tabPontoPed[[#This Row],[MENSAL]]&gt;0,tabPontoPed[[#This Row],[CÁLCULO]]&gt;0), ABS( tabPontoPed[[#This Row],[MENSAL]] - tabPontoPed[[#This Row],[CÁLCULO]] ) / tabPontoPed[[#This Row],[MENSAL]], -1 )</f>
        <v>0</v>
      </c>
      <c r="U721" s="58">
        <v>3</v>
      </c>
      <c r="V721" s="35">
        <f>IF(AND(tabPontoPed[[#This Row],[MENSAL]]&gt;0,tabPontoPed[[#This Row],[CÁLCULO]]&gt;0), IF( tabPontoPed[[#This Row],[MENSAL]] - tabPontoPed[[#This Row],[CÁLCULO]] &lt; 0, -1, IF( tabPontoPed[[#This Row],[MENSAL]] - tabPontoPed[[#This Row],[CÁLCULO]] &gt; 0, 1, -8)), -9 )</f>
        <v>-8</v>
      </c>
      <c r="W721" s="35"/>
      <c r="X721" s="49" t="s">
        <v>1564</v>
      </c>
      <c r="Y721" s="51">
        <v>44391.599108796298</v>
      </c>
      <c r="Z721" s="72">
        <f>tabPontoPed[CÁLC_4M] - tabPontoPed[CÁLCULO]</f>
        <v>0</v>
      </c>
      <c r="AA721" s="79" t="str">
        <f>IF(tabPontoPed[MENSAL]-tabPontoPed[ATA MENSAL] = 0,"sim","")</f>
        <v/>
      </c>
      <c r="AB721" s="79"/>
      <c r="AC721" s="47" t="str">
        <f t="shared" si="11"/>
        <v>*</v>
      </c>
    </row>
    <row r="722" spans="1:29" x14ac:dyDescent="0.25">
      <c r="A722" s="36">
        <v>131344</v>
      </c>
      <c r="B722" s="68" t="s">
        <v>564</v>
      </c>
      <c r="C722" s="33" t="s">
        <v>1317</v>
      </c>
      <c r="D722" s="32">
        <v>51</v>
      </c>
      <c r="E722" s="37">
        <v>41</v>
      </c>
      <c r="F722" s="38" t="str">
        <f>VLOOKUP(tabPontoPed[[#This Row],[GRUPO]],tabGrupos[#Data],2,FALSE)</f>
        <v>MAT.E EQUIP. P/ CONSTR.CIVIL E CONSERV. DE VIAS PUBL.</v>
      </c>
      <c r="G722" s="32" t="str">
        <f>VLOOKUP(tabPontoPed[[#This Row],[GRUPO]],tabGrupos[#Data],3,FALSE)</f>
        <v>MCO</v>
      </c>
      <c r="H722" s="33" t="s">
        <v>1311</v>
      </c>
      <c r="I722" s="80">
        <v>4</v>
      </c>
      <c r="J722" s="39">
        <v>9</v>
      </c>
      <c r="K722" s="41">
        <f>tabPontoPed[[#This Row],[QTDMÊS]] * tabPontoPed[[#This Row],[MENSAL]]</f>
        <v>36</v>
      </c>
      <c r="L722" s="83"/>
      <c r="M722" s="81"/>
      <c r="N722" s="34" t="s">
        <v>1009</v>
      </c>
      <c r="O722" s="76"/>
      <c r="P722" s="77">
        <v>0</v>
      </c>
      <c r="Q722" s="57">
        <v>11</v>
      </c>
      <c r="R722" s="42">
        <v>9</v>
      </c>
      <c r="S722" s="69" t="str">
        <f>_xlfn.IFNA(IF(VLOOKUP(tabPontoPed[[#This Row],[CÓDIGO]],tabExcluirDoEstoque[#Data],1,FALSE),"sim",""),"")</f>
        <v/>
      </c>
      <c r="T722" s="43">
        <f>IF(AND(tabPontoPed[[#This Row],[MENSAL]]&gt;0,tabPontoPed[[#This Row],[CÁLCULO]]&gt;0), ABS( tabPontoPed[[#This Row],[MENSAL]] - tabPontoPed[[#This Row],[CÁLCULO]] ) / tabPontoPed[[#This Row],[MENSAL]], -1 )</f>
        <v>0</v>
      </c>
      <c r="U722" s="58">
        <v>24</v>
      </c>
      <c r="V722" s="35">
        <f>IF(AND(tabPontoPed[[#This Row],[MENSAL]]&gt;0,tabPontoPed[[#This Row],[CÁLCULO]]&gt;0), IF( tabPontoPed[[#This Row],[MENSAL]] - tabPontoPed[[#This Row],[CÁLCULO]] &lt; 0, -1, IF( tabPontoPed[[#This Row],[MENSAL]] - tabPontoPed[[#This Row],[CÁLCULO]] &gt; 0, 1, -8)), -9 )</f>
        <v>-8</v>
      </c>
      <c r="W722" s="35"/>
      <c r="X722" s="48" t="s">
        <v>1564</v>
      </c>
      <c r="Y722" s="53">
        <v>44391.599108796298</v>
      </c>
      <c r="Z722" s="72">
        <f>tabPontoPed[CÁLC_4M] - tabPontoPed[CÁLCULO]</f>
        <v>2</v>
      </c>
      <c r="AA722" s="79" t="str">
        <f>IF(tabPontoPed[MENSAL]-tabPontoPed[ATA MENSAL] = 0,"sim","")</f>
        <v/>
      </c>
      <c r="AB722" s="79"/>
      <c r="AC722" s="47" t="str">
        <f t="shared" si="11"/>
        <v>*</v>
      </c>
    </row>
    <row r="723" spans="1:29" x14ac:dyDescent="0.25">
      <c r="A723" s="36">
        <v>105294</v>
      </c>
      <c r="B723" s="68" t="s">
        <v>566</v>
      </c>
      <c r="C723" s="33" t="s">
        <v>1317</v>
      </c>
      <c r="D723" s="32">
        <v>51</v>
      </c>
      <c r="E723" s="37">
        <v>42</v>
      </c>
      <c r="F723" s="38" t="str">
        <f>VLOOKUP(tabPontoPed[[#This Row],[GRUPO]],tabGrupos[#Data],2,FALSE)</f>
        <v>MAT.E EQUIP. P/ CONSTR.CIVIL E CONSERV. DE VIAS PUBL.</v>
      </c>
      <c r="G723" s="32" t="str">
        <f>VLOOKUP(tabPontoPed[[#This Row],[GRUPO]],tabGrupos[#Data],3,FALSE)</f>
        <v>MCO</v>
      </c>
      <c r="H723" s="33" t="s">
        <v>1311</v>
      </c>
      <c r="I723" s="80">
        <v>4</v>
      </c>
      <c r="J723" s="39">
        <v>6</v>
      </c>
      <c r="K723" s="41">
        <f>tabPontoPed[[#This Row],[QTDMÊS]] * tabPontoPed[[#This Row],[MENSAL]]</f>
        <v>24</v>
      </c>
      <c r="L723" s="83"/>
      <c r="M723" s="81"/>
      <c r="N723" s="34" t="s">
        <v>1009</v>
      </c>
      <c r="O723" s="76"/>
      <c r="P723" s="77">
        <v>0</v>
      </c>
      <c r="Q723" s="57">
        <v>4</v>
      </c>
      <c r="R723" s="42">
        <v>6</v>
      </c>
      <c r="S723" s="69" t="str">
        <f>_xlfn.IFNA(IF(VLOOKUP(tabPontoPed[[#This Row],[CÓDIGO]],tabExcluirDoEstoque[#Data],1,FALSE),"sim",""),"")</f>
        <v/>
      </c>
      <c r="T723" s="43">
        <f>IF(AND(tabPontoPed[[#This Row],[MENSAL]]&gt;0,tabPontoPed[[#This Row],[CÁLCULO]]&gt;0), ABS( tabPontoPed[[#This Row],[MENSAL]] - tabPontoPed[[#This Row],[CÁLCULO]] ) / tabPontoPed[[#This Row],[MENSAL]], -1 )</f>
        <v>0</v>
      </c>
      <c r="U723" s="58">
        <v>21</v>
      </c>
      <c r="V723" s="35">
        <f>IF(AND(tabPontoPed[[#This Row],[MENSAL]]&gt;0,tabPontoPed[[#This Row],[CÁLCULO]]&gt;0), IF( tabPontoPed[[#This Row],[MENSAL]] - tabPontoPed[[#This Row],[CÁLCULO]] &lt; 0, -1, IF( tabPontoPed[[#This Row],[MENSAL]] - tabPontoPed[[#This Row],[CÁLCULO]] &gt; 0, 1, -8)), -9 )</f>
        <v>-8</v>
      </c>
      <c r="W723" s="35"/>
      <c r="X723" s="49" t="s">
        <v>1564</v>
      </c>
      <c r="Y723" s="51">
        <v>44391.599108796298</v>
      </c>
      <c r="Z723" s="72">
        <f>tabPontoPed[CÁLC_4M] - tabPontoPed[CÁLCULO]</f>
        <v>-2</v>
      </c>
      <c r="AA723" s="79" t="str">
        <f>IF(tabPontoPed[MENSAL]-tabPontoPed[ATA MENSAL] = 0,"sim","")</f>
        <v/>
      </c>
      <c r="AB723" s="79"/>
      <c r="AC723" s="47" t="str">
        <f t="shared" si="11"/>
        <v>*</v>
      </c>
    </row>
    <row r="724" spans="1:29" x14ac:dyDescent="0.25">
      <c r="A724" s="36">
        <v>130618</v>
      </c>
      <c r="B724" s="68" t="s">
        <v>943</v>
      </c>
      <c r="C724" s="33" t="s">
        <v>1317</v>
      </c>
      <c r="D724" s="32">
        <v>74</v>
      </c>
      <c r="E724" s="37">
        <v>2</v>
      </c>
      <c r="F724" s="38" t="str">
        <f>VLOOKUP(tabPontoPed[[#This Row],[GRUPO]],tabGrupos[#Data],2,FALSE)</f>
        <v>MADEIRAS,LAMINADOS,COMPENSADOS E AGLOMERADOS</v>
      </c>
      <c r="G724" s="32" t="str">
        <f>VLOOKUP(tabPontoPed[[#This Row],[GRUPO]],tabGrupos[#Data],3,FALSE)</f>
        <v>MCO</v>
      </c>
      <c r="H724" s="33" t="s">
        <v>1311</v>
      </c>
      <c r="I724" s="80">
        <v>4</v>
      </c>
      <c r="J724" s="39">
        <v>1</v>
      </c>
      <c r="K724" s="41">
        <f>tabPontoPed[[#This Row],[QTDMÊS]] * tabPontoPed[[#This Row],[MENSAL]]</f>
        <v>4</v>
      </c>
      <c r="L724" s="83"/>
      <c r="M724" s="81"/>
      <c r="N724" s="34" t="s">
        <v>1009</v>
      </c>
      <c r="O724" s="76"/>
      <c r="P724" s="77">
        <v>0</v>
      </c>
      <c r="Q724" s="57">
        <v>1</v>
      </c>
      <c r="R724" s="42">
        <v>1</v>
      </c>
      <c r="S724" s="69" t="str">
        <f>_xlfn.IFNA(IF(VLOOKUP(tabPontoPed[[#This Row],[CÓDIGO]],tabExcluirDoEstoque[#Data],1,FALSE),"sim",""),"")</f>
        <v/>
      </c>
      <c r="T724" s="43">
        <f>IF(AND(tabPontoPed[[#This Row],[MENSAL]]&gt;0,tabPontoPed[[#This Row],[CÁLCULO]]&gt;0), ABS( tabPontoPed[[#This Row],[MENSAL]] - tabPontoPed[[#This Row],[CÁLCULO]] ) / tabPontoPed[[#This Row],[MENSAL]], -1 )</f>
        <v>0</v>
      </c>
      <c r="U724" s="58">
        <v>1</v>
      </c>
      <c r="V724" s="35">
        <f>IF(AND(tabPontoPed[[#This Row],[MENSAL]]&gt;0,tabPontoPed[[#This Row],[CÁLCULO]]&gt;0), IF( tabPontoPed[[#This Row],[MENSAL]] - tabPontoPed[[#This Row],[CÁLCULO]] &lt; 0, -1, IF( tabPontoPed[[#This Row],[MENSAL]] - tabPontoPed[[#This Row],[CÁLCULO]] &gt; 0, 1, -8)), -9 )</f>
        <v>-8</v>
      </c>
      <c r="W724" s="35"/>
      <c r="X724" s="49" t="s">
        <v>1564</v>
      </c>
      <c r="Y724" s="51">
        <v>44391.599108796298</v>
      </c>
      <c r="Z724" s="72">
        <f>tabPontoPed[CÁLC_4M] - tabPontoPed[CÁLCULO]</f>
        <v>0</v>
      </c>
      <c r="AA724" s="79" t="str">
        <f>IF(tabPontoPed[MENSAL]-tabPontoPed[ATA MENSAL] = 0,"sim","")</f>
        <v/>
      </c>
      <c r="AB724" s="79"/>
      <c r="AC724" s="47" t="str">
        <f t="shared" si="11"/>
        <v>*</v>
      </c>
    </row>
    <row r="725" spans="1:29" x14ac:dyDescent="0.25">
      <c r="A725" s="36">
        <v>74909</v>
      </c>
      <c r="B725" s="68" t="s">
        <v>217</v>
      </c>
      <c r="C725" s="33" t="s">
        <v>1317</v>
      </c>
      <c r="D725" s="32">
        <v>74</v>
      </c>
      <c r="E725" s="37">
        <v>3</v>
      </c>
      <c r="F725" s="38" t="str">
        <f>VLOOKUP(tabPontoPed[[#This Row],[GRUPO]],tabGrupos[#Data],2,FALSE)</f>
        <v>MADEIRAS,LAMINADOS,COMPENSADOS E AGLOMERADOS</v>
      </c>
      <c r="G725" s="32" t="str">
        <f>VLOOKUP(tabPontoPed[[#This Row],[GRUPO]],tabGrupos[#Data],3,FALSE)</f>
        <v>MCO</v>
      </c>
      <c r="H725" s="33" t="s">
        <v>1311</v>
      </c>
      <c r="I725" s="80">
        <v>4</v>
      </c>
      <c r="J725" s="39">
        <v>9</v>
      </c>
      <c r="K725" s="41">
        <f>tabPontoPed[[#This Row],[QTDMÊS]] * tabPontoPed[[#This Row],[MENSAL]]</f>
        <v>36</v>
      </c>
      <c r="L725" s="83"/>
      <c r="M725" s="81"/>
      <c r="N725" s="34" t="s">
        <v>1009</v>
      </c>
      <c r="O725" s="76" t="s">
        <v>1669</v>
      </c>
      <c r="P725" s="77">
        <v>0</v>
      </c>
      <c r="Q725" s="57">
        <v>2</v>
      </c>
      <c r="R725" s="42">
        <v>9</v>
      </c>
      <c r="S725" s="69" t="str">
        <f>_xlfn.IFNA(IF(VLOOKUP(tabPontoPed[[#This Row],[CÓDIGO]],tabExcluirDoEstoque[#Data],1,FALSE),"sim",""),"")</f>
        <v/>
      </c>
      <c r="T725" s="43">
        <f>IF(AND(tabPontoPed[[#This Row],[MENSAL]]&gt;0,tabPontoPed[[#This Row],[CÁLCULO]]&gt;0), ABS( tabPontoPed[[#This Row],[MENSAL]] - tabPontoPed[[#This Row],[CÁLCULO]] ) / tabPontoPed[[#This Row],[MENSAL]], -1 )</f>
        <v>0</v>
      </c>
      <c r="U725" s="58">
        <v>40</v>
      </c>
      <c r="V725" s="35">
        <f>IF(AND(tabPontoPed[[#This Row],[MENSAL]]&gt;0,tabPontoPed[[#This Row],[CÁLCULO]]&gt;0), IF( tabPontoPed[[#This Row],[MENSAL]] - tabPontoPed[[#This Row],[CÁLCULO]] &lt; 0, -1, IF( tabPontoPed[[#This Row],[MENSAL]] - tabPontoPed[[#This Row],[CÁLCULO]] &gt; 0, 1, -8)), -9 )</f>
        <v>-8</v>
      </c>
      <c r="W725" s="35"/>
      <c r="X725" s="48" t="s">
        <v>1564</v>
      </c>
      <c r="Y725" s="53">
        <v>44391.599108796298</v>
      </c>
      <c r="Z725" s="72">
        <f>tabPontoPed[CÁLC_4M] - tabPontoPed[CÁLCULO]</f>
        <v>-7</v>
      </c>
      <c r="AA725" s="79" t="str">
        <f>IF(tabPontoPed[MENSAL]-tabPontoPed[ATA MENSAL] = 0,"sim","")</f>
        <v/>
      </c>
      <c r="AB725" s="79"/>
      <c r="AC725" s="47" t="str">
        <f t="shared" si="11"/>
        <v>*</v>
      </c>
    </row>
    <row r="726" spans="1:29" x14ac:dyDescent="0.25">
      <c r="A726" s="36">
        <v>101891</v>
      </c>
      <c r="B726" s="68" t="s">
        <v>603</v>
      </c>
      <c r="C726" s="33" t="s">
        <v>1317</v>
      </c>
      <c r="D726" s="32">
        <v>55</v>
      </c>
      <c r="E726" s="37">
        <v>18</v>
      </c>
      <c r="F726" s="38" t="str">
        <f>VLOOKUP(tabPontoPed[[#This Row],[GRUPO]],tabGrupos[#Data],2,FALSE)</f>
        <v>EQUIP. MAT. P/ GERACAO, TRANSM. DISTR. RETIF...</v>
      </c>
      <c r="G726" s="32" t="str">
        <f>VLOOKUP(tabPontoPed[[#This Row],[GRUPO]],tabGrupos[#Data],3,FALSE)</f>
        <v>MEL</v>
      </c>
      <c r="H726" s="33" t="s">
        <v>1311</v>
      </c>
      <c r="I726" s="80">
        <v>4</v>
      </c>
      <c r="J726" s="39">
        <v>5</v>
      </c>
      <c r="K726" s="41">
        <f>tabPontoPed[[#This Row],[QTDMÊS]] * tabPontoPed[[#This Row],[MENSAL]]</f>
        <v>20</v>
      </c>
      <c r="L726" s="83"/>
      <c r="M726" s="81"/>
      <c r="N726" s="34" t="s">
        <v>1009</v>
      </c>
      <c r="O726" s="76" t="s">
        <v>1667</v>
      </c>
      <c r="P726" s="77">
        <v>0</v>
      </c>
      <c r="Q726" s="57">
        <v>2</v>
      </c>
      <c r="R726" s="42">
        <v>5</v>
      </c>
      <c r="S726" s="69" t="str">
        <f>_xlfn.IFNA(IF(VLOOKUP(tabPontoPed[[#This Row],[CÓDIGO]],tabExcluirDoEstoque[#Data],1,FALSE),"sim",""),"")</f>
        <v/>
      </c>
      <c r="T726" s="43">
        <f>IF(AND(tabPontoPed[[#This Row],[MENSAL]]&gt;0,tabPontoPed[[#This Row],[CÁLCULO]]&gt;0), ABS( tabPontoPed[[#This Row],[MENSAL]] - tabPontoPed[[#This Row],[CÁLCULO]] ) / tabPontoPed[[#This Row],[MENSAL]], -1 )</f>
        <v>0</v>
      </c>
      <c r="U726" s="58">
        <v>24</v>
      </c>
      <c r="V726" s="35">
        <f>IF(AND(tabPontoPed[[#This Row],[MENSAL]]&gt;0,tabPontoPed[[#This Row],[CÁLCULO]]&gt;0), IF( tabPontoPed[[#This Row],[MENSAL]] - tabPontoPed[[#This Row],[CÁLCULO]] &lt; 0, -1, IF( tabPontoPed[[#This Row],[MENSAL]] - tabPontoPed[[#This Row],[CÁLCULO]] &gt; 0, 1, -8)), -9 )</f>
        <v>-8</v>
      </c>
      <c r="W726" s="35"/>
      <c r="X726" s="48" t="s">
        <v>1564</v>
      </c>
      <c r="Y726" s="53">
        <v>44391.599108796298</v>
      </c>
      <c r="Z726" s="72">
        <f>tabPontoPed[CÁLC_4M] - tabPontoPed[CÁLCULO]</f>
        <v>-3</v>
      </c>
      <c r="AA726" s="79" t="str">
        <f>IF(tabPontoPed[MENSAL]-tabPontoPed[ATA MENSAL] = 0,"sim","")</f>
        <v/>
      </c>
      <c r="AB726" s="79" t="s">
        <v>1614</v>
      </c>
      <c r="AC726" s="47" t="str">
        <f t="shared" si="11"/>
        <v>*</v>
      </c>
    </row>
    <row r="727" spans="1:29" x14ac:dyDescent="0.25">
      <c r="A727" s="36">
        <v>140028</v>
      </c>
      <c r="B727" s="68" t="s">
        <v>1779</v>
      </c>
      <c r="C727" s="33">
        <v>1</v>
      </c>
      <c r="D727" s="32">
        <v>55</v>
      </c>
      <c r="E727" s="37">
        <v>19</v>
      </c>
      <c r="F727" s="38" t="str">
        <f>VLOOKUP(tabPontoPed[[#This Row],[GRUPO]],tabGrupos[#Data],2,FALSE)</f>
        <v>EQUIP. MAT. P/ GERACAO, TRANSM. DISTR. RETIF...</v>
      </c>
      <c r="G727" s="32" t="str">
        <f>VLOOKUP(tabPontoPed[[#This Row],[GRUPO]],tabGrupos[#Data],3,FALSE)</f>
        <v>MEL</v>
      </c>
      <c r="H727" s="33" t="s">
        <v>1311</v>
      </c>
      <c r="I727" s="80">
        <v>4</v>
      </c>
      <c r="J727" s="39">
        <v>234</v>
      </c>
      <c r="K727" s="41">
        <f>tabPontoPed[[#This Row],[QTDMÊS]] * tabPontoPed[[#This Row],[MENSAL]]</f>
        <v>936</v>
      </c>
      <c r="L727" s="83"/>
      <c r="M727" s="81"/>
      <c r="N727" s="34" t="s">
        <v>1009</v>
      </c>
      <c r="O727" s="76" t="s">
        <v>1780</v>
      </c>
      <c r="P727" s="77">
        <v>0</v>
      </c>
      <c r="Q727" s="57">
        <v>3</v>
      </c>
      <c r="R727" s="42">
        <v>234</v>
      </c>
      <c r="S727" s="69" t="str">
        <f>_xlfn.IFNA(IF(VLOOKUP(tabPontoPed[[#This Row],[CÓDIGO]],tabExcluirDoEstoque[#Data],1,FALSE),"sim",""),"")</f>
        <v/>
      </c>
      <c r="T727" s="43">
        <f>IF(AND(tabPontoPed[[#This Row],[MENSAL]]&gt;0,tabPontoPed[[#This Row],[CÁLCULO]]&gt;0), ABS( tabPontoPed[[#This Row],[MENSAL]] - tabPontoPed[[#This Row],[CÁLCULO]] ) / tabPontoPed[[#This Row],[MENSAL]], -1 )</f>
        <v>0</v>
      </c>
      <c r="U727" s="58">
        <v>1100</v>
      </c>
      <c r="V727" s="35">
        <f>IF(AND(tabPontoPed[[#This Row],[MENSAL]]&gt;0,tabPontoPed[[#This Row],[CÁLCULO]]&gt;0), IF( tabPontoPed[[#This Row],[MENSAL]] - tabPontoPed[[#This Row],[CÁLCULO]] &lt; 0, -1, IF( tabPontoPed[[#This Row],[MENSAL]] - tabPontoPed[[#This Row],[CÁLCULO]] &gt; 0, 1, -8)), -9 )</f>
        <v>-8</v>
      </c>
      <c r="W727" s="35"/>
      <c r="X727" s="48" t="s">
        <v>1564</v>
      </c>
      <c r="Y727" s="53">
        <v>44391.647175925929</v>
      </c>
      <c r="Z727" s="72">
        <f>tabPontoPed[CÁLC_4M] - tabPontoPed[CÁLCULO]</f>
        <v>-231</v>
      </c>
      <c r="AA727" s="79" t="str">
        <f>IF(tabPontoPed[MENSAL]-tabPontoPed[ATA MENSAL] = 0,"sim","")</f>
        <v/>
      </c>
      <c r="AB727" s="79"/>
      <c r="AC727" s="47" t="str">
        <f t="shared" si="11"/>
        <v>*</v>
      </c>
    </row>
    <row r="728" spans="1:29" x14ac:dyDescent="0.25">
      <c r="A728" s="36">
        <v>140042</v>
      </c>
      <c r="B728" s="68" t="s">
        <v>1782</v>
      </c>
      <c r="C728" s="33">
        <v>1</v>
      </c>
      <c r="D728" s="32">
        <v>55</v>
      </c>
      <c r="E728" s="37">
        <v>19</v>
      </c>
      <c r="F728" s="38" t="str">
        <f>VLOOKUP(tabPontoPed[[#This Row],[GRUPO]],tabGrupos[#Data],2,FALSE)</f>
        <v>EQUIP. MAT. P/ GERACAO, TRANSM. DISTR. RETIF...</v>
      </c>
      <c r="G728" s="32" t="str">
        <f>VLOOKUP(tabPontoPed[[#This Row],[GRUPO]],tabGrupos[#Data],3,FALSE)</f>
        <v>MEL</v>
      </c>
      <c r="H728" s="33" t="s">
        <v>1311</v>
      </c>
      <c r="I728" s="80">
        <v>4</v>
      </c>
      <c r="J728" s="39">
        <v>112</v>
      </c>
      <c r="K728" s="41">
        <f>tabPontoPed[[#This Row],[QTDMÊS]] * tabPontoPed[[#This Row],[MENSAL]]</f>
        <v>448</v>
      </c>
      <c r="L728" s="83"/>
      <c r="M728" s="81"/>
      <c r="N728" s="34" t="s">
        <v>1009</v>
      </c>
      <c r="O728" s="76" t="s">
        <v>1780</v>
      </c>
      <c r="P728" s="77">
        <v>0</v>
      </c>
      <c r="Q728" s="57">
        <v>130</v>
      </c>
      <c r="R728" s="42">
        <v>112</v>
      </c>
      <c r="S728" s="69" t="str">
        <f>_xlfn.IFNA(IF(VLOOKUP(tabPontoPed[[#This Row],[CÓDIGO]],tabExcluirDoEstoque[#Data],1,FALSE),"sim",""),"")</f>
        <v/>
      </c>
      <c r="T728" s="43">
        <f>IF(AND(tabPontoPed[[#This Row],[MENSAL]]&gt;0,tabPontoPed[[#This Row],[CÁLCULO]]&gt;0), ABS( tabPontoPed[[#This Row],[MENSAL]] - tabPontoPed[[#This Row],[CÁLCULO]] ) / tabPontoPed[[#This Row],[MENSAL]], -1 )</f>
        <v>0</v>
      </c>
      <c r="U728" s="58">
        <v>200</v>
      </c>
      <c r="V728" s="35">
        <f>IF(AND(tabPontoPed[[#This Row],[MENSAL]]&gt;0,tabPontoPed[[#This Row],[CÁLCULO]]&gt;0), IF( tabPontoPed[[#This Row],[MENSAL]] - tabPontoPed[[#This Row],[CÁLCULO]] &lt; 0, -1, IF( tabPontoPed[[#This Row],[MENSAL]] - tabPontoPed[[#This Row],[CÁLCULO]] &gt; 0, 1, -8)), -9 )</f>
        <v>-8</v>
      </c>
      <c r="W728" s="35"/>
      <c r="X728" s="48" t="s">
        <v>1564</v>
      </c>
      <c r="Y728" s="53">
        <v>44391.647175925929</v>
      </c>
      <c r="Z728" s="72">
        <f>tabPontoPed[CÁLC_4M] - tabPontoPed[CÁLCULO]</f>
        <v>18</v>
      </c>
      <c r="AA728" s="79" t="str">
        <f>IF(tabPontoPed[MENSAL]-tabPontoPed[ATA MENSAL] = 0,"sim","")</f>
        <v/>
      </c>
      <c r="AB728" s="79"/>
      <c r="AC728" s="47" t="str">
        <f t="shared" si="11"/>
        <v>*</v>
      </c>
    </row>
    <row r="729" spans="1:29" x14ac:dyDescent="0.25">
      <c r="A729" s="36">
        <v>140043</v>
      </c>
      <c r="B729" s="68" t="s">
        <v>1783</v>
      </c>
      <c r="C729" s="33">
        <v>1</v>
      </c>
      <c r="D729" s="32">
        <v>55</v>
      </c>
      <c r="E729" s="37">
        <v>19</v>
      </c>
      <c r="F729" s="38" t="str">
        <f>VLOOKUP(tabPontoPed[[#This Row],[GRUPO]],tabGrupos[#Data],2,FALSE)</f>
        <v>EQUIP. MAT. P/ GERACAO, TRANSM. DISTR. RETIF...</v>
      </c>
      <c r="G729" s="32" t="str">
        <f>VLOOKUP(tabPontoPed[[#This Row],[GRUPO]],tabGrupos[#Data],3,FALSE)</f>
        <v>MEL</v>
      </c>
      <c r="H729" s="33" t="s">
        <v>1311</v>
      </c>
      <c r="I729" s="80">
        <v>4</v>
      </c>
      <c r="J729" s="39">
        <v>39</v>
      </c>
      <c r="K729" s="41">
        <f>tabPontoPed[[#This Row],[QTDMÊS]] * tabPontoPed[[#This Row],[MENSAL]]</f>
        <v>156</v>
      </c>
      <c r="L729" s="83"/>
      <c r="M729" s="81"/>
      <c r="N729" s="34" t="s">
        <v>1009</v>
      </c>
      <c r="O729" s="76" t="s">
        <v>1780</v>
      </c>
      <c r="P729" s="77">
        <v>0</v>
      </c>
      <c r="Q729" s="57">
        <v>38</v>
      </c>
      <c r="R729" s="42">
        <v>39</v>
      </c>
      <c r="S729" s="69" t="str">
        <f>_xlfn.IFNA(IF(VLOOKUP(tabPontoPed[[#This Row],[CÓDIGO]],tabExcluirDoEstoque[#Data],1,FALSE),"sim",""),"")</f>
        <v/>
      </c>
      <c r="T729" s="43">
        <f>IF(AND(tabPontoPed[[#This Row],[MENSAL]]&gt;0,tabPontoPed[[#This Row],[CÁLCULO]]&gt;0), ABS( tabPontoPed[[#This Row],[MENSAL]] - tabPontoPed[[#This Row],[CÁLCULO]] ) / tabPontoPed[[#This Row],[MENSAL]], -1 )</f>
        <v>0</v>
      </c>
      <c r="U729" s="58">
        <v>200</v>
      </c>
      <c r="V729" s="35">
        <f>IF(AND(tabPontoPed[[#This Row],[MENSAL]]&gt;0,tabPontoPed[[#This Row],[CÁLCULO]]&gt;0), IF( tabPontoPed[[#This Row],[MENSAL]] - tabPontoPed[[#This Row],[CÁLCULO]] &lt; 0, -1, IF( tabPontoPed[[#This Row],[MENSAL]] - tabPontoPed[[#This Row],[CÁLCULO]] &gt; 0, 1, -8)), -9 )</f>
        <v>-8</v>
      </c>
      <c r="W729" s="35"/>
      <c r="X729" s="48" t="s">
        <v>1564</v>
      </c>
      <c r="Y729" s="53">
        <v>44391.647175925929</v>
      </c>
      <c r="Z729" s="72">
        <f>tabPontoPed[CÁLC_4M] - tabPontoPed[CÁLCULO]</f>
        <v>-1</v>
      </c>
      <c r="AA729" s="79" t="str">
        <f>IF(tabPontoPed[MENSAL]-tabPontoPed[ATA MENSAL] = 0,"sim","")</f>
        <v/>
      </c>
      <c r="AB729" s="79"/>
      <c r="AC729" s="47" t="str">
        <f t="shared" si="11"/>
        <v>*</v>
      </c>
    </row>
    <row r="730" spans="1:29" x14ac:dyDescent="0.25">
      <c r="A730" s="36">
        <v>140032</v>
      </c>
      <c r="B730" s="68" t="s">
        <v>1784</v>
      </c>
      <c r="C730" s="33">
        <v>1</v>
      </c>
      <c r="D730" s="32">
        <v>55</v>
      </c>
      <c r="E730" s="37">
        <v>19</v>
      </c>
      <c r="F730" s="38" t="str">
        <f>VLOOKUP(tabPontoPed[[#This Row],[GRUPO]],tabGrupos[#Data],2,FALSE)</f>
        <v>EQUIP. MAT. P/ GERACAO, TRANSM. DISTR. RETIF...</v>
      </c>
      <c r="G730" s="32" t="str">
        <f>VLOOKUP(tabPontoPed[[#This Row],[GRUPO]],tabGrupos[#Data],3,FALSE)</f>
        <v>MEL</v>
      </c>
      <c r="H730" s="33" t="s">
        <v>1311</v>
      </c>
      <c r="I730" s="80">
        <v>4</v>
      </c>
      <c r="J730" s="39">
        <v>20</v>
      </c>
      <c r="K730" s="41">
        <f>tabPontoPed[[#This Row],[QTDMÊS]] * tabPontoPed[[#This Row],[MENSAL]]</f>
        <v>80</v>
      </c>
      <c r="L730" s="83"/>
      <c r="M730" s="81"/>
      <c r="N730" s="34" t="s">
        <v>1009</v>
      </c>
      <c r="O730" s="76" t="s">
        <v>1780</v>
      </c>
      <c r="P730" s="77">
        <v>0</v>
      </c>
      <c r="Q730" s="57">
        <v>22</v>
      </c>
      <c r="R730" s="42">
        <v>352</v>
      </c>
      <c r="S730" s="69" t="str">
        <f>_xlfn.IFNA(IF(VLOOKUP(tabPontoPed[[#This Row],[CÓDIGO]],tabExcluirDoEstoque[#Data],1,FALSE),"sim",""),"")</f>
        <v/>
      </c>
      <c r="T730" s="43">
        <f>IF(AND(tabPontoPed[[#This Row],[MENSAL]]&gt;0,tabPontoPed[[#This Row],[CÁLCULO]]&gt;0), ABS( tabPontoPed[[#This Row],[MENSAL]] - tabPontoPed[[#This Row],[CÁLCULO]] ) / tabPontoPed[[#This Row],[MENSAL]], -1 )</f>
        <v>16.600000000000001</v>
      </c>
      <c r="U730" s="58">
        <v>2000</v>
      </c>
      <c r="V730" s="35">
        <f>IF(AND(tabPontoPed[[#This Row],[MENSAL]]&gt;0,tabPontoPed[[#This Row],[CÁLCULO]]&gt;0), IF( tabPontoPed[[#This Row],[MENSAL]] - tabPontoPed[[#This Row],[CÁLCULO]] &lt; 0, -1, IF( tabPontoPed[[#This Row],[MENSAL]] - tabPontoPed[[#This Row],[CÁLCULO]] &gt; 0, 1, -8)), -9 )</f>
        <v>-1</v>
      </c>
      <c r="W730" s="35"/>
      <c r="X730" s="48" t="s">
        <v>1835</v>
      </c>
      <c r="Y730" s="53">
        <v>44529.323750000003</v>
      </c>
      <c r="Z730" s="72">
        <f>tabPontoPed[CÁLC_4M] - tabPontoPed[CÁLCULO]</f>
        <v>-330</v>
      </c>
      <c r="AA730" s="79" t="str">
        <f>IF(tabPontoPed[MENSAL]-tabPontoPed[ATA MENSAL] = 0,"sim","")</f>
        <v/>
      </c>
      <c r="AB730" s="79"/>
      <c r="AC730" s="47" t="str">
        <f t="shared" si="11"/>
        <v>*</v>
      </c>
    </row>
    <row r="731" spans="1:29" x14ac:dyDescent="0.25">
      <c r="A731" s="36">
        <v>140030</v>
      </c>
      <c r="B731" s="68" t="s">
        <v>1785</v>
      </c>
      <c r="C731" s="33">
        <v>1</v>
      </c>
      <c r="D731" s="32">
        <v>55</v>
      </c>
      <c r="E731" s="37">
        <v>19</v>
      </c>
      <c r="F731" s="38" t="str">
        <f>VLOOKUP(tabPontoPed[[#This Row],[GRUPO]],tabGrupos[#Data],2,FALSE)</f>
        <v>EQUIP. MAT. P/ GERACAO, TRANSM. DISTR. RETIF...</v>
      </c>
      <c r="G731" s="32" t="str">
        <f>VLOOKUP(tabPontoPed[[#This Row],[GRUPO]],tabGrupos[#Data],3,FALSE)</f>
        <v>MEL</v>
      </c>
      <c r="H731" s="33" t="s">
        <v>1311</v>
      </c>
      <c r="I731" s="80">
        <v>4</v>
      </c>
      <c r="J731" s="39">
        <v>8</v>
      </c>
      <c r="K731" s="41">
        <f>tabPontoPed[[#This Row],[QTDMÊS]] * tabPontoPed[[#This Row],[MENSAL]]</f>
        <v>32</v>
      </c>
      <c r="L731" s="83"/>
      <c r="M731" s="81"/>
      <c r="N731" s="34" t="s">
        <v>1009</v>
      </c>
      <c r="O731" s="76" t="s">
        <v>1780</v>
      </c>
      <c r="P731" s="77">
        <v>0</v>
      </c>
      <c r="Q731" s="57">
        <v>7</v>
      </c>
      <c r="R731" s="42">
        <v>114</v>
      </c>
      <c r="S731" s="69" t="str">
        <f>_xlfn.IFNA(IF(VLOOKUP(tabPontoPed[[#This Row],[CÓDIGO]],tabExcluirDoEstoque[#Data],1,FALSE),"sim",""),"")</f>
        <v/>
      </c>
      <c r="T731" s="43">
        <f>IF(AND(tabPontoPed[[#This Row],[MENSAL]]&gt;0,tabPontoPed[[#This Row],[CÁLCULO]]&gt;0), ABS( tabPontoPed[[#This Row],[MENSAL]] - tabPontoPed[[#This Row],[CÁLCULO]] ) / tabPontoPed[[#This Row],[MENSAL]], -1 )</f>
        <v>13.25</v>
      </c>
      <c r="U731" s="58">
        <v>500</v>
      </c>
      <c r="V731" s="35">
        <f>IF(AND(tabPontoPed[[#This Row],[MENSAL]]&gt;0,tabPontoPed[[#This Row],[CÁLCULO]]&gt;0), IF( tabPontoPed[[#This Row],[MENSAL]] - tabPontoPed[[#This Row],[CÁLCULO]] &lt; 0, -1, IF( tabPontoPed[[#This Row],[MENSAL]] - tabPontoPed[[#This Row],[CÁLCULO]] &gt; 0, 1, -8)), -9 )</f>
        <v>-1</v>
      </c>
      <c r="W731" s="35"/>
      <c r="X731" s="48" t="s">
        <v>1835</v>
      </c>
      <c r="Y731" s="53">
        <v>44529.323750000003</v>
      </c>
      <c r="Z731" s="72">
        <f>tabPontoPed[CÁLC_4M] - tabPontoPed[CÁLCULO]</f>
        <v>-107</v>
      </c>
      <c r="AA731" s="79" t="str">
        <f>IF(tabPontoPed[MENSAL]-tabPontoPed[ATA MENSAL] = 0,"sim","")</f>
        <v/>
      </c>
      <c r="AB731" s="79"/>
      <c r="AC731" s="47" t="str">
        <f t="shared" si="11"/>
        <v>*</v>
      </c>
    </row>
    <row r="732" spans="1:29" x14ac:dyDescent="0.25">
      <c r="A732" s="36">
        <v>140033</v>
      </c>
      <c r="B732" s="68" t="s">
        <v>1786</v>
      </c>
      <c r="C732" s="33">
        <v>1</v>
      </c>
      <c r="D732" s="32">
        <v>55</v>
      </c>
      <c r="E732" s="37">
        <v>19</v>
      </c>
      <c r="F732" s="38" t="str">
        <f>VLOOKUP(tabPontoPed[[#This Row],[GRUPO]],tabGrupos[#Data],2,FALSE)</f>
        <v>EQUIP. MAT. P/ GERACAO, TRANSM. DISTR. RETIF...</v>
      </c>
      <c r="G732" s="32" t="str">
        <f>VLOOKUP(tabPontoPed[[#This Row],[GRUPO]],tabGrupos[#Data],3,FALSE)</f>
        <v>MEL</v>
      </c>
      <c r="H732" s="33" t="s">
        <v>1311</v>
      </c>
      <c r="I732" s="80">
        <v>4</v>
      </c>
      <c r="J732" s="39">
        <v>40</v>
      </c>
      <c r="K732" s="41">
        <f>tabPontoPed[[#This Row],[QTDMÊS]] * tabPontoPed[[#This Row],[MENSAL]]</f>
        <v>160</v>
      </c>
      <c r="L732" s="83"/>
      <c r="M732" s="81"/>
      <c r="N732" s="34" t="s">
        <v>1009</v>
      </c>
      <c r="O732" s="76" t="s">
        <v>1780</v>
      </c>
      <c r="P732" s="77">
        <v>0</v>
      </c>
      <c r="Q732" s="57">
        <v>31</v>
      </c>
      <c r="R732" s="42">
        <v>402</v>
      </c>
      <c r="S732" s="69" t="str">
        <f>_xlfn.IFNA(IF(VLOOKUP(tabPontoPed[[#This Row],[CÓDIGO]],tabExcluirDoEstoque[#Data],1,FALSE),"sim",""),"")</f>
        <v/>
      </c>
      <c r="T732" s="43">
        <f>IF(AND(tabPontoPed[[#This Row],[MENSAL]]&gt;0,tabPontoPed[[#This Row],[CÁLCULO]]&gt;0), ABS( tabPontoPed[[#This Row],[MENSAL]] - tabPontoPed[[#This Row],[CÁLCULO]] ) / tabPontoPed[[#This Row],[MENSAL]], -1 )</f>
        <v>9.0500000000000007</v>
      </c>
      <c r="U732" s="58">
        <v>1700</v>
      </c>
      <c r="V732" s="35">
        <f>IF(AND(tabPontoPed[[#This Row],[MENSAL]]&gt;0,tabPontoPed[[#This Row],[CÁLCULO]]&gt;0), IF( tabPontoPed[[#This Row],[MENSAL]] - tabPontoPed[[#This Row],[CÁLCULO]] &lt; 0, -1, IF( tabPontoPed[[#This Row],[MENSAL]] - tabPontoPed[[#This Row],[CÁLCULO]] &gt; 0, 1, -8)), -9 )</f>
        <v>-1</v>
      </c>
      <c r="W732" s="35"/>
      <c r="X732" s="48" t="s">
        <v>1835</v>
      </c>
      <c r="Y732" s="53">
        <v>44529.323750000003</v>
      </c>
      <c r="Z732" s="72">
        <f>tabPontoPed[CÁLC_4M] - tabPontoPed[CÁLCULO]</f>
        <v>-371</v>
      </c>
      <c r="AA732" s="79" t="str">
        <f>IF(tabPontoPed[MENSAL]-tabPontoPed[ATA MENSAL] = 0,"sim","")</f>
        <v/>
      </c>
      <c r="AB732" s="79"/>
      <c r="AC732" s="47" t="str">
        <f t="shared" si="11"/>
        <v>*</v>
      </c>
    </row>
    <row r="733" spans="1:29" x14ac:dyDescent="0.25">
      <c r="A733" s="36">
        <v>140035</v>
      </c>
      <c r="B733" s="68" t="s">
        <v>1787</v>
      </c>
      <c r="C733" s="33">
        <v>1</v>
      </c>
      <c r="D733" s="32">
        <v>55</v>
      </c>
      <c r="E733" s="37">
        <v>19</v>
      </c>
      <c r="F733" s="38" t="str">
        <f>VLOOKUP(tabPontoPed[[#This Row],[GRUPO]],tabGrupos[#Data],2,FALSE)</f>
        <v>EQUIP. MAT. P/ GERACAO, TRANSM. DISTR. RETIF...</v>
      </c>
      <c r="G733" s="32" t="str">
        <f>VLOOKUP(tabPontoPed[[#This Row],[GRUPO]],tabGrupos[#Data],3,FALSE)</f>
        <v>MEL</v>
      </c>
      <c r="H733" s="33" t="s">
        <v>1311</v>
      </c>
      <c r="I733" s="80">
        <v>4</v>
      </c>
      <c r="J733" s="39">
        <v>20</v>
      </c>
      <c r="K733" s="41">
        <f>tabPontoPed[[#This Row],[QTDMÊS]] * tabPontoPed[[#This Row],[MENSAL]]</f>
        <v>80</v>
      </c>
      <c r="L733" s="83"/>
      <c r="M733" s="81"/>
      <c r="N733" s="34" t="s">
        <v>1009</v>
      </c>
      <c r="O733" s="76" t="s">
        <v>1780</v>
      </c>
      <c r="P733" s="77">
        <v>0</v>
      </c>
      <c r="Q733" s="57">
        <v>3</v>
      </c>
      <c r="R733" s="42">
        <v>223</v>
      </c>
      <c r="S733" s="69" t="str">
        <f>_xlfn.IFNA(IF(VLOOKUP(tabPontoPed[[#This Row],[CÓDIGO]],tabExcluirDoEstoque[#Data],1,FALSE),"sim",""),"")</f>
        <v/>
      </c>
      <c r="T733" s="43">
        <f>IF(AND(tabPontoPed[[#This Row],[MENSAL]]&gt;0,tabPontoPed[[#This Row],[CÁLCULO]]&gt;0), ABS( tabPontoPed[[#This Row],[MENSAL]] - tabPontoPed[[#This Row],[CÁLCULO]] ) / tabPontoPed[[#This Row],[MENSAL]], -1 )</f>
        <v>10.15</v>
      </c>
      <c r="U733" s="58">
        <v>1600</v>
      </c>
      <c r="V733" s="35">
        <f>IF(AND(tabPontoPed[[#This Row],[MENSAL]]&gt;0,tabPontoPed[[#This Row],[CÁLCULO]]&gt;0), IF( tabPontoPed[[#This Row],[MENSAL]] - tabPontoPed[[#This Row],[CÁLCULO]] &lt; 0, -1, IF( tabPontoPed[[#This Row],[MENSAL]] - tabPontoPed[[#This Row],[CÁLCULO]] &gt; 0, 1, -8)), -9 )</f>
        <v>-1</v>
      </c>
      <c r="W733" s="35"/>
      <c r="X733" s="48" t="s">
        <v>1835</v>
      </c>
      <c r="Y733" s="53">
        <v>44529.323750000003</v>
      </c>
      <c r="Z733" s="72">
        <f>tabPontoPed[CÁLC_4M] - tabPontoPed[CÁLCULO]</f>
        <v>-220</v>
      </c>
      <c r="AA733" s="79" t="str">
        <f>IF(tabPontoPed[MENSAL]-tabPontoPed[ATA MENSAL] = 0,"sim","")</f>
        <v/>
      </c>
      <c r="AB733" s="79"/>
      <c r="AC733" s="47" t="str">
        <f t="shared" si="11"/>
        <v>*</v>
      </c>
    </row>
    <row r="734" spans="1:29" x14ac:dyDescent="0.25">
      <c r="A734" s="36">
        <v>140036</v>
      </c>
      <c r="B734" s="68" t="s">
        <v>1788</v>
      </c>
      <c r="C734" s="33">
        <v>1</v>
      </c>
      <c r="D734" s="32">
        <v>55</v>
      </c>
      <c r="E734" s="37">
        <v>19</v>
      </c>
      <c r="F734" s="38" t="str">
        <f>VLOOKUP(tabPontoPed[[#This Row],[GRUPO]],tabGrupos[#Data],2,FALSE)</f>
        <v>EQUIP. MAT. P/ GERACAO, TRANSM. DISTR. RETIF...</v>
      </c>
      <c r="G734" s="32" t="str">
        <f>VLOOKUP(tabPontoPed[[#This Row],[GRUPO]],tabGrupos[#Data],3,FALSE)</f>
        <v>MEL</v>
      </c>
      <c r="H734" s="33" t="s">
        <v>1311</v>
      </c>
      <c r="I734" s="80">
        <v>4</v>
      </c>
      <c r="J734" s="39">
        <v>20</v>
      </c>
      <c r="K734" s="41">
        <f>tabPontoPed[[#This Row],[QTDMÊS]] * tabPontoPed[[#This Row],[MENSAL]]</f>
        <v>80</v>
      </c>
      <c r="L734" s="83"/>
      <c r="M734" s="81"/>
      <c r="N734" s="34" t="s">
        <v>1009</v>
      </c>
      <c r="O734" s="76" t="s">
        <v>1780</v>
      </c>
      <c r="P734" s="77">
        <v>0</v>
      </c>
      <c r="Q734" s="57">
        <v>4</v>
      </c>
      <c r="R734" s="42">
        <v>306</v>
      </c>
      <c r="S734" s="69" t="str">
        <f>_xlfn.IFNA(IF(VLOOKUP(tabPontoPed[[#This Row],[CÓDIGO]],tabExcluirDoEstoque[#Data],1,FALSE),"sim",""),"")</f>
        <v/>
      </c>
      <c r="T734" s="43">
        <f>IF(AND(tabPontoPed[[#This Row],[MENSAL]]&gt;0,tabPontoPed[[#This Row],[CÁLCULO]]&gt;0), ABS( tabPontoPed[[#This Row],[MENSAL]] - tabPontoPed[[#This Row],[CÁLCULO]] ) / tabPontoPed[[#This Row],[MENSAL]], -1 )</f>
        <v>14.3</v>
      </c>
      <c r="U734" s="58">
        <v>1695</v>
      </c>
      <c r="V734" s="35">
        <f>IF(AND(tabPontoPed[[#This Row],[MENSAL]]&gt;0,tabPontoPed[[#This Row],[CÁLCULO]]&gt;0), IF( tabPontoPed[[#This Row],[MENSAL]] - tabPontoPed[[#This Row],[CÁLCULO]] &lt; 0, -1, IF( tabPontoPed[[#This Row],[MENSAL]] - tabPontoPed[[#This Row],[CÁLCULO]] &gt; 0, 1, -8)), -9 )</f>
        <v>-1</v>
      </c>
      <c r="W734" s="35"/>
      <c r="X734" s="48" t="s">
        <v>1835</v>
      </c>
      <c r="Y734" s="53">
        <v>44529.323750000003</v>
      </c>
      <c r="Z734" s="72">
        <f>tabPontoPed[CÁLC_4M] - tabPontoPed[CÁLCULO]</f>
        <v>-302</v>
      </c>
      <c r="AA734" s="79" t="str">
        <f>IF(tabPontoPed[MENSAL]-tabPontoPed[ATA MENSAL] = 0,"sim","")</f>
        <v/>
      </c>
      <c r="AB734" s="79"/>
      <c r="AC734" s="47" t="str">
        <f t="shared" si="11"/>
        <v>*</v>
      </c>
    </row>
    <row r="735" spans="1:29" x14ac:dyDescent="0.25">
      <c r="A735" s="36">
        <v>140038</v>
      </c>
      <c r="B735" s="68" t="s">
        <v>1789</v>
      </c>
      <c r="C735" s="33">
        <v>1</v>
      </c>
      <c r="D735" s="32">
        <v>55</v>
      </c>
      <c r="E735" s="37">
        <v>19</v>
      </c>
      <c r="F735" s="38" t="str">
        <f>VLOOKUP(tabPontoPed[[#This Row],[GRUPO]],tabGrupos[#Data],2,FALSE)</f>
        <v>EQUIP. MAT. P/ GERACAO, TRANSM. DISTR. RETIF...</v>
      </c>
      <c r="G735" s="32" t="str">
        <f>VLOOKUP(tabPontoPed[[#This Row],[GRUPO]],tabGrupos[#Data],3,FALSE)</f>
        <v>MEL</v>
      </c>
      <c r="H735" s="33" t="s">
        <v>1311</v>
      </c>
      <c r="I735" s="80">
        <v>4</v>
      </c>
      <c r="J735" s="39">
        <v>10</v>
      </c>
      <c r="K735" s="41">
        <f>tabPontoPed[[#This Row],[QTDMÊS]] * tabPontoPed[[#This Row],[MENSAL]]</f>
        <v>40</v>
      </c>
      <c r="L735" s="83"/>
      <c r="M735" s="81"/>
      <c r="N735" s="34" t="s">
        <v>1009</v>
      </c>
      <c r="O735" s="76" t="s">
        <v>1780</v>
      </c>
      <c r="P735" s="77">
        <v>0</v>
      </c>
      <c r="Q735" s="57">
        <v>2</v>
      </c>
      <c r="R735" s="42">
        <v>33</v>
      </c>
      <c r="S735" s="69" t="str">
        <f>_xlfn.IFNA(IF(VLOOKUP(tabPontoPed[[#This Row],[CÓDIGO]],tabExcluirDoEstoque[#Data],1,FALSE),"sim",""),"")</f>
        <v/>
      </c>
      <c r="T735" s="43">
        <f>IF(AND(tabPontoPed[[#This Row],[MENSAL]]&gt;0,tabPontoPed[[#This Row],[CÁLCULO]]&gt;0), ABS( tabPontoPed[[#This Row],[MENSAL]] - tabPontoPed[[#This Row],[CÁLCULO]] ) / tabPontoPed[[#This Row],[MENSAL]], -1 )</f>
        <v>2.2999999999999998</v>
      </c>
      <c r="U735" s="58">
        <v>60</v>
      </c>
      <c r="V735" s="35">
        <f>IF(AND(tabPontoPed[[#This Row],[MENSAL]]&gt;0,tabPontoPed[[#This Row],[CÁLCULO]]&gt;0), IF( tabPontoPed[[#This Row],[MENSAL]] - tabPontoPed[[#This Row],[CÁLCULO]] &lt; 0, -1, IF( tabPontoPed[[#This Row],[MENSAL]] - tabPontoPed[[#This Row],[CÁLCULO]] &gt; 0, 1, -8)), -9 )</f>
        <v>-1</v>
      </c>
      <c r="W735" s="35"/>
      <c r="X735" s="48" t="s">
        <v>1835</v>
      </c>
      <c r="Y735" s="53">
        <v>44529.323750000003</v>
      </c>
      <c r="Z735" s="72">
        <f>tabPontoPed[CÁLC_4M] - tabPontoPed[CÁLCULO]</f>
        <v>-31</v>
      </c>
      <c r="AA735" s="79" t="str">
        <f>IF(tabPontoPed[MENSAL]-tabPontoPed[ATA MENSAL] = 0,"sim","")</f>
        <v/>
      </c>
      <c r="AB735" s="79"/>
      <c r="AC735" s="47" t="str">
        <f t="shared" si="11"/>
        <v>*</v>
      </c>
    </row>
    <row r="736" spans="1:29" x14ac:dyDescent="0.25">
      <c r="A736" s="36">
        <v>140049</v>
      </c>
      <c r="B736" s="68" t="s">
        <v>1790</v>
      </c>
      <c r="C736" s="33">
        <v>1</v>
      </c>
      <c r="D736" s="32">
        <v>55</v>
      </c>
      <c r="E736" s="37">
        <v>19</v>
      </c>
      <c r="F736" s="38" t="str">
        <f>VLOOKUP(tabPontoPed[[#This Row],[GRUPO]],tabGrupos[#Data],2,FALSE)</f>
        <v>EQUIP. MAT. P/ GERACAO, TRANSM. DISTR. RETIF...</v>
      </c>
      <c r="G736" s="32" t="str">
        <f>VLOOKUP(tabPontoPed[[#This Row],[GRUPO]],tabGrupos[#Data],3,FALSE)</f>
        <v>MEL</v>
      </c>
      <c r="H736" s="33" t="s">
        <v>1311</v>
      </c>
      <c r="I736" s="80">
        <v>4</v>
      </c>
      <c r="J736" s="39">
        <v>20</v>
      </c>
      <c r="K736" s="41">
        <f>tabPontoPed[[#This Row],[QTDMÊS]] * tabPontoPed[[#This Row],[MENSAL]]</f>
        <v>80</v>
      </c>
      <c r="L736" s="83"/>
      <c r="M736" s="81"/>
      <c r="N736" s="34" t="s">
        <v>1009</v>
      </c>
      <c r="O736" s="76" t="s">
        <v>1780</v>
      </c>
      <c r="P736" s="77">
        <v>0</v>
      </c>
      <c r="Q736" s="57">
        <v>25</v>
      </c>
      <c r="R736" s="42">
        <v>20</v>
      </c>
      <c r="S736" s="69" t="str">
        <f>_xlfn.IFNA(IF(VLOOKUP(tabPontoPed[[#This Row],[CÓDIGO]],tabExcluirDoEstoque[#Data],1,FALSE),"sim",""),"")</f>
        <v/>
      </c>
      <c r="T736" s="43">
        <f>IF(AND(tabPontoPed[[#This Row],[MENSAL]]&gt;0,tabPontoPed[[#This Row],[CÁLCULO]]&gt;0), ABS( tabPontoPed[[#This Row],[MENSAL]] - tabPontoPed[[#This Row],[CÁLCULO]] ) / tabPontoPed[[#This Row],[MENSAL]], -1 )</f>
        <v>0</v>
      </c>
      <c r="U736" s="58">
        <v>100</v>
      </c>
      <c r="V736" s="35">
        <f>IF(AND(tabPontoPed[[#This Row],[MENSAL]]&gt;0,tabPontoPed[[#This Row],[CÁLCULO]]&gt;0), IF( tabPontoPed[[#This Row],[MENSAL]] - tabPontoPed[[#This Row],[CÁLCULO]] &lt; 0, -1, IF( tabPontoPed[[#This Row],[MENSAL]] - tabPontoPed[[#This Row],[CÁLCULO]] &gt; 0, 1, -8)), -9 )</f>
        <v>-8</v>
      </c>
      <c r="W736" s="35"/>
      <c r="X736" s="48" t="s">
        <v>1564</v>
      </c>
      <c r="Y736" s="53">
        <v>44391.647175925929</v>
      </c>
      <c r="Z736" s="72">
        <f>tabPontoPed[CÁLC_4M] - tabPontoPed[CÁLCULO]</f>
        <v>5</v>
      </c>
      <c r="AA736" s="79" t="str">
        <f>IF(tabPontoPed[MENSAL]-tabPontoPed[ATA MENSAL] = 0,"sim","")</f>
        <v/>
      </c>
      <c r="AB736" s="79"/>
      <c r="AC736" s="47" t="str">
        <f t="shared" si="11"/>
        <v>*</v>
      </c>
    </row>
    <row r="737" spans="1:29" x14ac:dyDescent="0.25">
      <c r="A737" s="36">
        <v>140048</v>
      </c>
      <c r="B737" s="68" t="s">
        <v>1791</v>
      </c>
      <c r="C737" s="33">
        <v>1</v>
      </c>
      <c r="D737" s="32">
        <v>55</v>
      </c>
      <c r="E737" s="37">
        <v>19</v>
      </c>
      <c r="F737" s="38" t="str">
        <f>VLOOKUP(tabPontoPed[[#This Row],[GRUPO]],tabGrupos[#Data],2,FALSE)</f>
        <v>EQUIP. MAT. P/ GERACAO, TRANSM. DISTR. RETIF...</v>
      </c>
      <c r="G737" s="32" t="str">
        <f>VLOOKUP(tabPontoPed[[#This Row],[GRUPO]],tabGrupos[#Data],3,FALSE)</f>
        <v>MEL</v>
      </c>
      <c r="H737" s="33" t="s">
        <v>1311</v>
      </c>
      <c r="I737" s="80">
        <v>4</v>
      </c>
      <c r="J737" s="39">
        <v>128</v>
      </c>
      <c r="K737" s="41">
        <f>tabPontoPed[[#This Row],[QTDMÊS]] * tabPontoPed[[#This Row],[MENSAL]]</f>
        <v>512</v>
      </c>
      <c r="L737" s="83"/>
      <c r="M737" s="81"/>
      <c r="N737" s="34" t="s">
        <v>1009</v>
      </c>
      <c r="O737" s="76" t="s">
        <v>1780</v>
      </c>
      <c r="P737" s="77">
        <v>0</v>
      </c>
      <c r="Q737" s="57">
        <v>75</v>
      </c>
      <c r="R737" s="42">
        <v>128</v>
      </c>
      <c r="S737" s="69" t="str">
        <f>_xlfn.IFNA(IF(VLOOKUP(tabPontoPed[[#This Row],[CÓDIGO]],tabExcluirDoEstoque[#Data],1,FALSE),"sim",""),"")</f>
        <v/>
      </c>
      <c r="T737" s="43">
        <f>IF(AND(tabPontoPed[[#This Row],[MENSAL]]&gt;0,tabPontoPed[[#This Row],[CÁLCULO]]&gt;0), ABS( tabPontoPed[[#This Row],[MENSAL]] - tabPontoPed[[#This Row],[CÁLCULO]] ) / tabPontoPed[[#This Row],[MENSAL]], -1 )</f>
        <v>0</v>
      </c>
      <c r="U737" s="58">
        <v>350</v>
      </c>
      <c r="V737" s="35">
        <f>IF(AND(tabPontoPed[[#This Row],[MENSAL]]&gt;0,tabPontoPed[[#This Row],[CÁLCULO]]&gt;0), IF( tabPontoPed[[#This Row],[MENSAL]] - tabPontoPed[[#This Row],[CÁLCULO]] &lt; 0, -1, IF( tabPontoPed[[#This Row],[MENSAL]] - tabPontoPed[[#This Row],[CÁLCULO]] &gt; 0, 1, -8)), -9 )</f>
        <v>-8</v>
      </c>
      <c r="W737" s="35"/>
      <c r="X737" s="48" t="s">
        <v>1564</v>
      </c>
      <c r="Y737" s="53">
        <v>44391.647175925929</v>
      </c>
      <c r="Z737" s="72">
        <f>tabPontoPed[CÁLC_4M] - tabPontoPed[CÁLCULO]</f>
        <v>-53</v>
      </c>
      <c r="AA737" s="79" t="str">
        <f>IF(tabPontoPed[MENSAL]-tabPontoPed[ATA MENSAL] = 0,"sim","")</f>
        <v/>
      </c>
      <c r="AB737" s="79"/>
      <c r="AC737" s="47" t="str">
        <f t="shared" si="11"/>
        <v>*</v>
      </c>
    </row>
    <row r="738" spans="1:29" x14ac:dyDescent="0.25">
      <c r="A738" s="36">
        <v>140050</v>
      </c>
      <c r="B738" s="68" t="s">
        <v>1792</v>
      </c>
      <c r="C738" s="33">
        <v>1</v>
      </c>
      <c r="D738" s="32">
        <v>55</v>
      </c>
      <c r="E738" s="37">
        <v>19</v>
      </c>
      <c r="F738" s="38" t="str">
        <f>VLOOKUP(tabPontoPed[[#This Row],[GRUPO]],tabGrupos[#Data],2,FALSE)</f>
        <v>EQUIP. MAT. P/ GERACAO, TRANSM. DISTR. RETIF...</v>
      </c>
      <c r="G738" s="32" t="str">
        <f>VLOOKUP(tabPontoPed[[#This Row],[GRUPO]],tabGrupos[#Data],3,FALSE)</f>
        <v>MEL</v>
      </c>
      <c r="H738" s="33" t="s">
        <v>1311</v>
      </c>
      <c r="I738" s="80">
        <v>4</v>
      </c>
      <c r="J738" s="39">
        <v>29</v>
      </c>
      <c r="K738" s="41">
        <f>tabPontoPed[[#This Row],[QTDMÊS]] * tabPontoPed[[#This Row],[MENSAL]]</f>
        <v>116</v>
      </c>
      <c r="L738" s="83"/>
      <c r="M738" s="81"/>
      <c r="N738" s="34" t="s">
        <v>1009</v>
      </c>
      <c r="O738" s="76" t="s">
        <v>1780</v>
      </c>
      <c r="P738" s="77">
        <v>0</v>
      </c>
      <c r="Q738" s="57">
        <v>40</v>
      </c>
      <c r="R738" s="42">
        <v>29</v>
      </c>
      <c r="S738" s="69" t="str">
        <f>_xlfn.IFNA(IF(VLOOKUP(tabPontoPed[[#This Row],[CÓDIGO]],tabExcluirDoEstoque[#Data],1,FALSE),"sim",""),"")</f>
        <v/>
      </c>
      <c r="T738" s="43">
        <f>IF(AND(tabPontoPed[[#This Row],[MENSAL]]&gt;0,tabPontoPed[[#This Row],[CÁLCULO]]&gt;0), ABS( tabPontoPed[[#This Row],[MENSAL]] - tabPontoPed[[#This Row],[CÁLCULO]] ) / tabPontoPed[[#This Row],[MENSAL]], -1 )</f>
        <v>0</v>
      </c>
      <c r="U738" s="58">
        <v>100</v>
      </c>
      <c r="V738" s="35">
        <f>IF(AND(tabPontoPed[[#This Row],[MENSAL]]&gt;0,tabPontoPed[[#This Row],[CÁLCULO]]&gt;0), IF( tabPontoPed[[#This Row],[MENSAL]] - tabPontoPed[[#This Row],[CÁLCULO]] &lt; 0, -1, IF( tabPontoPed[[#This Row],[MENSAL]] - tabPontoPed[[#This Row],[CÁLCULO]] &gt; 0, 1, -8)), -9 )</f>
        <v>-8</v>
      </c>
      <c r="W738" s="35"/>
      <c r="X738" s="48" t="s">
        <v>1564</v>
      </c>
      <c r="Y738" s="53">
        <v>44391.647175925929</v>
      </c>
      <c r="Z738" s="72">
        <f>tabPontoPed[CÁLC_4M] - tabPontoPed[CÁLCULO]</f>
        <v>11</v>
      </c>
      <c r="AA738" s="79" t="str">
        <f>IF(tabPontoPed[MENSAL]-tabPontoPed[ATA MENSAL] = 0,"sim","")</f>
        <v/>
      </c>
      <c r="AB738" s="79"/>
      <c r="AC738" s="47" t="str">
        <f t="shared" si="11"/>
        <v>*</v>
      </c>
    </row>
    <row r="739" spans="1:29" x14ac:dyDescent="0.25">
      <c r="A739" s="36">
        <v>140051</v>
      </c>
      <c r="B739" s="68" t="s">
        <v>1794</v>
      </c>
      <c r="C739" s="33">
        <v>1</v>
      </c>
      <c r="D739" s="32">
        <v>55</v>
      </c>
      <c r="E739" s="37">
        <v>19</v>
      </c>
      <c r="F739" s="38" t="str">
        <f>VLOOKUP(tabPontoPed[[#This Row],[GRUPO]],tabGrupos[#Data],2,FALSE)</f>
        <v>EQUIP. MAT. P/ GERACAO, TRANSM. DISTR. RETIF...</v>
      </c>
      <c r="G739" s="32" t="str">
        <f>VLOOKUP(tabPontoPed[[#This Row],[GRUPO]],tabGrupos[#Data],3,FALSE)</f>
        <v>MEL</v>
      </c>
      <c r="H739" s="33" t="s">
        <v>1311</v>
      </c>
      <c r="I739" s="80">
        <v>4</v>
      </c>
      <c r="J739" s="39">
        <v>22</v>
      </c>
      <c r="K739" s="41">
        <f>tabPontoPed[[#This Row],[QTDMÊS]] * tabPontoPed[[#This Row],[MENSAL]]</f>
        <v>88</v>
      </c>
      <c r="L739" s="83"/>
      <c r="M739" s="81"/>
      <c r="N739" s="34" t="s">
        <v>1009</v>
      </c>
      <c r="O739" s="76" t="s">
        <v>1780</v>
      </c>
      <c r="P739" s="77">
        <v>0</v>
      </c>
      <c r="Q739" s="57">
        <v>28</v>
      </c>
      <c r="R739" s="42">
        <v>22</v>
      </c>
      <c r="S739" s="69" t="str">
        <f>_xlfn.IFNA(IF(VLOOKUP(tabPontoPed[[#This Row],[CÓDIGO]],tabExcluirDoEstoque[#Data],1,FALSE),"sim",""),"")</f>
        <v/>
      </c>
      <c r="T739" s="43">
        <f>IF(AND(tabPontoPed[[#This Row],[MENSAL]]&gt;0,tabPontoPed[[#This Row],[CÁLCULO]]&gt;0), ABS( tabPontoPed[[#This Row],[MENSAL]] - tabPontoPed[[#This Row],[CÁLCULO]] ) / tabPontoPed[[#This Row],[MENSAL]], -1 )</f>
        <v>0</v>
      </c>
      <c r="U739" s="58">
        <v>100</v>
      </c>
      <c r="V739" s="35">
        <f>IF(AND(tabPontoPed[[#This Row],[MENSAL]]&gt;0,tabPontoPed[[#This Row],[CÁLCULO]]&gt;0), IF( tabPontoPed[[#This Row],[MENSAL]] - tabPontoPed[[#This Row],[CÁLCULO]] &lt; 0, -1, IF( tabPontoPed[[#This Row],[MENSAL]] - tabPontoPed[[#This Row],[CÁLCULO]] &gt; 0, 1, -8)), -9 )</f>
        <v>-8</v>
      </c>
      <c r="W739" s="35"/>
      <c r="X739" s="48" t="s">
        <v>1564</v>
      </c>
      <c r="Y739" s="53">
        <v>44391.647175925929</v>
      </c>
      <c r="Z739" s="72">
        <f>tabPontoPed[CÁLC_4M] - tabPontoPed[CÁLCULO]</f>
        <v>6</v>
      </c>
      <c r="AA739" s="79" t="str">
        <f>IF(tabPontoPed[MENSAL]-tabPontoPed[ATA MENSAL] = 0,"sim","")</f>
        <v/>
      </c>
      <c r="AB739" s="79"/>
      <c r="AC739" s="47" t="str">
        <f t="shared" si="11"/>
        <v>*</v>
      </c>
    </row>
    <row r="740" spans="1:29" x14ac:dyDescent="0.25">
      <c r="A740" s="36">
        <v>140052</v>
      </c>
      <c r="B740" s="68" t="s">
        <v>1796</v>
      </c>
      <c r="C740" s="33">
        <v>1</v>
      </c>
      <c r="D740" s="32">
        <v>55</v>
      </c>
      <c r="E740" s="37">
        <v>19</v>
      </c>
      <c r="F740" s="38" t="str">
        <f>VLOOKUP(tabPontoPed[[#This Row],[GRUPO]],tabGrupos[#Data],2,FALSE)</f>
        <v>EQUIP. MAT. P/ GERACAO, TRANSM. DISTR. RETIF...</v>
      </c>
      <c r="G740" s="32" t="str">
        <f>VLOOKUP(tabPontoPed[[#This Row],[GRUPO]],tabGrupos[#Data],3,FALSE)</f>
        <v>MEL</v>
      </c>
      <c r="H740" s="33" t="s">
        <v>1311</v>
      </c>
      <c r="I740" s="80">
        <v>4</v>
      </c>
      <c r="J740" s="39">
        <v>99</v>
      </c>
      <c r="K740" s="41">
        <f>tabPontoPed[[#This Row],[QTDMÊS]] * tabPontoPed[[#This Row],[MENSAL]]</f>
        <v>396</v>
      </c>
      <c r="L740" s="83"/>
      <c r="M740" s="81"/>
      <c r="N740" s="34" t="s">
        <v>1009</v>
      </c>
      <c r="O740" s="76" t="s">
        <v>1780</v>
      </c>
      <c r="P740" s="77">
        <v>0</v>
      </c>
      <c r="Q740" s="57">
        <v>0</v>
      </c>
      <c r="R740" s="42">
        <v>99</v>
      </c>
      <c r="S740" s="69" t="str">
        <f>_xlfn.IFNA(IF(VLOOKUP(tabPontoPed[[#This Row],[CÓDIGO]],tabExcluirDoEstoque[#Data],1,FALSE),"sim",""),"")</f>
        <v/>
      </c>
      <c r="T740" s="43">
        <f>IF(AND(tabPontoPed[[#This Row],[MENSAL]]&gt;0,tabPontoPed[[#This Row],[CÁLCULO]]&gt;0), ABS( tabPontoPed[[#This Row],[MENSAL]] - tabPontoPed[[#This Row],[CÁLCULO]] ) / tabPontoPed[[#This Row],[MENSAL]], -1 )</f>
        <v>0</v>
      </c>
      <c r="U740" s="58">
        <v>600</v>
      </c>
      <c r="V740" s="35">
        <f>IF(AND(tabPontoPed[[#This Row],[MENSAL]]&gt;0,tabPontoPed[[#This Row],[CÁLCULO]]&gt;0), IF( tabPontoPed[[#This Row],[MENSAL]] - tabPontoPed[[#This Row],[CÁLCULO]] &lt; 0, -1, IF( tabPontoPed[[#This Row],[MENSAL]] - tabPontoPed[[#This Row],[CÁLCULO]] &gt; 0, 1, -8)), -9 )</f>
        <v>-8</v>
      </c>
      <c r="W740" s="35"/>
      <c r="X740" s="48" t="s">
        <v>1564</v>
      </c>
      <c r="Y740" s="53">
        <v>44391.647175925929</v>
      </c>
      <c r="Z740" s="72">
        <f>tabPontoPed[CÁLC_4M] - tabPontoPed[CÁLCULO]</f>
        <v>-99</v>
      </c>
      <c r="AA740" s="79" t="str">
        <f>IF(tabPontoPed[MENSAL]-tabPontoPed[ATA MENSAL] = 0,"sim","")</f>
        <v/>
      </c>
      <c r="AB740" s="79"/>
      <c r="AC740" s="47" t="str">
        <f t="shared" si="11"/>
        <v>*</v>
      </c>
    </row>
    <row r="741" spans="1:29" x14ac:dyDescent="0.25">
      <c r="A741" s="36">
        <v>140053</v>
      </c>
      <c r="B741" s="68" t="s">
        <v>1797</v>
      </c>
      <c r="C741" s="33">
        <v>1</v>
      </c>
      <c r="D741" s="32">
        <v>55</v>
      </c>
      <c r="E741" s="37">
        <v>19</v>
      </c>
      <c r="F741" s="38" t="str">
        <f>VLOOKUP(tabPontoPed[[#This Row],[GRUPO]],tabGrupos[#Data],2,FALSE)</f>
        <v>EQUIP. MAT. P/ GERACAO, TRANSM. DISTR. RETIF...</v>
      </c>
      <c r="G741" s="32" t="str">
        <f>VLOOKUP(tabPontoPed[[#This Row],[GRUPO]],tabGrupos[#Data],3,FALSE)</f>
        <v>MEL</v>
      </c>
      <c r="H741" s="33" t="s">
        <v>1311</v>
      </c>
      <c r="I741" s="80">
        <v>4</v>
      </c>
      <c r="J741" s="39">
        <v>2</v>
      </c>
      <c r="K741" s="41">
        <f>tabPontoPed[[#This Row],[QTDMÊS]] * tabPontoPed[[#This Row],[MENSAL]]</f>
        <v>8</v>
      </c>
      <c r="L741" s="83"/>
      <c r="M741" s="81"/>
      <c r="N741" s="34" t="s">
        <v>1009</v>
      </c>
      <c r="O741" s="76" t="s">
        <v>1780</v>
      </c>
      <c r="P741" s="77">
        <v>0</v>
      </c>
      <c r="Q741" s="57">
        <v>0</v>
      </c>
      <c r="R741" s="42">
        <v>2</v>
      </c>
      <c r="S741" s="69" t="str">
        <f>_xlfn.IFNA(IF(VLOOKUP(tabPontoPed[[#This Row],[CÓDIGO]],tabExcluirDoEstoque[#Data],1,FALSE),"sim",""),"")</f>
        <v/>
      </c>
      <c r="T741" s="43">
        <f>IF(AND(tabPontoPed[[#This Row],[MENSAL]]&gt;0,tabPontoPed[[#This Row],[CÁLCULO]]&gt;0), ABS( tabPontoPed[[#This Row],[MENSAL]] - tabPontoPed[[#This Row],[CÁLCULO]] ) / tabPontoPed[[#This Row],[MENSAL]], -1 )</f>
        <v>0</v>
      </c>
      <c r="U741" s="58">
        <v>10</v>
      </c>
      <c r="V741" s="35">
        <f>IF(AND(tabPontoPed[[#This Row],[MENSAL]]&gt;0,tabPontoPed[[#This Row],[CÁLCULO]]&gt;0), IF( tabPontoPed[[#This Row],[MENSAL]] - tabPontoPed[[#This Row],[CÁLCULO]] &lt; 0, -1, IF( tabPontoPed[[#This Row],[MENSAL]] - tabPontoPed[[#This Row],[CÁLCULO]] &gt; 0, 1, -8)), -9 )</f>
        <v>-8</v>
      </c>
      <c r="W741" s="35"/>
      <c r="X741" s="48" t="s">
        <v>1564</v>
      </c>
      <c r="Y741" s="53">
        <v>44391.647175925929</v>
      </c>
      <c r="Z741" s="72">
        <f>tabPontoPed[CÁLC_4M] - tabPontoPed[CÁLCULO]</f>
        <v>-2</v>
      </c>
      <c r="AA741" s="79" t="str">
        <f>IF(tabPontoPed[MENSAL]-tabPontoPed[ATA MENSAL] = 0,"sim","")</f>
        <v/>
      </c>
      <c r="AB741" s="79"/>
      <c r="AC741" s="47" t="str">
        <f t="shared" si="11"/>
        <v>*</v>
      </c>
    </row>
    <row r="742" spans="1:29" x14ac:dyDescent="0.25">
      <c r="A742" s="36">
        <v>140056</v>
      </c>
      <c r="B742" s="68" t="s">
        <v>1798</v>
      </c>
      <c r="C742" s="33">
        <v>1</v>
      </c>
      <c r="D742" s="32">
        <v>55</v>
      </c>
      <c r="E742" s="37">
        <v>19</v>
      </c>
      <c r="F742" s="38" t="str">
        <f>VLOOKUP(tabPontoPed[[#This Row],[GRUPO]],tabGrupos[#Data],2,FALSE)</f>
        <v>EQUIP. MAT. P/ GERACAO, TRANSM. DISTR. RETIF...</v>
      </c>
      <c r="G742" s="32" t="str">
        <f>VLOOKUP(tabPontoPed[[#This Row],[GRUPO]],tabGrupos[#Data],3,FALSE)</f>
        <v>MEL</v>
      </c>
      <c r="H742" s="33" t="s">
        <v>1311</v>
      </c>
      <c r="I742" s="80">
        <v>4</v>
      </c>
      <c r="J742" s="39">
        <v>22</v>
      </c>
      <c r="K742" s="41">
        <f>tabPontoPed[[#This Row],[QTDMÊS]] * tabPontoPed[[#This Row],[MENSAL]]</f>
        <v>88</v>
      </c>
      <c r="L742" s="83"/>
      <c r="M742" s="81"/>
      <c r="N742" s="34" t="s">
        <v>1009</v>
      </c>
      <c r="O742" s="76" t="s">
        <v>1780</v>
      </c>
      <c r="P742" s="77">
        <v>0</v>
      </c>
      <c r="Q742" s="57">
        <v>25</v>
      </c>
      <c r="R742" s="42">
        <v>22</v>
      </c>
      <c r="S742" s="69" t="str">
        <f>_xlfn.IFNA(IF(VLOOKUP(tabPontoPed[[#This Row],[CÓDIGO]],tabExcluirDoEstoque[#Data],1,FALSE),"sim",""),"")</f>
        <v/>
      </c>
      <c r="T742" s="43">
        <f>IF(AND(tabPontoPed[[#This Row],[MENSAL]]&gt;0,tabPontoPed[[#This Row],[CÁLCULO]]&gt;0), ABS( tabPontoPed[[#This Row],[MENSAL]] - tabPontoPed[[#This Row],[CÁLCULO]] ) / tabPontoPed[[#This Row],[MENSAL]], -1 )</f>
        <v>0</v>
      </c>
      <c r="U742" s="58">
        <v>100</v>
      </c>
      <c r="V742" s="35">
        <f>IF(AND(tabPontoPed[[#This Row],[MENSAL]]&gt;0,tabPontoPed[[#This Row],[CÁLCULO]]&gt;0), IF( tabPontoPed[[#This Row],[MENSAL]] - tabPontoPed[[#This Row],[CÁLCULO]] &lt; 0, -1, IF( tabPontoPed[[#This Row],[MENSAL]] - tabPontoPed[[#This Row],[CÁLCULO]] &gt; 0, 1, -8)), -9 )</f>
        <v>-8</v>
      </c>
      <c r="W742" s="35"/>
      <c r="X742" s="48" t="s">
        <v>1564</v>
      </c>
      <c r="Y742" s="53">
        <v>44391.647175925929</v>
      </c>
      <c r="Z742" s="72">
        <f>tabPontoPed[CÁLC_4M] - tabPontoPed[CÁLCULO]</f>
        <v>3</v>
      </c>
      <c r="AA742" s="79" t="str">
        <f>IF(tabPontoPed[MENSAL]-tabPontoPed[ATA MENSAL] = 0,"sim","")</f>
        <v/>
      </c>
      <c r="AB742" s="79"/>
      <c r="AC742" s="47" t="str">
        <f t="shared" si="11"/>
        <v>*</v>
      </c>
    </row>
    <row r="743" spans="1:29" x14ac:dyDescent="0.25">
      <c r="A743" s="36">
        <v>140055</v>
      </c>
      <c r="B743" s="68" t="s">
        <v>1799</v>
      </c>
      <c r="C743" s="33">
        <v>1</v>
      </c>
      <c r="D743" s="32">
        <v>55</v>
      </c>
      <c r="E743" s="37">
        <v>19</v>
      </c>
      <c r="F743" s="38" t="str">
        <f>VLOOKUP(tabPontoPed[[#This Row],[GRUPO]],tabGrupos[#Data],2,FALSE)</f>
        <v>EQUIP. MAT. P/ GERACAO, TRANSM. DISTR. RETIF...</v>
      </c>
      <c r="G743" s="32" t="str">
        <f>VLOOKUP(tabPontoPed[[#This Row],[GRUPO]],tabGrupos[#Data],3,FALSE)</f>
        <v>MEL</v>
      </c>
      <c r="H743" s="33" t="s">
        <v>1311</v>
      </c>
      <c r="I743" s="80">
        <v>4</v>
      </c>
      <c r="J743" s="39">
        <v>42</v>
      </c>
      <c r="K743" s="41">
        <f>tabPontoPed[[#This Row],[QTDMÊS]] * tabPontoPed[[#This Row],[MENSAL]]</f>
        <v>168</v>
      </c>
      <c r="L743" s="83"/>
      <c r="M743" s="81"/>
      <c r="N743" s="34" t="s">
        <v>1009</v>
      </c>
      <c r="O743" s="76" t="s">
        <v>1780</v>
      </c>
      <c r="P743" s="77">
        <v>0</v>
      </c>
      <c r="Q743" s="57">
        <v>8</v>
      </c>
      <c r="R743" s="42">
        <v>42</v>
      </c>
      <c r="S743" s="69" t="str">
        <f>_xlfn.IFNA(IF(VLOOKUP(tabPontoPed[[#This Row],[CÓDIGO]],tabExcluirDoEstoque[#Data],1,FALSE),"sim",""),"")</f>
        <v/>
      </c>
      <c r="T743" s="43">
        <f>IF(AND(tabPontoPed[[#This Row],[MENSAL]]&gt;0,tabPontoPed[[#This Row],[CÁLCULO]]&gt;0), ABS( tabPontoPed[[#This Row],[MENSAL]] - tabPontoPed[[#This Row],[CÁLCULO]] ) / tabPontoPed[[#This Row],[MENSAL]], -1 )</f>
        <v>0</v>
      </c>
      <c r="U743" s="58">
        <v>270</v>
      </c>
      <c r="V743" s="35">
        <f>IF(AND(tabPontoPed[[#This Row],[MENSAL]]&gt;0,tabPontoPed[[#This Row],[CÁLCULO]]&gt;0), IF( tabPontoPed[[#This Row],[MENSAL]] - tabPontoPed[[#This Row],[CÁLCULO]] &lt; 0, -1, IF( tabPontoPed[[#This Row],[MENSAL]] - tabPontoPed[[#This Row],[CÁLCULO]] &gt; 0, 1, -8)), -9 )</f>
        <v>-8</v>
      </c>
      <c r="W743" s="35"/>
      <c r="X743" s="48" t="s">
        <v>1564</v>
      </c>
      <c r="Y743" s="53">
        <v>44391.647175925929</v>
      </c>
      <c r="Z743" s="72">
        <f>tabPontoPed[CÁLC_4M] - tabPontoPed[CÁLCULO]</f>
        <v>-34</v>
      </c>
      <c r="AA743" s="79" t="str">
        <f>IF(tabPontoPed[MENSAL]-tabPontoPed[ATA MENSAL] = 0,"sim","")</f>
        <v/>
      </c>
      <c r="AB743" s="79"/>
      <c r="AC743" s="47" t="str">
        <f t="shared" si="11"/>
        <v>*</v>
      </c>
    </row>
    <row r="744" spans="1:29" x14ac:dyDescent="0.25">
      <c r="A744" s="36">
        <v>140054</v>
      </c>
      <c r="B744" s="68" t="s">
        <v>1800</v>
      </c>
      <c r="C744" s="33">
        <v>1</v>
      </c>
      <c r="D744" s="32">
        <v>55</v>
      </c>
      <c r="E744" s="37">
        <v>19</v>
      </c>
      <c r="F744" s="38" t="str">
        <f>VLOOKUP(tabPontoPed[[#This Row],[GRUPO]],tabGrupos[#Data],2,FALSE)</f>
        <v>EQUIP. MAT. P/ GERACAO, TRANSM. DISTR. RETIF...</v>
      </c>
      <c r="G744" s="32" t="str">
        <f>VLOOKUP(tabPontoPed[[#This Row],[GRUPO]],tabGrupos[#Data],3,FALSE)</f>
        <v>MEL</v>
      </c>
      <c r="H744" s="33" t="s">
        <v>1311</v>
      </c>
      <c r="I744" s="80">
        <v>4</v>
      </c>
      <c r="J744" s="39">
        <v>29</v>
      </c>
      <c r="K744" s="41">
        <f>tabPontoPed[[#This Row],[QTDMÊS]] * tabPontoPed[[#This Row],[MENSAL]]</f>
        <v>116</v>
      </c>
      <c r="L744" s="83"/>
      <c r="M744" s="81"/>
      <c r="N744" s="34" t="s">
        <v>1009</v>
      </c>
      <c r="O744" s="76" t="s">
        <v>1780</v>
      </c>
      <c r="P744" s="77">
        <v>0</v>
      </c>
      <c r="Q744" s="57">
        <v>29</v>
      </c>
      <c r="R744" s="42">
        <v>29</v>
      </c>
      <c r="S744" s="69" t="str">
        <f>_xlfn.IFNA(IF(VLOOKUP(tabPontoPed[[#This Row],[CÓDIGO]],tabExcluirDoEstoque[#Data],1,FALSE),"sim",""),"")</f>
        <v/>
      </c>
      <c r="T744" s="43">
        <f>IF(AND(tabPontoPed[[#This Row],[MENSAL]]&gt;0,tabPontoPed[[#This Row],[CÁLCULO]]&gt;0), ABS( tabPontoPed[[#This Row],[MENSAL]] - tabPontoPed[[#This Row],[CÁLCULO]] ) / tabPontoPed[[#This Row],[MENSAL]], -1 )</f>
        <v>0</v>
      </c>
      <c r="U744" s="58">
        <v>100</v>
      </c>
      <c r="V744" s="35">
        <f>IF(AND(tabPontoPed[[#This Row],[MENSAL]]&gt;0,tabPontoPed[[#This Row],[CÁLCULO]]&gt;0), IF( tabPontoPed[[#This Row],[MENSAL]] - tabPontoPed[[#This Row],[CÁLCULO]] &lt; 0, -1, IF( tabPontoPed[[#This Row],[MENSAL]] - tabPontoPed[[#This Row],[CÁLCULO]] &gt; 0, 1, -8)), -9 )</f>
        <v>-8</v>
      </c>
      <c r="W744" s="35"/>
      <c r="X744" s="48" t="s">
        <v>1564</v>
      </c>
      <c r="Y744" s="53">
        <v>44391.647175925929</v>
      </c>
      <c r="Z744" s="72">
        <f>tabPontoPed[CÁLC_4M] - tabPontoPed[CÁLCULO]</f>
        <v>0</v>
      </c>
      <c r="AA744" s="79" t="str">
        <f>IF(tabPontoPed[MENSAL]-tabPontoPed[ATA MENSAL] = 0,"sim","")</f>
        <v/>
      </c>
      <c r="AB744" s="79"/>
      <c r="AC744" s="47" t="str">
        <f t="shared" si="11"/>
        <v>*</v>
      </c>
    </row>
    <row r="745" spans="1:29" x14ac:dyDescent="0.25">
      <c r="A745" s="36">
        <v>140057</v>
      </c>
      <c r="B745" s="68" t="s">
        <v>1801</v>
      </c>
      <c r="C745" s="33">
        <v>1</v>
      </c>
      <c r="D745" s="32">
        <v>55</v>
      </c>
      <c r="E745" s="37">
        <v>19</v>
      </c>
      <c r="F745" s="38" t="str">
        <f>VLOOKUP(tabPontoPed[[#This Row],[GRUPO]],tabGrupos[#Data],2,FALSE)</f>
        <v>EQUIP. MAT. P/ GERACAO, TRANSM. DISTR. RETIF...</v>
      </c>
      <c r="G745" s="32" t="str">
        <f>VLOOKUP(tabPontoPed[[#This Row],[GRUPO]],tabGrupos[#Data],3,FALSE)</f>
        <v>MEL</v>
      </c>
      <c r="H745" s="33" t="s">
        <v>1311</v>
      </c>
      <c r="I745" s="80">
        <v>4</v>
      </c>
      <c r="J745" s="39">
        <v>2</v>
      </c>
      <c r="K745" s="41">
        <f>tabPontoPed[[#This Row],[QTDMÊS]] * tabPontoPed[[#This Row],[MENSAL]]</f>
        <v>8</v>
      </c>
      <c r="L745" s="83"/>
      <c r="M745" s="81"/>
      <c r="N745" s="34" t="s">
        <v>1009</v>
      </c>
      <c r="O745" s="76" t="s">
        <v>1780</v>
      </c>
      <c r="P745" s="77">
        <v>0</v>
      </c>
      <c r="Q745" s="57">
        <v>0</v>
      </c>
      <c r="R745" s="42">
        <v>2</v>
      </c>
      <c r="S745" s="69" t="str">
        <f>_xlfn.IFNA(IF(VLOOKUP(tabPontoPed[[#This Row],[CÓDIGO]],tabExcluirDoEstoque[#Data],1,FALSE),"sim",""),"")</f>
        <v/>
      </c>
      <c r="T745" s="43">
        <f>IF(AND(tabPontoPed[[#This Row],[MENSAL]]&gt;0,tabPontoPed[[#This Row],[CÁLCULO]]&gt;0), ABS( tabPontoPed[[#This Row],[MENSAL]] - tabPontoPed[[#This Row],[CÁLCULO]] ) / tabPontoPed[[#This Row],[MENSAL]], -1 )</f>
        <v>0</v>
      </c>
      <c r="U745" s="58">
        <v>15</v>
      </c>
      <c r="V745" s="35">
        <f>IF(AND(tabPontoPed[[#This Row],[MENSAL]]&gt;0,tabPontoPed[[#This Row],[CÁLCULO]]&gt;0), IF( tabPontoPed[[#This Row],[MENSAL]] - tabPontoPed[[#This Row],[CÁLCULO]] &lt; 0, -1, IF( tabPontoPed[[#This Row],[MENSAL]] - tabPontoPed[[#This Row],[CÁLCULO]] &gt; 0, 1, -8)), -9 )</f>
        <v>-8</v>
      </c>
      <c r="W745" s="35"/>
      <c r="X745" s="48" t="s">
        <v>1564</v>
      </c>
      <c r="Y745" s="53">
        <v>44391.647175925929</v>
      </c>
      <c r="Z745" s="72">
        <f>tabPontoPed[CÁLC_4M] - tabPontoPed[CÁLCULO]</f>
        <v>-2</v>
      </c>
      <c r="AA745" s="79" t="str">
        <f>IF(tabPontoPed[MENSAL]-tabPontoPed[ATA MENSAL] = 0,"sim","")</f>
        <v/>
      </c>
      <c r="AB745" s="79"/>
      <c r="AC745" s="47" t="str">
        <f t="shared" si="11"/>
        <v>*</v>
      </c>
    </row>
    <row r="746" spans="1:29" x14ac:dyDescent="0.25">
      <c r="A746" s="36">
        <v>140126</v>
      </c>
      <c r="B746" s="68" t="s">
        <v>1802</v>
      </c>
      <c r="C746" s="33">
        <v>1</v>
      </c>
      <c r="D746" s="32">
        <v>55</v>
      </c>
      <c r="E746" s="37">
        <v>19</v>
      </c>
      <c r="F746" s="38" t="str">
        <f>VLOOKUP(tabPontoPed[[#This Row],[GRUPO]],tabGrupos[#Data],2,FALSE)</f>
        <v>EQUIP. MAT. P/ GERACAO, TRANSM. DISTR. RETIF...</v>
      </c>
      <c r="G746" s="32" t="str">
        <f>VLOOKUP(tabPontoPed[[#This Row],[GRUPO]],tabGrupos[#Data],3,FALSE)</f>
        <v>MEL</v>
      </c>
      <c r="H746" s="33" t="s">
        <v>1311</v>
      </c>
      <c r="I746" s="80">
        <v>4</v>
      </c>
      <c r="J746" s="39">
        <v>1</v>
      </c>
      <c r="K746" s="41">
        <f>tabPontoPed[[#This Row],[QTDMÊS]] * tabPontoPed[[#This Row],[MENSAL]]</f>
        <v>4</v>
      </c>
      <c r="L746" s="83"/>
      <c r="M746" s="81"/>
      <c r="N746" s="34" t="s">
        <v>1009</v>
      </c>
      <c r="O746" s="76"/>
      <c r="P746" s="77">
        <v>0</v>
      </c>
      <c r="Q746" s="57">
        <v>0</v>
      </c>
      <c r="R746" s="42">
        <v>1</v>
      </c>
      <c r="S746" s="69" t="str">
        <f>_xlfn.IFNA(IF(VLOOKUP(tabPontoPed[[#This Row],[CÓDIGO]],tabExcluirDoEstoque[#Data],1,FALSE),"sim",""),"")</f>
        <v/>
      </c>
      <c r="T746" s="43">
        <f>IF(AND(tabPontoPed[[#This Row],[MENSAL]]&gt;0,tabPontoPed[[#This Row],[CÁLCULO]]&gt;0), ABS( tabPontoPed[[#This Row],[MENSAL]] - tabPontoPed[[#This Row],[CÁLCULO]] ) / tabPontoPed[[#This Row],[MENSAL]], -1 )</f>
        <v>0</v>
      </c>
      <c r="U746" s="58">
        <v>3</v>
      </c>
      <c r="V746" s="35">
        <f>IF(AND(tabPontoPed[[#This Row],[MENSAL]]&gt;0,tabPontoPed[[#This Row],[CÁLCULO]]&gt;0), IF( tabPontoPed[[#This Row],[MENSAL]] - tabPontoPed[[#This Row],[CÁLCULO]] &lt; 0, -1, IF( tabPontoPed[[#This Row],[MENSAL]] - tabPontoPed[[#This Row],[CÁLCULO]] &gt; 0, 1, -8)), -9 )</f>
        <v>-8</v>
      </c>
      <c r="W746" s="35"/>
      <c r="X746" s="48" t="s">
        <v>1564</v>
      </c>
      <c r="Y746" s="53">
        <v>44391.647175925929</v>
      </c>
      <c r="Z746" s="72">
        <f>tabPontoPed[CÁLC_4M] - tabPontoPed[CÁLCULO]</f>
        <v>-1</v>
      </c>
      <c r="AA746" s="79" t="str">
        <f>IF(tabPontoPed[MENSAL]-tabPontoPed[ATA MENSAL] = 0,"sim","")</f>
        <v/>
      </c>
      <c r="AB746" s="79"/>
      <c r="AC746" s="47" t="str">
        <f t="shared" si="11"/>
        <v>*</v>
      </c>
    </row>
    <row r="747" spans="1:29" x14ac:dyDescent="0.25">
      <c r="A747" s="36">
        <v>140058</v>
      </c>
      <c r="B747" s="68" t="s">
        <v>1803</v>
      </c>
      <c r="C747" s="33">
        <v>1</v>
      </c>
      <c r="D747" s="32">
        <v>55</v>
      </c>
      <c r="E747" s="37">
        <v>19</v>
      </c>
      <c r="F747" s="38" t="str">
        <f>VLOOKUP(tabPontoPed[[#This Row],[GRUPO]],tabGrupos[#Data],2,FALSE)</f>
        <v>EQUIP. MAT. P/ GERACAO, TRANSM. DISTR. RETIF...</v>
      </c>
      <c r="G747" s="32" t="str">
        <f>VLOOKUP(tabPontoPed[[#This Row],[GRUPO]],tabGrupos[#Data],3,FALSE)</f>
        <v>MEL</v>
      </c>
      <c r="H747" s="33" t="s">
        <v>1311</v>
      </c>
      <c r="I747" s="80">
        <v>4</v>
      </c>
      <c r="J747" s="39">
        <v>11</v>
      </c>
      <c r="K747" s="41">
        <f>tabPontoPed[[#This Row],[QTDMÊS]] * tabPontoPed[[#This Row],[MENSAL]]</f>
        <v>44</v>
      </c>
      <c r="L747" s="83"/>
      <c r="M747" s="81"/>
      <c r="N747" s="34" t="s">
        <v>1009</v>
      </c>
      <c r="O747" s="76" t="s">
        <v>1780</v>
      </c>
      <c r="P747" s="77">
        <v>0</v>
      </c>
      <c r="Q747" s="57">
        <v>0</v>
      </c>
      <c r="R747" s="42">
        <v>11</v>
      </c>
      <c r="S747" s="69" t="str">
        <f>_xlfn.IFNA(IF(VLOOKUP(tabPontoPed[[#This Row],[CÓDIGO]],tabExcluirDoEstoque[#Data],1,FALSE),"sim",""),"")</f>
        <v/>
      </c>
      <c r="T747" s="43">
        <f>IF(AND(tabPontoPed[[#This Row],[MENSAL]]&gt;0,tabPontoPed[[#This Row],[CÁLCULO]]&gt;0), ABS( tabPontoPed[[#This Row],[MENSAL]] - tabPontoPed[[#This Row],[CÁLCULO]] ) / tabPontoPed[[#This Row],[MENSAL]], -1 )</f>
        <v>0</v>
      </c>
      <c r="U747" s="58">
        <v>50</v>
      </c>
      <c r="V747" s="35">
        <f>IF(AND(tabPontoPed[[#This Row],[MENSAL]]&gt;0,tabPontoPed[[#This Row],[CÁLCULO]]&gt;0), IF( tabPontoPed[[#This Row],[MENSAL]] - tabPontoPed[[#This Row],[CÁLCULO]] &lt; 0, -1, IF( tabPontoPed[[#This Row],[MENSAL]] - tabPontoPed[[#This Row],[CÁLCULO]] &gt; 0, 1, -8)), -9 )</f>
        <v>-8</v>
      </c>
      <c r="W747" s="35"/>
      <c r="X747" s="48" t="s">
        <v>1564</v>
      </c>
      <c r="Y747" s="53">
        <v>44391.647175925929</v>
      </c>
      <c r="Z747" s="72">
        <f>tabPontoPed[CÁLC_4M] - tabPontoPed[CÁLCULO]</f>
        <v>-11</v>
      </c>
      <c r="AA747" s="79" t="str">
        <f>IF(tabPontoPed[MENSAL]-tabPontoPed[ATA MENSAL] = 0,"sim","")</f>
        <v/>
      </c>
      <c r="AB747" s="79"/>
      <c r="AC747" s="47" t="str">
        <f t="shared" si="11"/>
        <v>*</v>
      </c>
    </row>
    <row r="748" spans="1:29" x14ac:dyDescent="0.25">
      <c r="A748" s="36">
        <v>140059</v>
      </c>
      <c r="B748" s="68" t="s">
        <v>1804</v>
      </c>
      <c r="C748" s="33">
        <v>1</v>
      </c>
      <c r="D748" s="32">
        <v>55</v>
      </c>
      <c r="E748" s="37">
        <v>19</v>
      </c>
      <c r="F748" s="38" t="str">
        <f>VLOOKUP(tabPontoPed[[#This Row],[GRUPO]],tabGrupos[#Data],2,FALSE)</f>
        <v>EQUIP. MAT. P/ GERACAO, TRANSM. DISTR. RETIF...</v>
      </c>
      <c r="G748" s="32" t="str">
        <f>VLOOKUP(tabPontoPed[[#This Row],[GRUPO]],tabGrupos[#Data],3,FALSE)</f>
        <v>MEL</v>
      </c>
      <c r="H748" s="33" t="s">
        <v>1311</v>
      </c>
      <c r="I748" s="80">
        <v>4</v>
      </c>
      <c r="J748" s="39">
        <v>68</v>
      </c>
      <c r="K748" s="41">
        <f>tabPontoPed[[#This Row],[QTDMÊS]] * tabPontoPed[[#This Row],[MENSAL]]</f>
        <v>272</v>
      </c>
      <c r="L748" s="83"/>
      <c r="M748" s="81"/>
      <c r="N748" s="34" t="s">
        <v>1009</v>
      </c>
      <c r="O748" s="76" t="s">
        <v>1780</v>
      </c>
      <c r="P748" s="77">
        <v>0</v>
      </c>
      <c r="Q748" s="57">
        <v>75</v>
      </c>
      <c r="R748" s="42">
        <v>68</v>
      </c>
      <c r="S748" s="69" t="str">
        <f>_xlfn.IFNA(IF(VLOOKUP(tabPontoPed[[#This Row],[CÓDIGO]],tabExcluirDoEstoque[#Data],1,FALSE),"sim",""),"")</f>
        <v/>
      </c>
      <c r="T748" s="43">
        <f>IF(AND(tabPontoPed[[#This Row],[MENSAL]]&gt;0,tabPontoPed[[#This Row],[CÁLCULO]]&gt;0), ABS( tabPontoPed[[#This Row],[MENSAL]] - tabPontoPed[[#This Row],[CÁLCULO]] ) / tabPontoPed[[#This Row],[MENSAL]], -1 )</f>
        <v>0</v>
      </c>
      <c r="U748" s="58">
        <v>300</v>
      </c>
      <c r="V748" s="35">
        <f>IF(AND(tabPontoPed[[#This Row],[MENSAL]]&gt;0,tabPontoPed[[#This Row],[CÁLCULO]]&gt;0), IF( tabPontoPed[[#This Row],[MENSAL]] - tabPontoPed[[#This Row],[CÁLCULO]] &lt; 0, -1, IF( tabPontoPed[[#This Row],[MENSAL]] - tabPontoPed[[#This Row],[CÁLCULO]] &gt; 0, 1, -8)), -9 )</f>
        <v>-8</v>
      </c>
      <c r="W748" s="35"/>
      <c r="X748" s="48" t="s">
        <v>1564</v>
      </c>
      <c r="Y748" s="53">
        <v>44391.647175925929</v>
      </c>
      <c r="Z748" s="72">
        <f>tabPontoPed[CÁLC_4M] - tabPontoPed[CÁLCULO]</f>
        <v>7</v>
      </c>
      <c r="AA748" s="79" t="str">
        <f>IF(tabPontoPed[MENSAL]-tabPontoPed[ATA MENSAL] = 0,"sim","")</f>
        <v/>
      </c>
      <c r="AB748" s="79"/>
      <c r="AC748" s="47" t="str">
        <f t="shared" si="11"/>
        <v>*</v>
      </c>
    </row>
    <row r="749" spans="1:29" x14ac:dyDescent="0.25">
      <c r="A749" s="36">
        <v>140060</v>
      </c>
      <c r="B749" s="68" t="s">
        <v>1805</v>
      </c>
      <c r="C749" s="33">
        <v>1</v>
      </c>
      <c r="D749" s="32">
        <v>55</v>
      </c>
      <c r="E749" s="37">
        <v>19</v>
      </c>
      <c r="F749" s="38" t="str">
        <f>VLOOKUP(tabPontoPed[[#This Row],[GRUPO]],tabGrupos[#Data],2,FALSE)</f>
        <v>EQUIP. MAT. P/ GERACAO, TRANSM. DISTR. RETIF...</v>
      </c>
      <c r="G749" s="32" t="str">
        <f>VLOOKUP(tabPontoPed[[#This Row],[GRUPO]],tabGrupos[#Data],3,FALSE)</f>
        <v>MEL</v>
      </c>
      <c r="H749" s="33" t="s">
        <v>1311</v>
      </c>
      <c r="I749" s="80">
        <v>4</v>
      </c>
      <c r="J749" s="39">
        <v>2</v>
      </c>
      <c r="K749" s="41">
        <f>tabPontoPed[[#This Row],[QTDMÊS]] * tabPontoPed[[#This Row],[MENSAL]]</f>
        <v>8</v>
      </c>
      <c r="L749" s="83"/>
      <c r="M749" s="81"/>
      <c r="N749" s="34" t="s">
        <v>1009</v>
      </c>
      <c r="O749" s="76" t="s">
        <v>1780</v>
      </c>
      <c r="P749" s="77">
        <v>0</v>
      </c>
      <c r="Q749" s="57">
        <v>0</v>
      </c>
      <c r="R749" s="42">
        <v>2</v>
      </c>
      <c r="S749" s="69" t="str">
        <f>_xlfn.IFNA(IF(VLOOKUP(tabPontoPed[[#This Row],[CÓDIGO]],tabExcluirDoEstoque[#Data],1,FALSE),"sim",""),"")</f>
        <v/>
      </c>
      <c r="T749" s="43">
        <f>IF(AND(tabPontoPed[[#This Row],[MENSAL]]&gt;0,tabPontoPed[[#This Row],[CÁLCULO]]&gt;0), ABS( tabPontoPed[[#This Row],[MENSAL]] - tabPontoPed[[#This Row],[CÁLCULO]] ) / tabPontoPed[[#This Row],[MENSAL]], -1 )</f>
        <v>0</v>
      </c>
      <c r="U749" s="58">
        <v>10</v>
      </c>
      <c r="V749" s="35">
        <f>IF(AND(tabPontoPed[[#This Row],[MENSAL]]&gt;0,tabPontoPed[[#This Row],[CÁLCULO]]&gt;0), IF( tabPontoPed[[#This Row],[MENSAL]] - tabPontoPed[[#This Row],[CÁLCULO]] &lt; 0, -1, IF( tabPontoPed[[#This Row],[MENSAL]] - tabPontoPed[[#This Row],[CÁLCULO]] &gt; 0, 1, -8)), -9 )</f>
        <v>-8</v>
      </c>
      <c r="W749" s="35"/>
      <c r="X749" s="48" t="s">
        <v>1564</v>
      </c>
      <c r="Y749" s="53">
        <v>44391.647175925929</v>
      </c>
      <c r="Z749" s="72">
        <f>tabPontoPed[CÁLC_4M] - tabPontoPed[CÁLCULO]</f>
        <v>-2</v>
      </c>
      <c r="AA749" s="79" t="str">
        <f>IF(tabPontoPed[MENSAL]-tabPontoPed[ATA MENSAL] = 0,"sim","")</f>
        <v/>
      </c>
      <c r="AB749" s="79"/>
      <c r="AC749" s="47" t="str">
        <f t="shared" si="11"/>
        <v>*</v>
      </c>
    </row>
    <row r="750" spans="1:29" x14ac:dyDescent="0.25">
      <c r="A750" s="36">
        <v>140241</v>
      </c>
      <c r="B750" s="68" t="s">
        <v>1807</v>
      </c>
      <c r="C750" s="33">
        <v>1</v>
      </c>
      <c r="D750" s="32">
        <v>55</v>
      </c>
      <c r="E750" s="37">
        <v>19</v>
      </c>
      <c r="F750" s="38" t="str">
        <f>VLOOKUP(tabPontoPed[[#This Row],[GRUPO]],tabGrupos[#Data],2,FALSE)</f>
        <v>EQUIP. MAT. P/ GERACAO, TRANSM. DISTR. RETIF...</v>
      </c>
      <c r="G750" s="32" t="str">
        <f>VLOOKUP(tabPontoPed[[#This Row],[GRUPO]],tabGrupos[#Data],3,FALSE)</f>
        <v>MEL</v>
      </c>
      <c r="H750" s="33" t="s">
        <v>1311</v>
      </c>
      <c r="I750" s="80">
        <v>4</v>
      </c>
      <c r="J750" s="39">
        <v>78</v>
      </c>
      <c r="K750" s="41">
        <f>tabPontoPed[[#This Row],[QTDMÊS]] * tabPontoPed[[#This Row],[MENSAL]]</f>
        <v>312</v>
      </c>
      <c r="L750" s="83"/>
      <c r="M750" s="81"/>
      <c r="N750" s="34" t="s">
        <v>1009</v>
      </c>
      <c r="O750" s="76" t="s">
        <v>1780</v>
      </c>
      <c r="P750" s="77">
        <v>0</v>
      </c>
      <c r="Q750" s="57">
        <v>145</v>
      </c>
      <c r="R750" s="42">
        <v>78</v>
      </c>
      <c r="S750" s="69" t="str">
        <f>_xlfn.IFNA(IF(VLOOKUP(tabPontoPed[[#This Row],[CÓDIGO]],tabExcluirDoEstoque[#Data],1,FALSE),"sim",""),"")</f>
        <v/>
      </c>
      <c r="T750" s="43">
        <f>IF(AND(tabPontoPed[[#This Row],[MENSAL]]&gt;0,tabPontoPed[[#This Row],[CÁLCULO]]&gt;0), ABS( tabPontoPed[[#This Row],[MENSAL]] - tabPontoPed[[#This Row],[CÁLCULO]] ) / tabPontoPed[[#This Row],[MENSAL]], -1 )</f>
        <v>0</v>
      </c>
      <c r="U750" s="58">
        <v>300</v>
      </c>
      <c r="V750" s="35">
        <f>IF(AND(tabPontoPed[[#This Row],[MENSAL]]&gt;0,tabPontoPed[[#This Row],[CÁLCULO]]&gt;0), IF( tabPontoPed[[#This Row],[MENSAL]] - tabPontoPed[[#This Row],[CÁLCULO]] &lt; 0, -1, IF( tabPontoPed[[#This Row],[MENSAL]] - tabPontoPed[[#This Row],[CÁLCULO]] &gt; 0, 1, -8)), -9 )</f>
        <v>-8</v>
      </c>
      <c r="W750" s="35"/>
      <c r="X750" s="48" t="s">
        <v>1564</v>
      </c>
      <c r="Y750" s="53">
        <v>44391.647175925929</v>
      </c>
      <c r="Z750" s="72">
        <f>tabPontoPed[CÁLC_4M] - tabPontoPed[CÁLCULO]</f>
        <v>67</v>
      </c>
      <c r="AA750" s="79" t="str">
        <f>IF(tabPontoPed[MENSAL]-tabPontoPed[ATA MENSAL] = 0,"sim","")</f>
        <v/>
      </c>
      <c r="AB750" s="79"/>
      <c r="AC750" s="47" t="str">
        <f t="shared" si="11"/>
        <v>*</v>
      </c>
    </row>
    <row r="751" spans="1:29" x14ac:dyDescent="0.25">
      <c r="A751" s="36">
        <v>140063</v>
      </c>
      <c r="B751" s="68" t="s">
        <v>1808</v>
      </c>
      <c r="C751" s="33">
        <v>1</v>
      </c>
      <c r="D751" s="32">
        <v>55</v>
      </c>
      <c r="E751" s="37">
        <v>19</v>
      </c>
      <c r="F751" s="38" t="str">
        <f>VLOOKUP(tabPontoPed[[#This Row],[GRUPO]],tabGrupos[#Data],2,FALSE)</f>
        <v>EQUIP. MAT. P/ GERACAO, TRANSM. DISTR. RETIF...</v>
      </c>
      <c r="G751" s="32" t="str">
        <f>VLOOKUP(tabPontoPed[[#This Row],[GRUPO]],tabGrupos[#Data],3,FALSE)</f>
        <v>MEL</v>
      </c>
      <c r="H751" s="33" t="s">
        <v>1311</v>
      </c>
      <c r="I751" s="80">
        <v>4</v>
      </c>
      <c r="J751" s="39">
        <v>209</v>
      </c>
      <c r="K751" s="41">
        <f>tabPontoPed[[#This Row],[QTDMÊS]] * tabPontoPed[[#This Row],[MENSAL]]</f>
        <v>836</v>
      </c>
      <c r="L751" s="83"/>
      <c r="M751" s="81"/>
      <c r="N751" s="34" t="s">
        <v>1009</v>
      </c>
      <c r="O751" s="76" t="s">
        <v>1780</v>
      </c>
      <c r="P751" s="77">
        <v>0</v>
      </c>
      <c r="Q751" s="57">
        <v>229</v>
      </c>
      <c r="R751" s="42">
        <v>209</v>
      </c>
      <c r="S751" s="69" t="str">
        <f>_xlfn.IFNA(IF(VLOOKUP(tabPontoPed[[#This Row],[CÓDIGO]],tabExcluirDoEstoque[#Data],1,FALSE),"sim",""),"")</f>
        <v/>
      </c>
      <c r="T751" s="43">
        <f>IF(AND(tabPontoPed[[#This Row],[MENSAL]]&gt;0,tabPontoPed[[#This Row],[CÁLCULO]]&gt;0), ABS( tabPontoPed[[#This Row],[MENSAL]] - tabPontoPed[[#This Row],[CÁLCULO]] ) / tabPontoPed[[#This Row],[MENSAL]], -1 )</f>
        <v>0</v>
      </c>
      <c r="U751" s="58">
        <v>410</v>
      </c>
      <c r="V751" s="35">
        <f>IF(AND(tabPontoPed[[#This Row],[MENSAL]]&gt;0,tabPontoPed[[#This Row],[CÁLCULO]]&gt;0), IF( tabPontoPed[[#This Row],[MENSAL]] - tabPontoPed[[#This Row],[CÁLCULO]] &lt; 0, -1, IF( tabPontoPed[[#This Row],[MENSAL]] - tabPontoPed[[#This Row],[CÁLCULO]] &gt; 0, 1, -8)), -9 )</f>
        <v>-8</v>
      </c>
      <c r="W751" s="35"/>
      <c r="X751" s="48" t="s">
        <v>1564</v>
      </c>
      <c r="Y751" s="53">
        <v>44391.647175925929</v>
      </c>
      <c r="Z751" s="72">
        <f>tabPontoPed[CÁLC_4M] - tabPontoPed[CÁLCULO]</f>
        <v>20</v>
      </c>
      <c r="AA751" s="79" t="str">
        <f>IF(tabPontoPed[MENSAL]-tabPontoPed[ATA MENSAL] = 0,"sim","")</f>
        <v/>
      </c>
      <c r="AB751" s="79"/>
      <c r="AC751" s="47" t="str">
        <f t="shared" si="11"/>
        <v>*</v>
      </c>
    </row>
    <row r="752" spans="1:29" x14ac:dyDescent="0.25">
      <c r="A752" s="36">
        <v>102819</v>
      </c>
      <c r="B752" s="68" t="s">
        <v>353</v>
      </c>
      <c r="C752" s="33" t="s">
        <v>1317</v>
      </c>
      <c r="D752" s="32">
        <v>55</v>
      </c>
      <c r="E752" s="37">
        <v>26</v>
      </c>
      <c r="F752" s="38" t="str">
        <f>VLOOKUP(tabPontoPed[[#This Row],[GRUPO]],tabGrupos[#Data],2,FALSE)</f>
        <v>EQUIP. MAT. P/ GERACAO, TRANSM. DISTR. RETIF...</v>
      </c>
      <c r="G752" s="32" t="str">
        <f>VLOOKUP(tabPontoPed[[#This Row],[GRUPO]],tabGrupos[#Data],3,FALSE)</f>
        <v>MEL</v>
      </c>
      <c r="H752" s="33" t="s">
        <v>1311</v>
      </c>
      <c r="I752" s="80">
        <v>4</v>
      </c>
      <c r="J752" s="39">
        <v>1</v>
      </c>
      <c r="K752" s="41">
        <f>tabPontoPed[[#This Row],[QTDMÊS]] * tabPontoPed[[#This Row],[MENSAL]]</f>
        <v>4</v>
      </c>
      <c r="L752" s="83"/>
      <c r="M752" s="81"/>
      <c r="N752" s="34" t="s">
        <v>1009</v>
      </c>
      <c r="O752" s="76" t="s">
        <v>1670</v>
      </c>
      <c r="P752" s="77">
        <v>0</v>
      </c>
      <c r="Q752" s="57">
        <v>0</v>
      </c>
      <c r="R752" s="42">
        <v>1</v>
      </c>
      <c r="S752" s="69" t="str">
        <f>_xlfn.IFNA(IF(VLOOKUP(tabPontoPed[[#This Row],[CÓDIGO]],tabExcluirDoEstoque[#Data],1,FALSE),"sim",""),"")</f>
        <v/>
      </c>
      <c r="T752" s="43">
        <f>IF(AND(tabPontoPed[[#This Row],[MENSAL]]&gt;0,tabPontoPed[[#This Row],[CÁLCULO]]&gt;0), ABS( tabPontoPed[[#This Row],[MENSAL]] - tabPontoPed[[#This Row],[CÁLCULO]] ) / tabPontoPed[[#This Row],[MENSAL]], -1 )</f>
        <v>0</v>
      </c>
      <c r="U752" s="58">
        <v>2</v>
      </c>
      <c r="V752" s="35">
        <f>IF(AND(tabPontoPed[[#This Row],[MENSAL]]&gt;0,tabPontoPed[[#This Row],[CÁLCULO]]&gt;0), IF( tabPontoPed[[#This Row],[MENSAL]] - tabPontoPed[[#This Row],[CÁLCULO]] &lt; 0, -1, IF( tabPontoPed[[#This Row],[MENSAL]] - tabPontoPed[[#This Row],[CÁLCULO]] &gt; 0, 1, -8)), -9 )</f>
        <v>-8</v>
      </c>
      <c r="W752" s="35"/>
      <c r="X752" s="49" t="s">
        <v>1564</v>
      </c>
      <c r="Y752" s="51">
        <v>44391.599108796298</v>
      </c>
      <c r="Z752" s="72">
        <f>tabPontoPed[CÁLC_4M] - tabPontoPed[CÁLCULO]</f>
        <v>-1</v>
      </c>
      <c r="AA752" s="79" t="str">
        <f>IF(tabPontoPed[MENSAL]-tabPontoPed[ATA MENSAL] = 0,"sim","")</f>
        <v/>
      </c>
      <c r="AB752" s="79" t="s">
        <v>1614</v>
      </c>
      <c r="AC752" s="47" t="str">
        <f t="shared" si="11"/>
        <v>*</v>
      </c>
    </row>
    <row r="753" spans="1:29" x14ac:dyDescent="0.25">
      <c r="A753" s="36">
        <v>110888</v>
      </c>
      <c r="B753" s="68" t="s">
        <v>355</v>
      </c>
      <c r="C753" s="33" t="s">
        <v>1317</v>
      </c>
      <c r="D753" s="32">
        <v>55</v>
      </c>
      <c r="E753" s="37">
        <v>26</v>
      </c>
      <c r="F753" s="38" t="str">
        <f>VLOOKUP(tabPontoPed[[#This Row],[GRUPO]],tabGrupos[#Data],2,FALSE)</f>
        <v>EQUIP. MAT. P/ GERACAO, TRANSM. DISTR. RETIF...</v>
      </c>
      <c r="G753" s="32" t="str">
        <f>VLOOKUP(tabPontoPed[[#This Row],[GRUPO]],tabGrupos[#Data],3,FALSE)</f>
        <v>MEL</v>
      </c>
      <c r="H753" s="33" t="s">
        <v>1311</v>
      </c>
      <c r="I753" s="80">
        <v>4</v>
      </c>
      <c r="J753" s="39">
        <v>1</v>
      </c>
      <c r="K753" s="41">
        <f>tabPontoPed[[#This Row],[QTDMÊS]] * tabPontoPed[[#This Row],[MENSAL]]</f>
        <v>4</v>
      </c>
      <c r="L753" s="83"/>
      <c r="M753" s="81"/>
      <c r="N753" s="34" t="s">
        <v>1009</v>
      </c>
      <c r="O753" s="76" t="s">
        <v>1670</v>
      </c>
      <c r="P753" s="77">
        <v>0</v>
      </c>
      <c r="Q753" s="57">
        <v>0</v>
      </c>
      <c r="R753" s="42">
        <v>1</v>
      </c>
      <c r="S753" s="69" t="str">
        <f>_xlfn.IFNA(IF(VLOOKUP(tabPontoPed[[#This Row],[CÓDIGO]],tabExcluirDoEstoque[#Data],1,FALSE),"sim",""),"")</f>
        <v/>
      </c>
      <c r="T753" s="43">
        <f>IF(AND(tabPontoPed[[#This Row],[MENSAL]]&gt;0,tabPontoPed[[#This Row],[CÁLCULO]]&gt;0), ABS( tabPontoPed[[#This Row],[MENSAL]] - tabPontoPed[[#This Row],[CÁLCULO]] ) / tabPontoPed[[#This Row],[MENSAL]], -1 )</f>
        <v>0</v>
      </c>
      <c r="U753" s="58">
        <v>1</v>
      </c>
      <c r="V753" s="35">
        <f>IF(AND(tabPontoPed[[#This Row],[MENSAL]]&gt;0,tabPontoPed[[#This Row],[CÁLCULO]]&gt;0), IF( tabPontoPed[[#This Row],[MENSAL]] - tabPontoPed[[#This Row],[CÁLCULO]] &lt; 0, -1, IF( tabPontoPed[[#This Row],[MENSAL]] - tabPontoPed[[#This Row],[CÁLCULO]] &gt; 0, 1, -8)), -9 )</f>
        <v>-8</v>
      </c>
      <c r="W753" s="35"/>
      <c r="X753" s="49" t="s">
        <v>1564</v>
      </c>
      <c r="Y753" s="51">
        <v>44391.599108796298</v>
      </c>
      <c r="Z753" s="72">
        <f>tabPontoPed[CÁLC_4M] - tabPontoPed[CÁLCULO]</f>
        <v>-1</v>
      </c>
      <c r="AA753" s="79" t="str">
        <f>IF(tabPontoPed[MENSAL]-tabPontoPed[ATA MENSAL] = 0,"sim","")</f>
        <v/>
      </c>
      <c r="AB753" s="79"/>
      <c r="AC753" s="47" t="str">
        <f t="shared" si="11"/>
        <v>*</v>
      </c>
    </row>
    <row r="754" spans="1:29" x14ac:dyDescent="0.25">
      <c r="A754" s="36">
        <v>129962</v>
      </c>
      <c r="B754" s="68" t="s">
        <v>634</v>
      </c>
      <c r="C754" s="33" t="s">
        <v>1317</v>
      </c>
      <c r="D754" s="32">
        <v>55</v>
      </c>
      <c r="E754" s="37">
        <v>26</v>
      </c>
      <c r="F754" s="38" t="str">
        <f>VLOOKUP(tabPontoPed[[#This Row],[GRUPO]],tabGrupos[#Data],2,FALSE)</f>
        <v>EQUIP. MAT. P/ GERACAO, TRANSM. DISTR. RETIF...</v>
      </c>
      <c r="G754" s="32" t="str">
        <f>VLOOKUP(tabPontoPed[[#This Row],[GRUPO]],tabGrupos[#Data],3,FALSE)</f>
        <v>MEL</v>
      </c>
      <c r="H754" s="33" t="s">
        <v>1321</v>
      </c>
      <c r="I754" s="80">
        <v>3</v>
      </c>
      <c r="J754" s="39">
        <v>1</v>
      </c>
      <c r="K754" s="41">
        <f>tabPontoPed[[#This Row],[QTDMÊS]] * tabPontoPed[[#This Row],[MENSAL]]</f>
        <v>3</v>
      </c>
      <c r="L754" s="83"/>
      <c r="M754" s="81"/>
      <c r="N754" s="34" t="s">
        <v>1009</v>
      </c>
      <c r="O754" s="76" t="s">
        <v>1473</v>
      </c>
      <c r="P754" s="77">
        <v>0</v>
      </c>
      <c r="Q754" s="57">
        <v>0</v>
      </c>
      <c r="R754" s="42">
        <v>1</v>
      </c>
      <c r="S754" s="69" t="str">
        <f>_xlfn.IFNA(IF(VLOOKUP(tabPontoPed[[#This Row],[CÓDIGO]],tabExcluirDoEstoque[#Data],1,FALSE),"sim",""),"")</f>
        <v/>
      </c>
      <c r="T754" s="43">
        <f>IF(AND(tabPontoPed[[#This Row],[MENSAL]]&gt;0,tabPontoPed[[#This Row],[CÁLCULO]]&gt;0), ABS( tabPontoPed[[#This Row],[MENSAL]] - tabPontoPed[[#This Row],[CÁLCULO]] ) / tabPontoPed[[#This Row],[MENSAL]], -1 )</f>
        <v>0</v>
      </c>
      <c r="U754" s="58">
        <v>2</v>
      </c>
      <c r="V754" s="35">
        <f>IF(AND(tabPontoPed[[#This Row],[MENSAL]]&gt;0,tabPontoPed[[#This Row],[CÁLCULO]]&gt;0), IF( tabPontoPed[[#This Row],[MENSAL]] - tabPontoPed[[#This Row],[CÁLCULO]] &lt; 0, -1, IF( tabPontoPed[[#This Row],[MENSAL]] - tabPontoPed[[#This Row],[CÁLCULO]] &gt; 0, 1, -8)), -9 )</f>
        <v>-8</v>
      </c>
      <c r="W754" s="35"/>
      <c r="X754" s="49"/>
      <c r="Y754" s="51"/>
      <c r="Z754" s="72">
        <f>tabPontoPed[CÁLC_4M] - tabPontoPed[CÁLCULO]</f>
        <v>-1</v>
      </c>
      <c r="AA754" s="79" t="str">
        <f>IF(tabPontoPed[MENSAL]-tabPontoPed[ATA MENSAL] = 0,"sim","")</f>
        <v/>
      </c>
      <c r="AB754" s="79"/>
      <c r="AC754" s="47" t="str">
        <f t="shared" si="11"/>
        <v>*</v>
      </c>
    </row>
    <row r="755" spans="1:29" x14ac:dyDescent="0.25">
      <c r="A755" s="36">
        <v>93486</v>
      </c>
      <c r="B755" s="68" t="s">
        <v>629</v>
      </c>
      <c r="C755" s="33" t="s">
        <v>1317</v>
      </c>
      <c r="D755" s="32">
        <v>55</v>
      </c>
      <c r="E755" s="37">
        <v>26</v>
      </c>
      <c r="F755" s="38" t="str">
        <f>VLOOKUP(tabPontoPed[[#This Row],[GRUPO]],tabGrupos[#Data],2,FALSE)</f>
        <v>EQUIP. MAT. P/ GERACAO, TRANSM. DISTR. RETIF...</v>
      </c>
      <c r="G755" s="32" t="str">
        <f>VLOOKUP(tabPontoPed[[#This Row],[GRUPO]],tabGrupos[#Data],3,FALSE)</f>
        <v>MEL</v>
      </c>
      <c r="H755" s="33" t="s">
        <v>1311</v>
      </c>
      <c r="I755" s="80">
        <v>4</v>
      </c>
      <c r="J755" s="39">
        <v>1</v>
      </c>
      <c r="K755" s="41">
        <f>tabPontoPed[[#This Row],[QTDMÊS]] * tabPontoPed[[#This Row],[MENSAL]]</f>
        <v>4</v>
      </c>
      <c r="L755" s="83"/>
      <c r="M755" s="81"/>
      <c r="N755" s="34" t="s">
        <v>1009</v>
      </c>
      <c r="O755" s="76"/>
      <c r="P755" s="77">
        <v>0</v>
      </c>
      <c r="Q755" s="57">
        <v>2</v>
      </c>
      <c r="R755" s="42">
        <v>1</v>
      </c>
      <c r="S755" s="69" t="str">
        <f>_xlfn.IFNA(IF(VLOOKUP(tabPontoPed[[#This Row],[CÓDIGO]],tabExcluirDoEstoque[#Data],1,FALSE),"sim",""),"")</f>
        <v/>
      </c>
      <c r="T755" s="43">
        <f>IF(AND(tabPontoPed[[#This Row],[MENSAL]]&gt;0,tabPontoPed[[#This Row],[CÁLCULO]]&gt;0), ABS( tabPontoPed[[#This Row],[MENSAL]] - tabPontoPed[[#This Row],[CÁLCULO]] ) / tabPontoPed[[#This Row],[MENSAL]], -1 )</f>
        <v>0</v>
      </c>
      <c r="U755" s="58">
        <v>5</v>
      </c>
      <c r="V755" s="35">
        <f>IF(AND(tabPontoPed[[#This Row],[MENSAL]]&gt;0,tabPontoPed[[#This Row],[CÁLCULO]]&gt;0), IF( tabPontoPed[[#This Row],[MENSAL]] - tabPontoPed[[#This Row],[CÁLCULO]] &lt; 0, -1, IF( tabPontoPed[[#This Row],[MENSAL]] - tabPontoPed[[#This Row],[CÁLCULO]] &gt; 0, 1, -8)), -9 )</f>
        <v>-8</v>
      </c>
      <c r="W755" s="35"/>
      <c r="X755" s="49" t="s">
        <v>1564</v>
      </c>
      <c r="Y755" s="51">
        <v>44391.599108796298</v>
      </c>
      <c r="Z755" s="72">
        <f>tabPontoPed[CÁLC_4M] - tabPontoPed[CÁLCULO]</f>
        <v>1</v>
      </c>
      <c r="AA755" s="79" t="str">
        <f>IF(tabPontoPed[MENSAL]-tabPontoPed[ATA MENSAL] = 0,"sim","")</f>
        <v/>
      </c>
      <c r="AB755" s="79"/>
      <c r="AC755" s="47" t="str">
        <f t="shared" si="11"/>
        <v>*</v>
      </c>
    </row>
    <row r="756" spans="1:29" x14ac:dyDescent="0.25">
      <c r="A756" s="36">
        <v>93487</v>
      </c>
      <c r="B756" s="68" t="s">
        <v>630</v>
      </c>
      <c r="C756" s="33" t="s">
        <v>1317</v>
      </c>
      <c r="D756" s="32">
        <v>55</v>
      </c>
      <c r="E756" s="37">
        <v>26</v>
      </c>
      <c r="F756" s="38" t="str">
        <f>VLOOKUP(tabPontoPed[[#This Row],[GRUPO]],tabGrupos[#Data],2,FALSE)</f>
        <v>EQUIP. MAT. P/ GERACAO, TRANSM. DISTR. RETIF...</v>
      </c>
      <c r="G756" s="32" t="str">
        <f>VLOOKUP(tabPontoPed[[#This Row],[GRUPO]],tabGrupos[#Data],3,FALSE)</f>
        <v>MEL</v>
      </c>
      <c r="H756" s="33" t="s">
        <v>1311</v>
      </c>
      <c r="I756" s="80">
        <v>4</v>
      </c>
      <c r="J756" s="39">
        <v>1</v>
      </c>
      <c r="K756" s="41">
        <f>tabPontoPed[[#This Row],[QTDMÊS]] * tabPontoPed[[#This Row],[MENSAL]]</f>
        <v>4</v>
      </c>
      <c r="L756" s="83"/>
      <c r="M756" s="81"/>
      <c r="N756" s="34" t="s">
        <v>1009</v>
      </c>
      <c r="O756" s="76"/>
      <c r="P756" s="77">
        <v>0</v>
      </c>
      <c r="Q756" s="57">
        <v>0</v>
      </c>
      <c r="R756" s="42">
        <v>1</v>
      </c>
      <c r="S756" s="69" t="str">
        <f>_xlfn.IFNA(IF(VLOOKUP(tabPontoPed[[#This Row],[CÓDIGO]],tabExcluirDoEstoque[#Data],1,FALSE),"sim",""),"")</f>
        <v/>
      </c>
      <c r="T756" s="43">
        <f>IF(AND(tabPontoPed[[#This Row],[MENSAL]]&gt;0,tabPontoPed[[#This Row],[CÁLCULO]]&gt;0), ABS( tabPontoPed[[#This Row],[MENSAL]] - tabPontoPed[[#This Row],[CÁLCULO]] ) / tabPontoPed[[#This Row],[MENSAL]], -1 )</f>
        <v>0</v>
      </c>
      <c r="U756" s="58">
        <v>1</v>
      </c>
      <c r="V756" s="35">
        <f>IF(AND(tabPontoPed[[#This Row],[MENSAL]]&gt;0,tabPontoPed[[#This Row],[CÁLCULO]]&gt;0), IF( tabPontoPed[[#This Row],[MENSAL]] - tabPontoPed[[#This Row],[CÁLCULO]] &lt; 0, -1, IF( tabPontoPed[[#This Row],[MENSAL]] - tabPontoPed[[#This Row],[CÁLCULO]] &gt; 0, 1, -8)), -9 )</f>
        <v>-8</v>
      </c>
      <c r="W756" s="35"/>
      <c r="X756" s="49" t="s">
        <v>1564</v>
      </c>
      <c r="Y756" s="51">
        <v>44391.599108796298</v>
      </c>
      <c r="Z756" s="72">
        <f>tabPontoPed[CÁLC_4M] - tabPontoPed[CÁLCULO]</f>
        <v>-1</v>
      </c>
      <c r="AA756" s="79" t="str">
        <f>IF(tabPontoPed[MENSAL]-tabPontoPed[ATA MENSAL] = 0,"sim","")</f>
        <v/>
      </c>
      <c r="AB756" s="79"/>
      <c r="AC756" s="47" t="str">
        <f t="shared" si="11"/>
        <v>*</v>
      </c>
    </row>
    <row r="757" spans="1:29" x14ac:dyDescent="0.25">
      <c r="A757" s="36">
        <v>102822</v>
      </c>
      <c r="B757" s="68" t="s">
        <v>632</v>
      </c>
      <c r="C757" s="33" t="s">
        <v>1317</v>
      </c>
      <c r="D757" s="32">
        <v>55</v>
      </c>
      <c r="E757" s="37">
        <v>26</v>
      </c>
      <c r="F757" s="38" t="str">
        <f>VLOOKUP(tabPontoPed[[#This Row],[GRUPO]],tabGrupos[#Data],2,FALSE)</f>
        <v>EQUIP. MAT. P/ GERACAO, TRANSM. DISTR. RETIF...</v>
      </c>
      <c r="G757" s="32" t="str">
        <f>VLOOKUP(tabPontoPed[[#This Row],[GRUPO]],tabGrupos[#Data],3,FALSE)</f>
        <v>MEL</v>
      </c>
      <c r="H757" s="33" t="s">
        <v>1311</v>
      </c>
      <c r="I757" s="80">
        <v>4</v>
      </c>
      <c r="J757" s="39">
        <v>1</v>
      </c>
      <c r="K757" s="41">
        <f>tabPontoPed[[#This Row],[QTDMÊS]] * tabPontoPed[[#This Row],[MENSAL]]</f>
        <v>4</v>
      </c>
      <c r="L757" s="83"/>
      <c r="M757" s="81"/>
      <c r="N757" s="34" t="s">
        <v>1009</v>
      </c>
      <c r="O757" s="76"/>
      <c r="P757" s="77">
        <v>0</v>
      </c>
      <c r="Q757" s="57">
        <v>0</v>
      </c>
      <c r="R757" s="42">
        <v>1</v>
      </c>
      <c r="S757" s="69" t="str">
        <f>_xlfn.IFNA(IF(VLOOKUP(tabPontoPed[[#This Row],[CÓDIGO]],tabExcluirDoEstoque[#Data],1,FALSE),"sim",""),"")</f>
        <v/>
      </c>
      <c r="T757" s="43">
        <f>IF(AND(tabPontoPed[[#This Row],[MENSAL]]&gt;0,tabPontoPed[[#This Row],[CÁLCULO]]&gt;0), ABS( tabPontoPed[[#This Row],[MENSAL]] - tabPontoPed[[#This Row],[CÁLCULO]] ) / tabPontoPed[[#This Row],[MENSAL]], -1 )</f>
        <v>0</v>
      </c>
      <c r="U757" s="58">
        <v>6</v>
      </c>
      <c r="V757" s="35">
        <f>IF(AND(tabPontoPed[[#This Row],[MENSAL]]&gt;0,tabPontoPed[[#This Row],[CÁLCULO]]&gt;0), IF( tabPontoPed[[#This Row],[MENSAL]] - tabPontoPed[[#This Row],[CÁLCULO]] &lt; 0, -1, IF( tabPontoPed[[#This Row],[MENSAL]] - tabPontoPed[[#This Row],[CÁLCULO]] &gt; 0, 1, -8)), -9 )</f>
        <v>-8</v>
      </c>
      <c r="W757" s="35"/>
      <c r="X757" s="49" t="s">
        <v>1564</v>
      </c>
      <c r="Y757" s="51">
        <v>44391.599108796298</v>
      </c>
      <c r="Z757" s="72">
        <f>tabPontoPed[CÁLC_4M] - tabPontoPed[CÁLCULO]</f>
        <v>-1</v>
      </c>
      <c r="AA757" s="79" t="str">
        <f>IF(tabPontoPed[MENSAL]-tabPontoPed[ATA MENSAL] = 0,"sim","")</f>
        <v/>
      </c>
      <c r="AB757" s="79"/>
      <c r="AC757" s="47" t="str">
        <f t="shared" si="11"/>
        <v>*</v>
      </c>
    </row>
    <row r="758" spans="1:29" x14ac:dyDescent="0.25">
      <c r="A758" s="36">
        <v>104665</v>
      </c>
      <c r="B758" s="68" t="s">
        <v>637</v>
      </c>
      <c r="C758" s="33" t="s">
        <v>1317</v>
      </c>
      <c r="D758" s="32">
        <v>55</v>
      </c>
      <c r="E758" s="37">
        <v>27</v>
      </c>
      <c r="F758" s="38" t="str">
        <f>VLOOKUP(tabPontoPed[[#This Row],[GRUPO]],tabGrupos[#Data],2,FALSE)</f>
        <v>EQUIP. MAT. P/ GERACAO, TRANSM. DISTR. RETIF...</v>
      </c>
      <c r="G758" s="32" t="str">
        <f>VLOOKUP(tabPontoPed[[#This Row],[GRUPO]],tabGrupos[#Data],3,FALSE)</f>
        <v>MEL</v>
      </c>
      <c r="H758" s="33" t="s">
        <v>1311</v>
      </c>
      <c r="I758" s="80">
        <v>4</v>
      </c>
      <c r="J758" s="39">
        <v>1</v>
      </c>
      <c r="K758" s="41">
        <f>tabPontoPed[[#This Row],[QTDMÊS]] * tabPontoPed[[#This Row],[MENSAL]]</f>
        <v>4</v>
      </c>
      <c r="L758" s="83"/>
      <c r="M758" s="81"/>
      <c r="N758" s="34" t="s">
        <v>1009</v>
      </c>
      <c r="O758" s="76"/>
      <c r="P758" s="77">
        <v>0</v>
      </c>
      <c r="Q758" s="57">
        <v>0</v>
      </c>
      <c r="R758" s="42">
        <v>1</v>
      </c>
      <c r="S758" s="69" t="str">
        <f>_xlfn.IFNA(IF(VLOOKUP(tabPontoPed[[#This Row],[CÓDIGO]],tabExcluirDoEstoque[#Data],1,FALSE),"sim",""),"")</f>
        <v/>
      </c>
      <c r="T758" s="43">
        <f>IF(AND(tabPontoPed[[#This Row],[MENSAL]]&gt;0,tabPontoPed[[#This Row],[CÁLCULO]]&gt;0), ABS( tabPontoPed[[#This Row],[MENSAL]] - tabPontoPed[[#This Row],[CÁLCULO]] ) / tabPontoPed[[#This Row],[MENSAL]], -1 )</f>
        <v>0</v>
      </c>
      <c r="U758" s="58">
        <v>2</v>
      </c>
      <c r="V758" s="35">
        <f>IF(AND(tabPontoPed[[#This Row],[MENSAL]]&gt;0,tabPontoPed[[#This Row],[CÁLCULO]]&gt;0), IF( tabPontoPed[[#This Row],[MENSAL]] - tabPontoPed[[#This Row],[CÁLCULO]] &lt; 0, -1, IF( tabPontoPed[[#This Row],[MENSAL]] - tabPontoPed[[#This Row],[CÁLCULO]] &gt; 0, 1, -8)), -9 )</f>
        <v>-8</v>
      </c>
      <c r="W758" s="35"/>
      <c r="X758" s="49" t="s">
        <v>1564</v>
      </c>
      <c r="Y758" s="51">
        <v>44391.599108796298</v>
      </c>
      <c r="Z758" s="72">
        <f>tabPontoPed[CÁLC_4M] - tabPontoPed[CÁLCULO]</f>
        <v>-1</v>
      </c>
      <c r="AA758" s="79" t="str">
        <f>IF(tabPontoPed[MENSAL]-tabPontoPed[ATA MENSAL] = 0,"sim","")</f>
        <v/>
      </c>
      <c r="AB758" s="79"/>
      <c r="AC758" s="47" t="str">
        <f t="shared" si="11"/>
        <v>*</v>
      </c>
    </row>
    <row r="759" spans="1:29" x14ac:dyDescent="0.25">
      <c r="A759" s="36">
        <v>108398</v>
      </c>
      <c r="B759" s="68" t="s">
        <v>640</v>
      </c>
      <c r="C759" s="33" t="s">
        <v>1317</v>
      </c>
      <c r="D759" s="32">
        <v>55</v>
      </c>
      <c r="E759" s="37">
        <v>30</v>
      </c>
      <c r="F759" s="38" t="str">
        <f>VLOOKUP(tabPontoPed[[#This Row],[GRUPO]],tabGrupos[#Data],2,FALSE)</f>
        <v>EQUIP. MAT. P/ GERACAO, TRANSM. DISTR. RETIF...</v>
      </c>
      <c r="G759" s="32" t="str">
        <f>VLOOKUP(tabPontoPed[[#This Row],[GRUPO]],tabGrupos[#Data],3,FALSE)</f>
        <v>MEL</v>
      </c>
      <c r="H759" s="33" t="s">
        <v>1311</v>
      </c>
      <c r="I759" s="80">
        <v>4</v>
      </c>
      <c r="J759" s="39">
        <v>1</v>
      </c>
      <c r="K759" s="41">
        <f>tabPontoPed[[#This Row],[QTDMÊS]] * tabPontoPed[[#This Row],[MENSAL]]</f>
        <v>4</v>
      </c>
      <c r="L759" s="83"/>
      <c r="M759" s="81"/>
      <c r="N759" s="34" t="s">
        <v>1009</v>
      </c>
      <c r="O759" s="76"/>
      <c r="P759" s="77">
        <v>0</v>
      </c>
      <c r="Q759" s="57">
        <v>1</v>
      </c>
      <c r="R759" s="42">
        <v>1</v>
      </c>
      <c r="S759" s="69" t="str">
        <f>_xlfn.IFNA(IF(VLOOKUP(tabPontoPed[[#This Row],[CÓDIGO]],tabExcluirDoEstoque[#Data],1,FALSE),"sim",""),"")</f>
        <v/>
      </c>
      <c r="T759" s="43">
        <f>IF(AND(tabPontoPed[[#This Row],[MENSAL]]&gt;0,tabPontoPed[[#This Row],[CÁLCULO]]&gt;0), ABS( tabPontoPed[[#This Row],[MENSAL]] - tabPontoPed[[#This Row],[CÁLCULO]] ) / tabPontoPed[[#This Row],[MENSAL]], -1 )</f>
        <v>0</v>
      </c>
      <c r="U759" s="58">
        <v>1</v>
      </c>
      <c r="V759" s="35">
        <f>IF(AND(tabPontoPed[[#This Row],[MENSAL]]&gt;0,tabPontoPed[[#This Row],[CÁLCULO]]&gt;0), IF( tabPontoPed[[#This Row],[MENSAL]] - tabPontoPed[[#This Row],[CÁLCULO]] &lt; 0, -1, IF( tabPontoPed[[#This Row],[MENSAL]] - tabPontoPed[[#This Row],[CÁLCULO]] &gt; 0, 1, -8)), -9 )</f>
        <v>-8</v>
      </c>
      <c r="W759" s="35"/>
      <c r="X759" s="49" t="s">
        <v>1564</v>
      </c>
      <c r="Y759" s="51">
        <v>44391.599108796298</v>
      </c>
      <c r="Z759" s="72">
        <f>tabPontoPed[CÁLC_4M] - tabPontoPed[CÁLCULO]</f>
        <v>0</v>
      </c>
      <c r="AA759" s="79" t="str">
        <f>IF(tabPontoPed[MENSAL]-tabPontoPed[ATA MENSAL] = 0,"sim","")</f>
        <v/>
      </c>
      <c r="AB759" s="79"/>
      <c r="AC759" s="47" t="str">
        <f t="shared" si="11"/>
        <v>*</v>
      </c>
    </row>
    <row r="760" spans="1:29" x14ac:dyDescent="0.25">
      <c r="A760" s="36">
        <v>111841</v>
      </c>
      <c r="B760" s="68" t="s">
        <v>641</v>
      </c>
      <c r="C760" s="33" t="s">
        <v>1317</v>
      </c>
      <c r="D760" s="32">
        <v>55</v>
      </c>
      <c r="E760" s="37">
        <v>30</v>
      </c>
      <c r="F760" s="38" t="str">
        <f>VLOOKUP(tabPontoPed[[#This Row],[GRUPO]],tabGrupos[#Data],2,FALSE)</f>
        <v>EQUIP. MAT. P/ GERACAO, TRANSM. DISTR. RETIF...</v>
      </c>
      <c r="G760" s="32" t="str">
        <f>VLOOKUP(tabPontoPed[[#This Row],[GRUPO]],tabGrupos[#Data],3,FALSE)</f>
        <v>MEL</v>
      </c>
      <c r="H760" s="33" t="s">
        <v>1311</v>
      </c>
      <c r="I760" s="80">
        <v>4</v>
      </c>
      <c r="J760" s="39">
        <v>1</v>
      </c>
      <c r="K760" s="41">
        <f>tabPontoPed[[#This Row],[QTDMÊS]] * tabPontoPed[[#This Row],[MENSAL]]</f>
        <v>4</v>
      </c>
      <c r="L760" s="83"/>
      <c r="M760" s="81"/>
      <c r="N760" s="34" t="s">
        <v>1009</v>
      </c>
      <c r="O760" s="76"/>
      <c r="P760" s="77">
        <v>0</v>
      </c>
      <c r="Q760" s="57">
        <v>0</v>
      </c>
      <c r="R760" s="42">
        <v>1</v>
      </c>
      <c r="S760" s="69" t="str">
        <f>_xlfn.IFNA(IF(VLOOKUP(tabPontoPed[[#This Row],[CÓDIGO]],tabExcluirDoEstoque[#Data],1,FALSE),"sim",""),"")</f>
        <v/>
      </c>
      <c r="T760" s="43">
        <f>IF(AND(tabPontoPed[[#This Row],[MENSAL]]&gt;0,tabPontoPed[[#This Row],[CÁLCULO]]&gt;0), ABS( tabPontoPed[[#This Row],[MENSAL]] - tabPontoPed[[#This Row],[CÁLCULO]] ) / tabPontoPed[[#This Row],[MENSAL]], -1 )</f>
        <v>0</v>
      </c>
      <c r="U760" s="58">
        <v>2</v>
      </c>
      <c r="V760" s="35">
        <f>IF(AND(tabPontoPed[[#This Row],[MENSAL]]&gt;0,tabPontoPed[[#This Row],[CÁLCULO]]&gt;0), IF( tabPontoPed[[#This Row],[MENSAL]] - tabPontoPed[[#This Row],[CÁLCULO]] &lt; 0, -1, IF( tabPontoPed[[#This Row],[MENSAL]] - tabPontoPed[[#This Row],[CÁLCULO]] &gt; 0, 1, -8)), -9 )</f>
        <v>-8</v>
      </c>
      <c r="W760" s="35"/>
      <c r="X760" s="49" t="s">
        <v>1564</v>
      </c>
      <c r="Y760" s="51">
        <v>44391.599108796298</v>
      </c>
      <c r="Z760" s="72">
        <f>tabPontoPed[CÁLC_4M] - tabPontoPed[CÁLCULO]</f>
        <v>-1</v>
      </c>
      <c r="AA760" s="79" t="str">
        <f>IF(tabPontoPed[MENSAL]-tabPontoPed[ATA MENSAL] = 0,"sim","")</f>
        <v/>
      </c>
      <c r="AB760" s="79"/>
      <c r="AC760" s="47" t="str">
        <f t="shared" si="11"/>
        <v>*</v>
      </c>
    </row>
    <row r="761" spans="1:29" x14ac:dyDescent="0.25">
      <c r="A761" s="36">
        <v>114773</v>
      </c>
      <c r="B761" s="68" t="s">
        <v>642</v>
      </c>
      <c r="C761" s="33" t="s">
        <v>1317</v>
      </c>
      <c r="D761" s="32">
        <v>55</v>
      </c>
      <c r="E761" s="37">
        <v>30</v>
      </c>
      <c r="F761" s="38" t="str">
        <f>VLOOKUP(tabPontoPed[[#This Row],[GRUPO]],tabGrupos[#Data],2,FALSE)</f>
        <v>EQUIP. MAT. P/ GERACAO, TRANSM. DISTR. RETIF...</v>
      </c>
      <c r="G761" s="32" t="str">
        <f>VLOOKUP(tabPontoPed[[#This Row],[GRUPO]],tabGrupos[#Data],3,FALSE)</f>
        <v>MEL</v>
      </c>
      <c r="H761" s="33" t="s">
        <v>1311</v>
      </c>
      <c r="I761" s="80">
        <v>4</v>
      </c>
      <c r="J761" s="39">
        <v>1</v>
      </c>
      <c r="K761" s="41">
        <f>tabPontoPed[[#This Row],[QTDMÊS]] * tabPontoPed[[#This Row],[MENSAL]]</f>
        <v>4</v>
      </c>
      <c r="L761" s="83"/>
      <c r="M761" s="81"/>
      <c r="N761" s="34" t="s">
        <v>1009</v>
      </c>
      <c r="O761" s="76"/>
      <c r="P761" s="77">
        <v>0</v>
      </c>
      <c r="Q761" s="57">
        <v>1</v>
      </c>
      <c r="R761" s="42">
        <v>1</v>
      </c>
      <c r="S761" s="69" t="str">
        <f>_xlfn.IFNA(IF(VLOOKUP(tabPontoPed[[#This Row],[CÓDIGO]],tabExcluirDoEstoque[#Data],1,FALSE),"sim",""),"")</f>
        <v/>
      </c>
      <c r="T761" s="43">
        <f>IF(AND(tabPontoPed[[#This Row],[MENSAL]]&gt;0,tabPontoPed[[#This Row],[CÁLCULO]]&gt;0), ABS( tabPontoPed[[#This Row],[MENSAL]] - tabPontoPed[[#This Row],[CÁLCULO]] ) / tabPontoPed[[#This Row],[MENSAL]], -1 )</f>
        <v>0</v>
      </c>
      <c r="U761" s="58">
        <v>3</v>
      </c>
      <c r="V761" s="35">
        <f>IF(AND(tabPontoPed[[#This Row],[MENSAL]]&gt;0,tabPontoPed[[#This Row],[CÁLCULO]]&gt;0), IF( tabPontoPed[[#This Row],[MENSAL]] - tabPontoPed[[#This Row],[CÁLCULO]] &lt; 0, -1, IF( tabPontoPed[[#This Row],[MENSAL]] - tabPontoPed[[#This Row],[CÁLCULO]] &gt; 0, 1, -8)), -9 )</f>
        <v>-8</v>
      </c>
      <c r="W761" s="35"/>
      <c r="X761" s="49" t="s">
        <v>1564</v>
      </c>
      <c r="Y761" s="51">
        <v>44391.599108796298</v>
      </c>
      <c r="Z761" s="72">
        <f>tabPontoPed[CÁLC_4M] - tabPontoPed[CÁLCULO]</f>
        <v>0</v>
      </c>
      <c r="AA761" s="79" t="str">
        <f>IF(tabPontoPed[MENSAL]-tabPontoPed[ATA MENSAL] = 0,"sim","")</f>
        <v/>
      </c>
      <c r="AB761" s="79"/>
      <c r="AC761" s="47" t="str">
        <f t="shared" si="11"/>
        <v>*</v>
      </c>
    </row>
    <row r="762" spans="1:29" x14ac:dyDescent="0.25">
      <c r="A762" s="36">
        <v>114772</v>
      </c>
      <c r="B762" s="68" t="s">
        <v>364</v>
      </c>
      <c r="C762" s="33" t="s">
        <v>1317</v>
      </c>
      <c r="D762" s="32">
        <v>55</v>
      </c>
      <c r="E762" s="37">
        <v>31</v>
      </c>
      <c r="F762" s="38" t="str">
        <f>VLOOKUP(tabPontoPed[[#This Row],[GRUPO]],tabGrupos[#Data],2,FALSE)</f>
        <v>EQUIP. MAT. P/ GERACAO, TRANSM. DISTR. RETIF...</v>
      </c>
      <c r="G762" s="32" t="str">
        <f>VLOOKUP(tabPontoPed[[#This Row],[GRUPO]],tabGrupos[#Data],3,FALSE)</f>
        <v>MEL</v>
      </c>
      <c r="H762" s="33" t="s">
        <v>1311</v>
      </c>
      <c r="I762" s="80">
        <v>4</v>
      </c>
      <c r="J762" s="39">
        <v>1</v>
      </c>
      <c r="K762" s="41">
        <f>tabPontoPed[[#This Row],[QTDMÊS]] * tabPontoPed[[#This Row],[MENSAL]]</f>
        <v>4</v>
      </c>
      <c r="L762" s="83"/>
      <c r="M762" s="81"/>
      <c r="N762" s="34" t="s">
        <v>1009</v>
      </c>
      <c r="O762" s="76" t="s">
        <v>1577</v>
      </c>
      <c r="P762" s="77">
        <v>0</v>
      </c>
      <c r="Q762" s="57">
        <v>0</v>
      </c>
      <c r="R762" s="42">
        <v>1</v>
      </c>
      <c r="S762" s="69" t="str">
        <f>_xlfn.IFNA(IF(VLOOKUP(tabPontoPed[[#This Row],[CÓDIGO]],tabExcluirDoEstoque[#Data],1,FALSE),"sim",""),"")</f>
        <v/>
      </c>
      <c r="T762" s="43">
        <f>IF(AND(tabPontoPed[[#This Row],[MENSAL]]&gt;0,tabPontoPed[[#This Row],[CÁLCULO]]&gt;0), ABS( tabPontoPed[[#This Row],[MENSAL]] - tabPontoPed[[#This Row],[CÁLCULO]] ) / tabPontoPed[[#This Row],[MENSAL]], -1 )</f>
        <v>0</v>
      </c>
      <c r="U762" s="58">
        <v>1</v>
      </c>
      <c r="V762" s="35">
        <f>IF(AND(tabPontoPed[[#This Row],[MENSAL]]&gt;0,tabPontoPed[[#This Row],[CÁLCULO]]&gt;0), IF( tabPontoPed[[#This Row],[MENSAL]] - tabPontoPed[[#This Row],[CÁLCULO]] &lt; 0, -1, IF( tabPontoPed[[#This Row],[MENSAL]] - tabPontoPed[[#This Row],[CÁLCULO]] &gt; 0, 1, -8)), -9 )</f>
        <v>-8</v>
      </c>
      <c r="W762" s="35"/>
      <c r="X762" s="49" t="s">
        <v>1564</v>
      </c>
      <c r="Y762" s="51">
        <v>44391.599108796298</v>
      </c>
      <c r="Z762" s="72">
        <f>tabPontoPed[CÁLC_4M] - tabPontoPed[CÁLCULO]</f>
        <v>-1</v>
      </c>
      <c r="AA762" s="79" t="str">
        <f>IF(tabPontoPed[MENSAL]-tabPontoPed[ATA MENSAL] = 0,"sim","")</f>
        <v/>
      </c>
      <c r="AB762" s="79"/>
      <c r="AC762" s="47" t="str">
        <f t="shared" si="11"/>
        <v>*</v>
      </c>
    </row>
    <row r="763" spans="1:29" x14ac:dyDescent="0.25">
      <c r="A763" s="36">
        <v>128819</v>
      </c>
      <c r="B763" s="68" t="s">
        <v>28</v>
      </c>
      <c r="C763" s="33" t="s">
        <v>1317</v>
      </c>
      <c r="D763" s="32">
        <v>55</v>
      </c>
      <c r="E763" s="37">
        <v>34</v>
      </c>
      <c r="F763" s="38" t="str">
        <f>VLOOKUP(tabPontoPed[[#This Row],[GRUPO]],tabGrupos[#Data],2,FALSE)</f>
        <v>EQUIP. MAT. P/ GERACAO, TRANSM. DISTR. RETIF...</v>
      </c>
      <c r="G763" s="32" t="str">
        <f>VLOOKUP(tabPontoPed[[#This Row],[GRUPO]],tabGrupos[#Data],3,FALSE)</f>
        <v>MEL</v>
      </c>
      <c r="H763" s="33" t="s">
        <v>1311</v>
      </c>
      <c r="I763" s="80">
        <v>4</v>
      </c>
      <c r="J763" s="39">
        <v>8</v>
      </c>
      <c r="K763" s="41">
        <f>tabPontoPed[[#This Row],[QTDMÊS]] * tabPontoPed[[#This Row],[MENSAL]]</f>
        <v>32</v>
      </c>
      <c r="L763" s="83"/>
      <c r="M763" s="81"/>
      <c r="N763" s="34" t="s">
        <v>1009</v>
      </c>
      <c r="O763" s="76" t="s">
        <v>1676</v>
      </c>
      <c r="P763" s="77">
        <v>0</v>
      </c>
      <c r="Q763" s="57">
        <v>1</v>
      </c>
      <c r="R763" s="42">
        <v>8</v>
      </c>
      <c r="S763" s="69" t="str">
        <f>_xlfn.IFNA(IF(VLOOKUP(tabPontoPed[[#This Row],[CÓDIGO]],tabExcluirDoEstoque[#Data],1,FALSE),"sim",""),"")</f>
        <v/>
      </c>
      <c r="T763" s="43">
        <f>IF(AND(tabPontoPed[[#This Row],[MENSAL]]&gt;0,tabPontoPed[[#This Row],[CÁLCULO]]&gt;0), ABS( tabPontoPed[[#This Row],[MENSAL]] - tabPontoPed[[#This Row],[CÁLCULO]] ) / tabPontoPed[[#This Row],[MENSAL]], -1 )</f>
        <v>0</v>
      </c>
      <c r="U763" s="58">
        <v>56</v>
      </c>
      <c r="V763" s="35">
        <f>IF(AND(tabPontoPed[[#This Row],[MENSAL]]&gt;0,tabPontoPed[[#This Row],[CÁLCULO]]&gt;0), IF( tabPontoPed[[#This Row],[MENSAL]] - tabPontoPed[[#This Row],[CÁLCULO]] &lt; 0, -1, IF( tabPontoPed[[#This Row],[MENSAL]] - tabPontoPed[[#This Row],[CÁLCULO]] &gt; 0, 1, -8)), -9 )</f>
        <v>-8</v>
      </c>
      <c r="W763" s="35"/>
      <c r="X763" s="49" t="s">
        <v>1564</v>
      </c>
      <c r="Y763" s="51">
        <v>44391.599108796298</v>
      </c>
      <c r="Z763" s="72">
        <f>tabPontoPed[CÁLC_4M] - tabPontoPed[CÁLCULO]</f>
        <v>-7</v>
      </c>
      <c r="AA763" s="79" t="str">
        <f>IF(tabPontoPed[MENSAL]-tabPontoPed[ATA MENSAL] = 0,"sim","")</f>
        <v/>
      </c>
      <c r="AB763" s="79"/>
      <c r="AC763" s="47" t="str">
        <f t="shared" si="11"/>
        <v>*</v>
      </c>
    </row>
    <row r="764" spans="1:29" x14ac:dyDescent="0.25">
      <c r="A764" s="36">
        <v>113242</v>
      </c>
      <c r="B764" s="68" t="s">
        <v>674</v>
      </c>
      <c r="C764" s="33" t="s">
        <v>1317</v>
      </c>
      <c r="D764" s="32">
        <v>55</v>
      </c>
      <c r="E764" s="37">
        <v>35</v>
      </c>
      <c r="F764" s="38" t="str">
        <f>VLOOKUP(tabPontoPed[[#This Row],[GRUPO]],tabGrupos[#Data],2,FALSE)</f>
        <v>EQUIP. MAT. P/ GERACAO, TRANSM. DISTR. RETIF...</v>
      </c>
      <c r="G764" s="32" t="str">
        <f>VLOOKUP(tabPontoPed[[#This Row],[GRUPO]],tabGrupos[#Data],3,FALSE)</f>
        <v>MEL</v>
      </c>
      <c r="H764" s="33" t="s">
        <v>1311</v>
      </c>
      <c r="I764" s="80">
        <v>4</v>
      </c>
      <c r="J764" s="39">
        <v>2</v>
      </c>
      <c r="K764" s="41">
        <f>tabPontoPed[[#This Row],[QTDMÊS]] * tabPontoPed[[#This Row],[MENSAL]]</f>
        <v>8</v>
      </c>
      <c r="L764" s="83"/>
      <c r="M764" s="81"/>
      <c r="N764" s="34" t="s">
        <v>1009</v>
      </c>
      <c r="O764" s="76"/>
      <c r="P764" s="77">
        <v>0</v>
      </c>
      <c r="Q764" s="57">
        <v>1</v>
      </c>
      <c r="R764" s="42">
        <v>2</v>
      </c>
      <c r="S764" s="69" t="str">
        <f>_xlfn.IFNA(IF(VLOOKUP(tabPontoPed[[#This Row],[CÓDIGO]],tabExcluirDoEstoque[#Data],1,FALSE),"sim",""),"")</f>
        <v/>
      </c>
      <c r="T764" s="43">
        <f>IF(AND(tabPontoPed[[#This Row],[MENSAL]]&gt;0,tabPontoPed[[#This Row],[CÁLCULO]]&gt;0), ABS( tabPontoPed[[#This Row],[MENSAL]] - tabPontoPed[[#This Row],[CÁLCULO]] ) / tabPontoPed[[#This Row],[MENSAL]], -1 )</f>
        <v>0</v>
      </c>
      <c r="U764" s="58">
        <v>16</v>
      </c>
      <c r="V764" s="35">
        <f>IF(AND(tabPontoPed[[#This Row],[MENSAL]]&gt;0,tabPontoPed[[#This Row],[CÁLCULO]]&gt;0), IF( tabPontoPed[[#This Row],[MENSAL]] - tabPontoPed[[#This Row],[CÁLCULO]] &lt; 0, -1, IF( tabPontoPed[[#This Row],[MENSAL]] - tabPontoPed[[#This Row],[CÁLCULO]] &gt; 0, 1, -8)), -9 )</f>
        <v>-8</v>
      </c>
      <c r="W764" s="35"/>
      <c r="X764" s="49" t="s">
        <v>1564</v>
      </c>
      <c r="Y764" s="51">
        <v>44391.599108796298</v>
      </c>
      <c r="Z764" s="72">
        <f>tabPontoPed[CÁLC_4M] - tabPontoPed[CÁLCULO]</f>
        <v>-1</v>
      </c>
      <c r="AA764" s="79" t="str">
        <f>IF(tabPontoPed[MENSAL]-tabPontoPed[ATA MENSAL] = 0,"sim","")</f>
        <v/>
      </c>
      <c r="AB764" s="79"/>
      <c r="AC764" s="47" t="str">
        <f t="shared" si="11"/>
        <v>*</v>
      </c>
    </row>
    <row r="765" spans="1:29" x14ac:dyDescent="0.25">
      <c r="A765" s="36">
        <v>103344</v>
      </c>
      <c r="B765" s="68" t="s">
        <v>670</v>
      </c>
      <c r="C765" s="33" t="s">
        <v>1317</v>
      </c>
      <c r="D765" s="32">
        <v>55</v>
      </c>
      <c r="E765" s="37">
        <v>35</v>
      </c>
      <c r="F765" s="38" t="str">
        <f>VLOOKUP(tabPontoPed[[#This Row],[GRUPO]],tabGrupos[#Data],2,FALSE)</f>
        <v>EQUIP. MAT. P/ GERACAO, TRANSM. DISTR. RETIF...</v>
      </c>
      <c r="G765" s="32" t="str">
        <f>VLOOKUP(tabPontoPed[[#This Row],[GRUPO]],tabGrupos[#Data],3,FALSE)</f>
        <v>MEL</v>
      </c>
      <c r="H765" s="33" t="s">
        <v>1311</v>
      </c>
      <c r="I765" s="80">
        <v>4</v>
      </c>
      <c r="J765" s="39">
        <v>5</v>
      </c>
      <c r="K765" s="41">
        <f>tabPontoPed[[#This Row],[QTDMÊS]] * tabPontoPed[[#This Row],[MENSAL]]</f>
        <v>20</v>
      </c>
      <c r="L765" s="83"/>
      <c r="M765" s="81"/>
      <c r="N765" s="34" t="s">
        <v>1009</v>
      </c>
      <c r="O765" s="76" t="s">
        <v>1676</v>
      </c>
      <c r="P765" s="77">
        <v>0</v>
      </c>
      <c r="Q765" s="57">
        <v>0</v>
      </c>
      <c r="R765" s="42">
        <v>5</v>
      </c>
      <c r="S765" s="69" t="str">
        <f>_xlfn.IFNA(IF(VLOOKUP(tabPontoPed[[#This Row],[CÓDIGO]],tabExcluirDoEstoque[#Data],1,FALSE),"sim",""),"")</f>
        <v/>
      </c>
      <c r="T765" s="43">
        <f>IF(AND(tabPontoPed[[#This Row],[MENSAL]]&gt;0,tabPontoPed[[#This Row],[CÁLCULO]]&gt;0), ABS( tabPontoPed[[#This Row],[MENSAL]] - tabPontoPed[[#This Row],[CÁLCULO]] ) / tabPontoPed[[#This Row],[MENSAL]], -1 )</f>
        <v>0</v>
      </c>
      <c r="U765" s="58">
        <v>45</v>
      </c>
      <c r="V765" s="35">
        <f>IF(AND(tabPontoPed[[#This Row],[MENSAL]]&gt;0,tabPontoPed[[#This Row],[CÁLCULO]]&gt;0), IF( tabPontoPed[[#This Row],[MENSAL]] - tabPontoPed[[#This Row],[CÁLCULO]] &lt; 0, -1, IF( tabPontoPed[[#This Row],[MENSAL]] - tabPontoPed[[#This Row],[CÁLCULO]] &gt; 0, 1, -8)), -9 )</f>
        <v>-8</v>
      </c>
      <c r="W765" s="35"/>
      <c r="X765" s="49" t="s">
        <v>1564</v>
      </c>
      <c r="Y765" s="51">
        <v>44391.599108796298</v>
      </c>
      <c r="Z765" s="72">
        <f>tabPontoPed[CÁLC_4M] - tabPontoPed[CÁLCULO]</f>
        <v>-5</v>
      </c>
      <c r="AA765" s="79" t="str">
        <f>IF(tabPontoPed[MENSAL]-tabPontoPed[ATA MENSAL] = 0,"sim","")</f>
        <v/>
      </c>
      <c r="AB765" s="79" t="s">
        <v>1614</v>
      </c>
      <c r="AC765" s="47" t="str">
        <f t="shared" si="11"/>
        <v>*</v>
      </c>
    </row>
    <row r="766" spans="1:29" x14ac:dyDescent="0.25">
      <c r="A766" s="36">
        <v>15673</v>
      </c>
      <c r="B766" s="68" t="s">
        <v>32</v>
      </c>
      <c r="C766" s="33" t="s">
        <v>1317</v>
      </c>
      <c r="D766" s="32">
        <v>55</v>
      </c>
      <c r="E766" s="37">
        <v>35</v>
      </c>
      <c r="F766" s="38" t="str">
        <f>VLOOKUP(tabPontoPed[[#This Row],[GRUPO]],tabGrupos[#Data],2,FALSE)</f>
        <v>EQUIP. MAT. P/ GERACAO, TRANSM. DISTR. RETIF...</v>
      </c>
      <c r="G766" s="32" t="str">
        <f>VLOOKUP(tabPontoPed[[#This Row],[GRUPO]],tabGrupos[#Data],3,FALSE)</f>
        <v>MEL</v>
      </c>
      <c r="H766" s="33" t="s">
        <v>1311</v>
      </c>
      <c r="I766" s="80">
        <v>4</v>
      </c>
      <c r="J766" s="39">
        <v>3</v>
      </c>
      <c r="K766" s="41">
        <f>tabPontoPed[[#This Row],[QTDMÊS]] * tabPontoPed[[#This Row],[MENSAL]]</f>
        <v>12</v>
      </c>
      <c r="L766" s="83"/>
      <c r="M766" s="81"/>
      <c r="N766" s="34" t="s">
        <v>1009</v>
      </c>
      <c r="O766" s="76" t="s">
        <v>1676</v>
      </c>
      <c r="P766" s="77">
        <v>0</v>
      </c>
      <c r="Q766" s="57">
        <v>0</v>
      </c>
      <c r="R766" s="42">
        <v>3</v>
      </c>
      <c r="S766" s="69" t="str">
        <f>_xlfn.IFNA(IF(VLOOKUP(tabPontoPed[[#This Row],[CÓDIGO]],tabExcluirDoEstoque[#Data],1,FALSE),"sim",""),"")</f>
        <v/>
      </c>
      <c r="T766" s="43">
        <f>IF(AND(tabPontoPed[[#This Row],[MENSAL]]&gt;0,tabPontoPed[[#This Row],[CÁLCULO]]&gt;0), ABS( tabPontoPed[[#This Row],[MENSAL]] - tabPontoPed[[#This Row],[CÁLCULO]] ) / tabPontoPed[[#This Row],[MENSAL]], -1 )</f>
        <v>0</v>
      </c>
      <c r="U766" s="58">
        <v>10</v>
      </c>
      <c r="V766" s="35">
        <f>IF(AND(tabPontoPed[[#This Row],[MENSAL]]&gt;0,tabPontoPed[[#This Row],[CÁLCULO]]&gt;0), IF( tabPontoPed[[#This Row],[MENSAL]] - tabPontoPed[[#This Row],[CÁLCULO]] &lt; 0, -1, IF( tabPontoPed[[#This Row],[MENSAL]] - tabPontoPed[[#This Row],[CÁLCULO]] &gt; 0, 1, -8)), -9 )</f>
        <v>-8</v>
      </c>
      <c r="W766" s="35"/>
      <c r="X766" s="49" t="s">
        <v>1564</v>
      </c>
      <c r="Y766" s="51">
        <v>44391.599108796298</v>
      </c>
      <c r="Z766" s="72">
        <f>tabPontoPed[CÁLC_4M] - tabPontoPed[CÁLCULO]</f>
        <v>-3</v>
      </c>
      <c r="AA766" s="79" t="str">
        <f>IF(tabPontoPed[MENSAL]-tabPontoPed[ATA MENSAL] = 0,"sim","")</f>
        <v/>
      </c>
      <c r="AB766" s="79"/>
      <c r="AC766" s="47" t="str">
        <f t="shared" si="11"/>
        <v>*</v>
      </c>
    </row>
    <row r="767" spans="1:29" x14ac:dyDescent="0.25">
      <c r="A767" s="36">
        <v>128304</v>
      </c>
      <c r="B767" s="68" t="s">
        <v>679</v>
      </c>
      <c r="C767" s="33" t="s">
        <v>1317</v>
      </c>
      <c r="D767" s="32">
        <v>55</v>
      </c>
      <c r="E767" s="37">
        <v>39</v>
      </c>
      <c r="F767" s="38" t="str">
        <f>VLOOKUP(tabPontoPed[[#This Row],[GRUPO]],tabGrupos[#Data],2,FALSE)</f>
        <v>EQUIP. MAT. P/ GERACAO, TRANSM. DISTR. RETIF...</v>
      </c>
      <c r="G767" s="32" t="str">
        <f>VLOOKUP(tabPontoPed[[#This Row],[GRUPO]],tabGrupos[#Data],3,FALSE)</f>
        <v>MEL</v>
      </c>
      <c r="H767" s="33" t="s">
        <v>1311</v>
      </c>
      <c r="I767" s="80">
        <v>4</v>
      </c>
      <c r="J767" s="39">
        <v>1</v>
      </c>
      <c r="K767" s="41">
        <f>tabPontoPed[[#This Row],[QTDMÊS]] * tabPontoPed[[#This Row],[MENSAL]]</f>
        <v>4</v>
      </c>
      <c r="L767" s="83"/>
      <c r="M767" s="81"/>
      <c r="N767" s="34" t="s">
        <v>1009</v>
      </c>
      <c r="O767" s="76"/>
      <c r="P767" s="77">
        <v>0</v>
      </c>
      <c r="Q767" s="57">
        <v>1</v>
      </c>
      <c r="R767" s="42">
        <v>1</v>
      </c>
      <c r="S767" s="69" t="str">
        <f>_xlfn.IFNA(IF(VLOOKUP(tabPontoPed[[#This Row],[CÓDIGO]],tabExcluirDoEstoque[#Data],1,FALSE),"sim",""),"")</f>
        <v/>
      </c>
      <c r="T767" s="43">
        <f>IF(AND(tabPontoPed[[#This Row],[MENSAL]]&gt;0,tabPontoPed[[#This Row],[CÁLCULO]]&gt;0), ABS( tabPontoPed[[#This Row],[MENSAL]] - tabPontoPed[[#This Row],[CÁLCULO]] ) / tabPontoPed[[#This Row],[MENSAL]], -1 )</f>
        <v>0</v>
      </c>
      <c r="U767" s="58">
        <v>1</v>
      </c>
      <c r="V767" s="35">
        <f>IF(AND(tabPontoPed[[#This Row],[MENSAL]]&gt;0,tabPontoPed[[#This Row],[CÁLCULO]]&gt;0), IF( tabPontoPed[[#This Row],[MENSAL]] - tabPontoPed[[#This Row],[CÁLCULO]] &lt; 0, -1, IF( tabPontoPed[[#This Row],[MENSAL]] - tabPontoPed[[#This Row],[CÁLCULO]] &gt; 0, 1, -8)), -9 )</f>
        <v>-8</v>
      </c>
      <c r="W767" s="35"/>
      <c r="X767" s="49" t="s">
        <v>1564</v>
      </c>
      <c r="Y767" s="51">
        <v>44391.599108796298</v>
      </c>
      <c r="Z767" s="72">
        <f>tabPontoPed[CÁLC_4M] - tabPontoPed[CÁLCULO]</f>
        <v>0</v>
      </c>
      <c r="AA767" s="79" t="str">
        <f>IF(tabPontoPed[MENSAL]-tabPontoPed[ATA MENSAL] = 0,"sim","")</f>
        <v/>
      </c>
      <c r="AB767" s="79"/>
      <c r="AC767" s="47" t="str">
        <f t="shared" si="11"/>
        <v>*</v>
      </c>
    </row>
    <row r="768" spans="1:29" x14ac:dyDescent="0.25">
      <c r="A768" s="36">
        <v>31555</v>
      </c>
      <c r="B768" s="68" t="s">
        <v>682</v>
      </c>
      <c r="C768" s="33" t="s">
        <v>1317</v>
      </c>
      <c r="D768" s="32">
        <v>55</v>
      </c>
      <c r="E768" s="37">
        <v>40</v>
      </c>
      <c r="F768" s="38" t="str">
        <f>VLOOKUP(tabPontoPed[[#This Row],[GRUPO]],tabGrupos[#Data],2,FALSE)</f>
        <v>EQUIP. MAT. P/ GERACAO, TRANSM. DISTR. RETIF...</v>
      </c>
      <c r="G768" s="32" t="str">
        <f>VLOOKUP(tabPontoPed[[#This Row],[GRUPO]],tabGrupos[#Data],3,FALSE)</f>
        <v>MEL</v>
      </c>
      <c r="H768" s="33" t="s">
        <v>1311</v>
      </c>
      <c r="I768" s="80">
        <v>4</v>
      </c>
      <c r="J768" s="39">
        <v>1</v>
      </c>
      <c r="K768" s="41">
        <f>tabPontoPed[[#This Row],[QTDMÊS]] * tabPontoPed[[#This Row],[MENSAL]]</f>
        <v>4</v>
      </c>
      <c r="L768" s="83"/>
      <c r="M768" s="81"/>
      <c r="N768" s="34" t="s">
        <v>1009</v>
      </c>
      <c r="O768" s="76"/>
      <c r="P768" s="77">
        <v>0</v>
      </c>
      <c r="Q768" s="57">
        <v>0</v>
      </c>
      <c r="R768" s="42">
        <v>1</v>
      </c>
      <c r="S768" s="69" t="str">
        <f>_xlfn.IFNA(IF(VLOOKUP(tabPontoPed[[#This Row],[CÓDIGO]],tabExcluirDoEstoque[#Data],1,FALSE),"sim",""),"")</f>
        <v/>
      </c>
      <c r="T768" s="43">
        <f>IF(AND(tabPontoPed[[#This Row],[MENSAL]]&gt;0,tabPontoPed[[#This Row],[CÁLCULO]]&gt;0), ABS( tabPontoPed[[#This Row],[MENSAL]] - tabPontoPed[[#This Row],[CÁLCULO]] ) / tabPontoPed[[#This Row],[MENSAL]], -1 )</f>
        <v>0</v>
      </c>
      <c r="U768" s="58">
        <v>1</v>
      </c>
      <c r="V768" s="35">
        <f>IF(AND(tabPontoPed[[#This Row],[MENSAL]]&gt;0,tabPontoPed[[#This Row],[CÁLCULO]]&gt;0), IF( tabPontoPed[[#This Row],[MENSAL]] - tabPontoPed[[#This Row],[CÁLCULO]] &lt; 0, -1, IF( tabPontoPed[[#This Row],[MENSAL]] - tabPontoPed[[#This Row],[CÁLCULO]] &gt; 0, 1, -8)), -9 )</f>
        <v>-8</v>
      </c>
      <c r="W768" s="35"/>
      <c r="X768" s="49" t="s">
        <v>1564</v>
      </c>
      <c r="Y768" s="51">
        <v>44391.599108796298</v>
      </c>
      <c r="Z768" s="72">
        <f>tabPontoPed[CÁLC_4M] - tabPontoPed[CÁLCULO]</f>
        <v>-1</v>
      </c>
      <c r="AA768" s="79" t="str">
        <f>IF(tabPontoPed[MENSAL]-tabPontoPed[ATA MENSAL] = 0,"sim","")</f>
        <v/>
      </c>
      <c r="AB768" s="79"/>
      <c r="AC768" s="47" t="str">
        <f t="shared" si="11"/>
        <v>*</v>
      </c>
    </row>
    <row r="769" spans="1:29" x14ac:dyDescent="0.25">
      <c r="A769" s="36">
        <v>95228</v>
      </c>
      <c r="B769" s="68" t="s">
        <v>1773</v>
      </c>
      <c r="C769" s="33">
        <v>1</v>
      </c>
      <c r="D769" s="32">
        <v>55</v>
      </c>
      <c r="E769" s="37">
        <v>46</v>
      </c>
      <c r="F769" s="38" t="str">
        <f>VLOOKUP(tabPontoPed[[#This Row],[GRUPO]],tabGrupos[#Data],2,FALSE)</f>
        <v>EQUIP. MAT. P/ GERACAO, TRANSM. DISTR. RETIF...</v>
      </c>
      <c r="G769" s="32" t="str">
        <f>VLOOKUP(tabPontoPed[[#This Row],[GRUPO]],tabGrupos[#Data],3,FALSE)</f>
        <v>MEL</v>
      </c>
      <c r="H769" s="33" t="s">
        <v>1311</v>
      </c>
      <c r="I769" s="80">
        <v>4</v>
      </c>
      <c r="J769" s="39">
        <v>75</v>
      </c>
      <c r="K769" s="41">
        <f>tabPontoPed[[#This Row],[QTDMÊS]] * tabPontoPed[[#This Row],[MENSAL]]</f>
        <v>300</v>
      </c>
      <c r="L769" s="83"/>
      <c r="M769" s="81"/>
      <c r="N769" s="34" t="s">
        <v>1009</v>
      </c>
      <c r="O769" s="76"/>
      <c r="P769" s="77">
        <v>0</v>
      </c>
      <c r="Q769" s="57">
        <v>75</v>
      </c>
      <c r="R769" s="42">
        <v>75</v>
      </c>
      <c r="S769" s="69" t="str">
        <f>_xlfn.IFNA(IF(VLOOKUP(tabPontoPed[[#This Row],[CÓDIGO]],tabExcluirDoEstoque[#Data],1,FALSE),"sim",""),"")</f>
        <v/>
      </c>
      <c r="T769" s="43">
        <f>IF(AND(tabPontoPed[[#This Row],[MENSAL]]&gt;0,tabPontoPed[[#This Row],[CÁLCULO]]&gt;0), ABS( tabPontoPed[[#This Row],[MENSAL]] - tabPontoPed[[#This Row],[CÁLCULO]] ) / tabPontoPed[[#This Row],[MENSAL]], -1 )</f>
        <v>0</v>
      </c>
      <c r="U769" s="58">
        <v>450</v>
      </c>
      <c r="V769" s="35">
        <f>IF(AND(tabPontoPed[[#This Row],[MENSAL]]&gt;0,tabPontoPed[[#This Row],[CÁLCULO]]&gt;0), IF( tabPontoPed[[#This Row],[MENSAL]] - tabPontoPed[[#This Row],[CÁLCULO]] &lt; 0, -1, IF( tabPontoPed[[#This Row],[MENSAL]] - tabPontoPed[[#This Row],[CÁLCULO]] &gt; 0, 1, -8)), -9 )</f>
        <v>-8</v>
      </c>
      <c r="W769" s="35"/>
      <c r="X769" s="48" t="s">
        <v>1564</v>
      </c>
      <c r="Y769" s="53">
        <v>44391.647175925929</v>
      </c>
      <c r="Z769" s="72">
        <f>tabPontoPed[CÁLC_4M] - tabPontoPed[CÁLCULO]</f>
        <v>0</v>
      </c>
      <c r="AA769" s="79" t="str">
        <f>IF(tabPontoPed[MENSAL]-tabPontoPed[ATA MENSAL] = 0,"sim","")</f>
        <v/>
      </c>
      <c r="AB769" s="79"/>
      <c r="AC769" s="47" t="str">
        <f t="shared" si="11"/>
        <v>*</v>
      </c>
    </row>
    <row r="770" spans="1:29" x14ac:dyDescent="0.25">
      <c r="A770" s="36">
        <v>95229</v>
      </c>
      <c r="B770" s="68" t="s">
        <v>1774</v>
      </c>
      <c r="C770" s="33">
        <v>1</v>
      </c>
      <c r="D770" s="32">
        <v>55</v>
      </c>
      <c r="E770" s="37">
        <v>46</v>
      </c>
      <c r="F770" s="38" t="str">
        <f>VLOOKUP(tabPontoPed[[#This Row],[GRUPO]],tabGrupos[#Data],2,FALSE)</f>
        <v>EQUIP. MAT. P/ GERACAO, TRANSM. DISTR. RETIF...</v>
      </c>
      <c r="G770" s="32" t="str">
        <f>VLOOKUP(tabPontoPed[[#This Row],[GRUPO]],tabGrupos[#Data],3,FALSE)</f>
        <v>MEL</v>
      </c>
      <c r="H770" s="33" t="s">
        <v>1311</v>
      </c>
      <c r="I770" s="80">
        <v>4</v>
      </c>
      <c r="J770" s="39">
        <v>165</v>
      </c>
      <c r="K770" s="41">
        <f>tabPontoPed[[#This Row],[QTDMÊS]] * tabPontoPed[[#This Row],[MENSAL]]</f>
        <v>660</v>
      </c>
      <c r="L770" s="83"/>
      <c r="M770" s="81"/>
      <c r="N770" s="34" t="s">
        <v>1009</v>
      </c>
      <c r="O770" s="76" t="s">
        <v>1682</v>
      </c>
      <c r="P770" s="77">
        <v>0</v>
      </c>
      <c r="Q770" s="57">
        <v>238</v>
      </c>
      <c r="R770" s="42">
        <v>165</v>
      </c>
      <c r="S770" s="69" t="str">
        <f>_xlfn.IFNA(IF(VLOOKUP(tabPontoPed[[#This Row],[CÓDIGO]],tabExcluirDoEstoque[#Data],1,FALSE),"sim",""),"")</f>
        <v/>
      </c>
      <c r="T770" s="43">
        <f>IF(AND(tabPontoPed[[#This Row],[MENSAL]]&gt;0,tabPontoPed[[#This Row],[CÁLCULO]]&gt;0), ABS( tabPontoPed[[#This Row],[MENSAL]] - tabPontoPed[[#This Row],[CÁLCULO]] ) / tabPontoPed[[#This Row],[MENSAL]], -1 )</f>
        <v>0</v>
      </c>
      <c r="U770" s="58">
        <v>450</v>
      </c>
      <c r="V770" s="35">
        <f>IF(AND(tabPontoPed[[#This Row],[MENSAL]]&gt;0,tabPontoPed[[#This Row],[CÁLCULO]]&gt;0), IF( tabPontoPed[[#This Row],[MENSAL]] - tabPontoPed[[#This Row],[CÁLCULO]] &lt; 0, -1, IF( tabPontoPed[[#This Row],[MENSAL]] - tabPontoPed[[#This Row],[CÁLCULO]] &gt; 0, 1, -8)), -9 )</f>
        <v>-8</v>
      </c>
      <c r="W770" s="35"/>
      <c r="X770" s="48" t="s">
        <v>1564</v>
      </c>
      <c r="Y770" s="53">
        <v>44391.647175925929</v>
      </c>
      <c r="Z770" s="72">
        <f>tabPontoPed[CÁLC_4M] - tabPontoPed[CÁLCULO]</f>
        <v>73</v>
      </c>
      <c r="AA770" s="79" t="str">
        <f>IF(tabPontoPed[MENSAL]-tabPontoPed[ATA MENSAL] = 0,"sim","")</f>
        <v/>
      </c>
      <c r="AB770" s="79"/>
      <c r="AC770" s="47" t="str">
        <f t="shared" si="11"/>
        <v>*</v>
      </c>
    </row>
    <row r="771" spans="1:29" x14ac:dyDescent="0.25">
      <c r="A771" s="36">
        <v>140666</v>
      </c>
      <c r="B771" s="68" t="s">
        <v>1815</v>
      </c>
      <c r="C771" s="33">
        <v>1</v>
      </c>
      <c r="D771" s="32">
        <v>55</v>
      </c>
      <c r="E771" s="37">
        <v>49</v>
      </c>
      <c r="F771" s="38" t="str">
        <f>VLOOKUP(tabPontoPed[[#This Row],[GRUPO]],tabGrupos[#Data],2,FALSE)</f>
        <v>EQUIP. MAT. P/ GERACAO, TRANSM. DISTR. RETIF...</v>
      </c>
      <c r="G771" s="32" t="str">
        <f>VLOOKUP(tabPontoPed[[#This Row],[GRUPO]],tabGrupos[#Data],3,FALSE)</f>
        <v>MEL</v>
      </c>
      <c r="H771" s="33" t="s">
        <v>1311</v>
      </c>
      <c r="I771" s="80">
        <v>4</v>
      </c>
      <c r="J771" s="39">
        <v>17</v>
      </c>
      <c r="K771" s="41">
        <f>tabPontoPed[[#This Row],[QTDMÊS]] * tabPontoPed[[#This Row],[MENSAL]]</f>
        <v>68</v>
      </c>
      <c r="L771" s="83"/>
      <c r="M771" s="81"/>
      <c r="N771" s="34" t="s">
        <v>1009</v>
      </c>
      <c r="O771" s="76"/>
      <c r="P771" s="77">
        <v>0</v>
      </c>
      <c r="Q771" s="57">
        <v>0</v>
      </c>
      <c r="R771" s="42">
        <v>17</v>
      </c>
      <c r="S771" s="69" t="str">
        <f>_xlfn.IFNA(IF(VLOOKUP(tabPontoPed[[#This Row],[CÓDIGO]],tabExcluirDoEstoque[#Data],1,FALSE),"sim",""),"")</f>
        <v/>
      </c>
      <c r="T771" s="43">
        <f>IF(AND(tabPontoPed[[#This Row],[MENSAL]]&gt;0,tabPontoPed[[#This Row],[CÁLCULO]]&gt;0), ABS( tabPontoPed[[#This Row],[MENSAL]] - tabPontoPed[[#This Row],[CÁLCULO]] ) / tabPontoPed[[#This Row],[MENSAL]], -1 )</f>
        <v>0</v>
      </c>
      <c r="U771" s="58">
        <v>25</v>
      </c>
      <c r="V771" s="35">
        <f>IF(AND(tabPontoPed[[#This Row],[MENSAL]]&gt;0,tabPontoPed[[#This Row],[CÁLCULO]]&gt;0), IF( tabPontoPed[[#This Row],[MENSAL]] - tabPontoPed[[#This Row],[CÁLCULO]] &lt; 0, -1, IF( tabPontoPed[[#This Row],[MENSAL]] - tabPontoPed[[#This Row],[CÁLCULO]] &gt; 0, 1, -8)), -9 )</f>
        <v>-8</v>
      </c>
      <c r="W771" s="35"/>
      <c r="X771" s="48" t="s">
        <v>1564</v>
      </c>
      <c r="Y771" s="53">
        <v>44391.647175925929</v>
      </c>
      <c r="Z771" s="72">
        <f>tabPontoPed[CÁLC_4M] - tabPontoPed[CÁLCULO]</f>
        <v>-17</v>
      </c>
      <c r="AA771" s="79" t="str">
        <f>IF(tabPontoPed[MENSAL]-tabPontoPed[ATA MENSAL] = 0,"sim","")</f>
        <v/>
      </c>
      <c r="AB771" s="79"/>
      <c r="AC771" s="47" t="str">
        <f t="shared" ref="AC771:AC834" si="12">"*"</f>
        <v>*</v>
      </c>
    </row>
    <row r="772" spans="1:29" x14ac:dyDescent="0.25">
      <c r="A772" s="36">
        <v>121086</v>
      </c>
      <c r="B772" s="68" t="s">
        <v>952</v>
      </c>
      <c r="C772" s="33" t="s">
        <v>1317</v>
      </c>
      <c r="D772" s="32">
        <v>75</v>
      </c>
      <c r="E772" s="37">
        <v>5</v>
      </c>
      <c r="F772" s="38" t="str">
        <f>VLOOKUP(tabPontoPed[[#This Row],[GRUPO]],tabGrupos[#Data],2,FALSE)</f>
        <v>OLEOS LUBRIF.,GRAXAS,CORTANTES,FLUIDOS HIDRAULICOS</v>
      </c>
      <c r="G772" s="32" t="str">
        <f>VLOOKUP(tabPontoPed[[#This Row],[GRUPO]],tabGrupos[#Data],3,FALSE)</f>
        <v>MFR</v>
      </c>
      <c r="H772" s="33" t="s">
        <v>1311</v>
      </c>
      <c r="I772" s="80">
        <v>4</v>
      </c>
      <c r="J772" s="39">
        <v>1</v>
      </c>
      <c r="K772" s="41">
        <f>tabPontoPed[[#This Row],[QTDMÊS]] * tabPontoPed[[#This Row],[MENSAL]]</f>
        <v>4</v>
      </c>
      <c r="L772" s="83"/>
      <c r="M772" s="81"/>
      <c r="N772" s="34" t="s">
        <v>1009</v>
      </c>
      <c r="O772" s="76"/>
      <c r="P772" s="77">
        <v>0</v>
      </c>
      <c r="Q772" s="57">
        <v>1</v>
      </c>
      <c r="R772" s="42">
        <v>1</v>
      </c>
      <c r="S772" s="69" t="str">
        <f>_xlfn.IFNA(IF(VLOOKUP(tabPontoPed[[#This Row],[CÓDIGO]],tabExcluirDoEstoque[#Data],1,FALSE),"sim",""),"")</f>
        <v/>
      </c>
      <c r="T772" s="43">
        <f>IF(AND(tabPontoPed[[#This Row],[MENSAL]]&gt;0,tabPontoPed[[#This Row],[CÁLCULO]]&gt;0), ABS( tabPontoPed[[#This Row],[MENSAL]] - tabPontoPed[[#This Row],[CÁLCULO]] ) / tabPontoPed[[#This Row],[MENSAL]], -1 )</f>
        <v>0</v>
      </c>
      <c r="U772" s="58">
        <v>1</v>
      </c>
      <c r="V772" s="35">
        <f>IF(AND(tabPontoPed[[#This Row],[MENSAL]]&gt;0,tabPontoPed[[#This Row],[CÁLCULO]]&gt;0), IF( tabPontoPed[[#This Row],[MENSAL]] - tabPontoPed[[#This Row],[CÁLCULO]] &lt; 0, -1, IF( tabPontoPed[[#This Row],[MENSAL]] - tabPontoPed[[#This Row],[CÁLCULO]] &gt; 0, 1, -8)), -9 )</f>
        <v>-8</v>
      </c>
      <c r="W772" s="35"/>
      <c r="X772" s="49" t="s">
        <v>1564</v>
      </c>
      <c r="Y772" s="51">
        <v>44391.599108796298</v>
      </c>
      <c r="Z772" s="72">
        <f>tabPontoPed[CÁLC_4M] - tabPontoPed[CÁLCULO]</f>
        <v>0</v>
      </c>
      <c r="AA772" s="79" t="str">
        <f>IF(tabPontoPed[MENSAL]-tabPontoPed[ATA MENSAL] = 0,"sim","")</f>
        <v/>
      </c>
      <c r="AB772" s="79"/>
      <c r="AC772" s="47" t="str">
        <f t="shared" si="12"/>
        <v>*</v>
      </c>
    </row>
    <row r="773" spans="1:29" x14ac:dyDescent="0.25">
      <c r="A773" s="36">
        <v>135303</v>
      </c>
      <c r="B773" s="68" t="s">
        <v>488</v>
      </c>
      <c r="C773" s="33" t="s">
        <v>1317</v>
      </c>
      <c r="D773" s="32">
        <v>49</v>
      </c>
      <c r="E773" s="37">
        <v>7</v>
      </c>
      <c r="F773" s="38" t="str">
        <f>VLOOKUP(tabPontoPed[[#This Row],[GRUPO]],tabGrupos[#Data],2,FALSE)</f>
        <v>EQUIP. P/REFR. PURIF. ADUCAO DE AGUA E TRAT. DE ESGOTO</v>
      </c>
      <c r="G773" s="32" t="str">
        <f>VLOOKUP(tabPontoPed[[#This Row],[GRUPO]],tabGrupos[#Data],3,FALSE)</f>
        <v>MHI</v>
      </c>
      <c r="H773" s="33" t="s">
        <v>1311</v>
      </c>
      <c r="I773" s="80">
        <v>4</v>
      </c>
      <c r="J773" s="39">
        <v>4</v>
      </c>
      <c r="K773" s="41">
        <f>tabPontoPed[[#This Row],[QTDMÊS]] * tabPontoPed[[#This Row],[MENSAL]]</f>
        <v>16</v>
      </c>
      <c r="L773" s="83"/>
      <c r="M773" s="81"/>
      <c r="N773" s="34" t="s">
        <v>1009</v>
      </c>
      <c r="O773" s="76"/>
      <c r="P773" s="77">
        <v>0</v>
      </c>
      <c r="Q773" s="57">
        <v>4</v>
      </c>
      <c r="R773" s="42">
        <v>4</v>
      </c>
      <c r="S773" s="69" t="str">
        <f>_xlfn.IFNA(IF(VLOOKUP(tabPontoPed[[#This Row],[CÓDIGO]],tabExcluirDoEstoque[#Data],1,FALSE),"sim",""),"")</f>
        <v/>
      </c>
      <c r="T773" s="43">
        <f>IF(AND(tabPontoPed[[#This Row],[MENSAL]]&gt;0,tabPontoPed[[#This Row],[CÁLCULO]]&gt;0), ABS( tabPontoPed[[#This Row],[MENSAL]] - tabPontoPed[[#This Row],[CÁLCULO]] ) / tabPontoPed[[#This Row],[MENSAL]], -1 )</f>
        <v>0</v>
      </c>
      <c r="U773" s="58">
        <v>6</v>
      </c>
      <c r="V773" s="35">
        <f>IF(AND(tabPontoPed[[#This Row],[MENSAL]]&gt;0,tabPontoPed[[#This Row],[CÁLCULO]]&gt;0), IF( tabPontoPed[[#This Row],[MENSAL]] - tabPontoPed[[#This Row],[CÁLCULO]] &lt; 0, -1, IF( tabPontoPed[[#This Row],[MENSAL]] - tabPontoPed[[#This Row],[CÁLCULO]] &gt; 0, 1, -8)), -9 )</f>
        <v>-8</v>
      </c>
      <c r="W773" s="35"/>
      <c r="X773" s="48" t="s">
        <v>1564</v>
      </c>
      <c r="Y773" s="53">
        <v>44391.599108796298</v>
      </c>
      <c r="Z773" s="72">
        <f>tabPontoPed[CÁLC_4M] - tabPontoPed[CÁLCULO]</f>
        <v>0</v>
      </c>
      <c r="AA773" s="79" t="str">
        <f>IF(tabPontoPed[MENSAL]-tabPontoPed[ATA MENSAL] = 0,"sim","")</f>
        <v/>
      </c>
      <c r="AB773" s="79"/>
      <c r="AC773" s="47" t="str">
        <f t="shared" si="12"/>
        <v>*</v>
      </c>
    </row>
    <row r="774" spans="1:29" x14ac:dyDescent="0.25">
      <c r="A774" s="36">
        <v>13561</v>
      </c>
      <c r="B774" s="68" t="s">
        <v>253</v>
      </c>
      <c r="C774" s="33" t="s">
        <v>1317</v>
      </c>
      <c r="D774" s="32">
        <v>61</v>
      </c>
      <c r="E774" s="37">
        <v>2</v>
      </c>
      <c r="F774" s="38" t="str">
        <f>VLOOKUP(tabPontoPed[[#This Row],[GRUPO]],tabGrupos[#Data],2,FALSE)</f>
        <v>MATERIAL HIDRAULICO, CANOS, TUBOS, MANGUEIRAS, CONEXOES E ACESS.</v>
      </c>
      <c r="G774" s="32" t="str">
        <f>VLOOKUP(tabPontoPed[[#This Row],[GRUPO]],tabGrupos[#Data],3,FALSE)</f>
        <v>MHI</v>
      </c>
      <c r="H774" s="33" t="s">
        <v>1311</v>
      </c>
      <c r="I774" s="80">
        <v>4</v>
      </c>
      <c r="J774" s="39">
        <v>9</v>
      </c>
      <c r="K774" s="41">
        <f>tabPontoPed[[#This Row],[QTDMÊS]] * tabPontoPed[[#This Row],[MENSAL]]</f>
        <v>36</v>
      </c>
      <c r="L774" s="83"/>
      <c r="M774" s="81"/>
      <c r="N774" s="34" t="s">
        <v>1009</v>
      </c>
      <c r="O774" s="76" t="s">
        <v>1717</v>
      </c>
      <c r="P774" s="77">
        <v>0</v>
      </c>
      <c r="Q774" s="57">
        <v>6</v>
      </c>
      <c r="R774" s="42">
        <v>9</v>
      </c>
      <c r="S774" s="69" t="str">
        <f>_xlfn.IFNA(IF(VLOOKUP(tabPontoPed[[#This Row],[CÓDIGO]],tabExcluirDoEstoque[#Data],1,FALSE),"sim",""),"")</f>
        <v/>
      </c>
      <c r="T774" s="43">
        <f>IF(AND(tabPontoPed[[#This Row],[MENSAL]]&gt;0,tabPontoPed[[#This Row],[CÁLCULO]]&gt;0), ABS( tabPontoPed[[#This Row],[MENSAL]] - tabPontoPed[[#This Row],[CÁLCULO]] ) / tabPontoPed[[#This Row],[MENSAL]], -1 )</f>
        <v>0</v>
      </c>
      <c r="U774" s="58">
        <v>37</v>
      </c>
      <c r="V774" s="35">
        <f>IF(AND(tabPontoPed[[#This Row],[MENSAL]]&gt;0,tabPontoPed[[#This Row],[CÁLCULO]]&gt;0), IF( tabPontoPed[[#This Row],[MENSAL]] - tabPontoPed[[#This Row],[CÁLCULO]] &lt; 0, -1, IF( tabPontoPed[[#This Row],[MENSAL]] - tabPontoPed[[#This Row],[CÁLCULO]] &gt; 0, 1, -8)), -9 )</f>
        <v>-8</v>
      </c>
      <c r="W774" s="35"/>
      <c r="X774" s="49" t="s">
        <v>1564</v>
      </c>
      <c r="Y774" s="51">
        <v>44391.599108796298</v>
      </c>
      <c r="Z774" s="72">
        <f>tabPontoPed[CÁLC_4M] - tabPontoPed[CÁLCULO]</f>
        <v>-3</v>
      </c>
      <c r="AA774" s="79" t="str">
        <f>IF(tabPontoPed[MENSAL]-tabPontoPed[ATA MENSAL] = 0,"sim","")</f>
        <v/>
      </c>
      <c r="AB774" s="79"/>
      <c r="AC774" s="47" t="str">
        <f t="shared" si="12"/>
        <v>*</v>
      </c>
    </row>
    <row r="775" spans="1:29" x14ac:dyDescent="0.25">
      <c r="A775" s="36">
        <v>123710</v>
      </c>
      <c r="B775" s="68" t="s">
        <v>729</v>
      </c>
      <c r="C775" s="33" t="s">
        <v>1317</v>
      </c>
      <c r="D775" s="32">
        <v>61</v>
      </c>
      <c r="E775" s="37">
        <v>4</v>
      </c>
      <c r="F775" s="38" t="str">
        <f>VLOOKUP(tabPontoPed[[#This Row],[GRUPO]],tabGrupos[#Data],2,FALSE)</f>
        <v>MATERIAL HIDRAULICO, CANOS, TUBOS, MANGUEIRAS, CONEXOES E ACESS.</v>
      </c>
      <c r="G775" s="32" t="str">
        <f>VLOOKUP(tabPontoPed[[#This Row],[GRUPO]],tabGrupos[#Data],3,FALSE)</f>
        <v>MHI</v>
      </c>
      <c r="H775" s="33" t="s">
        <v>1311</v>
      </c>
      <c r="I775" s="80">
        <v>4</v>
      </c>
      <c r="J775" s="39">
        <v>6</v>
      </c>
      <c r="K775" s="41">
        <f>tabPontoPed[[#This Row],[QTDMÊS]] * tabPontoPed[[#This Row],[MENSAL]]</f>
        <v>24</v>
      </c>
      <c r="L775" s="83"/>
      <c r="M775" s="81"/>
      <c r="N775" s="34" t="s">
        <v>1009</v>
      </c>
      <c r="O775" s="76"/>
      <c r="P775" s="77">
        <v>0</v>
      </c>
      <c r="Q775" s="57">
        <v>10</v>
      </c>
      <c r="R775" s="42">
        <v>6</v>
      </c>
      <c r="S775" s="69" t="str">
        <f>_xlfn.IFNA(IF(VLOOKUP(tabPontoPed[[#This Row],[CÓDIGO]],tabExcluirDoEstoque[#Data],1,FALSE),"sim",""),"")</f>
        <v/>
      </c>
      <c r="T775" s="43">
        <f>IF(AND(tabPontoPed[[#This Row],[MENSAL]]&gt;0,tabPontoPed[[#This Row],[CÁLCULO]]&gt;0), ABS( tabPontoPed[[#This Row],[MENSAL]] - tabPontoPed[[#This Row],[CÁLCULO]] ) / tabPontoPed[[#This Row],[MENSAL]], -1 )</f>
        <v>0</v>
      </c>
      <c r="U775" s="58">
        <v>14</v>
      </c>
      <c r="V775" s="35">
        <f>IF(AND(tabPontoPed[[#This Row],[MENSAL]]&gt;0,tabPontoPed[[#This Row],[CÁLCULO]]&gt;0), IF( tabPontoPed[[#This Row],[MENSAL]] - tabPontoPed[[#This Row],[CÁLCULO]] &lt; 0, -1, IF( tabPontoPed[[#This Row],[MENSAL]] - tabPontoPed[[#This Row],[CÁLCULO]] &gt; 0, 1, -8)), -9 )</f>
        <v>-8</v>
      </c>
      <c r="W775" s="35"/>
      <c r="X775" s="48" t="s">
        <v>1564</v>
      </c>
      <c r="Y775" s="53">
        <v>44391.599108796298</v>
      </c>
      <c r="Z775" s="72">
        <f>tabPontoPed[CÁLC_4M] - tabPontoPed[CÁLCULO]</f>
        <v>4</v>
      </c>
      <c r="AA775" s="79" t="str">
        <f>IF(tabPontoPed[MENSAL]-tabPontoPed[ATA MENSAL] = 0,"sim","")</f>
        <v/>
      </c>
      <c r="AB775" s="79"/>
      <c r="AC775" s="47" t="str">
        <f t="shared" si="12"/>
        <v>*</v>
      </c>
    </row>
    <row r="776" spans="1:29" x14ac:dyDescent="0.25">
      <c r="A776" s="36">
        <v>128229</v>
      </c>
      <c r="B776" s="68" t="s">
        <v>772</v>
      </c>
      <c r="C776" s="33" t="s">
        <v>1317</v>
      </c>
      <c r="D776" s="32">
        <v>61</v>
      </c>
      <c r="E776" s="37">
        <v>8</v>
      </c>
      <c r="F776" s="38" t="str">
        <f>VLOOKUP(tabPontoPed[[#This Row],[GRUPO]],tabGrupos[#Data],2,FALSE)</f>
        <v>MATERIAL HIDRAULICO, CANOS, TUBOS, MANGUEIRAS, CONEXOES E ACESS.</v>
      </c>
      <c r="G776" s="32" t="str">
        <f>VLOOKUP(tabPontoPed[[#This Row],[GRUPO]],tabGrupos[#Data],3,FALSE)</f>
        <v>MHI</v>
      </c>
      <c r="H776" s="33" t="s">
        <v>1311</v>
      </c>
      <c r="I776" s="80">
        <v>4</v>
      </c>
      <c r="J776" s="39">
        <v>3</v>
      </c>
      <c r="K776" s="41">
        <f>tabPontoPed[[#This Row],[QTDMÊS]] * tabPontoPed[[#This Row],[MENSAL]]</f>
        <v>12</v>
      </c>
      <c r="L776" s="83"/>
      <c r="M776" s="81"/>
      <c r="N776" s="34" t="s">
        <v>1009</v>
      </c>
      <c r="O776" s="76"/>
      <c r="P776" s="77">
        <v>0</v>
      </c>
      <c r="Q776" s="57">
        <v>3</v>
      </c>
      <c r="R776" s="42">
        <v>3</v>
      </c>
      <c r="S776" s="69" t="str">
        <f>_xlfn.IFNA(IF(VLOOKUP(tabPontoPed[[#This Row],[CÓDIGO]],tabExcluirDoEstoque[#Data],1,FALSE),"sim",""),"")</f>
        <v/>
      </c>
      <c r="T776" s="43">
        <f>IF(AND(tabPontoPed[[#This Row],[MENSAL]]&gt;0,tabPontoPed[[#This Row],[CÁLCULO]]&gt;0), ABS( tabPontoPed[[#This Row],[MENSAL]] - tabPontoPed[[#This Row],[CÁLCULO]] ) / tabPontoPed[[#This Row],[MENSAL]], -1 )</f>
        <v>0</v>
      </c>
      <c r="U776" s="58">
        <v>9</v>
      </c>
      <c r="V776" s="35">
        <f>IF(AND(tabPontoPed[[#This Row],[MENSAL]]&gt;0,tabPontoPed[[#This Row],[CÁLCULO]]&gt;0), IF( tabPontoPed[[#This Row],[MENSAL]] - tabPontoPed[[#This Row],[CÁLCULO]] &lt; 0, -1, IF( tabPontoPed[[#This Row],[MENSAL]] - tabPontoPed[[#This Row],[CÁLCULO]] &gt; 0, 1, -8)), -9 )</f>
        <v>-8</v>
      </c>
      <c r="W776" s="35"/>
      <c r="X776" s="49" t="s">
        <v>1564</v>
      </c>
      <c r="Y776" s="51">
        <v>44391.599108796298</v>
      </c>
      <c r="Z776" s="72">
        <f>tabPontoPed[CÁLC_4M] - tabPontoPed[CÁLCULO]</f>
        <v>0</v>
      </c>
      <c r="AA776" s="79" t="str">
        <f>IF(tabPontoPed[MENSAL]-tabPontoPed[ATA MENSAL] = 0,"sim","")</f>
        <v/>
      </c>
      <c r="AB776" s="79"/>
      <c r="AC776" s="47" t="str">
        <f t="shared" si="12"/>
        <v>*</v>
      </c>
    </row>
    <row r="777" spans="1:29" x14ac:dyDescent="0.25">
      <c r="A777" s="36">
        <v>38534</v>
      </c>
      <c r="B777" s="68" t="s">
        <v>752</v>
      </c>
      <c r="C777" s="33" t="s">
        <v>1317</v>
      </c>
      <c r="D777" s="32">
        <v>61</v>
      </c>
      <c r="E777" s="37">
        <v>8</v>
      </c>
      <c r="F777" s="38" t="str">
        <f>VLOOKUP(tabPontoPed[[#This Row],[GRUPO]],tabGrupos[#Data],2,FALSE)</f>
        <v>MATERIAL HIDRAULICO, CANOS, TUBOS, MANGUEIRAS, CONEXOES E ACESS.</v>
      </c>
      <c r="G777" s="32" t="str">
        <f>VLOOKUP(tabPontoPed[[#This Row],[GRUPO]],tabGrupos[#Data],3,FALSE)</f>
        <v>MHI</v>
      </c>
      <c r="H777" s="33" t="s">
        <v>1311</v>
      </c>
      <c r="I777" s="80">
        <v>4</v>
      </c>
      <c r="J777" s="39">
        <v>1</v>
      </c>
      <c r="K777" s="41">
        <f>tabPontoPed[[#This Row],[QTDMÊS]] * tabPontoPed[[#This Row],[MENSAL]]</f>
        <v>4</v>
      </c>
      <c r="L777" s="83"/>
      <c r="M777" s="81"/>
      <c r="N777" s="34" t="s">
        <v>1009</v>
      </c>
      <c r="O777" s="76"/>
      <c r="P777" s="77">
        <v>0</v>
      </c>
      <c r="Q777" s="57">
        <v>1</v>
      </c>
      <c r="R777" s="42">
        <v>1</v>
      </c>
      <c r="S777" s="69" t="str">
        <f>_xlfn.IFNA(IF(VLOOKUP(tabPontoPed[[#This Row],[CÓDIGO]],tabExcluirDoEstoque[#Data],1,FALSE),"sim",""),"")</f>
        <v/>
      </c>
      <c r="T777" s="43">
        <f>IF(AND(tabPontoPed[[#This Row],[MENSAL]]&gt;0,tabPontoPed[[#This Row],[CÁLCULO]]&gt;0), ABS( tabPontoPed[[#This Row],[MENSAL]] - tabPontoPed[[#This Row],[CÁLCULO]] ) / tabPontoPed[[#This Row],[MENSAL]], -1 )</f>
        <v>0</v>
      </c>
      <c r="U777" s="58">
        <v>6</v>
      </c>
      <c r="V777" s="35">
        <f>IF(AND(tabPontoPed[[#This Row],[MENSAL]]&gt;0,tabPontoPed[[#This Row],[CÁLCULO]]&gt;0), IF( tabPontoPed[[#This Row],[MENSAL]] - tabPontoPed[[#This Row],[CÁLCULO]] &lt; 0, -1, IF( tabPontoPed[[#This Row],[MENSAL]] - tabPontoPed[[#This Row],[CÁLCULO]] &gt; 0, 1, -8)), -9 )</f>
        <v>-8</v>
      </c>
      <c r="W777" s="35"/>
      <c r="X777" s="49" t="s">
        <v>1564</v>
      </c>
      <c r="Y777" s="51">
        <v>44391.599108796298</v>
      </c>
      <c r="Z777" s="72">
        <f>tabPontoPed[CÁLC_4M] - tabPontoPed[CÁLCULO]</f>
        <v>0</v>
      </c>
      <c r="AA777" s="79" t="str">
        <f>IF(tabPontoPed[MENSAL]-tabPontoPed[ATA MENSAL] = 0,"sim","")</f>
        <v/>
      </c>
      <c r="AB777" s="79"/>
      <c r="AC777" s="47" t="str">
        <f t="shared" si="12"/>
        <v>*</v>
      </c>
    </row>
    <row r="778" spans="1:29" x14ac:dyDescent="0.25">
      <c r="A778" s="36">
        <v>64635</v>
      </c>
      <c r="B778" s="68" t="s">
        <v>761</v>
      </c>
      <c r="C778" s="33" t="s">
        <v>1317</v>
      </c>
      <c r="D778" s="32">
        <v>61</v>
      </c>
      <c r="E778" s="37">
        <v>8</v>
      </c>
      <c r="F778" s="38" t="str">
        <f>VLOOKUP(tabPontoPed[[#This Row],[GRUPO]],tabGrupos[#Data],2,FALSE)</f>
        <v>MATERIAL HIDRAULICO, CANOS, TUBOS, MANGUEIRAS, CONEXOES E ACESS.</v>
      </c>
      <c r="G778" s="32" t="str">
        <f>VLOOKUP(tabPontoPed[[#This Row],[GRUPO]],tabGrupos[#Data],3,FALSE)</f>
        <v>MHI</v>
      </c>
      <c r="H778" s="33" t="s">
        <v>1311</v>
      </c>
      <c r="I778" s="80">
        <v>4</v>
      </c>
      <c r="J778" s="39">
        <v>1</v>
      </c>
      <c r="K778" s="41">
        <f>tabPontoPed[[#This Row],[QTDMÊS]] * tabPontoPed[[#This Row],[MENSAL]]</f>
        <v>4</v>
      </c>
      <c r="L778" s="83"/>
      <c r="M778" s="81"/>
      <c r="N778" s="34" t="s">
        <v>1009</v>
      </c>
      <c r="O778" s="76"/>
      <c r="P778" s="77">
        <v>0</v>
      </c>
      <c r="Q778" s="57">
        <v>2</v>
      </c>
      <c r="R778" s="42">
        <v>1</v>
      </c>
      <c r="S778" s="69" t="str">
        <f>_xlfn.IFNA(IF(VLOOKUP(tabPontoPed[[#This Row],[CÓDIGO]],tabExcluirDoEstoque[#Data],1,FALSE),"sim",""),"")</f>
        <v/>
      </c>
      <c r="T778" s="43">
        <f>IF(AND(tabPontoPed[[#This Row],[MENSAL]]&gt;0,tabPontoPed[[#This Row],[CÁLCULO]]&gt;0), ABS( tabPontoPed[[#This Row],[MENSAL]] - tabPontoPed[[#This Row],[CÁLCULO]] ) / tabPontoPed[[#This Row],[MENSAL]], -1 )</f>
        <v>0</v>
      </c>
      <c r="U778" s="58">
        <v>4</v>
      </c>
      <c r="V778" s="35">
        <f>IF(AND(tabPontoPed[[#This Row],[MENSAL]]&gt;0,tabPontoPed[[#This Row],[CÁLCULO]]&gt;0), IF( tabPontoPed[[#This Row],[MENSAL]] - tabPontoPed[[#This Row],[CÁLCULO]] &lt; 0, -1, IF( tabPontoPed[[#This Row],[MENSAL]] - tabPontoPed[[#This Row],[CÁLCULO]] &gt; 0, 1, -8)), -9 )</f>
        <v>-8</v>
      </c>
      <c r="W778" s="35"/>
      <c r="X778" s="49" t="s">
        <v>1564</v>
      </c>
      <c r="Y778" s="51">
        <v>44391.599108796298</v>
      </c>
      <c r="Z778" s="72">
        <f>tabPontoPed[CÁLC_4M] - tabPontoPed[CÁLCULO]</f>
        <v>1</v>
      </c>
      <c r="AA778" s="79" t="str">
        <f>IF(tabPontoPed[MENSAL]-tabPontoPed[ATA MENSAL] = 0,"sim","")</f>
        <v/>
      </c>
      <c r="AB778" s="79"/>
      <c r="AC778" s="47" t="str">
        <f t="shared" si="12"/>
        <v>*</v>
      </c>
    </row>
    <row r="779" spans="1:29" x14ac:dyDescent="0.25">
      <c r="A779" s="36">
        <v>13517</v>
      </c>
      <c r="B779" s="68" t="s">
        <v>743</v>
      </c>
      <c r="C779" s="33" t="s">
        <v>1317</v>
      </c>
      <c r="D779" s="32">
        <v>61</v>
      </c>
      <c r="E779" s="37">
        <v>8</v>
      </c>
      <c r="F779" s="38" t="str">
        <f>VLOOKUP(tabPontoPed[[#This Row],[GRUPO]],tabGrupos[#Data],2,FALSE)</f>
        <v>MATERIAL HIDRAULICO, CANOS, TUBOS, MANGUEIRAS, CONEXOES E ACESS.</v>
      </c>
      <c r="G779" s="32" t="str">
        <f>VLOOKUP(tabPontoPed[[#This Row],[GRUPO]],tabGrupos[#Data],3,FALSE)</f>
        <v>MHI</v>
      </c>
      <c r="H779" s="33" t="s">
        <v>1311</v>
      </c>
      <c r="I779" s="80">
        <v>4</v>
      </c>
      <c r="J779" s="39">
        <v>9</v>
      </c>
      <c r="K779" s="41">
        <f>tabPontoPed[[#This Row],[QTDMÊS]] * tabPontoPed[[#This Row],[MENSAL]]</f>
        <v>36</v>
      </c>
      <c r="L779" s="83"/>
      <c r="M779" s="81"/>
      <c r="N779" s="34" t="s">
        <v>1009</v>
      </c>
      <c r="O779" s="76" t="s">
        <v>1691</v>
      </c>
      <c r="P779" s="77">
        <v>0</v>
      </c>
      <c r="Q779" s="57">
        <v>5</v>
      </c>
      <c r="R779" s="42">
        <v>9</v>
      </c>
      <c r="S779" s="69" t="str">
        <f>_xlfn.IFNA(IF(VLOOKUP(tabPontoPed[[#This Row],[CÓDIGO]],tabExcluirDoEstoque[#Data],1,FALSE),"sim",""),"")</f>
        <v/>
      </c>
      <c r="T779" s="43">
        <f>IF(AND(tabPontoPed[[#This Row],[MENSAL]]&gt;0,tabPontoPed[[#This Row],[CÁLCULO]]&gt;0), ABS( tabPontoPed[[#This Row],[MENSAL]] - tabPontoPed[[#This Row],[CÁLCULO]] ) / tabPontoPed[[#This Row],[MENSAL]], -1 )</f>
        <v>0</v>
      </c>
      <c r="U779" s="58">
        <v>23</v>
      </c>
      <c r="V779" s="35">
        <f>IF(AND(tabPontoPed[[#This Row],[MENSAL]]&gt;0,tabPontoPed[[#This Row],[CÁLCULO]]&gt;0), IF( tabPontoPed[[#This Row],[MENSAL]] - tabPontoPed[[#This Row],[CÁLCULO]] &lt; 0, -1, IF( tabPontoPed[[#This Row],[MENSAL]] - tabPontoPed[[#This Row],[CÁLCULO]] &gt; 0, 1, -8)), -9 )</f>
        <v>-8</v>
      </c>
      <c r="W779" s="35"/>
      <c r="X779" s="48" t="s">
        <v>1564</v>
      </c>
      <c r="Y779" s="53">
        <v>44391.599108796298</v>
      </c>
      <c r="Z779" s="72">
        <f>tabPontoPed[CÁLC_4M] - tabPontoPed[CÁLCULO]</f>
        <v>-4</v>
      </c>
      <c r="AA779" s="79" t="str">
        <f>IF(tabPontoPed[MENSAL]-tabPontoPed[ATA MENSAL] = 0,"sim","")</f>
        <v/>
      </c>
      <c r="AB779" s="79" t="s">
        <v>1614</v>
      </c>
      <c r="AC779" s="47" t="str">
        <f t="shared" si="12"/>
        <v>*</v>
      </c>
    </row>
    <row r="780" spans="1:29" x14ac:dyDescent="0.25">
      <c r="A780" s="36">
        <v>13518</v>
      </c>
      <c r="B780" s="68" t="s">
        <v>744</v>
      </c>
      <c r="C780" s="33" t="s">
        <v>1317</v>
      </c>
      <c r="D780" s="32">
        <v>61</v>
      </c>
      <c r="E780" s="37">
        <v>8</v>
      </c>
      <c r="F780" s="38" t="str">
        <f>VLOOKUP(tabPontoPed[[#This Row],[GRUPO]],tabGrupos[#Data],2,FALSE)</f>
        <v>MATERIAL HIDRAULICO, CANOS, TUBOS, MANGUEIRAS, CONEXOES E ACESS.</v>
      </c>
      <c r="G780" s="32" t="str">
        <f>VLOOKUP(tabPontoPed[[#This Row],[GRUPO]],tabGrupos[#Data],3,FALSE)</f>
        <v>MHI</v>
      </c>
      <c r="H780" s="33" t="s">
        <v>1311</v>
      </c>
      <c r="I780" s="80">
        <v>4</v>
      </c>
      <c r="J780" s="39">
        <v>10</v>
      </c>
      <c r="K780" s="41">
        <f>tabPontoPed[[#This Row],[QTDMÊS]] * tabPontoPed[[#This Row],[MENSAL]]</f>
        <v>40</v>
      </c>
      <c r="L780" s="83"/>
      <c r="M780" s="81"/>
      <c r="N780" s="34" t="s">
        <v>1009</v>
      </c>
      <c r="O780" s="76" t="s">
        <v>1691</v>
      </c>
      <c r="P780" s="77">
        <v>0</v>
      </c>
      <c r="Q780" s="57">
        <v>5</v>
      </c>
      <c r="R780" s="42">
        <v>10</v>
      </c>
      <c r="S780" s="69" t="str">
        <f>_xlfn.IFNA(IF(VLOOKUP(tabPontoPed[[#This Row],[CÓDIGO]],tabExcluirDoEstoque[#Data],1,FALSE),"sim",""),"")</f>
        <v/>
      </c>
      <c r="T780" s="43">
        <f>IF(AND(tabPontoPed[[#This Row],[MENSAL]]&gt;0,tabPontoPed[[#This Row],[CÁLCULO]]&gt;0), ABS( tabPontoPed[[#This Row],[MENSAL]] - tabPontoPed[[#This Row],[CÁLCULO]] ) / tabPontoPed[[#This Row],[MENSAL]], -1 )</f>
        <v>0</v>
      </c>
      <c r="U780" s="58">
        <v>39</v>
      </c>
      <c r="V780" s="35">
        <f>IF(AND(tabPontoPed[[#This Row],[MENSAL]]&gt;0,tabPontoPed[[#This Row],[CÁLCULO]]&gt;0), IF( tabPontoPed[[#This Row],[MENSAL]] - tabPontoPed[[#This Row],[CÁLCULO]] &lt; 0, -1, IF( tabPontoPed[[#This Row],[MENSAL]] - tabPontoPed[[#This Row],[CÁLCULO]] &gt; 0, 1, -8)), -9 )</f>
        <v>-8</v>
      </c>
      <c r="W780" s="35"/>
      <c r="X780" s="49" t="s">
        <v>1564</v>
      </c>
      <c r="Y780" s="51">
        <v>44391.599108796298</v>
      </c>
      <c r="Z780" s="72">
        <f>tabPontoPed[CÁLC_4M] - tabPontoPed[CÁLCULO]</f>
        <v>-5</v>
      </c>
      <c r="AA780" s="79" t="str">
        <f>IF(tabPontoPed[MENSAL]-tabPontoPed[ATA MENSAL] = 0,"sim","")</f>
        <v/>
      </c>
      <c r="AB780" s="79"/>
      <c r="AC780" s="47" t="str">
        <f t="shared" si="12"/>
        <v>*</v>
      </c>
    </row>
    <row r="781" spans="1:29" x14ac:dyDescent="0.25">
      <c r="A781" s="36">
        <v>64648</v>
      </c>
      <c r="B781" s="68" t="s">
        <v>762</v>
      </c>
      <c r="C781" s="33" t="s">
        <v>1317</v>
      </c>
      <c r="D781" s="32">
        <v>61</v>
      </c>
      <c r="E781" s="37">
        <v>8</v>
      </c>
      <c r="F781" s="38" t="str">
        <f>VLOOKUP(tabPontoPed[[#This Row],[GRUPO]],tabGrupos[#Data],2,FALSE)</f>
        <v>MATERIAL HIDRAULICO, CANOS, TUBOS, MANGUEIRAS, CONEXOES E ACESS.</v>
      </c>
      <c r="G781" s="32" t="str">
        <f>VLOOKUP(tabPontoPed[[#This Row],[GRUPO]],tabGrupos[#Data],3,FALSE)</f>
        <v>MHI</v>
      </c>
      <c r="H781" s="33" t="s">
        <v>1311</v>
      </c>
      <c r="I781" s="80">
        <v>4</v>
      </c>
      <c r="J781" s="39">
        <v>1</v>
      </c>
      <c r="K781" s="41">
        <f>tabPontoPed[[#This Row],[QTDMÊS]] * tabPontoPed[[#This Row],[MENSAL]]</f>
        <v>4</v>
      </c>
      <c r="L781" s="83"/>
      <c r="M781" s="81"/>
      <c r="N781" s="34" t="s">
        <v>1009</v>
      </c>
      <c r="O781" s="76"/>
      <c r="P781" s="77">
        <v>0</v>
      </c>
      <c r="Q781" s="57">
        <v>0</v>
      </c>
      <c r="R781" s="42">
        <v>1</v>
      </c>
      <c r="S781" s="69" t="str">
        <f>_xlfn.IFNA(IF(VLOOKUP(tabPontoPed[[#This Row],[CÓDIGO]],tabExcluirDoEstoque[#Data],1,FALSE),"sim",""),"")</f>
        <v/>
      </c>
      <c r="T781" s="43">
        <f>IF(AND(tabPontoPed[[#This Row],[MENSAL]]&gt;0,tabPontoPed[[#This Row],[CÁLCULO]]&gt;0), ABS( tabPontoPed[[#This Row],[MENSAL]] - tabPontoPed[[#This Row],[CÁLCULO]] ) / tabPontoPed[[#This Row],[MENSAL]], -1 )</f>
        <v>0</v>
      </c>
      <c r="U781" s="58">
        <v>4</v>
      </c>
      <c r="V781" s="35">
        <f>IF(AND(tabPontoPed[[#This Row],[MENSAL]]&gt;0,tabPontoPed[[#This Row],[CÁLCULO]]&gt;0), IF( tabPontoPed[[#This Row],[MENSAL]] - tabPontoPed[[#This Row],[CÁLCULO]] &lt; 0, -1, IF( tabPontoPed[[#This Row],[MENSAL]] - tabPontoPed[[#This Row],[CÁLCULO]] &gt; 0, 1, -8)), -9 )</f>
        <v>-8</v>
      </c>
      <c r="W781" s="35"/>
      <c r="X781" s="49" t="s">
        <v>1564</v>
      </c>
      <c r="Y781" s="51">
        <v>44391.599108796298</v>
      </c>
      <c r="Z781" s="72">
        <f>tabPontoPed[CÁLC_4M] - tabPontoPed[CÁLCULO]</f>
        <v>-1</v>
      </c>
      <c r="AA781" s="79" t="str">
        <f>IF(tabPontoPed[MENSAL]-tabPontoPed[ATA MENSAL] = 0,"sim","")</f>
        <v/>
      </c>
      <c r="AB781" s="79"/>
      <c r="AC781" s="47" t="str">
        <f t="shared" si="12"/>
        <v>*</v>
      </c>
    </row>
    <row r="782" spans="1:29" x14ac:dyDescent="0.25">
      <c r="A782" s="36">
        <v>103142</v>
      </c>
      <c r="B782" s="68" t="s">
        <v>312</v>
      </c>
      <c r="C782" s="33" t="s">
        <v>1317</v>
      </c>
      <c r="D782" s="32">
        <v>61</v>
      </c>
      <c r="E782" s="37">
        <v>13</v>
      </c>
      <c r="F782" s="38" t="str">
        <f>VLOOKUP(tabPontoPed[[#This Row],[GRUPO]],tabGrupos[#Data],2,FALSE)</f>
        <v>MATERIAL HIDRAULICO, CANOS, TUBOS, MANGUEIRAS, CONEXOES E ACESS.</v>
      </c>
      <c r="G782" s="32" t="str">
        <f>VLOOKUP(tabPontoPed[[#This Row],[GRUPO]],tabGrupos[#Data],3,FALSE)</f>
        <v>MHI</v>
      </c>
      <c r="H782" s="33" t="s">
        <v>1311</v>
      </c>
      <c r="I782" s="80">
        <v>4</v>
      </c>
      <c r="J782" s="39">
        <v>1</v>
      </c>
      <c r="K782" s="41">
        <f>tabPontoPed[[#This Row],[QTDMÊS]] * tabPontoPed[[#This Row],[MENSAL]]</f>
        <v>4</v>
      </c>
      <c r="L782" s="83"/>
      <c r="M782" s="81"/>
      <c r="N782" s="34" t="s">
        <v>1009</v>
      </c>
      <c r="O782" s="76" t="s">
        <v>1679</v>
      </c>
      <c r="P782" s="77">
        <v>0</v>
      </c>
      <c r="Q782" s="57">
        <v>0</v>
      </c>
      <c r="R782" s="42">
        <v>1</v>
      </c>
      <c r="S782" s="69" t="str">
        <f>_xlfn.IFNA(IF(VLOOKUP(tabPontoPed[[#This Row],[CÓDIGO]],tabExcluirDoEstoque[#Data],1,FALSE),"sim",""),"")</f>
        <v/>
      </c>
      <c r="T782" s="43">
        <f>IF(AND(tabPontoPed[[#This Row],[MENSAL]]&gt;0,tabPontoPed[[#This Row],[CÁLCULO]]&gt;0), ABS( tabPontoPed[[#This Row],[MENSAL]] - tabPontoPed[[#This Row],[CÁLCULO]] ) / tabPontoPed[[#This Row],[MENSAL]], -1 )</f>
        <v>0</v>
      </c>
      <c r="U782" s="58">
        <v>3</v>
      </c>
      <c r="V782" s="35">
        <f>IF(AND(tabPontoPed[[#This Row],[MENSAL]]&gt;0,tabPontoPed[[#This Row],[CÁLCULO]]&gt;0), IF( tabPontoPed[[#This Row],[MENSAL]] - tabPontoPed[[#This Row],[CÁLCULO]] &lt; 0, -1, IF( tabPontoPed[[#This Row],[MENSAL]] - tabPontoPed[[#This Row],[CÁLCULO]] &gt; 0, 1, -8)), -9 )</f>
        <v>-8</v>
      </c>
      <c r="W782" s="35"/>
      <c r="X782" s="49" t="s">
        <v>1564</v>
      </c>
      <c r="Y782" s="51">
        <v>44391.599108796298</v>
      </c>
      <c r="Z782" s="72">
        <f>tabPontoPed[CÁLC_4M] - tabPontoPed[CÁLCULO]</f>
        <v>-1</v>
      </c>
      <c r="AA782" s="79" t="str">
        <f>IF(tabPontoPed[MENSAL]-tabPontoPed[ATA MENSAL] = 0,"sim","")</f>
        <v/>
      </c>
      <c r="AB782" s="79"/>
      <c r="AC782" s="47" t="str">
        <f t="shared" si="12"/>
        <v>*</v>
      </c>
    </row>
    <row r="783" spans="1:29" x14ac:dyDescent="0.25">
      <c r="A783" s="36">
        <v>141429</v>
      </c>
      <c r="B783" s="68" t="s">
        <v>1833</v>
      </c>
      <c r="C783" s="33">
        <v>1</v>
      </c>
      <c r="D783" s="32">
        <v>61</v>
      </c>
      <c r="E783" s="37">
        <v>14</v>
      </c>
      <c r="F783" s="38" t="str">
        <f>VLOOKUP(tabPontoPed[[#This Row],[GRUPO]],tabGrupos[#Data],2,FALSE)</f>
        <v>MATERIAL HIDRAULICO, CANOS, TUBOS, MANGUEIRAS, CONEXOES E ACESS.</v>
      </c>
      <c r="G783" s="32" t="str">
        <f>VLOOKUP(tabPontoPed[[#This Row],[GRUPO]],tabGrupos[#Data],3,FALSE)</f>
        <v>MHI</v>
      </c>
      <c r="H783" s="33" t="s">
        <v>1311</v>
      </c>
      <c r="I783" s="80">
        <v>4</v>
      </c>
      <c r="J783" s="39">
        <v>353</v>
      </c>
      <c r="K783" s="41">
        <f>tabPontoPed[[#This Row],[QTDMÊS]] * tabPontoPed[[#This Row],[MENSAL]]</f>
        <v>1412</v>
      </c>
      <c r="L783" s="83"/>
      <c r="M783" s="81"/>
      <c r="N783" s="34" t="s">
        <v>1009</v>
      </c>
      <c r="O783" s="76"/>
      <c r="P783" s="77">
        <v>0</v>
      </c>
      <c r="Q783" s="57">
        <v>33</v>
      </c>
      <c r="R783" s="42">
        <v>353</v>
      </c>
      <c r="S783" s="69" t="str">
        <f>_xlfn.IFNA(IF(VLOOKUP(tabPontoPed[[#This Row],[CÓDIGO]],tabExcluirDoEstoque[#Data],1,FALSE),"sim",""),"")</f>
        <v/>
      </c>
      <c r="T783" s="43">
        <f>IF(AND(tabPontoPed[[#This Row],[MENSAL]]&gt;0,tabPontoPed[[#This Row],[CÁLCULO]]&gt;0), ABS( tabPontoPed[[#This Row],[MENSAL]] - tabPontoPed[[#This Row],[CÁLCULO]] ) / tabPontoPed[[#This Row],[MENSAL]], -1 )</f>
        <v>0</v>
      </c>
      <c r="U783" s="58">
        <v>55</v>
      </c>
      <c r="V783" s="35">
        <f>IF(AND(tabPontoPed[[#This Row],[MENSAL]]&gt;0,tabPontoPed[[#This Row],[CÁLCULO]]&gt;0), IF( tabPontoPed[[#This Row],[MENSAL]] - tabPontoPed[[#This Row],[CÁLCULO]] &lt; 0, -1, IF( tabPontoPed[[#This Row],[MENSAL]] - tabPontoPed[[#This Row],[CÁLCULO]] &gt; 0, 1, -8)), -9 )</f>
        <v>-8</v>
      </c>
      <c r="W783" s="35"/>
      <c r="X783" s="48" t="s">
        <v>1564</v>
      </c>
      <c r="Y783" s="53">
        <v>44391.647175925929</v>
      </c>
      <c r="Z783" s="72">
        <f>tabPontoPed[CÁLC_4M] - tabPontoPed[CÁLCULO]</f>
        <v>-320</v>
      </c>
      <c r="AA783" s="79" t="str">
        <f>IF(tabPontoPed[MENSAL]-tabPontoPed[ATA MENSAL] = 0,"sim","")</f>
        <v/>
      </c>
      <c r="AB783" s="79"/>
      <c r="AC783" s="47" t="str">
        <f t="shared" si="12"/>
        <v>*</v>
      </c>
    </row>
    <row r="784" spans="1:29" x14ac:dyDescent="0.25">
      <c r="A784" s="36">
        <v>25756</v>
      </c>
      <c r="B784" s="68" t="s">
        <v>326</v>
      </c>
      <c r="C784" s="33" t="s">
        <v>1317</v>
      </c>
      <c r="D784" s="32">
        <v>61</v>
      </c>
      <c r="E784" s="37">
        <v>15</v>
      </c>
      <c r="F784" s="38" t="str">
        <f>VLOOKUP(tabPontoPed[[#This Row],[GRUPO]],tabGrupos[#Data],2,FALSE)</f>
        <v>MATERIAL HIDRAULICO, CANOS, TUBOS, MANGUEIRAS, CONEXOES E ACESS.</v>
      </c>
      <c r="G784" s="32" t="str">
        <f>VLOOKUP(tabPontoPed[[#This Row],[GRUPO]],tabGrupos[#Data],3,FALSE)</f>
        <v>MHI</v>
      </c>
      <c r="H784" s="33" t="s">
        <v>1311</v>
      </c>
      <c r="I784" s="80">
        <v>4</v>
      </c>
      <c r="J784" s="39">
        <v>6</v>
      </c>
      <c r="K784" s="41">
        <f>tabPontoPed[[#This Row],[QTDMÊS]] * tabPontoPed[[#This Row],[MENSAL]]</f>
        <v>24</v>
      </c>
      <c r="L784" s="83"/>
      <c r="M784" s="81"/>
      <c r="N784" s="34" t="s">
        <v>1009</v>
      </c>
      <c r="O784" s="76" t="s">
        <v>1679</v>
      </c>
      <c r="P784" s="77">
        <v>0</v>
      </c>
      <c r="Q784" s="57">
        <v>4</v>
      </c>
      <c r="R784" s="42">
        <v>6</v>
      </c>
      <c r="S784" s="69" t="str">
        <f>_xlfn.IFNA(IF(VLOOKUP(tabPontoPed[[#This Row],[CÓDIGO]],tabExcluirDoEstoque[#Data],1,FALSE),"sim",""),"")</f>
        <v/>
      </c>
      <c r="T784" s="43">
        <f>IF(AND(tabPontoPed[[#This Row],[MENSAL]]&gt;0,tabPontoPed[[#This Row],[CÁLCULO]]&gt;0), ABS( tabPontoPed[[#This Row],[MENSAL]] - tabPontoPed[[#This Row],[CÁLCULO]] ) / tabPontoPed[[#This Row],[MENSAL]], -1 )</f>
        <v>0</v>
      </c>
      <c r="U784" s="58">
        <v>13</v>
      </c>
      <c r="V784" s="35">
        <f>IF(AND(tabPontoPed[[#This Row],[MENSAL]]&gt;0,tabPontoPed[[#This Row],[CÁLCULO]]&gt;0), IF( tabPontoPed[[#This Row],[MENSAL]] - tabPontoPed[[#This Row],[CÁLCULO]] &lt; 0, -1, IF( tabPontoPed[[#This Row],[MENSAL]] - tabPontoPed[[#This Row],[CÁLCULO]] &gt; 0, 1, -8)), -9 )</f>
        <v>-8</v>
      </c>
      <c r="W784" s="35"/>
      <c r="X784" s="49" t="s">
        <v>1564</v>
      </c>
      <c r="Y784" s="51">
        <v>44391.599108796298</v>
      </c>
      <c r="Z784" s="72">
        <f>tabPontoPed[CÁLC_4M] - tabPontoPed[CÁLCULO]</f>
        <v>-2</v>
      </c>
      <c r="AA784" s="79" t="str">
        <f>IF(tabPontoPed[MENSAL]-tabPontoPed[ATA MENSAL] = 0,"sim","")</f>
        <v/>
      </c>
      <c r="AB784" s="79"/>
      <c r="AC784" s="47" t="str">
        <f t="shared" si="12"/>
        <v>*</v>
      </c>
    </row>
    <row r="785" spans="1:29" x14ac:dyDescent="0.25">
      <c r="A785" s="36">
        <v>141430</v>
      </c>
      <c r="B785" s="68" t="s">
        <v>1810</v>
      </c>
      <c r="C785" s="33">
        <v>1</v>
      </c>
      <c r="D785" s="32">
        <v>61</v>
      </c>
      <c r="E785" s="37">
        <v>16</v>
      </c>
      <c r="F785" s="38" t="str">
        <f>VLOOKUP(tabPontoPed[[#This Row],[GRUPO]],tabGrupos[#Data],2,FALSE)</f>
        <v>MATERIAL HIDRAULICO, CANOS, TUBOS, MANGUEIRAS, CONEXOES E ACESS.</v>
      </c>
      <c r="G785" s="32" t="str">
        <f>VLOOKUP(tabPontoPed[[#This Row],[GRUPO]],tabGrupos[#Data],3,FALSE)</f>
        <v>MHI</v>
      </c>
      <c r="H785" s="33" t="s">
        <v>1311</v>
      </c>
      <c r="I785" s="80">
        <v>4</v>
      </c>
      <c r="J785" s="39">
        <v>88</v>
      </c>
      <c r="K785" s="41">
        <f>tabPontoPed[[#This Row],[QTDMÊS]] * tabPontoPed[[#This Row],[MENSAL]]</f>
        <v>352</v>
      </c>
      <c r="L785" s="83"/>
      <c r="M785" s="81"/>
      <c r="N785" s="34" t="s">
        <v>1009</v>
      </c>
      <c r="O785" s="76"/>
      <c r="P785" s="77">
        <v>0</v>
      </c>
      <c r="Q785" s="57">
        <v>3</v>
      </c>
      <c r="R785" s="42">
        <v>88</v>
      </c>
      <c r="S785" s="69" t="str">
        <f>_xlfn.IFNA(IF(VLOOKUP(tabPontoPed[[#This Row],[CÓDIGO]],tabExcluirDoEstoque[#Data],1,FALSE),"sim",""),"")</f>
        <v/>
      </c>
      <c r="T785" s="43">
        <f>IF(AND(tabPontoPed[[#This Row],[MENSAL]]&gt;0,tabPontoPed[[#This Row],[CÁLCULO]]&gt;0), ABS( tabPontoPed[[#This Row],[MENSAL]] - tabPontoPed[[#This Row],[CÁLCULO]] ) / tabPontoPed[[#This Row],[MENSAL]], -1 )</f>
        <v>0</v>
      </c>
      <c r="U785" s="58">
        <v>30</v>
      </c>
      <c r="V785" s="35">
        <f>IF(AND(tabPontoPed[[#This Row],[MENSAL]]&gt;0,tabPontoPed[[#This Row],[CÁLCULO]]&gt;0), IF( tabPontoPed[[#This Row],[MENSAL]] - tabPontoPed[[#This Row],[CÁLCULO]] &lt; 0, -1, IF( tabPontoPed[[#This Row],[MENSAL]] - tabPontoPed[[#This Row],[CÁLCULO]] &gt; 0, 1, -8)), -9 )</f>
        <v>-8</v>
      </c>
      <c r="W785" s="35"/>
      <c r="X785" s="48" t="s">
        <v>1564</v>
      </c>
      <c r="Y785" s="53">
        <v>44391.647175925929</v>
      </c>
      <c r="Z785" s="72">
        <f>tabPontoPed[CÁLC_4M] - tabPontoPed[CÁLCULO]</f>
        <v>-85</v>
      </c>
      <c r="AA785" s="79" t="str">
        <f>IF(tabPontoPed[MENSAL]-tabPontoPed[ATA MENSAL] = 0,"sim","")</f>
        <v/>
      </c>
      <c r="AB785" s="79"/>
      <c r="AC785" s="47" t="str">
        <f t="shared" si="12"/>
        <v>*</v>
      </c>
    </row>
    <row r="786" spans="1:29" x14ac:dyDescent="0.25">
      <c r="A786" s="36">
        <v>141679</v>
      </c>
      <c r="B786" s="68" t="s">
        <v>1824</v>
      </c>
      <c r="C786" s="33">
        <v>1</v>
      </c>
      <c r="D786" s="32">
        <v>76</v>
      </c>
      <c r="E786" s="37">
        <v>3</v>
      </c>
      <c r="F786" s="38" t="str">
        <f>VLOOKUP(tabPontoPed[[#This Row],[GRUPO]],tabGrupos[#Data],2,FALSE)</f>
        <v>EQUIP. E MATERIAIS P/PINTURAS E IMPERMEABILIZACAO</v>
      </c>
      <c r="G786" s="32" t="str">
        <f>VLOOKUP(tabPontoPed[[#This Row],[GRUPO]],tabGrupos[#Data],3,FALSE)</f>
        <v>MPI</v>
      </c>
      <c r="H786" s="33" t="s">
        <v>1311</v>
      </c>
      <c r="I786" s="80">
        <v>4</v>
      </c>
      <c r="J786" s="39">
        <v>90</v>
      </c>
      <c r="K786" s="41">
        <f>tabPontoPed[[#This Row],[QTDMÊS]] * tabPontoPed[[#This Row],[MENSAL]]</f>
        <v>360</v>
      </c>
      <c r="L786" s="83"/>
      <c r="M786" s="81"/>
      <c r="N786" s="34" t="s">
        <v>1009</v>
      </c>
      <c r="O786" s="76"/>
      <c r="P786" s="77">
        <v>0</v>
      </c>
      <c r="Q786" s="57">
        <v>9</v>
      </c>
      <c r="R786" s="42">
        <v>90</v>
      </c>
      <c r="S786" s="69" t="str">
        <f>_xlfn.IFNA(IF(VLOOKUP(tabPontoPed[[#This Row],[CÓDIGO]],tabExcluirDoEstoque[#Data],1,FALSE),"sim",""),"")</f>
        <v/>
      </c>
      <c r="T786" s="43">
        <f>IF(AND(tabPontoPed[[#This Row],[MENSAL]]&gt;0,tabPontoPed[[#This Row],[CÁLCULO]]&gt;0), ABS( tabPontoPed[[#This Row],[MENSAL]] - tabPontoPed[[#This Row],[CÁLCULO]] ) / tabPontoPed[[#This Row],[MENSAL]], -1 )</f>
        <v>0</v>
      </c>
      <c r="U786" s="58">
        <v>18</v>
      </c>
      <c r="V786" s="35">
        <f>IF(AND(tabPontoPed[[#This Row],[MENSAL]]&gt;0,tabPontoPed[[#This Row],[CÁLCULO]]&gt;0), IF( tabPontoPed[[#This Row],[MENSAL]] - tabPontoPed[[#This Row],[CÁLCULO]] &lt; 0, -1, IF( tabPontoPed[[#This Row],[MENSAL]] - tabPontoPed[[#This Row],[CÁLCULO]] &gt; 0, 1, -8)), -9 )</f>
        <v>-8</v>
      </c>
      <c r="W786" s="35"/>
      <c r="X786" s="48" t="s">
        <v>1564</v>
      </c>
      <c r="Y786" s="53">
        <v>44391.647175925929</v>
      </c>
      <c r="Z786" s="72">
        <f>tabPontoPed[CÁLC_4M] - tabPontoPed[CÁLCULO]</f>
        <v>-81</v>
      </c>
      <c r="AA786" s="79" t="str">
        <f>IF(tabPontoPed[MENSAL]-tabPontoPed[ATA MENSAL] = 0,"sim","")</f>
        <v/>
      </c>
      <c r="AB786" s="79"/>
      <c r="AC786" s="47" t="str">
        <f t="shared" si="12"/>
        <v>*</v>
      </c>
    </row>
    <row r="787" spans="1:29" x14ac:dyDescent="0.25">
      <c r="A787" s="36">
        <v>141680</v>
      </c>
      <c r="B787" s="68" t="s">
        <v>1825</v>
      </c>
      <c r="C787" s="33">
        <v>1</v>
      </c>
      <c r="D787" s="32">
        <v>76</v>
      </c>
      <c r="E787" s="37">
        <v>3</v>
      </c>
      <c r="F787" s="38" t="str">
        <f>VLOOKUP(tabPontoPed[[#This Row],[GRUPO]],tabGrupos[#Data],2,FALSE)</f>
        <v>EQUIP. E MATERIAIS P/PINTURAS E IMPERMEABILIZACAO</v>
      </c>
      <c r="G787" s="32" t="str">
        <f>VLOOKUP(tabPontoPed[[#This Row],[GRUPO]],tabGrupos[#Data],3,FALSE)</f>
        <v>MPI</v>
      </c>
      <c r="H787" s="33" t="s">
        <v>1311</v>
      </c>
      <c r="I787" s="80">
        <v>4</v>
      </c>
      <c r="J787" s="39">
        <v>706</v>
      </c>
      <c r="K787" s="41">
        <f>tabPontoPed[[#This Row],[QTDMÊS]] * tabPontoPed[[#This Row],[MENSAL]]</f>
        <v>2824</v>
      </c>
      <c r="L787" s="83"/>
      <c r="M787" s="81"/>
      <c r="N787" s="34" t="s">
        <v>1009</v>
      </c>
      <c r="O787" s="76"/>
      <c r="P787" s="77">
        <v>0</v>
      </c>
      <c r="Q787" s="57">
        <v>73</v>
      </c>
      <c r="R787" s="42">
        <v>706</v>
      </c>
      <c r="S787" s="69" t="str">
        <f>_xlfn.IFNA(IF(VLOOKUP(tabPontoPed[[#This Row],[CÓDIGO]],tabExcluirDoEstoque[#Data],1,FALSE),"sim",""),"")</f>
        <v/>
      </c>
      <c r="T787" s="43">
        <f>IF(AND(tabPontoPed[[#This Row],[MENSAL]]&gt;0,tabPontoPed[[#This Row],[CÁLCULO]]&gt;0), ABS( tabPontoPed[[#This Row],[MENSAL]] - tabPontoPed[[#This Row],[CÁLCULO]] ) / tabPontoPed[[#This Row],[MENSAL]], -1 )</f>
        <v>0</v>
      </c>
      <c r="U787" s="58">
        <v>139</v>
      </c>
      <c r="V787" s="35">
        <f>IF(AND(tabPontoPed[[#This Row],[MENSAL]]&gt;0,tabPontoPed[[#This Row],[CÁLCULO]]&gt;0), IF( tabPontoPed[[#This Row],[MENSAL]] - tabPontoPed[[#This Row],[CÁLCULO]] &lt; 0, -1, IF( tabPontoPed[[#This Row],[MENSAL]] - tabPontoPed[[#This Row],[CÁLCULO]] &gt; 0, 1, -8)), -9 )</f>
        <v>-8</v>
      </c>
      <c r="W787" s="35"/>
      <c r="X787" s="48" t="s">
        <v>1564</v>
      </c>
      <c r="Y787" s="53">
        <v>44391.647175925929</v>
      </c>
      <c r="Z787" s="72">
        <f>tabPontoPed[CÁLC_4M] - tabPontoPed[CÁLCULO]</f>
        <v>-633</v>
      </c>
      <c r="AA787" s="79" t="str">
        <f>IF(tabPontoPed[MENSAL]-tabPontoPed[ATA MENSAL] = 0,"sim","")</f>
        <v/>
      </c>
      <c r="AB787" s="79"/>
      <c r="AC787" s="47" t="str">
        <f t="shared" si="12"/>
        <v>*</v>
      </c>
    </row>
    <row r="788" spans="1:29" x14ac:dyDescent="0.25">
      <c r="A788" s="36">
        <v>141681</v>
      </c>
      <c r="B788" s="68" t="s">
        <v>1826</v>
      </c>
      <c r="C788" s="33">
        <v>1</v>
      </c>
      <c r="D788" s="32">
        <v>76</v>
      </c>
      <c r="E788" s="37">
        <v>3</v>
      </c>
      <c r="F788" s="38" t="str">
        <f>VLOOKUP(tabPontoPed[[#This Row],[GRUPO]],tabGrupos[#Data],2,FALSE)</f>
        <v>EQUIP. E MATERIAIS P/PINTURAS E IMPERMEABILIZACAO</v>
      </c>
      <c r="G788" s="32" t="str">
        <f>VLOOKUP(tabPontoPed[[#This Row],[GRUPO]],tabGrupos[#Data],3,FALSE)</f>
        <v>MPI</v>
      </c>
      <c r="H788" s="33" t="s">
        <v>1311</v>
      </c>
      <c r="I788" s="80">
        <v>4</v>
      </c>
      <c r="J788" s="39">
        <v>66</v>
      </c>
      <c r="K788" s="41">
        <f>tabPontoPed[[#This Row],[QTDMÊS]] * tabPontoPed[[#This Row],[MENSAL]]</f>
        <v>264</v>
      </c>
      <c r="L788" s="83"/>
      <c r="M788" s="81"/>
      <c r="N788" s="34" t="s">
        <v>1009</v>
      </c>
      <c r="O788" s="76"/>
      <c r="P788" s="77">
        <v>0</v>
      </c>
      <c r="Q788" s="57">
        <v>6</v>
      </c>
      <c r="R788" s="42">
        <v>66</v>
      </c>
      <c r="S788" s="69" t="str">
        <f>_xlfn.IFNA(IF(VLOOKUP(tabPontoPed[[#This Row],[CÓDIGO]],tabExcluirDoEstoque[#Data],1,FALSE),"sim",""),"")</f>
        <v/>
      </c>
      <c r="T788" s="43">
        <f>IF(AND(tabPontoPed[[#This Row],[MENSAL]]&gt;0,tabPontoPed[[#This Row],[CÁLCULO]]&gt;0), ABS( tabPontoPed[[#This Row],[MENSAL]] - tabPontoPed[[#This Row],[CÁLCULO]] ) / tabPontoPed[[#This Row],[MENSAL]], -1 )</f>
        <v>0</v>
      </c>
      <c r="U788" s="58">
        <v>12</v>
      </c>
      <c r="V788" s="35">
        <f>IF(AND(tabPontoPed[[#This Row],[MENSAL]]&gt;0,tabPontoPed[[#This Row],[CÁLCULO]]&gt;0), IF( tabPontoPed[[#This Row],[MENSAL]] - tabPontoPed[[#This Row],[CÁLCULO]] &lt; 0, -1, IF( tabPontoPed[[#This Row],[MENSAL]] - tabPontoPed[[#This Row],[CÁLCULO]] &gt; 0, 1, -8)), -9 )</f>
        <v>-8</v>
      </c>
      <c r="W788" s="35"/>
      <c r="X788" s="48" t="s">
        <v>1564</v>
      </c>
      <c r="Y788" s="53">
        <v>44391.647175925929</v>
      </c>
      <c r="Z788" s="72">
        <f>tabPontoPed[CÁLC_4M] - tabPontoPed[CÁLCULO]</f>
        <v>-60</v>
      </c>
      <c r="AA788" s="79" t="str">
        <f>IF(tabPontoPed[MENSAL]-tabPontoPed[ATA MENSAL] = 0,"sim","")</f>
        <v/>
      </c>
      <c r="AB788" s="79"/>
      <c r="AC788" s="47" t="str">
        <f t="shared" si="12"/>
        <v>*</v>
      </c>
    </row>
    <row r="789" spans="1:29" x14ac:dyDescent="0.25">
      <c r="A789" s="36">
        <v>141268</v>
      </c>
      <c r="B789" s="68" t="s">
        <v>1827</v>
      </c>
      <c r="C789" s="33">
        <v>1</v>
      </c>
      <c r="D789" s="32">
        <v>76</v>
      </c>
      <c r="E789" s="37">
        <v>3</v>
      </c>
      <c r="F789" s="38" t="str">
        <f>VLOOKUP(tabPontoPed[[#This Row],[GRUPO]],tabGrupos[#Data],2,FALSE)</f>
        <v>EQUIP. E MATERIAIS P/PINTURAS E IMPERMEABILIZACAO</v>
      </c>
      <c r="G789" s="32" t="str">
        <f>VLOOKUP(tabPontoPed[[#This Row],[GRUPO]],tabGrupos[#Data],3,FALSE)</f>
        <v>MPI</v>
      </c>
      <c r="H789" s="33" t="s">
        <v>1311</v>
      </c>
      <c r="I789" s="80">
        <v>4</v>
      </c>
      <c r="J789" s="39">
        <v>725</v>
      </c>
      <c r="K789" s="41">
        <f>tabPontoPed[[#This Row],[QTDMÊS]] * tabPontoPed[[#This Row],[MENSAL]]</f>
        <v>2900</v>
      </c>
      <c r="L789" s="83"/>
      <c r="M789" s="81"/>
      <c r="N789" s="34" t="s">
        <v>1009</v>
      </c>
      <c r="O789" s="76"/>
      <c r="P789" s="77">
        <v>0</v>
      </c>
      <c r="Q789" s="57">
        <v>65</v>
      </c>
      <c r="R789" s="42">
        <v>725</v>
      </c>
      <c r="S789" s="69" t="str">
        <f>_xlfn.IFNA(IF(VLOOKUP(tabPontoPed[[#This Row],[CÓDIGO]],tabExcluirDoEstoque[#Data],1,FALSE),"sim",""),"")</f>
        <v/>
      </c>
      <c r="T789" s="43">
        <f>IF(AND(tabPontoPed[[#This Row],[MENSAL]]&gt;0,tabPontoPed[[#This Row],[CÁLCULO]]&gt;0), ABS( tabPontoPed[[#This Row],[MENSAL]] - tabPontoPed[[#This Row],[CÁLCULO]] ) / tabPontoPed[[#This Row],[MENSAL]], -1 )</f>
        <v>0</v>
      </c>
      <c r="U789" s="58">
        <v>134</v>
      </c>
      <c r="V789" s="35">
        <f>IF(AND(tabPontoPed[[#This Row],[MENSAL]]&gt;0,tabPontoPed[[#This Row],[CÁLCULO]]&gt;0), IF( tabPontoPed[[#This Row],[MENSAL]] - tabPontoPed[[#This Row],[CÁLCULO]] &lt; 0, -1, IF( tabPontoPed[[#This Row],[MENSAL]] - tabPontoPed[[#This Row],[CÁLCULO]] &gt; 0, 1, -8)), -9 )</f>
        <v>-8</v>
      </c>
      <c r="W789" s="35"/>
      <c r="X789" s="48" t="s">
        <v>1564</v>
      </c>
      <c r="Y789" s="53">
        <v>44391.647175925929</v>
      </c>
      <c r="Z789" s="72">
        <f>tabPontoPed[CÁLC_4M] - tabPontoPed[CÁLCULO]</f>
        <v>-660</v>
      </c>
      <c r="AA789" s="79" t="str">
        <f>IF(tabPontoPed[MENSAL]-tabPontoPed[ATA MENSAL] = 0,"sim","")</f>
        <v/>
      </c>
      <c r="AB789" s="79"/>
      <c r="AC789" s="47" t="str">
        <f t="shared" si="12"/>
        <v>*</v>
      </c>
    </row>
    <row r="790" spans="1:29" x14ac:dyDescent="0.25">
      <c r="A790" s="36">
        <v>141265</v>
      </c>
      <c r="B790" s="68" t="s">
        <v>1828</v>
      </c>
      <c r="C790" s="33">
        <v>1</v>
      </c>
      <c r="D790" s="32">
        <v>76</v>
      </c>
      <c r="E790" s="37">
        <v>3</v>
      </c>
      <c r="F790" s="38" t="str">
        <f>VLOOKUP(tabPontoPed[[#This Row],[GRUPO]],tabGrupos[#Data],2,FALSE)</f>
        <v>EQUIP. E MATERIAIS P/PINTURAS E IMPERMEABILIZACAO</v>
      </c>
      <c r="G790" s="32" t="str">
        <f>VLOOKUP(tabPontoPed[[#This Row],[GRUPO]],tabGrupos[#Data],3,FALSE)</f>
        <v>MPI</v>
      </c>
      <c r="H790" s="33" t="s">
        <v>1311</v>
      </c>
      <c r="I790" s="80">
        <v>4</v>
      </c>
      <c r="J790" s="39">
        <v>46</v>
      </c>
      <c r="K790" s="41">
        <f>tabPontoPed[[#This Row],[QTDMÊS]] * tabPontoPed[[#This Row],[MENSAL]]</f>
        <v>184</v>
      </c>
      <c r="L790" s="83"/>
      <c r="M790" s="81"/>
      <c r="N790" s="34" t="s">
        <v>1009</v>
      </c>
      <c r="O790" s="76"/>
      <c r="P790" s="77">
        <v>0</v>
      </c>
      <c r="Q790" s="57">
        <v>4</v>
      </c>
      <c r="R790" s="42">
        <v>46</v>
      </c>
      <c r="S790" s="69" t="str">
        <f>_xlfn.IFNA(IF(VLOOKUP(tabPontoPed[[#This Row],[CÓDIGO]],tabExcluirDoEstoque[#Data],1,FALSE),"sim",""),"")</f>
        <v/>
      </c>
      <c r="T790" s="43">
        <f>IF(AND(tabPontoPed[[#This Row],[MENSAL]]&gt;0,tabPontoPed[[#This Row],[CÁLCULO]]&gt;0), ABS( tabPontoPed[[#This Row],[MENSAL]] - tabPontoPed[[#This Row],[CÁLCULO]] ) / tabPontoPed[[#This Row],[MENSAL]], -1 )</f>
        <v>0</v>
      </c>
      <c r="U790" s="58">
        <v>9</v>
      </c>
      <c r="V790" s="35">
        <f>IF(AND(tabPontoPed[[#This Row],[MENSAL]]&gt;0,tabPontoPed[[#This Row],[CÁLCULO]]&gt;0), IF( tabPontoPed[[#This Row],[MENSAL]] - tabPontoPed[[#This Row],[CÁLCULO]] &lt; 0, -1, IF( tabPontoPed[[#This Row],[MENSAL]] - tabPontoPed[[#This Row],[CÁLCULO]] &gt; 0, 1, -8)), -9 )</f>
        <v>-8</v>
      </c>
      <c r="W790" s="35"/>
      <c r="X790" s="48" t="s">
        <v>1564</v>
      </c>
      <c r="Y790" s="53">
        <v>44391.647175925929</v>
      </c>
      <c r="Z790" s="72">
        <f>tabPontoPed[CÁLC_4M] - tabPontoPed[CÁLCULO]</f>
        <v>-42</v>
      </c>
      <c r="AA790" s="79" t="str">
        <f>IF(tabPontoPed[MENSAL]-tabPontoPed[ATA MENSAL] = 0,"sim","")</f>
        <v/>
      </c>
      <c r="AB790" s="79"/>
      <c r="AC790" s="47" t="str">
        <f t="shared" si="12"/>
        <v>*</v>
      </c>
    </row>
    <row r="791" spans="1:29" x14ac:dyDescent="0.25">
      <c r="A791" s="36">
        <v>141266</v>
      </c>
      <c r="B791" s="68" t="s">
        <v>1829</v>
      </c>
      <c r="C791" s="33">
        <v>1</v>
      </c>
      <c r="D791" s="32">
        <v>76</v>
      </c>
      <c r="E791" s="37">
        <v>3</v>
      </c>
      <c r="F791" s="38" t="str">
        <f>VLOOKUP(tabPontoPed[[#This Row],[GRUPO]],tabGrupos[#Data],2,FALSE)</f>
        <v>EQUIP. E MATERIAIS P/PINTURAS E IMPERMEABILIZACAO</v>
      </c>
      <c r="G791" s="32" t="str">
        <f>VLOOKUP(tabPontoPed[[#This Row],[GRUPO]],tabGrupos[#Data],3,FALSE)</f>
        <v>MPI</v>
      </c>
      <c r="H791" s="33" t="s">
        <v>1311</v>
      </c>
      <c r="I791" s="80">
        <v>4</v>
      </c>
      <c r="J791" s="39">
        <v>83</v>
      </c>
      <c r="K791" s="41">
        <f>tabPontoPed[[#This Row],[QTDMÊS]] * tabPontoPed[[#This Row],[MENSAL]]</f>
        <v>332</v>
      </c>
      <c r="L791" s="83"/>
      <c r="M791" s="81"/>
      <c r="N791" s="34" t="s">
        <v>1009</v>
      </c>
      <c r="O791" s="76"/>
      <c r="P791" s="77">
        <v>0</v>
      </c>
      <c r="Q791" s="57">
        <v>8</v>
      </c>
      <c r="R791" s="42">
        <v>83</v>
      </c>
      <c r="S791" s="69" t="str">
        <f>_xlfn.IFNA(IF(VLOOKUP(tabPontoPed[[#This Row],[CÓDIGO]],tabExcluirDoEstoque[#Data],1,FALSE),"sim",""),"")</f>
        <v/>
      </c>
      <c r="T791" s="43">
        <f>IF(AND(tabPontoPed[[#This Row],[MENSAL]]&gt;0,tabPontoPed[[#This Row],[CÁLCULO]]&gt;0), ABS( tabPontoPed[[#This Row],[MENSAL]] - tabPontoPed[[#This Row],[CÁLCULO]] ) / tabPontoPed[[#This Row],[MENSAL]], -1 )</f>
        <v>0</v>
      </c>
      <c r="U791" s="58">
        <v>14</v>
      </c>
      <c r="V791" s="35">
        <f>IF(AND(tabPontoPed[[#This Row],[MENSAL]]&gt;0,tabPontoPed[[#This Row],[CÁLCULO]]&gt;0), IF( tabPontoPed[[#This Row],[MENSAL]] - tabPontoPed[[#This Row],[CÁLCULO]] &lt; 0, -1, IF( tabPontoPed[[#This Row],[MENSAL]] - tabPontoPed[[#This Row],[CÁLCULO]] &gt; 0, 1, -8)), -9 )</f>
        <v>-8</v>
      </c>
      <c r="W791" s="35"/>
      <c r="X791" s="48" t="s">
        <v>1564</v>
      </c>
      <c r="Y791" s="53">
        <v>44391.647175925929</v>
      </c>
      <c r="Z791" s="72">
        <f>tabPontoPed[CÁLC_4M] - tabPontoPed[CÁLCULO]</f>
        <v>-75</v>
      </c>
      <c r="AA791" s="79" t="str">
        <f>IF(tabPontoPed[MENSAL]-tabPontoPed[ATA MENSAL] = 0,"sim","")</f>
        <v/>
      </c>
      <c r="AB791" s="79"/>
      <c r="AC791" s="47" t="str">
        <f t="shared" si="12"/>
        <v>*</v>
      </c>
    </row>
    <row r="792" spans="1:29" x14ac:dyDescent="0.25">
      <c r="A792" s="36">
        <v>141270</v>
      </c>
      <c r="B792" s="68" t="s">
        <v>1834</v>
      </c>
      <c r="C792" s="33">
        <v>1</v>
      </c>
      <c r="D792" s="32">
        <v>76</v>
      </c>
      <c r="E792" s="37">
        <v>5</v>
      </c>
      <c r="F792" s="38" t="str">
        <f>VLOOKUP(tabPontoPed[[#This Row],[GRUPO]],tabGrupos[#Data],2,FALSE)</f>
        <v>EQUIP. E MATERIAIS P/PINTURAS E IMPERMEABILIZACAO</v>
      </c>
      <c r="G792" s="32" t="str">
        <f>VLOOKUP(tabPontoPed[[#This Row],[GRUPO]],tabGrupos[#Data],3,FALSE)</f>
        <v>MPI</v>
      </c>
      <c r="H792" s="33" t="s">
        <v>1311</v>
      </c>
      <c r="I792" s="80">
        <v>4</v>
      </c>
      <c r="J792" s="39">
        <v>15</v>
      </c>
      <c r="K792" s="41">
        <f>tabPontoPed[[#This Row],[QTDMÊS]] * tabPontoPed[[#This Row],[MENSAL]]</f>
        <v>60</v>
      </c>
      <c r="L792" s="83"/>
      <c r="M792" s="81"/>
      <c r="N792" s="34" t="s">
        <v>1009</v>
      </c>
      <c r="O792" s="76"/>
      <c r="P792" s="77">
        <v>0</v>
      </c>
      <c r="Q792" s="57">
        <v>2</v>
      </c>
      <c r="R792" s="42">
        <v>15</v>
      </c>
      <c r="S792" s="69" t="str">
        <f>_xlfn.IFNA(IF(VLOOKUP(tabPontoPed[[#This Row],[CÓDIGO]],tabExcluirDoEstoque[#Data],1,FALSE),"sim",""),"")</f>
        <v/>
      </c>
      <c r="T792" s="43">
        <f>IF(AND(tabPontoPed[[#This Row],[MENSAL]]&gt;0,tabPontoPed[[#This Row],[CÁLCULO]]&gt;0), ABS( tabPontoPed[[#This Row],[MENSAL]] - tabPontoPed[[#This Row],[CÁLCULO]] ) / tabPontoPed[[#This Row],[MENSAL]], -1 )</f>
        <v>0</v>
      </c>
      <c r="U792" s="58">
        <v>3</v>
      </c>
      <c r="V792" s="35">
        <f>IF(AND(tabPontoPed[[#This Row],[MENSAL]]&gt;0,tabPontoPed[[#This Row],[CÁLCULO]]&gt;0), IF( tabPontoPed[[#This Row],[MENSAL]] - tabPontoPed[[#This Row],[CÁLCULO]] &lt; 0, -1, IF( tabPontoPed[[#This Row],[MENSAL]] - tabPontoPed[[#This Row],[CÁLCULO]] &gt; 0, 1, -8)), -9 )</f>
        <v>-8</v>
      </c>
      <c r="W792" s="35"/>
      <c r="X792" s="48" t="s">
        <v>1564</v>
      </c>
      <c r="Y792" s="53">
        <v>44391.647175925929</v>
      </c>
      <c r="Z792" s="72">
        <f>tabPontoPed[CÁLC_4M] - tabPontoPed[CÁLCULO]</f>
        <v>-13</v>
      </c>
      <c r="AA792" s="79" t="str">
        <f>IF(tabPontoPed[MENSAL]-tabPontoPed[ATA MENSAL] = 0,"sim","")</f>
        <v/>
      </c>
      <c r="AB792" s="79"/>
      <c r="AC792" s="47" t="str">
        <f t="shared" si="12"/>
        <v>*</v>
      </c>
    </row>
    <row r="793" spans="1:29" x14ac:dyDescent="0.25">
      <c r="A793" s="36">
        <v>141608</v>
      </c>
      <c r="B793" s="68" t="s">
        <v>1823</v>
      </c>
      <c r="C793" s="33">
        <v>1</v>
      </c>
      <c r="D793" s="32">
        <v>76</v>
      </c>
      <c r="E793" s="37">
        <v>9</v>
      </c>
      <c r="F793" s="38" t="str">
        <f>VLOOKUP(tabPontoPed[[#This Row],[GRUPO]],tabGrupos[#Data],2,FALSE)</f>
        <v>EQUIP. E MATERIAIS P/PINTURAS E IMPERMEABILIZACAO</v>
      </c>
      <c r="G793" s="32" t="str">
        <f>VLOOKUP(tabPontoPed[[#This Row],[GRUPO]],tabGrupos[#Data],3,FALSE)</f>
        <v>MPI</v>
      </c>
      <c r="H793" s="33" t="s">
        <v>1311</v>
      </c>
      <c r="I793" s="80">
        <v>4</v>
      </c>
      <c r="J793" s="39">
        <v>18</v>
      </c>
      <c r="K793" s="41">
        <f>tabPontoPed[[#This Row],[QTDMÊS]] * tabPontoPed[[#This Row],[MENSAL]]</f>
        <v>72</v>
      </c>
      <c r="L793" s="83"/>
      <c r="M793" s="81"/>
      <c r="N793" s="34" t="s">
        <v>1009</v>
      </c>
      <c r="O793" s="76"/>
      <c r="P793" s="77">
        <v>0</v>
      </c>
      <c r="Q793" s="57">
        <v>2</v>
      </c>
      <c r="R793" s="42">
        <v>18</v>
      </c>
      <c r="S793" s="69" t="str">
        <f>_xlfn.IFNA(IF(VLOOKUP(tabPontoPed[[#This Row],[CÓDIGO]],tabExcluirDoEstoque[#Data],1,FALSE),"sim",""),"")</f>
        <v/>
      </c>
      <c r="T793" s="43">
        <f>IF(AND(tabPontoPed[[#This Row],[MENSAL]]&gt;0,tabPontoPed[[#This Row],[CÁLCULO]]&gt;0), ABS( tabPontoPed[[#This Row],[MENSAL]] - tabPontoPed[[#This Row],[CÁLCULO]] ) / tabPontoPed[[#This Row],[MENSAL]], -1 )</f>
        <v>0</v>
      </c>
      <c r="U793" s="58">
        <v>12</v>
      </c>
      <c r="V793" s="35">
        <f>IF(AND(tabPontoPed[[#This Row],[MENSAL]]&gt;0,tabPontoPed[[#This Row],[CÁLCULO]]&gt;0), IF( tabPontoPed[[#This Row],[MENSAL]] - tabPontoPed[[#This Row],[CÁLCULO]] &lt; 0, -1, IF( tabPontoPed[[#This Row],[MENSAL]] - tabPontoPed[[#This Row],[CÁLCULO]] &gt; 0, 1, -8)), -9 )</f>
        <v>-8</v>
      </c>
      <c r="W793" s="35"/>
      <c r="X793" s="48" t="s">
        <v>1564</v>
      </c>
      <c r="Y793" s="53">
        <v>44391.647175925929</v>
      </c>
      <c r="Z793" s="72">
        <f>tabPontoPed[CÁLC_4M] - tabPontoPed[CÁLCULO]</f>
        <v>-16</v>
      </c>
      <c r="AA793" s="79" t="str">
        <f>IF(tabPontoPed[MENSAL]-tabPontoPed[ATA MENSAL] = 0,"sim","")</f>
        <v/>
      </c>
      <c r="AB793" s="79"/>
      <c r="AC793" s="47" t="str">
        <f t="shared" si="12"/>
        <v>*</v>
      </c>
    </row>
    <row r="794" spans="1:29" x14ac:dyDescent="0.25">
      <c r="A794" s="36">
        <v>141786</v>
      </c>
      <c r="B794" s="68" t="s">
        <v>1830</v>
      </c>
      <c r="C794" s="33">
        <v>1</v>
      </c>
      <c r="D794" s="32">
        <v>76</v>
      </c>
      <c r="E794" s="37">
        <v>10</v>
      </c>
      <c r="F794" s="38" t="str">
        <f>VLOOKUP(tabPontoPed[[#This Row],[GRUPO]],tabGrupos[#Data],2,FALSE)</f>
        <v>EQUIP. E MATERIAIS P/PINTURAS E IMPERMEABILIZACAO</v>
      </c>
      <c r="G794" s="32" t="str">
        <f>VLOOKUP(tabPontoPed[[#This Row],[GRUPO]],tabGrupos[#Data],3,FALSE)</f>
        <v>MPI</v>
      </c>
      <c r="H794" s="33" t="s">
        <v>1311</v>
      </c>
      <c r="I794" s="80">
        <v>4</v>
      </c>
      <c r="J794" s="39">
        <v>69</v>
      </c>
      <c r="K794" s="41">
        <f>tabPontoPed[[#This Row],[QTDMÊS]] * tabPontoPed[[#This Row],[MENSAL]]</f>
        <v>276</v>
      </c>
      <c r="L794" s="83"/>
      <c r="M794" s="81"/>
      <c r="N794" s="34" t="s">
        <v>1009</v>
      </c>
      <c r="O794" s="76"/>
      <c r="P794" s="77">
        <v>0</v>
      </c>
      <c r="Q794" s="57">
        <v>6</v>
      </c>
      <c r="R794" s="42">
        <v>69</v>
      </c>
      <c r="S794" s="69" t="str">
        <f>_xlfn.IFNA(IF(VLOOKUP(tabPontoPed[[#This Row],[CÓDIGO]],tabExcluirDoEstoque[#Data],1,FALSE),"sim",""),"")</f>
        <v/>
      </c>
      <c r="T794" s="43">
        <f>IF(AND(tabPontoPed[[#This Row],[MENSAL]]&gt;0,tabPontoPed[[#This Row],[CÁLCULO]]&gt;0), ABS( tabPontoPed[[#This Row],[MENSAL]] - tabPontoPed[[#This Row],[CÁLCULO]] ) / tabPontoPed[[#This Row],[MENSAL]], -1 )</f>
        <v>0</v>
      </c>
      <c r="U794" s="58">
        <v>11</v>
      </c>
      <c r="V794" s="35">
        <f>IF(AND(tabPontoPed[[#This Row],[MENSAL]]&gt;0,tabPontoPed[[#This Row],[CÁLCULO]]&gt;0), IF( tabPontoPed[[#This Row],[MENSAL]] - tabPontoPed[[#This Row],[CÁLCULO]] &lt; 0, -1, IF( tabPontoPed[[#This Row],[MENSAL]] - tabPontoPed[[#This Row],[CÁLCULO]] &gt; 0, 1, -8)), -9 )</f>
        <v>-8</v>
      </c>
      <c r="W794" s="35"/>
      <c r="X794" s="48" t="s">
        <v>1564</v>
      </c>
      <c r="Y794" s="53">
        <v>44391.647175925929</v>
      </c>
      <c r="Z794" s="72">
        <f>tabPontoPed[CÁLC_4M] - tabPontoPed[CÁLCULO]</f>
        <v>-63</v>
      </c>
      <c r="AA794" s="79" t="str">
        <f>IF(tabPontoPed[MENSAL]-tabPontoPed[ATA MENSAL] = 0,"sim","")</f>
        <v/>
      </c>
      <c r="AB794" s="79"/>
      <c r="AC794" s="47" t="str">
        <f t="shared" si="12"/>
        <v>*</v>
      </c>
    </row>
    <row r="795" spans="1:29" x14ac:dyDescent="0.25">
      <c r="A795" s="36">
        <v>141787</v>
      </c>
      <c r="B795" s="68" t="s">
        <v>1831</v>
      </c>
      <c r="C795" s="33">
        <v>1</v>
      </c>
      <c r="D795" s="32">
        <v>76</v>
      </c>
      <c r="E795" s="37">
        <v>10</v>
      </c>
      <c r="F795" s="38" t="str">
        <f>VLOOKUP(tabPontoPed[[#This Row],[GRUPO]],tabGrupos[#Data],2,FALSE)</f>
        <v>EQUIP. E MATERIAIS P/PINTURAS E IMPERMEABILIZACAO</v>
      </c>
      <c r="G795" s="32" t="str">
        <f>VLOOKUP(tabPontoPed[[#This Row],[GRUPO]],tabGrupos[#Data],3,FALSE)</f>
        <v>MPI</v>
      </c>
      <c r="H795" s="33" t="s">
        <v>1311</v>
      </c>
      <c r="I795" s="80">
        <v>4</v>
      </c>
      <c r="J795" s="39">
        <v>293</v>
      </c>
      <c r="K795" s="41">
        <f>tabPontoPed[[#This Row],[QTDMÊS]] * tabPontoPed[[#This Row],[MENSAL]]</f>
        <v>1172</v>
      </c>
      <c r="L795" s="83"/>
      <c r="M795" s="81"/>
      <c r="N795" s="34" t="s">
        <v>1009</v>
      </c>
      <c r="O795" s="76"/>
      <c r="P795" s="77">
        <v>0</v>
      </c>
      <c r="Q795" s="57">
        <v>27</v>
      </c>
      <c r="R795" s="42">
        <v>293</v>
      </c>
      <c r="S795" s="69" t="str">
        <f>_xlfn.IFNA(IF(VLOOKUP(tabPontoPed[[#This Row],[CÓDIGO]],tabExcluirDoEstoque[#Data],1,FALSE),"sim",""),"")</f>
        <v/>
      </c>
      <c r="T795" s="43">
        <f>IF(AND(tabPontoPed[[#This Row],[MENSAL]]&gt;0,tabPontoPed[[#This Row],[CÁLCULO]]&gt;0), ABS( tabPontoPed[[#This Row],[MENSAL]] - tabPontoPed[[#This Row],[CÁLCULO]] ) / tabPontoPed[[#This Row],[MENSAL]], -1 )</f>
        <v>0</v>
      </c>
      <c r="U795" s="58">
        <v>77</v>
      </c>
      <c r="V795" s="35">
        <f>IF(AND(tabPontoPed[[#This Row],[MENSAL]]&gt;0,tabPontoPed[[#This Row],[CÁLCULO]]&gt;0), IF( tabPontoPed[[#This Row],[MENSAL]] - tabPontoPed[[#This Row],[CÁLCULO]] &lt; 0, -1, IF( tabPontoPed[[#This Row],[MENSAL]] - tabPontoPed[[#This Row],[CÁLCULO]] &gt; 0, 1, -8)), -9 )</f>
        <v>-8</v>
      </c>
      <c r="W795" s="35"/>
      <c r="X795" s="48" t="s">
        <v>1564</v>
      </c>
      <c r="Y795" s="53">
        <v>44391.647175925929</v>
      </c>
      <c r="Z795" s="72">
        <f>tabPontoPed[CÁLC_4M] - tabPontoPed[CÁLCULO]</f>
        <v>-266</v>
      </c>
      <c r="AA795" s="79" t="str">
        <f>IF(tabPontoPed[MENSAL]-tabPontoPed[ATA MENSAL] = 0,"sim","")</f>
        <v/>
      </c>
      <c r="AB795" s="79"/>
      <c r="AC795" s="47" t="str">
        <f t="shared" si="12"/>
        <v>*</v>
      </c>
    </row>
    <row r="796" spans="1:29" x14ac:dyDescent="0.25">
      <c r="A796" s="36">
        <v>141615</v>
      </c>
      <c r="B796" s="68" t="s">
        <v>1832</v>
      </c>
      <c r="C796" s="33">
        <v>1</v>
      </c>
      <c r="D796" s="32">
        <v>76</v>
      </c>
      <c r="E796" s="37">
        <v>10</v>
      </c>
      <c r="F796" s="38" t="str">
        <f>VLOOKUP(tabPontoPed[[#This Row],[GRUPO]],tabGrupos[#Data],2,FALSE)</f>
        <v>EQUIP. E MATERIAIS P/PINTURAS E IMPERMEABILIZACAO</v>
      </c>
      <c r="G796" s="32" t="str">
        <f>VLOOKUP(tabPontoPed[[#This Row],[GRUPO]],tabGrupos[#Data],3,FALSE)</f>
        <v>MPI</v>
      </c>
      <c r="H796" s="33" t="s">
        <v>1311</v>
      </c>
      <c r="I796" s="80">
        <v>4</v>
      </c>
      <c r="J796" s="39">
        <v>60</v>
      </c>
      <c r="K796" s="41">
        <f>tabPontoPed[[#This Row],[QTDMÊS]] * tabPontoPed[[#This Row],[MENSAL]]</f>
        <v>240</v>
      </c>
      <c r="L796" s="83"/>
      <c r="M796" s="81"/>
      <c r="N796" s="34" t="s">
        <v>1009</v>
      </c>
      <c r="O796" s="76"/>
      <c r="P796" s="77">
        <v>0</v>
      </c>
      <c r="Q796" s="57">
        <v>4</v>
      </c>
      <c r="R796" s="42">
        <v>60</v>
      </c>
      <c r="S796" s="69" t="str">
        <f>_xlfn.IFNA(IF(VLOOKUP(tabPontoPed[[#This Row],[CÓDIGO]],tabExcluirDoEstoque[#Data],1,FALSE),"sim",""),"")</f>
        <v/>
      </c>
      <c r="T796" s="43">
        <f>IF(AND(tabPontoPed[[#This Row],[MENSAL]]&gt;0,tabPontoPed[[#This Row],[CÁLCULO]]&gt;0), ABS( tabPontoPed[[#This Row],[MENSAL]] - tabPontoPed[[#This Row],[CÁLCULO]] ) / tabPontoPed[[#This Row],[MENSAL]], -1 )</f>
        <v>0</v>
      </c>
      <c r="U796" s="58">
        <v>15</v>
      </c>
      <c r="V796" s="35">
        <f>IF(AND(tabPontoPed[[#This Row],[MENSAL]]&gt;0,tabPontoPed[[#This Row],[CÁLCULO]]&gt;0), IF( tabPontoPed[[#This Row],[MENSAL]] - tabPontoPed[[#This Row],[CÁLCULO]] &lt; 0, -1, IF( tabPontoPed[[#This Row],[MENSAL]] - tabPontoPed[[#This Row],[CÁLCULO]] &gt; 0, 1, -8)), -9 )</f>
        <v>-8</v>
      </c>
      <c r="W796" s="35"/>
      <c r="X796" s="48" t="s">
        <v>1564</v>
      </c>
      <c r="Y796" s="53">
        <v>44391.647175925929</v>
      </c>
      <c r="Z796" s="72">
        <f>tabPontoPed[CÁLC_4M] - tabPontoPed[CÁLCULO]</f>
        <v>-56</v>
      </c>
      <c r="AA796" s="79" t="str">
        <f>IF(tabPontoPed[MENSAL]-tabPontoPed[ATA MENSAL] = 0,"sim","")</f>
        <v/>
      </c>
      <c r="AB796" s="79"/>
      <c r="AC796" s="47" t="str">
        <f t="shared" si="12"/>
        <v>*</v>
      </c>
    </row>
    <row r="797" spans="1:29" x14ac:dyDescent="0.25">
      <c r="A797" s="36">
        <v>141418</v>
      </c>
      <c r="B797" s="68" t="s">
        <v>1821</v>
      </c>
      <c r="C797" s="33">
        <v>1</v>
      </c>
      <c r="D797" s="32">
        <v>76</v>
      </c>
      <c r="E797" s="37">
        <v>11</v>
      </c>
      <c r="F797" s="38" t="str">
        <f>VLOOKUP(tabPontoPed[[#This Row],[GRUPO]],tabGrupos[#Data],2,FALSE)</f>
        <v>EQUIP. E MATERIAIS P/PINTURAS E IMPERMEABILIZACAO</v>
      </c>
      <c r="G797" s="32" t="str">
        <f>VLOOKUP(tabPontoPed[[#This Row],[GRUPO]],tabGrupos[#Data],3,FALSE)</f>
        <v>MPI</v>
      </c>
      <c r="H797" s="33" t="s">
        <v>1311</v>
      </c>
      <c r="I797" s="80">
        <v>4</v>
      </c>
      <c r="J797" s="39">
        <v>474</v>
      </c>
      <c r="K797" s="41">
        <f>tabPontoPed[[#This Row],[QTDMÊS]] * tabPontoPed[[#This Row],[MENSAL]]</f>
        <v>1896</v>
      </c>
      <c r="L797" s="83"/>
      <c r="M797" s="81"/>
      <c r="N797" s="34" t="s">
        <v>1009</v>
      </c>
      <c r="O797" s="76"/>
      <c r="P797" s="77">
        <v>0</v>
      </c>
      <c r="Q797" s="57">
        <v>48</v>
      </c>
      <c r="R797" s="42">
        <v>474</v>
      </c>
      <c r="S797" s="69" t="str">
        <f>_xlfn.IFNA(IF(VLOOKUP(tabPontoPed[[#This Row],[CÓDIGO]],tabExcluirDoEstoque[#Data],1,FALSE),"sim",""),"")</f>
        <v/>
      </c>
      <c r="T797" s="43">
        <f>IF(AND(tabPontoPed[[#This Row],[MENSAL]]&gt;0,tabPontoPed[[#This Row],[CÁLCULO]]&gt;0), ABS( tabPontoPed[[#This Row],[MENSAL]] - tabPontoPed[[#This Row],[CÁLCULO]] ) / tabPontoPed[[#This Row],[MENSAL]], -1 )</f>
        <v>0</v>
      </c>
      <c r="U797" s="58">
        <v>66</v>
      </c>
      <c r="V797" s="35">
        <f>IF(AND(tabPontoPed[[#This Row],[MENSAL]]&gt;0,tabPontoPed[[#This Row],[CÁLCULO]]&gt;0), IF( tabPontoPed[[#This Row],[MENSAL]] - tabPontoPed[[#This Row],[CÁLCULO]] &lt; 0, -1, IF( tabPontoPed[[#This Row],[MENSAL]] - tabPontoPed[[#This Row],[CÁLCULO]] &gt; 0, 1, -8)), -9 )</f>
        <v>-8</v>
      </c>
      <c r="W797" s="35"/>
      <c r="X797" s="48" t="s">
        <v>1564</v>
      </c>
      <c r="Y797" s="53">
        <v>44391.647175925929</v>
      </c>
      <c r="Z797" s="72">
        <f>tabPontoPed[CÁLC_4M] - tabPontoPed[CÁLCULO]</f>
        <v>-426</v>
      </c>
      <c r="AA797" s="79" t="str">
        <f>IF(tabPontoPed[MENSAL]-tabPontoPed[ATA MENSAL] = 0,"sim","")</f>
        <v/>
      </c>
      <c r="AB797" s="79"/>
      <c r="AC797" s="47" t="str">
        <f t="shared" si="12"/>
        <v>*</v>
      </c>
    </row>
    <row r="798" spans="1:29" x14ac:dyDescent="0.25">
      <c r="A798" s="36">
        <v>141253</v>
      </c>
      <c r="B798" s="68" t="s">
        <v>1812</v>
      </c>
      <c r="C798" s="33">
        <v>1</v>
      </c>
      <c r="D798" s="32">
        <v>76</v>
      </c>
      <c r="E798" s="37">
        <v>13</v>
      </c>
      <c r="F798" s="38" t="str">
        <f>VLOOKUP(tabPontoPed[[#This Row],[GRUPO]],tabGrupos[#Data],2,FALSE)</f>
        <v>EQUIP. E MATERIAIS P/PINTURAS E IMPERMEABILIZACAO</v>
      </c>
      <c r="G798" s="32" t="str">
        <f>VLOOKUP(tabPontoPed[[#This Row],[GRUPO]],tabGrupos[#Data],3,FALSE)</f>
        <v>MPI</v>
      </c>
      <c r="H798" s="33" t="s">
        <v>1311</v>
      </c>
      <c r="I798" s="80">
        <v>4</v>
      </c>
      <c r="J798" s="39">
        <v>161</v>
      </c>
      <c r="K798" s="41">
        <f>tabPontoPed[[#This Row],[QTDMÊS]] * tabPontoPed[[#This Row],[MENSAL]]</f>
        <v>644</v>
      </c>
      <c r="L798" s="83"/>
      <c r="M798" s="81"/>
      <c r="N798" s="34" t="s">
        <v>1009</v>
      </c>
      <c r="O798" s="76"/>
      <c r="P798" s="77">
        <v>0</v>
      </c>
      <c r="Q798" s="57">
        <v>13</v>
      </c>
      <c r="R798" s="42">
        <v>161</v>
      </c>
      <c r="S798" s="69" t="str">
        <f>_xlfn.IFNA(IF(VLOOKUP(tabPontoPed[[#This Row],[CÓDIGO]],tabExcluirDoEstoque[#Data],1,FALSE),"sim",""),"")</f>
        <v/>
      </c>
      <c r="T798" s="43">
        <f>IF(AND(tabPontoPed[[#This Row],[MENSAL]]&gt;0,tabPontoPed[[#This Row],[CÁLCULO]]&gt;0), ABS( tabPontoPed[[#This Row],[MENSAL]] - tabPontoPed[[#This Row],[CÁLCULO]] ) / tabPontoPed[[#This Row],[MENSAL]], -1 )</f>
        <v>0</v>
      </c>
      <c r="U798" s="58">
        <v>26</v>
      </c>
      <c r="V798" s="35">
        <f>IF(AND(tabPontoPed[[#This Row],[MENSAL]]&gt;0,tabPontoPed[[#This Row],[CÁLCULO]]&gt;0), IF( tabPontoPed[[#This Row],[MENSAL]] - tabPontoPed[[#This Row],[CÁLCULO]] &lt; 0, -1, IF( tabPontoPed[[#This Row],[MENSAL]] - tabPontoPed[[#This Row],[CÁLCULO]] &gt; 0, 1, -8)), -9 )</f>
        <v>-8</v>
      </c>
      <c r="W798" s="35"/>
      <c r="X798" s="48" t="s">
        <v>1564</v>
      </c>
      <c r="Y798" s="53">
        <v>44391.647175925929</v>
      </c>
      <c r="Z798" s="72">
        <f>tabPontoPed[CÁLC_4M] - tabPontoPed[CÁLCULO]</f>
        <v>-148</v>
      </c>
      <c r="AA798" s="79" t="str">
        <f>IF(tabPontoPed[MENSAL]-tabPontoPed[ATA MENSAL] = 0,"sim","")</f>
        <v/>
      </c>
      <c r="AB798" s="79"/>
      <c r="AC798" s="47" t="str">
        <f t="shared" si="12"/>
        <v>*</v>
      </c>
    </row>
    <row r="799" spans="1:29" x14ac:dyDescent="0.25">
      <c r="A799" s="36">
        <v>134561</v>
      </c>
      <c r="B799" s="68" t="s">
        <v>826</v>
      </c>
      <c r="C799" s="33" t="s">
        <v>1317</v>
      </c>
      <c r="D799" s="32">
        <v>67</v>
      </c>
      <c r="E799" s="37">
        <v>3</v>
      </c>
      <c r="F799" s="38" t="str">
        <f>VLOOKUP(tabPontoPed[[#This Row],[GRUPO]],tabGrupos[#Data],2,FALSE)</f>
        <v>PARAFUSOS ELEM. VEDACAO UNIAO CONEX . FIXACAO</v>
      </c>
      <c r="G799" s="32" t="str">
        <f>VLOOKUP(tabPontoPed[[#This Row],[GRUPO]],tabGrupos[#Data],3,FALSE)</f>
        <v>MSE</v>
      </c>
      <c r="H799" s="33" t="s">
        <v>1311</v>
      </c>
      <c r="I799" s="80">
        <v>4</v>
      </c>
      <c r="J799" s="39">
        <v>2</v>
      </c>
      <c r="K799" s="41">
        <f>tabPontoPed[[#This Row],[QTDMÊS]] * tabPontoPed[[#This Row],[MENSAL]]</f>
        <v>8</v>
      </c>
      <c r="L799" s="83"/>
      <c r="M799" s="81"/>
      <c r="N799" s="34" t="s">
        <v>1009</v>
      </c>
      <c r="O799" s="76"/>
      <c r="P799" s="77">
        <v>0</v>
      </c>
      <c r="Q799" s="57">
        <v>1</v>
      </c>
      <c r="R799" s="42">
        <v>2</v>
      </c>
      <c r="S799" s="69" t="str">
        <f>_xlfn.IFNA(IF(VLOOKUP(tabPontoPed[[#This Row],[CÓDIGO]],tabExcluirDoEstoque[#Data],1,FALSE),"sim",""),"")</f>
        <v/>
      </c>
      <c r="T799" s="43">
        <f>IF(AND(tabPontoPed[[#This Row],[MENSAL]]&gt;0,tabPontoPed[[#This Row],[CÁLCULO]]&gt;0), ABS( tabPontoPed[[#This Row],[MENSAL]] - tabPontoPed[[#This Row],[CÁLCULO]] ) / tabPontoPed[[#This Row],[MENSAL]], -1 )</f>
        <v>0</v>
      </c>
      <c r="U799" s="58">
        <v>10</v>
      </c>
      <c r="V799" s="35">
        <f>IF(AND(tabPontoPed[[#This Row],[MENSAL]]&gt;0,tabPontoPed[[#This Row],[CÁLCULO]]&gt;0), IF( tabPontoPed[[#This Row],[MENSAL]] - tabPontoPed[[#This Row],[CÁLCULO]] &lt; 0, -1, IF( tabPontoPed[[#This Row],[MENSAL]] - tabPontoPed[[#This Row],[CÁLCULO]] &gt; 0, 1, -8)), -9 )</f>
        <v>-8</v>
      </c>
      <c r="W799" s="35"/>
      <c r="X799" s="49" t="s">
        <v>1564</v>
      </c>
      <c r="Y799" s="51">
        <v>44391.599108796298</v>
      </c>
      <c r="Z799" s="72">
        <f>tabPontoPed[CÁLC_4M] - tabPontoPed[CÁLCULO]</f>
        <v>-1</v>
      </c>
      <c r="AA799" s="79" t="str">
        <f>IF(tabPontoPed[MENSAL]-tabPontoPed[ATA MENSAL] = 0,"sim","")</f>
        <v/>
      </c>
      <c r="AB799" s="79"/>
      <c r="AC799" s="47" t="str">
        <f t="shared" si="12"/>
        <v>*</v>
      </c>
    </row>
    <row r="800" spans="1:29" x14ac:dyDescent="0.25">
      <c r="A800" s="36">
        <v>134562</v>
      </c>
      <c r="B800" s="68" t="s">
        <v>827</v>
      </c>
      <c r="C800" s="33" t="s">
        <v>1317</v>
      </c>
      <c r="D800" s="32">
        <v>67</v>
      </c>
      <c r="E800" s="37">
        <v>3</v>
      </c>
      <c r="F800" s="38" t="str">
        <f>VLOOKUP(tabPontoPed[[#This Row],[GRUPO]],tabGrupos[#Data],2,FALSE)</f>
        <v>PARAFUSOS ELEM. VEDACAO UNIAO CONEX . FIXACAO</v>
      </c>
      <c r="G800" s="32" t="str">
        <f>VLOOKUP(tabPontoPed[[#This Row],[GRUPO]],tabGrupos[#Data],3,FALSE)</f>
        <v>MSE</v>
      </c>
      <c r="H800" s="33" t="s">
        <v>1311</v>
      </c>
      <c r="I800" s="80">
        <v>4</v>
      </c>
      <c r="J800" s="39">
        <v>2</v>
      </c>
      <c r="K800" s="41">
        <f>tabPontoPed[[#This Row],[QTDMÊS]] * tabPontoPed[[#This Row],[MENSAL]]</f>
        <v>8</v>
      </c>
      <c r="L800" s="83"/>
      <c r="M800" s="81"/>
      <c r="N800" s="34" t="s">
        <v>1009</v>
      </c>
      <c r="O800" s="76"/>
      <c r="P800" s="77">
        <v>0</v>
      </c>
      <c r="Q800" s="57">
        <v>1</v>
      </c>
      <c r="R800" s="42">
        <v>2</v>
      </c>
      <c r="S800" s="69" t="str">
        <f>_xlfn.IFNA(IF(VLOOKUP(tabPontoPed[[#This Row],[CÓDIGO]],tabExcluirDoEstoque[#Data],1,FALSE),"sim",""),"")</f>
        <v/>
      </c>
      <c r="T800" s="43">
        <f>IF(AND(tabPontoPed[[#This Row],[MENSAL]]&gt;0,tabPontoPed[[#This Row],[CÁLCULO]]&gt;0), ABS( tabPontoPed[[#This Row],[MENSAL]] - tabPontoPed[[#This Row],[CÁLCULO]] ) / tabPontoPed[[#This Row],[MENSAL]], -1 )</f>
        <v>0</v>
      </c>
      <c r="U800" s="58">
        <v>7</v>
      </c>
      <c r="V800" s="35">
        <f>IF(AND(tabPontoPed[[#This Row],[MENSAL]]&gt;0,tabPontoPed[[#This Row],[CÁLCULO]]&gt;0), IF( tabPontoPed[[#This Row],[MENSAL]] - tabPontoPed[[#This Row],[CÁLCULO]] &lt; 0, -1, IF( tabPontoPed[[#This Row],[MENSAL]] - tabPontoPed[[#This Row],[CÁLCULO]] &gt; 0, 1, -8)), -9 )</f>
        <v>-8</v>
      </c>
      <c r="W800" s="35"/>
      <c r="X800" s="49" t="s">
        <v>1564</v>
      </c>
      <c r="Y800" s="51">
        <v>44391.599108796298</v>
      </c>
      <c r="Z800" s="72">
        <f>tabPontoPed[CÁLC_4M] - tabPontoPed[CÁLCULO]</f>
        <v>-1</v>
      </c>
      <c r="AA800" s="79" t="str">
        <f>IF(tabPontoPed[MENSAL]-tabPontoPed[ATA MENSAL] = 0,"sim","")</f>
        <v/>
      </c>
      <c r="AB800" s="79"/>
      <c r="AC800" s="47" t="str">
        <f t="shared" si="12"/>
        <v>*</v>
      </c>
    </row>
    <row r="801" spans="1:29" x14ac:dyDescent="0.25">
      <c r="A801" s="36">
        <v>33609</v>
      </c>
      <c r="B801" s="68" t="s">
        <v>860</v>
      </c>
      <c r="C801" s="33" t="s">
        <v>1317</v>
      </c>
      <c r="D801" s="32">
        <v>67</v>
      </c>
      <c r="E801" s="37">
        <v>14</v>
      </c>
      <c r="F801" s="38" t="str">
        <f>VLOOKUP(tabPontoPed[[#This Row],[GRUPO]],tabGrupos[#Data],2,FALSE)</f>
        <v>PARAFUSOS ELEM. VEDACAO UNIAO CONEX . FIXACAO</v>
      </c>
      <c r="G801" s="32" t="str">
        <f>VLOOKUP(tabPontoPed[[#This Row],[GRUPO]],tabGrupos[#Data],3,FALSE)</f>
        <v>MSE</v>
      </c>
      <c r="H801" s="33" t="s">
        <v>1311</v>
      </c>
      <c r="I801" s="80">
        <v>4</v>
      </c>
      <c r="J801" s="39">
        <v>1</v>
      </c>
      <c r="K801" s="41">
        <f>tabPontoPed[[#This Row],[QTDMÊS]] * tabPontoPed[[#This Row],[MENSAL]]</f>
        <v>4</v>
      </c>
      <c r="L801" s="83"/>
      <c r="M801" s="81"/>
      <c r="N801" s="34" t="s">
        <v>1009</v>
      </c>
      <c r="O801" s="76"/>
      <c r="P801" s="77">
        <v>0</v>
      </c>
      <c r="Q801" s="57">
        <v>0</v>
      </c>
      <c r="R801" s="42">
        <v>1</v>
      </c>
      <c r="S801" s="69" t="str">
        <f>_xlfn.IFNA(IF(VLOOKUP(tabPontoPed[[#This Row],[CÓDIGO]],tabExcluirDoEstoque[#Data],1,FALSE),"sim",""),"")</f>
        <v/>
      </c>
      <c r="T801" s="43">
        <f>IF(AND(tabPontoPed[[#This Row],[MENSAL]]&gt;0,tabPontoPed[[#This Row],[CÁLCULO]]&gt;0), ABS( tabPontoPed[[#This Row],[MENSAL]] - tabPontoPed[[#This Row],[CÁLCULO]] ) / tabPontoPed[[#This Row],[MENSAL]], -1 )</f>
        <v>0</v>
      </c>
      <c r="U801" s="58">
        <v>10</v>
      </c>
      <c r="V801" s="35">
        <f>IF(AND(tabPontoPed[[#This Row],[MENSAL]]&gt;0,tabPontoPed[[#This Row],[CÁLCULO]]&gt;0), IF( tabPontoPed[[#This Row],[MENSAL]] - tabPontoPed[[#This Row],[CÁLCULO]] &lt; 0, -1, IF( tabPontoPed[[#This Row],[MENSAL]] - tabPontoPed[[#This Row],[CÁLCULO]] &gt; 0, 1, -8)), -9 )</f>
        <v>-8</v>
      </c>
      <c r="W801" s="35"/>
      <c r="X801" s="49" t="s">
        <v>1564</v>
      </c>
      <c r="Y801" s="51">
        <v>44391.599108796298</v>
      </c>
      <c r="Z801" s="72">
        <f>tabPontoPed[CÁLC_4M] - tabPontoPed[CÁLCULO]</f>
        <v>-1</v>
      </c>
      <c r="AA801" s="79" t="str">
        <f>IF(tabPontoPed[MENSAL]-tabPontoPed[ATA MENSAL] = 0,"sim","")</f>
        <v/>
      </c>
      <c r="AB801" s="79"/>
      <c r="AC801" s="47" t="str">
        <f t="shared" si="12"/>
        <v>*</v>
      </c>
    </row>
    <row r="802" spans="1:29" x14ac:dyDescent="0.25">
      <c r="A802" s="36">
        <v>126059</v>
      </c>
      <c r="B802" s="68" t="s">
        <v>869</v>
      </c>
      <c r="C802" s="33" t="s">
        <v>1317</v>
      </c>
      <c r="D802" s="32">
        <v>67</v>
      </c>
      <c r="E802" s="37">
        <v>18</v>
      </c>
      <c r="F802" s="38" t="str">
        <f>VLOOKUP(tabPontoPed[[#This Row],[GRUPO]],tabGrupos[#Data],2,FALSE)</f>
        <v>PARAFUSOS ELEM. VEDACAO UNIAO CONEX . FIXACAO</v>
      </c>
      <c r="G802" s="32" t="str">
        <f>VLOOKUP(tabPontoPed[[#This Row],[GRUPO]],tabGrupos[#Data],3,FALSE)</f>
        <v>MSE</v>
      </c>
      <c r="H802" s="33" t="s">
        <v>1311</v>
      </c>
      <c r="I802" s="80">
        <v>4</v>
      </c>
      <c r="J802" s="39">
        <v>2</v>
      </c>
      <c r="K802" s="41">
        <f>tabPontoPed[[#This Row],[QTDMÊS]] * tabPontoPed[[#This Row],[MENSAL]]</f>
        <v>8</v>
      </c>
      <c r="L802" s="83"/>
      <c r="M802" s="81"/>
      <c r="N802" s="34" t="s">
        <v>1009</v>
      </c>
      <c r="O802" s="76"/>
      <c r="P802" s="77">
        <v>0</v>
      </c>
      <c r="Q802" s="57">
        <v>2</v>
      </c>
      <c r="R802" s="42">
        <v>2</v>
      </c>
      <c r="S802" s="69" t="str">
        <f>_xlfn.IFNA(IF(VLOOKUP(tabPontoPed[[#This Row],[CÓDIGO]],tabExcluirDoEstoque[#Data],1,FALSE),"sim",""),"")</f>
        <v/>
      </c>
      <c r="T802" s="43">
        <f>IF(AND(tabPontoPed[[#This Row],[MENSAL]]&gt;0,tabPontoPed[[#This Row],[CÁLCULO]]&gt;0), ABS( tabPontoPed[[#This Row],[MENSAL]] - tabPontoPed[[#This Row],[CÁLCULO]] ) / tabPontoPed[[#This Row],[MENSAL]], -1 )</f>
        <v>0</v>
      </c>
      <c r="U802" s="58">
        <v>3</v>
      </c>
      <c r="V802" s="35">
        <f>IF(AND(tabPontoPed[[#This Row],[MENSAL]]&gt;0,tabPontoPed[[#This Row],[CÁLCULO]]&gt;0), IF( tabPontoPed[[#This Row],[MENSAL]] - tabPontoPed[[#This Row],[CÁLCULO]] &lt; 0, -1, IF( tabPontoPed[[#This Row],[MENSAL]] - tabPontoPed[[#This Row],[CÁLCULO]] &gt; 0, 1, -8)), -9 )</f>
        <v>-8</v>
      </c>
      <c r="W802" s="35"/>
      <c r="X802" s="48" t="s">
        <v>1564</v>
      </c>
      <c r="Y802" s="53">
        <v>44391.599108796298</v>
      </c>
      <c r="Z802" s="72">
        <f>tabPontoPed[CÁLC_4M] - tabPontoPed[CÁLCULO]</f>
        <v>0</v>
      </c>
      <c r="AA802" s="79" t="str">
        <f>IF(tabPontoPed[MENSAL]-tabPontoPed[ATA MENSAL] = 0,"sim","")</f>
        <v/>
      </c>
      <c r="AB802" s="79"/>
      <c r="AC802" s="47" t="str">
        <f t="shared" si="12"/>
        <v>*</v>
      </c>
    </row>
    <row r="803" spans="1:29" x14ac:dyDescent="0.25">
      <c r="A803" s="36">
        <v>116754</v>
      </c>
      <c r="B803" s="68" t="s">
        <v>883</v>
      </c>
      <c r="C803" s="33" t="s">
        <v>1317</v>
      </c>
      <c r="D803" s="32">
        <v>69</v>
      </c>
      <c r="E803" s="37">
        <v>2</v>
      </c>
      <c r="F803" s="38" t="str">
        <f>VLOOKUP(tabPontoPed[[#This Row],[GRUPO]],tabGrupos[#Data],2,FALSE)</f>
        <v>METAIS,LAMINAD.,PERFILADOS E ARTEFATOS METALICOS</v>
      </c>
      <c r="G803" s="32" t="str">
        <f>VLOOKUP(tabPontoPed[[#This Row],[GRUPO]],tabGrupos[#Data],3,FALSE)</f>
        <v>MSE</v>
      </c>
      <c r="H803" s="33" t="s">
        <v>1311</v>
      </c>
      <c r="I803" s="80">
        <v>4</v>
      </c>
      <c r="J803" s="39">
        <v>10</v>
      </c>
      <c r="K803" s="41">
        <f>tabPontoPed[[#This Row],[QTDMÊS]] * tabPontoPed[[#This Row],[MENSAL]]</f>
        <v>40</v>
      </c>
      <c r="L803" s="83"/>
      <c r="M803" s="81"/>
      <c r="N803" s="34" t="s">
        <v>1009</v>
      </c>
      <c r="O803" s="76" t="s">
        <v>1694</v>
      </c>
      <c r="P803" s="77">
        <v>0</v>
      </c>
      <c r="Q803" s="57">
        <v>8</v>
      </c>
      <c r="R803" s="42">
        <v>10</v>
      </c>
      <c r="S803" s="69" t="str">
        <f>_xlfn.IFNA(IF(VLOOKUP(tabPontoPed[[#This Row],[CÓDIGO]],tabExcluirDoEstoque[#Data],1,FALSE),"sim",""),"")</f>
        <v/>
      </c>
      <c r="T803" s="43">
        <f>IF(AND(tabPontoPed[[#This Row],[MENSAL]]&gt;0,tabPontoPed[[#This Row],[CÁLCULO]]&gt;0), ABS( tabPontoPed[[#This Row],[MENSAL]] - tabPontoPed[[#This Row],[CÁLCULO]] ) / tabPontoPed[[#This Row],[MENSAL]], -1 )</f>
        <v>0</v>
      </c>
      <c r="U803" s="58">
        <v>47</v>
      </c>
      <c r="V803" s="35">
        <f>IF(AND(tabPontoPed[[#This Row],[MENSAL]]&gt;0,tabPontoPed[[#This Row],[CÁLCULO]]&gt;0), IF( tabPontoPed[[#This Row],[MENSAL]] - tabPontoPed[[#This Row],[CÁLCULO]] &lt; 0, -1, IF( tabPontoPed[[#This Row],[MENSAL]] - tabPontoPed[[#This Row],[CÁLCULO]] &gt; 0, 1, -8)), -9 )</f>
        <v>-8</v>
      </c>
      <c r="W803" s="35"/>
      <c r="X803" s="49" t="s">
        <v>1564</v>
      </c>
      <c r="Y803" s="51">
        <v>44391.599108796298</v>
      </c>
      <c r="Z803" s="72">
        <f>tabPontoPed[CÁLC_4M] - tabPontoPed[CÁLCULO]</f>
        <v>-2</v>
      </c>
      <c r="AA803" s="79" t="str">
        <f>IF(tabPontoPed[MENSAL]-tabPontoPed[ATA MENSAL] = 0,"sim","")</f>
        <v/>
      </c>
      <c r="AB803" s="79"/>
      <c r="AC803" s="47" t="str">
        <f t="shared" si="12"/>
        <v>*</v>
      </c>
    </row>
    <row r="804" spans="1:29" x14ac:dyDescent="0.25">
      <c r="A804" s="36">
        <v>64609</v>
      </c>
      <c r="B804" s="68" t="s">
        <v>259</v>
      </c>
      <c r="C804" s="33" t="s">
        <v>1317</v>
      </c>
      <c r="D804" s="32">
        <v>69</v>
      </c>
      <c r="E804" s="37">
        <v>3</v>
      </c>
      <c r="F804" s="38" t="str">
        <f>VLOOKUP(tabPontoPed[[#This Row],[GRUPO]],tabGrupos[#Data],2,FALSE)</f>
        <v>METAIS,LAMINAD.,PERFILADOS E ARTEFATOS METALICOS</v>
      </c>
      <c r="G804" s="32" t="str">
        <f>VLOOKUP(tabPontoPed[[#This Row],[GRUPO]],tabGrupos[#Data],3,FALSE)</f>
        <v>MSE</v>
      </c>
      <c r="H804" s="33" t="s">
        <v>1311</v>
      </c>
      <c r="I804" s="80">
        <v>4</v>
      </c>
      <c r="J804" s="39">
        <v>28</v>
      </c>
      <c r="K804" s="41">
        <f>tabPontoPed[[#This Row],[QTDMÊS]] * tabPontoPed[[#This Row],[MENSAL]]</f>
        <v>112</v>
      </c>
      <c r="L804" s="83"/>
      <c r="M804" s="81"/>
      <c r="N804" s="34" t="s">
        <v>1009</v>
      </c>
      <c r="O804" s="76" t="s">
        <v>1673</v>
      </c>
      <c r="P804" s="77">
        <v>0</v>
      </c>
      <c r="Q804" s="57">
        <v>37</v>
      </c>
      <c r="R804" s="42">
        <v>28</v>
      </c>
      <c r="S804" s="69" t="str">
        <f>_xlfn.IFNA(IF(VLOOKUP(tabPontoPed[[#This Row],[CÓDIGO]],tabExcluirDoEstoque[#Data],1,FALSE),"sim",""),"")</f>
        <v/>
      </c>
      <c r="T804" s="43">
        <f>IF(AND(tabPontoPed[[#This Row],[MENSAL]]&gt;0,tabPontoPed[[#This Row],[CÁLCULO]]&gt;0), ABS( tabPontoPed[[#This Row],[MENSAL]] - tabPontoPed[[#This Row],[CÁLCULO]] ) / tabPontoPed[[#This Row],[MENSAL]], -1 )</f>
        <v>0</v>
      </c>
      <c r="U804" s="58">
        <v>80</v>
      </c>
      <c r="V804" s="35">
        <f>IF(AND(tabPontoPed[[#This Row],[MENSAL]]&gt;0,tabPontoPed[[#This Row],[CÁLCULO]]&gt;0), IF( tabPontoPed[[#This Row],[MENSAL]] - tabPontoPed[[#This Row],[CÁLCULO]] &lt; 0, -1, IF( tabPontoPed[[#This Row],[MENSAL]] - tabPontoPed[[#This Row],[CÁLCULO]] &gt; 0, 1, -8)), -9 )</f>
        <v>-8</v>
      </c>
      <c r="W804" s="35"/>
      <c r="X804" s="48" t="s">
        <v>1564</v>
      </c>
      <c r="Y804" s="53">
        <v>44391.599108796298</v>
      </c>
      <c r="Z804" s="72">
        <f>tabPontoPed[CÁLC_4M] - tabPontoPed[CÁLCULO]</f>
        <v>9</v>
      </c>
      <c r="AA804" s="79" t="str">
        <f>IF(tabPontoPed[MENSAL]-tabPontoPed[ATA MENSAL] = 0,"sim","")</f>
        <v/>
      </c>
      <c r="AB804" s="79"/>
      <c r="AC804" s="47" t="str">
        <f t="shared" si="12"/>
        <v>*</v>
      </c>
    </row>
    <row r="805" spans="1:29" x14ac:dyDescent="0.25">
      <c r="A805" s="36">
        <v>136674</v>
      </c>
      <c r="B805" s="68" t="s">
        <v>1418</v>
      </c>
      <c r="C805" s="33"/>
      <c r="D805" s="32">
        <v>62</v>
      </c>
      <c r="E805" s="37">
        <v>1</v>
      </c>
      <c r="F805" s="38" t="str">
        <f>VLOOKUP(tabPontoPed[[#This Row],[GRUPO]],tabGrupos[#Data],2,FALSE)</f>
        <v>VEST., ART.P/ TOUC.E HIG. PES. MAQ., EQUIP., MAT.E ACES.</v>
      </c>
      <c r="G805" s="32" t="str">
        <f>VLOOKUP(tabPontoPed[[#This Row],[GRUPO]],tabGrupos[#Data],3,FALSE)</f>
        <v>ADM</v>
      </c>
      <c r="H805" s="33" t="s">
        <v>1311</v>
      </c>
      <c r="I805" s="80">
        <v>4</v>
      </c>
      <c r="J805" s="39">
        <v>0</v>
      </c>
      <c r="K805" s="41">
        <f>tabPontoPed[[#This Row],[QTDMÊS]] * tabPontoPed[[#This Row],[MENSAL]]</f>
        <v>0</v>
      </c>
      <c r="L805" s="83"/>
      <c r="M805" s="81"/>
      <c r="N805" s="34" t="s">
        <v>1009</v>
      </c>
      <c r="O805" s="76"/>
      <c r="P805" s="77">
        <v>0</v>
      </c>
      <c r="Q805" s="57">
        <v>2</v>
      </c>
      <c r="R805" s="42">
        <v>1</v>
      </c>
      <c r="S805" s="69" t="str">
        <f>_xlfn.IFNA(IF(VLOOKUP(tabPontoPed[[#This Row],[CÓDIGO]],tabExcluirDoEstoque[#Data],1,FALSE),"sim",""),"")</f>
        <v/>
      </c>
      <c r="T805" s="43">
        <f>IF(AND(tabPontoPed[[#This Row],[MENSAL]]&gt;0,tabPontoPed[[#This Row],[CÁLCULO]]&gt;0), ABS( tabPontoPed[[#This Row],[MENSAL]] - tabPontoPed[[#This Row],[CÁLCULO]] ) / tabPontoPed[[#This Row],[MENSAL]], -1 )</f>
        <v>-1</v>
      </c>
      <c r="U805" s="58">
        <v>8</v>
      </c>
      <c r="V805" s="35">
        <f>IF(AND(tabPontoPed[[#This Row],[MENSAL]]&gt;0,tabPontoPed[[#This Row],[CÁLCULO]]&gt;0), IF( tabPontoPed[[#This Row],[MENSAL]] - tabPontoPed[[#This Row],[CÁLCULO]] &lt; 0, -1, IF( tabPontoPed[[#This Row],[MENSAL]] - tabPontoPed[[#This Row],[CÁLCULO]] &gt; 0, 1, -8)), -9 )</f>
        <v>-9</v>
      </c>
      <c r="W805" s="35"/>
      <c r="X805" s="49" t="s">
        <v>1564</v>
      </c>
      <c r="Y805" s="51">
        <v>44391.599108796298</v>
      </c>
      <c r="Z805" s="72">
        <f>tabPontoPed[CÁLC_4M] - tabPontoPed[CÁLCULO]</f>
        <v>1</v>
      </c>
      <c r="AA805" s="79" t="str">
        <f>IF(tabPontoPed[MENSAL]-tabPontoPed[ATA MENSAL] = 0,"sim","")</f>
        <v>sim</v>
      </c>
      <c r="AB805" s="79" t="s">
        <v>1614</v>
      </c>
      <c r="AC805" s="47" t="str">
        <f t="shared" si="12"/>
        <v>*</v>
      </c>
    </row>
    <row r="806" spans="1:29" x14ac:dyDescent="0.25">
      <c r="A806" s="36">
        <v>136675</v>
      </c>
      <c r="B806" s="68" t="s">
        <v>1419</v>
      </c>
      <c r="C806" s="33"/>
      <c r="D806" s="32">
        <v>62</v>
      </c>
      <c r="E806" s="37">
        <v>1</v>
      </c>
      <c r="F806" s="38" t="str">
        <f>VLOOKUP(tabPontoPed[[#This Row],[GRUPO]],tabGrupos[#Data],2,FALSE)</f>
        <v>VEST., ART.P/ TOUC.E HIG. PES. MAQ., EQUIP., MAT.E ACES.</v>
      </c>
      <c r="G806" s="32" t="str">
        <f>VLOOKUP(tabPontoPed[[#This Row],[GRUPO]],tabGrupos[#Data],3,FALSE)</f>
        <v>ADM</v>
      </c>
      <c r="H806" s="33" t="s">
        <v>1311</v>
      </c>
      <c r="I806" s="80">
        <v>4</v>
      </c>
      <c r="J806" s="39">
        <v>0</v>
      </c>
      <c r="K806" s="41">
        <f>tabPontoPed[[#This Row],[QTDMÊS]] * tabPontoPed[[#This Row],[MENSAL]]</f>
        <v>0</v>
      </c>
      <c r="L806" s="83"/>
      <c r="M806" s="81"/>
      <c r="N806" s="34" t="s">
        <v>1009</v>
      </c>
      <c r="O806" s="76"/>
      <c r="P806" s="77">
        <v>0</v>
      </c>
      <c r="Q806" s="57">
        <v>3</v>
      </c>
      <c r="R806" s="42">
        <v>1</v>
      </c>
      <c r="S806" s="69" t="str">
        <f>_xlfn.IFNA(IF(VLOOKUP(tabPontoPed[[#This Row],[CÓDIGO]],tabExcluirDoEstoque[#Data],1,FALSE),"sim",""),"")</f>
        <v/>
      </c>
      <c r="T806" s="43">
        <f>IF(AND(tabPontoPed[[#This Row],[MENSAL]]&gt;0,tabPontoPed[[#This Row],[CÁLCULO]]&gt;0), ABS( tabPontoPed[[#This Row],[MENSAL]] - tabPontoPed[[#This Row],[CÁLCULO]] ) / tabPontoPed[[#This Row],[MENSAL]], -1 )</f>
        <v>-1</v>
      </c>
      <c r="U806" s="58">
        <v>8</v>
      </c>
      <c r="V806" s="35">
        <f>IF(AND(tabPontoPed[[#This Row],[MENSAL]]&gt;0,tabPontoPed[[#This Row],[CÁLCULO]]&gt;0), IF( tabPontoPed[[#This Row],[MENSAL]] - tabPontoPed[[#This Row],[CÁLCULO]] &lt; 0, -1, IF( tabPontoPed[[#This Row],[MENSAL]] - tabPontoPed[[#This Row],[CÁLCULO]] &gt; 0, 1, -8)), -9 )</f>
        <v>-9</v>
      </c>
      <c r="W806" s="35"/>
      <c r="X806" s="49" t="s">
        <v>1564</v>
      </c>
      <c r="Y806" s="51">
        <v>44391.599108796298</v>
      </c>
      <c r="Z806" s="72">
        <f>tabPontoPed[CÁLC_4M] - tabPontoPed[CÁLCULO]</f>
        <v>2</v>
      </c>
      <c r="AA806" s="79" t="str">
        <f>IF(tabPontoPed[MENSAL]-tabPontoPed[ATA MENSAL] = 0,"sim","")</f>
        <v>sim</v>
      </c>
      <c r="AB806" s="79" t="s">
        <v>1614</v>
      </c>
      <c r="AC806" s="47" t="str">
        <f t="shared" si="12"/>
        <v>*</v>
      </c>
    </row>
    <row r="807" spans="1:29" x14ac:dyDescent="0.25">
      <c r="A807" s="36">
        <v>105114</v>
      </c>
      <c r="B807" s="68" t="s">
        <v>797</v>
      </c>
      <c r="C807" s="33" t="s">
        <v>1317</v>
      </c>
      <c r="D807" s="32">
        <v>62</v>
      </c>
      <c r="E807" s="37">
        <v>1</v>
      </c>
      <c r="F807" s="38" t="str">
        <f>VLOOKUP(tabPontoPed[[#This Row],[GRUPO]],tabGrupos[#Data],2,FALSE)</f>
        <v>VEST., ART.P/ TOUC.E HIG. PES. MAQ., EQUIP., MAT.E ACES.</v>
      </c>
      <c r="G807" s="32" t="str">
        <f>VLOOKUP(tabPontoPed[[#This Row],[GRUPO]],tabGrupos[#Data],3,FALSE)</f>
        <v>ADM</v>
      </c>
      <c r="H807" s="33" t="s">
        <v>1311</v>
      </c>
      <c r="I807" s="80">
        <v>4</v>
      </c>
      <c r="J807" s="39">
        <v>0</v>
      </c>
      <c r="K807" s="41">
        <f>tabPontoPed[[#This Row],[QTDMÊS]] * tabPontoPed[[#This Row],[MENSAL]]</f>
        <v>0</v>
      </c>
      <c r="L807" s="83"/>
      <c r="M807" s="81"/>
      <c r="N807" s="34" t="s">
        <v>1009</v>
      </c>
      <c r="O807" s="76" t="s">
        <v>1748</v>
      </c>
      <c r="P807" s="77">
        <v>0</v>
      </c>
      <c r="Q807" s="57">
        <v>0</v>
      </c>
      <c r="R807" s="42">
        <v>1</v>
      </c>
      <c r="S807" s="69" t="str">
        <f>_xlfn.IFNA(IF(VLOOKUP(tabPontoPed[[#This Row],[CÓDIGO]],tabExcluirDoEstoque[#Data],1,FALSE),"sim",""),"")</f>
        <v/>
      </c>
      <c r="T807" s="43">
        <f>IF(AND(tabPontoPed[[#This Row],[MENSAL]]&gt;0,tabPontoPed[[#This Row],[CÁLCULO]]&gt;0), ABS( tabPontoPed[[#This Row],[MENSAL]] - tabPontoPed[[#This Row],[CÁLCULO]] ) / tabPontoPed[[#This Row],[MENSAL]], -1 )</f>
        <v>-1</v>
      </c>
      <c r="U807" s="58">
        <v>2</v>
      </c>
      <c r="V807" s="35">
        <f>IF(AND(tabPontoPed[[#This Row],[MENSAL]]&gt;0,tabPontoPed[[#This Row],[CÁLCULO]]&gt;0), IF( tabPontoPed[[#This Row],[MENSAL]] - tabPontoPed[[#This Row],[CÁLCULO]] &lt; 0, -1, IF( tabPontoPed[[#This Row],[MENSAL]] - tabPontoPed[[#This Row],[CÁLCULO]] &gt; 0, 1, -8)), -9 )</f>
        <v>-9</v>
      </c>
      <c r="W807" s="35"/>
      <c r="X807" s="49" t="s">
        <v>1564</v>
      </c>
      <c r="Y807" s="51">
        <v>44391.599108796298</v>
      </c>
      <c r="Z807" s="72">
        <f>tabPontoPed[CÁLC_4M] - tabPontoPed[CÁLCULO]</f>
        <v>-1</v>
      </c>
      <c r="AA807" s="79" t="str">
        <f>IF(tabPontoPed[MENSAL]-tabPontoPed[ATA MENSAL] = 0,"sim","")</f>
        <v>sim</v>
      </c>
      <c r="AB807" s="79" t="s">
        <v>1614</v>
      </c>
      <c r="AC807" s="47" t="str">
        <f t="shared" si="12"/>
        <v>*</v>
      </c>
    </row>
    <row r="808" spans="1:29" x14ac:dyDescent="0.25">
      <c r="A808" s="36">
        <v>105118</v>
      </c>
      <c r="B808" s="68" t="s">
        <v>801</v>
      </c>
      <c r="C808" s="33" t="s">
        <v>1317</v>
      </c>
      <c r="D808" s="32">
        <v>62</v>
      </c>
      <c r="E808" s="37">
        <v>1</v>
      </c>
      <c r="F808" s="38" t="str">
        <f>VLOOKUP(tabPontoPed[[#This Row],[GRUPO]],tabGrupos[#Data],2,FALSE)</f>
        <v>VEST., ART.P/ TOUC.E HIG. PES. MAQ., EQUIP., MAT.E ACES.</v>
      </c>
      <c r="G808" s="32" t="str">
        <f>VLOOKUP(tabPontoPed[[#This Row],[GRUPO]],tabGrupos[#Data],3,FALSE)</f>
        <v>ADM</v>
      </c>
      <c r="H808" s="33" t="s">
        <v>1311</v>
      </c>
      <c r="I808" s="80">
        <v>4</v>
      </c>
      <c r="J808" s="39">
        <v>0</v>
      </c>
      <c r="K808" s="41">
        <f>tabPontoPed[[#This Row],[QTDMÊS]] * tabPontoPed[[#This Row],[MENSAL]]</f>
        <v>0</v>
      </c>
      <c r="L808" s="83"/>
      <c r="M808" s="81"/>
      <c r="N808" s="34" t="s">
        <v>1009</v>
      </c>
      <c r="O808" s="76" t="s">
        <v>1748</v>
      </c>
      <c r="P808" s="77">
        <v>0</v>
      </c>
      <c r="Q808" s="57">
        <v>1</v>
      </c>
      <c r="R808" s="42">
        <v>1</v>
      </c>
      <c r="S808" s="69" t="str">
        <f>_xlfn.IFNA(IF(VLOOKUP(tabPontoPed[[#This Row],[CÓDIGO]],tabExcluirDoEstoque[#Data],1,FALSE),"sim",""),"")</f>
        <v/>
      </c>
      <c r="T808" s="43">
        <f>IF(AND(tabPontoPed[[#This Row],[MENSAL]]&gt;0,tabPontoPed[[#This Row],[CÁLCULO]]&gt;0), ABS( tabPontoPed[[#This Row],[MENSAL]] - tabPontoPed[[#This Row],[CÁLCULO]] ) / tabPontoPed[[#This Row],[MENSAL]], -1 )</f>
        <v>-1</v>
      </c>
      <c r="U808" s="58">
        <v>4</v>
      </c>
      <c r="V808" s="35">
        <f>IF(AND(tabPontoPed[[#This Row],[MENSAL]]&gt;0,tabPontoPed[[#This Row],[CÁLCULO]]&gt;0), IF( tabPontoPed[[#This Row],[MENSAL]] - tabPontoPed[[#This Row],[CÁLCULO]] &lt; 0, -1, IF( tabPontoPed[[#This Row],[MENSAL]] - tabPontoPed[[#This Row],[CÁLCULO]] &gt; 0, 1, -8)), -9 )</f>
        <v>-9</v>
      </c>
      <c r="W808" s="35"/>
      <c r="X808" s="49" t="s">
        <v>1564</v>
      </c>
      <c r="Y808" s="51">
        <v>44391.599108796298</v>
      </c>
      <c r="Z808" s="72">
        <f>tabPontoPed[CÁLC_4M] - tabPontoPed[CÁLCULO]</f>
        <v>0</v>
      </c>
      <c r="AA808" s="79" t="str">
        <f>IF(tabPontoPed[MENSAL]-tabPontoPed[ATA MENSAL] = 0,"sim","")</f>
        <v>sim</v>
      </c>
      <c r="AB808" s="79" t="s">
        <v>1614</v>
      </c>
      <c r="AC808" s="47" t="str">
        <f t="shared" si="12"/>
        <v>*</v>
      </c>
    </row>
    <row r="809" spans="1:29" x14ac:dyDescent="0.25">
      <c r="A809" s="36">
        <v>127106</v>
      </c>
      <c r="B809" s="68" t="s">
        <v>812</v>
      </c>
      <c r="C809" s="33" t="s">
        <v>1317</v>
      </c>
      <c r="D809" s="32">
        <v>62</v>
      </c>
      <c r="E809" s="37">
        <v>4</v>
      </c>
      <c r="F809" s="38" t="str">
        <f>VLOOKUP(tabPontoPed[[#This Row],[GRUPO]],tabGrupos[#Data],2,FALSE)</f>
        <v>VEST., ART.P/ TOUC.E HIG. PES. MAQ., EQUIP., MAT.E ACES.</v>
      </c>
      <c r="G809" s="32" t="str">
        <f>VLOOKUP(tabPontoPed[[#This Row],[GRUPO]],tabGrupos[#Data],3,FALSE)</f>
        <v>ADM</v>
      </c>
      <c r="H809" s="33" t="s">
        <v>1311</v>
      </c>
      <c r="I809" s="80">
        <v>4</v>
      </c>
      <c r="J809" s="39">
        <v>0</v>
      </c>
      <c r="K809" s="41">
        <f>tabPontoPed[[#This Row],[QTDMÊS]] * tabPontoPed[[#This Row],[MENSAL]]</f>
        <v>0</v>
      </c>
      <c r="L809" s="83"/>
      <c r="M809" s="81"/>
      <c r="N809" s="34" t="s">
        <v>1009</v>
      </c>
      <c r="O809" s="76"/>
      <c r="P809" s="77">
        <v>0</v>
      </c>
      <c r="Q809" s="57">
        <v>0</v>
      </c>
      <c r="R809" s="42">
        <v>1</v>
      </c>
      <c r="S809" s="69" t="str">
        <f>_xlfn.IFNA(IF(VLOOKUP(tabPontoPed[[#This Row],[CÓDIGO]],tabExcluirDoEstoque[#Data],1,FALSE),"sim",""),"")</f>
        <v/>
      </c>
      <c r="T809" s="43">
        <f>IF(AND(tabPontoPed[[#This Row],[MENSAL]]&gt;0,tabPontoPed[[#This Row],[CÁLCULO]]&gt;0), ABS( tabPontoPed[[#This Row],[MENSAL]] - tabPontoPed[[#This Row],[CÁLCULO]] ) / tabPontoPed[[#This Row],[MENSAL]], -1 )</f>
        <v>-1</v>
      </c>
      <c r="U809" s="58">
        <v>2</v>
      </c>
      <c r="V809" s="35">
        <f>IF(AND(tabPontoPed[[#This Row],[MENSAL]]&gt;0,tabPontoPed[[#This Row],[CÁLCULO]]&gt;0), IF( tabPontoPed[[#This Row],[MENSAL]] - tabPontoPed[[#This Row],[CÁLCULO]] &lt; 0, -1, IF( tabPontoPed[[#This Row],[MENSAL]] - tabPontoPed[[#This Row],[CÁLCULO]] &gt; 0, 1, -8)), -9 )</f>
        <v>-9</v>
      </c>
      <c r="W809" s="35"/>
      <c r="X809" s="49" t="s">
        <v>1564</v>
      </c>
      <c r="Y809" s="51">
        <v>44391.599108796298</v>
      </c>
      <c r="Z809" s="72">
        <f>tabPontoPed[CÁLC_4M] - tabPontoPed[CÁLCULO]</f>
        <v>-1</v>
      </c>
      <c r="AA809" s="79" t="str">
        <f>IF(tabPontoPed[MENSAL]-tabPontoPed[ATA MENSAL] = 0,"sim","")</f>
        <v>sim</v>
      </c>
      <c r="AB809" s="79" t="s">
        <v>1614</v>
      </c>
      <c r="AC809" s="47" t="str">
        <f t="shared" si="12"/>
        <v>*</v>
      </c>
    </row>
    <row r="810" spans="1:29" x14ac:dyDescent="0.25">
      <c r="A810" s="36">
        <v>127105</v>
      </c>
      <c r="B810" s="68" t="s">
        <v>1809</v>
      </c>
      <c r="C810" s="33">
        <v>1</v>
      </c>
      <c r="D810" s="32">
        <v>62</v>
      </c>
      <c r="E810" s="37">
        <v>4</v>
      </c>
      <c r="F810" s="38" t="str">
        <f>VLOOKUP(tabPontoPed[[#This Row],[GRUPO]],tabGrupos[#Data],2,FALSE)</f>
        <v>VEST., ART.P/ TOUC.E HIG. PES. MAQ., EQUIP., MAT.E ACES.</v>
      </c>
      <c r="G810" s="32" t="str">
        <f>VLOOKUP(tabPontoPed[[#This Row],[GRUPO]],tabGrupos[#Data],3,FALSE)</f>
        <v>ADM</v>
      </c>
      <c r="H810" s="33" t="s">
        <v>1311</v>
      </c>
      <c r="I810" s="80">
        <v>4</v>
      </c>
      <c r="J810" s="39">
        <v>0</v>
      </c>
      <c r="K810" s="41">
        <f>tabPontoPed[[#This Row],[QTDMÊS]] * tabPontoPed[[#This Row],[MENSAL]]</f>
        <v>0</v>
      </c>
      <c r="L810" s="83"/>
      <c r="M810" s="81"/>
      <c r="N810" s="34" t="s">
        <v>1009</v>
      </c>
      <c r="O810" s="76" t="s">
        <v>1749</v>
      </c>
      <c r="P810" s="77">
        <v>0</v>
      </c>
      <c r="Q810" s="57">
        <v>0</v>
      </c>
      <c r="R810" s="42">
        <v>0</v>
      </c>
      <c r="S810" s="69" t="str">
        <f>_xlfn.IFNA(IF(VLOOKUP(tabPontoPed[[#This Row],[CÓDIGO]],tabExcluirDoEstoque[#Data],1,FALSE),"sim",""),"")</f>
        <v/>
      </c>
      <c r="T810" s="43">
        <f>IF(AND(tabPontoPed[[#This Row],[MENSAL]]&gt;0,tabPontoPed[[#This Row],[CÁLCULO]]&gt;0), ABS( tabPontoPed[[#This Row],[MENSAL]] - tabPontoPed[[#This Row],[CÁLCULO]] ) / tabPontoPed[[#This Row],[MENSAL]], -1 )</f>
        <v>-1</v>
      </c>
      <c r="U810" s="58">
        <v>0</v>
      </c>
      <c r="V810" s="35">
        <f>IF(AND(tabPontoPed[[#This Row],[MENSAL]]&gt;0,tabPontoPed[[#This Row],[CÁLCULO]]&gt;0), IF( tabPontoPed[[#This Row],[MENSAL]] - tabPontoPed[[#This Row],[CÁLCULO]] &lt; 0, -1, IF( tabPontoPed[[#This Row],[MENSAL]] - tabPontoPed[[#This Row],[CÁLCULO]] &gt; 0, 1, -8)), -9 )</f>
        <v>-9</v>
      </c>
      <c r="W810" s="35"/>
      <c r="X810" s="48" t="s">
        <v>1564</v>
      </c>
      <c r="Y810" s="53">
        <v>44391.647175925929</v>
      </c>
      <c r="Z810" s="72">
        <f>tabPontoPed[CÁLC_4M] - tabPontoPed[CÁLCULO]</f>
        <v>0</v>
      </c>
      <c r="AA810" s="79" t="str">
        <f>IF(tabPontoPed[MENSAL]-tabPontoPed[ATA MENSAL] = 0,"sim","")</f>
        <v>sim</v>
      </c>
      <c r="AB810" s="79" t="s">
        <v>1614</v>
      </c>
      <c r="AC810" s="47" t="str">
        <f t="shared" si="12"/>
        <v>*</v>
      </c>
    </row>
    <row r="811" spans="1:29" x14ac:dyDescent="0.25">
      <c r="A811" s="36">
        <v>105108</v>
      </c>
      <c r="B811" s="68" t="s">
        <v>808</v>
      </c>
      <c r="C811" s="33" t="s">
        <v>1317</v>
      </c>
      <c r="D811" s="32">
        <v>62</v>
      </c>
      <c r="E811" s="37">
        <v>4</v>
      </c>
      <c r="F811" s="38" t="str">
        <f>VLOOKUP(tabPontoPed[[#This Row],[GRUPO]],tabGrupos[#Data],2,FALSE)</f>
        <v>VEST., ART.P/ TOUC.E HIG. PES. MAQ., EQUIP., MAT.E ACES.</v>
      </c>
      <c r="G811" s="32" t="str">
        <f>VLOOKUP(tabPontoPed[[#This Row],[GRUPO]],tabGrupos[#Data],3,FALSE)</f>
        <v>ADM</v>
      </c>
      <c r="H811" s="33" t="s">
        <v>1311</v>
      </c>
      <c r="I811" s="80">
        <v>4</v>
      </c>
      <c r="J811" s="39">
        <v>0</v>
      </c>
      <c r="K811" s="41">
        <f>tabPontoPed[[#This Row],[QTDMÊS]] * tabPontoPed[[#This Row],[MENSAL]]</f>
        <v>0</v>
      </c>
      <c r="L811" s="83"/>
      <c r="M811" s="81"/>
      <c r="N811" s="34" t="s">
        <v>1009</v>
      </c>
      <c r="O811" s="76" t="s">
        <v>1749</v>
      </c>
      <c r="P811" s="77">
        <v>0</v>
      </c>
      <c r="Q811" s="57">
        <v>2</v>
      </c>
      <c r="R811" s="42">
        <v>2</v>
      </c>
      <c r="S811" s="69" t="str">
        <f>_xlfn.IFNA(IF(VLOOKUP(tabPontoPed[[#This Row],[CÓDIGO]],tabExcluirDoEstoque[#Data],1,FALSE),"sim",""),"")</f>
        <v/>
      </c>
      <c r="T811" s="43">
        <f>IF(AND(tabPontoPed[[#This Row],[MENSAL]]&gt;0,tabPontoPed[[#This Row],[CÁLCULO]]&gt;0), ABS( tabPontoPed[[#This Row],[MENSAL]] - tabPontoPed[[#This Row],[CÁLCULO]] ) / tabPontoPed[[#This Row],[MENSAL]], -1 )</f>
        <v>-1</v>
      </c>
      <c r="U811" s="58">
        <v>6</v>
      </c>
      <c r="V811" s="35">
        <f>IF(AND(tabPontoPed[[#This Row],[MENSAL]]&gt;0,tabPontoPed[[#This Row],[CÁLCULO]]&gt;0), IF( tabPontoPed[[#This Row],[MENSAL]] - tabPontoPed[[#This Row],[CÁLCULO]] &lt; 0, -1, IF( tabPontoPed[[#This Row],[MENSAL]] - tabPontoPed[[#This Row],[CÁLCULO]] &gt; 0, 1, -8)), -9 )</f>
        <v>-9</v>
      </c>
      <c r="W811" s="35"/>
      <c r="X811" s="49" t="s">
        <v>1564</v>
      </c>
      <c r="Y811" s="51">
        <v>44391.599108796298</v>
      </c>
      <c r="Z811" s="72">
        <f>tabPontoPed[CÁLC_4M] - tabPontoPed[CÁLCULO]</f>
        <v>0</v>
      </c>
      <c r="AA811" s="79" t="str">
        <f>IF(tabPontoPed[MENSAL]-tabPontoPed[ATA MENSAL] = 0,"sim","")</f>
        <v>sim</v>
      </c>
      <c r="AB811" s="79" t="s">
        <v>1614</v>
      </c>
      <c r="AC811" s="47" t="str">
        <f t="shared" si="12"/>
        <v>*</v>
      </c>
    </row>
    <row r="812" spans="1:29" x14ac:dyDescent="0.25">
      <c r="A812" s="36">
        <v>105110</v>
      </c>
      <c r="B812" s="68" t="s">
        <v>809</v>
      </c>
      <c r="C812" s="33" t="s">
        <v>1317</v>
      </c>
      <c r="D812" s="32">
        <v>62</v>
      </c>
      <c r="E812" s="37">
        <v>4</v>
      </c>
      <c r="F812" s="38" t="str">
        <f>VLOOKUP(tabPontoPed[[#This Row],[GRUPO]],tabGrupos[#Data],2,FALSE)</f>
        <v>VEST., ART.P/ TOUC.E HIG. PES. MAQ., EQUIP., MAT.E ACES.</v>
      </c>
      <c r="G812" s="32" t="str">
        <f>VLOOKUP(tabPontoPed[[#This Row],[GRUPO]],tabGrupos[#Data],3,FALSE)</f>
        <v>ADM</v>
      </c>
      <c r="H812" s="33" t="s">
        <v>1311</v>
      </c>
      <c r="I812" s="80">
        <v>4</v>
      </c>
      <c r="J812" s="39">
        <v>0</v>
      </c>
      <c r="K812" s="41">
        <f>tabPontoPed[[#This Row],[QTDMÊS]] * tabPontoPed[[#This Row],[MENSAL]]</f>
        <v>0</v>
      </c>
      <c r="L812" s="83"/>
      <c r="M812" s="81"/>
      <c r="N812" s="34" t="s">
        <v>1009</v>
      </c>
      <c r="O812" s="76" t="s">
        <v>1749</v>
      </c>
      <c r="P812" s="77">
        <v>0</v>
      </c>
      <c r="Q812" s="57">
        <v>2</v>
      </c>
      <c r="R812" s="42">
        <v>1</v>
      </c>
      <c r="S812" s="69" t="str">
        <f>_xlfn.IFNA(IF(VLOOKUP(tabPontoPed[[#This Row],[CÓDIGO]],tabExcluirDoEstoque[#Data],1,FALSE),"sim",""),"")</f>
        <v/>
      </c>
      <c r="T812" s="43">
        <f>IF(AND(tabPontoPed[[#This Row],[MENSAL]]&gt;0,tabPontoPed[[#This Row],[CÁLCULO]]&gt;0), ABS( tabPontoPed[[#This Row],[MENSAL]] - tabPontoPed[[#This Row],[CÁLCULO]] ) / tabPontoPed[[#This Row],[MENSAL]], -1 )</f>
        <v>-1</v>
      </c>
      <c r="U812" s="58">
        <v>6</v>
      </c>
      <c r="V812" s="35">
        <f>IF(AND(tabPontoPed[[#This Row],[MENSAL]]&gt;0,tabPontoPed[[#This Row],[CÁLCULO]]&gt;0), IF( tabPontoPed[[#This Row],[MENSAL]] - tabPontoPed[[#This Row],[CÁLCULO]] &lt; 0, -1, IF( tabPontoPed[[#This Row],[MENSAL]] - tabPontoPed[[#This Row],[CÁLCULO]] &gt; 0, 1, -8)), -9 )</f>
        <v>-9</v>
      </c>
      <c r="W812" s="35"/>
      <c r="X812" s="49" t="s">
        <v>1564</v>
      </c>
      <c r="Y812" s="51">
        <v>44391.599108796298</v>
      </c>
      <c r="Z812" s="72">
        <f>tabPontoPed[CÁLC_4M] - tabPontoPed[CÁLCULO]</f>
        <v>1</v>
      </c>
      <c r="AA812" s="79" t="str">
        <f>IF(tabPontoPed[MENSAL]-tabPontoPed[ATA MENSAL] = 0,"sim","")</f>
        <v>sim</v>
      </c>
      <c r="AB812" s="79" t="s">
        <v>1614</v>
      </c>
      <c r="AC812" s="47" t="str">
        <f t="shared" si="12"/>
        <v>*</v>
      </c>
    </row>
    <row r="813" spans="1:29" x14ac:dyDescent="0.25">
      <c r="A813" s="36">
        <v>127107</v>
      </c>
      <c r="B813" s="68" t="s">
        <v>813</v>
      </c>
      <c r="C813" s="33" t="s">
        <v>1317</v>
      </c>
      <c r="D813" s="32">
        <v>62</v>
      </c>
      <c r="E813" s="37">
        <v>4</v>
      </c>
      <c r="F813" s="38" t="str">
        <f>VLOOKUP(tabPontoPed[[#This Row],[GRUPO]],tabGrupos[#Data],2,FALSE)</f>
        <v>VEST., ART.P/ TOUC.E HIG. PES. MAQ., EQUIP., MAT.E ACES.</v>
      </c>
      <c r="G813" s="32" t="str">
        <f>VLOOKUP(tabPontoPed[[#This Row],[GRUPO]],tabGrupos[#Data],3,FALSE)</f>
        <v>ADM</v>
      </c>
      <c r="H813" s="33" t="s">
        <v>1311</v>
      </c>
      <c r="I813" s="80">
        <v>4</v>
      </c>
      <c r="J813" s="39">
        <v>0</v>
      </c>
      <c r="K813" s="41">
        <f>tabPontoPed[[#This Row],[QTDMÊS]] * tabPontoPed[[#This Row],[MENSAL]]</f>
        <v>0</v>
      </c>
      <c r="L813" s="83"/>
      <c r="M813" s="81"/>
      <c r="N813" s="34" t="s">
        <v>1009</v>
      </c>
      <c r="O813" s="76"/>
      <c r="P813" s="77">
        <v>0</v>
      </c>
      <c r="Q813" s="57">
        <v>3</v>
      </c>
      <c r="R813" s="42">
        <v>2</v>
      </c>
      <c r="S813" s="69" t="str">
        <f>_xlfn.IFNA(IF(VLOOKUP(tabPontoPed[[#This Row],[CÓDIGO]],tabExcluirDoEstoque[#Data],1,FALSE),"sim",""),"")</f>
        <v/>
      </c>
      <c r="T813" s="43">
        <f>IF(AND(tabPontoPed[[#This Row],[MENSAL]]&gt;0,tabPontoPed[[#This Row],[CÁLCULO]]&gt;0), ABS( tabPontoPed[[#This Row],[MENSAL]] - tabPontoPed[[#This Row],[CÁLCULO]] ) / tabPontoPed[[#This Row],[MENSAL]], -1 )</f>
        <v>-1</v>
      </c>
      <c r="U813" s="58">
        <v>6</v>
      </c>
      <c r="V813" s="35">
        <f>IF(AND(tabPontoPed[[#This Row],[MENSAL]]&gt;0,tabPontoPed[[#This Row],[CÁLCULO]]&gt;0), IF( tabPontoPed[[#This Row],[MENSAL]] - tabPontoPed[[#This Row],[CÁLCULO]] &lt; 0, -1, IF( tabPontoPed[[#This Row],[MENSAL]] - tabPontoPed[[#This Row],[CÁLCULO]] &gt; 0, 1, -8)), -9 )</f>
        <v>-9</v>
      </c>
      <c r="W813" s="35"/>
      <c r="X813" s="49" t="s">
        <v>1564</v>
      </c>
      <c r="Y813" s="51">
        <v>44391.599108796298</v>
      </c>
      <c r="Z813" s="72">
        <f>tabPontoPed[CÁLC_4M] - tabPontoPed[CÁLCULO]</f>
        <v>1</v>
      </c>
      <c r="AA813" s="79" t="str">
        <f>IF(tabPontoPed[MENSAL]-tabPontoPed[ATA MENSAL] = 0,"sim","")</f>
        <v>sim</v>
      </c>
      <c r="AB813" s="79" t="s">
        <v>1614</v>
      </c>
      <c r="AC813" s="47" t="str">
        <f t="shared" si="12"/>
        <v>*</v>
      </c>
    </row>
    <row r="814" spans="1:29" x14ac:dyDescent="0.25">
      <c r="A814" s="36">
        <v>105112</v>
      </c>
      <c r="B814" s="68" t="s">
        <v>810</v>
      </c>
      <c r="C814" s="33" t="s">
        <v>1317</v>
      </c>
      <c r="D814" s="32">
        <v>62</v>
      </c>
      <c r="E814" s="37">
        <v>4</v>
      </c>
      <c r="F814" s="38" t="str">
        <f>VLOOKUP(tabPontoPed[[#This Row],[GRUPO]],tabGrupos[#Data],2,FALSE)</f>
        <v>VEST., ART.P/ TOUC.E HIG. PES. MAQ., EQUIP., MAT.E ACES.</v>
      </c>
      <c r="G814" s="32" t="str">
        <f>VLOOKUP(tabPontoPed[[#This Row],[GRUPO]],tabGrupos[#Data],3,FALSE)</f>
        <v>ADM</v>
      </c>
      <c r="H814" s="33" t="s">
        <v>1311</v>
      </c>
      <c r="I814" s="80">
        <v>4</v>
      </c>
      <c r="J814" s="39">
        <v>0</v>
      </c>
      <c r="K814" s="41">
        <f>tabPontoPed[[#This Row],[QTDMÊS]] * tabPontoPed[[#This Row],[MENSAL]]</f>
        <v>0</v>
      </c>
      <c r="L814" s="83"/>
      <c r="M814" s="81"/>
      <c r="N814" s="34" t="s">
        <v>1009</v>
      </c>
      <c r="O814" s="76"/>
      <c r="P814" s="77">
        <v>0</v>
      </c>
      <c r="Q814" s="57">
        <v>1</v>
      </c>
      <c r="R814" s="42">
        <v>1</v>
      </c>
      <c r="S814" s="69" t="str">
        <f>_xlfn.IFNA(IF(VLOOKUP(tabPontoPed[[#This Row],[CÓDIGO]],tabExcluirDoEstoque[#Data],1,FALSE),"sim",""),"")</f>
        <v/>
      </c>
      <c r="T814" s="43">
        <f>IF(AND(tabPontoPed[[#This Row],[MENSAL]]&gt;0,tabPontoPed[[#This Row],[CÁLCULO]]&gt;0), ABS( tabPontoPed[[#This Row],[MENSAL]] - tabPontoPed[[#This Row],[CÁLCULO]] ) / tabPontoPed[[#This Row],[MENSAL]], -1 )</f>
        <v>-1</v>
      </c>
      <c r="U814" s="58">
        <v>3</v>
      </c>
      <c r="V814" s="35">
        <f>IF(AND(tabPontoPed[[#This Row],[MENSAL]]&gt;0,tabPontoPed[[#This Row],[CÁLCULO]]&gt;0), IF( tabPontoPed[[#This Row],[MENSAL]] - tabPontoPed[[#This Row],[CÁLCULO]] &lt; 0, -1, IF( tabPontoPed[[#This Row],[MENSAL]] - tabPontoPed[[#This Row],[CÁLCULO]] &gt; 0, 1, -8)), -9 )</f>
        <v>-9</v>
      </c>
      <c r="W814" s="35"/>
      <c r="X814" s="49" t="s">
        <v>1564</v>
      </c>
      <c r="Y814" s="51">
        <v>44391.599108796298</v>
      </c>
      <c r="Z814" s="72">
        <f>tabPontoPed[CÁLC_4M] - tabPontoPed[CÁLCULO]</f>
        <v>0</v>
      </c>
      <c r="AA814" s="79" t="str">
        <f>IF(tabPontoPed[MENSAL]-tabPontoPed[ATA MENSAL] = 0,"sim","")</f>
        <v>sim</v>
      </c>
      <c r="AB814" s="79" t="s">
        <v>1614</v>
      </c>
      <c r="AC814" s="47" t="str">
        <f t="shared" si="12"/>
        <v>*</v>
      </c>
    </row>
    <row r="815" spans="1:29" x14ac:dyDescent="0.25">
      <c r="A815" s="36">
        <v>105704</v>
      </c>
      <c r="B815" s="68" t="s">
        <v>811</v>
      </c>
      <c r="C815" s="33" t="s">
        <v>1317</v>
      </c>
      <c r="D815" s="32">
        <v>62</v>
      </c>
      <c r="E815" s="37">
        <v>4</v>
      </c>
      <c r="F815" s="38" t="str">
        <f>VLOOKUP(tabPontoPed[[#This Row],[GRUPO]],tabGrupos[#Data],2,FALSE)</f>
        <v>VEST., ART.P/ TOUC.E HIG. PES. MAQ., EQUIP., MAT.E ACES.</v>
      </c>
      <c r="G815" s="32" t="str">
        <f>VLOOKUP(tabPontoPed[[#This Row],[GRUPO]],tabGrupos[#Data],3,FALSE)</f>
        <v>ADM</v>
      </c>
      <c r="H815" s="33" t="s">
        <v>1311</v>
      </c>
      <c r="I815" s="80">
        <v>4</v>
      </c>
      <c r="J815" s="39"/>
      <c r="K815" s="41">
        <f>tabPontoPed[[#This Row],[QTDMÊS]] * tabPontoPed[[#This Row],[MENSAL]]</f>
        <v>0</v>
      </c>
      <c r="L815" s="83"/>
      <c r="M815" s="81"/>
      <c r="N815" s="34" t="s">
        <v>1009</v>
      </c>
      <c r="O815" s="76"/>
      <c r="P815" s="77">
        <v>0</v>
      </c>
      <c r="Q815" s="57">
        <v>0</v>
      </c>
      <c r="R815" s="42">
        <v>0</v>
      </c>
      <c r="S815" s="69" t="str">
        <f>_xlfn.IFNA(IF(VLOOKUP(tabPontoPed[[#This Row],[CÓDIGO]],tabExcluirDoEstoque[#Data],1,FALSE),"sim",""),"")</f>
        <v/>
      </c>
      <c r="T815" s="43">
        <f>IF(AND(tabPontoPed[[#This Row],[MENSAL]]&gt;0,tabPontoPed[[#This Row],[CÁLCULO]]&gt;0), ABS( tabPontoPed[[#This Row],[MENSAL]] - tabPontoPed[[#This Row],[CÁLCULO]] ) / tabPontoPed[[#This Row],[MENSAL]], -1 )</f>
        <v>-1</v>
      </c>
      <c r="U815" s="58">
        <v>0</v>
      </c>
      <c r="V815" s="35">
        <f>IF(AND(tabPontoPed[[#This Row],[MENSAL]]&gt;0,tabPontoPed[[#This Row],[CÁLCULO]]&gt;0), IF( tabPontoPed[[#This Row],[MENSAL]] - tabPontoPed[[#This Row],[CÁLCULO]] &lt; 0, -1, IF( tabPontoPed[[#This Row],[MENSAL]] - tabPontoPed[[#This Row],[CÁLCULO]] &gt; 0, 1, -8)), -9 )</f>
        <v>-9</v>
      </c>
      <c r="W815" s="35"/>
      <c r="X815" s="49" t="s">
        <v>1564</v>
      </c>
      <c r="Y815" s="51">
        <v>44391.599108796298</v>
      </c>
      <c r="Z815" s="72">
        <f>tabPontoPed[CÁLC_4M] - tabPontoPed[CÁLCULO]</f>
        <v>0</v>
      </c>
      <c r="AA815" s="79" t="str">
        <f>IF(tabPontoPed[MENSAL]-tabPontoPed[ATA MENSAL] = 0,"sim","")</f>
        <v>sim</v>
      </c>
      <c r="AB815" s="79" t="s">
        <v>1614</v>
      </c>
      <c r="AC815" s="47" t="str">
        <f t="shared" si="12"/>
        <v>*</v>
      </c>
    </row>
    <row r="816" spans="1:29" x14ac:dyDescent="0.25">
      <c r="A816" s="36">
        <v>105109</v>
      </c>
      <c r="B816" s="68" t="s">
        <v>614</v>
      </c>
      <c r="C816" s="33" t="s">
        <v>1317</v>
      </c>
      <c r="D816" s="32">
        <v>62</v>
      </c>
      <c r="E816" s="37">
        <v>12</v>
      </c>
      <c r="F816" s="38" t="str">
        <f>VLOOKUP(tabPontoPed[[#This Row],[GRUPO]],tabGrupos[#Data],2,FALSE)</f>
        <v>VEST., ART.P/ TOUC.E HIG. PES. MAQ., EQUIP., MAT.E ACES.</v>
      </c>
      <c r="G816" s="32" t="str">
        <f>VLOOKUP(tabPontoPed[[#This Row],[GRUPO]],tabGrupos[#Data],3,FALSE)</f>
        <v>ADM</v>
      </c>
      <c r="H816" s="33" t="s">
        <v>1311</v>
      </c>
      <c r="I816" s="80">
        <v>4</v>
      </c>
      <c r="J816" s="39">
        <v>0</v>
      </c>
      <c r="K816" s="41">
        <f>tabPontoPed[[#This Row],[QTDMÊS]] * tabPontoPed[[#This Row],[MENSAL]]</f>
        <v>0</v>
      </c>
      <c r="L816" s="83"/>
      <c r="M816" s="81"/>
      <c r="N816" s="34" t="s">
        <v>1009</v>
      </c>
      <c r="O816" s="76" t="s">
        <v>1749</v>
      </c>
      <c r="P816" s="77">
        <v>0</v>
      </c>
      <c r="Q816" s="57">
        <v>3</v>
      </c>
      <c r="R816" s="42">
        <v>2</v>
      </c>
      <c r="S816" s="69" t="str">
        <f>_xlfn.IFNA(IF(VLOOKUP(tabPontoPed[[#This Row],[CÓDIGO]],tabExcluirDoEstoque[#Data],1,FALSE),"sim",""),"")</f>
        <v>sim</v>
      </c>
      <c r="T816" s="43">
        <f>IF(AND(tabPontoPed[[#This Row],[MENSAL]]&gt;0,tabPontoPed[[#This Row],[CÁLCULO]]&gt;0), ABS( tabPontoPed[[#This Row],[MENSAL]] - tabPontoPed[[#This Row],[CÁLCULO]] ) / tabPontoPed[[#This Row],[MENSAL]], -1 )</f>
        <v>-1</v>
      </c>
      <c r="U816" s="58">
        <v>9</v>
      </c>
      <c r="V816" s="35">
        <f>IF(AND(tabPontoPed[[#This Row],[MENSAL]]&gt;0,tabPontoPed[[#This Row],[CÁLCULO]]&gt;0), IF( tabPontoPed[[#This Row],[MENSAL]] - tabPontoPed[[#This Row],[CÁLCULO]] &lt; 0, -1, IF( tabPontoPed[[#This Row],[MENSAL]] - tabPontoPed[[#This Row],[CÁLCULO]] &gt; 0, 1, -8)), -9 )</f>
        <v>-9</v>
      </c>
      <c r="W816" s="35"/>
      <c r="X816" s="49" t="s">
        <v>1564</v>
      </c>
      <c r="Y816" s="51">
        <v>44391.599108796298</v>
      </c>
      <c r="Z816" s="72">
        <f>tabPontoPed[CÁLC_4M] - tabPontoPed[CÁLCULO]</f>
        <v>1</v>
      </c>
      <c r="AA816" s="79" t="str">
        <f>IF(tabPontoPed[MENSAL]-tabPontoPed[ATA MENSAL] = 0,"sim","")</f>
        <v>sim</v>
      </c>
      <c r="AB816" s="79" t="s">
        <v>1614</v>
      </c>
      <c r="AC816" s="47" t="str">
        <f t="shared" si="12"/>
        <v>*</v>
      </c>
    </row>
    <row r="817" spans="1:29" x14ac:dyDescent="0.25">
      <c r="A817" s="36">
        <v>55836</v>
      </c>
      <c r="B817" s="68" t="s">
        <v>965</v>
      </c>
      <c r="C817" s="33" t="s">
        <v>1317</v>
      </c>
      <c r="D817" s="32">
        <v>78</v>
      </c>
      <c r="E817" s="37">
        <v>2</v>
      </c>
      <c r="F817" s="38" t="str">
        <f>VLOOKUP(tabPontoPed[[#This Row],[GRUPO]],tabGrupos[#Data],2,FALSE)</f>
        <v>MOBILIARIO E COFRE</v>
      </c>
      <c r="G817" s="32" t="str">
        <f>VLOOKUP(tabPontoPed[[#This Row],[GRUPO]],tabGrupos[#Data],3,FALSE)</f>
        <v>ADM</v>
      </c>
      <c r="H817" s="33" t="s">
        <v>1311</v>
      </c>
      <c r="I817" s="80">
        <v>4</v>
      </c>
      <c r="J817" s="39">
        <v>114</v>
      </c>
      <c r="K817" s="41">
        <f>tabPontoPed[[#This Row],[QTDMÊS]] * tabPontoPed[[#This Row],[MENSAL]]</f>
        <v>456</v>
      </c>
      <c r="L817" s="83"/>
      <c r="M817" s="81"/>
      <c r="N817" s="34" t="s">
        <v>1009</v>
      </c>
      <c r="O817" s="76"/>
      <c r="P817" s="77">
        <v>0</v>
      </c>
      <c r="Q817" s="57">
        <v>0</v>
      </c>
      <c r="R817" s="42">
        <v>0</v>
      </c>
      <c r="S817" s="69" t="str">
        <f>_xlfn.IFNA(IF(VLOOKUP(tabPontoPed[[#This Row],[CÓDIGO]],tabExcluirDoEstoque[#Data],1,FALSE),"sim",""),"")</f>
        <v/>
      </c>
      <c r="T817" s="43">
        <f>IF(AND(tabPontoPed[[#This Row],[MENSAL]]&gt;0,tabPontoPed[[#This Row],[CÁLCULO]]&gt;0), ABS( tabPontoPed[[#This Row],[MENSAL]] - tabPontoPed[[#This Row],[CÁLCULO]] ) / tabPontoPed[[#This Row],[MENSAL]], -1 )</f>
        <v>-1</v>
      </c>
      <c r="U817" s="58">
        <v>0</v>
      </c>
      <c r="V817" s="35">
        <f>IF(AND(tabPontoPed[[#This Row],[MENSAL]]&gt;0,tabPontoPed[[#This Row],[CÁLCULO]]&gt;0), IF( tabPontoPed[[#This Row],[MENSAL]] - tabPontoPed[[#This Row],[CÁLCULO]] &lt; 0, -1, IF( tabPontoPed[[#This Row],[MENSAL]] - tabPontoPed[[#This Row],[CÁLCULO]] &gt; 0, 1, -8)), -9 )</f>
        <v>-9</v>
      </c>
      <c r="W817" s="35"/>
      <c r="X817" s="48" t="s">
        <v>1564</v>
      </c>
      <c r="Y817" s="53">
        <v>44391.599108796298</v>
      </c>
      <c r="Z817" s="72">
        <f>tabPontoPed[CÁLC_4M] - tabPontoPed[CÁLCULO]</f>
        <v>0</v>
      </c>
      <c r="AA817" s="79" t="str">
        <f>IF(tabPontoPed[MENSAL]-tabPontoPed[ATA MENSAL] = 0,"sim","")</f>
        <v/>
      </c>
      <c r="AB817" s="79"/>
      <c r="AC817" s="47" t="str">
        <f t="shared" si="12"/>
        <v>*</v>
      </c>
    </row>
    <row r="818" spans="1:29" x14ac:dyDescent="0.25">
      <c r="A818" s="36">
        <v>138528</v>
      </c>
      <c r="B818" s="68" t="s">
        <v>1540</v>
      </c>
      <c r="C818" s="33">
        <v>1</v>
      </c>
      <c r="D818" s="32">
        <v>78</v>
      </c>
      <c r="E818" s="37">
        <v>4</v>
      </c>
      <c r="F818" s="38" t="str">
        <f>VLOOKUP(tabPontoPed[[#This Row],[GRUPO]],tabGrupos[#Data],2,FALSE)</f>
        <v>MOBILIARIO E COFRE</v>
      </c>
      <c r="G818" s="32" t="str">
        <f>VLOOKUP(tabPontoPed[[#This Row],[GRUPO]],tabGrupos[#Data],3,FALSE)</f>
        <v>ADM</v>
      </c>
      <c r="H818" s="33" t="s">
        <v>1311</v>
      </c>
      <c r="I818" s="80">
        <v>4</v>
      </c>
      <c r="J818" s="39">
        <v>0</v>
      </c>
      <c r="K818" s="41">
        <f>tabPontoPed[[#This Row],[QTDMÊS]] * tabPontoPed[[#This Row],[MENSAL]]</f>
        <v>0</v>
      </c>
      <c r="L818" s="83"/>
      <c r="M818" s="81"/>
      <c r="N818" s="34" t="s">
        <v>1009</v>
      </c>
      <c r="O818" s="76"/>
      <c r="P818" s="77">
        <v>0</v>
      </c>
      <c r="Q818" s="57">
        <v>0</v>
      </c>
      <c r="R818" s="42">
        <v>1</v>
      </c>
      <c r="S818" s="69" t="str">
        <f>_xlfn.IFNA(IF(VLOOKUP(tabPontoPed[[#This Row],[CÓDIGO]],tabExcluirDoEstoque[#Data],1,FALSE),"sim",""),"")</f>
        <v/>
      </c>
      <c r="T818" s="43">
        <f>IF(AND(tabPontoPed[[#This Row],[MENSAL]]&gt;0,tabPontoPed[[#This Row],[CÁLCULO]]&gt;0), ABS( tabPontoPed[[#This Row],[MENSAL]] - tabPontoPed[[#This Row],[CÁLCULO]] ) / tabPontoPed[[#This Row],[MENSAL]], -1 )</f>
        <v>-1</v>
      </c>
      <c r="U818" s="58">
        <v>5</v>
      </c>
      <c r="V818" s="35">
        <f>IF(AND(tabPontoPed[[#This Row],[MENSAL]]&gt;0,tabPontoPed[[#This Row],[CÁLCULO]]&gt;0), IF( tabPontoPed[[#This Row],[MENSAL]] - tabPontoPed[[#This Row],[CÁLCULO]] &lt; 0, -1, IF( tabPontoPed[[#This Row],[MENSAL]] - tabPontoPed[[#This Row],[CÁLCULO]] &gt; 0, 1, -8)), -9 )</f>
        <v>-9</v>
      </c>
      <c r="W818" s="35"/>
      <c r="X818" s="49" t="s">
        <v>1564</v>
      </c>
      <c r="Y818" s="51">
        <v>44391.599108796298</v>
      </c>
      <c r="Z818" s="72">
        <f>tabPontoPed[CÁLC_4M] - tabPontoPed[CÁLCULO]</f>
        <v>-1</v>
      </c>
      <c r="AA818" s="79" t="str">
        <f>IF(tabPontoPed[MENSAL]-tabPontoPed[ATA MENSAL] = 0,"sim","")</f>
        <v>sim</v>
      </c>
      <c r="AB818" s="79" t="s">
        <v>1614</v>
      </c>
      <c r="AC818" s="47" t="str">
        <f t="shared" si="12"/>
        <v>*</v>
      </c>
    </row>
    <row r="819" spans="1:29" x14ac:dyDescent="0.25">
      <c r="A819" s="36">
        <v>26504</v>
      </c>
      <c r="B819" s="68" t="s">
        <v>331</v>
      </c>
      <c r="C819" s="33" t="s">
        <v>1317</v>
      </c>
      <c r="D819" s="32">
        <v>78</v>
      </c>
      <c r="E819" s="37">
        <v>6</v>
      </c>
      <c r="F819" s="38" t="str">
        <f>VLOOKUP(tabPontoPed[[#This Row],[GRUPO]],tabGrupos[#Data],2,FALSE)</f>
        <v>MOBILIARIO E COFRE</v>
      </c>
      <c r="G819" s="32" t="str">
        <f>VLOOKUP(tabPontoPed[[#This Row],[GRUPO]],tabGrupos[#Data],3,FALSE)</f>
        <v>ADM</v>
      </c>
      <c r="H819" s="33" t="s">
        <v>1311</v>
      </c>
      <c r="I819" s="80">
        <v>4</v>
      </c>
      <c r="J819" s="39">
        <v>125</v>
      </c>
      <c r="K819" s="41">
        <f>tabPontoPed[[#This Row],[QTDMÊS]] * tabPontoPed[[#This Row],[MENSAL]]</f>
        <v>500</v>
      </c>
      <c r="L819" s="83"/>
      <c r="M819" s="81"/>
      <c r="N819" s="34" t="s">
        <v>1009</v>
      </c>
      <c r="O819" s="76" t="s">
        <v>1712</v>
      </c>
      <c r="P819" s="77">
        <v>0</v>
      </c>
      <c r="Q819" s="57">
        <v>0</v>
      </c>
      <c r="R819" s="42">
        <v>0</v>
      </c>
      <c r="S819" s="69" t="str">
        <f>_xlfn.IFNA(IF(VLOOKUP(tabPontoPed[[#This Row],[CÓDIGO]],tabExcluirDoEstoque[#Data],1,FALSE),"sim",""),"")</f>
        <v/>
      </c>
      <c r="T819" s="43">
        <f>IF(AND(tabPontoPed[[#This Row],[MENSAL]]&gt;0,tabPontoPed[[#This Row],[CÁLCULO]]&gt;0), ABS( tabPontoPed[[#This Row],[MENSAL]] - tabPontoPed[[#This Row],[CÁLCULO]] ) / tabPontoPed[[#This Row],[MENSAL]], -1 )</f>
        <v>-1</v>
      </c>
      <c r="U819" s="58">
        <v>0</v>
      </c>
      <c r="V819" s="35">
        <f>IF(AND(tabPontoPed[[#This Row],[MENSAL]]&gt;0,tabPontoPed[[#This Row],[CÁLCULO]]&gt;0), IF( tabPontoPed[[#This Row],[MENSAL]] - tabPontoPed[[#This Row],[CÁLCULO]] &lt; 0, -1, IF( tabPontoPed[[#This Row],[MENSAL]] - tabPontoPed[[#This Row],[CÁLCULO]] &gt; 0, 1, -8)), -9 )</f>
        <v>-9</v>
      </c>
      <c r="W819" s="35"/>
      <c r="X819" s="48" t="s">
        <v>1564</v>
      </c>
      <c r="Y819" s="53">
        <v>44391.599108796298</v>
      </c>
      <c r="Z819" s="72">
        <f>tabPontoPed[CÁLC_4M] - tabPontoPed[CÁLCULO]</f>
        <v>0</v>
      </c>
      <c r="AA819" s="79" t="str">
        <f>IF(tabPontoPed[MENSAL]-tabPontoPed[ATA MENSAL] = 0,"sim","")</f>
        <v/>
      </c>
      <c r="AB819" s="79" t="s">
        <v>1614</v>
      </c>
      <c r="AC819" s="47" t="str">
        <f t="shared" si="12"/>
        <v>*</v>
      </c>
    </row>
    <row r="820" spans="1:29" x14ac:dyDescent="0.25">
      <c r="A820" s="36">
        <v>138458</v>
      </c>
      <c r="B820" s="68" t="s">
        <v>1534</v>
      </c>
      <c r="C820" s="33">
        <v>1</v>
      </c>
      <c r="D820" s="32">
        <v>45</v>
      </c>
      <c r="E820" s="37">
        <v>11</v>
      </c>
      <c r="F820" s="38" t="str">
        <f>VLOOKUP(tabPontoPed[[#This Row],[GRUPO]],tabGrupos[#Data],2,FALSE)</f>
        <v>MAQ., EQUIP., COMP., ACES., MAT. PARA ESCRIT.E ESCOLAR</v>
      </c>
      <c r="G820" s="32" t="str">
        <f>VLOOKUP(tabPontoPed[[#This Row],[GRUPO]],tabGrupos[#Data],3,FALSE)</f>
        <v>EDU</v>
      </c>
      <c r="H820" s="33" t="s">
        <v>1311</v>
      </c>
      <c r="I820" s="80">
        <v>4</v>
      </c>
      <c r="J820" s="39">
        <v>0</v>
      </c>
      <c r="K820" s="41">
        <f>tabPontoPed[[#This Row],[QTDMÊS]] * tabPontoPed[[#This Row],[MENSAL]]</f>
        <v>0</v>
      </c>
      <c r="L820" s="83"/>
      <c r="M820" s="81"/>
      <c r="N820" s="34" t="s">
        <v>1009</v>
      </c>
      <c r="O820" s="76"/>
      <c r="P820" s="77">
        <v>0</v>
      </c>
      <c r="Q820" s="57">
        <v>147</v>
      </c>
      <c r="R820" s="42">
        <v>114</v>
      </c>
      <c r="S820" s="69" t="str">
        <f>_xlfn.IFNA(IF(VLOOKUP(tabPontoPed[[#This Row],[CÓDIGO]],tabExcluirDoEstoque[#Data],1,FALSE),"sim",""),"")</f>
        <v/>
      </c>
      <c r="T820" s="43">
        <f>IF(AND(tabPontoPed[[#This Row],[MENSAL]]&gt;0,tabPontoPed[[#This Row],[CÁLCULO]]&gt;0), ABS( tabPontoPed[[#This Row],[MENSAL]] - tabPontoPed[[#This Row],[CÁLCULO]] ) / tabPontoPed[[#This Row],[MENSAL]], -1 )</f>
        <v>-1</v>
      </c>
      <c r="U820" s="58">
        <v>223</v>
      </c>
      <c r="V820" s="35">
        <f>IF(AND(tabPontoPed[[#This Row],[MENSAL]]&gt;0,tabPontoPed[[#This Row],[CÁLCULO]]&gt;0), IF( tabPontoPed[[#This Row],[MENSAL]] - tabPontoPed[[#This Row],[CÁLCULO]] &lt; 0, -1, IF( tabPontoPed[[#This Row],[MENSAL]] - tabPontoPed[[#This Row],[CÁLCULO]] &gt; 0, 1, -8)), -9 )</f>
        <v>-9</v>
      </c>
      <c r="W820" s="35"/>
      <c r="X820" s="49" t="s">
        <v>1564</v>
      </c>
      <c r="Y820" s="51">
        <v>44391.599108796298</v>
      </c>
      <c r="Z820" s="72">
        <f>tabPontoPed[CÁLC_4M] - tabPontoPed[CÁLCULO]</f>
        <v>33</v>
      </c>
      <c r="AA820" s="79" t="str">
        <f>IF(tabPontoPed[MENSAL]-tabPontoPed[ATA MENSAL] = 0,"sim","")</f>
        <v>sim</v>
      </c>
      <c r="AB820" s="79" t="s">
        <v>1614</v>
      </c>
      <c r="AC820" s="47" t="str">
        <f t="shared" si="12"/>
        <v>*</v>
      </c>
    </row>
    <row r="821" spans="1:29" x14ac:dyDescent="0.25">
      <c r="A821" s="36">
        <v>138457</v>
      </c>
      <c r="B821" s="68" t="s">
        <v>1533</v>
      </c>
      <c r="C821" s="33">
        <v>1</v>
      </c>
      <c r="D821" s="32">
        <v>45</v>
      </c>
      <c r="E821" s="37">
        <v>11</v>
      </c>
      <c r="F821" s="38" t="str">
        <f>VLOOKUP(tabPontoPed[[#This Row],[GRUPO]],tabGrupos[#Data],2,FALSE)</f>
        <v>MAQ., EQUIP., COMP., ACES., MAT. PARA ESCRIT.E ESCOLAR</v>
      </c>
      <c r="G821" s="32" t="str">
        <f>VLOOKUP(tabPontoPed[[#This Row],[GRUPO]],tabGrupos[#Data],3,FALSE)</f>
        <v>EDU</v>
      </c>
      <c r="H821" s="33" t="s">
        <v>1311</v>
      </c>
      <c r="I821" s="80">
        <v>4</v>
      </c>
      <c r="J821" s="39">
        <v>0</v>
      </c>
      <c r="K821" s="41">
        <f>tabPontoPed[[#This Row],[QTDMÊS]] * tabPontoPed[[#This Row],[MENSAL]]</f>
        <v>0</v>
      </c>
      <c r="L821" s="83"/>
      <c r="M821" s="81"/>
      <c r="N821" s="34" t="s">
        <v>1009</v>
      </c>
      <c r="O821" s="76"/>
      <c r="P821" s="77">
        <v>0</v>
      </c>
      <c r="Q821" s="57">
        <v>13</v>
      </c>
      <c r="R821" s="42">
        <v>7</v>
      </c>
      <c r="S821" s="69" t="str">
        <f>_xlfn.IFNA(IF(VLOOKUP(tabPontoPed[[#This Row],[CÓDIGO]],tabExcluirDoEstoque[#Data],1,FALSE),"sim",""),"")</f>
        <v/>
      </c>
      <c r="T821" s="43">
        <f>IF(AND(tabPontoPed[[#This Row],[MENSAL]]&gt;0,tabPontoPed[[#This Row],[CÁLCULO]]&gt;0), ABS( tabPontoPed[[#This Row],[MENSAL]] - tabPontoPed[[#This Row],[CÁLCULO]] ) / tabPontoPed[[#This Row],[MENSAL]], -1 )</f>
        <v>-1</v>
      </c>
      <c r="U821" s="58">
        <v>20</v>
      </c>
      <c r="V821" s="35">
        <f>IF(AND(tabPontoPed[[#This Row],[MENSAL]]&gt;0,tabPontoPed[[#This Row],[CÁLCULO]]&gt;0), IF( tabPontoPed[[#This Row],[MENSAL]] - tabPontoPed[[#This Row],[CÁLCULO]] &lt; 0, -1, IF( tabPontoPed[[#This Row],[MENSAL]] - tabPontoPed[[#This Row],[CÁLCULO]] &gt; 0, 1, -8)), -9 )</f>
        <v>-9</v>
      </c>
      <c r="W821" s="35"/>
      <c r="X821" s="49" t="s">
        <v>1564</v>
      </c>
      <c r="Y821" s="51">
        <v>44391.599108796298</v>
      </c>
      <c r="Z821" s="72">
        <f>tabPontoPed[CÁLC_4M] - tabPontoPed[CÁLCULO]</f>
        <v>6</v>
      </c>
      <c r="AA821" s="79" t="str">
        <f>IF(tabPontoPed[MENSAL]-tabPontoPed[ATA MENSAL] = 0,"sim","")</f>
        <v>sim</v>
      </c>
      <c r="AB821" s="79" t="s">
        <v>1614</v>
      </c>
      <c r="AC821" s="47" t="str">
        <f t="shared" si="12"/>
        <v>*</v>
      </c>
    </row>
    <row r="822" spans="1:29" x14ac:dyDescent="0.25">
      <c r="A822" s="36">
        <v>91208</v>
      </c>
      <c r="B822" s="68" t="s">
        <v>1474</v>
      </c>
      <c r="C822" s="33"/>
      <c r="D822" s="32">
        <v>45</v>
      </c>
      <c r="E822" s="37">
        <v>11</v>
      </c>
      <c r="F822" s="38" t="str">
        <f>VLOOKUP(tabPontoPed[[#This Row],[GRUPO]],tabGrupos[#Data],2,FALSE)</f>
        <v>MAQ., EQUIP., COMP., ACES., MAT. PARA ESCRIT.E ESCOLAR</v>
      </c>
      <c r="G822" s="32" t="str">
        <f>VLOOKUP(tabPontoPed[[#This Row],[GRUPO]],tabGrupos[#Data],3,FALSE)</f>
        <v>EDU</v>
      </c>
      <c r="H822" s="33" t="s">
        <v>1311</v>
      </c>
      <c r="I822" s="80">
        <v>4</v>
      </c>
      <c r="J822" s="39">
        <v>0</v>
      </c>
      <c r="K822" s="41">
        <f>tabPontoPed[[#This Row],[QTDMÊS]] * tabPontoPed[[#This Row],[MENSAL]]</f>
        <v>0</v>
      </c>
      <c r="L822" s="83"/>
      <c r="M822" s="81"/>
      <c r="N822" s="34" t="s">
        <v>1009</v>
      </c>
      <c r="O822" s="76" t="s">
        <v>1470</v>
      </c>
      <c r="P822" s="77"/>
      <c r="Q822" s="57">
        <v>0</v>
      </c>
      <c r="R822" s="42">
        <v>0</v>
      </c>
      <c r="S822" s="69" t="str">
        <f>_xlfn.IFNA(IF(VLOOKUP(tabPontoPed[[#This Row],[CÓDIGO]],tabExcluirDoEstoque[#Data],1,FALSE),"sim",""),"")</f>
        <v/>
      </c>
      <c r="T822" s="43">
        <f>IF(AND(tabPontoPed[[#This Row],[MENSAL]]&gt;0,tabPontoPed[[#This Row],[CÁLCULO]]&gt;0), ABS( tabPontoPed[[#This Row],[MENSAL]] - tabPontoPed[[#This Row],[CÁLCULO]] ) / tabPontoPed[[#This Row],[MENSAL]], -1 )</f>
        <v>-1</v>
      </c>
      <c r="U822" s="58"/>
      <c r="V822" s="71">
        <f>IF(AND(tabPontoPed[[#This Row],[MENSAL]]&gt;0,tabPontoPed[[#This Row],[CÁLCULO]]&gt;0), IF( tabPontoPed[[#This Row],[MENSAL]] - tabPontoPed[[#This Row],[CÁLCULO]] &lt; 0, -1, IF( tabPontoPed[[#This Row],[MENSAL]] - tabPontoPed[[#This Row],[CÁLCULO]] &gt; 0, 1, -8)), -9 )</f>
        <v>-9</v>
      </c>
      <c r="W822" s="71"/>
      <c r="X822" s="55" t="s">
        <v>1564</v>
      </c>
      <c r="Y822" s="56">
        <v>44391.599108796298</v>
      </c>
      <c r="Z822" s="74">
        <f>tabPontoPed[CÁLC_4M] - tabPontoPed[CÁLCULO]</f>
        <v>0</v>
      </c>
      <c r="AA822" s="79" t="str">
        <f>IF(tabPontoPed[MENSAL]-tabPontoPed[ATA MENSAL] = 0,"sim","")</f>
        <v>sim</v>
      </c>
      <c r="AB822" s="79" t="s">
        <v>1614</v>
      </c>
      <c r="AC822" s="47" t="str">
        <f t="shared" si="12"/>
        <v>*</v>
      </c>
    </row>
    <row r="823" spans="1:29" x14ac:dyDescent="0.25">
      <c r="A823" s="36">
        <v>98734</v>
      </c>
      <c r="B823" s="68" t="s">
        <v>713</v>
      </c>
      <c r="C823" s="33" t="s">
        <v>1317</v>
      </c>
      <c r="D823" s="32">
        <v>58</v>
      </c>
      <c r="E823" s="37">
        <v>14</v>
      </c>
      <c r="F823" s="38" t="str">
        <f>VLOOKUP(tabPontoPed[[#This Row],[GRUPO]],tabGrupos[#Data],2,FALSE)</f>
        <v>EQUIP. E MAT. P/ RECREACAO, ATLETISMO, DESPORTO...</v>
      </c>
      <c r="G823" s="32" t="str">
        <f>VLOOKUP(tabPontoPed[[#This Row],[GRUPO]],tabGrupos[#Data],3,FALSE)</f>
        <v>EDU</v>
      </c>
      <c r="H823" s="33" t="s">
        <v>1311</v>
      </c>
      <c r="I823" s="80">
        <v>4</v>
      </c>
      <c r="J823" s="39">
        <v>1</v>
      </c>
      <c r="K823" s="41">
        <f>tabPontoPed[[#This Row],[QTDMÊS]] * tabPontoPed[[#This Row],[MENSAL]]</f>
        <v>4</v>
      </c>
      <c r="L823" s="83"/>
      <c r="M823" s="81"/>
      <c r="N823" s="34" t="s">
        <v>1009</v>
      </c>
      <c r="O823" s="76"/>
      <c r="P823" s="77">
        <v>0</v>
      </c>
      <c r="Q823" s="57">
        <v>0</v>
      </c>
      <c r="R823" s="42">
        <v>0</v>
      </c>
      <c r="S823" s="69" t="str">
        <f>_xlfn.IFNA(IF(VLOOKUP(tabPontoPed[[#This Row],[CÓDIGO]],tabExcluirDoEstoque[#Data],1,FALSE),"sim",""),"")</f>
        <v/>
      </c>
      <c r="T823" s="43">
        <f>IF(AND(tabPontoPed[[#This Row],[MENSAL]]&gt;0,tabPontoPed[[#This Row],[CÁLCULO]]&gt;0), ABS( tabPontoPed[[#This Row],[MENSAL]] - tabPontoPed[[#This Row],[CÁLCULO]] ) / tabPontoPed[[#This Row],[MENSAL]], -1 )</f>
        <v>-1</v>
      </c>
      <c r="U823" s="58">
        <v>0</v>
      </c>
      <c r="V823" s="35">
        <f>IF(AND(tabPontoPed[[#This Row],[MENSAL]]&gt;0,tabPontoPed[[#This Row],[CÁLCULO]]&gt;0), IF( tabPontoPed[[#This Row],[MENSAL]] - tabPontoPed[[#This Row],[CÁLCULO]] &lt; 0, -1, IF( tabPontoPed[[#This Row],[MENSAL]] - tabPontoPed[[#This Row],[CÁLCULO]] &gt; 0, 1, -8)), -9 )</f>
        <v>-9</v>
      </c>
      <c r="W823" s="35"/>
      <c r="X823" s="49" t="s">
        <v>1564</v>
      </c>
      <c r="Y823" s="51">
        <v>44391.599108796298</v>
      </c>
      <c r="Z823" s="72">
        <f>tabPontoPed[CÁLC_4M] - tabPontoPed[CÁLCULO]</f>
        <v>0</v>
      </c>
      <c r="AA823" s="79" t="str">
        <f>IF(tabPontoPed[MENSAL]-tabPontoPed[ATA MENSAL] = 0,"sim","")</f>
        <v/>
      </c>
      <c r="AB823" s="79"/>
      <c r="AC823" s="47" t="str">
        <f t="shared" si="12"/>
        <v>*</v>
      </c>
    </row>
    <row r="824" spans="1:29" x14ac:dyDescent="0.25">
      <c r="A824" s="36">
        <v>98732</v>
      </c>
      <c r="B824" s="68" t="s">
        <v>711</v>
      </c>
      <c r="C824" s="33" t="s">
        <v>1317</v>
      </c>
      <c r="D824" s="32">
        <v>58</v>
      </c>
      <c r="E824" s="37">
        <v>14</v>
      </c>
      <c r="F824" s="38" t="str">
        <f>VLOOKUP(tabPontoPed[[#This Row],[GRUPO]],tabGrupos[#Data],2,FALSE)</f>
        <v>EQUIP. E MAT. P/ RECREACAO, ATLETISMO, DESPORTO...</v>
      </c>
      <c r="G824" s="32" t="str">
        <f>VLOOKUP(tabPontoPed[[#This Row],[GRUPO]],tabGrupos[#Data],3,FALSE)</f>
        <v>EDU</v>
      </c>
      <c r="H824" s="33" t="s">
        <v>1311</v>
      </c>
      <c r="I824" s="80">
        <v>4</v>
      </c>
      <c r="J824" s="39">
        <v>1</v>
      </c>
      <c r="K824" s="41">
        <f>tabPontoPed[[#This Row],[QTDMÊS]] * tabPontoPed[[#This Row],[MENSAL]]</f>
        <v>4</v>
      </c>
      <c r="L824" s="83"/>
      <c r="M824" s="81"/>
      <c r="N824" s="34" t="s">
        <v>1009</v>
      </c>
      <c r="O824" s="76"/>
      <c r="P824" s="77">
        <v>0</v>
      </c>
      <c r="Q824" s="57">
        <v>0</v>
      </c>
      <c r="R824" s="42">
        <v>0</v>
      </c>
      <c r="S824" s="69" t="str">
        <f>_xlfn.IFNA(IF(VLOOKUP(tabPontoPed[[#This Row],[CÓDIGO]],tabExcluirDoEstoque[#Data],1,FALSE),"sim",""),"")</f>
        <v/>
      </c>
      <c r="T824" s="43">
        <f>IF(AND(tabPontoPed[[#This Row],[MENSAL]]&gt;0,tabPontoPed[[#This Row],[CÁLCULO]]&gt;0), ABS( tabPontoPed[[#This Row],[MENSAL]] - tabPontoPed[[#This Row],[CÁLCULO]] ) / tabPontoPed[[#This Row],[MENSAL]], -1 )</f>
        <v>-1</v>
      </c>
      <c r="U824" s="58">
        <v>0</v>
      </c>
      <c r="V824" s="35">
        <f>IF(AND(tabPontoPed[[#This Row],[MENSAL]]&gt;0,tabPontoPed[[#This Row],[CÁLCULO]]&gt;0), IF( tabPontoPed[[#This Row],[MENSAL]] - tabPontoPed[[#This Row],[CÁLCULO]] &lt; 0, -1, IF( tabPontoPed[[#This Row],[MENSAL]] - tabPontoPed[[#This Row],[CÁLCULO]] &gt; 0, 1, -8)), -9 )</f>
        <v>-9</v>
      </c>
      <c r="W824" s="35"/>
      <c r="X824" s="49" t="s">
        <v>1564</v>
      </c>
      <c r="Y824" s="51">
        <v>44391.599108796298</v>
      </c>
      <c r="Z824" s="72">
        <f>tabPontoPed[CÁLC_4M] - tabPontoPed[CÁLCULO]</f>
        <v>0</v>
      </c>
      <c r="AA824" s="79" t="str">
        <f>IF(tabPontoPed[MENSAL]-tabPontoPed[ATA MENSAL] = 0,"sim","")</f>
        <v/>
      </c>
      <c r="AB824" s="79"/>
      <c r="AC824" s="47" t="str">
        <f t="shared" si="12"/>
        <v>*</v>
      </c>
    </row>
    <row r="825" spans="1:29" x14ac:dyDescent="0.25">
      <c r="A825" s="36">
        <v>98733</v>
      </c>
      <c r="B825" s="68" t="s">
        <v>712</v>
      </c>
      <c r="C825" s="33" t="s">
        <v>1317</v>
      </c>
      <c r="D825" s="32">
        <v>58</v>
      </c>
      <c r="E825" s="37">
        <v>14</v>
      </c>
      <c r="F825" s="38" t="str">
        <f>VLOOKUP(tabPontoPed[[#This Row],[GRUPO]],tabGrupos[#Data],2,FALSE)</f>
        <v>EQUIP. E MAT. P/ RECREACAO, ATLETISMO, DESPORTO...</v>
      </c>
      <c r="G825" s="32" t="str">
        <f>VLOOKUP(tabPontoPed[[#This Row],[GRUPO]],tabGrupos[#Data],3,FALSE)</f>
        <v>EDU</v>
      </c>
      <c r="H825" s="33" t="s">
        <v>1311</v>
      </c>
      <c r="I825" s="80">
        <v>4</v>
      </c>
      <c r="J825" s="39">
        <v>1</v>
      </c>
      <c r="K825" s="41">
        <f>tabPontoPed[[#This Row],[QTDMÊS]] * tabPontoPed[[#This Row],[MENSAL]]</f>
        <v>4</v>
      </c>
      <c r="L825" s="83"/>
      <c r="M825" s="81"/>
      <c r="N825" s="34" t="s">
        <v>1009</v>
      </c>
      <c r="O825" s="76"/>
      <c r="P825" s="77">
        <v>0</v>
      </c>
      <c r="Q825" s="57">
        <v>0</v>
      </c>
      <c r="R825" s="42">
        <v>0</v>
      </c>
      <c r="S825" s="69" t="str">
        <f>_xlfn.IFNA(IF(VLOOKUP(tabPontoPed[[#This Row],[CÓDIGO]],tabExcluirDoEstoque[#Data],1,FALSE),"sim",""),"")</f>
        <v/>
      </c>
      <c r="T825" s="43">
        <f>IF(AND(tabPontoPed[[#This Row],[MENSAL]]&gt;0,tabPontoPed[[#This Row],[CÁLCULO]]&gt;0), ABS( tabPontoPed[[#This Row],[MENSAL]] - tabPontoPed[[#This Row],[CÁLCULO]] ) / tabPontoPed[[#This Row],[MENSAL]], -1 )</f>
        <v>-1</v>
      </c>
      <c r="U825" s="58">
        <v>0</v>
      </c>
      <c r="V825" s="35">
        <f>IF(AND(tabPontoPed[[#This Row],[MENSAL]]&gt;0,tabPontoPed[[#This Row],[CÁLCULO]]&gt;0), IF( tabPontoPed[[#This Row],[MENSAL]] - tabPontoPed[[#This Row],[CÁLCULO]] &lt; 0, -1, IF( tabPontoPed[[#This Row],[MENSAL]] - tabPontoPed[[#This Row],[CÁLCULO]] &gt; 0, 1, -8)), -9 )</f>
        <v>-9</v>
      </c>
      <c r="W825" s="35"/>
      <c r="X825" s="49" t="s">
        <v>1564</v>
      </c>
      <c r="Y825" s="51">
        <v>44391.599108796298</v>
      </c>
      <c r="Z825" s="72">
        <f>tabPontoPed[CÁLC_4M] - tabPontoPed[CÁLCULO]</f>
        <v>0</v>
      </c>
      <c r="AA825" s="79" t="str">
        <f>IF(tabPontoPed[MENSAL]-tabPontoPed[ATA MENSAL] = 0,"sim","")</f>
        <v/>
      </c>
      <c r="AB825" s="79"/>
      <c r="AC825" s="47" t="str">
        <f t="shared" si="12"/>
        <v>*</v>
      </c>
    </row>
    <row r="826" spans="1:29" x14ac:dyDescent="0.25">
      <c r="A826" s="36">
        <v>38648</v>
      </c>
      <c r="B826" s="68" t="s">
        <v>714</v>
      </c>
      <c r="C826" s="33" t="s">
        <v>1317</v>
      </c>
      <c r="D826" s="32">
        <v>59</v>
      </c>
      <c r="E826" s="37">
        <v>18</v>
      </c>
      <c r="F826" s="38" t="str">
        <f>VLOOKUP(tabPontoPed[[#This Row],[GRUPO]],tabGrupos[#Data],2,FALSE)</f>
        <v>EQUIP.MAT.E ACESS.COMUNIC.CINE FOTO OTICA SOM</v>
      </c>
      <c r="G826" s="32" t="str">
        <f>VLOOKUP(tabPontoPed[[#This Row],[GRUPO]],tabGrupos[#Data],3,FALSE)</f>
        <v>INF</v>
      </c>
      <c r="H826" s="33" t="s">
        <v>1311</v>
      </c>
      <c r="I826" s="80">
        <v>4</v>
      </c>
      <c r="J826" s="39">
        <v>17</v>
      </c>
      <c r="K826" s="41">
        <f>tabPontoPed[[#This Row],[QTDMÊS]] * tabPontoPed[[#This Row],[MENSAL]]</f>
        <v>68</v>
      </c>
      <c r="L826" s="83"/>
      <c r="M826" s="81"/>
      <c r="N826" s="34" t="s">
        <v>1009</v>
      </c>
      <c r="O826" s="76"/>
      <c r="P826" s="77">
        <v>0</v>
      </c>
      <c r="Q826" s="57">
        <v>0</v>
      </c>
      <c r="R826" s="42">
        <v>0</v>
      </c>
      <c r="S826" s="69" t="str">
        <f>_xlfn.IFNA(IF(VLOOKUP(tabPontoPed[[#This Row],[CÓDIGO]],tabExcluirDoEstoque[#Data],1,FALSE),"sim",""),"")</f>
        <v>sim</v>
      </c>
      <c r="T826" s="43">
        <f>IF(AND(tabPontoPed[[#This Row],[MENSAL]]&gt;0,tabPontoPed[[#This Row],[CÁLCULO]]&gt;0), ABS( tabPontoPed[[#This Row],[MENSAL]] - tabPontoPed[[#This Row],[CÁLCULO]] ) / tabPontoPed[[#This Row],[MENSAL]], -1 )</f>
        <v>-1</v>
      </c>
      <c r="U826" s="58">
        <v>0</v>
      </c>
      <c r="V826" s="35">
        <f>IF(AND(tabPontoPed[[#This Row],[MENSAL]]&gt;0,tabPontoPed[[#This Row],[CÁLCULO]]&gt;0), IF( tabPontoPed[[#This Row],[MENSAL]] - tabPontoPed[[#This Row],[CÁLCULO]] &lt; 0, -1, IF( tabPontoPed[[#This Row],[MENSAL]] - tabPontoPed[[#This Row],[CÁLCULO]] &gt; 0, 1, -8)), -9 )</f>
        <v>-9</v>
      </c>
      <c r="W826" s="35"/>
      <c r="X826" s="49" t="s">
        <v>1564</v>
      </c>
      <c r="Y826" s="51">
        <v>44391.599108796298</v>
      </c>
      <c r="Z826" s="72">
        <f>tabPontoPed[CÁLC_4M] - tabPontoPed[CÁLCULO]</f>
        <v>0</v>
      </c>
      <c r="AA826" s="79" t="str">
        <f>IF(tabPontoPed[MENSAL]-tabPontoPed[ATA MENSAL] = 0,"sim","")</f>
        <v/>
      </c>
      <c r="AB826" s="79"/>
      <c r="AC826" s="47" t="str">
        <f t="shared" si="12"/>
        <v>*</v>
      </c>
    </row>
    <row r="827" spans="1:29" x14ac:dyDescent="0.25">
      <c r="A827" s="36">
        <v>119087</v>
      </c>
      <c r="B827" s="68" t="s">
        <v>716</v>
      </c>
      <c r="C827" s="33" t="s">
        <v>1317</v>
      </c>
      <c r="D827" s="32">
        <v>59</v>
      </c>
      <c r="E827" s="37">
        <v>18</v>
      </c>
      <c r="F827" s="38" t="str">
        <f>VLOOKUP(tabPontoPed[[#This Row],[GRUPO]],tabGrupos[#Data],2,FALSE)</f>
        <v>EQUIP.MAT.E ACESS.COMUNIC.CINE FOTO OTICA SOM</v>
      </c>
      <c r="G827" s="32" t="str">
        <f>VLOOKUP(tabPontoPed[[#This Row],[GRUPO]],tabGrupos[#Data],3,FALSE)</f>
        <v>INF</v>
      </c>
      <c r="H827" s="33" t="s">
        <v>1311</v>
      </c>
      <c r="I827" s="80">
        <v>4</v>
      </c>
      <c r="J827" s="39">
        <v>1</v>
      </c>
      <c r="K827" s="41">
        <f>tabPontoPed[[#This Row],[QTDMÊS]] * tabPontoPed[[#This Row],[MENSAL]]</f>
        <v>4</v>
      </c>
      <c r="L827" s="83"/>
      <c r="M827" s="81"/>
      <c r="N827" s="34" t="s">
        <v>1009</v>
      </c>
      <c r="O827" s="76"/>
      <c r="P827" s="77">
        <v>0</v>
      </c>
      <c r="Q827" s="57">
        <v>0</v>
      </c>
      <c r="R827" s="42">
        <v>0</v>
      </c>
      <c r="S827" s="69" t="str">
        <f>_xlfn.IFNA(IF(VLOOKUP(tabPontoPed[[#This Row],[CÓDIGO]],tabExcluirDoEstoque[#Data],1,FALSE),"sim",""),"")</f>
        <v>sim</v>
      </c>
      <c r="T827" s="43">
        <f>IF(AND(tabPontoPed[[#This Row],[MENSAL]]&gt;0,tabPontoPed[[#This Row],[CÁLCULO]]&gt;0), ABS( tabPontoPed[[#This Row],[MENSAL]] - tabPontoPed[[#This Row],[CÁLCULO]] ) / tabPontoPed[[#This Row],[MENSAL]], -1 )</f>
        <v>-1</v>
      </c>
      <c r="U827" s="58">
        <v>0</v>
      </c>
      <c r="V827" s="35">
        <f>IF(AND(tabPontoPed[[#This Row],[MENSAL]]&gt;0,tabPontoPed[[#This Row],[CÁLCULO]]&gt;0), IF( tabPontoPed[[#This Row],[MENSAL]] - tabPontoPed[[#This Row],[CÁLCULO]] &lt; 0, -1, IF( tabPontoPed[[#This Row],[MENSAL]] - tabPontoPed[[#This Row],[CÁLCULO]] &gt; 0, 1, -8)), -9 )</f>
        <v>-9</v>
      </c>
      <c r="W827" s="35"/>
      <c r="X827" s="49" t="s">
        <v>1564</v>
      </c>
      <c r="Y827" s="51">
        <v>44391.599108796298</v>
      </c>
      <c r="Z827" s="72">
        <f>tabPontoPed[CÁLC_4M] - tabPontoPed[CÁLCULO]</f>
        <v>0</v>
      </c>
      <c r="AA827" s="79" t="str">
        <f>IF(tabPontoPed[MENSAL]-tabPontoPed[ATA MENSAL] = 0,"sim","")</f>
        <v/>
      </c>
      <c r="AB827" s="79"/>
      <c r="AC827" s="47" t="str">
        <f t="shared" si="12"/>
        <v>*</v>
      </c>
    </row>
    <row r="828" spans="1:29" x14ac:dyDescent="0.25">
      <c r="A828" s="36">
        <v>106130</v>
      </c>
      <c r="B828" s="68" t="s">
        <v>491</v>
      </c>
      <c r="C828" s="33" t="s">
        <v>1317</v>
      </c>
      <c r="D828" s="32">
        <v>50</v>
      </c>
      <c r="E828" s="37">
        <v>2</v>
      </c>
      <c r="F828" s="38" t="str">
        <f>VLOOKUP(tabPontoPed[[#This Row],[GRUPO]],tabGrupos[#Data],2,FALSE)</f>
        <v>EQUIP. P/ COND. VENT. PURIF. DE AR, COMPONENTES E ACES.</v>
      </c>
      <c r="G828" s="32" t="str">
        <f>VLOOKUP(tabPontoPed[[#This Row],[GRUPO]],tabGrupos[#Data],3,FALSE)</f>
        <v>MAN</v>
      </c>
      <c r="H828" s="33" t="s">
        <v>1311</v>
      </c>
      <c r="I828" s="80">
        <v>4</v>
      </c>
      <c r="J828" s="39">
        <v>1</v>
      </c>
      <c r="K828" s="41">
        <f>tabPontoPed[[#This Row],[QTDMÊS]] * tabPontoPed[[#This Row],[MENSAL]]</f>
        <v>4</v>
      </c>
      <c r="L828" s="83"/>
      <c r="M828" s="81"/>
      <c r="N828" s="34" t="s">
        <v>1009</v>
      </c>
      <c r="O828" s="76"/>
      <c r="P828" s="77">
        <v>0</v>
      </c>
      <c r="Q828" s="57">
        <v>0</v>
      </c>
      <c r="R828" s="42">
        <v>0</v>
      </c>
      <c r="S828" s="69" t="str">
        <f>_xlfn.IFNA(IF(VLOOKUP(tabPontoPed[[#This Row],[CÓDIGO]],tabExcluirDoEstoque[#Data],1,FALSE),"sim",""),"")</f>
        <v/>
      </c>
      <c r="T828" s="43">
        <f>IF(AND(tabPontoPed[[#This Row],[MENSAL]]&gt;0,tabPontoPed[[#This Row],[CÁLCULO]]&gt;0), ABS( tabPontoPed[[#This Row],[MENSAL]] - tabPontoPed[[#This Row],[CÁLCULO]] ) / tabPontoPed[[#This Row],[MENSAL]], -1 )</f>
        <v>-1</v>
      </c>
      <c r="U828" s="58">
        <v>0</v>
      </c>
      <c r="V828" s="35">
        <f>IF(AND(tabPontoPed[[#This Row],[MENSAL]]&gt;0,tabPontoPed[[#This Row],[CÁLCULO]]&gt;0), IF( tabPontoPed[[#This Row],[MENSAL]] - tabPontoPed[[#This Row],[CÁLCULO]] &lt; 0, -1, IF( tabPontoPed[[#This Row],[MENSAL]] - tabPontoPed[[#This Row],[CÁLCULO]] &gt; 0, 1, -8)), -9 )</f>
        <v>-9</v>
      </c>
      <c r="W828" s="35"/>
      <c r="X828" s="49" t="s">
        <v>1564</v>
      </c>
      <c r="Y828" s="51">
        <v>44391.599108796298</v>
      </c>
      <c r="Z828" s="72">
        <f>tabPontoPed[CÁLC_4M] - tabPontoPed[CÁLCULO]</f>
        <v>0</v>
      </c>
      <c r="AA828" s="79" t="str">
        <f>IF(tabPontoPed[MENSAL]-tabPontoPed[ATA MENSAL] = 0,"sim","")</f>
        <v/>
      </c>
      <c r="AB828" s="79"/>
      <c r="AC828" s="47" t="str">
        <f t="shared" si="12"/>
        <v>*</v>
      </c>
    </row>
    <row r="829" spans="1:29" x14ac:dyDescent="0.25">
      <c r="A829" s="36">
        <v>105348</v>
      </c>
      <c r="B829" s="68" t="s">
        <v>583</v>
      </c>
      <c r="C829" s="33" t="s">
        <v>1317</v>
      </c>
      <c r="D829" s="32">
        <v>54</v>
      </c>
      <c r="E829" s="37">
        <v>4</v>
      </c>
      <c r="F829" s="38" t="str">
        <f>VLOOKUP(tabPontoPed[[#This Row],[GRUPO]],tabGrupos[#Data],2,FALSE)</f>
        <v>EQUIP PROT IND, INST MAT P/ SINAL, CONTR, COMB ...</v>
      </c>
      <c r="G829" s="32" t="str">
        <f>VLOOKUP(tabPontoPed[[#This Row],[GRUPO]],tabGrupos[#Data],3,FALSE)</f>
        <v>MAN</v>
      </c>
      <c r="H829" s="33" t="s">
        <v>1311</v>
      </c>
      <c r="I829" s="80">
        <v>4</v>
      </c>
      <c r="J829" s="39">
        <v>0</v>
      </c>
      <c r="K829" s="41">
        <f>tabPontoPed[[#This Row],[QTDMÊS]] * tabPontoPed[[#This Row],[MENSAL]]</f>
        <v>0</v>
      </c>
      <c r="L829" s="83"/>
      <c r="M829" s="81"/>
      <c r="N829" s="34" t="s">
        <v>1009</v>
      </c>
      <c r="O829" s="76"/>
      <c r="P829" s="77"/>
      <c r="Q829" s="57">
        <v>0</v>
      </c>
      <c r="R829" s="42">
        <v>0</v>
      </c>
      <c r="S829" s="69" t="str">
        <f>_xlfn.IFNA(IF(VLOOKUP(tabPontoPed[[#This Row],[CÓDIGO]],tabExcluirDoEstoque[#Data],1,FALSE),"sim",""),"")</f>
        <v/>
      </c>
      <c r="T829" s="43">
        <f>IF(AND(tabPontoPed[[#This Row],[MENSAL]]&gt;0,tabPontoPed[[#This Row],[CÁLCULO]]&gt;0), ABS( tabPontoPed[[#This Row],[MENSAL]] - tabPontoPed[[#This Row],[CÁLCULO]] ) / tabPontoPed[[#This Row],[MENSAL]], -1 )</f>
        <v>-1</v>
      </c>
      <c r="U829" s="58">
        <v>0</v>
      </c>
      <c r="V829" s="35">
        <f>IF(AND(tabPontoPed[[#This Row],[MENSAL]]&gt;0,tabPontoPed[[#This Row],[CÁLCULO]]&gt;0), IF( tabPontoPed[[#This Row],[MENSAL]] - tabPontoPed[[#This Row],[CÁLCULO]] &lt; 0, -1, IF( tabPontoPed[[#This Row],[MENSAL]] - tabPontoPed[[#This Row],[CÁLCULO]] &gt; 0, 1, -8)), -9 )</f>
        <v>-9</v>
      </c>
      <c r="W829" s="35"/>
      <c r="X829" s="49" t="s">
        <v>1564</v>
      </c>
      <c r="Y829" s="51">
        <v>44391.599108796298</v>
      </c>
      <c r="Z829" s="72">
        <f>tabPontoPed[CÁLC_4M] - tabPontoPed[CÁLCULO]</f>
        <v>0</v>
      </c>
      <c r="AA829" s="79" t="str">
        <f>IF(tabPontoPed[MENSAL]-tabPontoPed[ATA MENSAL] = 0,"sim","")</f>
        <v>sim</v>
      </c>
      <c r="AB829" s="79" t="s">
        <v>1614</v>
      </c>
      <c r="AC829" s="47" t="str">
        <f t="shared" si="12"/>
        <v>*</v>
      </c>
    </row>
    <row r="830" spans="1:29" x14ac:dyDescent="0.25">
      <c r="A830" s="36">
        <v>136823</v>
      </c>
      <c r="B830" s="68" t="s">
        <v>1587</v>
      </c>
      <c r="C830" s="33">
        <v>1</v>
      </c>
      <c r="D830" s="32">
        <v>54</v>
      </c>
      <c r="E830" s="37">
        <v>4</v>
      </c>
      <c r="F830" s="38" t="str">
        <f>VLOOKUP(tabPontoPed[[#This Row],[GRUPO]],tabGrupos[#Data],2,FALSE)</f>
        <v>EQUIP PROT IND, INST MAT P/ SINAL, CONTR, COMB ...</v>
      </c>
      <c r="G830" s="32" t="str">
        <f>VLOOKUP(tabPontoPed[[#This Row],[GRUPO]],tabGrupos[#Data],3,FALSE)</f>
        <v>MAN</v>
      </c>
      <c r="H830" s="33" t="s">
        <v>1311</v>
      </c>
      <c r="I830" s="80">
        <v>4</v>
      </c>
      <c r="J830" s="39">
        <v>0</v>
      </c>
      <c r="K830" s="41">
        <f>tabPontoPed[[#This Row],[QTDMÊS]] * tabPontoPed[[#This Row],[MENSAL]]</f>
        <v>0</v>
      </c>
      <c r="L830" s="83"/>
      <c r="M830" s="81"/>
      <c r="N830" s="34" t="s">
        <v>1009</v>
      </c>
      <c r="O830" s="76" t="s">
        <v>1766</v>
      </c>
      <c r="P830" s="77">
        <v>0</v>
      </c>
      <c r="Q830" s="57">
        <v>3</v>
      </c>
      <c r="R830" s="42">
        <v>1</v>
      </c>
      <c r="S830" s="69" t="str">
        <f>_xlfn.IFNA(IF(VLOOKUP(tabPontoPed[[#This Row],[CÓDIGO]],tabExcluirDoEstoque[#Data],1,FALSE),"sim",""),"")</f>
        <v/>
      </c>
      <c r="T830" s="43">
        <f>IF(AND(tabPontoPed[[#This Row],[MENSAL]]&gt;0,tabPontoPed[[#This Row],[CÁLCULO]]&gt;0), ABS( tabPontoPed[[#This Row],[MENSAL]] - tabPontoPed[[#This Row],[CÁLCULO]] ) / tabPontoPed[[#This Row],[MENSAL]], -1 )</f>
        <v>-1</v>
      </c>
      <c r="U830" s="58">
        <v>10</v>
      </c>
      <c r="V830" s="35">
        <f>IF(AND(tabPontoPed[[#This Row],[MENSAL]]&gt;0,tabPontoPed[[#This Row],[CÁLCULO]]&gt;0), IF( tabPontoPed[[#This Row],[MENSAL]] - tabPontoPed[[#This Row],[CÁLCULO]] &lt; 0, -1, IF( tabPontoPed[[#This Row],[MENSAL]] - tabPontoPed[[#This Row],[CÁLCULO]] &gt; 0, 1, -8)), -9 )</f>
        <v>-9</v>
      </c>
      <c r="W830" s="35"/>
      <c r="X830" s="48" t="s">
        <v>1564</v>
      </c>
      <c r="Y830" s="53">
        <v>44391.599108796298</v>
      </c>
      <c r="Z830" s="72">
        <f>tabPontoPed[CÁLC_4M] - tabPontoPed[CÁLCULO]</f>
        <v>2</v>
      </c>
      <c r="AA830" s="79" t="str">
        <f>IF(tabPontoPed[MENSAL]-tabPontoPed[ATA MENSAL] = 0,"sim","")</f>
        <v>sim</v>
      </c>
      <c r="AB830" s="79" t="s">
        <v>1614</v>
      </c>
      <c r="AC830" s="47" t="str">
        <f t="shared" si="12"/>
        <v>*</v>
      </c>
    </row>
    <row r="831" spans="1:29" x14ac:dyDescent="0.25">
      <c r="A831" s="36">
        <v>136824</v>
      </c>
      <c r="B831" s="68" t="s">
        <v>1588</v>
      </c>
      <c r="C831" s="33">
        <v>1</v>
      </c>
      <c r="D831" s="32">
        <v>54</v>
      </c>
      <c r="E831" s="37">
        <v>4</v>
      </c>
      <c r="F831" s="38" t="str">
        <f>VLOOKUP(tabPontoPed[[#This Row],[GRUPO]],tabGrupos[#Data],2,FALSE)</f>
        <v>EQUIP PROT IND, INST MAT P/ SINAL, CONTR, COMB ...</v>
      </c>
      <c r="G831" s="32" t="str">
        <f>VLOOKUP(tabPontoPed[[#This Row],[GRUPO]],tabGrupos[#Data],3,FALSE)</f>
        <v>MAN</v>
      </c>
      <c r="H831" s="33" t="s">
        <v>1311</v>
      </c>
      <c r="I831" s="80">
        <v>4</v>
      </c>
      <c r="J831" s="39">
        <v>0</v>
      </c>
      <c r="K831" s="41">
        <f>tabPontoPed[[#This Row],[QTDMÊS]] * tabPontoPed[[#This Row],[MENSAL]]</f>
        <v>0</v>
      </c>
      <c r="L831" s="83"/>
      <c r="M831" s="81"/>
      <c r="N831" s="34" t="s">
        <v>1009</v>
      </c>
      <c r="O831" s="76" t="s">
        <v>1766</v>
      </c>
      <c r="P831" s="77">
        <v>0</v>
      </c>
      <c r="Q831" s="57">
        <v>2</v>
      </c>
      <c r="R831" s="42">
        <v>1</v>
      </c>
      <c r="S831" s="69" t="str">
        <f>_xlfn.IFNA(IF(VLOOKUP(tabPontoPed[[#This Row],[CÓDIGO]],tabExcluirDoEstoque[#Data],1,FALSE),"sim",""),"")</f>
        <v/>
      </c>
      <c r="T831" s="43">
        <f>IF(AND(tabPontoPed[[#This Row],[MENSAL]]&gt;0,tabPontoPed[[#This Row],[CÁLCULO]]&gt;0), ABS( tabPontoPed[[#This Row],[MENSAL]] - tabPontoPed[[#This Row],[CÁLCULO]] ) / tabPontoPed[[#This Row],[MENSAL]], -1 )</f>
        <v>-1</v>
      </c>
      <c r="U831" s="58">
        <v>6</v>
      </c>
      <c r="V831" s="35">
        <f>IF(AND(tabPontoPed[[#This Row],[MENSAL]]&gt;0,tabPontoPed[[#This Row],[CÁLCULO]]&gt;0), IF( tabPontoPed[[#This Row],[MENSAL]] - tabPontoPed[[#This Row],[CÁLCULO]] &lt; 0, -1, IF( tabPontoPed[[#This Row],[MENSAL]] - tabPontoPed[[#This Row],[CÁLCULO]] &gt; 0, 1, -8)), -9 )</f>
        <v>-9</v>
      </c>
      <c r="W831" s="35"/>
      <c r="X831" s="48" t="s">
        <v>1564</v>
      </c>
      <c r="Y831" s="53">
        <v>44391.599108796298</v>
      </c>
      <c r="Z831" s="72">
        <f>tabPontoPed[CÁLC_4M] - tabPontoPed[CÁLCULO]</f>
        <v>1</v>
      </c>
      <c r="AA831" s="79" t="str">
        <f>IF(tabPontoPed[MENSAL]-tabPontoPed[ATA MENSAL] = 0,"sim","")</f>
        <v>sim</v>
      </c>
      <c r="AB831" s="79" t="s">
        <v>1614</v>
      </c>
      <c r="AC831" s="47" t="str">
        <f t="shared" si="12"/>
        <v>*</v>
      </c>
    </row>
    <row r="832" spans="1:29" x14ac:dyDescent="0.25">
      <c r="A832" s="36">
        <v>136825</v>
      </c>
      <c r="B832" s="68" t="s">
        <v>1589</v>
      </c>
      <c r="C832" s="33">
        <v>1</v>
      </c>
      <c r="D832" s="32">
        <v>54</v>
      </c>
      <c r="E832" s="37">
        <v>4</v>
      </c>
      <c r="F832" s="38" t="str">
        <f>VLOOKUP(tabPontoPed[[#This Row],[GRUPO]],tabGrupos[#Data],2,FALSE)</f>
        <v>EQUIP PROT IND, INST MAT P/ SINAL, CONTR, COMB ...</v>
      </c>
      <c r="G832" s="32" t="str">
        <f>VLOOKUP(tabPontoPed[[#This Row],[GRUPO]],tabGrupos[#Data],3,FALSE)</f>
        <v>MAN</v>
      </c>
      <c r="H832" s="33" t="s">
        <v>1311</v>
      </c>
      <c r="I832" s="80">
        <v>4</v>
      </c>
      <c r="J832" s="39">
        <v>0</v>
      </c>
      <c r="K832" s="41">
        <f>tabPontoPed[[#This Row],[QTDMÊS]] * tabPontoPed[[#This Row],[MENSAL]]</f>
        <v>0</v>
      </c>
      <c r="L832" s="83"/>
      <c r="M832" s="81"/>
      <c r="N832" s="34" t="s">
        <v>1009</v>
      </c>
      <c r="O832" s="76" t="s">
        <v>1766</v>
      </c>
      <c r="P832" s="77">
        <v>0</v>
      </c>
      <c r="Q832" s="57">
        <v>2</v>
      </c>
      <c r="R832" s="42">
        <v>1</v>
      </c>
      <c r="S832" s="69" t="str">
        <f>_xlfn.IFNA(IF(VLOOKUP(tabPontoPed[[#This Row],[CÓDIGO]],tabExcluirDoEstoque[#Data],1,FALSE),"sim",""),"")</f>
        <v/>
      </c>
      <c r="T832" s="43">
        <f>IF(AND(tabPontoPed[[#This Row],[MENSAL]]&gt;0,tabPontoPed[[#This Row],[CÁLCULO]]&gt;0), ABS( tabPontoPed[[#This Row],[MENSAL]] - tabPontoPed[[#This Row],[CÁLCULO]] ) / tabPontoPed[[#This Row],[MENSAL]], -1 )</f>
        <v>-1</v>
      </c>
      <c r="U832" s="58">
        <v>4</v>
      </c>
      <c r="V832" s="35">
        <f>IF(AND(tabPontoPed[[#This Row],[MENSAL]]&gt;0,tabPontoPed[[#This Row],[CÁLCULO]]&gt;0), IF( tabPontoPed[[#This Row],[MENSAL]] - tabPontoPed[[#This Row],[CÁLCULO]] &lt; 0, -1, IF( tabPontoPed[[#This Row],[MENSAL]] - tabPontoPed[[#This Row],[CÁLCULO]] &gt; 0, 1, -8)), -9 )</f>
        <v>-9</v>
      </c>
      <c r="W832" s="35"/>
      <c r="X832" s="48" t="s">
        <v>1564</v>
      </c>
      <c r="Y832" s="53">
        <v>44391.599108796298</v>
      </c>
      <c r="Z832" s="72">
        <f>tabPontoPed[CÁLC_4M] - tabPontoPed[CÁLCULO]</f>
        <v>1</v>
      </c>
      <c r="AA832" s="79" t="str">
        <f>IF(tabPontoPed[MENSAL]-tabPontoPed[ATA MENSAL] = 0,"sim","")</f>
        <v>sim</v>
      </c>
      <c r="AB832" s="79" t="s">
        <v>1614</v>
      </c>
      <c r="AC832" s="47" t="str">
        <f t="shared" si="12"/>
        <v>*</v>
      </c>
    </row>
    <row r="833" spans="1:29" x14ac:dyDescent="0.25">
      <c r="A833" s="36">
        <v>136826</v>
      </c>
      <c r="B833" s="68" t="s">
        <v>1590</v>
      </c>
      <c r="C833" s="33">
        <v>1</v>
      </c>
      <c r="D833" s="32">
        <v>54</v>
      </c>
      <c r="E833" s="37">
        <v>4</v>
      </c>
      <c r="F833" s="38" t="str">
        <f>VLOOKUP(tabPontoPed[[#This Row],[GRUPO]],tabGrupos[#Data],2,FALSE)</f>
        <v>EQUIP PROT IND, INST MAT P/ SINAL, CONTR, COMB ...</v>
      </c>
      <c r="G833" s="32" t="str">
        <f>VLOOKUP(tabPontoPed[[#This Row],[GRUPO]],tabGrupos[#Data],3,FALSE)</f>
        <v>MAN</v>
      </c>
      <c r="H833" s="33" t="s">
        <v>1311</v>
      </c>
      <c r="I833" s="80">
        <v>4</v>
      </c>
      <c r="J833" s="39">
        <v>0</v>
      </c>
      <c r="K833" s="41">
        <f>tabPontoPed[[#This Row],[QTDMÊS]] * tabPontoPed[[#This Row],[MENSAL]]</f>
        <v>0</v>
      </c>
      <c r="L833" s="83"/>
      <c r="M833" s="81"/>
      <c r="N833" s="34" t="s">
        <v>1009</v>
      </c>
      <c r="O833" s="76" t="s">
        <v>1766</v>
      </c>
      <c r="P833" s="77">
        <v>0</v>
      </c>
      <c r="Q833" s="57">
        <v>2</v>
      </c>
      <c r="R833" s="42">
        <v>2</v>
      </c>
      <c r="S833" s="69" t="str">
        <f>_xlfn.IFNA(IF(VLOOKUP(tabPontoPed[[#This Row],[CÓDIGO]],tabExcluirDoEstoque[#Data],1,FALSE),"sim",""),"")</f>
        <v/>
      </c>
      <c r="T833" s="43">
        <f>IF(AND(tabPontoPed[[#This Row],[MENSAL]]&gt;0,tabPontoPed[[#This Row],[CÁLCULO]]&gt;0), ABS( tabPontoPed[[#This Row],[MENSAL]] - tabPontoPed[[#This Row],[CÁLCULO]] ) / tabPontoPed[[#This Row],[MENSAL]], -1 )</f>
        <v>-1</v>
      </c>
      <c r="U833" s="58">
        <v>6</v>
      </c>
      <c r="V833" s="35">
        <f>IF(AND(tabPontoPed[[#This Row],[MENSAL]]&gt;0,tabPontoPed[[#This Row],[CÁLCULO]]&gt;0), IF( tabPontoPed[[#This Row],[MENSAL]] - tabPontoPed[[#This Row],[CÁLCULO]] &lt; 0, -1, IF( tabPontoPed[[#This Row],[MENSAL]] - tabPontoPed[[#This Row],[CÁLCULO]] &gt; 0, 1, -8)), -9 )</f>
        <v>-9</v>
      </c>
      <c r="W833" s="35"/>
      <c r="X833" s="48" t="s">
        <v>1564</v>
      </c>
      <c r="Y833" s="53">
        <v>44391.599108796298</v>
      </c>
      <c r="Z833" s="72">
        <f>tabPontoPed[CÁLC_4M] - tabPontoPed[CÁLCULO]</f>
        <v>0</v>
      </c>
      <c r="AA833" s="79" t="str">
        <f>IF(tabPontoPed[MENSAL]-tabPontoPed[ATA MENSAL] = 0,"sim","")</f>
        <v>sim</v>
      </c>
      <c r="AB833" s="79" t="s">
        <v>1614</v>
      </c>
      <c r="AC833" s="47" t="str">
        <f t="shared" si="12"/>
        <v>*</v>
      </c>
    </row>
    <row r="834" spans="1:29" x14ac:dyDescent="0.25">
      <c r="A834" s="36">
        <v>136829</v>
      </c>
      <c r="B834" s="68" t="s">
        <v>1591</v>
      </c>
      <c r="C834" s="33">
        <v>1</v>
      </c>
      <c r="D834" s="32">
        <v>54</v>
      </c>
      <c r="E834" s="37">
        <v>4</v>
      </c>
      <c r="F834" s="38" t="str">
        <f>VLOOKUP(tabPontoPed[[#This Row],[GRUPO]],tabGrupos[#Data],2,FALSE)</f>
        <v>EQUIP PROT IND, INST MAT P/ SINAL, CONTR, COMB ...</v>
      </c>
      <c r="G834" s="32" t="str">
        <f>VLOOKUP(tabPontoPed[[#This Row],[GRUPO]],tabGrupos[#Data],3,FALSE)</f>
        <v>MAN</v>
      </c>
      <c r="H834" s="33" t="s">
        <v>1311</v>
      </c>
      <c r="I834" s="80">
        <v>4</v>
      </c>
      <c r="J834" s="39">
        <v>0</v>
      </c>
      <c r="K834" s="41">
        <f>tabPontoPed[[#This Row],[QTDMÊS]] * tabPontoPed[[#This Row],[MENSAL]]</f>
        <v>0</v>
      </c>
      <c r="L834" s="83"/>
      <c r="M834" s="81"/>
      <c r="N834" s="34" t="s">
        <v>1009</v>
      </c>
      <c r="O834" s="76"/>
      <c r="P834" s="77">
        <v>0</v>
      </c>
      <c r="Q834" s="57">
        <v>1</v>
      </c>
      <c r="R834" s="42">
        <v>1</v>
      </c>
      <c r="S834" s="69" t="str">
        <f>_xlfn.IFNA(IF(VLOOKUP(tabPontoPed[[#This Row],[CÓDIGO]],tabExcluirDoEstoque[#Data],1,FALSE),"sim",""),"")</f>
        <v/>
      </c>
      <c r="T834" s="43">
        <f>IF(AND(tabPontoPed[[#This Row],[MENSAL]]&gt;0,tabPontoPed[[#This Row],[CÁLCULO]]&gt;0), ABS( tabPontoPed[[#This Row],[MENSAL]] - tabPontoPed[[#This Row],[CÁLCULO]] ) / tabPontoPed[[#This Row],[MENSAL]], -1 )</f>
        <v>-1</v>
      </c>
      <c r="U834" s="58">
        <v>2</v>
      </c>
      <c r="V834" s="35">
        <f>IF(AND(tabPontoPed[[#This Row],[MENSAL]]&gt;0,tabPontoPed[[#This Row],[CÁLCULO]]&gt;0), IF( tabPontoPed[[#This Row],[MENSAL]] - tabPontoPed[[#This Row],[CÁLCULO]] &lt; 0, -1, IF( tabPontoPed[[#This Row],[MENSAL]] - tabPontoPed[[#This Row],[CÁLCULO]] &gt; 0, 1, -8)), -9 )</f>
        <v>-9</v>
      </c>
      <c r="W834" s="35"/>
      <c r="X834" s="48" t="s">
        <v>1564</v>
      </c>
      <c r="Y834" s="53">
        <v>44391.599108796298</v>
      </c>
      <c r="Z834" s="72">
        <f>tabPontoPed[CÁLC_4M] - tabPontoPed[CÁLCULO]</f>
        <v>0</v>
      </c>
      <c r="AA834" s="79" t="str">
        <f>IF(tabPontoPed[MENSAL]-tabPontoPed[ATA MENSAL] = 0,"sim","")</f>
        <v>sim</v>
      </c>
      <c r="AB834" s="79" t="s">
        <v>1614</v>
      </c>
      <c r="AC834" s="47" t="str">
        <f t="shared" si="12"/>
        <v>*</v>
      </c>
    </row>
    <row r="835" spans="1:29" x14ac:dyDescent="0.25">
      <c r="A835" s="36">
        <v>106914</v>
      </c>
      <c r="B835" s="68" t="s">
        <v>1510</v>
      </c>
      <c r="C835" s="33">
        <v>1</v>
      </c>
      <c r="D835" s="32">
        <v>54</v>
      </c>
      <c r="E835" s="37">
        <v>4</v>
      </c>
      <c r="F835" s="38" t="str">
        <f>VLOOKUP(tabPontoPed[[#This Row],[GRUPO]],tabGrupos[#Data],2,FALSE)</f>
        <v>EQUIP PROT IND, INST MAT P/ SINAL, CONTR, COMB ...</v>
      </c>
      <c r="G835" s="32" t="str">
        <f>VLOOKUP(tabPontoPed[[#This Row],[GRUPO]],tabGrupos[#Data],3,FALSE)</f>
        <v>MAN</v>
      </c>
      <c r="H835" s="33" t="s">
        <v>1311</v>
      </c>
      <c r="I835" s="80">
        <v>4</v>
      </c>
      <c r="J835" s="39">
        <v>0</v>
      </c>
      <c r="K835" s="41">
        <f>tabPontoPed[[#This Row],[QTDMÊS]] * tabPontoPed[[#This Row],[MENSAL]]</f>
        <v>0</v>
      </c>
      <c r="L835" s="83"/>
      <c r="M835" s="81"/>
      <c r="N835" s="34" t="s">
        <v>1009</v>
      </c>
      <c r="O835" s="76" t="s">
        <v>1767</v>
      </c>
      <c r="P835" s="77">
        <v>0</v>
      </c>
      <c r="Q835" s="57">
        <v>1</v>
      </c>
      <c r="R835" s="42">
        <v>1</v>
      </c>
      <c r="S835" s="69" t="str">
        <f>_xlfn.IFNA(IF(VLOOKUP(tabPontoPed[[#This Row],[CÓDIGO]],tabExcluirDoEstoque[#Data],1,FALSE),"sim",""),"")</f>
        <v/>
      </c>
      <c r="T835" s="43">
        <f>IF(AND(tabPontoPed[[#This Row],[MENSAL]]&gt;0,tabPontoPed[[#This Row],[CÁLCULO]]&gt;0), ABS( tabPontoPed[[#This Row],[MENSAL]] - tabPontoPed[[#This Row],[CÁLCULO]] ) / tabPontoPed[[#This Row],[MENSAL]], -1 )</f>
        <v>-1</v>
      </c>
      <c r="U835" s="58">
        <v>3</v>
      </c>
      <c r="V835" s="35">
        <f>IF(AND(tabPontoPed[[#This Row],[MENSAL]]&gt;0,tabPontoPed[[#This Row],[CÁLCULO]]&gt;0), IF( tabPontoPed[[#This Row],[MENSAL]] - tabPontoPed[[#This Row],[CÁLCULO]] &lt; 0, -1, IF( tabPontoPed[[#This Row],[MENSAL]] - tabPontoPed[[#This Row],[CÁLCULO]] &gt; 0, 1, -8)), -9 )</f>
        <v>-9</v>
      </c>
      <c r="W835" s="35"/>
      <c r="X835" s="49" t="s">
        <v>1564</v>
      </c>
      <c r="Y835" s="51">
        <v>44391.599108796298</v>
      </c>
      <c r="Z835" s="72">
        <f>tabPontoPed[CÁLC_4M] - tabPontoPed[CÁLCULO]</f>
        <v>0</v>
      </c>
      <c r="AA835" s="79" t="str">
        <f>IF(tabPontoPed[MENSAL]-tabPontoPed[ATA MENSAL] = 0,"sim","")</f>
        <v>sim</v>
      </c>
      <c r="AB835" s="79" t="s">
        <v>1614</v>
      </c>
      <c r="AC835" s="47" t="str">
        <f t="shared" ref="AC835:AC898" si="13">"*"</f>
        <v>*</v>
      </c>
    </row>
    <row r="836" spans="1:29" x14ac:dyDescent="0.25">
      <c r="A836" s="36">
        <v>106916</v>
      </c>
      <c r="B836" s="68" t="s">
        <v>1511</v>
      </c>
      <c r="C836" s="33">
        <v>1</v>
      </c>
      <c r="D836" s="32">
        <v>54</v>
      </c>
      <c r="E836" s="37">
        <v>4</v>
      </c>
      <c r="F836" s="38" t="str">
        <f>VLOOKUP(tabPontoPed[[#This Row],[GRUPO]],tabGrupos[#Data],2,FALSE)</f>
        <v>EQUIP PROT IND, INST MAT P/ SINAL, CONTR, COMB ...</v>
      </c>
      <c r="G836" s="32" t="str">
        <f>VLOOKUP(tabPontoPed[[#This Row],[GRUPO]],tabGrupos[#Data],3,FALSE)</f>
        <v>MAN</v>
      </c>
      <c r="H836" s="33" t="s">
        <v>1311</v>
      </c>
      <c r="I836" s="80">
        <v>4</v>
      </c>
      <c r="J836" s="39">
        <v>0</v>
      </c>
      <c r="K836" s="41">
        <f>tabPontoPed[[#This Row],[QTDMÊS]] * tabPontoPed[[#This Row],[MENSAL]]</f>
        <v>0</v>
      </c>
      <c r="L836" s="83"/>
      <c r="M836" s="81"/>
      <c r="N836" s="34" t="s">
        <v>1009</v>
      </c>
      <c r="O836" s="76" t="s">
        <v>1767</v>
      </c>
      <c r="P836" s="77">
        <v>0</v>
      </c>
      <c r="Q836" s="57">
        <v>0</v>
      </c>
      <c r="R836" s="42">
        <v>0</v>
      </c>
      <c r="S836" s="69" t="str">
        <f>_xlfn.IFNA(IF(VLOOKUP(tabPontoPed[[#This Row],[CÓDIGO]],tabExcluirDoEstoque[#Data],1,FALSE),"sim",""),"")</f>
        <v/>
      </c>
      <c r="T836" s="43">
        <f>IF(AND(tabPontoPed[[#This Row],[MENSAL]]&gt;0,tabPontoPed[[#This Row],[CÁLCULO]]&gt;0), ABS( tabPontoPed[[#This Row],[MENSAL]] - tabPontoPed[[#This Row],[CÁLCULO]] ) / tabPontoPed[[#This Row],[MENSAL]], -1 )</f>
        <v>-1</v>
      </c>
      <c r="U836" s="58">
        <v>0</v>
      </c>
      <c r="V836" s="35">
        <f>IF(AND(tabPontoPed[[#This Row],[MENSAL]]&gt;0,tabPontoPed[[#This Row],[CÁLCULO]]&gt;0), IF( tabPontoPed[[#This Row],[MENSAL]] - tabPontoPed[[#This Row],[CÁLCULO]] &lt; 0, -1, IF( tabPontoPed[[#This Row],[MENSAL]] - tabPontoPed[[#This Row],[CÁLCULO]] &gt; 0, 1, -8)), -9 )</f>
        <v>-9</v>
      </c>
      <c r="W836" s="35"/>
      <c r="X836" s="49" t="s">
        <v>1564</v>
      </c>
      <c r="Y836" s="51">
        <v>44391.599108796298</v>
      </c>
      <c r="Z836" s="72">
        <f>tabPontoPed[CÁLC_4M] - tabPontoPed[CÁLCULO]</f>
        <v>0</v>
      </c>
      <c r="AA836" s="79" t="str">
        <f>IF(tabPontoPed[MENSAL]-tabPontoPed[ATA MENSAL] = 0,"sim","")</f>
        <v>sim</v>
      </c>
      <c r="AB836" s="79" t="s">
        <v>1614</v>
      </c>
      <c r="AC836" s="47" t="str">
        <f t="shared" si="13"/>
        <v>*</v>
      </c>
    </row>
    <row r="837" spans="1:29" x14ac:dyDescent="0.25">
      <c r="A837" s="36">
        <v>106917</v>
      </c>
      <c r="B837" s="68" t="s">
        <v>1512</v>
      </c>
      <c r="C837" s="33">
        <v>1</v>
      </c>
      <c r="D837" s="32">
        <v>54</v>
      </c>
      <c r="E837" s="37">
        <v>4</v>
      </c>
      <c r="F837" s="38" t="str">
        <f>VLOOKUP(tabPontoPed[[#This Row],[GRUPO]],tabGrupos[#Data],2,FALSE)</f>
        <v>EQUIP PROT IND, INST MAT P/ SINAL, CONTR, COMB ...</v>
      </c>
      <c r="G837" s="32" t="str">
        <f>VLOOKUP(tabPontoPed[[#This Row],[GRUPO]],tabGrupos[#Data],3,FALSE)</f>
        <v>MAN</v>
      </c>
      <c r="H837" s="33" t="s">
        <v>1311</v>
      </c>
      <c r="I837" s="80">
        <v>4</v>
      </c>
      <c r="J837" s="39">
        <v>0</v>
      </c>
      <c r="K837" s="41">
        <f>tabPontoPed[[#This Row],[QTDMÊS]] * tabPontoPed[[#This Row],[MENSAL]]</f>
        <v>0</v>
      </c>
      <c r="L837" s="83"/>
      <c r="M837" s="81"/>
      <c r="N837" s="34" t="s">
        <v>1009</v>
      </c>
      <c r="O837" s="76" t="s">
        <v>1767</v>
      </c>
      <c r="P837" s="77">
        <v>0</v>
      </c>
      <c r="Q837" s="57">
        <v>2</v>
      </c>
      <c r="R837" s="42">
        <v>1</v>
      </c>
      <c r="S837" s="69" t="str">
        <f>_xlfn.IFNA(IF(VLOOKUP(tabPontoPed[[#This Row],[CÓDIGO]],tabExcluirDoEstoque[#Data],1,FALSE),"sim",""),"")</f>
        <v/>
      </c>
      <c r="T837" s="43">
        <f>IF(AND(tabPontoPed[[#This Row],[MENSAL]]&gt;0,tabPontoPed[[#This Row],[CÁLCULO]]&gt;0), ABS( tabPontoPed[[#This Row],[MENSAL]] - tabPontoPed[[#This Row],[CÁLCULO]] ) / tabPontoPed[[#This Row],[MENSAL]], -1 )</f>
        <v>-1</v>
      </c>
      <c r="U837" s="58">
        <v>6</v>
      </c>
      <c r="V837" s="35">
        <f>IF(AND(tabPontoPed[[#This Row],[MENSAL]]&gt;0,tabPontoPed[[#This Row],[CÁLCULO]]&gt;0), IF( tabPontoPed[[#This Row],[MENSAL]] - tabPontoPed[[#This Row],[CÁLCULO]] &lt; 0, -1, IF( tabPontoPed[[#This Row],[MENSAL]] - tabPontoPed[[#This Row],[CÁLCULO]] &gt; 0, 1, -8)), -9 )</f>
        <v>-9</v>
      </c>
      <c r="W837" s="35"/>
      <c r="X837" s="49" t="s">
        <v>1564</v>
      </c>
      <c r="Y837" s="51">
        <v>44391.599108796298</v>
      </c>
      <c r="Z837" s="72">
        <f>tabPontoPed[CÁLC_4M] - tabPontoPed[CÁLCULO]</f>
        <v>1</v>
      </c>
      <c r="AA837" s="79" t="str">
        <f>IF(tabPontoPed[MENSAL]-tabPontoPed[ATA MENSAL] = 0,"sim","")</f>
        <v>sim</v>
      </c>
      <c r="AB837" s="79" t="s">
        <v>1614</v>
      </c>
      <c r="AC837" s="47" t="str">
        <f t="shared" si="13"/>
        <v>*</v>
      </c>
    </row>
    <row r="838" spans="1:29" x14ac:dyDescent="0.25">
      <c r="A838" s="36">
        <v>106918</v>
      </c>
      <c r="B838" s="68" t="s">
        <v>1513</v>
      </c>
      <c r="C838" s="33">
        <v>1</v>
      </c>
      <c r="D838" s="32">
        <v>54</v>
      </c>
      <c r="E838" s="37">
        <v>4</v>
      </c>
      <c r="F838" s="38" t="str">
        <f>VLOOKUP(tabPontoPed[[#This Row],[GRUPO]],tabGrupos[#Data],2,FALSE)</f>
        <v>EQUIP PROT IND, INST MAT P/ SINAL, CONTR, COMB ...</v>
      </c>
      <c r="G838" s="32" t="str">
        <f>VLOOKUP(tabPontoPed[[#This Row],[GRUPO]],tabGrupos[#Data],3,FALSE)</f>
        <v>MAN</v>
      </c>
      <c r="H838" s="33" t="s">
        <v>1311</v>
      </c>
      <c r="I838" s="80">
        <v>4</v>
      </c>
      <c r="J838" s="39">
        <v>0</v>
      </c>
      <c r="K838" s="41">
        <f>tabPontoPed[[#This Row],[QTDMÊS]] * tabPontoPed[[#This Row],[MENSAL]]</f>
        <v>0</v>
      </c>
      <c r="L838" s="83"/>
      <c r="M838" s="81"/>
      <c r="N838" s="34" t="s">
        <v>1009</v>
      </c>
      <c r="O838" s="76" t="s">
        <v>1767</v>
      </c>
      <c r="P838" s="77">
        <v>0</v>
      </c>
      <c r="Q838" s="57">
        <v>0</v>
      </c>
      <c r="R838" s="42">
        <v>1</v>
      </c>
      <c r="S838" s="69" t="str">
        <f>_xlfn.IFNA(IF(VLOOKUP(tabPontoPed[[#This Row],[CÓDIGO]],tabExcluirDoEstoque[#Data],1,FALSE),"sim",""),"")</f>
        <v/>
      </c>
      <c r="T838" s="43">
        <f>IF(AND(tabPontoPed[[#This Row],[MENSAL]]&gt;0,tabPontoPed[[#This Row],[CÁLCULO]]&gt;0), ABS( tabPontoPed[[#This Row],[MENSAL]] - tabPontoPed[[#This Row],[CÁLCULO]] ) / tabPontoPed[[#This Row],[MENSAL]], -1 )</f>
        <v>-1</v>
      </c>
      <c r="U838" s="58">
        <v>2</v>
      </c>
      <c r="V838" s="35">
        <f>IF(AND(tabPontoPed[[#This Row],[MENSAL]]&gt;0,tabPontoPed[[#This Row],[CÁLCULO]]&gt;0), IF( tabPontoPed[[#This Row],[MENSAL]] - tabPontoPed[[#This Row],[CÁLCULO]] &lt; 0, -1, IF( tabPontoPed[[#This Row],[MENSAL]] - tabPontoPed[[#This Row],[CÁLCULO]] &gt; 0, 1, -8)), -9 )</f>
        <v>-9</v>
      </c>
      <c r="W838" s="35"/>
      <c r="X838" s="49" t="s">
        <v>1564</v>
      </c>
      <c r="Y838" s="51">
        <v>44391.599108796298</v>
      </c>
      <c r="Z838" s="72">
        <f>tabPontoPed[CÁLC_4M] - tabPontoPed[CÁLCULO]</f>
        <v>-1</v>
      </c>
      <c r="AA838" s="79" t="str">
        <f>IF(tabPontoPed[MENSAL]-tabPontoPed[ATA MENSAL] = 0,"sim","")</f>
        <v>sim</v>
      </c>
      <c r="AB838" s="79" t="s">
        <v>1614</v>
      </c>
      <c r="AC838" s="47" t="str">
        <f t="shared" si="13"/>
        <v>*</v>
      </c>
    </row>
    <row r="839" spans="1:29" x14ac:dyDescent="0.25">
      <c r="A839" s="36">
        <v>106919</v>
      </c>
      <c r="B839" s="68" t="s">
        <v>1514</v>
      </c>
      <c r="C839" s="33">
        <v>1</v>
      </c>
      <c r="D839" s="32">
        <v>54</v>
      </c>
      <c r="E839" s="37">
        <v>4</v>
      </c>
      <c r="F839" s="38" t="str">
        <f>VLOOKUP(tabPontoPed[[#This Row],[GRUPO]],tabGrupos[#Data],2,FALSE)</f>
        <v>EQUIP PROT IND, INST MAT P/ SINAL, CONTR, COMB ...</v>
      </c>
      <c r="G839" s="32" t="str">
        <f>VLOOKUP(tabPontoPed[[#This Row],[GRUPO]],tabGrupos[#Data],3,FALSE)</f>
        <v>MAN</v>
      </c>
      <c r="H839" s="33" t="s">
        <v>1311</v>
      </c>
      <c r="I839" s="80">
        <v>4</v>
      </c>
      <c r="J839" s="39">
        <v>0</v>
      </c>
      <c r="K839" s="41">
        <f>tabPontoPed[[#This Row],[QTDMÊS]] * tabPontoPed[[#This Row],[MENSAL]]</f>
        <v>0</v>
      </c>
      <c r="L839" s="83"/>
      <c r="M839" s="81"/>
      <c r="N839" s="34" t="s">
        <v>1009</v>
      </c>
      <c r="O839" s="76" t="s">
        <v>1767</v>
      </c>
      <c r="P839" s="77">
        <v>0</v>
      </c>
      <c r="Q839" s="57">
        <v>1</v>
      </c>
      <c r="R839" s="42">
        <v>1</v>
      </c>
      <c r="S839" s="69" t="str">
        <f>_xlfn.IFNA(IF(VLOOKUP(tabPontoPed[[#This Row],[CÓDIGO]],tabExcluirDoEstoque[#Data],1,FALSE),"sim",""),"")</f>
        <v/>
      </c>
      <c r="T839" s="43">
        <f>IF(AND(tabPontoPed[[#This Row],[MENSAL]]&gt;0,tabPontoPed[[#This Row],[CÁLCULO]]&gt;0), ABS( tabPontoPed[[#This Row],[MENSAL]] - tabPontoPed[[#This Row],[CÁLCULO]] ) / tabPontoPed[[#This Row],[MENSAL]], -1 )</f>
        <v>-1</v>
      </c>
      <c r="U839" s="58">
        <v>4</v>
      </c>
      <c r="V839" s="35">
        <f>IF(AND(tabPontoPed[[#This Row],[MENSAL]]&gt;0,tabPontoPed[[#This Row],[CÁLCULO]]&gt;0), IF( tabPontoPed[[#This Row],[MENSAL]] - tabPontoPed[[#This Row],[CÁLCULO]] &lt; 0, -1, IF( tabPontoPed[[#This Row],[MENSAL]] - tabPontoPed[[#This Row],[CÁLCULO]] &gt; 0, 1, -8)), -9 )</f>
        <v>-9</v>
      </c>
      <c r="W839" s="35"/>
      <c r="X839" s="49" t="s">
        <v>1564</v>
      </c>
      <c r="Y839" s="51">
        <v>44391.599108796298</v>
      </c>
      <c r="Z839" s="72">
        <f>tabPontoPed[CÁLC_4M] - tabPontoPed[CÁLCULO]</f>
        <v>0</v>
      </c>
      <c r="AA839" s="79" t="str">
        <f>IF(tabPontoPed[MENSAL]-tabPontoPed[ATA MENSAL] = 0,"sim","")</f>
        <v>sim</v>
      </c>
      <c r="AB839" s="79" t="s">
        <v>1614</v>
      </c>
      <c r="AC839" s="47" t="str">
        <f t="shared" si="13"/>
        <v>*</v>
      </c>
    </row>
    <row r="840" spans="1:29" x14ac:dyDescent="0.25">
      <c r="A840" s="36">
        <v>135013</v>
      </c>
      <c r="B840" s="68" t="s">
        <v>1409</v>
      </c>
      <c r="C840" s="33"/>
      <c r="D840" s="32">
        <v>54</v>
      </c>
      <c r="E840" s="37">
        <v>4</v>
      </c>
      <c r="F840" s="38" t="str">
        <f>VLOOKUP(tabPontoPed[[#This Row],[GRUPO]],tabGrupos[#Data],2,FALSE)</f>
        <v>EQUIP PROT IND, INST MAT P/ SINAL, CONTR, COMB ...</v>
      </c>
      <c r="G840" s="32" t="str">
        <f>VLOOKUP(tabPontoPed[[#This Row],[GRUPO]],tabGrupos[#Data],3,FALSE)</f>
        <v>MAN</v>
      </c>
      <c r="H840" s="33" t="s">
        <v>1311</v>
      </c>
      <c r="I840" s="80">
        <v>4</v>
      </c>
      <c r="J840" s="39">
        <v>0</v>
      </c>
      <c r="K840" s="41">
        <f>tabPontoPed[[#This Row],[QTDMÊS]] * tabPontoPed[[#This Row],[MENSAL]]</f>
        <v>0</v>
      </c>
      <c r="L840" s="83"/>
      <c r="M840" s="81"/>
      <c r="N840" s="34" t="s">
        <v>1009</v>
      </c>
      <c r="O840" s="76" t="s">
        <v>1768</v>
      </c>
      <c r="P840" s="77">
        <v>0</v>
      </c>
      <c r="Q840" s="57">
        <v>2</v>
      </c>
      <c r="R840" s="42">
        <v>1</v>
      </c>
      <c r="S840" s="69" t="str">
        <f>_xlfn.IFNA(IF(VLOOKUP(tabPontoPed[[#This Row],[CÓDIGO]],tabExcluirDoEstoque[#Data],1,FALSE),"sim",""),"")</f>
        <v/>
      </c>
      <c r="T840" s="43">
        <f>IF(AND(tabPontoPed[[#This Row],[MENSAL]]&gt;0,tabPontoPed[[#This Row],[CÁLCULO]]&gt;0), ABS( tabPontoPed[[#This Row],[MENSAL]] - tabPontoPed[[#This Row],[CÁLCULO]] ) / tabPontoPed[[#This Row],[MENSAL]], -1 )</f>
        <v>-1</v>
      </c>
      <c r="U840" s="58">
        <v>5</v>
      </c>
      <c r="V840" s="35">
        <f>IF(AND(tabPontoPed[[#This Row],[MENSAL]]&gt;0,tabPontoPed[[#This Row],[CÁLCULO]]&gt;0), IF( tabPontoPed[[#This Row],[MENSAL]] - tabPontoPed[[#This Row],[CÁLCULO]] &lt; 0, -1, IF( tabPontoPed[[#This Row],[MENSAL]] - tabPontoPed[[#This Row],[CÁLCULO]] &gt; 0, 1, -8)), -9 )</f>
        <v>-9</v>
      </c>
      <c r="W840" s="35"/>
      <c r="X840" s="49" t="s">
        <v>1564</v>
      </c>
      <c r="Y840" s="51">
        <v>44391.599108796298</v>
      </c>
      <c r="Z840" s="72">
        <f>tabPontoPed[CÁLC_4M] - tabPontoPed[CÁLCULO]</f>
        <v>1</v>
      </c>
      <c r="AA840" s="79" t="str">
        <f>IF(tabPontoPed[MENSAL]-tabPontoPed[ATA MENSAL] = 0,"sim","")</f>
        <v>sim</v>
      </c>
      <c r="AB840" s="79" t="s">
        <v>1614</v>
      </c>
      <c r="AC840" s="47" t="str">
        <f t="shared" si="13"/>
        <v>*</v>
      </c>
    </row>
    <row r="841" spans="1:29" x14ac:dyDescent="0.25">
      <c r="A841" s="36">
        <v>135014</v>
      </c>
      <c r="B841" s="68" t="s">
        <v>1634</v>
      </c>
      <c r="C841" s="33">
        <v>1</v>
      </c>
      <c r="D841" s="32">
        <v>54</v>
      </c>
      <c r="E841" s="37">
        <v>4</v>
      </c>
      <c r="F841" s="38" t="str">
        <f>VLOOKUP(tabPontoPed[[#This Row],[GRUPO]],tabGrupos[#Data],2,FALSE)</f>
        <v>EQUIP PROT IND, INST MAT P/ SINAL, CONTR, COMB ...</v>
      </c>
      <c r="G841" s="32" t="str">
        <f>VLOOKUP(tabPontoPed[[#This Row],[GRUPO]],tabGrupos[#Data],3,FALSE)</f>
        <v>MAN</v>
      </c>
      <c r="H841" s="33" t="s">
        <v>1311</v>
      </c>
      <c r="I841" s="80">
        <v>4</v>
      </c>
      <c r="J841" s="39">
        <v>0</v>
      </c>
      <c r="K841" s="41">
        <f>tabPontoPed[[#This Row],[QTDMÊS]] * tabPontoPed[[#This Row],[MENSAL]]</f>
        <v>0</v>
      </c>
      <c r="L841" s="83"/>
      <c r="M841" s="81"/>
      <c r="N841" s="34" t="s">
        <v>1009</v>
      </c>
      <c r="O841" s="76" t="s">
        <v>1768</v>
      </c>
      <c r="P841" s="77">
        <v>0</v>
      </c>
      <c r="Q841" s="57">
        <v>0</v>
      </c>
      <c r="R841" s="42">
        <v>1</v>
      </c>
      <c r="S841" s="69" t="str">
        <f>_xlfn.IFNA(IF(VLOOKUP(tabPontoPed[[#This Row],[CÓDIGO]],tabExcluirDoEstoque[#Data],1,FALSE),"sim",""),"")</f>
        <v/>
      </c>
      <c r="T841" s="43">
        <f>IF(AND(tabPontoPed[[#This Row],[MENSAL]]&gt;0,tabPontoPed[[#This Row],[CÁLCULO]]&gt;0), ABS( tabPontoPed[[#This Row],[MENSAL]] - tabPontoPed[[#This Row],[CÁLCULO]] ) / tabPontoPed[[#This Row],[MENSAL]], -1 )</f>
        <v>-1</v>
      </c>
      <c r="U841" s="58">
        <v>2</v>
      </c>
      <c r="V841" s="35">
        <f>IF(AND(tabPontoPed[[#This Row],[MENSAL]]&gt;0,tabPontoPed[[#This Row],[CÁLCULO]]&gt;0), IF( tabPontoPed[[#This Row],[MENSAL]] - tabPontoPed[[#This Row],[CÁLCULO]] &lt; 0, -1, IF( tabPontoPed[[#This Row],[MENSAL]] - tabPontoPed[[#This Row],[CÁLCULO]] &gt; 0, 1, -8)), -9 )</f>
        <v>-9</v>
      </c>
      <c r="W841" s="35"/>
      <c r="X841" s="48" t="s">
        <v>1564</v>
      </c>
      <c r="Y841" s="53">
        <v>44391.599108796298</v>
      </c>
      <c r="Z841" s="72">
        <f>tabPontoPed[CÁLC_4M] - tabPontoPed[CÁLCULO]</f>
        <v>-1</v>
      </c>
      <c r="AA841" s="79" t="str">
        <f>IF(tabPontoPed[MENSAL]-tabPontoPed[ATA MENSAL] = 0,"sim","")</f>
        <v>sim</v>
      </c>
      <c r="AB841" s="79" t="s">
        <v>1614</v>
      </c>
      <c r="AC841" s="47" t="str">
        <f t="shared" si="13"/>
        <v>*</v>
      </c>
    </row>
    <row r="842" spans="1:29" x14ac:dyDescent="0.25">
      <c r="A842" s="36">
        <v>106909</v>
      </c>
      <c r="B842" s="68" t="s">
        <v>1506</v>
      </c>
      <c r="C842" s="33">
        <v>1</v>
      </c>
      <c r="D842" s="32">
        <v>54</v>
      </c>
      <c r="E842" s="37">
        <v>4</v>
      </c>
      <c r="F842" s="38" t="str">
        <f>VLOOKUP(tabPontoPed[[#This Row],[GRUPO]],tabGrupos[#Data],2,FALSE)</f>
        <v>EQUIP PROT IND, INST MAT P/ SINAL, CONTR, COMB ...</v>
      </c>
      <c r="G842" s="32" t="str">
        <f>VLOOKUP(tabPontoPed[[#This Row],[GRUPO]],tabGrupos[#Data],3,FALSE)</f>
        <v>MAN</v>
      </c>
      <c r="H842" s="33" t="s">
        <v>1311</v>
      </c>
      <c r="I842" s="80">
        <v>4</v>
      </c>
      <c r="J842" s="39">
        <v>0</v>
      </c>
      <c r="K842" s="41">
        <f>tabPontoPed[[#This Row],[QTDMÊS]] * tabPontoPed[[#This Row],[MENSAL]]</f>
        <v>0</v>
      </c>
      <c r="L842" s="83"/>
      <c r="M842" s="81"/>
      <c r="N842" s="34" t="s">
        <v>1009</v>
      </c>
      <c r="O842" s="76"/>
      <c r="P842" s="77">
        <v>0</v>
      </c>
      <c r="Q842" s="57">
        <v>1</v>
      </c>
      <c r="R842" s="42">
        <v>1</v>
      </c>
      <c r="S842" s="69" t="str">
        <f>_xlfn.IFNA(IF(VLOOKUP(tabPontoPed[[#This Row],[CÓDIGO]],tabExcluirDoEstoque[#Data],1,FALSE),"sim",""),"")</f>
        <v/>
      </c>
      <c r="T842" s="43">
        <f>IF(AND(tabPontoPed[[#This Row],[MENSAL]]&gt;0,tabPontoPed[[#This Row],[CÁLCULO]]&gt;0), ABS( tabPontoPed[[#This Row],[MENSAL]] - tabPontoPed[[#This Row],[CÁLCULO]] ) / tabPontoPed[[#This Row],[MENSAL]], -1 )</f>
        <v>-1</v>
      </c>
      <c r="U842" s="58">
        <v>4</v>
      </c>
      <c r="V842" s="35">
        <f>IF(AND(tabPontoPed[[#This Row],[MENSAL]]&gt;0,tabPontoPed[[#This Row],[CÁLCULO]]&gt;0), IF( tabPontoPed[[#This Row],[MENSAL]] - tabPontoPed[[#This Row],[CÁLCULO]] &lt; 0, -1, IF( tabPontoPed[[#This Row],[MENSAL]] - tabPontoPed[[#This Row],[CÁLCULO]] &gt; 0, 1, -8)), -9 )</f>
        <v>-9</v>
      </c>
      <c r="W842" s="35"/>
      <c r="X842" s="49" t="s">
        <v>1564</v>
      </c>
      <c r="Y842" s="51">
        <v>44391.599108796298</v>
      </c>
      <c r="Z842" s="72">
        <f>tabPontoPed[CÁLC_4M] - tabPontoPed[CÁLCULO]</f>
        <v>0</v>
      </c>
      <c r="AA842" s="79" t="str">
        <f>IF(tabPontoPed[MENSAL]-tabPontoPed[ATA MENSAL] = 0,"sim","")</f>
        <v>sim</v>
      </c>
      <c r="AB842" s="79" t="s">
        <v>1614</v>
      </c>
      <c r="AC842" s="47" t="str">
        <f t="shared" si="13"/>
        <v>*</v>
      </c>
    </row>
    <row r="843" spans="1:29" x14ac:dyDescent="0.25">
      <c r="A843" s="36">
        <v>106910</v>
      </c>
      <c r="B843" s="68" t="s">
        <v>1507</v>
      </c>
      <c r="C843" s="33">
        <v>1</v>
      </c>
      <c r="D843" s="32">
        <v>54</v>
      </c>
      <c r="E843" s="37">
        <v>4</v>
      </c>
      <c r="F843" s="38" t="str">
        <f>VLOOKUP(tabPontoPed[[#This Row],[GRUPO]],tabGrupos[#Data],2,FALSE)</f>
        <v>EQUIP PROT IND, INST MAT P/ SINAL, CONTR, COMB ...</v>
      </c>
      <c r="G843" s="32" t="str">
        <f>VLOOKUP(tabPontoPed[[#This Row],[GRUPO]],tabGrupos[#Data],3,FALSE)</f>
        <v>MAN</v>
      </c>
      <c r="H843" s="33" t="s">
        <v>1311</v>
      </c>
      <c r="I843" s="80">
        <v>4</v>
      </c>
      <c r="J843" s="39">
        <v>0</v>
      </c>
      <c r="K843" s="41">
        <f>tabPontoPed[[#This Row],[QTDMÊS]] * tabPontoPed[[#This Row],[MENSAL]]</f>
        <v>0</v>
      </c>
      <c r="L843" s="83"/>
      <c r="M843" s="81"/>
      <c r="N843" s="34" t="s">
        <v>1009</v>
      </c>
      <c r="O843" s="76"/>
      <c r="P843" s="77">
        <v>0</v>
      </c>
      <c r="Q843" s="57">
        <v>2</v>
      </c>
      <c r="R843" s="42">
        <v>1</v>
      </c>
      <c r="S843" s="69" t="str">
        <f>_xlfn.IFNA(IF(VLOOKUP(tabPontoPed[[#This Row],[CÓDIGO]],tabExcluirDoEstoque[#Data],1,FALSE),"sim",""),"")</f>
        <v/>
      </c>
      <c r="T843" s="43">
        <f>IF(AND(tabPontoPed[[#This Row],[MENSAL]]&gt;0,tabPontoPed[[#This Row],[CÁLCULO]]&gt;0), ABS( tabPontoPed[[#This Row],[MENSAL]] - tabPontoPed[[#This Row],[CÁLCULO]] ) / tabPontoPed[[#This Row],[MENSAL]], -1 )</f>
        <v>-1</v>
      </c>
      <c r="U843" s="58">
        <v>8</v>
      </c>
      <c r="V843" s="35">
        <f>IF(AND(tabPontoPed[[#This Row],[MENSAL]]&gt;0,tabPontoPed[[#This Row],[CÁLCULO]]&gt;0), IF( tabPontoPed[[#This Row],[MENSAL]] - tabPontoPed[[#This Row],[CÁLCULO]] &lt; 0, -1, IF( tabPontoPed[[#This Row],[MENSAL]] - tabPontoPed[[#This Row],[CÁLCULO]] &gt; 0, 1, -8)), -9 )</f>
        <v>-9</v>
      </c>
      <c r="W843" s="35"/>
      <c r="X843" s="49" t="s">
        <v>1564</v>
      </c>
      <c r="Y843" s="51">
        <v>44391.599108796298</v>
      </c>
      <c r="Z843" s="72">
        <f>tabPontoPed[CÁLC_4M] - tabPontoPed[CÁLCULO]</f>
        <v>1</v>
      </c>
      <c r="AA843" s="79" t="str">
        <f>IF(tabPontoPed[MENSAL]-tabPontoPed[ATA MENSAL] = 0,"sim","")</f>
        <v>sim</v>
      </c>
      <c r="AB843" s="79" t="s">
        <v>1614</v>
      </c>
      <c r="AC843" s="47" t="str">
        <f t="shared" si="13"/>
        <v>*</v>
      </c>
    </row>
    <row r="844" spans="1:29" x14ac:dyDescent="0.25">
      <c r="A844" s="36">
        <v>106911</v>
      </c>
      <c r="B844" s="68" t="s">
        <v>1508</v>
      </c>
      <c r="C844" s="33">
        <v>1</v>
      </c>
      <c r="D844" s="32">
        <v>54</v>
      </c>
      <c r="E844" s="37">
        <v>4</v>
      </c>
      <c r="F844" s="38" t="str">
        <f>VLOOKUP(tabPontoPed[[#This Row],[GRUPO]],tabGrupos[#Data],2,FALSE)</f>
        <v>EQUIP PROT IND, INST MAT P/ SINAL, CONTR, COMB ...</v>
      </c>
      <c r="G844" s="32" t="str">
        <f>VLOOKUP(tabPontoPed[[#This Row],[GRUPO]],tabGrupos[#Data],3,FALSE)</f>
        <v>MAN</v>
      </c>
      <c r="H844" s="33" t="s">
        <v>1311</v>
      </c>
      <c r="I844" s="80">
        <v>4</v>
      </c>
      <c r="J844" s="39">
        <v>0</v>
      </c>
      <c r="K844" s="41">
        <f>tabPontoPed[[#This Row],[QTDMÊS]] * tabPontoPed[[#This Row],[MENSAL]]</f>
        <v>0</v>
      </c>
      <c r="L844" s="83"/>
      <c r="M844" s="81"/>
      <c r="N844" s="34" t="s">
        <v>1009</v>
      </c>
      <c r="O844" s="76"/>
      <c r="P844" s="77">
        <v>0</v>
      </c>
      <c r="Q844" s="57">
        <v>0</v>
      </c>
      <c r="R844" s="42">
        <v>1</v>
      </c>
      <c r="S844" s="69" t="str">
        <f>_xlfn.IFNA(IF(VLOOKUP(tabPontoPed[[#This Row],[CÓDIGO]],tabExcluirDoEstoque[#Data],1,FALSE),"sim",""),"")</f>
        <v/>
      </c>
      <c r="T844" s="43">
        <f>IF(AND(tabPontoPed[[#This Row],[MENSAL]]&gt;0,tabPontoPed[[#This Row],[CÁLCULO]]&gt;0), ABS( tabPontoPed[[#This Row],[MENSAL]] - tabPontoPed[[#This Row],[CÁLCULO]] ) / tabPontoPed[[#This Row],[MENSAL]], -1 )</f>
        <v>-1</v>
      </c>
      <c r="U844" s="58">
        <v>2</v>
      </c>
      <c r="V844" s="35">
        <f>IF(AND(tabPontoPed[[#This Row],[MENSAL]]&gt;0,tabPontoPed[[#This Row],[CÁLCULO]]&gt;0), IF( tabPontoPed[[#This Row],[MENSAL]] - tabPontoPed[[#This Row],[CÁLCULO]] &lt; 0, -1, IF( tabPontoPed[[#This Row],[MENSAL]] - tabPontoPed[[#This Row],[CÁLCULO]] &gt; 0, 1, -8)), -9 )</f>
        <v>-9</v>
      </c>
      <c r="W844" s="35"/>
      <c r="X844" s="49" t="s">
        <v>1564</v>
      </c>
      <c r="Y844" s="51">
        <v>44391.599108796298</v>
      </c>
      <c r="Z844" s="72">
        <f>tabPontoPed[CÁLC_4M] - tabPontoPed[CÁLCULO]</f>
        <v>-1</v>
      </c>
      <c r="AA844" s="79" t="str">
        <f>IF(tabPontoPed[MENSAL]-tabPontoPed[ATA MENSAL] = 0,"sim","")</f>
        <v>sim</v>
      </c>
      <c r="AB844" s="79" t="s">
        <v>1614</v>
      </c>
      <c r="AC844" s="47" t="str">
        <f t="shared" si="13"/>
        <v>*</v>
      </c>
    </row>
    <row r="845" spans="1:29" x14ac:dyDescent="0.25">
      <c r="A845" s="36">
        <v>106913</v>
      </c>
      <c r="B845" s="68" t="s">
        <v>1509</v>
      </c>
      <c r="C845" s="33">
        <v>1</v>
      </c>
      <c r="D845" s="32">
        <v>54</v>
      </c>
      <c r="E845" s="37">
        <v>4</v>
      </c>
      <c r="F845" s="38" t="str">
        <f>VLOOKUP(tabPontoPed[[#This Row],[GRUPO]],tabGrupos[#Data],2,FALSE)</f>
        <v>EQUIP PROT IND, INST MAT P/ SINAL, CONTR, COMB ...</v>
      </c>
      <c r="G845" s="32" t="str">
        <f>VLOOKUP(tabPontoPed[[#This Row],[GRUPO]],tabGrupos[#Data],3,FALSE)</f>
        <v>MAN</v>
      </c>
      <c r="H845" s="33" t="s">
        <v>1311</v>
      </c>
      <c r="I845" s="80">
        <v>4</v>
      </c>
      <c r="J845" s="39">
        <v>0</v>
      </c>
      <c r="K845" s="41">
        <f>tabPontoPed[[#This Row],[QTDMÊS]] * tabPontoPed[[#This Row],[MENSAL]]</f>
        <v>0</v>
      </c>
      <c r="L845" s="83"/>
      <c r="M845" s="81"/>
      <c r="N845" s="34" t="s">
        <v>1009</v>
      </c>
      <c r="O845" s="76"/>
      <c r="P845" s="77">
        <v>0</v>
      </c>
      <c r="Q845" s="57">
        <v>1</v>
      </c>
      <c r="R845" s="42">
        <v>1</v>
      </c>
      <c r="S845" s="69" t="str">
        <f>_xlfn.IFNA(IF(VLOOKUP(tabPontoPed[[#This Row],[CÓDIGO]],tabExcluirDoEstoque[#Data],1,FALSE),"sim",""),"")</f>
        <v/>
      </c>
      <c r="T845" s="43">
        <f>IF(AND(tabPontoPed[[#This Row],[MENSAL]]&gt;0,tabPontoPed[[#This Row],[CÁLCULO]]&gt;0), ABS( tabPontoPed[[#This Row],[MENSAL]] - tabPontoPed[[#This Row],[CÁLCULO]] ) / tabPontoPed[[#This Row],[MENSAL]], -1 )</f>
        <v>-1</v>
      </c>
      <c r="U845" s="58">
        <v>4</v>
      </c>
      <c r="V845" s="35">
        <f>IF(AND(tabPontoPed[[#This Row],[MENSAL]]&gt;0,tabPontoPed[[#This Row],[CÁLCULO]]&gt;0), IF( tabPontoPed[[#This Row],[MENSAL]] - tabPontoPed[[#This Row],[CÁLCULO]] &lt; 0, -1, IF( tabPontoPed[[#This Row],[MENSAL]] - tabPontoPed[[#This Row],[CÁLCULO]] &gt; 0, 1, -8)), -9 )</f>
        <v>-9</v>
      </c>
      <c r="W845" s="35"/>
      <c r="X845" s="49" t="s">
        <v>1564</v>
      </c>
      <c r="Y845" s="51">
        <v>44391.599108796298</v>
      </c>
      <c r="Z845" s="72">
        <f>tabPontoPed[CÁLC_4M] - tabPontoPed[CÁLCULO]</f>
        <v>0</v>
      </c>
      <c r="AA845" s="79" t="str">
        <f>IF(tabPontoPed[MENSAL]-tabPontoPed[ATA MENSAL] = 0,"sim","")</f>
        <v>sim</v>
      </c>
      <c r="AB845" s="79" t="s">
        <v>1614</v>
      </c>
      <c r="AC845" s="47" t="str">
        <f t="shared" si="13"/>
        <v>*</v>
      </c>
    </row>
    <row r="846" spans="1:29" x14ac:dyDescent="0.25">
      <c r="A846" s="36">
        <v>136880</v>
      </c>
      <c r="B846" s="68" t="s">
        <v>1601</v>
      </c>
      <c r="C846" s="33">
        <v>1</v>
      </c>
      <c r="D846" s="32">
        <v>54</v>
      </c>
      <c r="E846" s="37">
        <v>4</v>
      </c>
      <c r="F846" s="38" t="str">
        <f>VLOOKUP(tabPontoPed[[#This Row],[GRUPO]],tabGrupos[#Data],2,FALSE)</f>
        <v>EQUIP PROT IND, INST MAT P/ SINAL, CONTR, COMB ...</v>
      </c>
      <c r="G846" s="32" t="str">
        <f>VLOOKUP(tabPontoPed[[#This Row],[GRUPO]],tabGrupos[#Data],3,FALSE)</f>
        <v>MAN</v>
      </c>
      <c r="H846" s="33" t="s">
        <v>1311</v>
      </c>
      <c r="I846" s="80">
        <v>4</v>
      </c>
      <c r="J846" s="39">
        <v>0</v>
      </c>
      <c r="K846" s="41">
        <f>tabPontoPed[[#This Row],[QTDMÊS]] * tabPontoPed[[#This Row],[MENSAL]]</f>
        <v>0</v>
      </c>
      <c r="L846" s="83"/>
      <c r="M846" s="81"/>
      <c r="N846" s="34" t="s">
        <v>1009</v>
      </c>
      <c r="O846" s="76"/>
      <c r="P846" s="77">
        <v>0</v>
      </c>
      <c r="Q846" s="57">
        <v>1</v>
      </c>
      <c r="R846" s="42">
        <v>1</v>
      </c>
      <c r="S846" s="69" t="str">
        <f>_xlfn.IFNA(IF(VLOOKUP(tabPontoPed[[#This Row],[CÓDIGO]],tabExcluirDoEstoque[#Data],1,FALSE),"sim",""),"")</f>
        <v/>
      </c>
      <c r="T846" s="43">
        <f>IF(AND(tabPontoPed[[#This Row],[MENSAL]]&gt;0,tabPontoPed[[#This Row],[CÁLCULO]]&gt;0), ABS( tabPontoPed[[#This Row],[MENSAL]] - tabPontoPed[[#This Row],[CÁLCULO]] ) / tabPontoPed[[#This Row],[MENSAL]], -1 )</f>
        <v>-1</v>
      </c>
      <c r="U846" s="58">
        <v>2</v>
      </c>
      <c r="V846" s="35">
        <f>IF(AND(tabPontoPed[[#This Row],[MENSAL]]&gt;0,tabPontoPed[[#This Row],[CÁLCULO]]&gt;0), IF( tabPontoPed[[#This Row],[MENSAL]] - tabPontoPed[[#This Row],[CÁLCULO]] &lt; 0, -1, IF( tabPontoPed[[#This Row],[MENSAL]] - tabPontoPed[[#This Row],[CÁLCULO]] &gt; 0, 1, -8)), -9 )</f>
        <v>-9</v>
      </c>
      <c r="W846" s="35"/>
      <c r="X846" s="48" t="s">
        <v>1564</v>
      </c>
      <c r="Y846" s="53">
        <v>44391.599108796298</v>
      </c>
      <c r="Z846" s="72">
        <f>tabPontoPed[CÁLC_4M] - tabPontoPed[CÁLCULO]</f>
        <v>0</v>
      </c>
      <c r="AA846" s="79" t="str">
        <f>IF(tabPontoPed[MENSAL]-tabPontoPed[ATA MENSAL] = 0,"sim","")</f>
        <v>sim</v>
      </c>
      <c r="AB846" s="79" t="s">
        <v>1614</v>
      </c>
      <c r="AC846" s="47" t="str">
        <f t="shared" si="13"/>
        <v>*</v>
      </c>
    </row>
    <row r="847" spans="1:29" x14ac:dyDescent="0.25">
      <c r="A847" s="36">
        <v>136860</v>
      </c>
      <c r="B847" s="68" t="s">
        <v>1600</v>
      </c>
      <c r="C847" s="33">
        <v>1</v>
      </c>
      <c r="D847" s="32">
        <v>54</v>
      </c>
      <c r="E847" s="37">
        <v>4</v>
      </c>
      <c r="F847" s="38" t="str">
        <f>VLOOKUP(tabPontoPed[[#This Row],[GRUPO]],tabGrupos[#Data],2,FALSE)</f>
        <v>EQUIP PROT IND, INST MAT P/ SINAL, CONTR, COMB ...</v>
      </c>
      <c r="G847" s="32" t="str">
        <f>VLOOKUP(tabPontoPed[[#This Row],[GRUPO]],tabGrupos[#Data],3,FALSE)</f>
        <v>MAN</v>
      </c>
      <c r="H847" s="33" t="s">
        <v>1311</v>
      </c>
      <c r="I847" s="80">
        <v>4</v>
      </c>
      <c r="J847" s="39">
        <v>0</v>
      </c>
      <c r="K847" s="41">
        <f>tabPontoPed[[#This Row],[QTDMÊS]] * tabPontoPed[[#This Row],[MENSAL]]</f>
        <v>0</v>
      </c>
      <c r="L847" s="83"/>
      <c r="M847" s="81"/>
      <c r="N847" s="34" t="s">
        <v>1009</v>
      </c>
      <c r="O847" s="76"/>
      <c r="P847" s="77">
        <v>0</v>
      </c>
      <c r="Q847" s="57">
        <v>0</v>
      </c>
      <c r="R847" s="42">
        <v>1</v>
      </c>
      <c r="S847" s="69" t="str">
        <f>_xlfn.IFNA(IF(VLOOKUP(tabPontoPed[[#This Row],[CÓDIGO]],tabExcluirDoEstoque[#Data],1,FALSE),"sim",""),"")</f>
        <v/>
      </c>
      <c r="T847" s="43">
        <f>IF(AND(tabPontoPed[[#This Row],[MENSAL]]&gt;0,tabPontoPed[[#This Row],[CÁLCULO]]&gt;0), ABS( tabPontoPed[[#This Row],[MENSAL]] - tabPontoPed[[#This Row],[CÁLCULO]] ) / tabPontoPed[[#This Row],[MENSAL]], -1 )</f>
        <v>-1</v>
      </c>
      <c r="U847" s="58">
        <v>10</v>
      </c>
      <c r="V847" s="35">
        <f>IF(AND(tabPontoPed[[#This Row],[MENSAL]]&gt;0,tabPontoPed[[#This Row],[CÁLCULO]]&gt;0), IF( tabPontoPed[[#This Row],[MENSAL]] - tabPontoPed[[#This Row],[CÁLCULO]] &lt; 0, -1, IF( tabPontoPed[[#This Row],[MENSAL]] - tabPontoPed[[#This Row],[CÁLCULO]] &gt; 0, 1, -8)), -9 )</f>
        <v>-9</v>
      </c>
      <c r="W847" s="35"/>
      <c r="X847" s="48" t="s">
        <v>1564</v>
      </c>
      <c r="Y847" s="53">
        <v>44391.599108796298</v>
      </c>
      <c r="Z847" s="72">
        <f>tabPontoPed[CÁLC_4M] - tabPontoPed[CÁLCULO]</f>
        <v>-1</v>
      </c>
      <c r="AA847" s="79" t="str">
        <f>IF(tabPontoPed[MENSAL]-tabPontoPed[ATA MENSAL] = 0,"sim","")</f>
        <v>sim</v>
      </c>
      <c r="AB847" s="79" t="s">
        <v>1614</v>
      </c>
      <c r="AC847" s="47" t="str">
        <f t="shared" si="13"/>
        <v>*</v>
      </c>
    </row>
    <row r="848" spans="1:29" x14ac:dyDescent="0.25">
      <c r="A848" s="36">
        <v>132799</v>
      </c>
      <c r="B848" s="68" t="s">
        <v>1583</v>
      </c>
      <c r="C848" s="33">
        <v>1</v>
      </c>
      <c r="D848" s="32">
        <v>54</v>
      </c>
      <c r="E848" s="37">
        <v>4</v>
      </c>
      <c r="F848" s="38" t="str">
        <f>VLOOKUP(tabPontoPed[[#This Row],[GRUPO]],tabGrupos[#Data],2,FALSE)</f>
        <v>EQUIP PROT IND, INST MAT P/ SINAL, CONTR, COMB ...</v>
      </c>
      <c r="G848" s="32" t="str">
        <f>VLOOKUP(tabPontoPed[[#This Row],[GRUPO]],tabGrupos[#Data],3,FALSE)</f>
        <v>MAN</v>
      </c>
      <c r="H848" s="33" t="s">
        <v>1311</v>
      </c>
      <c r="I848" s="80">
        <v>4</v>
      </c>
      <c r="J848" s="39">
        <v>0</v>
      </c>
      <c r="K848" s="41">
        <f>tabPontoPed[[#This Row],[QTDMÊS]] * tabPontoPed[[#This Row],[MENSAL]]</f>
        <v>0</v>
      </c>
      <c r="L848" s="83"/>
      <c r="M848" s="81"/>
      <c r="N848" s="34" t="s">
        <v>1009</v>
      </c>
      <c r="O848" s="76"/>
      <c r="P848" s="77">
        <v>0</v>
      </c>
      <c r="Q848" s="57">
        <v>2</v>
      </c>
      <c r="R848" s="42">
        <v>1</v>
      </c>
      <c r="S848" s="69" t="str">
        <f>_xlfn.IFNA(IF(VLOOKUP(tabPontoPed[[#This Row],[CÓDIGO]],tabExcluirDoEstoque[#Data],1,FALSE),"sim",""),"")</f>
        <v/>
      </c>
      <c r="T848" s="43">
        <f>IF(AND(tabPontoPed[[#This Row],[MENSAL]]&gt;0,tabPontoPed[[#This Row],[CÁLCULO]]&gt;0), ABS( tabPontoPed[[#This Row],[MENSAL]] - tabPontoPed[[#This Row],[CÁLCULO]] ) / tabPontoPed[[#This Row],[MENSAL]], -1 )</f>
        <v>-1</v>
      </c>
      <c r="U848" s="58">
        <v>6</v>
      </c>
      <c r="V848" s="35">
        <f>IF(AND(tabPontoPed[[#This Row],[MENSAL]]&gt;0,tabPontoPed[[#This Row],[CÁLCULO]]&gt;0), IF( tabPontoPed[[#This Row],[MENSAL]] - tabPontoPed[[#This Row],[CÁLCULO]] &lt; 0, -1, IF( tabPontoPed[[#This Row],[MENSAL]] - tabPontoPed[[#This Row],[CÁLCULO]] &gt; 0, 1, -8)), -9 )</f>
        <v>-9</v>
      </c>
      <c r="W848" s="35"/>
      <c r="X848" s="48" t="s">
        <v>1564</v>
      </c>
      <c r="Y848" s="53">
        <v>44391.599108796298</v>
      </c>
      <c r="Z848" s="72">
        <f>tabPontoPed[CÁLC_4M] - tabPontoPed[CÁLCULO]</f>
        <v>1</v>
      </c>
      <c r="AA848" s="79" t="str">
        <f>IF(tabPontoPed[MENSAL]-tabPontoPed[ATA MENSAL] = 0,"sim","")</f>
        <v>sim</v>
      </c>
      <c r="AB848" s="79" t="s">
        <v>1614</v>
      </c>
      <c r="AC848" s="47" t="str">
        <f t="shared" si="13"/>
        <v>*</v>
      </c>
    </row>
    <row r="849" spans="1:29" x14ac:dyDescent="0.25">
      <c r="A849" s="36">
        <v>136819</v>
      </c>
      <c r="B849" s="68" t="s">
        <v>1566</v>
      </c>
      <c r="C849" s="33">
        <v>1</v>
      </c>
      <c r="D849" s="32">
        <v>54</v>
      </c>
      <c r="E849" s="37">
        <v>4</v>
      </c>
      <c r="F849" s="38" t="str">
        <f>VLOOKUP(tabPontoPed[[#This Row],[GRUPO]],tabGrupos[#Data],2,FALSE)</f>
        <v>EQUIP PROT IND, INST MAT P/ SINAL, CONTR, COMB ...</v>
      </c>
      <c r="G849" s="32" t="str">
        <f>VLOOKUP(tabPontoPed[[#This Row],[GRUPO]],tabGrupos[#Data],3,FALSE)</f>
        <v>MAN</v>
      </c>
      <c r="H849" s="33" t="s">
        <v>1311</v>
      </c>
      <c r="I849" s="80">
        <v>4</v>
      </c>
      <c r="J849" s="39">
        <v>0</v>
      </c>
      <c r="K849" s="41">
        <f>tabPontoPed[[#This Row],[QTDMÊS]] * tabPontoPed[[#This Row],[MENSAL]]</f>
        <v>0</v>
      </c>
      <c r="L849" s="83"/>
      <c r="M849" s="81"/>
      <c r="N849" s="34" t="s">
        <v>1009</v>
      </c>
      <c r="O849" s="76"/>
      <c r="P849" s="77">
        <v>0</v>
      </c>
      <c r="Q849" s="57">
        <v>3</v>
      </c>
      <c r="R849" s="42">
        <v>6</v>
      </c>
      <c r="S849" s="69" t="str">
        <f>_xlfn.IFNA(IF(VLOOKUP(tabPontoPed[[#This Row],[CÓDIGO]],tabExcluirDoEstoque[#Data],1,FALSE),"sim",""),"")</f>
        <v/>
      </c>
      <c r="T849" s="43">
        <f>IF(AND(tabPontoPed[[#This Row],[MENSAL]]&gt;0,tabPontoPed[[#This Row],[CÁLCULO]]&gt;0), ABS( tabPontoPed[[#This Row],[MENSAL]] - tabPontoPed[[#This Row],[CÁLCULO]] ) / tabPontoPed[[#This Row],[MENSAL]], -1 )</f>
        <v>-1</v>
      </c>
      <c r="U849" s="58">
        <v>12</v>
      </c>
      <c r="V849" s="35">
        <f>IF(AND(tabPontoPed[[#This Row],[MENSAL]]&gt;0,tabPontoPed[[#This Row],[CÁLCULO]]&gt;0), IF( tabPontoPed[[#This Row],[MENSAL]] - tabPontoPed[[#This Row],[CÁLCULO]] &lt; 0, -1, IF( tabPontoPed[[#This Row],[MENSAL]] - tabPontoPed[[#This Row],[CÁLCULO]] &gt; 0, 1, -8)), -9 )</f>
        <v>-9</v>
      </c>
      <c r="W849" s="35"/>
      <c r="X849" s="49" t="s">
        <v>1564</v>
      </c>
      <c r="Y849" s="51">
        <v>44391.599108796298</v>
      </c>
      <c r="Z849" s="72">
        <f>tabPontoPed[CÁLC_4M] - tabPontoPed[CÁLCULO]</f>
        <v>-3</v>
      </c>
      <c r="AA849" s="79" t="str">
        <f>IF(tabPontoPed[MENSAL]-tabPontoPed[ATA MENSAL] = 0,"sim","")</f>
        <v>sim</v>
      </c>
      <c r="AB849" s="79" t="s">
        <v>1614</v>
      </c>
      <c r="AC849" s="47" t="str">
        <f t="shared" si="13"/>
        <v>*</v>
      </c>
    </row>
    <row r="850" spans="1:29" x14ac:dyDescent="0.25">
      <c r="A850" s="36">
        <v>136858</v>
      </c>
      <c r="B850" s="68" t="s">
        <v>1459</v>
      </c>
      <c r="C850" s="33"/>
      <c r="D850" s="32">
        <v>54</v>
      </c>
      <c r="E850" s="37">
        <v>4</v>
      </c>
      <c r="F850" s="38" t="str">
        <f>VLOOKUP(tabPontoPed[[#This Row],[GRUPO]],tabGrupos[#Data],2,FALSE)</f>
        <v>EQUIP PROT IND, INST MAT P/ SINAL, CONTR, COMB ...</v>
      </c>
      <c r="G850" s="32" t="str">
        <f>VLOOKUP(tabPontoPed[[#This Row],[GRUPO]],tabGrupos[#Data],3,FALSE)</f>
        <v>MAN</v>
      </c>
      <c r="H850" s="33" t="s">
        <v>1311</v>
      </c>
      <c r="I850" s="80">
        <v>4</v>
      </c>
      <c r="J850" s="39">
        <v>0</v>
      </c>
      <c r="K850" s="41">
        <f>tabPontoPed[[#This Row],[QTDMÊS]] * tabPontoPed[[#This Row],[MENSAL]]</f>
        <v>0</v>
      </c>
      <c r="L850" s="83"/>
      <c r="M850" s="81"/>
      <c r="N850" s="34" t="s">
        <v>1009</v>
      </c>
      <c r="O850" s="76"/>
      <c r="P850" s="77">
        <v>0</v>
      </c>
      <c r="Q850" s="57">
        <v>0</v>
      </c>
      <c r="R850" s="42">
        <v>1</v>
      </c>
      <c r="S850" s="69" t="str">
        <f>_xlfn.IFNA(IF(VLOOKUP(tabPontoPed[[#This Row],[CÓDIGO]],tabExcluirDoEstoque[#Data],1,FALSE),"sim",""),"")</f>
        <v/>
      </c>
      <c r="T850" s="43">
        <f>IF(AND(tabPontoPed[[#This Row],[MENSAL]]&gt;0,tabPontoPed[[#This Row],[CÁLCULO]]&gt;0), ABS( tabPontoPed[[#This Row],[MENSAL]] - tabPontoPed[[#This Row],[CÁLCULO]] ) / tabPontoPed[[#This Row],[MENSAL]], -1 )</f>
        <v>-1</v>
      </c>
      <c r="U850" s="58">
        <v>2</v>
      </c>
      <c r="V850" s="35">
        <f>IF(AND(tabPontoPed[[#This Row],[MENSAL]]&gt;0,tabPontoPed[[#This Row],[CÁLCULO]]&gt;0), IF( tabPontoPed[[#This Row],[MENSAL]] - tabPontoPed[[#This Row],[CÁLCULO]] &lt; 0, -1, IF( tabPontoPed[[#This Row],[MENSAL]] - tabPontoPed[[#This Row],[CÁLCULO]] &gt; 0, 1, -8)), -9 )</f>
        <v>-9</v>
      </c>
      <c r="W850" s="35"/>
      <c r="X850" s="49" t="s">
        <v>1564</v>
      </c>
      <c r="Y850" s="51">
        <v>44391.599108796298</v>
      </c>
      <c r="Z850" s="72">
        <f>tabPontoPed[CÁLC_4M] - tabPontoPed[CÁLCULO]</f>
        <v>-1</v>
      </c>
      <c r="AA850" s="79" t="str">
        <f>IF(tabPontoPed[MENSAL]-tabPontoPed[ATA MENSAL] = 0,"sim","")</f>
        <v>sim</v>
      </c>
      <c r="AB850" s="79" t="s">
        <v>1614</v>
      </c>
      <c r="AC850" s="47" t="str">
        <f t="shared" si="13"/>
        <v>*</v>
      </c>
    </row>
    <row r="851" spans="1:29" x14ac:dyDescent="0.25">
      <c r="A851" s="36">
        <v>130572</v>
      </c>
      <c r="B851" s="68" t="s">
        <v>1582</v>
      </c>
      <c r="C851" s="33">
        <v>1</v>
      </c>
      <c r="D851" s="32">
        <v>54</v>
      </c>
      <c r="E851" s="37">
        <v>4</v>
      </c>
      <c r="F851" s="38" t="str">
        <f>VLOOKUP(tabPontoPed[[#This Row],[GRUPO]],tabGrupos[#Data],2,FALSE)</f>
        <v>EQUIP PROT IND, INST MAT P/ SINAL, CONTR, COMB ...</v>
      </c>
      <c r="G851" s="32" t="str">
        <f>VLOOKUP(tabPontoPed[[#This Row],[GRUPO]],tabGrupos[#Data],3,FALSE)</f>
        <v>MAN</v>
      </c>
      <c r="H851" s="33" t="s">
        <v>1311</v>
      </c>
      <c r="I851" s="80">
        <v>4</v>
      </c>
      <c r="J851" s="39">
        <v>0</v>
      </c>
      <c r="K851" s="41">
        <f>tabPontoPed[[#This Row],[QTDMÊS]] * tabPontoPed[[#This Row],[MENSAL]]</f>
        <v>0</v>
      </c>
      <c r="L851" s="83"/>
      <c r="M851" s="81"/>
      <c r="N851" s="34" t="s">
        <v>1009</v>
      </c>
      <c r="O851" s="76" t="s">
        <v>1719</v>
      </c>
      <c r="P851" s="77">
        <v>0</v>
      </c>
      <c r="Q851" s="57">
        <v>1</v>
      </c>
      <c r="R851" s="42">
        <v>1</v>
      </c>
      <c r="S851" s="69" t="str">
        <f>_xlfn.IFNA(IF(VLOOKUP(tabPontoPed[[#This Row],[CÓDIGO]],tabExcluirDoEstoque[#Data],1,FALSE),"sim",""),"")</f>
        <v/>
      </c>
      <c r="T851" s="43">
        <f>IF(AND(tabPontoPed[[#This Row],[MENSAL]]&gt;0,tabPontoPed[[#This Row],[CÁLCULO]]&gt;0), ABS( tabPontoPed[[#This Row],[MENSAL]] - tabPontoPed[[#This Row],[CÁLCULO]] ) / tabPontoPed[[#This Row],[MENSAL]], -1 )</f>
        <v>-1</v>
      </c>
      <c r="U851" s="58">
        <v>6</v>
      </c>
      <c r="V851" s="35">
        <f>IF(AND(tabPontoPed[[#This Row],[MENSAL]]&gt;0,tabPontoPed[[#This Row],[CÁLCULO]]&gt;0), IF( tabPontoPed[[#This Row],[MENSAL]] - tabPontoPed[[#This Row],[CÁLCULO]] &lt; 0, -1, IF( tabPontoPed[[#This Row],[MENSAL]] - tabPontoPed[[#This Row],[CÁLCULO]] &gt; 0, 1, -8)), -9 )</f>
        <v>-9</v>
      </c>
      <c r="W851" s="35"/>
      <c r="X851" s="48" t="s">
        <v>1564</v>
      </c>
      <c r="Y851" s="53">
        <v>44391.599108796298</v>
      </c>
      <c r="Z851" s="72">
        <f>tabPontoPed[CÁLC_4M] - tabPontoPed[CÁLCULO]</f>
        <v>0</v>
      </c>
      <c r="AA851" s="79" t="str">
        <f>IF(tabPontoPed[MENSAL]-tabPontoPed[ATA MENSAL] = 0,"sim","")</f>
        <v>sim</v>
      </c>
      <c r="AB851" s="79" t="s">
        <v>1614</v>
      </c>
      <c r="AC851" s="47" t="str">
        <f t="shared" si="13"/>
        <v>*</v>
      </c>
    </row>
    <row r="852" spans="1:29" x14ac:dyDescent="0.25">
      <c r="A852" s="36">
        <v>136881</v>
      </c>
      <c r="B852" s="68" t="s">
        <v>1565</v>
      </c>
      <c r="C852" s="33">
        <v>1</v>
      </c>
      <c r="D852" s="32">
        <v>54</v>
      </c>
      <c r="E852" s="37">
        <v>4</v>
      </c>
      <c r="F852" s="38" t="str">
        <f>VLOOKUP(tabPontoPed[[#This Row],[GRUPO]],tabGrupos[#Data],2,FALSE)</f>
        <v>EQUIP PROT IND, INST MAT P/ SINAL, CONTR, COMB ...</v>
      </c>
      <c r="G852" s="32" t="str">
        <f>VLOOKUP(tabPontoPed[[#This Row],[GRUPO]],tabGrupos[#Data],3,FALSE)</f>
        <v>MAN</v>
      </c>
      <c r="H852" s="33" t="s">
        <v>1311</v>
      </c>
      <c r="I852" s="80">
        <v>4</v>
      </c>
      <c r="J852" s="39">
        <v>0</v>
      </c>
      <c r="K852" s="41">
        <f>tabPontoPed[[#This Row],[QTDMÊS]] * tabPontoPed[[#This Row],[MENSAL]]</f>
        <v>0</v>
      </c>
      <c r="L852" s="83"/>
      <c r="M852" s="81"/>
      <c r="N852" s="34" t="s">
        <v>1009</v>
      </c>
      <c r="O852" s="76" t="s">
        <v>1769</v>
      </c>
      <c r="P852" s="77">
        <v>0</v>
      </c>
      <c r="Q852" s="57">
        <v>11</v>
      </c>
      <c r="R852" s="42">
        <v>4</v>
      </c>
      <c r="S852" s="69" t="str">
        <f>_xlfn.IFNA(IF(VLOOKUP(tabPontoPed[[#This Row],[CÓDIGO]],tabExcluirDoEstoque[#Data],1,FALSE),"sim",""),"")</f>
        <v/>
      </c>
      <c r="T852" s="43">
        <f>IF(AND(tabPontoPed[[#This Row],[MENSAL]]&gt;0,tabPontoPed[[#This Row],[CÁLCULO]]&gt;0), ABS( tabPontoPed[[#This Row],[MENSAL]] - tabPontoPed[[#This Row],[CÁLCULO]] ) / tabPontoPed[[#This Row],[MENSAL]], -1 )</f>
        <v>-1</v>
      </c>
      <c r="U852" s="58">
        <v>37</v>
      </c>
      <c r="V852" s="35">
        <f>IF(AND(tabPontoPed[[#This Row],[MENSAL]]&gt;0,tabPontoPed[[#This Row],[CÁLCULO]]&gt;0), IF( tabPontoPed[[#This Row],[MENSAL]] - tabPontoPed[[#This Row],[CÁLCULO]] &lt; 0, -1, IF( tabPontoPed[[#This Row],[MENSAL]] - tabPontoPed[[#This Row],[CÁLCULO]] &gt; 0, 1, -8)), -9 )</f>
        <v>-9</v>
      </c>
      <c r="W852" s="35"/>
      <c r="X852" s="49" t="s">
        <v>1564</v>
      </c>
      <c r="Y852" s="51">
        <v>44391.599108796298</v>
      </c>
      <c r="Z852" s="72">
        <f>tabPontoPed[CÁLC_4M] - tabPontoPed[CÁLCULO]</f>
        <v>7</v>
      </c>
      <c r="AA852" s="79" t="str">
        <f>IF(tabPontoPed[MENSAL]-tabPontoPed[ATA MENSAL] = 0,"sim","")</f>
        <v>sim</v>
      </c>
      <c r="AB852" s="79" t="s">
        <v>1614</v>
      </c>
      <c r="AC852" s="47" t="str">
        <f t="shared" si="13"/>
        <v>*</v>
      </c>
    </row>
    <row r="853" spans="1:29" x14ac:dyDescent="0.25">
      <c r="A853" s="36">
        <v>136853</v>
      </c>
      <c r="B853" s="68" t="s">
        <v>1567</v>
      </c>
      <c r="C853" s="33">
        <v>1</v>
      </c>
      <c r="D853" s="32">
        <v>54</v>
      </c>
      <c r="E853" s="37">
        <v>4</v>
      </c>
      <c r="F853" s="38" t="str">
        <f>VLOOKUP(tabPontoPed[[#This Row],[GRUPO]],tabGrupos[#Data],2,FALSE)</f>
        <v>EQUIP PROT IND, INST MAT P/ SINAL, CONTR, COMB ...</v>
      </c>
      <c r="G853" s="32" t="str">
        <f>VLOOKUP(tabPontoPed[[#This Row],[GRUPO]],tabGrupos[#Data],3,FALSE)</f>
        <v>MAN</v>
      </c>
      <c r="H853" s="33" t="s">
        <v>1311</v>
      </c>
      <c r="I853" s="80">
        <v>4</v>
      </c>
      <c r="J853" s="39">
        <v>0</v>
      </c>
      <c r="K853" s="41">
        <f>tabPontoPed[[#This Row],[QTDMÊS]] * tabPontoPed[[#This Row],[MENSAL]]</f>
        <v>0</v>
      </c>
      <c r="L853" s="83"/>
      <c r="M853" s="81"/>
      <c r="N853" s="34" t="s">
        <v>1009</v>
      </c>
      <c r="O853" s="76"/>
      <c r="P853" s="77">
        <v>0</v>
      </c>
      <c r="Q853" s="57">
        <v>4</v>
      </c>
      <c r="R853" s="42">
        <v>2</v>
      </c>
      <c r="S853" s="69" t="str">
        <f>_xlfn.IFNA(IF(VLOOKUP(tabPontoPed[[#This Row],[CÓDIGO]],tabExcluirDoEstoque[#Data],1,FALSE),"sim",""),"")</f>
        <v/>
      </c>
      <c r="T853" s="43">
        <f>IF(AND(tabPontoPed[[#This Row],[MENSAL]]&gt;0,tabPontoPed[[#This Row],[CÁLCULO]]&gt;0), ABS( tabPontoPed[[#This Row],[MENSAL]] - tabPontoPed[[#This Row],[CÁLCULO]] ) / tabPontoPed[[#This Row],[MENSAL]], -1 )</f>
        <v>-1</v>
      </c>
      <c r="U853" s="58">
        <v>13</v>
      </c>
      <c r="V853" s="35">
        <f>IF(AND(tabPontoPed[[#This Row],[MENSAL]]&gt;0,tabPontoPed[[#This Row],[CÁLCULO]]&gt;0), IF( tabPontoPed[[#This Row],[MENSAL]] - tabPontoPed[[#This Row],[CÁLCULO]] &lt; 0, -1, IF( tabPontoPed[[#This Row],[MENSAL]] - tabPontoPed[[#This Row],[CÁLCULO]] &gt; 0, 1, -8)), -9 )</f>
        <v>-9</v>
      </c>
      <c r="W853" s="35"/>
      <c r="X853" s="49" t="s">
        <v>1564</v>
      </c>
      <c r="Y853" s="51">
        <v>44391.599108796298</v>
      </c>
      <c r="Z853" s="72">
        <f>tabPontoPed[CÁLC_4M] - tabPontoPed[CÁLCULO]</f>
        <v>2</v>
      </c>
      <c r="AA853" s="79" t="str">
        <f>IF(tabPontoPed[MENSAL]-tabPontoPed[ATA MENSAL] = 0,"sim","")</f>
        <v>sim</v>
      </c>
      <c r="AB853" s="79" t="s">
        <v>1614</v>
      </c>
      <c r="AC853" s="47" t="str">
        <f t="shared" si="13"/>
        <v>*</v>
      </c>
    </row>
    <row r="854" spans="1:29" x14ac:dyDescent="0.25">
      <c r="A854" s="36">
        <v>137800</v>
      </c>
      <c r="B854" s="68" t="s">
        <v>1579</v>
      </c>
      <c r="C854" s="33">
        <v>1</v>
      </c>
      <c r="D854" s="32">
        <v>54</v>
      </c>
      <c r="E854" s="37">
        <v>4</v>
      </c>
      <c r="F854" s="38" t="str">
        <f>VLOOKUP(tabPontoPed[[#This Row],[GRUPO]],tabGrupos[#Data],2,FALSE)</f>
        <v>EQUIP PROT IND, INST MAT P/ SINAL, CONTR, COMB ...</v>
      </c>
      <c r="G854" s="32" t="str">
        <f>VLOOKUP(tabPontoPed[[#This Row],[GRUPO]],tabGrupos[#Data],3,FALSE)</f>
        <v>MAN</v>
      </c>
      <c r="H854" s="33" t="s">
        <v>1311</v>
      </c>
      <c r="I854" s="80">
        <v>4</v>
      </c>
      <c r="J854" s="39">
        <v>0</v>
      </c>
      <c r="K854" s="41">
        <f>tabPontoPed[[#This Row],[QTDMÊS]] * tabPontoPed[[#This Row],[MENSAL]]</f>
        <v>0</v>
      </c>
      <c r="L854" s="83"/>
      <c r="M854" s="81"/>
      <c r="N854" s="34" t="s">
        <v>1009</v>
      </c>
      <c r="O854" s="76"/>
      <c r="P854" s="77">
        <v>0</v>
      </c>
      <c r="Q854" s="57">
        <v>2</v>
      </c>
      <c r="R854" s="42">
        <v>1</v>
      </c>
      <c r="S854" s="69" t="str">
        <f>_xlfn.IFNA(IF(VLOOKUP(tabPontoPed[[#This Row],[CÓDIGO]],tabExcluirDoEstoque[#Data],1,FALSE),"sim",""),"")</f>
        <v/>
      </c>
      <c r="T854" s="43">
        <f>IF(AND(tabPontoPed[[#This Row],[MENSAL]]&gt;0,tabPontoPed[[#This Row],[CÁLCULO]]&gt;0), ABS( tabPontoPed[[#This Row],[MENSAL]] - tabPontoPed[[#This Row],[CÁLCULO]] ) / tabPontoPed[[#This Row],[MENSAL]], -1 )</f>
        <v>-1</v>
      </c>
      <c r="U854" s="58">
        <v>5</v>
      </c>
      <c r="V854" s="35">
        <f>IF(AND(tabPontoPed[[#This Row],[MENSAL]]&gt;0,tabPontoPed[[#This Row],[CÁLCULO]]&gt;0), IF( tabPontoPed[[#This Row],[MENSAL]] - tabPontoPed[[#This Row],[CÁLCULO]] &lt; 0, -1, IF( tabPontoPed[[#This Row],[MENSAL]] - tabPontoPed[[#This Row],[CÁLCULO]] &gt; 0, 1, -8)), -9 )</f>
        <v>-9</v>
      </c>
      <c r="W854" s="35"/>
      <c r="X854" s="48" t="s">
        <v>1564</v>
      </c>
      <c r="Y854" s="53">
        <v>44391.599108796298</v>
      </c>
      <c r="Z854" s="72">
        <f>tabPontoPed[CÁLC_4M] - tabPontoPed[CÁLCULO]</f>
        <v>1</v>
      </c>
      <c r="AA854" s="79" t="str">
        <f>IF(tabPontoPed[MENSAL]-tabPontoPed[ATA MENSAL] = 0,"sim","")</f>
        <v>sim</v>
      </c>
      <c r="AB854" s="79" t="s">
        <v>1614</v>
      </c>
      <c r="AC854" s="47" t="str">
        <f t="shared" si="13"/>
        <v>*</v>
      </c>
    </row>
    <row r="855" spans="1:29" x14ac:dyDescent="0.25">
      <c r="A855" s="36">
        <v>136876</v>
      </c>
      <c r="B855" s="68" t="s">
        <v>1635</v>
      </c>
      <c r="C855" s="33">
        <v>1</v>
      </c>
      <c r="D855" s="32">
        <v>54</v>
      </c>
      <c r="E855" s="37">
        <v>4</v>
      </c>
      <c r="F855" s="38" t="str">
        <f>VLOOKUP(tabPontoPed[[#This Row],[GRUPO]],tabGrupos[#Data],2,FALSE)</f>
        <v>EQUIP PROT IND, INST MAT P/ SINAL, CONTR, COMB ...</v>
      </c>
      <c r="G855" s="32" t="str">
        <f>VLOOKUP(tabPontoPed[[#This Row],[GRUPO]],tabGrupos[#Data],3,FALSE)</f>
        <v>MAN</v>
      </c>
      <c r="H855" s="33" t="s">
        <v>1311</v>
      </c>
      <c r="I855" s="80">
        <v>4</v>
      </c>
      <c r="J855" s="39">
        <v>0</v>
      </c>
      <c r="K855" s="41">
        <f>tabPontoPed[[#This Row],[QTDMÊS]] * tabPontoPed[[#This Row],[MENSAL]]</f>
        <v>0</v>
      </c>
      <c r="L855" s="83"/>
      <c r="M855" s="81"/>
      <c r="N855" s="34" t="s">
        <v>1009</v>
      </c>
      <c r="O855" s="76"/>
      <c r="P855" s="77">
        <v>0</v>
      </c>
      <c r="Q855" s="57">
        <v>1</v>
      </c>
      <c r="R855" s="42">
        <v>1</v>
      </c>
      <c r="S855" s="69" t="str">
        <f>_xlfn.IFNA(IF(VLOOKUP(tabPontoPed[[#This Row],[CÓDIGO]],tabExcluirDoEstoque[#Data],1,FALSE),"sim",""),"")</f>
        <v/>
      </c>
      <c r="T855" s="43">
        <f>IF(AND(tabPontoPed[[#This Row],[MENSAL]]&gt;0,tabPontoPed[[#This Row],[CÁLCULO]]&gt;0), ABS( tabPontoPed[[#This Row],[MENSAL]] - tabPontoPed[[#This Row],[CÁLCULO]] ) / tabPontoPed[[#This Row],[MENSAL]], -1 )</f>
        <v>-1</v>
      </c>
      <c r="U855" s="58">
        <v>4</v>
      </c>
      <c r="V855" s="35">
        <f>IF(AND(tabPontoPed[[#This Row],[MENSAL]]&gt;0,tabPontoPed[[#This Row],[CÁLCULO]]&gt;0), IF( tabPontoPed[[#This Row],[MENSAL]] - tabPontoPed[[#This Row],[CÁLCULO]] &lt; 0, -1, IF( tabPontoPed[[#This Row],[MENSAL]] - tabPontoPed[[#This Row],[CÁLCULO]] &gt; 0, 1, -8)), -9 )</f>
        <v>-9</v>
      </c>
      <c r="W855" s="35"/>
      <c r="X855" s="48" t="s">
        <v>1564</v>
      </c>
      <c r="Y855" s="53">
        <v>44391.599108796298</v>
      </c>
      <c r="Z855" s="72">
        <f>tabPontoPed[CÁLC_4M] - tabPontoPed[CÁLCULO]</f>
        <v>0</v>
      </c>
      <c r="AA855" s="79" t="str">
        <f>IF(tabPontoPed[MENSAL]-tabPontoPed[ATA MENSAL] = 0,"sim","")</f>
        <v>sim</v>
      </c>
      <c r="AB855" s="79" t="s">
        <v>1614</v>
      </c>
      <c r="AC855" s="47" t="str">
        <f t="shared" si="13"/>
        <v>*</v>
      </c>
    </row>
    <row r="856" spans="1:29" x14ac:dyDescent="0.25">
      <c r="A856" s="36">
        <v>136854</v>
      </c>
      <c r="B856" s="68" t="s">
        <v>1599</v>
      </c>
      <c r="C856" s="33">
        <v>1</v>
      </c>
      <c r="D856" s="32">
        <v>54</v>
      </c>
      <c r="E856" s="37">
        <v>4</v>
      </c>
      <c r="F856" s="38" t="str">
        <f>VLOOKUP(tabPontoPed[[#This Row],[GRUPO]],tabGrupos[#Data],2,FALSE)</f>
        <v>EQUIP PROT IND, INST MAT P/ SINAL, CONTR, COMB ...</v>
      </c>
      <c r="G856" s="32" t="str">
        <f>VLOOKUP(tabPontoPed[[#This Row],[GRUPO]],tabGrupos[#Data],3,FALSE)</f>
        <v>MAN</v>
      </c>
      <c r="H856" s="33" t="s">
        <v>1311</v>
      </c>
      <c r="I856" s="80">
        <v>4</v>
      </c>
      <c r="J856" s="39">
        <v>0</v>
      </c>
      <c r="K856" s="41">
        <f>tabPontoPed[[#This Row],[QTDMÊS]] * tabPontoPed[[#This Row],[MENSAL]]</f>
        <v>0</v>
      </c>
      <c r="L856" s="83"/>
      <c r="M856" s="81"/>
      <c r="N856" s="34" t="s">
        <v>1009</v>
      </c>
      <c r="O856" s="76"/>
      <c r="P856" s="77">
        <v>0</v>
      </c>
      <c r="Q856" s="57">
        <v>6</v>
      </c>
      <c r="R856" s="42">
        <v>3</v>
      </c>
      <c r="S856" s="69" t="str">
        <f>_xlfn.IFNA(IF(VLOOKUP(tabPontoPed[[#This Row],[CÓDIGO]],tabExcluirDoEstoque[#Data],1,FALSE),"sim",""),"")</f>
        <v/>
      </c>
      <c r="T856" s="43">
        <f>IF(AND(tabPontoPed[[#This Row],[MENSAL]]&gt;0,tabPontoPed[[#This Row],[CÁLCULO]]&gt;0), ABS( tabPontoPed[[#This Row],[MENSAL]] - tabPontoPed[[#This Row],[CÁLCULO]] ) / tabPontoPed[[#This Row],[MENSAL]], -1 )</f>
        <v>-1</v>
      </c>
      <c r="U856" s="58">
        <v>16</v>
      </c>
      <c r="V856" s="35">
        <f>IF(AND(tabPontoPed[[#This Row],[MENSAL]]&gt;0,tabPontoPed[[#This Row],[CÁLCULO]]&gt;0), IF( tabPontoPed[[#This Row],[MENSAL]] - tabPontoPed[[#This Row],[CÁLCULO]] &lt; 0, -1, IF( tabPontoPed[[#This Row],[MENSAL]] - tabPontoPed[[#This Row],[CÁLCULO]] &gt; 0, 1, -8)), -9 )</f>
        <v>-9</v>
      </c>
      <c r="W856" s="35"/>
      <c r="X856" s="48" t="s">
        <v>1564</v>
      </c>
      <c r="Y856" s="53">
        <v>44391.599108796298</v>
      </c>
      <c r="Z856" s="72">
        <f>tabPontoPed[CÁLC_4M] - tabPontoPed[CÁLCULO]</f>
        <v>3</v>
      </c>
      <c r="AA856" s="79" t="str">
        <f>IF(tabPontoPed[MENSAL]-tabPontoPed[ATA MENSAL] = 0,"sim","")</f>
        <v>sim</v>
      </c>
      <c r="AB856" s="79" t="s">
        <v>1614</v>
      </c>
      <c r="AC856" s="47" t="str">
        <f t="shared" si="13"/>
        <v>*</v>
      </c>
    </row>
    <row r="857" spans="1:29" x14ac:dyDescent="0.25">
      <c r="A857" s="36">
        <v>137799</v>
      </c>
      <c r="B857" s="68" t="s">
        <v>1515</v>
      </c>
      <c r="C857" s="33">
        <v>1</v>
      </c>
      <c r="D857" s="32">
        <v>54</v>
      </c>
      <c r="E857" s="37">
        <v>4</v>
      </c>
      <c r="F857" s="38" t="str">
        <f>VLOOKUP(tabPontoPed[[#This Row],[GRUPO]],tabGrupos[#Data],2,FALSE)</f>
        <v>EQUIP PROT IND, INST MAT P/ SINAL, CONTR, COMB ...</v>
      </c>
      <c r="G857" s="32" t="str">
        <f>VLOOKUP(tabPontoPed[[#This Row],[GRUPO]],tabGrupos[#Data],3,FALSE)</f>
        <v>MAN</v>
      </c>
      <c r="H857" s="33" t="s">
        <v>1311</v>
      </c>
      <c r="I857" s="80">
        <v>4</v>
      </c>
      <c r="J857" s="39">
        <v>0</v>
      </c>
      <c r="K857" s="41">
        <f>tabPontoPed[[#This Row],[QTDMÊS]] * tabPontoPed[[#This Row],[MENSAL]]</f>
        <v>0</v>
      </c>
      <c r="L857" s="83"/>
      <c r="M857" s="81"/>
      <c r="N857" s="34" t="s">
        <v>1009</v>
      </c>
      <c r="O857" s="76"/>
      <c r="P857" s="77">
        <v>0</v>
      </c>
      <c r="Q857" s="57">
        <v>2</v>
      </c>
      <c r="R857" s="42">
        <v>1</v>
      </c>
      <c r="S857" s="69" t="str">
        <f>_xlfn.IFNA(IF(VLOOKUP(tabPontoPed[[#This Row],[CÓDIGO]],tabExcluirDoEstoque[#Data],1,FALSE),"sim",""),"")</f>
        <v/>
      </c>
      <c r="T857" s="43">
        <f>IF(AND(tabPontoPed[[#This Row],[MENSAL]]&gt;0,tabPontoPed[[#This Row],[CÁLCULO]]&gt;0), ABS( tabPontoPed[[#This Row],[MENSAL]] - tabPontoPed[[#This Row],[CÁLCULO]] ) / tabPontoPed[[#This Row],[MENSAL]], -1 )</f>
        <v>-1</v>
      </c>
      <c r="U857" s="58">
        <v>5</v>
      </c>
      <c r="V857" s="35">
        <f>IF(AND(tabPontoPed[[#This Row],[MENSAL]]&gt;0,tabPontoPed[[#This Row],[CÁLCULO]]&gt;0), IF( tabPontoPed[[#This Row],[MENSAL]] - tabPontoPed[[#This Row],[CÁLCULO]] &lt; 0, -1, IF( tabPontoPed[[#This Row],[MENSAL]] - tabPontoPed[[#This Row],[CÁLCULO]] &gt; 0, 1, -8)), -9 )</f>
        <v>-9</v>
      </c>
      <c r="W857" s="35"/>
      <c r="X857" s="49" t="s">
        <v>1564</v>
      </c>
      <c r="Y857" s="51">
        <v>44391.599108796298</v>
      </c>
      <c r="Z857" s="72">
        <f>tabPontoPed[CÁLC_4M] - tabPontoPed[CÁLCULO]</f>
        <v>1</v>
      </c>
      <c r="AA857" s="79" t="str">
        <f>IF(tabPontoPed[MENSAL]-tabPontoPed[ATA MENSAL] = 0,"sim","")</f>
        <v>sim</v>
      </c>
      <c r="AB857" s="79" t="s">
        <v>1614</v>
      </c>
      <c r="AC857" s="47" t="str">
        <f t="shared" si="13"/>
        <v>*</v>
      </c>
    </row>
    <row r="858" spans="1:29" x14ac:dyDescent="0.25">
      <c r="A858" s="36">
        <v>137053</v>
      </c>
      <c r="B858" s="68" t="s">
        <v>1602</v>
      </c>
      <c r="C858" s="33">
        <v>1</v>
      </c>
      <c r="D858" s="32">
        <v>54</v>
      </c>
      <c r="E858" s="37">
        <v>4</v>
      </c>
      <c r="F858" s="38" t="str">
        <f>VLOOKUP(tabPontoPed[[#This Row],[GRUPO]],tabGrupos[#Data],2,FALSE)</f>
        <v>EQUIP PROT IND, INST MAT P/ SINAL, CONTR, COMB ...</v>
      </c>
      <c r="G858" s="32" t="str">
        <f>VLOOKUP(tabPontoPed[[#This Row],[GRUPO]],tabGrupos[#Data],3,FALSE)</f>
        <v>MAN</v>
      </c>
      <c r="H858" s="33" t="s">
        <v>1311</v>
      </c>
      <c r="I858" s="80">
        <v>4</v>
      </c>
      <c r="J858" s="39">
        <v>0</v>
      </c>
      <c r="K858" s="41">
        <f>tabPontoPed[[#This Row],[QTDMÊS]] * tabPontoPed[[#This Row],[MENSAL]]</f>
        <v>0</v>
      </c>
      <c r="L858" s="83"/>
      <c r="M858" s="81"/>
      <c r="N858" s="34" t="s">
        <v>1009</v>
      </c>
      <c r="O858" s="76"/>
      <c r="P858" s="77">
        <v>0</v>
      </c>
      <c r="Q858" s="57">
        <v>2</v>
      </c>
      <c r="R858" s="42">
        <v>1</v>
      </c>
      <c r="S858" s="69" t="str">
        <f>_xlfn.IFNA(IF(VLOOKUP(tabPontoPed[[#This Row],[CÓDIGO]],tabExcluirDoEstoque[#Data],1,FALSE),"sim",""),"")</f>
        <v/>
      </c>
      <c r="T858" s="43">
        <f>IF(AND(tabPontoPed[[#This Row],[MENSAL]]&gt;0,tabPontoPed[[#This Row],[CÁLCULO]]&gt;0), ABS( tabPontoPed[[#This Row],[MENSAL]] - tabPontoPed[[#This Row],[CÁLCULO]] ) / tabPontoPed[[#This Row],[MENSAL]], -1 )</f>
        <v>-1</v>
      </c>
      <c r="U858" s="58">
        <v>7</v>
      </c>
      <c r="V858" s="35">
        <f>IF(AND(tabPontoPed[[#This Row],[MENSAL]]&gt;0,tabPontoPed[[#This Row],[CÁLCULO]]&gt;0), IF( tabPontoPed[[#This Row],[MENSAL]] - tabPontoPed[[#This Row],[CÁLCULO]] &lt; 0, -1, IF( tabPontoPed[[#This Row],[MENSAL]] - tabPontoPed[[#This Row],[CÁLCULO]] &gt; 0, 1, -8)), -9 )</f>
        <v>-9</v>
      </c>
      <c r="W858" s="35"/>
      <c r="X858" s="48" t="s">
        <v>1564</v>
      </c>
      <c r="Y858" s="53">
        <v>44391.599108796298</v>
      </c>
      <c r="Z858" s="72">
        <f>tabPontoPed[CÁLC_4M] - tabPontoPed[CÁLCULO]</f>
        <v>1</v>
      </c>
      <c r="AA858" s="79" t="str">
        <f>IF(tabPontoPed[MENSAL]-tabPontoPed[ATA MENSAL] = 0,"sim","")</f>
        <v>sim</v>
      </c>
      <c r="AB858" s="79" t="s">
        <v>1614</v>
      </c>
      <c r="AC858" s="47" t="str">
        <f t="shared" si="13"/>
        <v>*</v>
      </c>
    </row>
    <row r="859" spans="1:29" x14ac:dyDescent="0.25">
      <c r="A859" s="36">
        <v>137019</v>
      </c>
      <c r="B859" s="68" t="s">
        <v>1569</v>
      </c>
      <c r="C859" s="33">
        <v>1</v>
      </c>
      <c r="D859" s="32">
        <v>54</v>
      </c>
      <c r="E859" s="37">
        <v>4</v>
      </c>
      <c r="F859" s="38" t="str">
        <f>VLOOKUP(tabPontoPed[[#This Row],[GRUPO]],tabGrupos[#Data],2,FALSE)</f>
        <v>EQUIP PROT IND, INST MAT P/ SINAL, CONTR, COMB ...</v>
      </c>
      <c r="G859" s="32" t="str">
        <f>VLOOKUP(tabPontoPed[[#This Row],[GRUPO]],tabGrupos[#Data],3,FALSE)</f>
        <v>MAN</v>
      </c>
      <c r="H859" s="33" t="s">
        <v>1311</v>
      </c>
      <c r="I859" s="80">
        <v>4</v>
      </c>
      <c r="J859" s="39">
        <v>0</v>
      </c>
      <c r="K859" s="41">
        <f>tabPontoPed[[#This Row],[QTDMÊS]] * tabPontoPed[[#This Row],[MENSAL]]</f>
        <v>0</v>
      </c>
      <c r="L859" s="83"/>
      <c r="M859" s="81"/>
      <c r="N859" s="34" t="s">
        <v>1009</v>
      </c>
      <c r="O859" s="76"/>
      <c r="P859" s="77">
        <v>0</v>
      </c>
      <c r="Q859" s="57">
        <v>3</v>
      </c>
      <c r="R859" s="42">
        <v>3</v>
      </c>
      <c r="S859" s="69" t="str">
        <f>_xlfn.IFNA(IF(VLOOKUP(tabPontoPed[[#This Row],[CÓDIGO]],tabExcluirDoEstoque[#Data],1,FALSE),"sim",""),"")</f>
        <v/>
      </c>
      <c r="T859" s="43">
        <f>IF(AND(tabPontoPed[[#This Row],[MENSAL]]&gt;0,tabPontoPed[[#This Row],[CÁLCULO]]&gt;0), ABS( tabPontoPed[[#This Row],[MENSAL]] - tabPontoPed[[#This Row],[CÁLCULO]] ) / tabPontoPed[[#This Row],[MENSAL]], -1 )</f>
        <v>-1</v>
      </c>
      <c r="U859" s="58">
        <v>11</v>
      </c>
      <c r="V859" s="35">
        <f>IF(AND(tabPontoPed[[#This Row],[MENSAL]]&gt;0,tabPontoPed[[#This Row],[CÁLCULO]]&gt;0), IF( tabPontoPed[[#This Row],[MENSAL]] - tabPontoPed[[#This Row],[CÁLCULO]] &lt; 0, -1, IF( tabPontoPed[[#This Row],[MENSAL]] - tabPontoPed[[#This Row],[CÁLCULO]] &gt; 0, 1, -8)), -9 )</f>
        <v>-9</v>
      </c>
      <c r="W859" s="35"/>
      <c r="X859" s="49" t="s">
        <v>1564</v>
      </c>
      <c r="Y859" s="51">
        <v>44391.599108796298</v>
      </c>
      <c r="Z859" s="72">
        <f>tabPontoPed[CÁLC_4M] - tabPontoPed[CÁLCULO]</f>
        <v>0</v>
      </c>
      <c r="AA859" s="79" t="str">
        <f>IF(tabPontoPed[MENSAL]-tabPontoPed[ATA MENSAL] = 0,"sim","")</f>
        <v>sim</v>
      </c>
      <c r="AB859" s="79" t="s">
        <v>1614</v>
      </c>
      <c r="AC859" s="47" t="str">
        <f t="shared" si="13"/>
        <v>*</v>
      </c>
    </row>
    <row r="860" spans="1:29" x14ac:dyDescent="0.25">
      <c r="A860" s="36">
        <v>136859</v>
      </c>
      <c r="B860" s="68" t="s">
        <v>1568</v>
      </c>
      <c r="C860" s="33">
        <v>1</v>
      </c>
      <c r="D860" s="32">
        <v>54</v>
      </c>
      <c r="E860" s="37">
        <v>4</v>
      </c>
      <c r="F860" s="38" t="str">
        <f>VLOOKUP(tabPontoPed[[#This Row],[GRUPO]],tabGrupos[#Data],2,FALSE)</f>
        <v>EQUIP PROT IND, INST MAT P/ SINAL, CONTR, COMB ...</v>
      </c>
      <c r="G860" s="32" t="str">
        <f>VLOOKUP(tabPontoPed[[#This Row],[GRUPO]],tabGrupos[#Data],3,FALSE)</f>
        <v>MAN</v>
      </c>
      <c r="H860" s="33" t="s">
        <v>1311</v>
      </c>
      <c r="I860" s="80">
        <v>4</v>
      </c>
      <c r="J860" s="39">
        <v>0</v>
      </c>
      <c r="K860" s="41">
        <f>tabPontoPed[[#This Row],[QTDMÊS]] * tabPontoPed[[#This Row],[MENSAL]]</f>
        <v>0</v>
      </c>
      <c r="L860" s="83"/>
      <c r="M860" s="81"/>
      <c r="N860" s="34" t="s">
        <v>1009</v>
      </c>
      <c r="O860" s="76"/>
      <c r="P860" s="77">
        <v>0</v>
      </c>
      <c r="Q860" s="57">
        <v>2</v>
      </c>
      <c r="R860" s="42">
        <v>1</v>
      </c>
      <c r="S860" s="69" t="str">
        <f>_xlfn.IFNA(IF(VLOOKUP(tabPontoPed[[#This Row],[CÓDIGO]],tabExcluirDoEstoque[#Data],1,FALSE),"sim",""),"")</f>
        <v/>
      </c>
      <c r="T860" s="43">
        <f>IF(AND(tabPontoPed[[#This Row],[MENSAL]]&gt;0,tabPontoPed[[#This Row],[CÁLCULO]]&gt;0), ABS( tabPontoPed[[#This Row],[MENSAL]] - tabPontoPed[[#This Row],[CÁLCULO]] ) / tabPontoPed[[#This Row],[MENSAL]], -1 )</f>
        <v>-1</v>
      </c>
      <c r="U860" s="58">
        <v>7</v>
      </c>
      <c r="V860" s="35">
        <f>IF(AND(tabPontoPed[[#This Row],[MENSAL]]&gt;0,tabPontoPed[[#This Row],[CÁLCULO]]&gt;0), IF( tabPontoPed[[#This Row],[MENSAL]] - tabPontoPed[[#This Row],[CÁLCULO]] &lt; 0, -1, IF( tabPontoPed[[#This Row],[MENSAL]] - tabPontoPed[[#This Row],[CÁLCULO]] &gt; 0, 1, -8)), -9 )</f>
        <v>-9</v>
      </c>
      <c r="W860" s="35"/>
      <c r="X860" s="49" t="s">
        <v>1564</v>
      </c>
      <c r="Y860" s="51">
        <v>44391.599108796298</v>
      </c>
      <c r="Z860" s="72">
        <f>tabPontoPed[CÁLC_4M] - tabPontoPed[CÁLCULO]</f>
        <v>1</v>
      </c>
      <c r="AA860" s="79" t="str">
        <f>IF(tabPontoPed[MENSAL]-tabPontoPed[ATA MENSAL] = 0,"sim","")</f>
        <v>sim</v>
      </c>
      <c r="AB860" s="79" t="s">
        <v>1614</v>
      </c>
      <c r="AC860" s="47" t="str">
        <f t="shared" si="13"/>
        <v>*</v>
      </c>
    </row>
    <row r="861" spans="1:29" x14ac:dyDescent="0.25">
      <c r="A861" s="36">
        <v>136818</v>
      </c>
      <c r="B861" s="68" t="s">
        <v>1578</v>
      </c>
      <c r="C861" s="33">
        <v>1</v>
      </c>
      <c r="D861" s="32">
        <v>54</v>
      </c>
      <c r="E861" s="37">
        <v>4</v>
      </c>
      <c r="F861" s="38" t="str">
        <f>VLOOKUP(tabPontoPed[[#This Row],[GRUPO]],tabGrupos[#Data],2,FALSE)</f>
        <v>EQUIP PROT IND, INST MAT P/ SINAL, CONTR, COMB ...</v>
      </c>
      <c r="G861" s="32" t="str">
        <f>VLOOKUP(tabPontoPed[[#This Row],[GRUPO]],tabGrupos[#Data],3,FALSE)</f>
        <v>MAN</v>
      </c>
      <c r="H861" s="33" t="s">
        <v>1311</v>
      </c>
      <c r="I861" s="80">
        <v>4</v>
      </c>
      <c r="J861" s="39">
        <v>0</v>
      </c>
      <c r="K861" s="41">
        <f>tabPontoPed[[#This Row],[QTDMÊS]] * tabPontoPed[[#This Row],[MENSAL]]</f>
        <v>0</v>
      </c>
      <c r="L861" s="83"/>
      <c r="M861" s="81"/>
      <c r="N861" s="34" t="s">
        <v>1009</v>
      </c>
      <c r="O861" s="76"/>
      <c r="P861" s="77">
        <v>0</v>
      </c>
      <c r="Q861" s="57">
        <v>0</v>
      </c>
      <c r="R861" s="42">
        <v>0</v>
      </c>
      <c r="S861" s="69" t="str">
        <f>_xlfn.IFNA(IF(VLOOKUP(tabPontoPed[[#This Row],[CÓDIGO]],tabExcluirDoEstoque[#Data],1,FALSE),"sim",""),"")</f>
        <v/>
      </c>
      <c r="T861" s="43">
        <f>IF(AND(tabPontoPed[[#This Row],[MENSAL]]&gt;0,tabPontoPed[[#This Row],[CÁLCULO]]&gt;0), ABS( tabPontoPed[[#This Row],[MENSAL]] - tabPontoPed[[#This Row],[CÁLCULO]] ) / tabPontoPed[[#This Row],[MENSAL]], -1 )</f>
        <v>-1</v>
      </c>
      <c r="U861" s="58">
        <v>0</v>
      </c>
      <c r="V861" s="35">
        <f>IF(AND(tabPontoPed[[#This Row],[MENSAL]]&gt;0,tabPontoPed[[#This Row],[CÁLCULO]]&gt;0), IF( tabPontoPed[[#This Row],[MENSAL]] - tabPontoPed[[#This Row],[CÁLCULO]] &lt; 0, -1, IF( tabPontoPed[[#This Row],[MENSAL]] - tabPontoPed[[#This Row],[CÁLCULO]] &gt; 0, 1, -8)), -9 )</f>
        <v>-9</v>
      </c>
      <c r="W861" s="35"/>
      <c r="X861" s="49" t="s">
        <v>1564</v>
      </c>
      <c r="Y861" s="51">
        <v>44391.599108796298</v>
      </c>
      <c r="Z861" s="72">
        <f>tabPontoPed[CÁLC_4M] - tabPontoPed[CÁLCULO]</f>
        <v>0</v>
      </c>
      <c r="AA861" s="79" t="str">
        <f>IF(tabPontoPed[MENSAL]-tabPontoPed[ATA MENSAL] = 0,"sim","")</f>
        <v>sim</v>
      </c>
      <c r="AB861" s="79" t="s">
        <v>1614</v>
      </c>
      <c r="AC861" s="47" t="str">
        <f t="shared" si="13"/>
        <v>*</v>
      </c>
    </row>
    <row r="862" spans="1:29" x14ac:dyDescent="0.25">
      <c r="A862" s="36">
        <v>66308</v>
      </c>
      <c r="B862" s="68" t="s">
        <v>596</v>
      </c>
      <c r="C862" s="33" t="s">
        <v>1317</v>
      </c>
      <c r="D862" s="32">
        <v>54</v>
      </c>
      <c r="E862" s="37">
        <v>16</v>
      </c>
      <c r="F862" s="38" t="str">
        <f>VLOOKUP(tabPontoPed[[#This Row],[GRUPO]],tabGrupos[#Data],2,FALSE)</f>
        <v>EQUIP PROT IND, INST MAT P/ SINAL, CONTR, COMB ...</v>
      </c>
      <c r="G862" s="32" t="str">
        <f>VLOOKUP(tabPontoPed[[#This Row],[GRUPO]],tabGrupos[#Data],3,FALSE)</f>
        <v>MAN</v>
      </c>
      <c r="H862" s="33" t="s">
        <v>1311</v>
      </c>
      <c r="I862" s="80">
        <v>4</v>
      </c>
      <c r="J862" s="39"/>
      <c r="K862" s="41">
        <f>tabPontoPed[[#This Row],[QTDMÊS]] * tabPontoPed[[#This Row],[MENSAL]]</f>
        <v>0</v>
      </c>
      <c r="L862" s="83"/>
      <c r="M862" s="81"/>
      <c r="N862" s="34" t="s">
        <v>1009</v>
      </c>
      <c r="O862" s="76"/>
      <c r="P862" s="77">
        <v>0</v>
      </c>
      <c r="Q862" s="57">
        <v>0</v>
      </c>
      <c r="R862" s="42">
        <v>0</v>
      </c>
      <c r="S862" s="69" t="str">
        <f>_xlfn.IFNA(IF(VLOOKUP(tabPontoPed[[#This Row],[CÓDIGO]],tabExcluirDoEstoque[#Data],1,FALSE),"sim",""),"")</f>
        <v/>
      </c>
      <c r="T862" s="43">
        <f>IF(AND(tabPontoPed[[#This Row],[MENSAL]]&gt;0,tabPontoPed[[#This Row],[CÁLCULO]]&gt;0), ABS( tabPontoPed[[#This Row],[MENSAL]] - tabPontoPed[[#This Row],[CÁLCULO]] ) / tabPontoPed[[#This Row],[MENSAL]], -1 )</f>
        <v>-1</v>
      </c>
      <c r="U862" s="58">
        <v>0</v>
      </c>
      <c r="V862" s="35">
        <f>IF(AND(tabPontoPed[[#This Row],[MENSAL]]&gt;0,tabPontoPed[[#This Row],[CÁLCULO]]&gt;0), IF( tabPontoPed[[#This Row],[MENSAL]] - tabPontoPed[[#This Row],[CÁLCULO]] &lt; 0, -1, IF( tabPontoPed[[#This Row],[MENSAL]] - tabPontoPed[[#This Row],[CÁLCULO]] &gt; 0, 1, -8)), -9 )</f>
        <v>-9</v>
      </c>
      <c r="W862" s="35"/>
      <c r="X862" s="49" t="s">
        <v>1564</v>
      </c>
      <c r="Y862" s="51">
        <v>44391.599108796298</v>
      </c>
      <c r="Z862" s="72">
        <f>tabPontoPed[CÁLC_4M] - tabPontoPed[CÁLCULO]</f>
        <v>0</v>
      </c>
      <c r="AA862" s="79" t="str">
        <f>IF(tabPontoPed[MENSAL]-tabPontoPed[ATA MENSAL] = 0,"sim","")</f>
        <v>sim</v>
      </c>
      <c r="AB862" s="79" t="s">
        <v>1614</v>
      </c>
      <c r="AC862" s="47" t="str">
        <f t="shared" si="13"/>
        <v>*</v>
      </c>
    </row>
    <row r="863" spans="1:29" x14ac:dyDescent="0.25">
      <c r="A863" s="36">
        <v>128305</v>
      </c>
      <c r="B863" s="68" t="s">
        <v>599</v>
      </c>
      <c r="C863" s="33" t="s">
        <v>1317</v>
      </c>
      <c r="D863" s="32">
        <v>54</v>
      </c>
      <c r="E863" s="37">
        <v>16</v>
      </c>
      <c r="F863" s="38" t="str">
        <f>VLOOKUP(tabPontoPed[[#This Row],[GRUPO]],tabGrupos[#Data],2,FALSE)</f>
        <v>EQUIP PROT IND, INST MAT P/ SINAL, CONTR, COMB ...</v>
      </c>
      <c r="G863" s="32" t="str">
        <f>VLOOKUP(tabPontoPed[[#This Row],[GRUPO]],tabGrupos[#Data],3,FALSE)</f>
        <v>MAN</v>
      </c>
      <c r="H863" s="33" t="s">
        <v>1311</v>
      </c>
      <c r="I863" s="80">
        <v>4</v>
      </c>
      <c r="J863" s="39"/>
      <c r="K863" s="41">
        <f>tabPontoPed[[#This Row],[QTDMÊS]] * tabPontoPed[[#This Row],[MENSAL]]</f>
        <v>0</v>
      </c>
      <c r="L863" s="83"/>
      <c r="M863" s="81"/>
      <c r="N863" s="34" t="s">
        <v>1009</v>
      </c>
      <c r="O863" s="76"/>
      <c r="P863" s="77">
        <v>0</v>
      </c>
      <c r="Q863" s="57">
        <v>1</v>
      </c>
      <c r="R863" s="42">
        <v>1</v>
      </c>
      <c r="S863" s="69" t="str">
        <f>_xlfn.IFNA(IF(VLOOKUP(tabPontoPed[[#This Row],[CÓDIGO]],tabExcluirDoEstoque[#Data],1,FALSE),"sim",""),"")</f>
        <v/>
      </c>
      <c r="T863" s="43">
        <f>IF(AND(tabPontoPed[[#This Row],[MENSAL]]&gt;0,tabPontoPed[[#This Row],[CÁLCULO]]&gt;0), ABS( tabPontoPed[[#This Row],[MENSAL]] - tabPontoPed[[#This Row],[CÁLCULO]] ) / tabPontoPed[[#This Row],[MENSAL]], -1 )</f>
        <v>-1</v>
      </c>
      <c r="U863" s="58">
        <v>1</v>
      </c>
      <c r="V863" s="35">
        <f>IF(AND(tabPontoPed[[#This Row],[MENSAL]]&gt;0,tabPontoPed[[#This Row],[CÁLCULO]]&gt;0), IF( tabPontoPed[[#This Row],[MENSAL]] - tabPontoPed[[#This Row],[CÁLCULO]] &lt; 0, -1, IF( tabPontoPed[[#This Row],[MENSAL]] - tabPontoPed[[#This Row],[CÁLCULO]] &gt; 0, 1, -8)), -9 )</f>
        <v>-9</v>
      </c>
      <c r="W863" s="35"/>
      <c r="X863" s="49" t="s">
        <v>1564</v>
      </c>
      <c r="Y863" s="51">
        <v>44391.599108796298</v>
      </c>
      <c r="Z863" s="72">
        <f>tabPontoPed[CÁLC_4M] - tabPontoPed[CÁLCULO]</f>
        <v>0</v>
      </c>
      <c r="AA863" s="79" t="str">
        <f>IF(tabPontoPed[MENSAL]-tabPontoPed[ATA MENSAL] = 0,"sim","")</f>
        <v>sim</v>
      </c>
      <c r="AB863" s="79" t="s">
        <v>1614</v>
      </c>
      <c r="AC863" s="47" t="str">
        <f t="shared" si="13"/>
        <v>*</v>
      </c>
    </row>
    <row r="864" spans="1:29" x14ac:dyDescent="0.25">
      <c r="A864" s="36">
        <v>105113</v>
      </c>
      <c r="B864" s="68" t="s">
        <v>612</v>
      </c>
      <c r="C864" s="33" t="s">
        <v>1317</v>
      </c>
      <c r="D864" s="32">
        <v>54</v>
      </c>
      <c r="E864" s="37">
        <v>19</v>
      </c>
      <c r="F864" s="38" t="str">
        <f>VLOOKUP(tabPontoPed[[#This Row],[GRUPO]],tabGrupos[#Data],2,FALSE)</f>
        <v>EQUIP PROT IND, INST MAT P/ SINAL, CONTR, COMB ...</v>
      </c>
      <c r="G864" s="32" t="str">
        <f>VLOOKUP(tabPontoPed[[#This Row],[GRUPO]],tabGrupos[#Data],3,FALSE)</f>
        <v>MAN</v>
      </c>
      <c r="H864" s="33" t="s">
        <v>1311</v>
      </c>
      <c r="I864" s="80">
        <v>4</v>
      </c>
      <c r="J864" s="39">
        <v>0</v>
      </c>
      <c r="K864" s="41">
        <f>tabPontoPed[[#This Row],[QTDMÊS]] * tabPontoPed[[#This Row],[MENSAL]]</f>
        <v>0</v>
      </c>
      <c r="L864" s="83"/>
      <c r="M864" s="81"/>
      <c r="N864" s="34" t="s">
        <v>1009</v>
      </c>
      <c r="O864" s="76"/>
      <c r="P864" s="77">
        <v>0</v>
      </c>
      <c r="Q864" s="57">
        <v>0</v>
      </c>
      <c r="R864" s="42">
        <v>1</v>
      </c>
      <c r="S864" s="69" t="str">
        <f>_xlfn.IFNA(IF(VLOOKUP(tabPontoPed[[#This Row],[CÓDIGO]],tabExcluirDoEstoque[#Data],1,FALSE),"sim",""),"")</f>
        <v/>
      </c>
      <c r="T864" s="43">
        <f>IF(AND(tabPontoPed[[#This Row],[MENSAL]]&gt;0,tabPontoPed[[#This Row],[CÁLCULO]]&gt;0), ABS( tabPontoPed[[#This Row],[MENSAL]] - tabPontoPed[[#This Row],[CÁLCULO]] ) / tabPontoPed[[#This Row],[MENSAL]], -1 )</f>
        <v>-1</v>
      </c>
      <c r="U864" s="58">
        <v>2</v>
      </c>
      <c r="V864" s="35">
        <f>IF(AND(tabPontoPed[[#This Row],[MENSAL]]&gt;0,tabPontoPed[[#This Row],[CÁLCULO]]&gt;0), IF( tabPontoPed[[#This Row],[MENSAL]] - tabPontoPed[[#This Row],[CÁLCULO]] &lt; 0, -1, IF( tabPontoPed[[#This Row],[MENSAL]] - tabPontoPed[[#This Row],[CÁLCULO]] &gt; 0, 1, -8)), -9 )</f>
        <v>-9</v>
      </c>
      <c r="W864" s="35"/>
      <c r="X864" s="49" t="s">
        <v>1564</v>
      </c>
      <c r="Y864" s="51">
        <v>44391.599108796298</v>
      </c>
      <c r="Z864" s="72">
        <f>tabPontoPed[CÁLC_4M] - tabPontoPed[CÁLCULO]</f>
        <v>-1</v>
      </c>
      <c r="AA864" s="79" t="str">
        <f>IF(tabPontoPed[MENSAL]-tabPontoPed[ATA MENSAL] = 0,"sim","")</f>
        <v>sim</v>
      </c>
      <c r="AB864" s="79" t="s">
        <v>1614</v>
      </c>
      <c r="AC864" s="47" t="str">
        <f t="shared" si="13"/>
        <v>*</v>
      </c>
    </row>
    <row r="865" spans="1:29" x14ac:dyDescent="0.25">
      <c r="A865" s="36">
        <v>105709</v>
      </c>
      <c r="B865" s="68" t="s">
        <v>613</v>
      </c>
      <c r="C865" s="33" t="s">
        <v>1317</v>
      </c>
      <c r="D865" s="32">
        <v>54</v>
      </c>
      <c r="E865" s="37">
        <v>19</v>
      </c>
      <c r="F865" s="38" t="str">
        <f>VLOOKUP(tabPontoPed[[#This Row],[GRUPO]],tabGrupos[#Data],2,FALSE)</f>
        <v>EQUIP PROT IND, INST MAT P/ SINAL, CONTR, COMB ...</v>
      </c>
      <c r="G865" s="32" t="str">
        <f>VLOOKUP(tabPontoPed[[#This Row],[GRUPO]],tabGrupos[#Data],3,FALSE)</f>
        <v>MAN</v>
      </c>
      <c r="H865" s="33" t="s">
        <v>1311</v>
      </c>
      <c r="I865" s="80">
        <v>4</v>
      </c>
      <c r="J865" s="39">
        <v>0</v>
      </c>
      <c r="K865" s="41">
        <f>tabPontoPed[[#This Row],[QTDMÊS]] * tabPontoPed[[#This Row],[MENSAL]]</f>
        <v>0</v>
      </c>
      <c r="L865" s="83"/>
      <c r="M865" s="81"/>
      <c r="N865" s="34" t="s">
        <v>1009</v>
      </c>
      <c r="O865" s="76" t="s">
        <v>1748</v>
      </c>
      <c r="P865" s="77">
        <v>0</v>
      </c>
      <c r="Q865" s="57">
        <v>0</v>
      </c>
      <c r="R865" s="42">
        <v>0</v>
      </c>
      <c r="S865" s="69" t="str">
        <f>_xlfn.IFNA(IF(VLOOKUP(tabPontoPed[[#This Row],[CÓDIGO]],tabExcluirDoEstoque[#Data],1,FALSE),"sim",""),"")</f>
        <v/>
      </c>
      <c r="T865" s="43">
        <f>IF(AND(tabPontoPed[[#This Row],[MENSAL]]&gt;0,tabPontoPed[[#This Row],[CÁLCULO]]&gt;0), ABS( tabPontoPed[[#This Row],[MENSAL]] - tabPontoPed[[#This Row],[CÁLCULO]] ) / tabPontoPed[[#This Row],[MENSAL]], -1 )</f>
        <v>-1</v>
      </c>
      <c r="U865" s="58">
        <v>0</v>
      </c>
      <c r="V865" s="35">
        <f>IF(AND(tabPontoPed[[#This Row],[MENSAL]]&gt;0,tabPontoPed[[#This Row],[CÁLCULO]]&gt;0), IF( tabPontoPed[[#This Row],[MENSAL]] - tabPontoPed[[#This Row],[CÁLCULO]] &lt; 0, -1, IF( tabPontoPed[[#This Row],[MENSAL]] - tabPontoPed[[#This Row],[CÁLCULO]] &gt; 0, 1, -8)), -9 )</f>
        <v>-9</v>
      </c>
      <c r="W865" s="35"/>
      <c r="X865" s="49" t="s">
        <v>1564</v>
      </c>
      <c r="Y865" s="51">
        <v>44391.599108796298</v>
      </c>
      <c r="Z865" s="72">
        <f>tabPontoPed[CÁLC_4M] - tabPontoPed[CÁLCULO]</f>
        <v>0</v>
      </c>
      <c r="AA865" s="79" t="str">
        <f>IF(tabPontoPed[MENSAL]-tabPontoPed[ATA MENSAL] = 0,"sim","")</f>
        <v>sim</v>
      </c>
      <c r="AB865" s="79" t="s">
        <v>1614</v>
      </c>
      <c r="AC865" s="47" t="str">
        <f t="shared" si="13"/>
        <v>*</v>
      </c>
    </row>
    <row r="866" spans="1:29" x14ac:dyDescent="0.25">
      <c r="A866" s="36">
        <v>102814</v>
      </c>
      <c r="B866" s="68" t="s">
        <v>606</v>
      </c>
      <c r="C866" s="33" t="s">
        <v>1317</v>
      </c>
      <c r="D866" s="32">
        <v>54</v>
      </c>
      <c r="E866" s="37">
        <v>19</v>
      </c>
      <c r="F866" s="38" t="str">
        <f>VLOOKUP(tabPontoPed[[#This Row],[GRUPO]],tabGrupos[#Data],2,FALSE)</f>
        <v>EQUIP PROT IND, INST MAT P/ SINAL, CONTR, COMB ...</v>
      </c>
      <c r="G866" s="32" t="str">
        <f>VLOOKUP(tabPontoPed[[#This Row],[GRUPO]],tabGrupos[#Data],3,FALSE)</f>
        <v>MAN</v>
      </c>
      <c r="H866" s="33" t="s">
        <v>1311</v>
      </c>
      <c r="I866" s="80">
        <v>4</v>
      </c>
      <c r="J866" s="39"/>
      <c r="K866" s="41">
        <f>tabPontoPed[[#This Row],[QTDMÊS]] * tabPontoPed[[#This Row],[MENSAL]]</f>
        <v>0</v>
      </c>
      <c r="L866" s="83"/>
      <c r="M866" s="81"/>
      <c r="N866" s="34" t="s">
        <v>1009</v>
      </c>
      <c r="O866" s="76"/>
      <c r="P866" s="77">
        <v>0</v>
      </c>
      <c r="Q866" s="57">
        <v>4</v>
      </c>
      <c r="R866" s="42">
        <v>12</v>
      </c>
      <c r="S866" s="69" t="str">
        <f>_xlfn.IFNA(IF(VLOOKUP(tabPontoPed[[#This Row],[CÓDIGO]],tabExcluirDoEstoque[#Data],1,FALSE),"sim",""),"")</f>
        <v/>
      </c>
      <c r="T866" s="43">
        <f>IF(AND(tabPontoPed[[#This Row],[MENSAL]]&gt;0,tabPontoPed[[#This Row],[CÁLCULO]]&gt;0), ABS( tabPontoPed[[#This Row],[MENSAL]] - tabPontoPed[[#This Row],[CÁLCULO]] ) / tabPontoPed[[#This Row],[MENSAL]], -1 )</f>
        <v>-1</v>
      </c>
      <c r="U866" s="58">
        <v>55</v>
      </c>
      <c r="V866" s="35">
        <f>IF(AND(tabPontoPed[[#This Row],[MENSAL]]&gt;0,tabPontoPed[[#This Row],[CÁLCULO]]&gt;0), IF( tabPontoPed[[#This Row],[MENSAL]] - tabPontoPed[[#This Row],[CÁLCULO]] &lt; 0, -1, IF( tabPontoPed[[#This Row],[MENSAL]] - tabPontoPed[[#This Row],[CÁLCULO]] &gt; 0, 1, -8)), -9 )</f>
        <v>-9</v>
      </c>
      <c r="W866" s="35"/>
      <c r="X866" s="48" t="s">
        <v>1564</v>
      </c>
      <c r="Y866" s="53">
        <v>44391.599108796298</v>
      </c>
      <c r="Z866" s="72">
        <f>tabPontoPed[CÁLC_4M] - tabPontoPed[CÁLCULO]</f>
        <v>-8</v>
      </c>
      <c r="AA866" s="79" t="str">
        <f>IF(tabPontoPed[MENSAL]-tabPontoPed[ATA MENSAL] = 0,"sim","")</f>
        <v>sim</v>
      </c>
      <c r="AB866" s="79" t="s">
        <v>1614</v>
      </c>
      <c r="AC866" s="47" t="str">
        <f t="shared" si="13"/>
        <v>*</v>
      </c>
    </row>
    <row r="867" spans="1:29" x14ac:dyDescent="0.25">
      <c r="A867" s="36">
        <v>128782</v>
      </c>
      <c r="B867" s="68" t="s">
        <v>921</v>
      </c>
      <c r="C867" s="33" t="s">
        <v>1317</v>
      </c>
      <c r="D867" s="32">
        <v>70</v>
      </c>
      <c r="E867" s="37">
        <v>47</v>
      </c>
      <c r="F867" s="38" t="str">
        <f>VLOOKUP(tabPontoPed[[#This Row],[GRUPO]],tabGrupos[#Data],2,FALSE)</f>
        <v>FERRAMENTAS MAQ.FERRAMENTAS,ELETR.PECAS E ACESSORI</v>
      </c>
      <c r="G867" s="32" t="str">
        <f>VLOOKUP(tabPontoPed[[#This Row],[GRUPO]],tabGrupos[#Data],3,FALSE)</f>
        <v>MAN</v>
      </c>
      <c r="H867" s="33" t="s">
        <v>1311</v>
      </c>
      <c r="I867" s="80">
        <v>4</v>
      </c>
      <c r="J867" s="39"/>
      <c r="K867" s="41">
        <f>tabPontoPed[[#This Row],[QTDMÊS]] * tabPontoPed[[#This Row],[MENSAL]]</f>
        <v>0</v>
      </c>
      <c r="L867" s="83"/>
      <c r="M867" s="81"/>
      <c r="N867" s="34" t="s">
        <v>1009</v>
      </c>
      <c r="O867" s="76"/>
      <c r="P867" s="77">
        <v>0</v>
      </c>
      <c r="Q867" s="57">
        <v>0</v>
      </c>
      <c r="R867" s="42">
        <v>0</v>
      </c>
      <c r="S867" s="69" t="str">
        <f>_xlfn.IFNA(IF(VLOOKUP(tabPontoPed[[#This Row],[CÓDIGO]],tabExcluirDoEstoque[#Data],1,FALSE),"sim",""),"")</f>
        <v/>
      </c>
      <c r="T867" s="43">
        <f>IF(AND(tabPontoPed[[#This Row],[MENSAL]]&gt;0,tabPontoPed[[#This Row],[CÁLCULO]]&gt;0), ABS( tabPontoPed[[#This Row],[MENSAL]] - tabPontoPed[[#This Row],[CÁLCULO]] ) / tabPontoPed[[#This Row],[MENSAL]], -1 )</f>
        <v>-1</v>
      </c>
      <c r="U867" s="58">
        <v>0</v>
      </c>
      <c r="V867" s="35">
        <f>IF(AND(tabPontoPed[[#This Row],[MENSAL]]&gt;0,tabPontoPed[[#This Row],[CÁLCULO]]&gt;0), IF( tabPontoPed[[#This Row],[MENSAL]] - tabPontoPed[[#This Row],[CÁLCULO]] &lt; 0, -1, IF( tabPontoPed[[#This Row],[MENSAL]] - tabPontoPed[[#This Row],[CÁLCULO]] &gt; 0, 1, -8)), -9 )</f>
        <v>-9</v>
      </c>
      <c r="W867" s="35"/>
      <c r="X867" s="49" t="s">
        <v>1564</v>
      </c>
      <c r="Y867" s="51">
        <v>44391.599108796298</v>
      </c>
      <c r="Z867" s="72">
        <f>tabPontoPed[CÁLC_4M] - tabPontoPed[CÁLCULO]</f>
        <v>0</v>
      </c>
      <c r="AA867" s="79" t="str">
        <f>IF(tabPontoPed[MENSAL]-tabPontoPed[ATA MENSAL] = 0,"sim","")</f>
        <v>sim</v>
      </c>
      <c r="AB867" s="79" t="s">
        <v>1614</v>
      </c>
      <c r="AC867" s="47" t="str">
        <f t="shared" si="13"/>
        <v>*</v>
      </c>
    </row>
    <row r="868" spans="1:29" x14ac:dyDescent="0.25">
      <c r="A868" s="36">
        <v>13101</v>
      </c>
      <c r="B868" s="68" t="s">
        <v>977</v>
      </c>
      <c r="C868" s="33" t="s">
        <v>1317</v>
      </c>
      <c r="D868" s="32">
        <v>83</v>
      </c>
      <c r="E868" s="37">
        <v>2</v>
      </c>
      <c r="F868" s="38" t="str">
        <f>VLOOKUP(tabPontoPed[[#This Row],[GRUPO]],tabGrupos[#Data],2,FALSE)</f>
        <v>ABRASIVOS</v>
      </c>
      <c r="G868" s="32" t="str">
        <f>VLOOKUP(tabPontoPed[[#This Row],[GRUPO]],tabGrupos[#Data],3,FALSE)</f>
        <v>MAN</v>
      </c>
      <c r="H868" s="33" t="s">
        <v>1311</v>
      </c>
      <c r="I868" s="80">
        <v>4</v>
      </c>
      <c r="J868" s="39">
        <v>17</v>
      </c>
      <c r="K868" s="41">
        <f>tabPontoPed[[#This Row],[QTDMÊS]] * tabPontoPed[[#This Row],[MENSAL]]</f>
        <v>68</v>
      </c>
      <c r="L868" s="83"/>
      <c r="M868" s="81"/>
      <c r="N868" s="34" t="s">
        <v>1009</v>
      </c>
      <c r="O868" s="76" t="s">
        <v>1658</v>
      </c>
      <c r="P868" s="77">
        <v>0</v>
      </c>
      <c r="Q868" s="57">
        <v>0</v>
      </c>
      <c r="R868" s="42">
        <v>0</v>
      </c>
      <c r="S868" s="69" t="str">
        <f>_xlfn.IFNA(IF(VLOOKUP(tabPontoPed[[#This Row],[CÓDIGO]],tabExcluirDoEstoque[#Data],1,FALSE),"sim",""),"")</f>
        <v/>
      </c>
      <c r="T868" s="43">
        <f>IF(AND(tabPontoPed[[#This Row],[MENSAL]]&gt;0,tabPontoPed[[#This Row],[CÁLCULO]]&gt;0), ABS( tabPontoPed[[#This Row],[MENSAL]] - tabPontoPed[[#This Row],[CÁLCULO]] ) / tabPontoPed[[#This Row],[MENSAL]], -1 )</f>
        <v>-1</v>
      </c>
      <c r="U868" s="58">
        <v>0</v>
      </c>
      <c r="V868" s="35">
        <f>IF(AND(tabPontoPed[[#This Row],[MENSAL]]&gt;0,tabPontoPed[[#This Row],[CÁLCULO]]&gt;0), IF( tabPontoPed[[#This Row],[MENSAL]] - tabPontoPed[[#This Row],[CÁLCULO]] &lt; 0, -1, IF( tabPontoPed[[#This Row],[MENSAL]] - tabPontoPed[[#This Row],[CÁLCULO]] &gt; 0, 1, -8)), -9 )</f>
        <v>-9</v>
      </c>
      <c r="W868" s="35"/>
      <c r="X868" s="49" t="s">
        <v>1564</v>
      </c>
      <c r="Y868" s="51">
        <v>44391.599108796298</v>
      </c>
      <c r="Z868" s="72">
        <f>tabPontoPed[CÁLC_4M] - tabPontoPed[CÁLCULO]</f>
        <v>0</v>
      </c>
      <c r="AA868" s="79" t="str">
        <f>IF(tabPontoPed[MENSAL]-tabPontoPed[ATA MENSAL] = 0,"sim","")</f>
        <v/>
      </c>
      <c r="AB868" s="79" t="s">
        <v>1614</v>
      </c>
      <c r="AC868" s="47" t="str">
        <f t="shared" si="13"/>
        <v>*</v>
      </c>
    </row>
    <row r="869" spans="1:29" x14ac:dyDescent="0.25">
      <c r="A869" s="36">
        <v>109986</v>
      </c>
      <c r="B869" s="68" t="s">
        <v>1465</v>
      </c>
      <c r="C869" s="33"/>
      <c r="D869" s="32">
        <v>83</v>
      </c>
      <c r="E869" s="37">
        <v>4</v>
      </c>
      <c r="F869" s="38" t="str">
        <f>VLOOKUP(tabPontoPed[[#This Row],[GRUPO]],tabGrupos[#Data],2,FALSE)</f>
        <v>ABRASIVOS</v>
      </c>
      <c r="G869" s="32" t="str">
        <f>VLOOKUP(tabPontoPed[[#This Row],[GRUPO]],tabGrupos[#Data],3,FALSE)</f>
        <v>MAN</v>
      </c>
      <c r="H869" s="33" t="s">
        <v>1311</v>
      </c>
      <c r="I869" s="80">
        <v>4</v>
      </c>
      <c r="J869" s="39">
        <v>10</v>
      </c>
      <c r="K869" s="41">
        <f>tabPontoPed[[#This Row],[QTDMÊS]] * tabPontoPed[[#This Row],[MENSAL]]</f>
        <v>40</v>
      </c>
      <c r="L869" s="83"/>
      <c r="M869" s="81"/>
      <c r="N869" s="34" t="s">
        <v>1009</v>
      </c>
      <c r="O869" s="76" t="s">
        <v>1671</v>
      </c>
      <c r="P869" s="77">
        <v>0</v>
      </c>
      <c r="Q869" s="57">
        <v>0</v>
      </c>
      <c r="R869" s="42">
        <v>0</v>
      </c>
      <c r="S869" s="69" t="str">
        <f>_xlfn.IFNA(IF(VLOOKUP(tabPontoPed[[#This Row],[CÓDIGO]],tabExcluirDoEstoque[#Data],1,FALSE),"sim",""),"")</f>
        <v/>
      </c>
      <c r="T869" s="43">
        <f>IF(AND(tabPontoPed[[#This Row],[MENSAL]]&gt;0,tabPontoPed[[#This Row],[CÁLCULO]]&gt;0), ABS( tabPontoPed[[#This Row],[MENSAL]] - tabPontoPed[[#This Row],[CÁLCULO]] ) / tabPontoPed[[#This Row],[MENSAL]], -1 )</f>
        <v>-1</v>
      </c>
      <c r="U869" s="58">
        <v>0</v>
      </c>
      <c r="V869" s="35">
        <f>IF(AND(tabPontoPed[[#This Row],[MENSAL]]&gt;0,tabPontoPed[[#This Row],[CÁLCULO]]&gt;0), IF( tabPontoPed[[#This Row],[MENSAL]] - tabPontoPed[[#This Row],[CÁLCULO]] &lt; 0, -1, IF( tabPontoPed[[#This Row],[MENSAL]] - tabPontoPed[[#This Row],[CÁLCULO]] &gt; 0, 1, -8)), -9 )</f>
        <v>-9</v>
      </c>
      <c r="W869" s="35"/>
      <c r="X869" s="49" t="s">
        <v>1564</v>
      </c>
      <c r="Y869" s="51">
        <v>44391.599108796298</v>
      </c>
      <c r="Z869" s="72">
        <f>tabPontoPed[CÁLC_4M] - tabPontoPed[CÁLCULO]</f>
        <v>0</v>
      </c>
      <c r="AA869" s="79" t="str">
        <f>IF(tabPontoPed[MENSAL]-tabPontoPed[ATA MENSAL] = 0,"sim","")</f>
        <v/>
      </c>
      <c r="AB869" s="79"/>
      <c r="AC869" s="47" t="str">
        <f t="shared" si="13"/>
        <v>*</v>
      </c>
    </row>
    <row r="870" spans="1:29" x14ac:dyDescent="0.25">
      <c r="A870" s="36">
        <v>17562</v>
      </c>
      <c r="B870" s="68" t="s">
        <v>991</v>
      </c>
      <c r="C870" s="33" t="s">
        <v>1317</v>
      </c>
      <c r="D870" s="32">
        <v>83</v>
      </c>
      <c r="E870" s="37">
        <v>8</v>
      </c>
      <c r="F870" s="38" t="str">
        <f>VLOOKUP(tabPontoPed[[#This Row],[GRUPO]],tabGrupos[#Data],2,FALSE)</f>
        <v>ABRASIVOS</v>
      </c>
      <c r="G870" s="32" t="str">
        <f>VLOOKUP(tabPontoPed[[#This Row],[GRUPO]],tabGrupos[#Data],3,FALSE)</f>
        <v>MAN</v>
      </c>
      <c r="H870" s="33" t="s">
        <v>1311</v>
      </c>
      <c r="I870" s="80">
        <v>4</v>
      </c>
      <c r="J870" s="39">
        <v>17</v>
      </c>
      <c r="K870" s="41">
        <f>tabPontoPed[[#This Row],[QTDMÊS]] * tabPontoPed[[#This Row],[MENSAL]]</f>
        <v>68</v>
      </c>
      <c r="L870" s="83"/>
      <c r="M870" s="81"/>
      <c r="N870" s="34" t="s">
        <v>1009</v>
      </c>
      <c r="O870" s="76" t="s">
        <v>1710</v>
      </c>
      <c r="P870" s="77">
        <v>0</v>
      </c>
      <c r="Q870" s="57">
        <v>0</v>
      </c>
      <c r="R870" s="42">
        <v>0</v>
      </c>
      <c r="S870" s="69" t="str">
        <f>_xlfn.IFNA(IF(VLOOKUP(tabPontoPed[[#This Row],[CÓDIGO]],tabExcluirDoEstoque[#Data],1,FALSE),"sim",""),"")</f>
        <v/>
      </c>
      <c r="T870" s="43">
        <f>IF(AND(tabPontoPed[[#This Row],[MENSAL]]&gt;0,tabPontoPed[[#This Row],[CÁLCULO]]&gt;0), ABS( tabPontoPed[[#This Row],[MENSAL]] - tabPontoPed[[#This Row],[CÁLCULO]] ) / tabPontoPed[[#This Row],[MENSAL]], -1 )</f>
        <v>-1</v>
      </c>
      <c r="U870" s="58">
        <v>0</v>
      </c>
      <c r="V870" s="35">
        <f>IF(AND(tabPontoPed[[#This Row],[MENSAL]]&gt;0,tabPontoPed[[#This Row],[CÁLCULO]]&gt;0), IF( tabPontoPed[[#This Row],[MENSAL]] - tabPontoPed[[#This Row],[CÁLCULO]] &lt; 0, -1, IF( tabPontoPed[[#This Row],[MENSAL]] - tabPontoPed[[#This Row],[CÁLCULO]] &gt; 0, 1, -8)), -9 )</f>
        <v>-9</v>
      </c>
      <c r="W870" s="35"/>
      <c r="X870" s="49" t="s">
        <v>1564</v>
      </c>
      <c r="Y870" s="51">
        <v>44391.599108796298</v>
      </c>
      <c r="Z870" s="72">
        <f>tabPontoPed[CÁLC_4M] - tabPontoPed[CÁLCULO]</f>
        <v>0</v>
      </c>
      <c r="AA870" s="79" t="str">
        <f>IF(tabPontoPed[MENSAL]-tabPontoPed[ATA MENSAL] = 0,"sim","")</f>
        <v/>
      </c>
      <c r="AB870" s="79" t="s">
        <v>1614</v>
      </c>
      <c r="AC870" s="47" t="str">
        <f t="shared" si="13"/>
        <v>*</v>
      </c>
    </row>
    <row r="871" spans="1:29" x14ac:dyDescent="0.25">
      <c r="A871" s="36">
        <v>13199</v>
      </c>
      <c r="B871" s="68" t="s">
        <v>146</v>
      </c>
      <c r="C871" s="33" t="s">
        <v>1317</v>
      </c>
      <c r="D871" s="32">
        <v>51</v>
      </c>
      <c r="E871" s="37">
        <v>8</v>
      </c>
      <c r="F871" s="38" t="str">
        <f>VLOOKUP(tabPontoPed[[#This Row],[GRUPO]],tabGrupos[#Data],2,FALSE)</f>
        <v>MAT.E EQUIP. P/ CONSTR.CIVIL E CONSERV. DE VIAS PUBL.</v>
      </c>
      <c r="G871" s="32" t="str">
        <f>VLOOKUP(tabPontoPed[[#This Row],[GRUPO]],tabGrupos[#Data],3,FALSE)</f>
        <v>MCO</v>
      </c>
      <c r="H871" s="33" t="s">
        <v>1311</v>
      </c>
      <c r="I871" s="80">
        <v>4</v>
      </c>
      <c r="J871" s="39">
        <v>25</v>
      </c>
      <c r="K871" s="41">
        <f>tabPontoPed[[#This Row],[QTDMÊS]] * tabPontoPed[[#This Row],[MENSAL]]</f>
        <v>100</v>
      </c>
      <c r="L871" s="83"/>
      <c r="M871" s="81"/>
      <c r="N871" s="34" t="s">
        <v>1009</v>
      </c>
      <c r="O871" s="76" t="s">
        <v>1683</v>
      </c>
      <c r="P871" s="77">
        <v>0</v>
      </c>
      <c r="Q871" s="57">
        <v>0</v>
      </c>
      <c r="R871" s="42">
        <v>0</v>
      </c>
      <c r="S871" s="69" t="str">
        <f>_xlfn.IFNA(IF(VLOOKUP(tabPontoPed[[#This Row],[CÓDIGO]],tabExcluirDoEstoque[#Data],1,FALSE),"sim",""),"")</f>
        <v/>
      </c>
      <c r="T871" s="43">
        <f>IF(AND(tabPontoPed[[#This Row],[MENSAL]]&gt;0,tabPontoPed[[#This Row],[CÁLCULO]]&gt;0), ABS( tabPontoPed[[#This Row],[MENSAL]] - tabPontoPed[[#This Row],[CÁLCULO]] ) / tabPontoPed[[#This Row],[MENSAL]], -1 )</f>
        <v>-1</v>
      </c>
      <c r="U871" s="58">
        <v>0</v>
      </c>
      <c r="V871" s="35">
        <f>IF(AND(tabPontoPed[[#This Row],[MENSAL]]&gt;0,tabPontoPed[[#This Row],[CÁLCULO]]&gt;0), IF( tabPontoPed[[#This Row],[MENSAL]] - tabPontoPed[[#This Row],[CÁLCULO]] &lt; 0, -1, IF( tabPontoPed[[#This Row],[MENSAL]] - tabPontoPed[[#This Row],[CÁLCULO]] &gt; 0, 1, -8)), -9 )</f>
        <v>-9</v>
      </c>
      <c r="W871" s="35"/>
      <c r="X871" s="49" t="s">
        <v>1564</v>
      </c>
      <c r="Y871" s="51">
        <v>44391.599108796298</v>
      </c>
      <c r="Z871" s="72">
        <f>tabPontoPed[CÁLC_4M] - tabPontoPed[CÁLCULO]</f>
        <v>0</v>
      </c>
      <c r="AA871" s="79" t="str">
        <f>IF(tabPontoPed[MENSAL]-tabPontoPed[ATA MENSAL] = 0,"sim","")</f>
        <v/>
      </c>
      <c r="AB871" s="79"/>
      <c r="AC871" s="47" t="str">
        <f t="shared" si="13"/>
        <v>*</v>
      </c>
    </row>
    <row r="872" spans="1:29" x14ac:dyDescent="0.25">
      <c r="A872" s="36">
        <v>40086</v>
      </c>
      <c r="B872" s="68" t="s">
        <v>522</v>
      </c>
      <c r="C872" s="33" t="s">
        <v>1317</v>
      </c>
      <c r="D872" s="32">
        <v>51</v>
      </c>
      <c r="E872" s="37">
        <v>17</v>
      </c>
      <c r="F872" s="38" t="str">
        <f>VLOOKUP(tabPontoPed[[#This Row],[GRUPO]],tabGrupos[#Data],2,FALSE)</f>
        <v>MAT.E EQUIP. P/ CONSTR.CIVIL E CONSERV. DE VIAS PUBL.</v>
      </c>
      <c r="G872" s="32" t="str">
        <f>VLOOKUP(tabPontoPed[[#This Row],[GRUPO]],tabGrupos[#Data],3,FALSE)</f>
        <v>MCO</v>
      </c>
      <c r="H872" s="33" t="s">
        <v>1311</v>
      </c>
      <c r="I872" s="80">
        <v>4</v>
      </c>
      <c r="J872" s="39">
        <v>21</v>
      </c>
      <c r="K872" s="41">
        <f>tabPontoPed[[#This Row],[QTDMÊS]] * tabPontoPed[[#This Row],[MENSAL]]</f>
        <v>84</v>
      </c>
      <c r="L872" s="83"/>
      <c r="M872" s="81"/>
      <c r="N872" s="34" t="s">
        <v>1009</v>
      </c>
      <c r="O872" s="76" t="s">
        <v>1770</v>
      </c>
      <c r="P872" s="77">
        <v>0</v>
      </c>
      <c r="Q872" s="57">
        <v>0</v>
      </c>
      <c r="R872" s="42">
        <v>0</v>
      </c>
      <c r="S872" s="69" t="str">
        <f>_xlfn.IFNA(IF(VLOOKUP(tabPontoPed[[#This Row],[CÓDIGO]],tabExcluirDoEstoque[#Data],1,FALSE),"sim",""),"")</f>
        <v/>
      </c>
      <c r="T872" s="43">
        <f>IF(AND(tabPontoPed[[#This Row],[MENSAL]]&gt;0,tabPontoPed[[#This Row],[CÁLCULO]]&gt;0), ABS( tabPontoPed[[#This Row],[MENSAL]] - tabPontoPed[[#This Row],[CÁLCULO]] ) / tabPontoPed[[#This Row],[MENSAL]], -1 )</f>
        <v>-1</v>
      </c>
      <c r="U872" s="58">
        <v>0</v>
      </c>
      <c r="V872" s="35">
        <f>IF(AND(tabPontoPed[[#This Row],[MENSAL]]&gt;0,tabPontoPed[[#This Row],[CÁLCULO]]&gt;0), IF( tabPontoPed[[#This Row],[MENSAL]] - tabPontoPed[[#This Row],[CÁLCULO]] &lt; 0, -1, IF( tabPontoPed[[#This Row],[MENSAL]] - tabPontoPed[[#This Row],[CÁLCULO]] &gt; 0, 1, -8)), -9 )</f>
        <v>-9</v>
      </c>
      <c r="W872" s="35"/>
      <c r="X872" s="49" t="s">
        <v>1564</v>
      </c>
      <c r="Y872" s="51">
        <v>44391.599108796298</v>
      </c>
      <c r="Z872" s="72">
        <f>tabPontoPed[CÁLC_4M] - tabPontoPed[CÁLCULO]</f>
        <v>0</v>
      </c>
      <c r="AA872" s="79" t="str">
        <f>IF(tabPontoPed[MENSAL]-tabPontoPed[ATA MENSAL] = 0,"sim","")</f>
        <v/>
      </c>
      <c r="AB872" s="79"/>
      <c r="AC872" s="47" t="str">
        <f t="shared" si="13"/>
        <v>*</v>
      </c>
    </row>
    <row r="873" spans="1:29" x14ac:dyDescent="0.25">
      <c r="A873" s="36">
        <v>52946</v>
      </c>
      <c r="B873" s="68" t="s">
        <v>1400</v>
      </c>
      <c r="C873" s="33"/>
      <c r="D873" s="32">
        <v>51</v>
      </c>
      <c r="E873" s="37">
        <v>26</v>
      </c>
      <c r="F873" s="38" t="str">
        <f>VLOOKUP(tabPontoPed[[#This Row],[GRUPO]],tabGrupos[#Data],2,FALSE)</f>
        <v>MAT.E EQUIP. P/ CONSTR.CIVIL E CONSERV. DE VIAS PUBL.</v>
      </c>
      <c r="G873" s="32" t="str">
        <f>VLOOKUP(tabPontoPed[[#This Row],[GRUPO]],tabGrupos[#Data],3,FALSE)</f>
        <v>MCO</v>
      </c>
      <c r="H873" s="33" t="s">
        <v>1311</v>
      </c>
      <c r="I873" s="80">
        <v>4</v>
      </c>
      <c r="J873" s="39">
        <v>6</v>
      </c>
      <c r="K873" s="41">
        <f>tabPontoPed[[#This Row],[QTDMÊS]] * tabPontoPed[[#This Row],[MENSAL]]</f>
        <v>24</v>
      </c>
      <c r="L873" s="83"/>
      <c r="M873" s="81"/>
      <c r="N873" s="34" t="s">
        <v>1009</v>
      </c>
      <c r="O873" s="76" t="s">
        <v>1666</v>
      </c>
      <c r="P873" s="77">
        <v>0</v>
      </c>
      <c r="Q873" s="57">
        <v>0</v>
      </c>
      <c r="R873" s="42">
        <v>0</v>
      </c>
      <c r="S873" s="69" t="str">
        <f>_xlfn.IFNA(IF(VLOOKUP(tabPontoPed[[#This Row],[CÓDIGO]],tabExcluirDoEstoque[#Data],1,FALSE),"sim",""),"")</f>
        <v/>
      </c>
      <c r="T873" s="43">
        <f>IF(AND(tabPontoPed[[#This Row],[MENSAL]]&gt;0,tabPontoPed[[#This Row],[CÁLCULO]]&gt;0), ABS( tabPontoPed[[#This Row],[MENSAL]] - tabPontoPed[[#This Row],[CÁLCULO]] ) / tabPontoPed[[#This Row],[MENSAL]], -1 )</f>
        <v>-1</v>
      </c>
      <c r="U873" s="58">
        <v>0</v>
      </c>
      <c r="V873" s="35">
        <f>IF(AND(tabPontoPed[[#This Row],[MENSAL]]&gt;0,tabPontoPed[[#This Row],[CÁLCULO]]&gt;0), IF( tabPontoPed[[#This Row],[MENSAL]] - tabPontoPed[[#This Row],[CÁLCULO]] &lt; 0, -1, IF( tabPontoPed[[#This Row],[MENSAL]] - tabPontoPed[[#This Row],[CÁLCULO]] &gt; 0, 1, -8)), -9 )</f>
        <v>-9</v>
      </c>
      <c r="W873" s="35"/>
      <c r="X873" s="49" t="s">
        <v>1564</v>
      </c>
      <c r="Y873" s="51">
        <v>44391.599108796298</v>
      </c>
      <c r="Z873" s="72">
        <f>tabPontoPed[CÁLC_4M] - tabPontoPed[CÁLCULO]</f>
        <v>0</v>
      </c>
      <c r="AA873" s="79" t="str">
        <f>IF(tabPontoPed[MENSAL]-tabPontoPed[ATA MENSAL] = 0,"sim","")</f>
        <v/>
      </c>
      <c r="AB873" s="79" t="s">
        <v>1614</v>
      </c>
      <c r="AC873" s="47" t="str">
        <f t="shared" si="13"/>
        <v>*</v>
      </c>
    </row>
    <row r="874" spans="1:29" x14ac:dyDescent="0.25">
      <c r="A874" s="36">
        <v>78303</v>
      </c>
      <c r="B874" s="68" t="s">
        <v>556</v>
      </c>
      <c r="C874" s="33" t="s">
        <v>1317</v>
      </c>
      <c r="D874" s="32">
        <v>51</v>
      </c>
      <c r="E874" s="37">
        <v>36</v>
      </c>
      <c r="F874" s="38" t="str">
        <f>VLOOKUP(tabPontoPed[[#This Row],[GRUPO]],tabGrupos[#Data],2,FALSE)</f>
        <v>MAT.E EQUIP. P/ CONSTR.CIVIL E CONSERV. DE VIAS PUBL.</v>
      </c>
      <c r="G874" s="32" t="str">
        <f>VLOOKUP(tabPontoPed[[#This Row],[GRUPO]],tabGrupos[#Data],3,FALSE)</f>
        <v>MCO</v>
      </c>
      <c r="H874" s="33" t="s">
        <v>1311</v>
      </c>
      <c r="I874" s="80">
        <v>4</v>
      </c>
      <c r="J874" s="39"/>
      <c r="K874" s="41">
        <f>tabPontoPed[[#This Row],[QTDMÊS]] * tabPontoPed[[#This Row],[MENSAL]]</f>
        <v>0</v>
      </c>
      <c r="L874" s="83"/>
      <c r="M874" s="81"/>
      <c r="N874" s="34" t="s">
        <v>1009</v>
      </c>
      <c r="O874" s="76"/>
      <c r="P874" s="77">
        <v>0</v>
      </c>
      <c r="Q874" s="57">
        <v>2</v>
      </c>
      <c r="R874" s="42">
        <v>1</v>
      </c>
      <c r="S874" s="69" t="str">
        <f>_xlfn.IFNA(IF(VLOOKUP(tabPontoPed[[#This Row],[CÓDIGO]],tabExcluirDoEstoque[#Data],1,FALSE),"sim",""),"")</f>
        <v/>
      </c>
      <c r="T874" s="43">
        <f>IF(AND(tabPontoPed[[#This Row],[MENSAL]]&gt;0,tabPontoPed[[#This Row],[CÁLCULO]]&gt;0), ABS( tabPontoPed[[#This Row],[MENSAL]] - tabPontoPed[[#This Row],[CÁLCULO]] ) / tabPontoPed[[#This Row],[MENSAL]], -1 )</f>
        <v>-1</v>
      </c>
      <c r="U874" s="58">
        <v>3</v>
      </c>
      <c r="V874" s="35">
        <f>IF(AND(tabPontoPed[[#This Row],[MENSAL]]&gt;0,tabPontoPed[[#This Row],[CÁLCULO]]&gt;0), IF( tabPontoPed[[#This Row],[MENSAL]] - tabPontoPed[[#This Row],[CÁLCULO]] &lt; 0, -1, IF( tabPontoPed[[#This Row],[MENSAL]] - tabPontoPed[[#This Row],[CÁLCULO]] &gt; 0, 1, -8)), -9 )</f>
        <v>-9</v>
      </c>
      <c r="W874" s="35"/>
      <c r="X874" s="49" t="s">
        <v>1564</v>
      </c>
      <c r="Y874" s="51">
        <v>44391.599108796298</v>
      </c>
      <c r="Z874" s="72">
        <f>tabPontoPed[CÁLC_4M] - tabPontoPed[CÁLCULO]</f>
        <v>1</v>
      </c>
      <c r="AA874" s="79" t="str">
        <f>IF(tabPontoPed[MENSAL]-tabPontoPed[ATA MENSAL] = 0,"sim","")</f>
        <v>sim</v>
      </c>
      <c r="AB874" s="79" t="s">
        <v>1614</v>
      </c>
      <c r="AC874" s="47" t="str">
        <f t="shared" si="13"/>
        <v>*</v>
      </c>
    </row>
    <row r="875" spans="1:29" x14ac:dyDescent="0.25">
      <c r="A875" s="36">
        <v>76430</v>
      </c>
      <c r="B875" s="68" t="s">
        <v>555</v>
      </c>
      <c r="C875" s="33" t="s">
        <v>1317</v>
      </c>
      <c r="D875" s="32">
        <v>51</v>
      </c>
      <c r="E875" s="37">
        <v>36</v>
      </c>
      <c r="F875" s="38" t="str">
        <f>VLOOKUP(tabPontoPed[[#This Row],[GRUPO]],tabGrupos[#Data],2,FALSE)</f>
        <v>MAT.E EQUIP. P/ CONSTR.CIVIL E CONSERV. DE VIAS PUBL.</v>
      </c>
      <c r="G875" s="32" t="str">
        <f>VLOOKUP(tabPontoPed[[#This Row],[GRUPO]],tabGrupos[#Data],3,FALSE)</f>
        <v>MCO</v>
      </c>
      <c r="H875" s="33" t="s">
        <v>1311</v>
      </c>
      <c r="I875" s="80">
        <v>4</v>
      </c>
      <c r="J875" s="39"/>
      <c r="K875" s="41">
        <f>tabPontoPed[[#This Row],[QTDMÊS]] * tabPontoPed[[#This Row],[MENSAL]]</f>
        <v>0</v>
      </c>
      <c r="L875" s="83"/>
      <c r="M875" s="81"/>
      <c r="N875" s="34" t="s">
        <v>1009</v>
      </c>
      <c r="O875" s="76"/>
      <c r="P875" s="77">
        <v>0</v>
      </c>
      <c r="Q875" s="57">
        <v>1</v>
      </c>
      <c r="R875" s="42">
        <v>1</v>
      </c>
      <c r="S875" s="69" t="str">
        <f>_xlfn.IFNA(IF(VLOOKUP(tabPontoPed[[#This Row],[CÓDIGO]],tabExcluirDoEstoque[#Data],1,FALSE),"sim",""),"")</f>
        <v/>
      </c>
      <c r="T875" s="43">
        <f>IF(AND(tabPontoPed[[#This Row],[MENSAL]]&gt;0,tabPontoPed[[#This Row],[CÁLCULO]]&gt;0), ABS( tabPontoPed[[#This Row],[MENSAL]] - tabPontoPed[[#This Row],[CÁLCULO]] ) / tabPontoPed[[#This Row],[MENSAL]], -1 )</f>
        <v>-1</v>
      </c>
      <c r="U875" s="58">
        <v>1</v>
      </c>
      <c r="V875" s="35">
        <f>IF(AND(tabPontoPed[[#This Row],[MENSAL]]&gt;0,tabPontoPed[[#This Row],[CÁLCULO]]&gt;0), IF( tabPontoPed[[#This Row],[MENSAL]] - tabPontoPed[[#This Row],[CÁLCULO]] &lt; 0, -1, IF( tabPontoPed[[#This Row],[MENSAL]] - tabPontoPed[[#This Row],[CÁLCULO]] &gt; 0, 1, -8)), -9 )</f>
        <v>-9</v>
      </c>
      <c r="W875" s="35"/>
      <c r="X875" s="49" t="s">
        <v>1564</v>
      </c>
      <c r="Y875" s="51">
        <v>44391.599108796298</v>
      </c>
      <c r="Z875" s="72">
        <f>tabPontoPed[CÁLC_4M] - tabPontoPed[CÁLCULO]</f>
        <v>0</v>
      </c>
      <c r="AA875" s="79" t="str">
        <f>IF(tabPontoPed[MENSAL]-tabPontoPed[ATA MENSAL] = 0,"sim","")</f>
        <v>sim</v>
      </c>
      <c r="AB875" s="79" t="s">
        <v>1614</v>
      </c>
      <c r="AC875" s="47" t="str">
        <f t="shared" si="13"/>
        <v>*</v>
      </c>
    </row>
    <row r="876" spans="1:29" x14ac:dyDescent="0.25">
      <c r="A876" s="36">
        <v>110896</v>
      </c>
      <c r="B876" s="68" t="s">
        <v>104</v>
      </c>
      <c r="C876" s="33" t="s">
        <v>1317</v>
      </c>
      <c r="D876" s="32">
        <v>55</v>
      </c>
      <c r="E876" s="37">
        <v>7</v>
      </c>
      <c r="F876" s="38" t="str">
        <f>VLOOKUP(tabPontoPed[[#This Row],[GRUPO]],tabGrupos[#Data],2,FALSE)</f>
        <v>EQUIP. MAT. P/ GERACAO, TRANSM. DISTR. RETIF...</v>
      </c>
      <c r="G876" s="32" t="str">
        <f>VLOOKUP(tabPontoPed[[#This Row],[GRUPO]],tabGrupos[#Data],3,FALSE)</f>
        <v>MEL</v>
      </c>
      <c r="H876" s="33" t="s">
        <v>1311</v>
      </c>
      <c r="I876" s="80">
        <v>4</v>
      </c>
      <c r="J876" s="39">
        <v>5</v>
      </c>
      <c r="K876" s="41">
        <f>tabPontoPed[[#This Row],[QTDMÊS]] * tabPontoPed[[#This Row],[MENSAL]]</f>
        <v>20</v>
      </c>
      <c r="L876" s="83"/>
      <c r="M876" s="81"/>
      <c r="N876" s="34" t="s">
        <v>1009</v>
      </c>
      <c r="O876" s="76" t="s">
        <v>1676</v>
      </c>
      <c r="P876" s="77">
        <v>0</v>
      </c>
      <c r="Q876" s="57">
        <v>0</v>
      </c>
      <c r="R876" s="42">
        <v>0</v>
      </c>
      <c r="S876" s="69" t="str">
        <f>_xlfn.IFNA(IF(VLOOKUP(tabPontoPed[[#This Row],[CÓDIGO]],tabExcluirDoEstoque[#Data],1,FALSE),"sim",""),"")</f>
        <v/>
      </c>
      <c r="T876" s="43">
        <f>IF(AND(tabPontoPed[[#This Row],[MENSAL]]&gt;0,tabPontoPed[[#This Row],[CÁLCULO]]&gt;0), ABS( tabPontoPed[[#This Row],[MENSAL]] - tabPontoPed[[#This Row],[CÁLCULO]] ) / tabPontoPed[[#This Row],[MENSAL]], -1 )</f>
        <v>-1</v>
      </c>
      <c r="U876" s="58">
        <v>0</v>
      </c>
      <c r="V876" s="35">
        <f>IF(AND(tabPontoPed[[#This Row],[MENSAL]]&gt;0,tabPontoPed[[#This Row],[CÁLCULO]]&gt;0), IF( tabPontoPed[[#This Row],[MENSAL]] - tabPontoPed[[#This Row],[CÁLCULO]] &lt; 0, -1, IF( tabPontoPed[[#This Row],[MENSAL]] - tabPontoPed[[#This Row],[CÁLCULO]] &gt; 0, 1, -8)), -9 )</f>
        <v>-9</v>
      </c>
      <c r="W876" s="35"/>
      <c r="X876" s="49" t="s">
        <v>1564</v>
      </c>
      <c r="Y876" s="51">
        <v>44391.599108796298</v>
      </c>
      <c r="Z876" s="72">
        <f>tabPontoPed[CÁLC_4M] - tabPontoPed[CÁLCULO]</f>
        <v>0</v>
      </c>
      <c r="AA876" s="79" t="str">
        <f>IF(tabPontoPed[MENSAL]-tabPontoPed[ATA MENSAL] = 0,"sim","")</f>
        <v/>
      </c>
      <c r="AB876" s="79" t="s">
        <v>1614</v>
      </c>
      <c r="AC876" s="47" t="str">
        <f t="shared" si="13"/>
        <v>*</v>
      </c>
    </row>
    <row r="877" spans="1:29" x14ac:dyDescent="0.25">
      <c r="A877" s="36">
        <v>45637</v>
      </c>
      <c r="B877" s="68" t="s">
        <v>619</v>
      </c>
      <c r="C877" s="33" t="s">
        <v>1317</v>
      </c>
      <c r="D877" s="32">
        <v>55</v>
      </c>
      <c r="E877" s="37">
        <v>9</v>
      </c>
      <c r="F877" s="38" t="str">
        <f>VLOOKUP(tabPontoPed[[#This Row],[GRUPO]],tabGrupos[#Data],2,FALSE)</f>
        <v>EQUIP. MAT. P/ GERACAO, TRANSM. DISTR. RETIF...</v>
      </c>
      <c r="G877" s="32" t="str">
        <f>VLOOKUP(tabPontoPed[[#This Row],[GRUPO]],tabGrupos[#Data],3,FALSE)</f>
        <v>MEL</v>
      </c>
      <c r="H877" s="33" t="s">
        <v>1311</v>
      </c>
      <c r="I877" s="80">
        <v>4</v>
      </c>
      <c r="J877" s="39">
        <v>2</v>
      </c>
      <c r="K877" s="41">
        <f>tabPontoPed[[#This Row],[QTDMÊS]] * tabPontoPed[[#This Row],[MENSAL]]</f>
        <v>8</v>
      </c>
      <c r="L877" s="83"/>
      <c r="M877" s="81"/>
      <c r="N877" s="34" t="s">
        <v>1009</v>
      </c>
      <c r="O877" s="76"/>
      <c r="P877" s="77">
        <v>0</v>
      </c>
      <c r="Q877" s="57">
        <v>0</v>
      </c>
      <c r="R877" s="42">
        <v>0</v>
      </c>
      <c r="S877" s="69" t="str">
        <f>_xlfn.IFNA(IF(VLOOKUP(tabPontoPed[[#This Row],[CÓDIGO]],tabExcluirDoEstoque[#Data],1,FALSE),"sim",""),"")</f>
        <v/>
      </c>
      <c r="T877" s="43">
        <f>IF(AND(tabPontoPed[[#This Row],[MENSAL]]&gt;0,tabPontoPed[[#This Row],[CÁLCULO]]&gt;0), ABS( tabPontoPed[[#This Row],[MENSAL]] - tabPontoPed[[#This Row],[CÁLCULO]] ) / tabPontoPed[[#This Row],[MENSAL]], -1 )</f>
        <v>-1</v>
      </c>
      <c r="U877" s="58">
        <v>0</v>
      </c>
      <c r="V877" s="35">
        <f>IF(AND(tabPontoPed[[#This Row],[MENSAL]]&gt;0,tabPontoPed[[#This Row],[CÁLCULO]]&gt;0), IF( tabPontoPed[[#This Row],[MENSAL]] - tabPontoPed[[#This Row],[CÁLCULO]] &lt; 0, -1, IF( tabPontoPed[[#This Row],[MENSAL]] - tabPontoPed[[#This Row],[CÁLCULO]] &gt; 0, 1, -8)), -9 )</f>
        <v>-9</v>
      </c>
      <c r="W877" s="35"/>
      <c r="X877" s="49" t="s">
        <v>1564</v>
      </c>
      <c r="Y877" s="51">
        <v>44391.599108796298</v>
      </c>
      <c r="Z877" s="72">
        <f>tabPontoPed[CÁLC_4M] - tabPontoPed[CÁLCULO]</f>
        <v>0</v>
      </c>
      <c r="AA877" s="79" t="str">
        <f>IF(tabPontoPed[MENSAL]-tabPontoPed[ATA MENSAL] = 0,"sim","")</f>
        <v/>
      </c>
      <c r="AB877" s="79"/>
      <c r="AC877" s="47" t="str">
        <f t="shared" si="13"/>
        <v>*</v>
      </c>
    </row>
    <row r="878" spans="1:29" x14ac:dyDescent="0.25">
      <c r="A878" s="36">
        <v>140047</v>
      </c>
      <c r="B878" s="68" t="s">
        <v>1781</v>
      </c>
      <c r="C878" s="33">
        <v>1</v>
      </c>
      <c r="D878" s="32">
        <v>55</v>
      </c>
      <c r="E878" s="37">
        <v>19</v>
      </c>
      <c r="F878" s="38" t="str">
        <f>VLOOKUP(tabPontoPed[[#This Row],[GRUPO]],tabGrupos[#Data],2,FALSE)</f>
        <v>EQUIP. MAT. P/ GERACAO, TRANSM. DISTR. RETIF...</v>
      </c>
      <c r="G878" s="32" t="str">
        <f>VLOOKUP(tabPontoPed[[#This Row],[GRUPO]],tabGrupos[#Data],3,FALSE)</f>
        <v>MEL</v>
      </c>
      <c r="H878" s="33" t="s">
        <v>1311</v>
      </c>
      <c r="I878" s="80">
        <v>4</v>
      </c>
      <c r="J878" s="39">
        <v>0</v>
      </c>
      <c r="K878" s="41">
        <f>tabPontoPed[[#This Row],[QTDMÊS]] * tabPontoPed[[#This Row],[MENSAL]]</f>
        <v>0</v>
      </c>
      <c r="L878" s="83"/>
      <c r="M878" s="81"/>
      <c r="N878" s="34" t="s">
        <v>1009</v>
      </c>
      <c r="O878" s="76" t="s">
        <v>1780</v>
      </c>
      <c r="P878" s="77">
        <v>0</v>
      </c>
      <c r="Q878" s="57">
        <v>0</v>
      </c>
      <c r="R878" s="42">
        <v>0</v>
      </c>
      <c r="S878" s="69" t="str">
        <f>_xlfn.IFNA(IF(VLOOKUP(tabPontoPed[[#This Row],[CÓDIGO]],tabExcluirDoEstoque[#Data],1,FALSE),"sim",""),"")</f>
        <v/>
      </c>
      <c r="T878" s="43">
        <f>IF(AND(tabPontoPed[[#This Row],[MENSAL]]&gt;0,tabPontoPed[[#This Row],[CÁLCULO]]&gt;0), ABS( tabPontoPed[[#This Row],[MENSAL]] - tabPontoPed[[#This Row],[CÁLCULO]] ) / tabPontoPed[[#This Row],[MENSAL]], -1 )</f>
        <v>-1</v>
      </c>
      <c r="U878" s="58">
        <v>0</v>
      </c>
      <c r="V878" s="35">
        <f>IF(AND(tabPontoPed[[#This Row],[MENSAL]]&gt;0,tabPontoPed[[#This Row],[CÁLCULO]]&gt;0), IF( tabPontoPed[[#This Row],[MENSAL]] - tabPontoPed[[#This Row],[CÁLCULO]] &lt; 0, -1, IF( tabPontoPed[[#This Row],[MENSAL]] - tabPontoPed[[#This Row],[CÁLCULO]] &gt; 0, 1, -8)), -9 )</f>
        <v>-9</v>
      </c>
      <c r="W878" s="35"/>
      <c r="X878" s="48" t="s">
        <v>1564</v>
      </c>
      <c r="Y878" s="53">
        <v>44391.647175925929</v>
      </c>
      <c r="Z878" s="72">
        <f>tabPontoPed[CÁLC_4M] - tabPontoPed[CÁLCULO]</f>
        <v>0</v>
      </c>
      <c r="AA878" s="79" t="str">
        <f>IF(tabPontoPed[MENSAL]-tabPontoPed[ATA MENSAL] = 0,"sim","")</f>
        <v>sim</v>
      </c>
      <c r="AB878" s="79" t="s">
        <v>1614</v>
      </c>
      <c r="AC878" s="47" t="str">
        <f t="shared" si="13"/>
        <v>*</v>
      </c>
    </row>
    <row r="879" spans="1:29" x14ac:dyDescent="0.25">
      <c r="A879" s="36">
        <v>114928</v>
      </c>
      <c r="B879" s="68" t="s">
        <v>625</v>
      </c>
      <c r="C879" s="33" t="s">
        <v>1317</v>
      </c>
      <c r="D879" s="32">
        <v>55</v>
      </c>
      <c r="E879" s="37">
        <v>19</v>
      </c>
      <c r="F879" s="38" t="str">
        <f>VLOOKUP(tabPontoPed[[#This Row],[GRUPO]],tabGrupos[#Data],2,FALSE)</f>
        <v>EQUIP. MAT. P/ GERACAO, TRANSM. DISTR. RETIF...</v>
      </c>
      <c r="G879" s="32" t="str">
        <f>VLOOKUP(tabPontoPed[[#This Row],[GRUPO]],tabGrupos[#Data],3,FALSE)</f>
        <v>MEL</v>
      </c>
      <c r="H879" s="33" t="s">
        <v>1311</v>
      </c>
      <c r="I879" s="80">
        <v>4</v>
      </c>
      <c r="J879" s="39"/>
      <c r="K879" s="41">
        <f>tabPontoPed[[#This Row],[QTDMÊS]] * tabPontoPed[[#This Row],[MENSAL]]</f>
        <v>0</v>
      </c>
      <c r="L879" s="83"/>
      <c r="M879" s="81"/>
      <c r="N879" s="34" t="s">
        <v>1009</v>
      </c>
      <c r="O879" s="76"/>
      <c r="P879" s="77">
        <v>0</v>
      </c>
      <c r="Q879" s="57">
        <v>0</v>
      </c>
      <c r="R879" s="42">
        <v>0</v>
      </c>
      <c r="S879" s="69" t="str">
        <f>_xlfn.IFNA(IF(VLOOKUP(tabPontoPed[[#This Row],[CÓDIGO]],tabExcluirDoEstoque[#Data],1,FALSE),"sim",""),"")</f>
        <v/>
      </c>
      <c r="T879" s="43">
        <f>IF(AND(tabPontoPed[[#This Row],[MENSAL]]&gt;0,tabPontoPed[[#This Row],[CÁLCULO]]&gt;0), ABS( tabPontoPed[[#This Row],[MENSAL]] - tabPontoPed[[#This Row],[CÁLCULO]] ) / tabPontoPed[[#This Row],[MENSAL]], -1 )</f>
        <v>-1</v>
      </c>
      <c r="U879" s="58">
        <v>0</v>
      </c>
      <c r="V879" s="35">
        <f>IF(AND(tabPontoPed[[#This Row],[MENSAL]]&gt;0,tabPontoPed[[#This Row],[CÁLCULO]]&gt;0), IF( tabPontoPed[[#This Row],[MENSAL]] - tabPontoPed[[#This Row],[CÁLCULO]] &lt; 0, -1, IF( tabPontoPed[[#This Row],[MENSAL]] - tabPontoPed[[#This Row],[CÁLCULO]] &gt; 0, 1, -8)), -9 )</f>
        <v>-9</v>
      </c>
      <c r="W879" s="35"/>
      <c r="X879" s="49" t="s">
        <v>1564</v>
      </c>
      <c r="Y879" s="51">
        <v>44391.599108796298</v>
      </c>
      <c r="Z879" s="72">
        <f>tabPontoPed[CÁLC_4M] - tabPontoPed[CÁLCULO]</f>
        <v>0</v>
      </c>
      <c r="AA879" s="79" t="str">
        <f>IF(tabPontoPed[MENSAL]-tabPontoPed[ATA MENSAL] = 0,"sim","")</f>
        <v>sim</v>
      </c>
      <c r="AB879" s="79" t="s">
        <v>1614</v>
      </c>
      <c r="AC879" s="47" t="str">
        <f t="shared" si="13"/>
        <v>*</v>
      </c>
    </row>
    <row r="880" spans="1:29" x14ac:dyDescent="0.25">
      <c r="A880" s="36">
        <v>110889</v>
      </c>
      <c r="B880" s="68" t="s">
        <v>622</v>
      </c>
      <c r="C880" s="33" t="s">
        <v>1317</v>
      </c>
      <c r="D880" s="32">
        <v>55</v>
      </c>
      <c r="E880" s="37">
        <v>19</v>
      </c>
      <c r="F880" s="38" t="str">
        <f>VLOOKUP(tabPontoPed[[#This Row],[GRUPO]],tabGrupos[#Data],2,FALSE)</f>
        <v>EQUIP. MAT. P/ GERACAO, TRANSM. DISTR. RETIF...</v>
      </c>
      <c r="G880" s="32" t="str">
        <f>VLOOKUP(tabPontoPed[[#This Row],[GRUPO]],tabGrupos[#Data],3,FALSE)</f>
        <v>MEL</v>
      </c>
      <c r="H880" s="33" t="s">
        <v>1311</v>
      </c>
      <c r="I880" s="80">
        <v>4</v>
      </c>
      <c r="J880" s="39">
        <v>0</v>
      </c>
      <c r="K880" s="41">
        <f>tabPontoPed[[#This Row],[QTDMÊS]] * tabPontoPed[[#This Row],[MENSAL]]</f>
        <v>0</v>
      </c>
      <c r="L880" s="83"/>
      <c r="M880" s="81"/>
      <c r="N880" s="34" t="s">
        <v>1009</v>
      </c>
      <c r="O880" s="76"/>
      <c r="P880" s="77">
        <v>0</v>
      </c>
      <c r="Q880" s="57">
        <v>0</v>
      </c>
      <c r="R880" s="42">
        <v>0</v>
      </c>
      <c r="S880" s="69" t="str">
        <f>_xlfn.IFNA(IF(VLOOKUP(tabPontoPed[[#This Row],[CÓDIGO]],tabExcluirDoEstoque[#Data],1,FALSE),"sim",""),"")</f>
        <v/>
      </c>
      <c r="T880" s="43">
        <f>IF(AND(tabPontoPed[[#This Row],[MENSAL]]&gt;0,tabPontoPed[[#This Row],[CÁLCULO]]&gt;0), ABS( tabPontoPed[[#This Row],[MENSAL]] - tabPontoPed[[#This Row],[CÁLCULO]] ) / tabPontoPed[[#This Row],[MENSAL]], -1 )</f>
        <v>-1</v>
      </c>
      <c r="U880" s="58">
        <v>0</v>
      </c>
      <c r="V880" s="35">
        <f>IF(AND(tabPontoPed[[#This Row],[MENSAL]]&gt;0,tabPontoPed[[#This Row],[CÁLCULO]]&gt;0), IF( tabPontoPed[[#This Row],[MENSAL]] - tabPontoPed[[#This Row],[CÁLCULO]] &lt; 0, -1, IF( tabPontoPed[[#This Row],[MENSAL]] - tabPontoPed[[#This Row],[CÁLCULO]] &gt; 0, 1, -8)), -9 )</f>
        <v>-9</v>
      </c>
      <c r="W880" s="35"/>
      <c r="X880" s="49" t="s">
        <v>1564</v>
      </c>
      <c r="Y880" s="51">
        <v>44391.599108796298</v>
      </c>
      <c r="Z880" s="72">
        <f>tabPontoPed[CÁLC_4M] - tabPontoPed[CÁLCULO]</f>
        <v>0</v>
      </c>
      <c r="AA880" s="79" t="str">
        <f>IF(tabPontoPed[MENSAL]-tabPontoPed[ATA MENSAL] = 0,"sim","")</f>
        <v>sim</v>
      </c>
      <c r="AB880" s="79" t="s">
        <v>1614</v>
      </c>
      <c r="AC880" s="47" t="str">
        <f t="shared" si="13"/>
        <v>*</v>
      </c>
    </row>
    <row r="881" spans="1:29" x14ac:dyDescent="0.25">
      <c r="A881" s="36">
        <v>123370</v>
      </c>
      <c r="B881" s="68" t="s">
        <v>626</v>
      </c>
      <c r="C881" s="33" t="s">
        <v>1317</v>
      </c>
      <c r="D881" s="32">
        <v>55</v>
      </c>
      <c r="E881" s="37">
        <v>19</v>
      </c>
      <c r="F881" s="38" t="str">
        <f>VLOOKUP(tabPontoPed[[#This Row],[GRUPO]],tabGrupos[#Data],2,FALSE)</f>
        <v>EQUIP. MAT. P/ GERACAO, TRANSM. DISTR. RETIF...</v>
      </c>
      <c r="G881" s="32" t="str">
        <f>VLOOKUP(tabPontoPed[[#This Row],[GRUPO]],tabGrupos[#Data],3,FALSE)</f>
        <v>MEL</v>
      </c>
      <c r="H881" s="33" t="s">
        <v>1311</v>
      </c>
      <c r="I881" s="80">
        <v>4</v>
      </c>
      <c r="J881" s="39">
        <v>0</v>
      </c>
      <c r="K881" s="41">
        <f>tabPontoPed[[#This Row],[QTDMÊS]] * tabPontoPed[[#This Row],[MENSAL]]</f>
        <v>0</v>
      </c>
      <c r="L881" s="83"/>
      <c r="M881" s="81"/>
      <c r="N881" s="34" t="s">
        <v>1009</v>
      </c>
      <c r="O881" s="76"/>
      <c r="P881" s="77">
        <v>0</v>
      </c>
      <c r="Q881" s="57">
        <v>0</v>
      </c>
      <c r="R881" s="42">
        <v>0</v>
      </c>
      <c r="S881" s="69" t="str">
        <f>_xlfn.IFNA(IF(VLOOKUP(tabPontoPed[[#This Row],[CÓDIGO]],tabExcluirDoEstoque[#Data],1,FALSE),"sim",""),"")</f>
        <v/>
      </c>
      <c r="T881" s="43">
        <f>IF(AND(tabPontoPed[[#This Row],[MENSAL]]&gt;0,tabPontoPed[[#This Row],[CÁLCULO]]&gt;0), ABS( tabPontoPed[[#This Row],[MENSAL]] - tabPontoPed[[#This Row],[CÁLCULO]] ) / tabPontoPed[[#This Row],[MENSAL]], -1 )</f>
        <v>-1</v>
      </c>
      <c r="U881" s="58">
        <v>0</v>
      </c>
      <c r="V881" s="35">
        <f>IF(AND(tabPontoPed[[#This Row],[MENSAL]]&gt;0,tabPontoPed[[#This Row],[CÁLCULO]]&gt;0), IF( tabPontoPed[[#This Row],[MENSAL]] - tabPontoPed[[#This Row],[CÁLCULO]] &lt; 0, -1, IF( tabPontoPed[[#This Row],[MENSAL]] - tabPontoPed[[#This Row],[CÁLCULO]] &gt; 0, 1, -8)), -9 )</f>
        <v>-9</v>
      </c>
      <c r="W881" s="35"/>
      <c r="X881" s="49" t="s">
        <v>1564</v>
      </c>
      <c r="Y881" s="51">
        <v>44391.599108796298</v>
      </c>
      <c r="Z881" s="72">
        <f>tabPontoPed[CÁLC_4M] - tabPontoPed[CÁLCULO]</f>
        <v>0</v>
      </c>
      <c r="AA881" s="79" t="str">
        <f>IF(tabPontoPed[MENSAL]-tabPontoPed[ATA MENSAL] = 0,"sim","")</f>
        <v>sim</v>
      </c>
      <c r="AB881" s="79" t="s">
        <v>1614</v>
      </c>
      <c r="AC881" s="47" t="str">
        <f t="shared" si="13"/>
        <v>*</v>
      </c>
    </row>
    <row r="882" spans="1:29" x14ac:dyDescent="0.25">
      <c r="A882" s="36">
        <v>129960</v>
      </c>
      <c r="B882" s="68" t="s">
        <v>134</v>
      </c>
      <c r="C882" s="33" t="s">
        <v>1317</v>
      </c>
      <c r="D882" s="32">
        <v>55</v>
      </c>
      <c r="E882" s="37">
        <v>19</v>
      </c>
      <c r="F882" s="38" t="str">
        <f>VLOOKUP(tabPontoPed[[#This Row],[GRUPO]],tabGrupos[#Data],2,FALSE)</f>
        <v>EQUIP. MAT. P/ GERACAO, TRANSM. DISTR. RETIF...</v>
      </c>
      <c r="G882" s="32" t="str">
        <f>VLOOKUP(tabPontoPed[[#This Row],[GRUPO]],tabGrupos[#Data],3,FALSE)</f>
        <v>MEL</v>
      </c>
      <c r="H882" s="33" t="s">
        <v>1311</v>
      </c>
      <c r="I882" s="80">
        <v>4</v>
      </c>
      <c r="J882" s="39">
        <v>5</v>
      </c>
      <c r="K882" s="41">
        <f>tabPontoPed[[#This Row],[QTDMÊS]] * tabPontoPed[[#This Row],[MENSAL]]</f>
        <v>20</v>
      </c>
      <c r="L882" s="83"/>
      <c r="M882" s="81"/>
      <c r="N882" s="34" t="s">
        <v>1009</v>
      </c>
      <c r="O882" s="76" t="s">
        <v>1472</v>
      </c>
      <c r="P882" s="77">
        <v>0</v>
      </c>
      <c r="Q882" s="57">
        <v>0</v>
      </c>
      <c r="R882" s="42">
        <v>0</v>
      </c>
      <c r="S882" s="69" t="str">
        <f>_xlfn.IFNA(IF(VLOOKUP(tabPontoPed[[#This Row],[CÓDIGO]],tabExcluirDoEstoque[#Data],1,FALSE),"sim",""),"")</f>
        <v/>
      </c>
      <c r="T882" s="43">
        <f>IF(AND(tabPontoPed[[#This Row],[MENSAL]]&gt;0,tabPontoPed[[#This Row],[CÁLCULO]]&gt;0), ABS( tabPontoPed[[#This Row],[MENSAL]] - tabPontoPed[[#This Row],[CÁLCULO]] ) / tabPontoPed[[#This Row],[MENSAL]], -1 )</f>
        <v>-1</v>
      </c>
      <c r="U882" s="58">
        <v>0</v>
      </c>
      <c r="V882" s="35">
        <f>IF(AND(tabPontoPed[[#This Row],[MENSAL]]&gt;0,tabPontoPed[[#This Row],[CÁLCULO]]&gt;0), IF( tabPontoPed[[#This Row],[MENSAL]] - tabPontoPed[[#This Row],[CÁLCULO]] &lt; 0, -1, IF( tabPontoPed[[#This Row],[MENSAL]] - tabPontoPed[[#This Row],[CÁLCULO]] &gt; 0, 1, -8)), -9 )</f>
        <v>-9</v>
      </c>
      <c r="W882" s="35"/>
      <c r="X882" s="49" t="s">
        <v>1564</v>
      </c>
      <c r="Y882" s="51">
        <v>44391.599108796298</v>
      </c>
      <c r="Z882" s="72">
        <f>tabPontoPed[CÁLC_4M] - tabPontoPed[CÁLCULO]</f>
        <v>0</v>
      </c>
      <c r="AA882" s="79" t="str">
        <f>IF(tabPontoPed[MENSAL]-tabPontoPed[ATA MENSAL] = 0,"sim","")</f>
        <v/>
      </c>
      <c r="AB882" s="79"/>
      <c r="AC882" s="47" t="str">
        <f t="shared" si="13"/>
        <v>*</v>
      </c>
    </row>
    <row r="883" spans="1:29" x14ac:dyDescent="0.25">
      <c r="A883" s="36">
        <v>123372</v>
      </c>
      <c r="B883" s="68" t="s">
        <v>113</v>
      </c>
      <c r="C883" s="33" t="s">
        <v>1317</v>
      </c>
      <c r="D883" s="32">
        <v>55</v>
      </c>
      <c r="E883" s="37">
        <v>19</v>
      </c>
      <c r="F883" s="38" t="str">
        <f>VLOOKUP(tabPontoPed[[#This Row],[GRUPO]],tabGrupos[#Data],2,FALSE)</f>
        <v>EQUIP. MAT. P/ GERACAO, TRANSM. DISTR. RETIF...</v>
      </c>
      <c r="G883" s="32" t="str">
        <f>VLOOKUP(tabPontoPed[[#This Row],[GRUPO]],tabGrupos[#Data],3,FALSE)</f>
        <v>MEL</v>
      </c>
      <c r="H883" s="33" t="s">
        <v>1311</v>
      </c>
      <c r="I883" s="80">
        <v>4</v>
      </c>
      <c r="J883" s="39">
        <v>30</v>
      </c>
      <c r="K883" s="41">
        <f>tabPontoPed[[#This Row],[QTDMÊS]] * tabPontoPed[[#This Row],[MENSAL]]</f>
        <v>120</v>
      </c>
      <c r="L883" s="83"/>
      <c r="M883" s="81"/>
      <c r="N883" s="34" t="s">
        <v>1009</v>
      </c>
      <c r="O883" s="76" t="s">
        <v>1472</v>
      </c>
      <c r="P883" s="77">
        <v>0</v>
      </c>
      <c r="Q883" s="57">
        <v>0</v>
      </c>
      <c r="R883" s="42">
        <v>0</v>
      </c>
      <c r="S883" s="69" t="str">
        <f>_xlfn.IFNA(IF(VLOOKUP(tabPontoPed[[#This Row],[CÓDIGO]],tabExcluirDoEstoque[#Data],1,FALSE),"sim",""),"")</f>
        <v/>
      </c>
      <c r="T883" s="43">
        <f>IF(AND(tabPontoPed[[#This Row],[MENSAL]]&gt;0,tabPontoPed[[#This Row],[CÁLCULO]]&gt;0), ABS( tabPontoPed[[#This Row],[MENSAL]] - tabPontoPed[[#This Row],[CÁLCULO]] ) / tabPontoPed[[#This Row],[MENSAL]], -1 )</f>
        <v>-1</v>
      </c>
      <c r="U883" s="58">
        <v>0</v>
      </c>
      <c r="V883" s="35">
        <f>IF(AND(tabPontoPed[[#This Row],[MENSAL]]&gt;0,tabPontoPed[[#This Row],[CÁLCULO]]&gt;0), IF( tabPontoPed[[#This Row],[MENSAL]] - tabPontoPed[[#This Row],[CÁLCULO]] &lt; 0, -1, IF( tabPontoPed[[#This Row],[MENSAL]] - tabPontoPed[[#This Row],[CÁLCULO]] &gt; 0, 1, -8)), -9 )</f>
        <v>-9</v>
      </c>
      <c r="W883" s="35"/>
      <c r="X883" s="48" t="s">
        <v>1564</v>
      </c>
      <c r="Y883" s="53">
        <v>44391.599108796298</v>
      </c>
      <c r="Z883" s="72">
        <f>tabPontoPed[CÁLC_4M] - tabPontoPed[CÁLCULO]</f>
        <v>0</v>
      </c>
      <c r="AA883" s="79" t="str">
        <f>IF(tabPontoPed[MENSAL]-tabPontoPed[ATA MENSAL] = 0,"sim","")</f>
        <v/>
      </c>
      <c r="AB883" s="79"/>
      <c r="AC883" s="47" t="str">
        <f t="shared" si="13"/>
        <v>*</v>
      </c>
    </row>
    <row r="884" spans="1:29" x14ac:dyDescent="0.25">
      <c r="A884" s="36">
        <v>140061</v>
      </c>
      <c r="B884" s="68" t="s">
        <v>1793</v>
      </c>
      <c r="C884" s="33">
        <v>1</v>
      </c>
      <c r="D884" s="32">
        <v>55</v>
      </c>
      <c r="E884" s="37">
        <v>19</v>
      </c>
      <c r="F884" s="38" t="str">
        <f>VLOOKUP(tabPontoPed[[#This Row],[GRUPO]],tabGrupos[#Data],2,FALSE)</f>
        <v>EQUIP. MAT. P/ GERACAO, TRANSM. DISTR. RETIF...</v>
      </c>
      <c r="G884" s="32" t="str">
        <f>VLOOKUP(tabPontoPed[[#This Row],[GRUPO]],tabGrupos[#Data],3,FALSE)</f>
        <v>MEL</v>
      </c>
      <c r="H884" s="33" t="s">
        <v>1311</v>
      </c>
      <c r="I884" s="80">
        <v>4</v>
      </c>
      <c r="J884" s="39">
        <v>0</v>
      </c>
      <c r="K884" s="41">
        <f>tabPontoPed[[#This Row],[QTDMÊS]] * tabPontoPed[[#This Row],[MENSAL]]</f>
        <v>0</v>
      </c>
      <c r="L884" s="83"/>
      <c r="M884" s="81"/>
      <c r="N884" s="34" t="s">
        <v>1009</v>
      </c>
      <c r="O884" s="76" t="s">
        <v>1780</v>
      </c>
      <c r="P884" s="77">
        <v>0</v>
      </c>
      <c r="Q884" s="57">
        <v>0</v>
      </c>
      <c r="R884" s="42">
        <v>0</v>
      </c>
      <c r="S884" s="69" t="str">
        <f>_xlfn.IFNA(IF(VLOOKUP(tabPontoPed[[#This Row],[CÓDIGO]],tabExcluirDoEstoque[#Data],1,FALSE),"sim",""),"")</f>
        <v/>
      </c>
      <c r="T884" s="43">
        <f>IF(AND(tabPontoPed[[#This Row],[MENSAL]]&gt;0,tabPontoPed[[#This Row],[CÁLCULO]]&gt;0), ABS( tabPontoPed[[#This Row],[MENSAL]] - tabPontoPed[[#This Row],[CÁLCULO]] ) / tabPontoPed[[#This Row],[MENSAL]], -1 )</f>
        <v>-1</v>
      </c>
      <c r="U884" s="58">
        <v>0</v>
      </c>
      <c r="V884" s="35">
        <f>IF(AND(tabPontoPed[[#This Row],[MENSAL]]&gt;0,tabPontoPed[[#This Row],[CÁLCULO]]&gt;0), IF( tabPontoPed[[#This Row],[MENSAL]] - tabPontoPed[[#This Row],[CÁLCULO]] &lt; 0, -1, IF( tabPontoPed[[#This Row],[MENSAL]] - tabPontoPed[[#This Row],[CÁLCULO]] &gt; 0, 1, -8)), -9 )</f>
        <v>-9</v>
      </c>
      <c r="W884" s="35"/>
      <c r="X884" s="48" t="s">
        <v>1564</v>
      </c>
      <c r="Y884" s="53">
        <v>44391.647175925929</v>
      </c>
      <c r="Z884" s="72">
        <f>tabPontoPed[CÁLC_4M] - tabPontoPed[CÁLCULO]</f>
        <v>0</v>
      </c>
      <c r="AA884" s="79" t="str">
        <f>IF(tabPontoPed[MENSAL]-tabPontoPed[ATA MENSAL] = 0,"sim","")</f>
        <v>sim</v>
      </c>
      <c r="AB884" s="79" t="s">
        <v>1614</v>
      </c>
      <c r="AC884" s="47" t="str">
        <f t="shared" si="13"/>
        <v>*</v>
      </c>
    </row>
    <row r="885" spans="1:29" x14ac:dyDescent="0.25">
      <c r="A885" s="36">
        <v>140242</v>
      </c>
      <c r="B885" s="68" t="s">
        <v>1795</v>
      </c>
      <c r="C885" s="33">
        <v>1</v>
      </c>
      <c r="D885" s="32">
        <v>55</v>
      </c>
      <c r="E885" s="37">
        <v>19</v>
      </c>
      <c r="F885" s="38" t="str">
        <f>VLOOKUP(tabPontoPed[[#This Row],[GRUPO]],tabGrupos[#Data],2,FALSE)</f>
        <v>EQUIP. MAT. P/ GERACAO, TRANSM. DISTR. RETIF...</v>
      </c>
      <c r="G885" s="32" t="str">
        <f>VLOOKUP(tabPontoPed[[#This Row],[GRUPO]],tabGrupos[#Data],3,FALSE)</f>
        <v>MEL</v>
      </c>
      <c r="H885" s="33" t="s">
        <v>1311</v>
      </c>
      <c r="I885" s="80">
        <v>4</v>
      </c>
      <c r="J885" s="39">
        <v>0</v>
      </c>
      <c r="K885" s="41">
        <f>tabPontoPed[[#This Row],[QTDMÊS]] * tabPontoPed[[#This Row],[MENSAL]]</f>
        <v>0</v>
      </c>
      <c r="L885" s="83"/>
      <c r="M885" s="81"/>
      <c r="N885" s="34" t="s">
        <v>1009</v>
      </c>
      <c r="O885" s="76" t="s">
        <v>1780</v>
      </c>
      <c r="P885" s="77">
        <v>0</v>
      </c>
      <c r="Q885" s="57">
        <v>0</v>
      </c>
      <c r="R885" s="42">
        <v>0</v>
      </c>
      <c r="S885" s="69" t="str">
        <f>_xlfn.IFNA(IF(VLOOKUP(tabPontoPed[[#This Row],[CÓDIGO]],tabExcluirDoEstoque[#Data],1,FALSE),"sim",""),"")</f>
        <v/>
      </c>
      <c r="T885" s="43">
        <f>IF(AND(tabPontoPed[[#This Row],[MENSAL]]&gt;0,tabPontoPed[[#This Row],[CÁLCULO]]&gt;0), ABS( tabPontoPed[[#This Row],[MENSAL]] - tabPontoPed[[#This Row],[CÁLCULO]] ) / tabPontoPed[[#This Row],[MENSAL]], -1 )</f>
        <v>-1</v>
      </c>
      <c r="U885" s="58">
        <v>0</v>
      </c>
      <c r="V885" s="35">
        <f>IF(AND(tabPontoPed[[#This Row],[MENSAL]]&gt;0,tabPontoPed[[#This Row],[CÁLCULO]]&gt;0), IF( tabPontoPed[[#This Row],[MENSAL]] - tabPontoPed[[#This Row],[CÁLCULO]] &lt; 0, -1, IF( tabPontoPed[[#This Row],[MENSAL]] - tabPontoPed[[#This Row],[CÁLCULO]] &gt; 0, 1, -8)), -9 )</f>
        <v>-9</v>
      </c>
      <c r="W885" s="35"/>
      <c r="X885" s="48" t="s">
        <v>1564</v>
      </c>
      <c r="Y885" s="53">
        <v>44391.647175925929</v>
      </c>
      <c r="Z885" s="72">
        <f>tabPontoPed[CÁLC_4M] - tabPontoPed[CÁLCULO]</f>
        <v>0</v>
      </c>
      <c r="AA885" s="79" t="str">
        <f>IF(tabPontoPed[MENSAL]-tabPontoPed[ATA MENSAL] = 0,"sim","")</f>
        <v>sim</v>
      </c>
      <c r="AB885" s="79" t="s">
        <v>1614</v>
      </c>
      <c r="AC885" s="47" t="str">
        <f t="shared" si="13"/>
        <v>*</v>
      </c>
    </row>
    <row r="886" spans="1:29" x14ac:dyDescent="0.25">
      <c r="A886" s="36">
        <v>140125</v>
      </c>
      <c r="B886" s="68" t="s">
        <v>1806</v>
      </c>
      <c r="C886" s="33">
        <v>1</v>
      </c>
      <c r="D886" s="32">
        <v>55</v>
      </c>
      <c r="E886" s="37">
        <v>19</v>
      </c>
      <c r="F886" s="38" t="str">
        <f>VLOOKUP(tabPontoPed[[#This Row],[GRUPO]],tabGrupos[#Data],2,FALSE)</f>
        <v>EQUIP. MAT. P/ GERACAO, TRANSM. DISTR. RETIF...</v>
      </c>
      <c r="G886" s="32" t="str">
        <f>VLOOKUP(tabPontoPed[[#This Row],[GRUPO]],tabGrupos[#Data],3,FALSE)</f>
        <v>MEL</v>
      </c>
      <c r="H886" s="33" t="s">
        <v>1311</v>
      </c>
      <c r="I886" s="80">
        <v>4</v>
      </c>
      <c r="J886" s="39">
        <v>0</v>
      </c>
      <c r="K886" s="41">
        <f>tabPontoPed[[#This Row],[QTDMÊS]] * tabPontoPed[[#This Row],[MENSAL]]</f>
        <v>0</v>
      </c>
      <c r="L886" s="83"/>
      <c r="M886" s="81"/>
      <c r="N886" s="34" t="s">
        <v>1009</v>
      </c>
      <c r="O886" s="76"/>
      <c r="P886" s="77">
        <v>0</v>
      </c>
      <c r="Q886" s="57">
        <v>0</v>
      </c>
      <c r="R886" s="42">
        <v>0</v>
      </c>
      <c r="S886" s="69" t="str">
        <f>_xlfn.IFNA(IF(VLOOKUP(tabPontoPed[[#This Row],[CÓDIGO]],tabExcluirDoEstoque[#Data],1,FALSE),"sim",""),"")</f>
        <v/>
      </c>
      <c r="T886" s="43">
        <f>IF(AND(tabPontoPed[[#This Row],[MENSAL]]&gt;0,tabPontoPed[[#This Row],[CÁLCULO]]&gt;0), ABS( tabPontoPed[[#This Row],[MENSAL]] - tabPontoPed[[#This Row],[CÁLCULO]] ) / tabPontoPed[[#This Row],[MENSAL]], -1 )</f>
        <v>-1</v>
      </c>
      <c r="U886" s="58">
        <v>0</v>
      </c>
      <c r="V886" s="35">
        <f>IF(AND(tabPontoPed[[#This Row],[MENSAL]]&gt;0,tabPontoPed[[#This Row],[CÁLCULO]]&gt;0), IF( tabPontoPed[[#This Row],[MENSAL]] - tabPontoPed[[#This Row],[CÁLCULO]] &lt; 0, -1, IF( tabPontoPed[[#This Row],[MENSAL]] - tabPontoPed[[#This Row],[CÁLCULO]] &gt; 0, 1, -8)), -9 )</f>
        <v>-9</v>
      </c>
      <c r="W886" s="35"/>
      <c r="X886" s="48" t="s">
        <v>1564</v>
      </c>
      <c r="Y886" s="53">
        <v>44391.647175925929</v>
      </c>
      <c r="Z886" s="72">
        <f>tabPontoPed[CÁLC_4M] - tabPontoPed[CÁLCULO]</f>
        <v>0</v>
      </c>
      <c r="AA886" s="79" t="str">
        <f>IF(tabPontoPed[MENSAL]-tabPontoPed[ATA MENSAL] = 0,"sim","")</f>
        <v>sim</v>
      </c>
      <c r="AB886" s="79" t="s">
        <v>1614</v>
      </c>
      <c r="AC886" s="47" t="str">
        <f t="shared" si="13"/>
        <v>*</v>
      </c>
    </row>
    <row r="887" spans="1:29" x14ac:dyDescent="0.25">
      <c r="A887" s="36">
        <v>88731</v>
      </c>
      <c r="B887" s="68" t="s">
        <v>628</v>
      </c>
      <c r="C887" s="33" t="s">
        <v>1317</v>
      </c>
      <c r="D887" s="32">
        <v>55</v>
      </c>
      <c r="E887" s="37">
        <v>26</v>
      </c>
      <c r="F887" s="38" t="str">
        <f>VLOOKUP(tabPontoPed[[#This Row],[GRUPO]],tabGrupos[#Data],2,FALSE)</f>
        <v>EQUIP. MAT. P/ GERACAO, TRANSM. DISTR. RETIF...</v>
      </c>
      <c r="G887" s="32" t="str">
        <f>VLOOKUP(tabPontoPed[[#This Row],[GRUPO]],tabGrupos[#Data],3,FALSE)</f>
        <v>MEL</v>
      </c>
      <c r="H887" s="33" t="s">
        <v>1311</v>
      </c>
      <c r="I887" s="80">
        <v>4</v>
      </c>
      <c r="J887" s="39"/>
      <c r="K887" s="41">
        <f>tabPontoPed[[#This Row],[QTDMÊS]] * tabPontoPed[[#This Row],[MENSAL]]</f>
        <v>0</v>
      </c>
      <c r="L887" s="83"/>
      <c r="M887" s="81"/>
      <c r="N887" s="34" t="s">
        <v>1009</v>
      </c>
      <c r="O887" s="76"/>
      <c r="P887" s="77">
        <v>0</v>
      </c>
      <c r="Q887" s="57">
        <v>0</v>
      </c>
      <c r="R887" s="42">
        <v>0</v>
      </c>
      <c r="S887" s="69" t="str">
        <f>_xlfn.IFNA(IF(VLOOKUP(tabPontoPed[[#This Row],[CÓDIGO]],tabExcluirDoEstoque[#Data],1,FALSE),"sim",""),"")</f>
        <v/>
      </c>
      <c r="T887" s="43">
        <f>IF(AND(tabPontoPed[[#This Row],[MENSAL]]&gt;0,tabPontoPed[[#This Row],[CÁLCULO]]&gt;0), ABS( tabPontoPed[[#This Row],[MENSAL]] - tabPontoPed[[#This Row],[CÁLCULO]] ) / tabPontoPed[[#This Row],[MENSAL]], -1 )</f>
        <v>-1</v>
      </c>
      <c r="U887" s="58">
        <v>0</v>
      </c>
      <c r="V887" s="35">
        <f>IF(AND(tabPontoPed[[#This Row],[MENSAL]]&gt;0,tabPontoPed[[#This Row],[CÁLCULO]]&gt;0), IF( tabPontoPed[[#This Row],[MENSAL]] - tabPontoPed[[#This Row],[CÁLCULO]] &lt; 0, -1, IF( tabPontoPed[[#This Row],[MENSAL]] - tabPontoPed[[#This Row],[CÁLCULO]] &gt; 0, 1, -8)), -9 )</f>
        <v>-9</v>
      </c>
      <c r="W887" s="35"/>
      <c r="X887" s="49" t="s">
        <v>1564</v>
      </c>
      <c r="Y887" s="51">
        <v>44391.599108796298</v>
      </c>
      <c r="Z887" s="72">
        <f>tabPontoPed[CÁLC_4M] - tabPontoPed[CÁLCULO]</f>
        <v>0</v>
      </c>
      <c r="AA887" s="79" t="str">
        <f>IF(tabPontoPed[MENSAL]-tabPontoPed[ATA MENSAL] = 0,"sim","")</f>
        <v>sim</v>
      </c>
      <c r="AB887" s="79" t="s">
        <v>1614</v>
      </c>
      <c r="AC887" s="47" t="str">
        <f t="shared" si="13"/>
        <v>*</v>
      </c>
    </row>
    <row r="888" spans="1:29" x14ac:dyDescent="0.25">
      <c r="A888" s="36">
        <v>93488</v>
      </c>
      <c r="B888" s="68" t="s">
        <v>631</v>
      </c>
      <c r="C888" s="33" t="s">
        <v>1317</v>
      </c>
      <c r="D888" s="32">
        <v>55</v>
      </c>
      <c r="E888" s="37">
        <v>26</v>
      </c>
      <c r="F888" s="38" t="str">
        <f>VLOOKUP(tabPontoPed[[#This Row],[GRUPO]],tabGrupos[#Data],2,FALSE)</f>
        <v>EQUIP. MAT. P/ GERACAO, TRANSM. DISTR. RETIF...</v>
      </c>
      <c r="G888" s="32" t="str">
        <f>VLOOKUP(tabPontoPed[[#This Row],[GRUPO]],tabGrupos[#Data],3,FALSE)</f>
        <v>MEL</v>
      </c>
      <c r="H888" s="33" t="s">
        <v>1311</v>
      </c>
      <c r="I888" s="80">
        <v>4</v>
      </c>
      <c r="J888" s="39">
        <v>1</v>
      </c>
      <c r="K888" s="41">
        <f>tabPontoPed[[#This Row],[QTDMÊS]] * tabPontoPed[[#This Row],[MENSAL]]</f>
        <v>4</v>
      </c>
      <c r="L888" s="83"/>
      <c r="M888" s="81"/>
      <c r="N888" s="34" t="s">
        <v>1009</v>
      </c>
      <c r="O888" s="76"/>
      <c r="P888" s="77">
        <v>0</v>
      </c>
      <c r="Q888" s="57">
        <v>0</v>
      </c>
      <c r="R888" s="42">
        <v>0</v>
      </c>
      <c r="S888" s="69" t="str">
        <f>_xlfn.IFNA(IF(VLOOKUP(tabPontoPed[[#This Row],[CÓDIGO]],tabExcluirDoEstoque[#Data],1,FALSE),"sim",""),"")</f>
        <v/>
      </c>
      <c r="T888" s="43">
        <f>IF(AND(tabPontoPed[[#This Row],[MENSAL]]&gt;0,tabPontoPed[[#This Row],[CÁLCULO]]&gt;0), ABS( tabPontoPed[[#This Row],[MENSAL]] - tabPontoPed[[#This Row],[CÁLCULO]] ) / tabPontoPed[[#This Row],[MENSAL]], -1 )</f>
        <v>-1</v>
      </c>
      <c r="U888" s="58">
        <v>0</v>
      </c>
      <c r="V888" s="35">
        <f>IF(AND(tabPontoPed[[#This Row],[MENSAL]]&gt;0,tabPontoPed[[#This Row],[CÁLCULO]]&gt;0), IF( tabPontoPed[[#This Row],[MENSAL]] - tabPontoPed[[#This Row],[CÁLCULO]] &lt; 0, -1, IF( tabPontoPed[[#This Row],[MENSAL]] - tabPontoPed[[#This Row],[CÁLCULO]] &gt; 0, 1, -8)), -9 )</f>
        <v>-9</v>
      </c>
      <c r="W888" s="35"/>
      <c r="X888" s="49" t="s">
        <v>1564</v>
      </c>
      <c r="Y888" s="51">
        <v>44391.599108796298</v>
      </c>
      <c r="Z888" s="72">
        <f>tabPontoPed[CÁLC_4M] - tabPontoPed[CÁLCULO]</f>
        <v>0</v>
      </c>
      <c r="AA888" s="79" t="str">
        <f>IF(tabPontoPed[MENSAL]-tabPontoPed[ATA MENSAL] = 0,"sim","")</f>
        <v/>
      </c>
      <c r="AB888" s="79"/>
      <c r="AC888" s="47" t="str">
        <f t="shared" si="13"/>
        <v>*</v>
      </c>
    </row>
    <row r="889" spans="1:29" x14ac:dyDescent="0.25">
      <c r="A889" s="36">
        <v>113238</v>
      </c>
      <c r="B889" s="68" t="s">
        <v>638</v>
      </c>
      <c r="C889" s="33" t="s">
        <v>1317</v>
      </c>
      <c r="D889" s="32">
        <v>55</v>
      </c>
      <c r="E889" s="37">
        <v>27</v>
      </c>
      <c r="F889" s="38" t="str">
        <f>VLOOKUP(tabPontoPed[[#This Row],[GRUPO]],tabGrupos[#Data],2,FALSE)</f>
        <v>EQUIP. MAT. P/ GERACAO, TRANSM. DISTR. RETIF...</v>
      </c>
      <c r="G889" s="32" t="str">
        <f>VLOOKUP(tabPontoPed[[#This Row],[GRUPO]],tabGrupos[#Data],3,FALSE)</f>
        <v>MEL</v>
      </c>
      <c r="H889" s="33" t="s">
        <v>1311</v>
      </c>
      <c r="I889" s="80">
        <v>4</v>
      </c>
      <c r="J889" s="39"/>
      <c r="K889" s="41">
        <f>tabPontoPed[[#This Row],[QTDMÊS]] * tabPontoPed[[#This Row],[MENSAL]]</f>
        <v>0</v>
      </c>
      <c r="L889" s="83"/>
      <c r="M889" s="81"/>
      <c r="N889" s="34" t="s">
        <v>1009</v>
      </c>
      <c r="O889" s="76"/>
      <c r="P889" s="77">
        <v>0</v>
      </c>
      <c r="Q889" s="57">
        <v>1</v>
      </c>
      <c r="R889" s="42">
        <v>2</v>
      </c>
      <c r="S889" s="69" t="str">
        <f>_xlfn.IFNA(IF(VLOOKUP(tabPontoPed[[#This Row],[CÓDIGO]],tabExcluirDoEstoque[#Data],1,FALSE),"sim",""),"")</f>
        <v/>
      </c>
      <c r="T889" s="43">
        <f>IF(AND(tabPontoPed[[#This Row],[MENSAL]]&gt;0,tabPontoPed[[#This Row],[CÁLCULO]]&gt;0), ABS( tabPontoPed[[#This Row],[MENSAL]] - tabPontoPed[[#This Row],[CÁLCULO]] ) / tabPontoPed[[#This Row],[MENSAL]], -1 )</f>
        <v>-1</v>
      </c>
      <c r="U889" s="58">
        <v>5</v>
      </c>
      <c r="V889" s="35">
        <f>IF(AND(tabPontoPed[[#This Row],[MENSAL]]&gt;0,tabPontoPed[[#This Row],[CÁLCULO]]&gt;0), IF( tabPontoPed[[#This Row],[MENSAL]] - tabPontoPed[[#This Row],[CÁLCULO]] &lt; 0, -1, IF( tabPontoPed[[#This Row],[MENSAL]] - tabPontoPed[[#This Row],[CÁLCULO]] &gt; 0, 1, -8)), -9 )</f>
        <v>-9</v>
      </c>
      <c r="W889" s="35"/>
      <c r="X889" s="49" t="s">
        <v>1564</v>
      </c>
      <c r="Y889" s="51">
        <v>44391.599108796298</v>
      </c>
      <c r="Z889" s="72">
        <f>tabPontoPed[CÁLC_4M] - tabPontoPed[CÁLCULO]</f>
        <v>-1</v>
      </c>
      <c r="AA889" s="79" t="str">
        <f>IF(tabPontoPed[MENSAL]-tabPontoPed[ATA MENSAL] = 0,"sim","")</f>
        <v>sim</v>
      </c>
      <c r="AB889" s="79" t="s">
        <v>1614</v>
      </c>
      <c r="AC889" s="47" t="str">
        <f t="shared" si="13"/>
        <v>*</v>
      </c>
    </row>
    <row r="890" spans="1:29" x14ac:dyDescent="0.25">
      <c r="A890" s="36">
        <v>37519</v>
      </c>
      <c r="B890" s="68" t="s">
        <v>636</v>
      </c>
      <c r="C890" s="33" t="s">
        <v>1317</v>
      </c>
      <c r="D890" s="32">
        <v>55</v>
      </c>
      <c r="E890" s="37">
        <v>27</v>
      </c>
      <c r="F890" s="38" t="str">
        <f>VLOOKUP(tabPontoPed[[#This Row],[GRUPO]],tabGrupos[#Data],2,FALSE)</f>
        <v>EQUIP. MAT. P/ GERACAO, TRANSM. DISTR. RETIF...</v>
      </c>
      <c r="G890" s="32" t="str">
        <f>VLOOKUP(tabPontoPed[[#This Row],[GRUPO]],tabGrupos[#Data],3,FALSE)</f>
        <v>MEL</v>
      </c>
      <c r="H890" s="33" t="s">
        <v>1311</v>
      </c>
      <c r="I890" s="80">
        <v>4</v>
      </c>
      <c r="J890" s="39"/>
      <c r="K890" s="41">
        <f>tabPontoPed[[#This Row],[QTDMÊS]] * tabPontoPed[[#This Row],[MENSAL]]</f>
        <v>0</v>
      </c>
      <c r="L890" s="83"/>
      <c r="M890" s="81"/>
      <c r="N890" s="34" t="s">
        <v>1009</v>
      </c>
      <c r="O890" s="76"/>
      <c r="P890" s="77">
        <v>0</v>
      </c>
      <c r="Q890" s="57">
        <v>0</v>
      </c>
      <c r="R890" s="42">
        <v>0</v>
      </c>
      <c r="S890" s="69" t="str">
        <f>_xlfn.IFNA(IF(VLOOKUP(tabPontoPed[[#This Row],[CÓDIGO]],tabExcluirDoEstoque[#Data],1,FALSE),"sim",""),"")</f>
        <v/>
      </c>
      <c r="T890" s="43">
        <f>IF(AND(tabPontoPed[[#This Row],[MENSAL]]&gt;0,tabPontoPed[[#This Row],[CÁLCULO]]&gt;0), ABS( tabPontoPed[[#This Row],[MENSAL]] - tabPontoPed[[#This Row],[CÁLCULO]] ) / tabPontoPed[[#This Row],[MENSAL]], -1 )</f>
        <v>-1</v>
      </c>
      <c r="U890" s="58">
        <v>0</v>
      </c>
      <c r="V890" s="35">
        <f>IF(AND(tabPontoPed[[#This Row],[MENSAL]]&gt;0,tabPontoPed[[#This Row],[CÁLCULO]]&gt;0), IF( tabPontoPed[[#This Row],[MENSAL]] - tabPontoPed[[#This Row],[CÁLCULO]] &lt; 0, -1, IF( tabPontoPed[[#This Row],[MENSAL]] - tabPontoPed[[#This Row],[CÁLCULO]] &gt; 0, 1, -8)), -9 )</f>
        <v>-9</v>
      </c>
      <c r="W890" s="35"/>
      <c r="X890" s="49" t="s">
        <v>1564</v>
      </c>
      <c r="Y890" s="51">
        <v>44391.599108796298</v>
      </c>
      <c r="Z890" s="72">
        <f>tabPontoPed[CÁLC_4M] - tabPontoPed[CÁLCULO]</f>
        <v>0</v>
      </c>
      <c r="AA890" s="79" t="str">
        <f>IF(tabPontoPed[MENSAL]-tabPontoPed[ATA MENSAL] = 0,"sim","")</f>
        <v>sim</v>
      </c>
      <c r="AB890" s="79" t="s">
        <v>1614</v>
      </c>
      <c r="AC890" s="47" t="str">
        <f t="shared" si="13"/>
        <v>*</v>
      </c>
    </row>
    <row r="891" spans="1:29" x14ac:dyDescent="0.25">
      <c r="A891" s="36">
        <v>37518</v>
      </c>
      <c r="B891" s="68" t="s">
        <v>635</v>
      </c>
      <c r="C891" s="33" t="s">
        <v>1317</v>
      </c>
      <c r="D891" s="32">
        <v>55</v>
      </c>
      <c r="E891" s="37">
        <v>27</v>
      </c>
      <c r="F891" s="38" t="str">
        <f>VLOOKUP(tabPontoPed[[#This Row],[GRUPO]],tabGrupos[#Data],2,FALSE)</f>
        <v>EQUIP. MAT. P/ GERACAO, TRANSM. DISTR. RETIF...</v>
      </c>
      <c r="G891" s="32" t="str">
        <f>VLOOKUP(tabPontoPed[[#This Row],[GRUPO]],tabGrupos[#Data],3,FALSE)</f>
        <v>MEL</v>
      </c>
      <c r="H891" s="33" t="s">
        <v>1311</v>
      </c>
      <c r="I891" s="80">
        <v>4</v>
      </c>
      <c r="J891" s="39">
        <v>5</v>
      </c>
      <c r="K891" s="41">
        <f>tabPontoPed[[#This Row],[QTDMÊS]] * tabPontoPed[[#This Row],[MENSAL]]</f>
        <v>20</v>
      </c>
      <c r="L891" s="83"/>
      <c r="M891" s="81"/>
      <c r="N891" s="34" t="s">
        <v>1009</v>
      </c>
      <c r="O891" s="76"/>
      <c r="P891" s="77">
        <v>0</v>
      </c>
      <c r="Q891" s="57">
        <v>0</v>
      </c>
      <c r="R891" s="42">
        <v>0</v>
      </c>
      <c r="S891" s="69" t="str">
        <f>_xlfn.IFNA(IF(VLOOKUP(tabPontoPed[[#This Row],[CÓDIGO]],tabExcluirDoEstoque[#Data],1,FALSE),"sim",""),"")</f>
        <v/>
      </c>
      <c r="T891" s="43">
        <f>IF(AND(tabPontoPed[[#This Row],[MENSAL]]&gt;0,tabPontoPed[[#This Row],[CÁLCULO]]&gt;0), ABS( tabPontoPed[[#This Row],[MENSAL]] - tabPontoPed[[#This Row],[CÁLCULO]] ) / tabPontoPed[[#This Row],[MENSAL]], -1 )</f>
        <v>-1</v>
      </c>
      <c r="U891" s="58">
        <v>0</v>
      </c>
      <c r="V891" s="35">
        <f>IF(AND(tabPontoPed[[#This Row],[MENSAL]]&gt;0,tabPontoPed[[#This Row],[CÁLCULO]]&gt;0), IF( tabPontoPed[[#This Row],[MENSAL]] - tabPontoPed[[#This Row],[CÁLCULO]] &lt; 0, -1, IF( tabPontoPed[[#This Row],[MENSAL]] - tabPontoPed[[#This Row],[CÁLCULO]] &gt; 0, 1, -8)), -9 )</f>
        <v>-9</v>
      </c>
      <c r="W891" s="35"/>
      <c r="X891" s="49" t="s">
        <v>1564</v>
      </c>
      <c r="Y891" s="51">
        <v>44391.599108796298</v>
      </c>
      <c r="Z891" s="72">
        <f>tabPontoPed[CÁLC_4M] - tabPontoPed[CÁLCULO]</f>
        <v>0</v>
      </c>
      <c r="AA891" s="79" t="str">
        <f>IF(tabPontoPed[MENSAL]-tabPontoPed[ATA MENSAL] = 0,"sim","")</f>
        <v/>
      </c>
      <c r="AB891" s="79"/>
      <c r="AC891" s="47" t="str">
        <f t="shared" si="13"/>
        <v>*</v>
      </c>
    </row>
    <row r="892" spans="1:29" x14ac:dyDescent="0.25">
      <c r="A892" s="36">
        <v>114771</v>
      </c>
      <c r="B892" s="68" t="s">
        <v>644</v>
      </c>
      <c r="C892" s="33" t="s">
        <v>1317</v>
      </c>
      <c r="D892" s="32">
        <v>55</v>
      </c>
      <c r="E892" s="37">
        <v>31</v>
      </c>
      <c r="F892" s="38" t="str">
        <f>VLOOKUP(tabPontoPed[[#This Row],[GRUPO]],tabGrupos[#Data],2,FALSE)</f>
        <v>EQUIP. MAT. P/ GERACAO, TRANSM. DISTR. RETIF...</v>
      </c>
      <c r="G892" s="32" t="str">
        <f>VLOOKUP(tabPontoPed[[#This Row],[GRUPO]],tabGrupos[#Data],3,FALSE)</f>
        <v>MEL</v>
      </c>
      <c r="H892" s="33" t="s">
        <v>1311</v>
      </c>
      <c r="I892" s="80">
        <v>4</v>
      </c>
      <c r="J892" s="39">
        <v>1</v>
      </c>
      <c r="K892" s="41">
        <f>tabPontoPed[[#This Row],[QTDMÊS]] * tabPontoPed[[#This Row],[MENSAL]]</f>
        <v>4</v>
      </c>
      <c r="L892" s="83"/>
      <c r="M892" s="81"/>
      <c r="N892" s="34" t="s">
        <v>1009</v>
      </c>
      <c r="O892" s="76"/>
      <c r="P892" s="77">
        <v>0</v>
      </c>
      <c r="Q892" s="57">
        <v>0</v>
      </c>
      <c r="R892" s="42">
        <v>0</v>
      </c>
      <c r="S892" s="69" t="str">
        <f>_xlfn.IFNA(IF(VLOOKUP(tabPontoPed[[#This Row],[CÓDIGO]],tabExcluirDoEstoque[#Data],1,FALSE),"sim",""),"")</f>
        <v/>
      </c>
      <c r="T892" s="43">
        <f>IF(AND(tabPontoPed[[#This Row],[MENSAL]]&gt;0,tabPontoPed[[#This Row],[CÁLCULO]]&gt;0), ABS( tabPontoPed[[#This Row],[MENSAL]] - tabPontoPed[[#This Row],[CÁLCULO]] ) / tabPontoPed[[#This Row],[MENSAL]], -1 )</f>
        <v>-1</v>
      </c>
      <c r="U892" s="58">
        <v>0</v>
      </c>
      <c r="V892" s="35">
        <f>IF(AND(tabPontoPed[[#This Row],[MENSAL]]&gt;0,tabPontoPed[[#This Row],[CÁLCULO]]&gt;0), IF( tabPontoPed[[#This Row],[MENSAL]] - tabPontoPed[[#This Row],[CÁLCULO]] &lt; 0, -1, IF( tabPontoPed[[#This Row],[MENSAL]] - tabPontoPed[[#This Row],[CÁLCULO]] &gt; 0, 1, -8)), -9 )</f>
        <v>-9</v>
      </c>
      <c r="W892" s="35"/>
      <c r="X892" s="49" t="s">
        <v>1564</v>
      </c>
      <c r="Y892" s="51">
        <v>44391.599108796298</v>
      </c>
      <c r="Z892" s="72">
        <f>tabPontoPed[CÁLC_4M] - tabPontoPed[CÁLCULO]</f>
        <v>0</v>
      </c>
      <c r="AA892" s="79" t="str">
        <f>IF(tabPontoPed[MENSAL]-tabPontoPed[ATA MENSAL] = 0,"sim","")</f>
        <v/>
      </c>
      <c r="AB892" s="79"/>
      <c r="AC892" s="47" t="str">
        <f t="shared" si="13"/>
        <v>*</v>
      </c>
    </row>
    <row r="893" spans="1:29" x14ac:dyDescent="0.25">
      <c r="A893" s="36">
        <v>99788</v>
      </c>
      <c r="B893" s="68" t="s">
        <v>653</v>
      </c>
      <c r="C893" s="33" t="s">
        <v>1317</v>
      </c>
      <c r="D893" s="32">
        <v>55</v>
      </c>
      <c r="E893" s="37">
        <v>32</v>
      </c>
      <c r="F893" s="38" t="str">
        <f>VLOOKUP(tabPontoPed[[#This Row],[GRUPO]],tabGrupos[#Data],2,FALSE)</f>
        <v>EQUIP. MAT. P/ GERACAO, TRANSM. DISTR. RETIF...</v>
      </c>
      <c r="G893" s="32" t="str">
        <f>VLOOKUP(tabPontoPed[[#This Row],[GRUPO]],tabGrupos[#Data],3,FALSE)</f>
        <v>MEL</v>
      </c>
      <c r="H893" s="33" t="s">
        <v>1311</v>
      </c>
      <c r="I893" s="80">
        <v>4</v>
      </c>
      <c r="J893" s="39"/>
      <c r="K893" s="41">
        <f>tabPontoPed[[#This Row],[QTDMÊS]] * tabPontoPed[[#This Row],[MENSAL]]</f>
        <v>0</v>
      </c>
      <c r="L893" s="83"/>
      <c r="M893" s="81"/>
      <c r="N893" s="34" t="s">
        <v>1009</v>
      </c>
      <c r="O893" s="76"/>
      <c r="P893" s="77">
        <v>0</v>
      </c>
      <c r="Q893" s="57">
        <v>0</v>
      </c>
      <c r="R893" s="42">
        <v>0</v>
      </c>
      <c r="S893" s="69" t="str">
        <f>_xlfn.IFNA(IF(VLOOKUP(tabPontoPed[[#This Row],[CÓDIGO]],tabExcluirDoEstoque[#Data],1,FALSE),"sim",""),"")</f>
        <v/>
      </c>
      <c r="T893" s="43">
        <f>IF(AND(tabPontoPed[[#This Row],[MENSAL]]&gt;0,tabPontoPed[[#This Row],[CÁLCULO]]&gt;0), ABS( tabPontoPed[[#This Row],[MENSAL]] - tabPontoPed[[#This Row],[CÁLCULO]] ) / tabPontoPed[[#This Row],[MENSAL]], -1 )</f>
        <v>-1</v>
      </c>
      <c r="U893" s="58">
        <v>0</v>
      </c>
      <c r="V893" s="35">
        <f>IF(AND(tabPontoPed[[#This Row],[MENSAL]]&gt;0,tabPontoPed[[#This Row],[CÁLCULO]]&gt;0), IF( tabPontoPed[[#This Row],[MENSAL]] - tabPontoPed[[#This Row],[CÁLCULO]] &lt; 0, -1, IF( tabPontoPed[[#This Row],[MENSAL]] - tabPontoPed[[#This Row],[CÁLCULO]] &gt; 0, 1, -8)), -9 )</f>
        <v>-9</v>
      </c>
      <c r="W893" s="35"/>
      <c r="X893" s="49" t="s">
        <v>1564</v>
      </c>
      <c r="Y893" s="51">
        <v>44391.599108796298</v>
      </c>
      <c r="Z893" s="72">
        <f>tabPontoPed[CÁLC_4M] - tabPontoPed[CÁLCULO]</f>
        <v>0</v>
      </c>
      <c r="AA893" s="79" t="str">
        <f>IF(tabPontoPed[MENSAL]-tabPontoPed[ATA MENSAL] = 0,"sim","")</f>
        <v>sim</v>
      </c>
      <c r="AB893" s="79" t="s">
        <v>1614</v>
      </c>
      <c r="AC893" s="47" t="str">
        <f t="shared" si="13"/>
        <v>*</v>
      </c>
    </row>
    <row r="894" spans="1:29" x14ac:dyDescent="0.25">
      <c r="A894" s="36">
        <v>31580</v>
      </c>
      <c r="B894" s="68" t="s">
        <v>648</v>
      </c>
      <c r="C894" s="33" t="s">
        <v>1317</v>
      </c>
      <c r="D894" s="32">
        <v>55</v>
      </c>
      <c r="E894" s="37">
        <v>32</v>
      </c>
      <c r="F894" s="38" t="str">
        <f>VLOOKUP(tabPontoPed[[#This Row],[GRUPO]],tabGrupos[#Data],2,FALSE)</f>
        <v>EQUIP. MAT. P/ GERACAO, TRANSM. DISTR. RETIF...</v>
      </c>
      <c r="G894" s="32" t="str">
        <f>VLOOKUP(tabPontoPed[[#This Row],[GRUPO]],tabGrupos[#Data],3,FALSE)</f>
        <v>MEL</v>
      </c>
      <c r="H894" s="33" t="s">
        <v>1311</v>
      </c>
      <c r="I894" s="80">
        <v>4</v>
      </c>
      <c r="J894" s="39"/>
      <c r="K894" s="41">
        <f>tabPontoPed[[#This Row],[QTDMÊS]] * tabPontoPed[[#This Row],[MENSAL]]</f>
        <v>0</v>
      </c>
      <c r="L894" s="83"/>
      <c r="M894" s="81"/>
      <c r="N894" s="34" t="s">
        <v>1009</v>
      </c>
      <c r="O894" s="76"/>
      <c r="P894" s="77">
        <v>0</v>
      </c>
      <c r="Q894" s="57">
        <v>0</v>
      </c>
      <c r="R894" s="42">
        <v>0</v>
      </c>
      <c r="S894" s="69" t="str">
        <f>_xlfn.IFNA(IF(VLOOKUP(tabPontoPed[[#This Row],[CÓDIGO]],tabExcluirDoEstoque[#Data],1,FALSE),"sim",""),"")</f>
        <v/>
      </c>
      <c r="T894" s="43">
        <f>IF(AND(tabPontoPed[[#This Row],[MENSAL]]&gt;0,tabPontoPed[[#This Row],[CÁLCULO]]&gt;0), ABS( tabPontoPed[[#This Row],[MENSAL]] - tabPontoPed[[#This Row],[CÁLCULO]] ) / tabPontoPed[[#This Row],[MENSAL]], -1 )</f>
        <v>-1</v>
      </c>
      <c r="U894" s="58">
        <v>0</v>
      </c>
      <c r="V894" s="35">
        <f>IF(AND(tabPontoPed[[#This Row],[MENSAL]]&gt;0,tabPontoPed[[#This Row],[CÁLCULO]]&gt;0), IF( tabPontoPed[[#This Row],[MENSAL]] - tabPontoPed[[#This Row],[CÁLCULO]] &lt; 0, -1, IF( tabPontoPed[[#This Row],[MENSAL]] - tabPontoPed[[#This Row],[CÁLCULO]] &gt; 0, 1, -8)), -9 )</f>
        <v>-9</v>
      </c>
      <c r="W894" s="35"/>
      <c r="X894" s="49" t="s">
        <v>1564</v>
      </c>
      <c r="Y894" s="51">
        <v>44391.599108796298</v>
      </c>
      <c r="Z894" s="72">
        <f>tabPontoPed[CÁLC_4M] - tabPontoPed[CÁLCULO]</f>
        <v>0</v>
      </c>
      <c r="AA894" s="79" t="str">
        <f>IF(tabPontoPed[MENSAL]-tabPontoPed[ATA MENSAL] = 0,"sim","")</f>
        <v>sim</v>
      </c>
      <c r="AB894" s="79" t="s">
        <v>1614</v>
      </c>
      <c r="AC894" s="47" t="str">
        <f t="shared" si="13"/>
        <v>*</v>
      </c>
    </row>
    <row r="895" spans="1:29" x14ac:dyDescent="0.25">
      <c r="A895" s="36">
        <v>15271</v>
      </c>
      <c r="B895" s="68" t="s">
        <v>658</v>
      </c>
      <c r="C895" s="33" t="s">
        <v>1317</v>
      </c>
      <c r="D895" s="32">
        <v>55</v>
      </c>
      <c r="E895" s="37">
        <v>34</v>
      </c>
      <c r="F895" s="38" t="str">
        <f>VLOOKUP(tabPontoPed[[#This Row],[GRUPO]],tabGrupos[#Data],2,FALSE)</f>
        <v>EQUIP. MAT. P/ GERACAO, TRANSM. DISTR. RETIF...</v>
      </c>
      <c r="G895" s="32" t="str">
        <f>VLOOKUP(tabPontoPed[[#This Row],[GRUPO]],tabGrupos[#Data],3,FALSE)</f>
        <v>MEL</v>
      </c>
      <c r="H895" s="33" t="s">
        <v>1311</v>
      </c>
      <c r="I895" s="80">
        <v>4</v>
      </c>
      <c r="J895" s="39">
        <v>5</v>
      </c>
      <c r="K895" s="41">
        <f>tabPontoPed[[#This Row],[QTDMÊS]] * tabPontoPed[[#This Row],[MENSAL]]</f>
        <v>20</v>
      </c>
      <c r="L895" s="83"/>
      <c r="M895" s="81"/>
      <c r="N895" s="34" t="s">
        <v>1009</v>
      </c>
      <c r="O895" s="76" t="s">
        <v>1471</v>
      </c>
      <c r="P895" s="77">
        <v>0</v>
      </c>
      <c r="Q895" s="57">
        <v>0</v>
      </c>
      <c r="R895" s="42">
        <v>0</v>
      </c>
      <c r="S895" s="69" t="str">
        <f>_xlfn.IFNA(IF(VLOOKUP(tabPontoPed[[#This Row],[CÓDIGO]],tabExcluirDoEstoque[#Data],1,FALSE),"sim",""),"")</f>
        <v/>
      </c>
      <c r="T895" s="43">
        <f>IF(AND(tabPontoPed[[#This Row],[MENSAL]]&gt;0,tabPontoPed[[#This Row],[CÁLCULO]]&gt;0), ABS( tabPontoPed[[#This Row],[MENSAL]] - tabPontoPed[[#This Row],[CÁLCULO]] ) / tabPontoPed[[#This Row],[MENSAL]], -1 )</f>
        <v>-1</v>
      </c>
      <c r="U895" s="58">
        <v>0</v>
      </c>
      <c r="V895" s="35">
        <f>IF(AND(tabPontoPed[[#This Row],[MENSAL]]&gt;0,tabPontoPed[[#This Row],[CÁLCULO]]&gt;0), IF( tabPontoPed[[#This Row],[MENSAL]] - tabPontoPed[[#This Row],[CÁLCULO]] &lt; 0, -1, IF( tabPontoPed[[#This Row],[MENSAL]] - tabPontoPed[[#This Row],[CÁLCULO]] &gt; 0, 1, -8)), -9 )</f>
        <v>-9</v>
      </c>
      <c r="W895" s="35"/>
      <c r="X895" s="49" t="s">
        <v>1564</v>
      </c>
      <c r="Y895" s="51">
        <v>44391.599108796298</v>
      </c>
      <c r="Z895" s="72">
        <f>tabPontoPed[CÁLC_4M] - tabPontoPed[CÁLCULO]</f>
        <v>0</v>
      </c>
      <c r="AA895" s="79" t="str">
        <f>IF(tabPontoPed[MENSAL]-tabPontoPed[ATA MENSAL] = 0,"sim","")</f>
        <v/>
      </c>
      <c r="AB895" s="79"/>
      <c r="AC895" s="47" t="str">
        <f t="shared" si="13"/>
        <v>*</v>
      </c>
    </row>
    <row r="896" spans="1:29" x14ac:dyDescent="0.25">
      <c r="A896" s="36">
        <v>15464</v>
      </c>
      <c r="B896" s="68" t="s">
        <v>658</v>
      </c>
      <c r="C896" s="33" t="s">
        <v>1317</v>
      </c>
      <c r="D896" s="32">
        <v>55</v>
      </c>
      <c r="E896" s="37">
        <v>34</v>
      </c>
      <c r="F896" s="38" t="str">
        <f>VLOOKUP(tabPontoPed[[#This Row],[GRUPO]],tabGrupos[#Data],2,FALSE)</f>
        <v>EQUIP. MAT. P/ GERACAO, TRANSM. DISTR. RETIF...</v>
      </c>
      <c r="G896" s="32" t="str">
        <f>VLOOKUP(tabPontoPed[[#This Row],[GRUPO]],tabGrupos[#Data],3,FALSE)</f>
        <v>MEL</v>
      </c>
      <c r="H896" s="33" t="s">
        <v>1311</v>
      </c>
      <c r="I896" s="80">
        <v>4</v>
      </c>
      <c r="J896" s="39">
        <v>5</v>
      </c>
      <c r="K896" s="41">
        <f>tabPontoPed[[#This Row],[QTDMÊS]] * tabPontoPed[[#This Row],[MENSAL]]</f>
        <v>20</v>
      </c>
      <c r="L896" s="83"/>
      <c r="M896" s="81"/>
      <c r="N896" s="34" t="s">
        <v>1009</v>
      </c>
      <c r="O896" s="76" t="s">
        <v>1475</v>
      </c>
      <c r="P896" s="77">
        <v>0</v>
      </c>
      <c r="Q896" s="57">
        <v>0</v>
      </c>
      <c r="R896" s="42">
        <v>0</v>
      </c>
      <c r="S896" s="69" t="str">
        <f>_xlfn.IFNA(IF(VLOOKUP(tabPontoPed[[#This Row],[CÓDIGO]],tabExcluirDoEstoque[#Data],1,FALSE),"sim",""),"")</f>
        <v/>
      </c>
      <c r="T896" s="43">
        <f>IF(AND(tabPontoPed[[#This Row],[MENSAL]]&gt;0,tabPontoPed[[#This Row],[CÁLCULO]]&gt;0), ABS( tabPontoPed[[#This Row],[MENSAL]] - tabPontoPed[[#This Row],[CÁLCULO]] ) / tabPontoPed[[#This Row],[MENSAL]], -1 )</f>
        <v>-1</v>
      </c>
      <c r="U896" s="58">
        <v>0</v>
      </c>
      <c r="V896" s="35">
        <f>IF(AND(tabPontoPed[[#This Row],[MENSAL]]&gt;0,tabPontoPed[[#This Row],[CÁLCULO]]&gt;0), IF( tabPontoPed[[#This Row],[MENSAL]] - tabPontoPed[[#This Row],[CÁLCULO]] &lt; 0, -1, IF( tabPontoPed[[#This Row],[MENSAL]] - tabPontoPed[[#This Row],[CÁLCULO]] &gt; 0, 1, -8)), -9 )</f>
        <v>-9</v>
      </c>
      <c r="W896" s="35"/>
      <c r="X896" s="49" t="s">
        <v>1564</v>
      </c>
      <c r="Y896" s="51">
        <v>44391.599108796298</v>
      </c>
      <c r="Z896" s="72">
        <f>tabPontoPed[CÁLC_4M] - tabPontoPed[CÁLCULO]</f>
        <v>0</v>
      </c>
      <c r="AA896" s="79" t="str">
        <f>IF(tabPontoPed[MENSAL]-tabPontoPed[ATA MENSAL] = 0,"sim","")</f>
        <v/>
      </c>
      <c r="AB896" s="79"/>
      <c r="AC896" s="47" t="str">
        <f t="shared" si="13"/>
        <v>*</v>
      </c>
    </row>
    <row r="897" spans="1:29" x14ac:dyDescent="0.25">
      <c r="A897" s="36">
        <v>15267</v>
      </c>
      <c r="B897" s="68" t="s">
        <v>657</v>
      </c>
      <c r="C897" s="33" t="s">
        <v>1317</v>
      </c>
      <c r="D897" s="32">
        <v>55</v>
      </c>
      <c r="E897" s="37">
        <v>34</v>
      </c>
      <c r="F897" s="38" t="str">
        <f>VLOOKUP(tabPontoPed[[#This Row],[GRUPO]],tabGrupos[#Data],2,FALSE)</f>
        <v>EQUIP. MAT. P/ GERACAO, TRANSM. DISTR. RETIF...</v>
      </c>
      <c r="G897" s="32" t="str">
        <f>VLOOKUP(tabPontoPed[[#This Row],[GRUPO]],tabGrupos[#Data],3,FALSE)</f>
        <v>MEL</v>
      </c>
      <c r="H897" s="33" t="s">
        <v>1311</v>
      </c>
      <c r="I897" s="80">
        <v>4</v>
      </c>
      <c r="J897" s="39">
        <v>17</v>
      </c>
      <c r="K897" s="41">
        <f>tabPontoPed[[#This Row],[QTDMÊS]] * tabPontoPed[[#This Row],[MENSAL]]</f>
        <v>68</v>
      </c>
      <c r="L897" s="83"/>
      <c r="M897" s="81"/>
      <c r="N897" s="34" t="s">
        <v>1009</v>
      </c>
      <c r="O897" s="76" t="s">
        <v>1667</v>
      </c>
      <c r="P897" s="77">
        <v>0</v>
      </c>
      <c r="Q897" s="57">
        <v>0</v>
      </c>
      <c r="R897" s="42">
        <v>0</v>
      </c>
      <c r="S897" s="69" t="str">
        <f>_xlfn.IFNA(IF(VLOOKUP(tabPontoPed[[#This Row],[CÓDIGO]],tabExcluirDoEstoque[#Data],1,FALSE),"sim",""),"")</f>
        <v/>
      </c>
      <c r="T897" s="43">
        <f>IF(AND(tabPontoPed[[#This Row],[MENSAL]]&gt;0,tabPontoPed[[#This Row],[CÁLCULO]]&gt;0), ABS( tabPontoPed[[#This Row],[MENSAL]] - tabPontoPed[[#This Row],[CÁLCULO]] ) / tabPontoPed[[#This Row],[MENSAL]], -1 )</f>
        <v>-1</v>
      </c>
      <c r="U897" s="58">
        <v>0</v>
      </c>
      <c r="V897" s="35">
        <f>IF(AND(tabPontoPed[[#This Row],[MENSAL]]&gt;0,tabPontoPed[[#This Row],[CÁLCULO]]&gt;0), IF( tabPontoPed[[#This Row],[MENSAL]] - tabPontoPed[[#This Row],[CÁLCULO]] &lt; 0, -1, IF( tabPontoPed[[#This Row],[MENSAL]] - tabPontoPed[[#This Row],[CÁLCULO]] &gt; 0, 1, -8)), -9 )</f>
        <v>-9</v>
      </c>
      <c r="W897" s="35"/>
      <c r="X897" s="49" t="s">
        <v>1564</v>
      </c>
      <c r="Y897" s="51">
        <v>44391.599108796298</v>
      </c>
      <c r="Z897" s="72">
        <f>tabPontoPed[CÁLC_4M] - tabPontoPed[CÁLCULO]</f>
        <v>0</v>
      </c>
      <c r="AA897" s="79" t="str">
        <f>IF(tabPontoPed[MENSAL]-tabPontoPed[ATA MENSAL] = 0,"sim","")</f>
        <v/>
      </c>
      <c r="AB897" s="79" t="s">
        <v>1614</v>
      </c>
      <c r="AC897" s="47" t="str">
        <f t="shared" si="13"/>
        <v>*</v>
      </c>
    </row>
    <row r="898" spans="1:29" x14ac:dyDescent="0.25">
      <c r="A898" s="36">
        <v>77493</v>
      </c>
      <c r="B898" s="68" t="s">
        <v>666</v>
      </c>
      <c r="C898" s="33" t="s">
        <v>1317</v>
      </c>
      <c r="D898" s="32">
        <v>55</v>
      </c>
      <c r="E898" s="37">
        <v>34</v>
      </c>
      <c r="F898" s="38" t="str">
        <f>VLOOKUP(tabPontoPed[[#This Row],[GRUPO]],tabGrupos[#Data],2,FALSE)</f>
        <v>EQUIP. MAT. P/ GERACAO, TRANSM. DISTR. RETIF...</v>
      </c>
      <c r="G898" s="32" t="str">
        <f>VLOOKUP(tabPontoPed[[#This Row],[GRUPO]],tabGrupos[#Data],3,FALSE)</f>
        <v>MEL</v>
      </c>
      <c r="H898" s="33" t="s">
        <v>1311</v>
      </c>
      <c r="I898" s="80">
        <v>4</v>
      </c>
      <c r="J898" s="39">
        <v>2</v>
      </c>
      <c r="K898" s="41">
        <f>tabPontoPed[[#This Row],[QTDMÊS]] * tabPontoPed[[#This Row],[MENSAL]]</f>
        <v>8</v>
      </c>
      <c r="L898" s="83"/>
      <c r="M898" s="81"/>
      <c r="N898" s="34" t="s">
        <v>1009</v>
      </c>
      <c r="O898" s="76" t="s">
        <v>1471</v>
      </c>
      <c r="P898" s="77">
        <v>0</v>
      </c>
      <c r="Q898" s="57">
        <v>0</v>
      </c>
      <c r="R898" s="42">
        <v>0</v>
      </c>
      <c r="S898" s="69" t="str">
        <f>_xlfn.IFNA(IF(VLOOKUP(tabPontoPed[[#This Row],[CÓDIGO]],tabExcluirDoEstoque[#Data],1,FALSE),"sim",""),"")</f>
        <v/>
      </c>
      <c r="T898" s="43">
        <f>IF(AND(tabPontoPed[[#This Row],[MENSAL]]&gt;0,tabPontoPed[[#This Row],[CÁLCULO]]&gt;0), ABS( tabPontoPed[[#This Row],[MENSAL]] - tabPontoPed[[#This Row],[CÁLCULO]] ) / tabPontoPed[[#This Row],[MENSAL]], -1 )</f>
        <v>-1</v>
      </c>
      <c r="U898" s="58">
        <v>0</v>
      </c>
      <c r="V898" s="35">
        <f>IF(AND(tabPontoPed[[#This Row],[MENSAL]]&gt;0,tabPontoPed[[#This Row],[CÁLCULO]]&gt;0), IF( tabPontoPed[[#This Row],[MENSAL]] - tabPontoPed[[#This Row],[CÁLCULO]] &lt; 0, -1, IF( tabPontoPed[[#This Row],[MENSAL]] - tabPontoPed[[#This Row],[CÁLCULO]] &gt; 0, 1, -8)), -9 )</f>
        <v>-9</v>
      </c>
      <c r="W898" s="35"/>
      <c r="X898" s="49" t="s">
        <v>1564</v>
      </c>
      <c r="Y898" s="51">
        <v>44391.599108796298</v>
      </c>
      <c r="Z898" s="72">
        <f>tabPontoPed[CÁLC_4M] - tabPontoPed[CÁLCULO]</f>
        <v>0</v>
      </c>
      <c r="AA898" s="79" t="str">
        <f>IF(tabPontoPed[MENSAL]-tabPontoPed[ATA MENSAL] = 0,"sim","")</f>
        <v/>
      </c>
      <c r="AB898" s="79"/>
      <c r="AC898" s="47" t="str">
        <f t="shared" si="13"/>
        <v>*</v>
      </c>
    </row>
    <row r="899" spans="1:29" x14ac:dyDescent="0.25">
      <c r="A899" s="36">
        <v>15465</v>
      </c>
      <c r="B899" s="68" t="s">
        <v>660</v>
      </c>
      <c r="C899" s="33" t="s">
        <v>1317</v>
      </c>
      <c r="D899" s="32">
        <v>55</v>
      </c>
      <c r="E899" s="37">
        <v>34</v>
      </c>
      <c r="F899" s="38" t="str">
        <f>VLOOKUP(tabPontoPed[[#This Row],[GRUPO]],tabGrupos[#Data],2,FALSE)</f>
        <v>EQUIP. MAT. P/ GERACAO, TRANSM. DISTR. RETIF...</v>
      </c>
      <c r="G899" s="32" t="str">
        <f>VLOOKUP(tabPontoPed[[#This Row],[GRUPO]],tabGrupos[#Data],3,FALSE)</f>
        <v>MEL</v>
      </c>
      <c r="H899" s="33" t="s">
        <v>1311</v>
      </c>
      <c r="I899" s="80">
        <v>4</v>
      </c>
      <c r="J899" s="39">
        <v>5</v>
      </c>
      <c r="K899" s="41">
        <f>tabPontoPed[[#This Row],[QTDMÊS]] * tabPontoPed[[#This Row],[MENSAL]]</f>
        <v>20</v>
      </c>
      <c r="L899" s="83"/>
      <c r="M899" s="81"/>
      <c r="N899" s="34" t="s">
        <v>1009</v>
      </c>
      <c r="O899" s="76" t="s">
        <v>1471</v>
      </c>
      <c r="P899" s="77">
        <v>0</v>
      </c>
      <c r="Q899" s="57">
        <v>0</v>
      </c>
      <c r="R899" s="42">
        <v>0</v>
      </c>
      <c r="S899" s="69" t="str">
        <f>_xlfn.IFNA(IF(VLOOKUP(tabPontoPed[[#This Row],[CÓDIGO]],tabExcluirDoEstoque[#Data],1,FALSE),"sim",""),"")</f>
        <v/>
      </c>
      <c r="T899" s="43">
        <f>IF(AND(tabPontoPed[[#This Row],[MENSAL]]&gt;0,tabPontoPed[[#This Row],[CÁLCULO]]&gt;0), ABS( tabPontoPed[[#This Row],[MENSAL]] - tabPontoPed[[#This Row],[CÁLCULO]] ) / tabPontoPed[[#This Row],[MENSAL]], -1 )</f>
        <v>-1</v>
      </c>
      <c r="U899" s="58">
        <v>0</v>
      </c>
      <c r="V899" s="35">
        <f>IF(AND(tabPontoPed[[#This Row],[MENSAL]]&gt;0,tabPontoPed[[#This Row],[CÁLCULO]]&gt;0), IF( tabPontoPed[[#This Row],[MENSAL]] - tabPontoPed[[#This Row],[CÁLCULO]] &lt; 0, -1, IF( tabPontoPed[[#This Row],[MENSAL]] - tabPontoPed[[#This Row],[CÁLCULO]] &gt; 0, 1, -8)), -9 )</f>
        <v>-9</v>
      </c>
      <c r="W899" s="35"/>
      <c r="X899" s="49" t="s">
        <v>1564</v>
      </c>
      <c r="Y899" s="51">
        <v>44391.599108796298</v>
      </c>
      <c r="Z899" s="72">
        <f>tabPontoPed[CÁLC_4M] - tabPontoPed[CÁLCULO]</f>
        <v>0</v>
      </c>
      <c r="AA899" s="79" t="str">
        <f>IF(tabPontoPed[MENSAL]-tabPontoPed[ATA MENSAL] = 0,"sim","")</f>
        <v/>
      </c>
      <c r="AB899" s="79"/>
      <c r="AC899" s="47" t="str">
        <f t="shared" ref="AC899:AC962" si="14">"*"</f>
        <v>*</v>
      </c>
    </row>
    <row r="900" spans="1:29" x14ac:dyDescent="0.25">
      <c r="A900" s="36">
        <v>15469</v>
      </c>
      <c r="B900" s="68" t="s">
        <v>663</v>
      </c>
      <c r="C900" s="33" t="s">
        <v>1317</v>
      </c>
      <c r="D900" s="32">
        <v>55</v>
      </c>
      <c r="E900" s="37">
        <v>34</v>
      </c>
      <c r="F900" s="38" t="str">
        <f>VLOOKUP(tabPontoPed[[#This Row],[GRUPO]],tabGrupos[#Data],2,FALSE)</f>
        <v>EQUIP. MAT. P/ GERACAO, TRANSM. DISTR. RETIF...</v>
      </c>
      <c r="G900" s="32" t="str">
        <f>VLOOKUP(tabPontoPed[[#This Row],[GRUPO]],tabGrupos[#Data],3,FALSE)</f>
        <v>MEL</v>
      </c>
      <c r="H900" s="33" t="s">
        <v>1311</v>
      </c>
      <c r="I900" s="80">
        <v>4</v>
      </c>
      <c r="J900" s="39">
        <v>3</v>
      </c>
      <c r="K900" s="41">
        <f>tabPontoPed[[#This Row],[QTDMÊS]] * tabPontoPed[[#This Row],[MENSAL]]</f>
        <v>12</v>
      </c>
      <c r="L900" s="83"/>
      <c r="M900" s="81"/>
      <c r="N900" s="34" t="s">
        <v>1009</v>
      </c>
      <c r="O900" s="76"/>
      <c r="P900" s="77">
        <v>0</v>
      </c>
      <c r="Q900" s="57">
        <v>0</v>
      </c>
      <c r="R900" s="42">
        <v>0</v>
      </c>
      <c r="S900" s="69" t="str">
        <f>_xlfn.IFNA(IF(VLOOKUP(tabPontoPed[[#This Row],[CÓDIGO]],tabExcluirDoEstoque[#Data],1,FALSE),"sim",""),"")</f>
        <v/>
      </c>
      <c r="T900" s="43">
        <f>IF(AND(tabPontoPed[[#This Row],[MENSAL]]&gt;0,tabPontoPed[[#This Row],[CÁLCULO]]&gt;0), ABS( tabPontoPed[[#This Row],[MENSAL]] - tabPontoPed[[#This Row],[CÁLCULO]] ) / tabPontoPed[[#This Row],[MENSAL]], -1 )</f>
        <v>-1</v>
      </c>
      <c r="U900" s="58">
        <v>0</v>
      </c>
      <c r="V900" s="35">
        <f>IF(AND(tabPontoPed[[#This Row],[MENSAL]]&gt;0,tabPontoPed[[#This Row],[CÁLCULO]]&gt;0), IF( tabPontoPed[[#This Row],[MENSAL]] - tabPontoPed[[#This Row],[CÁLCULO]] &lt; 0, -1, IF( tabPontoPed[[#This Row],[MENSAL]] - tabPontoPed[[#This Row],[CÁLCULO]] &gt; 0, 1, -8)), -9 )</f>
        <v>-9</v>
      </c>
      <c r="W900" s="35"/>
      <c r="X900" s="49" t="s">
        <v>1564</v>
      </c>
      <c r="Y900" s="51">
        <v>44391.599108796298</v>
      </c>
      <c r="Z900" s="72">
        <f>tabPontoPed[CÁLC_4M] - tabPontoPed[CÁLCULO]</f>
        <v>0</v>
      </c>
      <c r="AA900" s="79" t="str">
        <f>IF(tabPontoPed[MENSAL]-tabPontoPed[ATA MENSAL] = 0,"sim","")</f>
        <v/>
      </c>
      <c r="AB900" s="79"/>
      <c r="AC900" s="47" t="str">
        <f t="shared" si="14"/>
        <v>*</v>
      </c>
    </row>
    <row r="901" spans="1:29" x14ac:dyDescent="0.25">
      <c r="A901" s="36">
        <v>15473</v>
      </c>
      <c r="B901" s="68" t="s">
        <v>664</v>
      </c>
      <c r="C901" s="33" t="s">
        <v>1317</v>
      </c>
      <c r="D901" s="32">
        <v>55</v>
      </c>
      <c r="E901" s="37">
        <v>34</v>
      </c>
      <c r="F901" s="38" t="str">
        <f>VLOOKUP(tabPontoPed[[#This Row],[GRUPO]],tabGrupos[#Data],2,FALSE)</f>
        <v>EQUIP. MAT. P/ GERACAO, TRANSM. DISTR. RETIF...</v>
      </c>
      <c r="G901" s="32" t="str">
        <f>VLOOKUP(tabPontoPed[[#This Row],[GRUPO]],tabGrupos[#Data],3,FALSE)</f>
        <v>MEL</v>
      </c>
      <c r="H901" s="33" t="s">
        <v>1311</v>
      </c>
      <c r="I901" s="80">
        <v>4</v>
      </c>
      <c r="J901" s="39">
        <v>5</v>
      </c>
      <c r="K901" s="41">
        <f>tabPontoPed[[#This Row],[QTDMÊS]] * tabPontoPed[[#This Row],[MENSAL]]</f>
        <v>20</v>
      </c>
      <c r="L901" s="83"/>
      <c r="M901" s="81"/>
      <c r="N901" s="34" t="s">
        <v>1009</v>
      </c>
      <c r="O901" s="76" t="s">
        <v>1471</v>
      </c>
      <c r="P901" s="77">
        <v>0</v>
      </c>
      <c r="Q901" s="57">
        <v>0</v>
      </c>
      <c r="R901" s="42">
        <v>0</v>
      </c>
      <c r="S901" s="69" t="str">
        <f>_xlfn.IFNA(IF(VLOOKUP(tabPontoPed[[#This Row],[CÓDIGO]],tabExcluirDoEstoque[#Data],1,FALSE),"sim",""),"")</f>
        <v/>
      </c>
      <c r="T901" s="43">
        <f>IF(AND(tabPontoPed[[#This Row],[MENSAL]]&gt;0,tabPontoPed[[#This Row],[CÁLCULO]]&gt;0), ABS( tabPontoPed[[#This Row],[MENSAL]] - tabPontoPed[[#This Row],[CÁLCULO]] ) / tabPontoPed[[#This Row],[MENSAL]], -1 )</f>
        <v>-1</v>
      </c>
      <c r="U901" s="58">
        <v>0</v>
      </c>
      <c r="V901" s="35">
        <f>IF(AND(tabPontoPed[[#This Row],[MENSAL]]&gt;0,tabPontoPed[[#This Row],[CÁLCULO]]&gt;0), IF( tabPontoPed[[#This Row],[MENSAL]] - tabPontoPed[[#This Row],[CÁLCULO]] &lt; 0, -1, IF( tabPontoPed[[#This Row],[MENSAL]] - tabPontoPed[[#This Row],[CÁLCULO]] &gt; 0, 1, -8)), -9 )</f>
        <v>-9</v>
      </c>
      <c r="W901" s="35"/>
      <c r="X901" s="48" t="s">
        <v>1564</v>
      </c>
      <c r="Y901" s="53">
        <v>44391.599108796298</v>
      </c>
      <c r="Z901" s="72">
        <f>tabPontoPed[CÁLC_4M] - tabPontoPed[CÁLCULO]</f>
        <v>0</v>
      </c>
      <c r="AA901" s="79" t="str">
        <f>IF(tabPontoPed[MENSAL]-tabPontoPed[ATA MENSAL] = 0,"sim","")</f>
        <v/>
      </c>
      <c r="AB901" s="79"/>
      <c r="AC901" s="47" t="str">
        <f t="shared" si="14"/>
        <v>*</v>
      </c>
    </row>
    <row r="902" spans="1:29" x14ac:dyDescent="0.25">
      <c r="A902" s="36">
        <v>15475</v>
      </c>
      <c r="B902" s="68" t="s">
        <v>665</v>
      </c>
      <c r="C902" s="33" t="s">
        <v>1317</v>
      </c>
      <c r="D902" s="32">
        <v>55</v>
      </c>
      <c r="E902" s="37">
        <v>34</v>
      </c>
      <c r="F902" s="38" t="str">
        <f>VLOOKUP(tabPontoPed[[#This Row],[GRUPO]],tabGrupos[#Data],2,FALSE)</f>
        <v>EQUIP. MAT. P/ GERACAO, TRANSM. DISTR. RETIF...</v>
      </c>
      <c r="G902" s="32" t="str">
        <f>VLOOKUP(tabPontoPed[[#This Row],[GRUPO]],tabGrupos[#Data],3,FALSE)</f>
        <v>MEL</v>
      </c>
      <c r="H902" s="33" t="s">
        <v>1311</v>
      </c>
      <c r="I902" s="80">
        <v>4</v>
      </c>
      <c r="J902" s="39">
        <v>2</v>
      </c>
      <c r="K902" s="41">
        <f>tabPontoPed[[#This Row],[QTDMÊS]] * tabPontoPed[[#This Row],[MENSAL]]</f>
        <v>8</v>
      </c>
      <c r="L902" s="83"/>
      <c r="M902" s="81"/>
      <c r="N902" s="34" t="s">
        <v>1009</v>
      </c>
      <c r="O902" s="76" t="s">
        <v>1518</v>
      </c>
      <c r="P902" s="77">
        <v>0</v>
      </c>
      <c r="Q902" s="57">
        <v>0</v>
      </c>
      <c r="R902" s="42">
        <v>0</v>
      </c>
      <c r="S902" s="69" t="str">
        <f>_xlfn.IFNA(IF(VLOOKUP(tabPontoPed[[#This Row],[CÓDIGO]],tabExcluirDoEstoque[#Data],1,FALSE),"sim",""),"")</f>
        <v/>
      </c>
      <c r="T902" s="43">
        <f>IF(AND(tabPontoPed[[#This Row],[MENSAL]]&gt;0,tabPontoPed[[#This Row],[CÁLCULO]]&gt;0), ABS( tabPontoPed[[#This Row],[MENSAL]] - tabPontoPed[[#This Row],[CÁLCULO]] ) / tabPontoPed[[#This Row],[MENSAL]], -1 )</f>
        <v>-1</v>
      </c>
      <c r="U902" s="58">
        <v>0</v>
      </c>
      <c r="V902" s="35">
        <f>IF(AND(tabPontoPed[[#This Row],[MENSAL]]&gt;0,tabPontoPed[[#This Row],[CÁLCULO]]&gt;0), IF( tabPontoPed[[#This Row],[MENSAL]] - tabPontoPed[[#This Row],[CÁLCULO]] &lt; 0, -1, IF( tabPontoPed[[#This Row],[MENSAL]] - tabPontoPed[[#This Row],[CÁLCULO]] &gt; 0, 1, -8)), -9 )</f>
        <v>-9</v>
      </c>
      <c r="W902" s="35"/>
      <c r="X902" s="49" t="s">
        <v>1564</v>
      </c>
      <c r="Y902" s="51">
        <v>44391.599108796298</v>
      </c>
      <c r="Z902" s="72">
        <f>tabPontoPed[CÁLC_4M] - tabPontoPed[CÁLCULO]</f>
        <v>0</v>
      </c>
      <c r="AA902" s="79" t="str">
        <f>IF(tabPontoPed[MENSAL]-tabPontoPed[ATA MENSAL] = 0,"sim","")</f>
        <v/>
      </c>
      <c r="AB902" s="79"/>
      <c r="AC902" s="47" t="str">
        <f t="shared" si="14"/>
        <v>*</v>
      </c>
    </row>
    <row r="903" spans="1:29" x14ac:dyDescent="0.25">
      <c r="A903" s="36">
        <v>110892</v>
      </c>
      <c r="B903" s="68" t="s">
        <v>671</v>
      </c>
      <c r="C903" s="33" t="s">
        <v>1317</v>
      </c>
      <c r="D903" s="32">
        <v>55</v>
      </c>
      <c r="E903" s="37">
        <v>35</v>
      </c>
      <c r="F903" s="38" t="str">
        <f>VLOOKUP(tabPontoPed[[#This Row],[GRUPO]],tabGrupos[#Data],2,FALSE)</f>
        <v>EQUIP. MAT. P/ GERACAO, TRANSM. DISTR. RETIF...</v>
      </c>
      <c r="G903" s="32" t="str">
        <f>VLOOKUP(tabPontoPed[[#This Row],[GRUPO]],tabGrupos[#Data],3,FALSE)</f>
        <v>MEL</v>
      </c>
      <c r="H903" s="33" t="s">
        <v>1311</v>
      </c>
      <c r="I903" s="80">
        <v>4</v>
      </c>
      <c r="J903" s="39">
        <v>0</v>
      </c>
      <c r="K903" s="41">
        <f>tabPontoPed[[#This Row],[QTDMÊS]] * tabPontoPed[[#This Row],[MENSAL]]</f>
        <v>0</v>
      </c>
      <c r="L903" s="83"/>
      <c r="M903" s="81"/>
      <c r="N903" s="34" t="s">
        <v>1009</v>
      </c>
      <c r="O903" s="76"/>
      <c r="P903" s="77">
        <v>0</v>
      </c>
      <c r="Q903" s="57">
        <v>0</v>
      </c>
      <c r="R903" s="42">
        <v>0</v>
      </c>
      <c r="S903" s="69" t="str">
        <f>_xlfn.IFNA(IF(VLOOKUP(tabPontoPed[[#This Row],[CÓDIGO]],tabExcluirDoEstoque[#Data],1,FALSE),"sim",""),"")</f>
        <v/>
      </c>
      <c r="T903" s="43">
        <f>IF(AND(tabPontoPed[[#This Row],[MENSAL]]&gt;0,tabPontoPed[[#This Row],[CÁLCULO]]&gt;0), ABS( tabPontoPed[[#This Row],[MENSAL]] - tabPontoPed[[#This Row],[CÁLCULO]] ) / tabPontoPed[[#This Row],[MENSAL]], -1 )</f>
        <v>-1</v>
      </c>
      <c r="U903" s="58">
        <v>0</v>
      </c>
      <c r="V903" s="35">
        <f>IF(AND(tabPontoPed[[#This Row],[MENSAL]]&gt;0,tabPontoPed[[#This Row],[CÁLCULO]]&gt;0), IF( tabPontoPed[[#This Row],[MENSAL]] - tabPontoPed[[#This Row],[CÁLCULO]] &lt; 0, -1, IF( tabPontoPed[[#This Row],[MENSAL]] - tabPontoPed[[#This Row],[CÁLCULO]] &gt; 0, 1, -8)), -9 )</f>
        <v>-9</v>
      </c>
      <c r="W903" s="35"/>
      <c r="X903" s="49" t="s">
        <v>1564</v>
      </c>
      <c r="Y903" s="51">
        <v>44391.599108796298</v>
      </c>
      <c r="Z903" s="72">
        <f>tabPontoPed[CÁLC_4M] - tabPontoPed[CÁLCULO]</f>
        <v>0</v>
      </c>
      <c r="AA903" s="79" t="str">
        <f>IF(tabPontoPed[MENSAL]-tabPontoPed[ATA MENSAL] = 0,"sim","")</f>
        <v>sim</v>
      </c>
      <c r="AB903" s="79" t="s">
        <v>1614</v>
      </c>
      <c r="AC903" s="47" t="str">
        <f t="shared" si="14"/>
        <v>*</v>
      </c>
    </row>
    <row r="904" spans="1:29" x14ac:dyDescent="0.25">
      <c r="A904" s="36">
        <v>110893</v>
      </c>
      <c r="B904" s="68" t="s">
        <v>672</v>
      </c>
      <c r="C904" s="33" t="s">
        <v>1317</v>
      </c>
      <c r="D904" s="32">
        <v>55</v>
      </c>
      <c r="E904" s="37">
        <v>35</v>
      </c>
      <c r="F904" s="38" t="str">
        <f>VLOOKUP(tabPontoPed[[#This Row],[GRUPO]],tabGrupos[#Data],2,FALSE)</f>
        <v>EQUIP. MAT. P/ GERACAO, TRANSM. DISTR. RETIF...</v>
      </c>
      <c r="G904" s="32" t="str">
        <f>VLOOKUP(tabPontoPed[[#This Row],[GRUPO]],tabGrupos[#Data],3,FALSE)</f>
        <v>MEL</v>
      </c>
      <c r="H904" s="33" t="s">
        <v>1311</v>
      </c>
      <c r="I904" s="80">
        <v>4</v>
      </c>
      <c r="J904" s="39">
        <v>0</v>
      </c>
      <c r="K904" s="41">
        <f>tabPontoPed[[#This Row],[QTDMÊS]] * tabPontoPed[[#This Row],[MENSAL]]</f>
        <v>0</v>
      </c>
      <c r="L904" s="83"/>
      <c r="M904" s="81"/>
      <c r="N904" s="34" t="s">
        <v>1009</v>
      </c>
      <c r="O904" s="76"/>
      <c r="P904" s="77">
        <v>0</v>
      </c>
      <c r="Q904" s="57">
        <v>0</v>
      </c>
      <c r="R904" s="42">
        <v>1</v>
      </c>
      <c r="S904" s="69" t="str">
        <f>_xlfn.IFNA(IF(VLOOKUP(tabPontoPed[[#This Row],[CÓDIGO]],tabExcluirDoEstoque[#Data],1,FALSE),"sim",""),"")</f>
        <v/>
      </c>
      <c r="T904" s="43">
        <f>IF(AND(tabPontoPed[[#This Row],[MENSAL]]&gt;0,tabPontoPed[[#This Row],[CÁLCULO]]&gt;0), ABS( tabPontoPed[[#This Row],[MENSAL]] - tabPontoPed[[#This Row],[CÁLCULO]] ) / tabPontoPed[[#This Row],[MENSAL]], -1 )</f>
        <v>-1</v>
      </c>
      <c r="U904" s="58">
        <v>10</v>
      </c>
      <c r="V904" s="35">
        <f>IF(AND(tabPontoPed[[#This Row],[MENSAL]]&gt;0,tabPontoPed[[#This Row],[CÁLCULO]]&gt;0), IF( tabPontoPed[[#This Row],[MENSAL]] - tabPontoPed[[#This Row],[CÁLCULO]] &lt; 0, -1, IF( tabPontoPed[[#This Row],[MENSAL]] - tabPontoPed[[#This Row],[CÁLCULO]] &gt; 0, 1, -8)), -9 )</f>
        <v>-9</v>
      </c>
      <c r="W904" s="35"/>
      <c r="X904" s="49" t="s">
        <v>1564</v>
      </c>
      <c r="Y904" s="51">
        <v>44391.599108796298</v>
      </c>
      <c r="Z904" s="72">
        <f>tabPontoPed[CÁLC_4M] - tabPontoPed[CÁLCULO]</f>
        <v>-1</v>
      </c>
      <c r="AA904" s="79" t="str">
        <f>IF(tabPontoPed[MENSAL]-tabPontoPed[ATA MENSAL] = 0,"sim","")</f>
        <v>sim</v>
      </c>
      <c r="AB904" s="79" t="s">
        <v>1614</v>
      </c>
      <c r="AC904" s="47" t="str">
        <f t="shared" si="14"/>
        <v>*</v>
      </c>
    </row>
    <row r="905" spans="1:29" x14ac:dyDescent="0.25">
      <c r="A905" s="36">
        <v>15648</v>
      </c>
      <c r="B905" s="68" t="s">
        <v>668</v>
      </c>
      <c r="C905" s="33" t="s">
        <v>1317</v>
      </c>
      <c r="D905" s="32">
        <v>55</v>
      </c>
      <c r="E905" s="37">
        <v>35</v>
      </c>
      <c r="F905" s="38" t="str">
        <f>VLOOKUP(tabPontoPed[[#This Row],[GRUPO]],tabGrupos[#Data],2,FALSE)</f>
        <v>EQUIP. MAT. P/ GERACAO, TRANSM. DISTR. RETIF...</v>
      </c>
      <c r="G905" s="32" t="str">
        <f>VLOOKUP(tabPontoPed[[#This Row],[GRUPO]],tabGrupos[#Data],3,FALSE)</f>
        <v>MEL</v>
      </c>
      <c r="H905" s="33" t="s">
        <v>1311</v>
      </c>
      <c r="I905" s="80">
        <v>4</v>
      </c>
      <c r="J905" s="39"/>
      <c r="K905" s="41">
        <f>tabPontoPed[[#This Row],[QTDMÊS]] * tabPontoPed[[#This Row],[MENSAL]]</f>
        <v>0</v>
      </c>
      <c r="L905" s="83"/>
      <c r="M905" s="81"/>
      <c r="N905" s="34" t="s">
        <v>1009</v>
      </c>
      <c r="O905" s="76"/>
      <c r="P905" s="77">
        <v>0</v>
      </c>
      <c r="Q905" s="57">
        <v>0</v>
      </c>
      <c r="R905" s="42">
        <v>1</v>
      </c>
      <c r="S905" s="69" t="str">
        <f>_xlfn.IFNA(IF(VLOOKUP(tabPontoPed[[#This Row],[CÓDIGO]],tabExcluirDoEstoque[#Data],1,FALSE),"sim",""),"")</f>
        <v/>
      </c>
      <c r="T905" s="43">
        <f>IF(AND(tabPontoPed[[#This Row],[MENSAL]]&gt;0,tabPontoPed[[#This Row],[CÁLCULO]]&gt;0), ABS( tabPontoPed[[#This Row],[MENSAL]] - tabPontoPed[[#This Row],[CÁLCULO]] ) / tabPontoPed[[#This Row],[MENSAL]], -1 )</f>
        <v>-1</v>
      </c>
      <c r="U905" s="58">
        <v>2</v>
      </c>
      <c r="V905" s="35">
        <f>IF(AND(tabPontoPed[[#This Row],[MENSAL]]&gt;0,tabPontoPed[[#This Row],[CÁLCULO]]&gt;0), IF( tabPontoPed[[#This Row],[MENSAL]] - tabPontoPed[[#This Row],[CÁLCULO]] &lt; 0, -1, IF( tabPontoPed[[#This Row],[MENSAL]] - tabPontoPed[[#This Row],[CÁLCULO]] &gt; 0, 1, -8)), -9 )</f>
        <v>-9</v>
      </c>
      <c r="W905" s="35"/>
      <c r="X905" s="49" t="s">
        <v>1564</v>
      </c>
      <c r="Y905" s="51">
        <v>44391.599108796298</v>
      </c>
      <c r="Z905" s="72">
        <f>tabPontoPed[CÁLC_4M] - tabPontoPed[CÁLCULO]</f>
        <v>-1</v>
      </c>
      <c r="AA905" s="79" t="str">
        <f>IF(tabPontoPed[MENSAL]-tabPontoPed[ATA MENSAL] = 0,"sim","")</f>
        <v>sim</v>
      </c>
      <c r="AB905" s="79" t="s">
        <v>1614</v>
      </c>
      <c r="AC905" s="47" t="str">
        <f t="shared" si="14"/>
        <v>*</v>
      </c>
    </row>
    <row r="906" spans="1:29" x14ac:dyDescent="0.25">
      <c r="A906" s="36">
        <v>15656</v>
      </c>
      <c r="B906" s="68" t="s">
        <v>669</v>
      </c>
      <c r="C906" s="33" t="s">
        <v>1317</v>
      </c>
      <c r="D906" s="32">
        <v>55</v>
      </c>
      <c r="E906" s="37">
        <v>35</v>
      </c>
      <c r="F906" s="38" t="str">
        <f>VLOOKUP(tabPontoPed[[#This Row],[GRUPO]],tabGrupos[#Data],2,FALSE)</f>
        <v>EQUIP. MAT. P/ GERACAO, TRANSM. DISTR. RETIF...</v>
      </c>
      <c r="G906" s="32" t="str">
        <f>VLOOKUP(tabPontoPed[[#This Row],[GRUPO]],tabGrupos[#Data],3,FALSE)</f>
        <v>MEL</v>
      </c>
      <c r="H906" s="33" t="s">
        <v>1311</v>
      </c>
      <c r="I906" s="80">
        <v>4</v>
      </c>
      <c r="J906" s="39">
        <v>9</v>
      </c>
      <c r="K906" s="41">
        <f>tabPontoPed[[#This Row],[QTDMÊS]] * tabPontoPed[[#This Row],[MENSAL]]</f>
        <v>36</v>
      </c>
      <c r="L906" s="83"/>
      <c r="M906" s="81"/>
      <c r="N906" s="34" t="s">
        <v>1009</v>
      </c>
      <c r="O906" s="76" t="s">
        <v>1682</v>
      </c>
      <c r="P906" s="77">
        <v>0</v>
      </c>
      <c r="Q906" s="57">
        <v>0</v>
      </c>
      <c r="R906" s="42">
        <v>0</v>
      </c>
      <c r="S906" s="69" t="str">
        <f>_xlfn.IFNA(IF(VLOOKUP(tabPontoPed[[#This Row],[CÓDIGO]],tabExcluirDoEstoque[#Data],1,FALSE),"sim",""),"")</f>
        <v/>
      </c>
      <c r="T906" s="43">
        <f>IF(AND(tabPontoPed[[#This Row],[MENSAL]]&gt;0,tabPontoPed[[#This Row],[CÁLCULO]]&gt;0), ABS( tabPontoPed[[#This Row],[MENSAL]] - tabPontoPed[[#This Row],[CÁLCULO]] ) / tabPontoPed[[#This Row],[MENSAL]], -1 )</f>
        <v>-1</v>
      </c>
      <c r="U906" s="58">
        <v>0</v>
      </c>
      <c r="V906" s="35">
        <f>IF(AND(tabPontoPed[[#This Row],[MENSAL]]&gt;0,tabPontoPed[[#This Row],[CÁLCULO]]&gt;0), IF( tabPontoPed[[#This Row],[MENSAL]] - tabPontoPed[[#This Row],[CÁLCULO]] &lt; 0, -1, IF( tabPontoPed[[#This Row],[MENSAL]] - tabPontoPed[[#This Row],[CÁLCULO]] &gt; 0, 1, -8)), -9 )</f>
        <v>-9</v>
      </c>
      <c r="W906" s="35"/>
      <c r="X906" s="49" t="s">
        <v>1564</v>
      </c>
      <c r="Y906" s="51">
        <v>44391.599108796298</v>
      </c>
      <c r="Z906" s="72">
        <f>tabPontoPed[CÁLC_4M] - tabPontoPed[CÁLCULO]</f>
        <v>0</v>
      </c>
      <c r="AA906" s="79" t="str">
        <f>IF(tabPontoPed[MENSAL]-tabPontoPed[ATA MENSAL] = 0,"sim","")</f>
        <v/>
      </c>
      <c r="AB906" s="79" t="s">
        <v>1614</v>
      </c>
      <c r="AC906" s="47" t="str">
        <f t="shared" si="14"/>
        <v>*</v>
      </c>
    </row>
    <row r="907" spans="1:29" x14ac:dyDescent="0.25">
      <c r="A907" s="36">
        <v>15672</v>
      </c>
      <c r="B907" s="68" t="s">
        <v>31</v>
      </c>
      <c r="C907" s="33" t="s">
        <v>1317</v>
      </c>
      <c r="D907" s="32">
        <v>55</v>
      </c>
      <c r="E907" s="37">
        <v>35</v>
      </c>
      <c r="F907" s="38" t="str">
        <f>VLOOKUP(tabPontoPed[[#This Row],[GRUPO]],tabGrupos[#Data],2,FALSE)</f>
        <v>EQUIP. MAT. P/ GERACAO, TRANSM. DISTR. RETIF...</v>
      </c>
      <c r="G907" s="32" t="str">
        <f>VLOOKUP(tabPontoPed[[#This Row],[GRUPO]],tabGrupos[#Data],3,FALSE)</f>
        <v>MEL</v>
      </c>
      <c r="H907" s="33" t="s">
        <v>1311</v>
      </c>
      <c r="I907" s="80">
        <v>4</v>
      </c>
      <c r="J907" s="39">
        <v>5</v>
      </c>
      <c r="K907" s="41">
        <f>tabPontoPed[[#This Row],[QTDMÊS]] * tabPontoPed[[#This Row],[MENSAL]]</f>
        <v>20</v>
      </c>
      <c r="L907" s="83"/>
      <c r="M907" s="81"/>
      <c r="N907" s="34" t="s">
        <v>1009</v>
      </c>
      <c r="O907" s="76" t="s">
        <v>1667</v>
      </c>
      <c r="P907" s="77">
        <v>0</v>
      </c>
      <c r="Q907" s="57">
        <v>0</v>
      </c>
      <c r="R907" s="42">
        <v>0</v>
      </c>
      <c r="S907" s="69" t="str">
        <f>_xlfn.IFNA(IF(VLOOKUP(tabPontoPed[[#This Row],[CÓDIGO]],tabExcluirDoEstoque[#Data],1,FALSE),"sim",""),"")</f>
        <v/>
      </c>
      <c r="T907" s="43">
        <f>IF(AND(tabPontoPed[[#This Row],[MENSAL]]&gt;0,tabPontoPed[[#This Row],[CÁLCULO]]&gt;0), ABS( tabPontoPed[[#This Row],[MENSAL]] - tabPontoPed[[#This Row],[CÁLCULO]] ) / tabPontoPed[[#This Row],[MENSAL]], -1 )</f>
        <v>-1</v>
      </c>
      <c r="U907" s="58">
        <v>0</v>
      </c>
      <c r="V907" s="35">
        <f>IF(AND(tabPontoPed[[#This Row],[MENSAL]]&gt;0,tabPontoPed[[#This Row],[CÁLCULO]]&gt;0), IF( tabPontoPed[[#This Row],[MENSAL]] - tabPontoPed[[#This Row],[CÁLCULO]] &lt; 0, -1, IF( tabPontoPed[[#This Row],[MENSAL]] - tabPontoPed[[#This Row],[CÁLCULO]] &gt; 0, 1, -8)), -9 )</f>
        <v>-9</v>
      </c>
      <c r="W907" s="35"/>
      <c r="X907" s="49" t="s">
        <v>1564</v>
      </c>
      <c r="Y907" s="51">
        <v>44391.599108796298</v>
      </c>
      <c r="Z907" s="72">
        <f>tabPontoPed[CÁLC_4M] - tabPontoPed[CÁLCULO]</f>
        <v>0</v>
      </c>
      <c r="AA907" s="79" t="str">
        <f>IF(tabPontoPed[MENSAL]-tabPontoPed[ATA MENSAL] = 0,"sim","")</f>
        <v/>
      </c>
      <c r="AB907" s="79" t="s">
        <v>1614</v>
      </c>
      <c r="AC907" s="47" t="str">
        <f t="shared" si="14"/>
        <v>*</v>
      </c>
    </row>
    <row r="908" spans="1:29" x14ac:dyDescent="0.25">
      <c r="A908" s="36">
        <v>132751</v>
      </c>
      <c r="B908" s="68" t="s">
        <v>683</v>
      </c>
      <c r="C908" s="33" t="s">
        <v>1317</v>
      </c>
      <c r="D908" s="32">
        <v>55</v>
      </c>
      <c r="E908" s="37">
        <v>40</v>
      </c>
      <c r="F908" s="38" t="str">
        <f>VLOOKUP(tabPontoPed[[#This Row],[GRUPO]],tabGrupos[#Data],2,FALSE)</f>
        <v>EQUIP. MAT. P/ GERACAO, TRANSM. DISTR. RETIF...</v>
      </c>
      <c r="G908" s="32" t="str">
        <f>VLOOKUP(tabPontoPed[[#This Row],[GRUPO]],tabGrupos[#Data],3,FALSE)</f>
        <v>MEL</v>
      </c>
      <c r="H908" s="33" t="s">
        <v>1311</v>
      </c>
      <c r="I908" s="80">
        <v>4</v>
      </c>
      <c r="J908" s="39">
        <v>0</v>
      </c>
      <c r="K908" s="41">
        <f>tabPontoPed[[#This Row],[QTDMÊS]] * tabPontoPed[[#This Row],[MENSAL]]</f>
        <v>0</v>
      </c>
      <c r="L908" s="83"/>
      <c r="M908" s="81"/>
      <c r="N908" s="34" t="s">
        <v>1009</v>
      </c>
      <c r="O908" s="76"/>
      <c r="P908" s="77">
        <v>0</v>
      </c>
      <c r="Q908" s="57">
        <v>0</v>
      </c>
      <c r="R908" s="42">
        <v>1</v>
      </c>
      <c r="S908" s="69" t="str">
        <f>_xlfn.IFNA(IF(VLOOKUP(tabPontoPed[[#This Row],[CÓDIGO]],tabExcluirDoEstoque[#Data],1,FALSE),"sim",""),"")</f>
        <v/>
      </c>
      <c r="T908" s="43">
        <f>IF(AND(tabPontoPed[[#This Row],[MENSAL]]&gt;0,tabPontoPed[[#This Row],[CÁLCULO]]&gt;0), ABS( tabPontoPed[[#This Row],[MENSAL]] - tabPontoPed[[#This Row],[CÁLCULO]] ) / tabPontoPed[[#This Row],[MENSAL]], -1 )</f>
        <v>-1</v>
      </c>
      <c r="U908" s="58">
        <v>1</v>
      </c>
      <c r="V908" s="35">
        <f>IF(AND(tabPontoPed[[#This Row],[MENSAL]]&gt;0,tabPontoPed[[#This Row],[CÁLCULO]]&gt;0), IF( tabPontoPed[[#This Row],[MENSAL]] - tabPontoPed[[#This Row],[CÁLCULO]] &lt; 0, -1, IF( tabPontoPed[[#This Row],[MENSAL]] - tabPontoPed[[#This Row],[CÁLCULO]] &gt; 0, 1, -8)), -9 )</f>
        <v>-9</v>
      </c>
      <c r="W908" s="35"/>
      <c r="X908" s="49" t="s">
        <v>1564</v>
      </c>
      <c r="Y908" s="51">
        <v>44391.599108796298</v>
      </c>
      <c r="Z908" s="72">
        <f>tabPontoPed[CÁLC_4M] - tabPontoPed[CÁLCULO]</f>
        <v>-1</v>
      </c>
      <c r="AA908" s="79" t="str">
        <f>IF(tabPontoPed[MENSAL]-tabPontoPed[ATA MENSAL] = 0,"sim","")</f>
        <v>sim</v>
      </c>
      <c r="AB908" s="79" t="s">
        <v>1614</v>
      </c>
      <c r="AC908" s="47" t="str">
        <f t="shared" si="14"/>
        <v>*</v>
      </c>
    </row>
    <row r="909" spans="1:29" x14ac:dyDescent="0.25">
      <c r="A909" s="36">
        <v>108697</v>
      </c>
      <c r="B909" s="68" t="s">
        <v>686</v>
      </c>
      <c r="C909" s="33" t="s">
        <v>1317</v>
      </c>
      <c r="D909" s="32">
        <v>55</v>
      </c>
      <c r="E909" s="37">
        <v>48</v>
      </c>
      <c r="F909" s="38" t="str">
        <f>VLOOKUP(tabPontoPed[[#This Row],[GRUPO]],tabGrupos[#Data],2,FALSE)</f>
        <v>EQUIP. MAT. P/ GERACAO, TRANSM. DISTR. RETIF...</v>
      </c>
      <c r="G909" s="32" t="str">
        <f>VLOOKUP(tabPontoPed[[#This Row],[GRUPO]],tabGrupos[#Data],3,FALSE)</f>
        <v>MEL</v>
      </c>
      <c r="H909" s="33" t="s">
        <v>1311</v>
      </c>
      <c r="I909" s="80">
        <v>4</v>
      </c>
      <c r="J909" s="39">
        <v>1</v>
      </c>
      <c r="K909" s="41">
        <f>tabPontoPed[[#This Row],[QTDMÊS]] * tabPontoPed[[#This Row],[MENSAL]]</f>
        <v>4</v>
      </c>
      <c r="L909" s="83"/>
      <c r="M909" s="81"/>
      <c r="N909" s="34" t="s">
        <v>1009</v>
      </c>
      <c r="O909" s="76"/>
      <c r="P909" s="77">
        <v>0</v>
      </c>
      <c r="Q909" s="57">
        <v>0</v>
      </c>
      <c r="R909" s="42">
        <v>0</v>
      </c>
      <c r="S909" s="69" t="str">
        <f>_xlfn.IFNA(IF(VLOOKUP(tabPontoPed[[#This Row],[CÓDIGO]],tabExcluirDoEstoque[#Data],1,FALSE),"sim",""),"")</f>
        <v/>
      </c>
      <c r="T909" s="43">
        <f>IF(AND(tabPontoPed[[#This Row],[MENSAL]]&gt;0,tabPontoPed[[#This Row],[CÁLCULO]]&gt;0), ABS( tabPontoPed[[#This Row],[MENSAL]] - tabPontoPed[[#This Row],[CÁLCULO]] ) / tabPontoPed[[#This Row],[MENSAL]], -1 )</f>
        <v>-1</v>
      </c>
      <c r="U909" s="58">
        <v>0</v>
      </c>
      <c r="V909" s="35">
        <f>IF(AND(tabPontoPed[[#This Row],[MENSAL]]&gt;0,tabPontoPed[[#This Row],[CÁLCULO]]&gt;0), IF( tabPontoPed[[#This Row],[MENSAL]] - tabPontoPed[[#This Row],[CÁLCULO]] &lt; 0, -1, IF( tabPontoPed[[#This Row],[MENSAL]] - tabPontoPed[[#This Row],[CÁLCULO]] &gt; 0, 1, -8)), -9 )</f>
        <v>-9</v>
      </c>
      <c r="W909" s="35"/>
      <c r="X909" s="49" t="s">
        <v>1564</v>
      </c>
      <c r="Y909" s="51">
        <v>44391.599108796298</v>
      </c>
      <c r="Z909" s="72">
        <f>tabPontoPed[CÁLC_4M] - tabPontoPed[CÁLCULO]</f>
        <v>0</v>
      </c>
      <c r="AA909" s="79" t="str">
        <f>IF(tabPontoPed[MENSAL]-tabPontoPed[ATA MENSAL] = 0,"sim","")</f>
        <v/>
      </c>
      <c r="AB909" s="79"/>
      <c r="AC909" s="47" t="str">
        <f t="shared" si="14"/>
        <v>*</v>
      </c>
    </row>
    <row r="910" spans="1:29" x14ac:dyDescent="0.25">
      <c r="A910" s="36">
        <v>130614</v>
      </c>
      <c r="B910" s="68" t="s">
        <v>953</v>
      </c>
      <c r="C910" s="33" t="s">
        <v>1317</v>
      </c>
      <c r="D910" s="32">
        <v>75</v>
      </c>
      <c r="E910" s="37">
        <v>5</v>
      </c>
      <c r="F910" s="38" t="str">
        <f>VLOOKUP(tabPontoPed[[#This Row],[GRUPO]],tabGrupos[#Data],2,FALSE)</f>
        <v>OLEOS LUBRIF.,GRAXAS,CORTANTES,FLUIDOS HIDRAULICOS</v>
      </c>
      <c r="G910" s="32" t="str">
        <f>VLOOKUP(tabPontoPed[[#This Row],[GRUPO]],tabGrupos[#Data],3,FALSE)</f>
        <v>MFR</v>
      </c>
      <c r="H910" s="33" t="s">
        <v>1311</v>
      </c>
      <c r="I910" s="80">
        <v>4</v>
      </c>
      <c r="J910" s="39">
        <v>1</v>
      </c>
      <c r="K910" s="41">
        <f>tabPontoPed[[#This Row],[QTDMÊS]] * tabPontoPed[[#This Row],[MENSAL]]</f>
        <v>4</v>
      </c>
      <c r="L910" s="83"/>
      <c r="M910" s="81"/>
      <c r="N910" s="34" t="s">
        <v>1009</v>
      </c>
      <c r="O910" s="76"/>
      <c r="P910" s="77">
        <v>0</v>
      </c>
      <c r="Q910" s="57">
        <v>0</v>
      </c>
      <c r="R910" s="42">
        <v>0</v>
      </c>
      <c r="S910" s="69" t="str">
        <f>_xlfn.IFNA(IF(VLOOKUP(tabPontoPed[[#This Row],[CÓDIGO]],tabExcluirDoEstoque[#Data],1,FALSE),"sim",""),"")</f>
        <v>sim</v>
      </c>
      <c r="T910" s="43">
        <f>IF(AND(tabPontoPed[[#This Row],[MENSAL]]&gt;0,tabPontoPed[[#This Row],[CÁLCULO]]&gt;0), ABS( tabPontoPed[[#This Row],[MENSAL]] - tabPontoPed[[#This Row],[CÁLCULO]] ) / tabPontoPed[[#This Row],[MENSAL]], -1 )</f>
        <v>-1</v>
      </c>
      <c r="U910" s="58">
        <v>0</v>
      </c>
      <c r="V910" s="35">
        <f>IF(AND(tabPontoPed[[#This Row],[MENSAL]]&gt;0,tabPontoPed[[#This Row],[CÁLCULO]]&gt;0), IF( tabPontoPed[[#This Row],[MENSAL]] - tabPontoPed[[#This Row],[CÁLCULO]] &lt; 0, -1, IF( tabPontoPed[[#This Row],[MENSAL]] - tabPontoPed[[#This Row],[CÁLCULO]] &gt; 0, 1, -8)), -9 )</f>
        <v>-9</v>
      </c>
      <c r="W910" s="35"/>
      <c r="X910" s="49" t="s">
        <v>1564</v>
      </c>
      <c r="Y910" s="51">
        <v>44391.599108796298</v>
      </c>
      <c r="Z910" s="72">
        <f>tabPontoPed[CÁLC_4M] - tabPontoPed[CÁLCULO]</f>
        <v>0</v>
      </c>
      <c r="AA910" s="79" t="str">
        <f>IF(tabPontoPed[MENSAL]-tabPontoPed[ATA MENSAL] = 0,"sim","")</f>
        <v/>
      </c>
      <c r="AB910" s="79"/>
      <c r="AC910" s="47" t="str">
        <f t="shared" si="14"/>
        <v>*</v>
      </c>
    </row>
    <row r="911" spans="1:29" x14ac:dyDescent="0.25">
      <c r="A911" s="36">
        <v>71874</v>
      </c>
      <c r="B911" s="68" t="s">
        <v>996</v>
      </c>
      <c r="C911" s="33" t="s">
        <v>1317</v>
      </c>
      <c r="D911" s="32">
        <v>89</v>
      </c>
      <c r="E911" s="37">
        <v>12</v>
      </c>
      <c r="F911" s="38" t="str">
        <f>VLOOKUP(tabPontoPed[[#This Row],[GRUPO]],tabGrupos[#Data],2,FALSE)</f>
        <v>PEC.P/ VEICULO DE USO ESPECIAL E BATERIASROLAMENTO</v>
      </c>
      <c r="G911" s="32" t="str">
        <f>VLOOKUP(tabPontoPed[[#This Row],[GRUPO]],tabGrupos[#Data],3,FALSE)</f>
        <v>MFR</v>
      </c>
      <c r="H911" s="33" t="s">
        <v>1311</v>
      </c>
      <c r="I911" s="80">
        <v>4</v>
      </c>
      <c r="J911" s="39">
        <v>0</v>
      </c>
      <c r="K911" s="41">
        <f>tabPontoPed[[#This Row],[QTDMÊS]] * tabPontoPed[[#This Row],[MENSAL]]</f>
        <v>0</v>
      </c>
      <c r="L911" s="83"/>
      <c r="M911" s="81"/>
      <c r="N911" s="34" t="s">
        <v>1009</v>
      </c>
      <c r="O911" s="76"/>
      <c r="P911" s="77">
        <v>0</v>
      </c>
      <c r="Q911" s="57">
        <v>1</v>
      </c>
      <c r="R911" s="42">
        <v>2</v>
      </c>
      <c r="S911" s="69" t="str">
        <f>_xlfn.IFNA(IF(VLOOKUP(tabPontoPed[[#This Row],[CÓDIGO]],tabExcluirDoEstoque[#Data],1,FALSE),"sim",""),"")</f>
        <v/>
      </c>
      <c r="T911" s="43">
        <f>IF(AND(tabPontoPed[[#This Row],[MENSAL]]&gt;0,tabPontoPed[[#This Row],[CÁLCULO]]&gt;0), ABS( tabPontoPed[[#This Row],[MENSAL]] - tabPontoPed[[#This Row],[CÁLCULO]] ) / tabPontoPed[[#This Row],[MENSAL]], -1 )</f>
        <v>-1</v>
      </c>
      <c r="U911" s="58">
        <v>22</v>
      </c>
      <c r="V911" s="35">
        <f>IF(AND(tabPontoPed[[#This Row],[MENSAL]]&gt;0,tabPontoPed[[#This Row],[CÁLCULO]]&gt;0), IF( tabPontoPed[[#This Row],[MENSAL]] - tabPontoPed[[#This Row],[CÁLCULO]] &lt; 0, -1, IF( tabPontoPed[[#This Row],[MENSAL]] - tabPontoPed[[#This Row],[CÁLCULO]] &gt; 0, 1, -8)), -9 )</f>
        <v>-9</v>
      </c>
      <c r="W911" s="35"/>
      <c r="X911" s="49" t="s">
        <v>1564</v>
      </c>
      <c r="Y911" s="51">
        <v>44391.599108796298</v>
      </c>
      <c r="Z911" s="72">
        <f>tabPontoPed[CÁLC_4M] - tabPontoPed[CÁLCULO]</f>
        <v>-1</v>
      </c>
      <c r="AA911" s="79" t="str">
        <f>IF(tabPontoPed[MENSAL]-tabPontoPed[ATA MENSAL] = 0,"sim","")</f>
        <v>sim</v>
      </c>
      <c r="AB911" s="79" t="s">
        <v>1614</v>
      </c>
      <c r="AC911" s="47" t="str">
        <f t="shared" si="14"/>
        <v>*</v>
      </c>
    </row>
    <row r="912" spans="1:29" x14ac:dyDescent="0.25">
      <c r="A912" s="36">
        <v>118246</v>
      </c>
      <c r="B912" s="68" t="s">
        <v>1000</v>
      </c>
      <c r="C912" s="33" t="s">
        <v>1317</v>
      </c>
      <c r="D912" s="32">
        <v>89</v>
      </c>
      <c r="E912" s="37">
        <v>12</v>
      </c>
      <c r="F912" s="38" t="str">
        <f>VLOOKUP(tabPontoPed[[#This Row],[GRUPO]],tabGrupos[#Data],2,FALSE)</f>
        <v>PEC.P/ VEICULO DE USO ESPECIAL E BATERIASROLAMENTO</v>
      </c>
      <c r="G912" s="32" t="str">
        <f>VLOOKUP(tabPontoPed[[#This Row],[GRUPO]],tabGrupos[#Data],3,FALSE)</f>
        <v>MFR</v>
      </c>
      <c r="H912" s="33" t="s">
        <v>1311</v>
      </c>
      <c r="I912" s="80">
        <v>4</v>
      </c>
      <c r="J912" s="39">
        <v>2</v>
      </c>
      <c r="K912" s="41">
        <f>tabPontoPed[[#This Row],[QTDMÊS]] * tabPontoPed[[#This Row],[MENSAL]]</f>
        <v>8</v>
      </c>
      <c r="L912" s="83"/>
      <c r="M912" s="81"/>
      <c r="N912" s="34" t="s">
        <v>1009</v>
      </c>
      <c r="O912" s="76"/>
      <c r="P912" s="77">
        <v>0</v>
      </c>
      <c r="Q912" s="57">
        <v>0</v>
      </c>
      <c r="R912" s="42">
        <v>0</v>
      </c>
      <c r="S912" s="69" t="str">
        <f>_xlfn.IFNA(IF(VLOOKUP(tabPontoPed[[#This Row],[CÓDIGO]],tabExcluirDoEstoque[#Data],1,FALSE),"sim",""),"")</f>
        <v/>
      </c>
      <c r="T912" s="43">
        <f>IF(AND(tabPontoPed[[#This Row],[MENSAL]]&gt;0,tabPontoPed[[#This Row],[CÁLCULO]]&gt;0), ABS( tabPontoPed[[#This Row],[MENSAL]] - tabPontoPed[[#This Row],[CÁLCULO]] ) / tabPontoPed[[#This Row],[MENSAL]], -1 )</f>
        <v>-1</v>
      </c>
      <c r="U912" s="58">
        <v>0</v>
      </c>
      <c r="V912" s="35">
        <f>IF(AND(tabPontoPed[[#This Row],[MENSAL]]&gt;0,tabPontoPed[[#This Row],[CÁLCULO]]&gt;0), IF( tabPontoPed[[#This Row],[MENSAL]] - tabPontoPed[[#This Row],[CÁLCULO]] &lt; 0, -1, IF( tabPontoPed[[#This Row],[MENSAL]] - tabPontoPed[[#This Row],[CÁLCULO]] &gt; 0, 1, -8)), -9 )</f>
        <v>-9</v>
      </c>
      <c r="W912" s="35"/>
      <c r="X912" s="49" t="s">
        <v>1564</v>
      </c>
      <c r="Y912" s="51">
        <v>44391.599108796298</v>
      </c>
      <c r="Z912" s="72">
        <f>tabPontoPed[CÁLC_4M] - tabPontoPed[CÁLCULO]</f>
        <v>0</v>
      </c>
      <c r="AA912" s="79" t="str">
        <f>IF(tabPontoPed[MENSAL]-tabPontoPed[ATA MENSAL] = 0,"sim","")</f>
        <v/>
      </c>
      <c r="AB912" s="79"/>
      <c r="AC912" s="47" t="str">
        <f t="shared" si="14"/>
        <v>*</v>
      </c>
    </row>
    <row r="913" spans="1:29" x14ac:dyDescent="0.25">
      <c r="A913" s="36">
        <v>118244</v>
      </c>
      <c r="B913" s="68" t="s">
        <v>998</v>
      </c>
      <c r="C913" s="33" t="s">
        <v>1317</v>
      </c>
      <c r="D913" s="32">
        <v>89</v>
      </c>
      <c r="E913" s="37">
        <v>12</v>
      </c>
      <c r="F913" s="38" t="str">
        <f>VLOOKUP(tabPontoPed[[#This Row],[GRUPO]],tabGrupos[#Data],2,FALSE)</f>
        <v>PEC.P/ VEICULO DE USO ESPECIAL E BATERIASROLAMENTO</v>
      </c>
      <c r="G913" s="32" t="str">
        <f>VLOOKUP(tabPontoPed[[#This Row],[GRUPO]],tabGrupos[#Data],3,FALSE)</f>
        <v>MFR</v>
      </c>
      <c r="H913" s="33" t="s">
        <v>1311</v>
      </c>
      <c r="I913" s="80">
        <v>4</v>
      </c>
      <c r="J913" s="39">
        <v>0</v>
      </c>
      <c r="K913" s="41">
        <f>tabPontoPed[[#This Row],[QTDMÊS]] * tabPontoPed[[#This Row],[MENSAL]]</f>
        <v>0</v>
      </c>
      <c r="L913" s="83"/>
      <c r="M913" s="81"/>
      <c r="N913" s="34" t="s">
        <v>1009</v>
      </c>
      <c r="O913" s="76"/>
      <c r="P913" s="77">
        <v>0</v>
      </c>
      <c r="Q913" s="57">
        <v>0</v>
      </c>
      <c r="R913" s="42">
        <v>0</v>
      </c>
      <c r="S913" s="69" t="str">
        <f>_xlfn.IFNA(IF(VLOOKUP(tabPontoPed[[#This Row],[CÓDIGO]],tabExcluirDoEstoque[#Data],1,FALSE),"sim",""),"")</f>
        <v/>
      </c>
      <c r="T913" s="43">
        <f>IF(AND(tabPontoPed[[#This Row],[MENSAL]]&gt;0,tabPontoPed[[#This Row],[CÁLCULO]]&gt;0), ABS( tabPontoPed[[#This Row],[MENSAL]] - tabPontoPed[[#This Row],[CÁLCULO]] ) / tabPontoPed[[#This Row],[MENSAL]], -1 )</f>
        <v>-1</v>
      </c>
      <c r="U913" s="58">
        <v>0</v>
      </c>
      <c r="V913" s="35">
        <f>IF(AND(tabPontoPed[[#This Row],[MENSAL]]&gt;0,tabPontoPed[[#This Row],[CÁLCULO]]&gt;0), IF( tabPontoPed[[#This Row],[MENSAL]] - tabPontoPed[[#This Row],[CÁLCULO]] &lt; 0, -1, IF( tabPontoPed[[#This Row],[MENSAL]] - tabPontoPed[[#This Row],[CÁLCULO]] &gt; 0, 1, -8)), -9 )</f>
        <v>-9</v>
      </c>
      <c r="W913" s="35"/>
      <c r="X913" s="49" t="s">
        <v>1564</v>
      </c>
      <c r="Y913" s="51">
        <v>44391.599108796298</v>
      </c>
      <c r="Z913" s="72">
        <f>tabPontoPed[CÁLC_4M] - tabPontoPed[CÁLCULO]</f>
        <v>0</v>
      </c>
      <c r="AA913" s="79" t="str">
        <f>IF(tabPontoPed[MENSAL]-tabPontoPed[ATA MENSAL] = 0,"sim","")</f>
        <v>sim</v>
      </c>
      <c r="AB913" s="79" t="s">
        <v>1614</v>
      </c>
      <c r="AC913" s="47" t="str">
        <f t="shared" si="14"/>
        <v>*</v>
      </c>
    </row>
    <row r="914" spans="1:29" x14ac:dyDescent="0.25">
      <c r="A914" s="36">
        <v>118245</v>
      </c>
      <c r="B914" s="68" t="s">
        <v>999</v>
      </c>
      <c r="C914" s="33" t="s">
        <v>1317</v>
      </c>
      <c r="D914" s="32">
        <v>89</v>
      </c>
      <c r="E914" s="37">
        <v>12</v>
      </c>
      <c r="F914" s="38" t="str">
        <f>VLOOKUP(tabPontoPed[[#This Row],[GRUPO]],tabGrupos[#Data],2,FALSE)</f>
        <v>PEC.P/ VEICULO DE USO ESPECIAL E BATERIASROLAMENTO</v>
      </c>
      <c r="G914" s="32" t="str">
        <f>VLOOKUP(tabPontoPed[[#This Row],[GRUPO]],tabGrupos[#Data],3,FALSE)</f>
        <v>MFR</v>
      </c>
      <c r="H914" s="33" t="s">
        <v>1311</v>
      </c>
      <c r="I914" s="80">
        <v>4</v>
      </c>
      <c r="J914" s="39"/>
      <c r="K914" s="41">
        <f>tabPontoPed[[#This Row],[QTDMÊS]] * tabPontoPed[[#This Row],[MENSAL]]</f>
        <v>0</v>
      </c>
      <c r="L914" s="83"/>
      <c r="M914" s="81"/>
      <c r="N914" s="34" t="s">
        <v>1009</v>
      </c>
      <c r="O914" s="76"/>
      <c r="P914" s="77">
        <v>0</v>
      </c>
      <c r="Q914" s="57">
        <v>0</v>
      </c>
      <c r="R914" s="42">
        <v>0</v>
      </c>
      <c r="S914" s="69" t="str">
        <f>_xlfn.IFNA(IF(VLOOKUP(tabPontoPed[[#This Row],[CÓDIGO]],tabExcluirDoEstoque[#Data],1,FALSE),"sim",""),"")</f>
        <v/>
      </c>
      <c r="T914" s="43">
        <f>IF(AND(tabPontoPed[[#This Row],[MENSAL]]&gt;0,tabPontoPed[[#This Row],[CÁLCULO]]&gt;0), ABS( tabPontoPed[[#This Row],[MENSAL]] - tabPontoPed[[#This Row],[CÁLCULO]] ) / tabPontoPed[[#This Row],[MENSAL]], -1 )</f>
        <v>-1</v>
      </c>
      <c r="U914" s="58">
        <v>0</v>
      </c>
      <c r="V914" s="35">
        <f>IF(AND(tabPontoPed[[#This Row],[MENSAL]]&gt;0,tabPontoPed[[#This Row],[CÁLCULO]]&gt;0), IF( tabPontoPed[[#This Row],[MENSAL]] - tabPontoPed[[#This Row],[CÁLCULO]] &lt; 0, -1, IF( tabPontoPed[[#This Row],[MENSAL]] - tabPontoPed[[#This Row],[CÁLCULO]] &gt; 0, 1, -8)), -9 )</f>
        <v>-9</v>
      </c>
      <c r="W914" s="35"/>
      <c r="X914" s="49" t="s">
        <v>1564</v>
      </c>
      <c r="Y914" s="51">
        <v>44391.599108796298</v>
      </c>
      <c r="Z914" s="72">
        <f>tabPontoPed[CÁLC_4M] - tabPontoPed[CÁLCULO]</f>
        <v>0</v>
      </c>
      <c r="AA914" s="79" t="str">
        <f>IF(tabPontoPed[MENSAL]-tabPontoPed[ATA MENSAL] = 0,"sim","")</f>
        <v>sim</v>
      </c>
      <c r="AB914" s="79" t="s">
        <v>1614</v>
      </c>
      <c r="AC914" s="47" t="str">
        <f t="shared" si="14"/>
        <v>*</v>
      </c>
    </row>
    <row r="915" spans="1:29" x14ac:dyDescent="0.25">
      <c r="A915" s="36">
        <v>27761</v>
      </c>
      <c r="B915" s="68" t="s">
        <v>720</v>
      </c>
      <c r="C915" s="33" t="s">
        <v>1317</v>
      </c>
      <c r="D915" s="32">
        <v>61</v>
      </c>
      <c r="E915" s="37">
        <v>2</v>
      </c>
      <c r="F915" s="38" t="str">
        <f>VLOOKUP(tabPontoPed[[#This Row],[GRUPO]],tabGrupos[#Data],2,FALSE)</f>
        <v>MATERIAL HIDRAULICO, CANOS, TUBOS, MANGUEIRAS, CONEXOES E ACESS.</v>
      </c>
      <c r="G915" s="32" t="str">
        <f>VLOOKUP(tabPontoPed[[#This Row],[GRUPO]],tabGrupos[#Data],3,FALSE)</f>
        <v>MHI</v>
      </c>
      <c r="H915" s="33" t="s">
        <v>1311</v>
      </c>
      <c r="I915" s="80">
        <v>4</v>
      </c>
      <c r="J915" s="39"/>
      <c r="K915" s="41">
        <f>tabPontoPed[[#This Row],[QTDMÊS]] * tabPontoPed[[#This Row],[MENSAL]]</f>
        <v>0</v>
      </c>
      <c r="L915" s="83"/>
      <c r="M915" s="81"/>
      <c r="N915" s="34" t="s">
        <v>1009</v>
      </c>
      <c r="O915" s="76"/>
      <c r="P915" s="77">
        <v>0</v>
      </c>
      <c r="Q915" s="57">
        <v>1</v>
      </c>
      <c r="R915" s="42">
        <v>1</v>
      </c>
      <c r="S915" s="69" t="str">
        <f>_xlfn.IFNA(IF(VLOOKUP(tabPontoPed[[#This Row],[CÓDIGO]],tabExcluirDoEstoque[#Data],1,FALSE),"sim",""),"")</f>
        <v/>
      </c>
      <c r="T915" s="43">
        <f>IF(AND(tabPontoPed[[#This Row],[MENSAL]]&gt;0,tabPontoPed[[#This Row],[CÁLCULO]]&gt;0), ABS( tabPontoPed[[#This Row],[MENSAL]] - tabPontoPed[[#This Row],[CÁLCULO]] ) / tabPontoPed[[#This Row],[MENSAL]], -1 )</f>
        <v>-1</v>
      </c>
      <c r="U915" s="58">
        <v>6</v>
      </c>
      <c r="V915" s="35">
        <f>IF(AND(tabPontoPed[[#This Row],[MENSAL]]&gt;0,tabPontoPed[[#This Row],[CÁLCULO]]&gt;0), IF( tabPontoPed[[#This Row],[MENSAL]] - tabPontoPed[[#This Row],[CÁLCULO]] &lt; 0, -1, IF( tabPontoPed[[#This Row],[MENSAL]] - tabPontoPed[[#This Row],[CÁLCULO]] &gt; 0, 1, -8)), -9 )</f>
        <v>-9</v>
      </c>
      <c r="W915" s="35"/>
      <c r="X915" s="49" t="s">
        <v>1564</v>
      </c>
      <c r="Y915" s="51">
        <v>44391.599108796298</v>
      </c>
      <c r="Z915" s="72">
        <f>tabPontoPed[CÁLC_4M] - tabPontoPed[CÁLCULO]</f>
        <v>0</v>
      </c>
      <c r="AA915" s="79" t="str">
        <f>IF(tabPontoPed[MENSAL]-tabPontoPed[ATA MENSAL] = 0,"sim","")</f>
        <v>sim</v>
      </c>
      <c r="AB915" s="79" t="s">
        <v>1614</v>
      </c>
      <c r="AC915" s="47" t="str">
        <f t="shared" si="14"/>
        <v>*</v>
      </c>
    </row>
    <row r="916" spans="1:29" x14ac:dyDescent="0.25">
      <c r="A916" s="36">
        <v>28181</v>
      </c>
      <c r="B916" s="68" t="s">
        <v>747</v>
      </c>
      <c r="C916" s="33" t="s">
        <v>1317</v>
      </c>
      <c r="D916" s="32">
        <v>61</v>
      </c>
      <c r="E916" s="37">
        <v>8</v>
      </c>
      <c r="F916" s="38" t="str">
        <f>VLOOKUP(tabPontoPed[[#This Row],[GRUPO]],tabGrupos[#Data],2,FALSE)</f>
        <v>MATERIAL HIDRAULICO, CANOS, TUBOS, MANGUEIRAS, CONEXOES E ACESS.</v>
      </c>
      <c r="G916" s="32" t="str">
        <f>VLOOKUP(tabPontoPed[[#This Row],[GRUPO]],tabGrupos[#Data],3,FALSE)</f>
        <v>MHI</v>
      </c>
      <c r="H916" s="33" t="s">
        <v>1311</v>
      </c>
      <c r="I916" s="80">
        <v>4</v>
      </c>
      <c r="J916" s="39">
        <v>5</v>
      </c>
      <c r="K916" s="41">
        <f>tabPontoPed[[#This Row],[QTDMÊS]] * tabPontoPed[[#This Row],[MENSAL]]</f>
        <v>20</v>
      </c>
      <c r="L916" s="83"/>
      <c r="M916" s="81"/>
      <c r="N916" s="34" t="s">
        <v>1009</v>
      </c>
      <c r="O916" s="76" t="s">
        <v>1690</v>
      </c>
      <c r="P916" s="77">
        <v>0</v>
      </c>
      <c r="Q916" s="57">
        <v>0</v>
      </c>
      <c r="R916" s="42">
        <v>0</v>
      </c>
      <c r="S916" s="69" t="str">
        <f>_xlfn.IFNA(IF(VLOOKUP(tabPontoPed[[#This Row],[CÓDIGO]],tabExcluirDoEstoque[#Data],1,FALSE),"sim",""),"")</f>
        <v/>
      </c>
      <c r="T916" s="43">
        <f>IF(AND(tabPontoPed[[#This Row],[MENSAL]]&gt;0,tabPontoPed[[#This Row],[CÁLCULO]]&gt;0), ABS( tabPontoPed[[#This Row],[MENSAL]] - tabPontoPed[[#This Row],[CÁLCULO]] ) / tabPontoPed[[#This Row],[MENSAL]], -1 )</f>
        <v>-1</v>
      </c>
      <c r="U916" s="58">
        <v>0</v>
      </c>
      <c r="V916" s="35">
        <f>IF(AND(tabPontoPed[[#This Row],[MENSAL]]&gt;0,tabPontoPed[[#This Row],[CÁLCULO]]&gt;0), IF( tabPontoPed[[#This Row],[MENSAL]] - tabPontoPed[[#This Row],[CÁLCULO]] &lt; 0, -1, IF( tabPontoPed[[#This Row],[MENSAL]] - tabPontoPed[[#This Row],[CÁLCULO]] &gt; 0, 1, -8)), -9 )</f>
        <v>-9</v>
      </c>
      <c r="W916" s="35"/>
      <c r="X916" s="49" t="s">
        <v>1564</v>
      </c>
      <c r="Y916" s="51">
        <v>44391.599108796298</v>
      </c>
      <c r="Z916" s="72">
        <f>tabPontoPed[CÁLC_4M] - tabPontoPed[CÁLCULO]</f>
        <v>0</v>
      </c>
      <c r="AA916" s="79" t="str">
        <f>IF(tabPontoPed[MENSAL]-tabPontoPed[ATA MENSAL] = 0,"sim","")</f>
        <v/>
      </c>
      <c r="AB916" s="79"/>
      <c r="AC916" s="47" t="str">
        <f t="shared" si="14"/>
        <v>*</v>
      </c>
    </row>
    <row r="917" spans="1:29" x14ac:dyDescent="0.25">
      <c r="A917" s="36">
        <v>102776</v>
      </c>
      <c r="B917" s="68" t="s">
        <v>770</v>
      </c>
      <c r="C917" s="33" t="s">
        <v>1317</v>
      </c>
      <c r="D917" s="32">
        <v>61</v>
      </c>
      <c r="E917" s="37">
        <v>8</v>
      </c>
      <c r="F917" s="38" t="str">
        <f>VLOOKUP(tabPontoPed[[#This Row],[GRUPO]],tabGrupos[#Data],2,FALSE)</f>
        <v>MATERIAL HIDRAULICO, CANOS, TUBOS, MANGUEIRAS, CONEXOES E ACESS.</v>
      </c>
      <c r="G917" s="32" t="str">
        <f>VLOOKUP(tabPontoPed[[#This Row],[GRUPO]],tabGrupos[#Data],3,FALSE)</f>
        <v>MHI</v>
      </c>
      <c r="H917" s="33" t="s">
        <v>1311</v>
      </c>
      <c r="I917" s="80">
        <v>4</v>
      </c>
      <c r="J917" s="39">
        <v>0</v>
      </c>
      <c r="K917" s="41">
        <f>tabPontoPed[[#This Row],[QTDMÊS]] * tabPontoPed[[#This Row],[MENSAL]]</f>
        <v>0</v>
      </c>
      <c r="L917" s="83"/>
      <c r="M917" s="81"/>
      <c r="N917" s="34" t="s">
        <v>1009</v>
      </c>
      <c r="O917" s="76"/>
      <c r="P917" s="77">
        <v>0</v>
      </c>
      <c r="Q917" s="57">
        <v>0</v>
      </c>
      <c r="R917" s="42">
        <v>1</v>
      </c>
      <c r="S917" s="69" t="str">
        <f>_xlfn.IFNA(IF(VLOOKUP(tabPontoPed[[#This Row],[CÓDIGO]],tabExcluirDoEstoque[#Data],1,FALSE),"sim",""),"")</f>
        <v/>
      </c>
      <c r="T917" s="43">
        <f>IF(AND(tabPontoPed[[#This Row],[MENSAL]]&gt;0,tabPontoPed[[#This Row],[CÁLCULO]]&gt;0), ABS( tabPontoPed[[#This Row],[MENSAL]] - tabPontoPed[[#This Row],[CÁLCULO]] ) / tabPontoPed[[#This Row],[MENSAL]], -1 )</f>
        <v>-1</v>
      </c>
      <c r="U917" s="58">
        <v>2</v>
      </c>
      <c r="V917" s="35">
        <f>IF(AND(tabPontoPed[[#This Row],[MENSAL]]&gt;0,tabPontoPed[[#This Row],[CÁLCULO]]&gt;0), IF( tabPontoPed[[#This Row],[MENSAL]] - tabPontoPed[[#This Row],[CÁLCULO]] &lt; 0, -1, IF( tabPontoPed[[#This Row],[MENSAL]] - tabPontoPed[[#This Row],[CÁLCULO]] &gt; 0, 1, -8)), -9 )</f>
        <v>-9</v>
      </c>
      <c r="W917" s="35"/>
      <c r="X917" s="49" t="s">
        <v>1564</v>
      </c>
      <c r="Y917" s="51">
        <v>44391.599108796298</v>
      </c>
      <c r="Z917" s="72">
        <f>tabPontoPed[CÁLC_4M] - tabPontoPed[CÁLCULO]</f>
        <v>-1</v>
      </c>
      <c r="AA917" s="79" t="str">
        <f>IF(tabPontoPed[MENSAL]-tabPontoPed[ATA MENSAL] = 0,"sim","")</f>
        <v>sim</v>
      </c>
      <c r="AB917" s="79" t="s">
        <v>1614</v>
      </c>
      <c r="AC917" s="47" t="str">
        <f t="shared" si="14"/>
        <v>*</v>
      </c>
    </row>
    <row r="918" spans="1:29" x14ac:dyDescent="0.25">
      <c r="A918" s="36">
        <v>40772</v>
      </c>
      <c r="B918" s="68" t="s">
        <v>753</v>
      </c>
      <c r="C918" s="33" t="s">
        <v>1317</v>
      </c>
      <c r="D918" s="32">
        <v>61</v>
      </c>
      <c r="E918" s="37">
        <v>8</v>
      </c>
      <c r="F918" s="38" t="str">
        <f>VLOOKUP(tabPontoPed[[#This Row],[GRUPO]],tabGrupos[#Data],2,FALSE)</f>
        <v>MATERIAL HIDRAULICO, CANOS, TUBOS, MANGUEIRAS, CONEXOES E ACESS.</v>
      </c>
      <c r="G918" s="32" t="str">
        <f>VLOOKUP(tabPontoPed[[#This Row],[GRUPO]],tabGrupos[#Data],3,FALSE)</f>
        <v>MHI</v>
      </c>
      <c r="H918" s="33" t="s">
        <v>1311</v>
      </c>
      <c r="I918" s="80">
        <v>4</v>
      </c>
      <c r="J918" s="39"/>
      <c r="K918" s="41">
        <f>tabPontoPed[[#This Row],[QTDMÊS]] * tabPontoPed[[#This Row],[MENSAL]]</f>
        <v>0</v>
      </c>
      <c r="L918" s="83"/>
      <c r="M918" s="81"/>
      <c r="N918" s="34" t="s">
        <v>1009</v>
      </c>
      <c r="O918" s="76"/>
      <c r="P918" s="77">
        <v>0</v>
      </c>
      <c r="Q918" s="57">
        <v>0</v>
      </c>
      <c r="R918" s="42">
        <v>1</v>
      </c>
      <c r="S918" s="69" t="str">
        <f>_xlfn.IFNA(IF(VLOOKUP(tabPontoPed[[#This Row],[CÓDIGO]],tabExcluirDoEstoque[#Data],1,FALSE),"sim",""),"")</f>
        <v/>
      </c>
      <c r="T918" s="43">
        <f>IF(AND(tabPontoPed[[#This Row],[MENSAL]]&gt;0,tabPontoPed[[#This Row],[CÁLCULO]]&gt;0), ABS( tabPontoPed[[#This Row],[MENSAL]] - tabPontoPed[[#This Row],[CÁLCULO]] ) / tabPontoPed[[#This Row],[MENSAL]], -1 )</f>
        <v>-1</v>
      </c>
      <c r="U918" s="58">
        <v>3</v>
      </c>
      <c r="V918" s="35">
        <f>IF(AND(tabPontoPed[[#This Row],[MENSAL]]&gt;0,tabPontoPed[[#This Row],[CÁLCULO]]&gt;0), IF( tabPontoPed[[#This Row],[MENSAL]] - tabPontoPed[[#This Row],[CÁLCULO]] &lt; 0, -1, IF( tabPontoPed[[#This Row],[MENSAL]] - tabPontoPed[[#This Row],[CÁLCULO]] &gt; 0, 1, -8)), -9 )</f>
        <v>-9</v>
      </c>
      <c r="W918" s="35"/>
      <c r="X918" s="49" t="s">
        <v>1564</v>
      </c>
      <c r="Y918" s="51">
        <v>44391.599108796298</v>
      </c>
      <c r="Z918" s="72">
        <f>tabPontoPed[CÁLC_4M] - tabPontoPed[CÁLCULO]</f>
        <v>-1</v>
      </c>
      <c r="AA918" s="79" t="str">
        <f>IF(tabPontoPed[MENSAL]-tabPontoPed[ATA MENSAL] = 0,"sim","")</f>
        <v>sim</v>
      </c>
      <c r="AB918" s="79" t="s">
        <v>1614</v>
      </c>
      <c r="AC918" s="47" t="str">
        <f t="shared" si="14"/>
        <v>*</v>
      </c>
    </row>
    <row r="919" spans="1:29" x14ac:dyDescent="0.25">
      <c r="A919" s="36">
        <v>13102</v>
      </c>
      <c r="B919" s="68" t="s">
        <v>742</v>
      </c>
      <c r="C919" s="33" t="s">
        <v>1317</v>
      </c>
      <c r="D919" s="32">
        <v>61</v>
      </c>
      <c r="E919" s="37">
        <v>8</v>
      </c>
      <c r="F919" s="38" t="str">
        <f>VLOOKUP(tabPontoPed[[#This Row],[GRUPO]],tabGrupos[#Data],2,FALSE)</f>
        <v>MATERIAL HIDRAULICO, CANOS, TUBOS, MANGUEIRAS, CONEXOES E ACESS.</v>
      </c>
      <c r="G919" s="32" t="str">
        <f>VLOOKUP(tabPontoPed[[#This Row],[GRUPO]],tabGrupos[#Data],3,FALSE)</f>
        <v>MHI</v>
      </c>
      <c r="H919" s="33" t="s">
        <v>1311</v>
      </c>
      <c r="I919" s="80">
        <v>4</v>
      </c>
      <c r="J919" s="39">
        <v>1</v>
      </c>
      <c r="K919" s="41">
        <f>tabPontoPed[[#This Row],[QTDMÊS]] * tabPontoPed[[#This Row],[MENSAL]]</f>
        <v>4</v>
      </c>
      <c r="L919" s="83"/>
      <c r="M919" s="81"/>
      <c r="N919" s="34" t="s">
        <v>1009</v>
      </c>
      <c r="O919" s="76"/>
      <c r="P919" s="77">
        <v>0</v>
      </c>
      <c r="Q919" s="57">
        <v>0</v>
      </c>
      <c r="R919" s="42">
        <v>0</v>
      </c>
      <c r="S919" s="69" t="str">
        <f>_xlfn.IFNA(IF(VLOOKUP(tabPontoPed[[#This Row],[CÓDIGO]],tabExcluirDoEstoque[#Data],1,FALSE),"sim",""),"")</f>
        <v/>
      </c>
      <c r="T919" s="43">
        <f>IF(AND(tabPontoPed[[#This Row],[MENSAL]]&gt;0,tabPontoPed[[#This Row],[CÁLCULO]]&gt;0), ABS( tabPontoPed[[#This Row],[MENSAL]] - tabPontoPed[[#This Row],[CÁLCULO]] ) / tabPontoPed[[#This Row],[MENSAL]], -1 )</f>
        <v>-1</v>
      </c>
      <c r="U919" s="58">
        <v>0</v>
      </c>
      <c r="V919" s="35">
        <f>IF(AND(tabPontoPed[[#This Row],[MENSAL]]&gt;0,tabPontoPed[[#This Row],[CÁLCULO]]&gt;0), IF( tabPontoPed[[#This Row],[MENSAL]] - tabPontoPed[[#This Row],[CÁLCULO]] &lt; 0, -1, IF( tabPontoPed[[#This Row],[MENSAL]] - tabPontoPed[[#This Row],[CÁLCULO]] &gt; 0, 1, -8)), -9 )</f>
        <v>-9</v>
      </c>
      <c r="W919" s="35"/>
      <c r="X919" s="48" t="s">
        <v>1564</v>
      </c>
      <c r="Y919" s="53">
        <v>44391.599108796298</v>
      </c>
      <c r="Z919" s="72">
        <f>tabPontoPed[CÁLC_4M] - tabPontoPed[CÁLCULO]</f>
        <v>0</v>
      </c>
      <c r="AA919" s="79" t="str">
        <f>IF(tabPontoPed[MENSAL]-tabPontoPed[ATA MENSAL] = 0,"sim","")</f>
        <v/>
      </c>
      <c r="AB919" s="79"/>
      <c r="AC919" s="47" t="str">
        <f t="shared" si="14"/>
        <v>*</v>
      </c>
    </row>
    <row r="920" spans="1:29" x14ac:dyDescent="0.25">
      <c r="A920" s="36">
        <v>60830</v>
      </c>
      <c r="B920" s="68" t="s">
        <v>759</v>
      </c>
      <c r="C920" s="33" t="s">
        <v>1317</v>
      </c>
      <c r="D920" s="32">
        <v>61</v>
      </c>
      <c r="E920" s="37">
        <v>8</v>
      </c>
      <c r="F920" s="38" t="str">
        <f>VLOOKUP(tabPontoPed[[#This Row],[GRUPO]],tabGrupos[#Data],2,FALSE)</f>
        <v>MATERIAL HIDRAULICO, CANOS, TUBOS, MANGUEIRAS, CONEXOES E ACESS.</v>
      </c>
      <c r="G920" s="32" t="str">
        <f>VLOOKUP(tabPontoPed[[#This Row],[GRUPO]],tabGrupos[#Data],3,FALSE)</f>
        <v>MHI</v>
      </c>
      <c r="H920" s="33" t="s">
        <v>1311</v>
      </c>
      <c r="I920" s="80">
        <v>4</v>
      </c>
      <c r="J920" s="39">
        <v>5</v>
      </c>
      <c r="K920" s="41">
        <f>tabPontoPed[[#This Row],[QTDMÊS]] * tabPontoPed[[#This Row],[MENSAL]]</f>
        <v>20</v>
      </c>
      <c r="L920" s="83"/>
      <c r="M920" s="81"/>
      <c r="N920" s="34" t="s">
        <v>1009</v>
      </c>
      <c r="O920" s="76" t="s">
        <v>1679</v>
      </c>
      <c r="P920" s="77">
        <v>0</v>
      </c>
      <c r="Q920" s="57">
        <v>0</v>
      </c>
      <c r="R920" s="42">
        <v>0</v>
      </c>
      <c r="S920" s="69" t="str">
        <f>_xlfn.IFNA(IF(VLOOKUP(tabPontoPed[[#This Row],[CÓDIGO]],tabExcluirDoEstoque[#Data],1,FALSE),"sim",""),"")</f>
        <v/>
      </c>
      <c r="T920" s="43">
        <f>IF(AND(tabPontoPed[[#This Row],[MENSAL]]&gt;0,tabPontoPed[[#This Row],[CÁLCULO]]&gt;0), ABS( tabPontoPed[[#This Row],[MENSAL]] - tabPontoPed[[#This Row],[CÁLCULO]] ) / tabPontoPed[[#This Row],[MENSAL]], -1 )</f>
        <v>-1</v>
      </c>
      <c r="U920" s="58">
        <v>0</v>
      </c>
      <c r="V920" s="35">
        <f>IF(AND(tabPontoPed[[#This Row],[MENSAL]]&gt;0,tabPontoPed[[#This Row],[CÁLCULO]]&gt;0), IF( tabPontoPed[[#This Row],[MENSAL]] - tabPontoPed[[#This Row],[CÁLCULO]] &lt; 0, -1, IF( tabPontoPed[[#This Row],[MENSAL]] - tabPontoPed[[#This Row],[CÁLCULO]] &gt; 0, 1, -8)), -9 )</f>
        <v>-9</v>
      </c>
      <c r="W920" s="35"/>
      <c r="X920" s="49" t="s">
        <v>1564</v>
      </c>
      <c r="Y920" s="51">
        <v>44391.599108796298</v>
      </c>
      <c r="Z920" s="72">
        <f>tabPontoPed[CÁLC_4M] - tabPontoPed[CÁLCULO]</f>
        <v>0</v>
      </c>
      <c r="AA920" s="79" t="str">
        <f>IF(tabPontoPed[MENSAL]-tabPontoPed[ATA MENSAL] = 0,"sim","")</f>
        <v/>
      </c>
      <c r="AB920" s="79"/>
      <c r="AC920" s="47" t="str">
        <f t="shared" si="14"/>
        <v>*</v>
      </c>
    </row>
    <row r="921" spans="1:29" x14ac:dyDescent="0.25">
      <c r="A921" s="36">
        <v>126838</v>
      </c>
      <c r="B921" s="68" t="s">
        <v>820</v>
      </c>
      <c r="C921" s="33" t="s">
        <v>1317</v>
      </c>
      <c r="D921" s="32">
        <v>67</v>
      </c>
      <c r="E921" s="37">
        <v>2</v>
      </c>
      <c r="F921" s="38" t="str">
        <f>VLOOKUP(tabPontoPed[[#This Row],[GRUPO]],tabGrupos[#Data],2,FALSE)</f>
        <v>PARAFUSOS ELEM. VEDACAO UNIAO CONEX . FIXACAO</v>
      </c>
      <c r="G921" s="32" t="str">
        <f>VLOOKUP(tabPontoPed[[#This Row],[GRUPO]],tabGrupos[#Data],3,FALSE)</f>
        <v>MSE</v>
      </c>
      <c r="H921" s="33" t="s">
        <v>1311</v>
      </c>
      <c r="I921" s="80">
        <v>4</v>
      </c>
      <c r="J921" s="39">
        <v>11</v>
      </c>
      <c r="K921" s="41">
        <f>tabPontoPed[[#This Row],[QTDMÊS]] * tabPontoPed[[#This Row],[MENSAL]]</f>
        <v>44</v>
      </c>
      <c r="L921" s="83"/>
      <c r="M921" s="81"/>
      <c r="N921" s="34" t="s">
        <v>1009</v>
      </c>
      <c r="O921" s="76"/>
      <c r="P921" s="77">
        <v>0</v>
      </c>
      <c r="Q921" s="57">
        <v>0</v>
      </c>
      <c r="R921" s="42">
        <v>0</v>
      </c>
      <c r="S921" s="69" t="str">
        <f>_xlfn.IFNA(IF(VLOOKUP(tabPontoPed[[#This Row],[CÓDIGO]],tabExcluirDoEstoque[#Data],1,FALSE),"sim",""),"")</f>
        <v/>
      </c>
      <c r="T921" s="43">
        <f>IF(AND(tabPontoPed[[#This Row],[MENSAL]]&gt;0,tabPontoPed[[#This Row],[CÁLCULO]]&gt;0), ABS( tabPontoPed[[#This Row],[MENSAL]] - tabPontoPed[[#This Row],[CÁLCULO]] ) / tabPontoPed[[#This Row],[MENSAL]], -1 )</f>
        <v>-1</v>
      </c>
      <c r="U921" s="58">
        <v>0</v>
      </c>
      <c r="V921" s="35">
        <f>IF(AND(tabPontoPed[[#This Row],[MENSAL]]&gt;0,tabPontoPed[[#This Row],[CÁLCULO]]&gt;0), IF( tabPontoPed[[#This Row],[MENSAL]] - tabPontoPed[[#This Row],[CÁLCULO]] &lt; 0, -1, IF( tabPontoPed[[#This Row],[MENSAL]] - tabPontoPed[[#This Row],[CÁLCULO]] &gt; 0, 1, -8)), -9 )</f>
        <v>-9</v>
      </c>
      <c r="W921" s="35"/>
      <c r="X921" s="49" t="s">
        <v>1564</v>
      </c>
      <c r="Y921" s="51">
        <v>44391.599108796298</v>
      </c>
      <c r="Z921" s="72">
        <f>tabPontoPed[CÁLC_4M] - tabPontoPed[CÁLCULO]</f>
        <v>0</v>
      </c>
      <c r="AA921" s="79" t="str">
        <f>IF(tabPontoPed[MENSAL]-tabPontoPed[ATA MENSAL] = 0,"sim","")</f>
        <v/>
      </c>
      <c r="AB921" s="79"/>
      <c r="AC921" s="47" t="str">
        <f t="shared" si="14"/>
        <v>*</v>
      </c>
    </row>
    <row r="922" spans="1:29" x14ac:dyDescent="0.25">
      <c r="A922" s="36">
        <v>13021</v>
      </c>
      <c r="B922" s="68" t="s">
        <v>835</v>
      </c>
      <c r="C922" s="33" t="s">
        <v>1317</v>
      </c>
      <c r="D922" s="32">
        <v>67</v>
      </c>
      <c r="E922" s="37">
        <v>6</v>
      </c>
      <c r="F922" s="38" t="str">
        <f>VLOOKUP(tabPontoPed[[#This Row],[GRUPO]],tabGrupos[#Data],2,FALSE)</f>
        <v>PARAFUSOS ELEM. VEDACAO UNIAO CONEX . FIXACAO</v>
      </c>
      <c r="G922" s="32" t="str">
        <f>VLOOKUP(tabPontoPed[[#This Row],[GRUPO]],tabGrupos[#Data],3,FALSE)</f>
        <v>MSE</v>
      </c>
      <c r="H922" s="33" t="s">
        <v>1311</v>
      </c>
      <c r="I922" s="80">
        <v>4</v>
      </c>
      <c r="J922" s="39"/>
      <c r="K922" s="41">
        <f>tabPontoPed[[#This Row],[QTDMÊS]] * tabPontoPed[[#This Row],[MENSAL]]</f>
        <v>0</v>
      </c>
      <c r="L922" s="83"/>
      <c r="M922" s="81"/>
      <c r="N922" s="34" t="s">
        <v>1009</v>
      </c>
      <c r="O922" s="76"/>
      <c r="P922" s="77">
        <v>0</v>
      </c>
      <c r="Q922" s="57">
        <v>0</v>
      </c>
      <c r="R922" s="42">
        <v>0</v>
      </c>
      <c r="S922" s="69" t="str">
        <f>_xlfn.IFNA(IF(VLOOKUP(tabPontoPed[[#This Row],[CÓDIGO]],tabExcluirDoEstoque[#Data],1,FALSE),"sim",""),"")</f>
        <v>sim</v>
      </c>
      <c r="T922" s="43">
        <f>IF(AND(tabPontoPed[[#This Row],[MENSAL]]&gt;0,tabPontoPed[[#This Row],[CÁLCULO]]&gt;0), ABS( tabPontoPed[[#This Row],[MENSAL]] - tabPontoPed[[#This Row],[CÁLCULO]] ) / tabPontoPed[[#This Row],[MENSAL]], -1 )</f>
        <v>-1</v>
      </c>
      <c r="U922" s="58">
        <v>0</v>
      </c>
      <c r="V922" s="35">
        <f>IF(AND(tabPontoPed[[#This Row],[MENSAL]]&gt;0,tabPontoPed[[#This Row],[CÁLCULO]]&gt;0), IF( tabPontoPed[[#This Row],[MENSAL]] - tabPontoPed[[#This Row],[CÁLCULO]] &lt; 0, -1, IF( tabPontoPed[[#This Row],[MENSAL]] - tabPontoPed[[#This Row],[CÁLCULO]] &gt; 0, 1, -8)), -9 )</f>
        <v>-9</v>
      </c>
      <c r="W922" s="35"/>
      <c r="X922" s="49" t="s">
        <v>1564</v>
      </c>
      <c r="Y922" s="51">
        <v>44391.599108796298</v>
      </c>
      <c r="Z922" s="72">
        <f>tabPontoPed[CÁLC_4M] - tabPontoPed[CÁLCULO]</f>
        <v>0</v>
      </c>
      <c r="AA922" s="79" t="str">
        <f>IF(tabPontoPed[MENSAL]-tabPontoPed[ATA MENSAL] = 0,"sim","")</f>
        <v>sim</v>
      </c>
      <c r="AB922" s="79" t="s">
        <v>1614</v>
      </c>
      <c r="AC922" s="47" t="str">
        <f t="shared" si="14"/>
        <v>*</v>
      </c>
    </row>
    <row r="923" spans="1:29" x14ac:dyDescent="0.25">
      <c r="A923" s="36">
        <v>24888</v>
      </c>
      <c r="B923" s="68" t="s">
        <v>842</v>
      </c>
      <c r="C923" s="33" t="s">
        <v>1317</v>
      </c>
      <c r="D923" s="32">
        <v>67</v>
      </c>
      <c r="E923" s="37">
        <v>6</v>
      </c>
      <c r="F923" s="38" t="str">
        <f>VLOOKUP(tabPontoPed[[#This Row],[GRUPO]],tabGrupos[#Data],2,FALSE)</f>
        <v>PARAFUSOS ELEM. VEDACAO UNIAO CONEX . FIXACAO</v>
      </c>
      <c r="G923" s="32" t="str">
        <f>VLOOKUP(tabPontoPed[[#This Row],[GRUPO]],tabGrupos[#Data],3,FALSE)</f>
        <v>MSE</v>
      </c>
      <c r="H923" s="33" t="s">
        <v>1311</v>
      </c>
      <c r="I923" s="80">
        <v>4</v>
      </c>
      <c r="J923" s="39">
        <v>2</v>
      </c>
      <c r="K923" s="41">
        <f>tabPontoPed[[#This Row],[QTDMÊS]] * tabPontoPed[[#This Row],[MENSAL]]</f>
        <v>8</v>
      </c>
      <c r="L923" s="83"/>
      <c r="M923" s="81"/>
      <c r="N923" s="34" t="s">
        <v>1009</v>
      </c>
      <c r="O923" s="76"/>
      <c r="P923" s="77">
        <v>0</v>
      </c>
      <c r="Q923" s="57">
        <v>0</v>
      </c>
      <c r="R923" s="42">
        <v>0</v>
      </c>
      <c r="S923" s="69" t="str">
        <f>_xlfn.IFNA(IF(VLOOKUP(tabPontoPed[[#This Row],[CÓDIGO]],tabExcluirDoEstoque[#Data],1,FALSE),"sim",""),"")</f>
        <v/>
      </c>
      <c r="T923" s="43">
        <f>IF(AND(tabPontoPed[[#This Row],[MENSAL]]&gt;0,tabPontoPed[[#This Row],[CÁLCULO]]&gt;0), ABS( tabPontoPed[[#This Row],[MENSAL]] - tabPontoPed[[#This Row],[CÁLCULO]] ) / tabPontoPed[[#This Row],[MENSAL]], -1 )</f>
        <v>-1</v>
      </c>
      <c r="U923" s="58">
        <v>0</v>
      </c>
      <c r="V923" s="35">
        <f>IF(AND(tabPontoPed[[#This Row],[MENSAL]]&gt;0,tabPontoPed[[#This Row],[CÁLCULO]]&gt;0), IF( tabPontoPed[[#This Row],[MENSAL]] - tabPontoPed[[#This Row],[CÁLCULO]] &lt; 0, -1, IF( tabPontoPed[[#This Row],[MENSAL]] - tabPontoPed[[#This Row],[CÁLCULO]] &gt; 0, 1, -8)), -9 )</f>
        <v>-9</v>
      </c>
      <c r="W923" s="35"/>
      <c r="X923" s="49" t="s">
        <v>1564</v>
      </c>
      <c r="Y923" s="51">
        <v>44391.599108796298</v>
      </c>
      <c r="Z923" s="72">
        <f>tabPontoPed[CÁLC_4M] - tabPontoPed[CÁLCULO]</f>
        <v>0</v>
      </c>
      <c r="AA923" s="79" t="str">
        <f>IF(tabPontoPed[MENSAL]-tabPontoPed[ATA MENSAL] = 0,"sim","")</f>
        <v/>
      </c>
      <c r="AB923" s="79"/>
      <c r="AC923" s="47" t="str">
        <f t="shared" si="14"/>
        <v>*</v>
      </c>
    </row>
    <row r="924" spans="1:29" x14ac:dyDescent="0.25">
      <c r="A924" s="36">
        <v>18337</v>
      </c>
      <c r="B924" s="68" t="s">
        <v>1395</v>
      </c>
      <c r="C924" s="33"/>
      <c r="D924" s="32">
        <v>67</v>
      </c>
      <c r="E924" s="37">
        <v>6</v>
      </c>
      <c r="F924" s="38" t="str">
        <f>VLOOKUP(tabPontoPed[[#This Row],[GRUPO]],tabGrupos[#Data],2,FALSE)</f>
        <v>PARAFUSOS ELEM. VEDACAO UNIAO CONEX . FIXACAO</v>
      </c>
      <c r="G924" s="32" t="str">
        <f>VLOOKUP(tabPontoPed[[#This Row],[GRUPO]],tabGrupos[#Data],3,FALSE)</f>
        <v>MSE</v>
      </c>
      <c r="H924" s="33" t="s">
        <v>1311</v>
      </c>
      <c r="I924" s="80">
        <v>4</v>
      </c>
      <c r="J924" s="40">
        <v>0</v>
      </c>
      <c r="K924" s="41">
        <f>tabPontoPed[[#This Row],[QTDMÊS]] * tabPontoPed[[#This Row],[MENSAL]]</f>
        <v>0</v>
      </c>
      <c r="L924" s="83"/>
      <c r="M924" s="81"/>
      <c r="N924" s="34" t="s">
        <v>1009</v>
      </c>
      <c r="O924" s="76"/>
      <c r="P924" s="77">
        <v>0</v>
      </c>
      <c r="Q924" s="57">
        <v>0</v>
      </c>
      <c r="R924" s="42">
        <v>0</v>
      </c>
      <c r="S924" s="69" t="str">
        <f>_xlfn.IFNA(IF(VLOOKUP(tabPontoPed[[#This Row],[CÓDIGO]],tabExcluirDoEstoque[#Data],1,FALSE),"sim",""),"")</f>
        <v/>
      </c>
      <c r="T924" s="43">
        <f>IF(AND(tabPontoPed[[#This Row],[MENSAL]]&gt;0,tabPontoPed[[#This Row],[CÁLCULO]]&gt;0), ABS( tabPontoPed[[#This Row],[MENSAL]] - tabPontoPed[[#This Row],[CÁLCULO]] ) / tabPontoPed[[#This Row],[MENSAL]], -1 )</f>
        <v>-1</v>
      </c>
      <c r="U924" s="58">
        <v>0</v>
      </c>
      <c r="V924" s="35">
        <f>IF(AND(tabPontoPed[[#This Row],[MENSAL]]&gt;0,tabPontoPed[[#This Row],[CÁLCULO]]&gt;0), IF( tabPontoPed[[#This Row],[MENSAL]] - tabPontoPed[[#This Row],[CÁLCULO]] &lt; 0, -1, IF( tabPontoPed[[#This Row],[MENSAL]] - tabPontoPed[[#This Row],[CÁLCULO]] &gt; 0, 1, -8)), -9 )</f>
        <v>-9</v>
      </c>
      <c r="W924" s="35"/>
      <c r="X924" s="49" t="s">
        <v>1564</v>
      </c>
      <c r="Y924" s="51">
        <v>44391.599108796298</v>
      </c>
      <c r="Z924" s="72">
        <f>tabPontoPed[CÁLC_4M] - tabPontoPed[CÁLCULO]</f>
        <v>0</v>
      </c>
      <c r="AA924" s="79" t="str">
        <f>IF(tabPontoPed[MENSAL]-tabPontoPed[ATA MENSAL] = 0,"sim","")</f>
        <v>sim</v>
      </c>
      <c r="AB924" s="79" t="s">
        <v>1614</v>
      </c>
      <c r="AC924" s="47" t="str">
        <f t="shared" si="14"/>
        <v>*</v>
      </c>
    </row>
    <row r="925" spans="1:29" x14ac:dyDescent="0.25">
      <c r="A925" s="36">
        <v>49858</v>
      </c>
      <c r="B925" s="68" t="s">
        <v>844</v>
      </c>
      <c r="C925" s="33" t="s">
        <v>1317</v>
      </c>
      <c r="D925" s="32">
        <v>67</v>
      </c>
      <c r="E925" s="37">
        <v>6</v>
      </c>
      <c r="F925" s="38" t="str">
        <f>VLOOKUP(tabPontoPed[[#This Row],[GRUPO]],tabGrupos[#Data],2,FALSE)</f>
        <v>PARAFUSOS ELEM. VEDACAO UNIAO CONEX . FIXACAO</v>
      </c>
      <c r="G925" s="32" t="str">
        <f>VLOOKUP(tabPontoPed[[#This Row],[GRUPO]],tabGrupos[#Data],3,FALSE)</f>
        <v>MSE</v>
      </c>
      <c r="H925" s="33" t="s">
        <v>1311</v>
      </c>
      <c r="I925" s="80">
        <v>4</v>
      </c>
      <c r="J925" s="39">
        <v>1</v>
      </c>
      <c r="K925" s="41">
        <f>tabPontoPed[[#This Row],[QTDMÊS]] * tabPontoPed[[#This Row],[MENSAL]]</f>
        <v>4</v>
      </c>
      <c r="L925" s="83"/>
      <c r="M925" s="81"/>
      <c r="N925" s="34" t="s">
        <v>1009</v>
      </c>
      <c r="O925" s="76"/>
      <c r="P925" s="77">
        <v>0</v>
      </c>
      <c r="Q925" s="57">
        <v>0</v>
      </c>
      <c r="R925" s="42">
        <v>0</v>
      </c>
      <c r="S925" s="69" t="str">
        <f>_xlfn.IFNA(IF(VLOOKUP(tabPontoPed[[#This Row],[CÓDIGO]],tabExcluirDoEstoque[#Data],1,FALSE),"sim",""),"")</f>
        <v/>
      </c>
      <c r="T925" s="43">
        <f>IF(AND(tabPontoPed[[#This Row],[MENSAL]]&gt;0,tabPontoPed[[#This Row],[CÁLCULO]]&gt;0), ABS( tabPontoPed[[#This Row],[MENSAL]] - tabPontoPed[[#This Row],[CÁLCULO]] ) / tabPontoPed[[#This Row],[MENSAL]], -1 )</f>
        <v>-1</v>
      </c>
      <c r="U925" s="58">
        <v>0</v>
      </c>
      <c r="V925" s="35">
        <f>IF(AND(tabPontoPed[[#This Row],[MENSAL]]&gt;0,tabPontoPed[[#This Row],[CÁLCULO]]&gt;0), IF( tabPontoPed[[#This Row],[MENSAL]] - tabPontoPed[[#This Row],[CÁLCULO]] &lt; 0, -1, IF( tabPontoPed[[#This Row],[MENSAL]] - tabPontoPed[[#This Row],[CÁLCULO]] &gt; 0, 1, -8)), -9 )</f>
        <v>-9</v>
      </c>
      <c r="W925" s="35"/>
      <c r="X925" s="49" t="s">
        <v>1564</v>
      </c>
      <c r="Y925" s="51">
        <v>44391.599108796298</v>
      </c>
      <c r="Z925" s="72">
        <f>tabPontoPed[CÁLC_4M] - tabPontoPed[CÁLCULO]</f>
        <v>0</v>
      </c>
      <c r="AA925" s="79" t="str">
        <f>IF(tabPontoPed[MENSAL]-tabPontoPed[ATA MENSAL] = 0,"sim","")</f>
        <v/>
      </c>
      <c r="AB925" s="79"/>
      <c r="AC925" s="47" t="str">
        <f t="shared" si="14"/>
        <v>*</v>
      </c>
    </row>
    <row r="926" spans="1:29" x14ac:dyDescent="0.25">
      <c r="A926" s="36">
        <v>123349</v>
      </c>
      <c r="B926" s="68" t="s">
        <v>1483</v>
      </c>
      <c r="C926" s="33"/>
      <c r="D926" s="32">
        <v>67</v>
      </c>
      <c r="E926" s="37">
        <v>7</v>
      </c>
      <c r="F926" s="38" t="str">
        <f>VLOOKUP(tabPontoPed[[#This Row],[GRUPO]],tabGrupos[#Data],2,FALSE)</f>
        <v>PARAFUSOS ELEM. VEDACAO UNIAO CONEX . FIXACAO</v>
      </c>
      <c r="G926" s="32" t="str">
        <f>VLOOKUP(tabPontoPed[[#This Row],[GRUPO]],tabGrupos[#Data],3,FALSE)</f>
        <v>MSE</v>
      </c>
      <c r="H926" s="33" t="s">
        <v>1311</v>
      </c>
      <c r="I926" s="80">
        <v>4</v>
      </c>
      <c r="J926" s="39">
        <v>3</v>
      </c>
      <c r="K926" s="41">
        <f>tabPontoPed[[#This Row],[QTDMÊS]] * tabPontoPed[[#This Row],[MENSAL]]</f>
        <v>12</v>
      </c>
      <c r="L926" s="83"/>
      <c r="M926" s="81"/>
      <c r="N926" s="34" t="s">
        <v>1009</v>
      </c>
      <c r="O926" s="76"/>
      <c r="P926" s="77">
        <v>0</v>
      </c>
      <c r="Q926" s="57">
        <v>0</v>
      </c>
      <c r="R926" s="42">
        <v>0</v>
      </c>
      <c r="S926" s="69" t="str">
        <f>_xlfn.IFNA(IF(VLOOKUP(tabPontoPed[[#This Row],[CÓDIGO]],tabExcluirDoEstoque[#Data],1,FALSE),"sim",""),"")</f>
        <v/>
      </c>
      <c r="T926" s="43">
        <f>IF(AND(tabPontoPed[[#This Row],[MENSAL]]&gt;0,tabPontoPed[[#This Row],[CÁLCULO]]&gt;0), ABS( tabPontoPed[[#This Row],[MENSAL]] - tabPontoPed[[#This Row],[CÁLCULO]] ) / tabPontoPed[[#This Row],[MENSAL]], -1 )</f>
        <v>-1</v>
      </c>
      <c r="U926" s="58">
        <v>0</v>
      </c>
      <c r="V926" s="35">
        <f>IF(AND(tabPontoPed[[#This Row],[MENSAL]]&gt;0,tabPontoPed[[#This Row],[CÁLCULO]]&gt;0), IF( tabPontoPed[[#This Row],[MENSAL]] - tabPontoPed[[#This Row],[CÁLCULO]] &lt; 0, -1, IF( tabPontoPed[[#This Row],[MENSAL]] - tabPontoPed[[#This Row],[CÁLCULO]] &gt; 0, 1, -8)), -9 )</f>
        <v>-9</v>
      </c>
      <c r="W926" s="35"/>
      <c r="X926" s="49" t="s">
        <v>1564</v>
      </c>
      <c r="Y926" s="51">
        <v>44391.599108796298</v>
      </c>
      <c r="Z926" s="72">
        <f>tabPontoPed[CÁLC_4M] - tabPontoPed[CÁLCULO]</f>
        <v>0</v>
      </c>
      <c r="AA926" s="79" t="str">
        <f>IF(tabPontoPed[MENSAL]-tabPontoPed[ATA MENSAL] = 0,"sim","")</f>
        <v/>
      </c>
      <c r="AB926" s="79"/>
      <c r="AC926" s="47" t="str">
        <f t="shared" si="14"/>
        <v>*</v>
      </c>
    </row>
    <row r="927" spans="1:29" x14ac:dyDescent="0.25">
      <c r="A927" s="36">
        <v>123350</v>
      </c>
      <c r="B927" s="68" t="s">
        <v>850</v>
      </c>
      <c r="C927" s="33" t="s">
        <v>1317</v>
      </c>
      <c r="D927" s="32">
        <v>67</v>
      </c>
      <c r="E927" s="37">
        <v>7</v>
      </c>
      <c r="F927" s="38" t="str">
        <f>VLOOKUP(tabPontoPed[[#This Row],[GRUPO]],tabGrupos[#Data],2,FALSE)</f>
        <v>PARAFUSOS ELEM. VEDACAO UNIAO CONEX . FIXACAO</v>
      </c>
      <c r="G927" s="32" t="str">
        <f>VLOOKUP(tabPontoPed[[#This Row],[GRUPO]],tabGrupos[#Data],3,FALSE)</f>
        <v>MSE</v>
      </c>
      <c r="H927" s="33" t="s">
        <v>1311</v>
      </c>
      <c r="I927" s="80">
        <v>4</v>
      </c>
      <c r="J927" s="39">
        <v>0</v>
      </c>
      <c r="K927" s="41">
        <f>tabPontoPed[[#This Row],[QTDMÊS]] * tabPontoPed[[#This Row],[MENSAL]]</f>
        <v>0</v>
      </c>
      <c r="L927" s="83"/>
      <c r="M927" s="81"/>
      <c r="N927" s="34" t="s">
        <v>1009</v>
      </c>
      <c r="O927" s="76"/>
      <c r="P927" s="77">
        <v>0</v>
      </c>
      <c r="Q927" s="57">
        <v>0</v>
      </c>
      <c r="R927" s="42">
        <v>0</v>
      </c>
      <c r="S927" s="69" t="str">
        <f>_xlfn.IFNA(IF(VLOOKUP(tabPontoPed[[#This Row],[CÓDIGO]],tabExcluirDoEstoque[#Data],1,FALSE),"sim",""),"")</f>
        <v/>
      </c>
      <c r="T927" s="43">
        <f>IF(AND(tabPontoPed[[#This Row],[MENSAL]]&gt;0,tabPontoPed[[#This Row],[CÁLCULO]]&gt;0), ABS( tabPontoPed[[#This Row],[MENSAL]] - tabPontoPed[[#This Row],[CÁLCULO]] ) / tabPontoPed[[#This Row],[MENSAL]], -1 )</f>
        <v>-1</v>
      </c>
      <c r="U927" s="58">
        <v>0</v>
      </c>
      <c r="V927" s="35">
        <f>IF(AND(tabPontoPed[[#This Row],[MENSAL]]&gt;0,tabPontoPed[[#This Row],[CÁLCULO]]&gt;0), IF( tabPontoPed[[#This Row],[MENSAL]] - tabPontoPed[[#This Row],[CÁLCULO]] &lt; 0, -1, IF( tabPontoPed[[#This Row],[MENSAL]] - tabPontoPed[[#This Row],[CÁLCULO]] &gt; 0, 1, -8)), -9 )</f>
        <v>-9</v>
      </c>
      <c r="W927" s="35"/>
      <c r="X927" s="49" t="s">
        <v>1564</v>
      </c>
      <c r="Y927" s="51">
        <v>44391.599108796298</v>
      </c>
      <c r="Z927" s="72">
        <f>tabPontoPed[CÁLC_4M] - tabPontoPed[CÁLCULO]</f>
        <v>0</v>
      </c>
      <c r="AA927" s="79" t="str">
        <f>IF(tabPontoPed[MENSAL]-tabPontoPed[ATA MENSAL] = 0,"sim","")</f>
        <v>sim</v>
      </c>
      <c r="AB927" s="79" t="s">
        <v>1614</v>
      </c>
      <c r="AC927" s="47" t="str">
        <f t="shared" si="14"/>
        <v>*</v>
      </c>
    </row>
    <row r="928" spans="1:29" x14ac:dyDescent="0.25">
      <c r="A928" s="36">
        <v>131138</v>
      </c>
      <c r="B928" s="68" t="s">
        <v>865</v>
      </c>
      <c r="C928" s="33" t="s">
        <v>1317</v>
      </c>
      <c r="D928" s="32">
        <v>67</v>
      </c>
      <c r="E928" s="37">
        <v>16</v>
      </c>
      <c r="F928" s="38" t="str">
        <f>VLOOKUP(tabPontoPed[[#This Row],[GRUPO]],tabGrupos[#Data],2,FALSE)</f>
        <v>PARAFUSOS ELEM. VEDACAO UNIAO CONEX . FIXACAO</v>
      </c>
      <c r="G928" s="32" t="str">
        <f>VLOOKUP(tabPontoPed[[#This Row],[GRUPO]],tabGrupos[#Data],3,FALSE)</f>
        <v>MSE</v>
      </c>
      <c r="H928" s="33" t="s">
        <v>1311</v>
      </c>
      <c r="I928" s="80">
        <v>4</v>
      </c>
      <c r="J928" s="39">
        <v>0</v>
      </c>
      <c r="K928" s="41">
        <f>tabPontoPed[[#This Row],[QTDMÊS]] * tabPontoPed[[#This Row],[MENSAL]]</f>
        <v>0</v>
      </c>
      <c r="L928" s="83"/>
      <c r="M928" s="81"/>
      <c r="N928" s="34" t="s">
        <v>1009</v>
      </c>
      <c r="O928" s="76"/>
      <c r="P928" s="77">
        <v>0</v>
      </c>
      <c r="Q928" s="57">
        <v>1</v>
      </c>
      <c r="R928" s="42">
        <v>1</v>
      </c>
      <c r="S928" s="69" t="str">
        <f>_xlfn.IFNA(IF(VLOOKUP(tabPontoPed[[#This Row],[CÓDIGO]],tabExcluirDoEstoque[#Data],1,FALSE),"sim",""),"")</f>
        <v/>
      </c>
      <c r="T928" s="43">
        <f>IF(AND(tabPontoPed[[#This Row],[MENSAL]]&gt;0,tabPontoPed[[#This Row],[CÁLCULO]]&gt;0), ABS( tabPontoPed[[#This Row],[MENSAL]] - tabPontoPed[[#This Row],[CÁLCULO]] ) / tabPontoPed[[#This Row],[MENSAL]], -1 )</f>
        <v>-1</v>
      </c>
      <c r="U928" s="58">
        <v>2</v>
      </c>
      <c r="V928" s="35">
        <f>IF(AND(tabPontoPed[[#This Row],[MENSAL]]&gt;0,tabPontoPed[[#This Row],[CÁLCULO]]&gt;0), IF( tabPontoPed[[#This Row],[MENSAL]] - tabPontoPed[[#This Row],[CÁLCULO]] &lt; 0, -1, IF( tabPontoPed[[#This Row],[MENSAL]] - tabPontoPed[[#This Row],[CÁLCULO]] &gt; 0, 1, -8)), -9 )</f>
        <v>-9</v>
      </c>
      <c r="W928" s="35"/>
      <c r="X928" s="49" t="s">
        <v>1564</v>
      </c>
      <c r="Y928" s="51">
        <v>44391.599108796298</v>
      </c>
      <c r="Z928" s="72">
        <f>tabPontoPed[CÁLC_4M] - tabPontoPed[CÁLCULO]</f>
        <v>0</v>
      </c>
      <c r="AA928" s="79" t="str">
        <f>IF(tabPontoPed[MENSAL]-tabPontoPed[ATA MENSAL] = 0,"sim","")</f>
        <v>sim</v>
      </c>
      <c r="AB928" s="79" t="s">
        <v>1614</v>
      </c>
      <c r="AC928" s="47" t="str">
        <f t="shared" si="14"/>
        <v>*</v>
      </c>
    </row>
    <row r="929" spans="1:29" x14ac:dyDescent="0.25">
      <c r="A929" s="36">
        <v>104655</v>
      </c>
      <c r="B929" s="68" t="s">
        <v>866</v>
      </c>
      <c r="C929" s="33" t="s">
        <v>1317</v>
      </c>
      <c r="D929" s="32">
        <v>67</v>
      </c>
      <c r="E929" s="37">
        <v>17</v>
      </c>
      <c r="F929" s="38" t="str">
        <f>VLOOKUP(tabPontoPed[[#This Row],[GRUPO]],tabGrupos[#Data],2,FALSE)</f>
        <v>PARAFUSOS ELEM. VEDACAO UNIAO CONEX . FIXACAO</v>
      </c>
      <c r="G929" s="32" t="str">
        <f>VLOOKUP(tabPontoPed[[#This Row],[GRUPO]],tabGrupos[#Data],3,FALSE)</f>
        <v>MSE</v>
      </c>
      <c r="H929" s="33" t="s">
        <v>1311</v>
      </c>
      <c r="I929" s="80">
        <v>4</v>
      </c>
      <c r="J929" s="39"/>
      <c r="K929" s="41">
        <f>tabPontoPed[[#This Row],[QTDMÊS]] * tabPontoPed[[#This Row],[MENSAL]]</f>
        <v>0</v>
      </c>
      <c r="L929" s="83"/>
      <c r="M929" s="81"/>
      <c r="N929" s="34" t="s">
        <v>1009</v>
      </c>
      <c r="O929" s="76"/>
      <c r="P929" s="77">
        <v>0</v>
      </c>
      <c r="Q929" s="57">
        <v>0</v>
      </c>
      <c r="R929" s="42">
        <v>13</v>
      </c>
      <c r="S929" s="69" t="str">
        <f>_xlfn.IFNA(IF(VLOOKUP(tabPontoPed[[#This Row],[CÓDIGO]],tabExcluirDoEstoque[#Data],1,FALSE),"sim",""),"")</f>
        <v/>
      </c>
      <c r="T929" s="43">
        <f>IF(AND(tabPontoPed[[#This Row],[MENSAL]]&gt;0,tabPontoPed[[#This Row],[CÁLCULO]]&gt;0), ABS( tabPontoPed[[#This Row],[MENSAL]] - tabPontoPed[[#This Row],[CÁLCULO]] ) / tabPontoPed[[#This Row],[MENSAL]], -1 )</f>
        <v>-1</v>
      </c>
      <c r="U929" s="58">
        <v>150</v>
      </c>
      <c r="V929" s="35">
        <f>IF(AND(tabPontoPed[[#This Row],[MENSAL]]&gt;0,tabPontoPed[[#This Row],[CÁLCULO]]&gt;0), IF( tabPontoPed[[#This Row],[MENSAL]] - tabPontoPed[[#This Row],[CÁLCULO]] &lt; 0, -1, IF( tabPontoPed[[#This Row],[MENSAL]] - tabPontoPed[[#This Row],[CÁLCULO]] &gt; 0, 1, -8)), -9 )</f>
        <v>-9</v>
      </c>
      <c r="W929" s="35"/>
      <c r="X929" s="48" t="s">
        <v>1564</v>
      </c>
      <c r="Y929" s="53">
        <v>44391.599108796298</v>
      </c>
      <c r="Z929" s="72">
        <f>tabPontoPed[CÁLC_4M] - tabPontoPed[CÁLCULO]</f>
        <v>-13</v>
      </c>
      <c r="AA929" s="79" t="str">
        <f>IF(tabPontoPed[MENSAL]-tabPontoPed[ATA MENSAL] = 0,"sim","")</f>
        <v>sim</v>
      </c>
      <c r="AB929" s="79" t="s">
        <v>1614</v>
      </c>
      <c r="AC929" s="47" t="str">
        <f t="shared" si="14"/>
        <v>*</v>
      </c>
    </row>
    <row r="930" spans="1:29" x14ac:dyDescent="0.25">
      <c r="A930" s="36">
        <v>123132</v>
      </c>
      <c r="B930" s="68" t="s">
        <v>885</v>
      </c>
      <c r="C930" s="33" t="s">
        <v>1317</v>
      </c>
      <c r="D930" s="32">
        <v>69</v>
      </c>
      <c r="E930" s="37">
        <v>2</v>
      </c>
      <c r="F930" s="38" t="str">
        <f>VLOOKUP(tabPontoPed[[#This Row],[GRUPO]],tabGrupos[#Data],2,FALSE)</f>
        <v>METAIS,LAMINAD.,PERFILADOS E ARTEFATOS METALICOS</v>
      </c>
      <c r="G930" s="32" t="str">
        <f>VLOOKUP(tabPontoPed[[#This Row],[GRUPO]],tabGrupos[#Data],3,FALSE)</f>
        <v>MSE</v>
      </c>
      <c r="H930" s="33" t="s">
        <v>1311</v>
      </c>
      <c r="I930" s="80">
        <v>4</v>
      </c>
      <c r="J930" s="39">
        <v>50</v>
      </c>
      <c r="K930" s="41">
        <f>tabPontoPed[[#This Row],[QTDMÊS]] * tabPontoPed[[#This Row],[MENSAL]]</f>
        <v>200</v>
      </c>
      <c r="L930" s="83"/>
      <c r="M930" s="81"/>
      <c r="N930" s="34" t="s">
        <v>1009</v>
      </c>
      <c r="O930" s="76" t="s">
        <v>1666</v>
      </c>
      <c r="P930" s="77">
        <v>0</v>
      </c>
      <c r="Q930" s="57">
        <v>0</v>
      </c>
      <c r="R930" s="42">
        <v>0</v>
      </c>
      <c r="S930" s="69" t="str">
        <f>_xlfn.IFNA(IF(VLOOKUP(tabPontoPed[[#This Row],[CÓDIGO]],tabExcluirDoEstoque[#Data],1,FALSE),"sim",""),"")</f>
        <v/>
      </c>
      <c r="T930" s="43">
        <f>IF(AND(tabPontoPed[[#This Row],[MENSAL]]&gt;0,tabPontoPed[[#This Row],[CÁLCULO]]&gt;0), ABS( tabPontoPed[[#This Row],[MENSAL]] - tabPontoPed[[#This Row],[CÁLCULO]] ) / tabPontoPed[[#This Row],[MENSAL]], -1 )</f>
        <v>-1</v>
      </c>
      <c r="U930" s="58">
        <v>0</v>
      </c>
      <c r="V930" s="35">
        <f>IF(AND(tabPontoPed[[#This Row],[MENSAL]]&gt;0,tabPontoPed[[#This Row],[CÁLCULO]]&gt;0), IF( tabPontoPed[[#This Row],[MENSAL]] - tabPontoPed[[#This Row],[CÁLCULO]] &lt; 0, -1, IF( tabPontoPed[[#This Row],[MENSAL]] - tabPontoPed[[#This Row],[CÁLCULO]] &gt; 0, 1, -8)), -9 )</f>
        <v>-9</v>
      </c>
      <c r="W930" s="35"/>
      <c r="X930" s="49" t="s">
        <v>1564</v>
      </c>
      <c r="Y930" s="51">
        <v>44391.599108796298</v>
      </c>
      <c r="Z930" s="72">
        <f>tabPontoPed[CÁLC_4M] - tabPontoPed[CÁLCULO]</f>
        <v>0</v>
      </c>
      <c r="AA930" s="79" t="str">
        <f>IF(tabPontoPed[MENSAL]-tabPontoPed[ATA MENSAL] = 0,"sim","")</f>
        <v/>
      </c>
      <c r="AB930" s="79" t="s">
        <v>1614</v>
      </c>
      <c r="AC930" s="47" t="str">
        <f t="shared" si="14"/>
        <v>*</v>
      </c>
    </row>
    <row r="931" spans="1:29" x14ac:dyDescent="0.25">
      <c r="A931" s="36">
        <v>123131</v>
      </c>
      <c r="B931" s="68" t="s">
        <v>884</v>
      </c>
      <c r="C931" s="33" t="s">
        <v>1317</v>
      </c>
      <c r="D931" s="32">
        <v>69</v>
      </c>
      <c r="E931" s="37">
        <v>2</v>
      </c>
      <c r="F931" s="38" t="str">
        <f>VLOOKUP(tabPontoPed[[#This Row],[GRUPO]],tabGrupos[#Data],2,FALSE)</f>
        <v>METAIS,LAMINAD.,PERFILADOS E ARTEFATOS METALICOS</v>
      </c>
      <c r="G931" s="32" t="str">
        <f>VLOOKUP(tabPontoPed[[#This Row],[GRUPO]],tabGrupos[#Data],3,FALSE)</f>
        <v>MSE</v>
      </c>
      <c r="H931" s="33" t="s">
        <v>1311</v>
      </c>
      <c r="I931" s="80">
        <v>4</v>
      </c>
      <c r="J931" s="39">
        <v>67</v>
      </c>
      <c r="K931" s="41">
        <f>tabPontoPed[[#This Row],[QTDMÊS]] * tabPontoPed[[#This Row],[MENSAL]]</f>
        <v>268</v>
      </c>
      <c r="L931" s="83"/>
      <c r="M931" s="81"/>
      <c r="N931" s="34" t="s">
        <v>1009</v>
      </c>
      <c r="O931" s="76" t="s">
        <v>1666</v>
      </c>
      <c r="P931" s="77">
        <v>0</v>
      </c>
      <c r="Q931" s="57">
        <v>0</v>
      </c>
      <c r="R931" s="42">
        <v>0</v>
      </c>
      <c r="S931" s="69" t="str">
        <f>_xlfn.IFNA(IF(VLOOKUP(tabPontoPed[[#This Row],[CÓDIGO]],tabExcluirDoEstoque[#Data],1,FALSE),"sim",""),"")</f>
        <v/>
      </c>
      <c r="T931" s="43">
        <f>IF(AND(tabPontoPed[[#This Row],[MENSAL]]&gt;0,tabPontoPed[[#This Row],[CÁLCULO]]&gt;0), ABS( tabPontoPed[[#This Row],[MENSAL]] - tabPontoPed[[#This Row],[CÁLCULO]] ) / tabPontoPed[[#This Row],[MENSAL]], -1 )</f>
        <v>-1</v>
      </c>
      <c r="U931" s="58">
        <v>0</v>
      </c>
      <c r="V931" s="35">
        <f>IF(AND(tabPontoPed[[#This Row],[MENSAL]]&gt;0,tabPontoPed[[#This Row],[CÁLCULO]]&gt;0), IF( tabPontoPed[[#This Row],[MENSAL]] - tabPontoPed[[#This Row],[CÁLCULO]] &lt; 0, -1, IF( tabPontoPed[[#This Row],[MENSAL]] - tabPontoPed[[#This Row],[CÁLCULO]] &gt; 0, 1, -8)), -9 )</f>
        <v>-9</v>
      </c>
      <c r="W931" s="35"/>
      <c r="X931" s="49" t="s">
        <v>1564</v>
      </c>
      <c r="Y931" s="51">
        <v>44391.599108796298</v>
      </c>
      <c r="Z931" s="72">
        <f>tabPontoPed[CÁLC_4M] - tabPontoPed[CÁLCULO]</f>
        <v>0</v>
      </c>
      <c r="AA931" s="79" t="str">
        <f>IF(tabPontoPed[MENSAL]-tabPontoPed[ATA MENSAL] = 0,"sim","")</f>
        <v/>
      </c>
      <c r="AB931" s="79" t="s">
        <v>1614</v>
      </c>
      <c r="AC931" s="47" t="str">
        <f t="shared" si="14"/>
        <v>*</v>
      </c>
    </row>
    <row r="932" spans="1:29" x14ac:dyDescent="0.25">
      <c r="A932" s="36">
        <v>123133</v>
      </c>
      <c r="B932" s="68" t="s">
        <v>886</v>
      </c>
      <c r="C932" s="33" t="s">
        <v>1317</v>
      </c>
      <c r="D932" s="32">
        <v>69</v>
      </c>
      <c r="E932" s="37">
        <v>2</v>
      </c>
      <c r="F932" s="38" t="str">
        <f>VLOOKUP(tabPontoPed[[#This Row],[GRUPO]],tabGrupos[#Data],2,FALSE)</f>
        <v>METAIS,LAMINAD.,PERFILADOS E ARTEFATOS METALICOS</v>
      </c>
      <c r="G932" s="32" t="str">
        <f>VLOOKUP(tabPontoPed[[#This Row],[GRUPO]],tabGrupos[#Data],3,FALSE)</f>
        <v>MSE</v>
      </c>
      <c r="H932" s="33" t="s">
        <v>1311</v>
      </c>
      <c r="I932" s="80">
        <v>4</v>
      </c>
      <c r="J932" s="39">
        <v>50</v>
      </c>
      <c r="K932" s="41">
        <f>tabPontoPed[[#This Row],[QTDMÊS]] * tabPontoPed[[#This Row],[MENSAL]]</f>
        <v>200</v>
      </c>
      <c r="L932" s="83"/>
      <c r="M932" s="81"/>
      <c r="N932" s="34" t="s">
        <v>1009</v>
      </c>
      <c r="O932" s="76" t="s">
        <v>1666</v>
      </c>
      <c r="P932" s="77">
        <v>0</v>
      </c>
      <c r="Q932" s="57">
        <v>0</v>
      </c>
      <c r="R932" s="42">
        <v>0</v>
      </c>
      <c r="S932" s="69" t="str">
        <f>_xlfn.IFNA(IF(VLOOKUP(tabPontoPed[[#This Row],[CÓDIGO]],tabExcluirDoEstoque[#Data],1,FALSE),"sim",""),"")</f>
        <v/>
      </c>
      <c r="T932" s="43">
        <f>IF(AND(tabPontoPed[[#This Row],[MENSAL]]&gt;0,tabPontoPed[[#This Row],[CÁLCULO]]&gt;0), ABS( tabPontoPed[[#This Row],[MENSAL]] - tabPontoPed[[#This Row],[CÁLCULO]] ) / tabPontoPed[[#This Row],[MENSAL]], -1 )</f>
        <v>-1</v>
      </c>
      <c r="U932" s="58">
        <v>0</v>
      </c>
      <c r="V932" s="35">
        <f>IF(AND(tabPontoPed[[#This Row],[MENSAL]]&gt;0,tabPontoPed[[#This Row],[CÁLCULO]]&gt;0), IF( tabPontoPed[[#This Row],[MENSAL]] - tabPontoPed[[#This Row],[CÁLCULO]] &lt; 0, -1, IF( tabPontoPed[[#This Row],[MENSAL]] - tabPontoPed[[#This Row],[CÁLCULO]] &gt; 0, 1, -8)), -9 )</f>
        <v>-9</v>
      </c>
      <c r="W932" s="35"/>
      <c r="X932" s="48" t="s">
        <v>1564</v>
      </c>
      <c r="Y932" s="53">
        <v>44391.599108796298</v>
      </c>
      <c r="Z932" s="72">
        <f>tabPontoPed[CÁLC_4M] - tabPontoPed[CÁLCULO]</f>
        <v>0</v>
      </c>
      <c r="AA932" s="79" t="str">
        <f>IF(tabPontoPed[MENSAL]-tabPontoPed[ATA MENSAL] = 0,"sim","")</f>
        <v/>
      </c>
      <c r="AB932" s="79" t="s">
        <v>1614</v>
      </c>
      <c r="AC932" s="47" t="str">
        <f t="shared" si="14"/>
        <v>*</v>
      </c>
    </row>
    <row r="933" spans="1:29" x14ac:dyDescent="0.25">
      <c r="A933" s="36">
        <v>102723</v>
      </c>
      <c r="B933" s="68" t="s">
        <v>891</v>
      </c>
      <c r="C933" s="33" t="s">
        <v>1317</v>
      </c>
      <c r="D933" s="32">
        <v>69</v>
      </c>
      <c r="E933" s="37">
        <v>5</v>
      </c>
      <c r="F933" s="38" t="str">
        <f>VLOOKUP(tabPontoPed[[#This Row],[GRUPO]],tabGrupos[#Data],2,FALSE)</f>
        <v>METAIS,LAMINAD.,PERFILADOS E ARTEFATOS METALICOS</v>
      </c>
      <c r="G933" s="32" t="str">
        <f>VLOOKUP(tabPontoPed[[#This Row],[GRUPO]],tabGrupos[#Data],3,FALSE)</f>
        <v>MSE</v>
      </c>
      <c r="H933" s="33" t="s">
        <v>1311</v>
      </c>
      <c r="I933" s="80">
        <v>4</v>
      </c>
      <c r="J933" s="39"/>
      <c r="K933" s="41">
        <f>tabPontoPed[[#This Row],[QTDMÊS]] * tabPontoPed[[#This Row],[MENSAL]]</f>
        <v>0</v>
      </c>
      <c r="L933" s="83"/>
      <c r="M933" s="81"/>
      <c r="N933" s="34" t="s">
        <v>1009</v>
      </c>
      <c r="O933" s="76"/>
      <c r="P933" s="77">
        <v>0</v>
      </c>
      <c r="Q933" s="57">
        <v>5</v>
      </c>
      <c r="R933" s="42">
        <v>4</v>
      </c>
      <c r="S933" s="69" t="str">
        <f>_xlfn.IFNA(IF(VLOOKUP(tabPontoPed[[#This Row],[CÓDIGO]],tabExcluirDoEstoque[#Data],1,FALSE),"sim",""),"")</f>
        <v/>
      </c>
      <c r="T933" s="43">
        <f>IF(AND(tabPontoPed[[#This Row],[MENSAL]]&gt;0,tabPontoPed[[#This Row],[CÁLCULO]]&gt;0), ABS( tabPontoPed[[#This Row],[MENSAL]] - tabPontoPed[[#This Row],[CÁLCULO]] ) / tabPontoPed[[#This Row],[MENSAL]], -1 )</f>
        <v>-1</v>
      </c>
      <c r="U933" s="58">
        <v>17</v>
      </c>
      <c r="V933" s="35">
        <f>IF(AND(tabPontoPed[[#This Row],[MENSAL]]&gt;0,tabPontoPed[[#This Row],[CÁLCULO]]&gt;0), IF( tabPontoPed[[#This Row],[MENSAL]] - tabPontoPed[[#This Row],[CÁLCULO]] &lt; 0, -1, IF( tabPontoPed[[#This Row],[MENSAL]] - tabPontoPed[[#This Row],[CÁLCULO]] &gt; 0, 1, -8)), -9 )</f>
        <v>-9</v>
      </c>
      <c r="W933" s="35"/>
      <c r="X933" s="49" t="s">
        <v>1564</v>
      </c>
      <c r="Y933" s="51">
        <v>44391.599108796298</v>
      </c>
      <c r="Z933" s="72">
        <f>tabPontoPed[CÁLC_4M] - tabPontoPed[CÁLCULO]</f>
        <v>1</v>
      </c>
      <c r="AA933" s="79" t="str">
        <f>IF(tabPontoPed[MENSAL]-tabPontoPed[ATA MENSAL] = 0,"sim","")</f>
        <v>sim</v>
      </c>
      <c r="AB933" s="79" t="s">
        <v>1614</v>
      </c>
      <c r="AC933" s="47" t="str">
        <f t="shared" si="14"/>
        <v>*</v>
      </c>
    </row>
    <row r="934" spans="1:29" x14ac:dyDescent="0.25">
      <c r="A934" s="36">
        <v>77786</v>
      </c>
      <c r="B934" s="68" t="s">
        <v>894</v>
      </c>
      <c r="C934" s="33" t="s">
        <v>1317</v>
      </c>
      <c r="D934" s="32">
        <v>69</v>
      </c>
      <c r="E934" s="37">
        <v>8</v>
      </c>
      <c r="F934" s="38" t="str">
        <f>VLOOKUP(tabPontoPed[[#This Row],[GRUPO]],tabGrupos[#Data],2,FALSE)</f>
        <v>METAIS,LAMINAD.,PERFILADOS E ARTEFATOS METALICOS</v>
      </c>
      <c r="G934" s="32" t="str">
        <f>VLOOKUP(tabPontoPed[[#This Row],[GRUPO]],tabGrupos[#Data],3,FALSE)</f>
        <v>MSE</v>
      </c>
      <c r="H934" s="33" t="s">
        <v>1311</v>
      </c>
      <c r="I934" s="80">
        <v>4</v>
      </c>
      <c r="J934" s="39">
        <v>5</v>
      </c>
      <c r="K934" s="41">
        <f>tabPontoPed[[#This Row],[QTDMÊS]] * tabPontoPed[[#This Row],[MENSAL]]</f>
        <v>20</v>
      </c>
      <c r="L934" s="83"/>
      <c r="M934" s="81"/>
      <c r="N934" s="34" t="s">
        <v>1009</v>
      </c>
      <c r="O934" s="76" t="s">
        <v>1681</v>
      </c>
      <c r="P934" s="77">
        <v>0</v>
      </c>
      <c r="Q934" s="57">
        <v>0</v>
      </c>
      <c r="R934" s="42">
        <v>0</v>
      </c>
      <c r="S934" s="69" t="str">
        <f>_xlfn.IFNA(IF(VLOOKUP(tabPontoPed[[#This Row],[CÓDIGO]],tabExcluirDoEstoque[#Data],1,FALSE),"sim",""),"")</f>
        <v/>
      </c>
      <c r="T934" s="43">
        <f>IF(AND(tabPontoPed[[#This Row],[MENSAL]]&gt;0,tabPontoPed[[#This Row],[CÁLCULO]]&gt;0), ABS( tabPontoPed[[#This Row],[MENSAL]] - tabPontoPed[[#This Row],[CÁLCULO]] ) / tabPontoPed[[#This Row],[MENSAL]], -1 )</f>
        <v>-1</v>
      </c>
      <c r="U934" s="58">
        <v>0</v>
      </c>
      <c r="V934" s="35">
        <f>IF(AND(tabPontoPed[[#This Row],[MENSAL]]&gt;0,tabPontoPed[[#This Row],[CÁLCULO]]&gt;0), IF( tabPontoPed[[#This Row],[MENSAL]] - tabPontoPed[[#This Row],[CÁLCULO]] &lt; 0, -1, IF( tabPontoPed[[#This Row],[MENSAL]] - tabPontoPed[[#This Row],[CÁLCULO]] &gt; 0, 1, -8)), -9 )</f>
        <v>-9</v>
      </c>
      <c r="W934" s="35"/>
      <c r="X934" s="48" t="s">
        <v>1564</v>
      </c>
      <c r="Y934" s="53">
        <v>44391.599108796298</v>
      </c>
      <c r="Z934" s="72">
        <f>tabPontoPed[CÁLC_4M] - tabPontoPed[CÁLCULO]</f>
        <v>0</v>
      </c>
      <c r="AA934" s="79" t="str">
        <f>IF(tabPontoPed[MENSAL]-tabPontoPed[ATA MENSAL] = 0,"sim","")</f>
        <v/>
      </c>
      <c r="AB934" s="79" t="s">
        <v>1614</v>
      </c>
      <c r="AC934" s="47" t="str">
        <f t="shared" si="14"/>
        <v>*</v>
      </c>
    </row>
    <row r="935" spans="1:29" x14ac:dyDescent="0.25">
      <c r="A935" s="36">
        <v>115060</v>
      </c>
      <c r="B935" s="68" t="s">
        <v>897</v>
      </c>
      <c r="C935" s="33" t="s">
        <v>1317</v>
      </c>
      <c r="D935" s="32">
        <v>69</v>
      </c>
      <c r="E935" s="37">
        <v>11</v>
      </c>
      <c r="F935" s="38" t="str">
        <f>VLOOKUP(tabPontoPed[[#This Row],[GRUPO]],tabGrupos[#Data],2,FALSE)</f>
        <v>METAIS,LAMINAD.,PERFILADOS E ARTEFATOS METALICOS</v>
      </c>
      <c r="G935" s="32" t="str">
        <f>VLOOKUP(tabPontoPed[[#This Row],[GRUPO]],tabGrupos[#Data],3,FALSE)</f>
        <v>MSE</v>
      </c>
      <c r="H935" s="33" t="s">
        <v>1311</v>
      </c>
      <c r="I935" s="80">
        <v>4</v>
      </c>
      <c r="J935" s="39">
        <v>5</v>
      </c>
      <c r="K935" s="41">
        <f>tabPontoPed[[#This Row],[QTDMÊS]] * tabPontoPed[[#This Row],[MENSAL]]</f>
        <v>20</v>
      </c>
      <c r="L935" s="83"/>
      <c r="M935" s="81"/>
      <c r="N935" s="34" t="s">
        <v>1009</v>
      </c>
      <c r="O935" s="76" t="s">
        <v>1692</v>
      </c>
      <c r="P935" s="77">
        <v>0</v>
      </c>
      <c r="Q935" s="57">
        <v>0</v>
      </c>
      <c r="R935" s="42">
        <v>0</v>
      </c>
      <c r="S935" s="69" t="str">
        <f>_xlfn.IFNA(IF(VLOOKUP(tabPontoPed[[#This Row],[CÓDIGO]],tabExcluirDoEstoque[#Data],1,FALSE),"sim",""),"")</f>
        <v/>
      </c>
      <c r="T935" s="43">
        <f>IF(AND(tabPontoPed[[#This Row],[MENSAL]]&gt;0,tabPontoPed[[#This Row],[CÁLCULO]]&gt;0), ABS( tabPontoPed[[#This Row],[MENSAL]] - tabPontoPed[[#This Row],[CÁLCULO]] ) / tabPontoPed[[#This Row],[MENSAL]], -1 )</f>
        <v>-1</v>
      </c>
      <c r="U935" s="58">
        <v>0</v>
      </c>
      <c r="V935" s="35">
        <f>IF(AND(tabPontoPed[[#This Row],[MENSAL]]&gt;0,tabPontoPed[[#This Row],[CÁLCULO]]&gt;0), IF( tabPontoPed[[#This Row],[MENSAL]] - tabPontoPed[[#This Row],[CÁLCULO]] &lt; 0, -1, IF( tabPontoPed[[#This Row],[MENSAL]] - tabPontoPed[[#This Row],[CÁLCULO]] &gt; 0, 1, -8)), -9 )</f>
        <v>-9</v>
      </c>
      <c r="W935" s="35"/>
      <c r="X935" s="49" t="s">
        <v>1564</v>
      </c>
      <c r="Y935" s="51">
        <v>44391.599108796298</v>
      </c>
      <c r="Z935" s="72">
        <f>tabPontoPed[CÁLC_4M] - tabPontoPed[CÁLCULO]</f>
        <v>0</v>
      </c>
      <c r="AA935" s="79" t="str">
        <f>IF(tabPontoPed[MENSAL]-tabPontoPed[ATA MENSAL] = 0,"sim","")</f>
        <v/>
      </c>
      <c r="AB935" s="79" t="s">
        <v>1614</v>
      </c>
      <c r="AC935" s="47" t="str">
        <f t="shared" si="14"/>
        <v>*</v>
      </c>
    </row>
    <row r="936" spans="1:29" ht="18.75" x14ac:dyDescent="0.25">
      <c r="A936" s="36">
        <v>12818</v>
      </c>
      <c r="B936" s="68" t="s">
        <v>5</v>
      </c>
      <c r="C936" s="33" t="s">
        <v>1317</v>
      </c>
      <c r="D936" s="32">
        <v>76</v>
      </c>
      <c r="E936" s="37">
        <v>6</v>
      </c>
      <c r="F936" s="38" t="str">
        <f>VLOOKUP(tabPontoPed[[#This Row],[GRUPO]],tabGrupos[#Data],2,FALSE)</f>
        <v>EQUIP. E MATERIAIS P/PINTURAS E IMPERMEABILIZACAO</v>
      </c>
      <c r="G936" s="32" t="str">
        <f>VLOOKUP(tabPontoPed[[#This Row],[GRUPO]],tabGrupos[#Data],3,FALSE)</f>
        <v>MPI</v>
      </c>
      <c r="H936" s="33" t="s">
        <v>1311</v>
      </c>
      <c r="I936" s="80">
        <v>4</v>
      </c>
      <c r="J936" s="39">
        <v>6</v>
      </c>
      <c r="K936" s="41">
        <f>tabPontoPed[[#This Row],[QTDMÊS]] * tabPontoPed[[#This Row],[MENSAL]]</f>
        <v>24</v>
      </c>
      <c r="L936" s="83"/>
      <c r="M936" s="81"/>
      <c r="N936" s="34" t="s">
        <v>1009</v>
      </c>
      <c r="O936" s="76" t="s">
        <v>1498</v>
      </c>
      <c r="P936" s="77">
        <v>33</v>
      </c>
      <c r="Q936" s="57">
        <v>85</v>
      </c>
      <c r="R936" s="42">
        <v>33</v>
      </c>
      <c r="S936" s="69" t="str">
        <f>_xlfn.IFNA(IF(VLOOKUP(tabPontoPed[[#This Row],[CÓDIGO]],tabExcluirDoEstoque[#Data],1,FALSE),"sim",""),"")</f>
        <v>sim</v>
      </c>
      <c r="T936" s="43">
        <f>IF(AND(tabPontoPed[[#This Row],[MENSAL]]&gt;0,tabPontoPed[[#This Row],[CÁLCULO]]&gt;0), ABS( tabPontoPed[[#This Row],[MENSAL]] - tabPontoPed[[#This Row],[CÁLCULO]] ) / tabPontoPed[[#This Row],[MENSAL]], -1 )</f>
        <v>4.5</v>
      </c>
      <c r="U936" s="58">
        <v>330</v>
      </c>
      <c r="V936" s="35">
        <f>IF(AND(tabPontoPed[[#This Row],[MENSAL]]&gt;0,tabPontoPed[[#This Row],[CÁLCULO]]&gt;0), IF( tabPontoPed[[#This Row],[MENSAL]] - tabPontoPed[[#This Row],[CÁLCULO]] &lt; 0, -1, IF( tabPontoPed[[#This Row],[MENSAL]] - tabPontoPed[[#This Row],[CÁLCULO]] &gt; 0, 1, -8)), -9 )</f>
        <v>-1</v>
      </c>
      <c r="W936" s="45"/>
      <c r="X936" s="48" t="s">
        <v>1564</v>
      </c>
      <c r="Y936" s="53">
        <v>44391.599108796298</v>
      </c>
      <c r="Z936" s="72">
        <f>tabPontoPed[CÁLC_4M] - tabPontoPed[CÁLCULO]</f>
        <v>52</v>
      </c>
      <c r="AA936" s="79" t="str">
        <f>IF(tabPontoPed[MENSAL]-tabPontoPed[ATA MENSAL] = 0,"sim","")</f>
        <v/>
      </c>
      <c r="AB936" s="79"/>
      <c r="AC936" s="47" t="str">
        <f t="shared" si="14"/>
        <v>*</v>
      </c>
    </row>
    <row r="937" spans="1:29" x14ac:dyDescent="0.25">
      <c r="A937" s="36">
        <v>58792</v>
      </c>
      <c r="B937" s="68" t="s">
        <v>1300</v>
      </c>
      <c r="C937" s="33">
        <v>1</v>
      </c>
      <c r="D937" s="32">
        <v>72</v>
      </c>
      <c r="E937" s="37">
        <v>6</v>
      </c>
      <c r="F937" s="38" t="str">
        <f>VLOOKUP(tabPontoPed[[#This Row],[GRUPO]],tabGrupos[#Data],2,FALSE)</f>
        <v>MAQ.EQUIP.E MATERIAIS P/ HIGIEN.LIMP.POLIM.E LUBR.</v>
      </c>
      <c r="G937" s="32" t="str">
        <f>VLOOKUP(tabPontoPed[[#This Row],[GRUPO]],tabGrupos[#Data],3,FALSE)</f>
        <v>ADM</v>
      </c>
      <c r="H937" s="33" t="s">
        <v>1311</v>
      </c>
      <c r="I937" s="80">
        <v>4</v>
      </c>
      <c r="J937" s="39">
        <v>3</v>
      </c>
      <c r="K937" s="41">
        <f>tabPontoPed[[#This Row],[QTDMÊS]] * tabPontoPed[[#This Row],[MENSAL]]</f>
        <v>12</v>
      </c>
      <c r="L937" s="83"/>
      <c r="M937" s="81"/>
      <c r="N937" s="34" t="s">
        <v>1009</v>
      </c>
      <c r="O937" s="76" t="s">
        <v>1639</v>
      </c>
      <c r="P937" s="77">
        <v>30</v>
      </c>
      <c r="Q937" s="57">
        <v>3</v>
      </c>
      <c r="R937" s="42">
        <v>16</v>
      </c>
      <c r="S937" s="69" t="str">
        <f>_xlfn.IFNA(IF(VLOOKUP(tabPontoPed[[#This Row],[CÓDIGO]],tabExcluirDoEstoque[#Data],1,FALSE),"sim",""),"")</f>
        <v>sim</v>
      </c>
      <c r="T937" s="43">
        <f>IF(AND(tabPontoPed[[#This Row],[MENSAL]]&gt;0,tabPontoPed[[#This Row],[CÁLCULO]]&gt;0), ABS( tabPontoPed[[#This Row],[MENSAL]] - tabPontoPed[[#This Row],[CÁLCULO]] ) / tabPontoPed[[#This Row],[MENSAL]], -1 )</f>
        <v>4.333333333333333</v>
      </c>
      <c r="U937" s="58">
        <v>136</v>
      </c>
      <c r="V937" s="35">
        <f>IF(AND(tabPontoPed[[#This Row],[MENSAL]]&gt;0,tabPontoPed[[#This Row],[CÁLCULO]]&gt;0), IF( tabPontoPed[[#This Row],[MENSAL]] - tabPontoPed[[#This Row],[CÁLCULO]] &lt; 0, -1, IF( tabPontoPed[[#This Row],[MENSAL]] - tabPontoPed[[#This Row],[CÁLCULO]] &gt; 0, 1, -8)), -9 )</f>
        <v>-1</v>
      </c>
      <c r="W937" s="35"/>
      <c r="X937" s="48" t="s">
        <v>1564</v>
      </c>
      <c r="Y937" s="53">
        <v>44391.599108796298</v>
      </c>
      <c r="Z937" s="72">
        <f>tabPontoPed[CÁLC_4M] - tabPontoPed[CÁLCULO]</f>
        <v>-13</v>
      </c>
      <c r="AA937" s="79" t="str">
        <f>IF(tabPontoPed[MENSAL]-tabPontoPed[ATA MENSAL] = 0,"sim","")</f>
        <v/>
      </c>
      <c r="AB937" s="79"/>
      <c r="AC937" s="47" t="str">
        <f t="shared" si="14"/>
        <v>*</v>
      </c>
    </row>
    <row r="938" spans="1:29" ht="18.75" x14ac:dyDescent="0.25">
      <c r="A938" s="36">
        <v>12820</v>
      </c>
      <c r="B938" s="68" t="s">
        <v>231</v>
      </c>
      <c r="C938" s="33" t="s">
        <v>1317</v>
      </c>
      <c r="D938" s="32">
        <v>76</v>
      </c>
      <c r="E938" s="37">
        <v>6</v>
      </c>
      <c r="F938" s="38" t="str">
        <f>VLOOKUP(tabPontoPed[[#This Row],[GRUPO]],tabGrupos[#Data],2,FALSE)</f>
        <v>EQUIP. E MATERIAIS P/PINTURAS E IMPERMEABILIZACAO</v>
      </c>
      <c r="G938" s="32" t="str">
        <f>VLOOKUP(tabPontoPed[[#This Row],[GRUPO]],tabGrupos[#Data],3,FALSE)</f>
        <v>MPI</v>
      </c>
      <c r="H938" s="33" t="s">
        <v>1311</v>
      </c>
      <c r="I938" s="80">
        <v>4</v>
      </c>
      <c r="J938" s="39">
        <v>6</v>
      </c>
      <c r="K938" s="41">
        <f>tabPontoPed[[#This Row],[QTDMÊS]] * tabPontoPed[[#This Row],[MENSAL]]</f>
        <v>24</v>
      </c>
      <c r="L938" s="83"/>
      <c r="M938" s="81"/>
      <c r="N938" s="34" t="s">
        <v>1009</v>
      </c>
      <c r="O938" s="76" t="s">
        <v>1498</v>
      </c>
      <c r="P938" s="77">
        <v>12</v>
      </c>
      <c r="Q938" s="57">
        <v>78</v>
      </c>
      <c r="R938" s="42">
        <v>32</v>
      </c>
      <c r="S938" s="69" t="str">
        <f>_xlfn.IFNA(IF(VLOOKUP(tabPontoPed[[#This Row],[CÓDIGO]],tabExcluirDoEstoque[#Data],1,FALSE),"sim",""),"")</f>
        <v>sim</v>
      </c>
      <c r="T938" s="43">
        <f>IF(AND(tabPontoPed[[#This Row],[MENSAL]]&gt;0,tabPontoPed[[#This Row],[CÁLCULO]]&gt;0), ABS( tabPontoPed[[#This Row],[MENSAL]] - tabPontoPed[[#This Row],[CÁLCULO]] ) / tabPontoPed[[#This Row],[MENSAL]], -1 )</f>
        <v>4.333333333333333</v>
      </c>
      <c r="U938" s="58">
        <v>308</v>
      </c>
      <c r="V938" s="35">
        <f>IF(AND(tabPontoPed[[#This Row],[MENSAL]]&gt;0,tabPontoPed[[#This Row],[CÁLCULO]]&gt;0), IF( tabPontoPed[[#This Row],[MENSAL]] - tabPontoPed[[#This Row],[CÁLCULO]] &lt; 0, -1, IF( tabPontoPed[[#This Row],[MENSAL]] - tabPontoPed[[#This Row],[CÁLCULO]] &gt; 0, 1, -8)), -9 )</f>
        <v>-1</v>
      </c>
      <c r="W938" s="45"/>
      <c r="X938" s="48" t="s">
        <v>1564</v>
      </c>
      <c r="Y938" s="53">
        <v>44391.599108796298</v>
      </c>
      <c r="Z938" s="72">
        <f>tabPontoPed[CÁLC_4M] - tabPontoPed[CÁLCULO]</f>
        <v>46</v>
      </c>
      <c r="AA938" s="79" t="str">
        <f>IF(tabPontoPed[MENSAL]-tabPontoPed[ATA MENSAL] = 0,"sim","")</f>
        <v/>
      </c>
      <c r="AB938" s="79"/>
      <c r="AC938" s="47" t="str">
        <f t="shared" si="14"/>
        <v>*</v>
      </c>
    </row>
    <row r="939" spans="1:29" ht="18.75" x14ac:dyDescent="0.25">
      <c r="A939" s="36">
        <v>12831</v>
      </c>
      <c r="B939" s="68" t="s">
        <v>7</v>
      </c>
      <c r="C939" s="33" t="s">
        <v>1317</v>
      </c>
      <c r="D939" s="32">
        <v>76</v>
      </c>
      <c r="E939" s="37">
        <v>6</v>
      </c>
      <c r="F939" s="38" t="str">
        <f>VLOOKUP(tabPontoPed[[#This Row],[GRUPO]],tabGrupos[#Data],2,FALSE)</f>
        <v>EQUIP. E MATERIAIS P/PINTURAS E IMPERMEABILIZACAO</v>
      </c>
      <c r="G939" s="32" t="str">
        <f>VLOOKUP(tabPontoPed[[#This Row],[GRUPO]],tabGrupos[#Data],3,FALSE)</f>
        <v>MPI</v>
      </c>
      <c r="H939" s="33" t="s">
        <v>1311</v>
      </c>
      <c r="I939" s="80">
        <v>4</v>
      </c>
      <c r="J939" s="39">
        <v>4</v>
      </c>
      <c r="K939" s="41">
        <f>tabPontoPed[[#This Row],[QTDMÊS]] * tabPontoPed[[#This Row],[MENSAL]]</f>
        <v>16</v>
      </c>
      <c r="L939" s="83"/>
      <c r="M939" s="81"/>
      <c r="N939" s="34" t="s">
        <v>1009</v>
      </c>
      <c r="O939" s="76" t="s">
        <v>1498</v>
      </c>
      <c r="P939" s="77">
        <v>12</v>
      </c>
      <c r="Q939" s="57">
        <v>55</v>
      </c>
      <c r="R939" s="42">
        <v>21</v>
      </c>
      <c r="S939" s="69" t="str">
        <f>_xlfn.IFNA(IF(VLOOKUP(tabPontoPed[[#This Row],[CÓDIGO]],tabExcluirDoEstoque[#Data],1,FALSE),"sim",""),"")</f>
        <v>sim</v>
      </c>
      <c r="T939" s="43">
        <f>IF(AND(tabPontoPed[[#This Row],[MENSAL]]&gt;0,tabPontoPed[[#This Row],[CÁLCULO]]&gt;0), ABS( tabPontoPed[[#This Row],[MENSAL]] - tabPontoPed[[#This Row],[CÁLCULO]] ) / tabPontoPed[[#This Row],[MENSAL]], -1 )</f>
        <v>4.25</v>
      </c>
      <c r="U939" s="58">
        <v>208</v>
      </c>
      <c r="V939" s="35">
        <f>IF(AND(tabPontoPed[[#This Row],[MENSAL]]&gt;0,tabPontoPed[[#This Row],[CÁLCULO]]&gt;0), IF( tabPontoPed[[#This Row],[MENSAL]] - tabPontoPed[[#This Row],[CÁLCULO]] &lt; 0, -1, IF( tabPontoPed[[#This Row],[MENSAL]] - tabPontoPed[[#This Row],[CÁLCULO]] &gt; 0, 1, -8)), -9 )</f>
        <v>-1</v>
      </c>
      <c r="W939" s="45"/>
      <c r="X939" s="48" t="s">
        <v>1564</v>
      </c>
      <c r="Y939" s="53">
        <v>44391.599108796298</v>
      </c>
      <c r="Z939" s="72">
        <f>tabPontoPed[CÁLC_4M] - tabPontoPed[CÁLCULO]</f>
        <v>34</v>
      </c>
      <c r="AA939" s="79" t="str">
        <f>IF(tabPontoPed[MENSAL]-tabPontoPed[ATA MENSAL] = 0,"sim","")</f>
        <v/>
      </c>
      <c r="AB939" s="79"/>
      <c r="AC939" s="47" t="str">
        <f t="shared" si="14"/>
        <v>*</v>
      </c>
    </row>
    <row r="940" spans="1:29" ht="18.75" x14ac:dyDescent="0.25">
      <c r="A940" s="36">
        <v>12829</v>
      </c>
      <c r="B940" s="68" t="s">
        <v>6</v>
      </c>
      <c r="C940" s="33" t="s">
        <v>1317</v>
      </c>
      <c r="D940" s="32">
        <v>76</v>
      </c>
      <c r="E940" s="37">
        <v>6</v>
      </c>
      <c r="F940" s="38" t="str">
        <f>VLOOKUP(tabPontoPed[[#This Row],[GRUPO]],tabGrupos[#Data],2,FALSE)</f>
        <v>EQUIP. E MATERIAIS P/PINTURAS E IMPERMEABILIZACAO</v>
      </c>
      <c r="G940" s="32" t="str">
        <f>VLOOKUP(tabPontoPed[[#This Row],[GRUPO]],tabGrupos[#Data],3,FALSE)</f>
        <v>MPI</v>
      </c>
      <c r="H940" s="33" t="s">
        <v>1311</v>
      </c>
      <c r="I940" s="80">
        <v>4</v>
      </c>
      <c r="J940" s="39">
        <v>6</v>
      </c>
      <c r="K940" s="41">
        <f>tabPontoPed[[#This Row],[QTDMÊS]] * tabPontoPed[[#This Row],[MENSAL]]</f>
        <v>24</v>
      </c>
      <c r="L940" s="83"/>
      <c r="M940" s="81"/>
      <c r="N940" s="34" t="s">
        <v>1009</v>
      </c>
      <c r="O940" s="76" t="s">
        <v>1498</v>
      </c>
      <c r="P940" s="77">
        <v>28</v>
      </c>
      <c r="Q940" s="57">
        <v>77</v>
      </c>
      <c r="R940" s="42">
        <v>29</v>
      </c>
      <c r="S940" s="69" t="str">
        <f>_xlfn.IFNA(IF(VLOOKUP(tabPontoPed[[#This Row],[CÓDIGO]],tabExcluirDoEstoque[#Data],1,FALSE),"sim",""),"")</f>
        <v>sim</v>
      </c>
      <c r="T940" s="43">
        <f>IF(AND(tabPontoPed[[#This Row],[MENSAL]]&gt;0,tabPontoPed[[#This Row],[CÁLCULO]]&gt;0), ABS( tabPontoPed[[#This Row],[MENSAL]] - tabPontoPed[[#This Row],[CÁLCULO]] ) / tabPontoPed[[#This Row],[MENSAL]], -1 )</f>
        <v>3.8333333333333335</v>
      </c>
      <c r="U940" s="58">
        <v>300</v>
      </c>
      <c r="V940" s="35">
        <f>IF(AND(tabPontoPed[[#This Row],[MENSAL]]&gt;0,tabPontoPed[[#This Row],[CÁLCULO]]&gt;0), IF( tabPontoPed[[#This Row],[MENSAL]] - tabPontoPed[[#This Row],[CÁLCULO]] &lt; 0, -1, IF( tabPontoPed[[#This Row],[MENSAL]] - tabPontoPed[[#This Row],[CÁLCULO]] &gt; 0, 1, -8)), -9 )</f>
        <v>-1</v>
      </c>
      <c r="W940" s="45"/>
      <c r="X940" s="48" t="s">
        <v>1564</v>
      </c>
      <c r="Y940" s="53">
        <v>44391.599108796298</v>
      </c>
      <c r="Z940" s="72">
        <f>tabPontoPed[CÁLC_4M] - tabPontoPed[CÁLCULO]</f>
        <v>48</v>
      </c>
      <c r="AA940" s="79" t="str">
        <f>IF(tabPontoPed[MENSAL]-tabPontoPed[ATA MENSAL] = 0,"sim","")</f>
        <v/>
      </c>
      <c r="AB940" s="79"/>
      <c r="AC940" s="47" t="str">
        <f t="shared" si="14"/>
        <v>*</v>
      </c>
    </row>
    <row r="941" spans="1:29" x14ac:dyDescent="0.25">
      <c r="A941" s="36">
        <v>74081</v>
      </c>
      <c r="B941" s="68" t="s">
        <v>1302</v>
      </c>
      <c r="C941" s="33" t="s">
        <v>1317</v>
      </c>
      <c r="D941" s="32">
        <v>72</v>
      </c>
      <c r="E941" s="37">
        <v>6</v>
      </c>
      <c r="F941" s="38" t="str">
        <f>VLOOKUP(tabPontoPed[[#This Row],[GRUPO]],tabGrupos[#Data],2,FALSE)</f>
        <v>MAQ.EQUIP.E MATERIAIS P/ HIGIEN.LIMP.POLIM.E LUBR.</v>
      </c>
      <c r="G941" s="32" t="str">
        <f>VLOOKUP(tabPontoPed[[#This Row],[GRUPO]],tabGrupos[#Data],3,FALSE)</f>
        <v>ADM</v>
      </c>
      <c r="H941" s="33" t="s">
        <v>1321</v>
      </c>
      <c r="I941" s="80">
        <v>3</v>
      </c>
      <c r="J941" s="39">
        <v>5</v>
      </c>
      <c r="K941" s="41">
        <f>tabPontoPed[[#This Row],[QTDMÊS]] * tabPontoPed[[#This Row],[MENSAL]]</f>
        <v>15</v>
      </c>
      <c r="L941" s="83"/>
      <c r="M941" s="81"/>
      <c r="N941" s="34" t="s">
        <v>1009</v>
      </c>
      <c r="O941" s="76" t="s">
        <v>1639</v>
      </c>
      <c r="P941" s="77">
        <v>17</v>
      </c>
      <c r="Q941" s="57">
        <v>4</v>
      </c>
      <c r="R941" s="42">
        <v>21</v>
      </c>
      <c r="S941" s="69" t="str">
        <f>_xlfn.IFNA(IF(VLOOKUP(tabPontoPed[[#This Row],[CÓDIGO]],tabExcluirDoEstoque[#Data],1,FALSE),"sim",""),"")</f>
        <v>sim</v>
      </c>
      <c r="T941" s="43">
        <f>IF(AND(tabPontoPed[[#This Row],[MENSAL]]&gt;0,tabPontoPed[[#This Row],[CÁLCULO]]&gt;0), ABS( tabPontoPed[[#This Row],[MENSAL]] - tabPontoPed[[#This Row],[CÁLCULO]] ) / tabPontoPed[[#This Row],[MENSAL]], -1 )</f>
        <v>3.2</v>
      </c>
      <c r="U941" s="58">
        <v>72</v>
      </c>
      <c r="V941" s="35">
        <f>IF(AND(tabPontoPed[[#This Row],[MENSAL]]&gt;0,tabPontoPed[[#This Row],[CÁLCULO]]&gt;0), IF( tabPontoPed[[#This Row],[MENSAL]] - tabPontoPed[[#This Row],[CÁLCULO]] &lt; 0, -1, IF( tabPontoPed[[#This Row],[MENSAL]] - tabPontoPed[[#This Row],[CÁLCULO]] &gt; 0, 1, -8)), -9 )</f>
        <v>-1</v>
      </c>
      <c r="W941" s="35"/>
      <c r="X941" s="48" t="s">
        <v>1450</v>
      </c>
      <c r="Y941" s="53">
        <v>43895.383240740739</v>
      </c>
      <c r="Z941" s="72">
        <f>tabPontoPed[CÁLC_4M] - tabPontoPed[CÁLCULO]</f>
        <v>-17</v>
      </c>
      <c r="AA941" s="79" t="str">
        <f>IF(tabPontoPed[MENSAL]-tabPontoPed[ATA MENSAL] = 0,"sim","")</f>
        <v/>
      </c>
      <c r="AB941" s="79"/>
      <c r="AC941" s="47" t="str">
        <f t="shared" si="14"/>
        <v>*</v>
      </c>
    </row>
    <row r="942" spans="1:29" x14ac:dyDescent="0.25">
      <c r="A942" s="36">
        <v>72174</v>
      </c>
      <c r="B942" s="68" t="s">
        <v>1301</v>
      </c>
      <c r="C942" s="33">
        <v>1</v>
      </c>
      <c r="D942" s="32">
        <v>72</v>
      </c>
      <c r="E942" s="37">
        <v>6</v>
      </c>
      <c r="F942" s="38" t="str">
        <f>VLOOKUP(tabPontoPed[[#This Row],[GRUPO]],tabGrupos[#Data],2,FALSE)</f>
        <v>MAQ.EQUIP.E MATERIAIS P/ HIGIEN.LIMP.POLIM.E LUBR.</v>
      </c>
      <c r="G942" s="32" t="str">
        <f>VLOOKUP(tabPontoPed[[#This Row],[GRUPO]],tabGrupos[#Data],3,FALSE)</f>
        <v>ADM</v>
      </c>
      <c r="H942" s="33" t="s">
        <v>1311</v>
      </c>
      <c r="I942" s="80">
        <v>4</v>
      </c>
      <c r="J942" s="39">
        <v>5</v>
      </c>
      <c r="K942" s="41">
        <f>tabPontoPed[[#This Row],[QTDMÊS]] * tabPontoPed[[#This Row],[MENSAL]]</f>
        <v>20</v>
      </c>
      <c r="L942" s="83"/>
      <c r="M942" s="81"/>
      <c r="N942" s="34" t="s">
        <v>1009</v>
      </c>
      <c r="O942" s="76" t="s">
        <v>1633</v>
      </c>
      <c r="P942" s="77">
        <v>0</v>
      </c>
      <c r="Q942" s="57">
        <v>4</v>
      </c>
      <c r="R942" s="42">
        <v>18</v>
      </c>
      <c r="S942" s="69" t="str">
        <f>_xlfn.IFNA(IF(VLOOKUP(tabPontoPed[[#This Row],[CÓDIGO]],tabExcluirDoEstoque[#Data],1,FALSE),"sim",""),"")</f>
        <v>sim</v>
      </c>
      <c r="T942" s="43">
        <f>IF(AND(tabPontoPed[[#This Row],[MENSAL]]&gt;0,tabPontoPed[[#This Row],[CÁLCULO]]&gt;0), ABS( tabPontoPed[[#This Row],[MENSAL]] - tabPontoPed[[#This Row],[CÁLCULO]] ) / tabPontoPed[[#This Row],[MENSAL]], -1 )</f>
        <v>2.6</v>
      </c>
      <c r="U942" s="58">
        <v>116</v>
      </c>
      <c r="V942" s="35">
        <f>IF(AND(tabPontoPed[[#This Row],[MENSAL]]&gt;0,tabPontoPed[[#This Row],[CÁLCULO]]&gt;0), IF( tabPontoPed[[#This Row],[MENSAL]] - tabPontoPed[[#This Row],[CÁLCULO]] &lt; 0, -1, IF( tabPontoPed[[#This Row],[MENSAL]] - tabPontoPed[[#This Row],[CÁLCULO]] &gt; 0, 1, -8)), -9 )</f>
        <v>-1</v>
      </c>
      <c r="W942" s="35"/>
      <c r="X942" s="48" t="s">
        <v>1564</v>
      </c>
      <c r="Y942" s="53">
        <v>44391.599108796298</v>
      </c>
      <c r="Z942" s="72">
        <f>tabPontoPed[CÁLC_4M] - tabPontoPed[CÁLCULO]</f>
        <v>-14</v>
      </c>
      <c r="AA942" s="79" t="str">
        <f>IF(tabPontoPed[MENSAL]-tabPontoPed[ATA MENSAL] = 0,"sim","")</f>
        <v/>
      </c>
      <c r="AB942" s="79"/>
      <c r="AC942" s="47" t="str">
        <f t="shared" si="14"/>
        <v>*</v>
      </c>
    </row>
    <row r="943" spans="1:29" ht="18.75" x14ac:dyDescent="0.25">
      <c r="A943" s="36">
        <v>12838</v>
      </c>
      <c r="B943" s="68" t="s">
        <v>8</v>
      </c>
      <c r="C943" s="33" t="s">
        <v>1317</v>
      </c>
      <c r="D943" s="32">
        <v>76</v>
      </c>
      <c r="E943" s="37">
        <v>6</v>
      </c>
      <c r="F943" s="38" t="str">
        <f>VLOOKUP(tabPontoPed[[#This Row],[GRUPO]],tabGrupos[#Data],2,FALSE)</f>
        <v>EQUIP. E MATERIAIS P/PINTURAS E IMPERMEABILIZACAO</v>
      </c>
      <c r="G943" s="32" t="str">
        <f>VLOOKUP(tabPontoPed[[#This Row],[GRUPO]],tabGrupos[#Data],3,FALSE)</f>
        <v>MPI</v>
      </c>
      <c r="H943" s="33" t="s">
        <v>1311</v>
      </c>
      <c r="I943" s="80">
        <v>4</v>
      </c>
      <c r="J943" s="39">
        <v>6</v>
      </c>
      <c r="K943" s="41">
        <f>tabPontoPed[[#This Row],[QTDMÊS]] * tabPontoPed[[#This Row],[MENSAL]]</f>
        <v>24</v>
      </c>
      <c r="L943" s="83"/>
      <c r="M943" s="81"/>
      <c r="N943" s="34" t="s">
        <v>1009</v>
      </c>
      <c r="O943" s="76" t="s">
        <v>1498</v>
      </c>
      <c r="P943" s="77">
        <v>25</v>
      </c>
      <c r="Q943" s="57">
        <v>36</v>
      </c>
      <c r="R943" s="42">
        <v>18</v>
      </c>
      <c r="S943" s="69" t="str">
        <f>_xlfn.IFNA(IF(VLOOKUP(tabPontoPed[[#This Row],[CÓDIGO]],tabExcluirDoEstoque[#Data],1,FALSE),"sim",""),"")</f>
        <v>sim</v>
      </c>
      <c r="T943" s="43">
        <f>IF(AND(tabPontoPed[[#This Row],[MENSAL]]&gt;0,tabPontoPed[[#This Row],[CÁLCULO]]&gt;0), ABS( tabPontoPed[[#This Row],[MENSAL]] - tabPontoPed[[#This Row],[CÁLCULO]] ) / tabPontoPed[[#This Row],[MENSAL]], -1 )</f>
        <v>2</v>
      </c>
      <c r="U943" s="58">
        <v>118</v>
      </c>
      <c r="V943" s="35">
        <f>IF(AND(tabPontoPed[[#This Row],[MENSAL]]&gt;0,tabPontoPed[[#This Row],[CÁLCULO]]&gt;0), IF( tabPontoPed[[#This Row],[MENSAL]] - tabPontoPed[[#This Row],[CÁLCULO]] &lt; 0, -1, IF( tabPontoPed[[#This Row],[MENSAL]] - tabPontoPed[[#This Row],[CÁLCULO]] &gt; 0, 1, -8)), -9 )</f>
        <v>-1</v>
      </c>
      <c r="W943" s="45"/>
      <c r="X943" s="48" t="s">
        <v>1564</v>
      </c>
      <c r="Y943" s="53">
        <v>44391.599108796298</v>
      </c>
      <c r="Z943" s="72">
        <f>tabPontoPed[CÁLC_4M] - tabPontoPed[CÁLCULO]</f>
        <v>18</v>
      </c>
      <c r="AA943" s="79" t="str">
        <f>IF(tabPontoPed[MENSAL]-tabPontoPed[ATA MENSAL] = 0,"sim","")</f>
        <v/>
      </c>
      <c r="AB943" s="79"/>
      <c r="AC943" s="47" t="str">
        <f t="shared" si="14"/>
        <v>*</v>
      </c>
    </row>
    <row r="944" spans="1:29" ht="18.75" x14ac:dyDescent="0.25">
      <c r="A944" s="36">
        <v>29935</v>
      </c>
      <c r="B944" s="68" t="s">
        <v>154</v>
      </c>
      <c r="C944" s="33" t="s">
        <v>1317</v>
      </c>
      <c r="D944" s="32">
        <v>76</v>
      </c>
      <c r="E944" s="37">
        <v>11</v>
      </c>
      <c r="F944" s="38" t="str">
        <f>VLOOKUP(tabPontoPed[[#This Row],[GRUPO]],tabGrupos[#Data],2,FALSE)</f>
        <v>EQUIP. E MATERIAIS P/PINTURAS E IMPERMEABILIZACAO</v>
      </c>
      <c r="G944" s="32" t="str">
        <f>VLOOKUP(tabPontoPed[[#This Row],[GRUPO]],tabGrupos[#Data],3,FALSE)</f>
        <v>MPI</v>
      </c>
      <c r="H944" s="33" t="s">
        <v>1311</v>
      </c>
      <c r="I944" s="80">
        <v>4</v>
      </c>
      <c r="J944" s="39">
        <v>3</v>
      </c>
      <c r="K944" s="41">
        <f>tabPontoPed[[#This Row],[QTDMÊS]] * tabPontoPed[[#This Row],[MENSAL]]</f>
        <v>12</v>
      </c>
      <c r="L944" s="83"/>
      <c r="M944" s="81"/>
      <c r="N944" s="34" t="s">
        <v>1009</v>
      </c>
      <c r="O944" s="76" t="s">
        <v>1498</v>
      </c>
      <c r="P944" s="77">
        <v>17</v>
      </c>
      <c r="Q944" s="57">
        <v>6</v>
      </c>
      <c r="R944" s="42">
        <v>8</v>
      </c>
      <c r="S944" s="69" t="str">
        <f>_xlfn.IFNA(IF(VLOOKUP(tabPontoPed[[#This Row],[CÓDIGO]],tabExcluirDoEstoque[#Data],1,FALSE),"sim",""),"")</f>
        <v>sim</v>
      </c>
      <c r="T944" s="43">
        <f>IF(AND(tabPontoPed[[#This Row],[MENSAL]]&gt;0,tabPontoPed[[#This Row],[CÁLCULO]]&gt;0), ABS( tabPontoPed[[#This Row],[MENSAL]] - tabPontoPed[[#This Row],[CÁLCULO]] ) / tabPontoPed[[#This Row],[MENSAL]], -1 )</f>
        <v>1.6666666666666667</v>
      </c>
      <c r="U944" s="58">
        <v>30</v>
      </c>
      <c r="V944" s="35">
        <f>IF(AND(tabPontoPed[[#This Row],[MENSAL]]&gt;0,tabPontoPed[[#This Row],[CÁLCULO]]&gt;0), IF( tabPontoPed[[#This Row],[MENSAL]] - tabPontoPed[[#This Row],[CÁLCULO]] &lt; 0, -1, IF( tabPontoPed[[#This Row],[MENSAL]] - tabPontoPed[[#This Row],[CÁLCULO]] &gt; 0, 1, -8)), -9 )</f>
        <v>-1</v>
      </c>
      <c r="W944" s="45"/>
      <c r="X944" s="48" t="s">
        <v>1564</v>
      </c>
      <c r="Y944" s="53">
        <v>44391.599108796298</v>
      </c>
      <c r="Z944" s="72">
        <f>tabPontoPed[CÁLC_4M] - tabPontoPed[CÁLCULO]</f>
        <v>-2</v>
      </c>
      <c r="AA944" s="79" t="str">
        <f>IF(tabPontoPed[MENSAL]-tabPontoPed[ATA MENSAL] = 0,"sim","")</f>
        <v/>
      </c>
      <c r="AB944" s="79"/>
      <c r="AC944" s="47" t="str">
        <f t="shared" si="14"/>
        <v>*</v>
      </c>
    </row>
    <row r="945" spans="1:29" ht="18.75" x14ac:dyDescent="0.25">
      <c r="A945" s="36">
        <v>136038</v>
      </c>
      <c r="B945" s="68" t="s">
        <v>955</v>
      </c>
      <c r="C945" s="33" t="s">
        <v>1317</v>
      </c>
      <c r="D945" s="32">
        <v>76</v>
      </c>
      <c r="E945" s="37">
        <v>3</v>
      </c>
      <c r="F945" s="38" t="str">
        <f>VLOOKUP(tabPontoPed[[#This Row],[GRUPO]],tabGrupos[#Data],2,FALSE)</f>
        <v>EQUIP. E MATERIAIS P/PINTURAS E IMPERMEABILIZACAO</v>
      </c>
      <c r="G945" s="32" t="str">
        <f>VLOOKUP(tabPontoPed[[#This Row],[GRUPO]],tabGrupos[#Data],3,FALSE)</f>
        <v>MPI</v>
      </c>
      <c r="H945" s="33" t="s">
        <v>1311</v>
      </c>
      <c r="I945" s="80">
        <v>4</v>
      </c>
      <c r="J945" s="39">
        <v>5</v>
      </c>
      <c r="K945" s="41">
        <f>tabPontoPed[[#This Row],[QTDMÊS]] * tabPontoPed[[#This Row],[MENSAL]]</f>
        <v>20</v>
      </c>
      <c r="L945" s="83"/>
      <c r="M945" s="81"/>
      <c r="N945" s="34" t="s">
        <v>1009</v>
      </c>
      <c r="O945" s="76" t="s">
        <v>1640</v>
      </c>
      <c r="P945" s="77">
        <v>14</v>
      </c>
      <c r="Q945" s="57">
        <v>11</v>
      </c>
      <c r="R945" s="42">
        <v>11</v>
      </c>
      <c r="S945" s="69" t="str">
        <f>_xlfn.IFNA(IF(VLOOKUP(tabPontoPed[[#This Row],[CÓDIGO]],tabExcluirDoEstoque[#Data],1,FALSE),"sim",""),"")</f>
        <v>sim</v>
      </c>
      <c r="T945" s="43">
        <f>IF(AND(tabPontoPed[[#This Row],[MENSAL]]&gt;0,tabPontoPed[[#This Row],[CÁLCULO]]&gt;0), ABS( tabPontoPed[[#This Row],[MENSAL]] - tabPontoPed[[#This Row],[CÁLCULO]] ) / tabPontoPed[[#This Row],[MENSAL]], -1 )</f>
        <v>1.2</v>
      </c>
      <c r="U945" s="58">
        <v>27</v>
      </c>
      <c r="V945" s="35">
        <f>IF(AND(tabPontoPed[[#This Row],[MENSAL]]&gt;0,tabPontoPed[[#This Row],[CÁLCULO]]&gt;0), IF( tabPontoPed[[#This Row],[MENSAL]] - tabPontoPed[[#This Row],[CÁLCULO]] &lt; 0, -1, IF( tabPontoPed[[#This Row],[MENSAL]] - tabPontoPed[[#This Row],[CÁLCULO]] &gt; 0, 1, -8)), -9 )</f>
        <v>-1</v>
      </c>
      <c r="W945" s="45"/>
      <c r="X945" s="48" t="s">
        <v>1564</v>
      </c>
      <c r="Y945" s="53">
        <v>44391.599108796298</v>
      </c>
      <c r="Z945" s="72">
        <f>tabPontoPed[CÁLC_4M] - tabPontoPed[CÁLCULO]</f>
        <v>0</v>
      </c>
      <c r="AA945" s="79" t="str">
        <f>IF(tabPontoPed[MENSAL]-tabPontoPed[ATA MENSAL] = 0,"sim","")</f>
        <v/>
      </c>
      <c r="AB945" s="79"/>
      <c r="AC945" s="47" t="str">
        <f t="shared" si="14"/>
        <v>*</v>
      </c>
    </row>
    <row r="946" spans="1:29" ht="18.75" x14ac:dyDescent="0.25">
      <c r="A946" s="36">
        <v>64822</v>
      </c>
      <c r="B946" s="68" t="s">
        <v>173</v>
      </c>
      <c r="C946" s="33" t="s">
        <v>1317</v>
      </c>
      <c r="D946" s="32">
        <v>76</v>
      </c>
      <c r="E946" s="37">
        <v>9</v>
      </c>
      <c r="F946" s="38" t="str">
        <f>VLOOKUP(tabPontoPed[[#This Row],[GRUPO]],tabGrupos[#Data],2,FALSE)</f>
        <v>EQUIP. E MATERIAIS P/PINTURAS E IMPERMEABILIZACAO</v>
      </c>
      <c r="G946" s="32" t="str">
        <f>VLOOKUP(tabPontoPed[[#This Row],[GRUPO]],tabGrupos[#Data],3,FALSE)</f>
        <v>MPI</v>
      </c>
      <c r="H946" s="33" t="s">
        <v>1311</v>
      </c>
      <c r="I946" s="80">
        <v>4</v>
      </c>
      <c r="J946" s="39">
        <v>2</v>
      </c>
      <c r="K946" s="41">
        <f>tabPontoPed[[#This Row],[QTDMÊS]] * tabPontoPed[[#This Row],[MENSAL]]</f>
        <v>8</v>
      </c>
      <c r="L946" s="83"/>
      <c r="M946" s="81"/>
      <c r="N946" s="34" t="s">
        <v>1009</v>
      </c>
      <c r="O946" s="76" t="s">
        <v>1498</v>
      </c>
      <c r="P946" s="77">
        <v>2</v>
      </c>
      <c r="Q946" s="57">
        <v>1</v>
      </c>
      <c r="R946" s="42">
        <v>4</v>
      </c>
      <c r="S946" s="69" t="str">
        <f>_xlfn.IFNA(IF(VLOOKUP(tabPontoPed[[#This Row],[CÓDIGO]],tabExcluirDoEstoque[#Data],1,FALSE),"sim",""),"")</f>
        <v>sim</v>
      </c>
      <c r="T946" s="43">
        <f>IF(AND(tabPontoPed[[#This Row],[MENSAL]]&gt;0,tabPontoPed[[#This Row],[CÁLCULO]]&gt;0), ABS( tabPontoPed[[#This Row],[MENSAL]] - tabPontoPed[[#This Row],[CÁLCULO]] ) / tabPontoPed[[#This Row],[MENSAL]], -1 )</f>
        <v>1</v>
      </c>
      <c r="U946" s="58">
        <v>19</v>
      </c>
      <c r="V946" s="35">
        <f>IF(AND(tabPontoPed[[#This Row],[MENSAL]]&gt;0,tabPontoPed[[#This Row],[CÁLCULO]]&gt;0), IF( tabPontoPed[[#This Row],[MENSAL]] - tabPontoPed[[#This Row],[CÁLCULO]] &lt; 0, -1, IF( tabPontoPed[[#This Row],[MENSAL]] - tabPontoPed[[#This Row],[CÁLCULO]] &gt; 0, 1, -8)), -9 )</f>
        <v>-1</v>
      </c>
      <c r="W946" s="45"/>
      <c r="X946" s="48" t="s">
        <v>1564</v>
      </c>
      <c r="Y946" s="53">
        <v>44391.599108796298</v>
      </c>
      <c r="Z946" s="72">
        <f>tabPontoPed[CÁLC_4M] - tabPontoPed[CÁLCULO]</f>
        <v>-3</v>
      </c>
      <c r="AA946" s="79" t="str">
        <f>IF(tabPontoPed[MENSAL]-tabPontoPed[ATA MENSAL] = 0,"sim","")</f>
        <v>sim</v>
      </c>
      <c r="AB946" s="79" t="s">
        <v>1614</v>
      </c>
      <c r="AC946" s="47" t="str">
        <f t="shared" si="14"/>
        <v>*</v>
      </c>
    </row>
    <row r="947" spans="1:29" ht="18.75" x14ac:dyDescent="0.25">
      <c r="A947" s="36">
        <v>32487</v>
      </c>
      <c r="B947" s="68" t="s">
        <v>233</v>
      </c>
      <c r="C947" s="33" t="s">
        <v>1317</v>
      </c>
      <c r="D947" s="32">
        <v>76</v>
      </c>
      <c r="E947" s="37">
        <v>9</v>
      </c>
      <c r="F947" s="38" t="str">
        <f>VLOOKUP(tabPontoPed[[#This Row],[GRUPO]],tabGrupos[#Data],2,FALSE)</f>
        <v>EQUIP. E MATERIAIS P/PINTURAS E IMPERMEABILIZACAO</v>
      </c>
      <c r="G947" s="32" t="str">
        <f>VLOOKUP(tabPontoPed[[#This Row],[GRUPO]],tabGrupos[#Data],3,FALSE)</f>
        <v>MPI</v>
      </c>
      <c r="H947" s="33" t="s">
        <v>1311</v>
      </c>
      <c r="I947" s="80">
        <v>4</v>
      </c>
      <c r="J947" s="39">
        <v>2</v>
      </c>
      <c r="K947" s="41">
        <f>tabPontoPed[[#This Row],[QTDMÊS]] * tabPontoPed[[#This Row],[MENSAL]]</f>
        <v>8</v>
      </c>
      <c r="L947" s="83"/>
      <c r="M947" s="81"/>
      <c r="N947" s="34" t="s">
        <v>1009</v>
      </c>
      <c r="O947" s="76" t="s">
        <v>1498</v>
      </c>
      <c r="P947" s="77">
        <v>4</v>
      </c>
      <c r="Q947" s="57">
        <v>4</v>
      </c>
      <c r="R947" s="42">
        <v>4</v>
      </c>
      <c r="S947" s="69" t="str">
        <f>_xlfn.IFNA(IF(VLOOKUP(tabPontoPed[[#This Row],[CÓDIGO]],tabExcluirDoEstoque[#Data],1,FALSE),"sim",""),"")</f>
        <v>sim</v>
      </c>
      <c r="T947" s="43">
        <f>IF(AND(tabPontoPed[[#This Row],[MENSAL]]&gt;0,tabPontoPed[[#This Row],[CÁLCULO]]&gt;0), ABS( tabPontoPed[[#This Row],[MENSAL]] - tabPontoPed[[#This Row],[CÁLCULO]] ) / tabPontoPed[[#This Row],[MENSAL]], -1 )</f>
        <v>1</v>
      </c>
      <c r="U947" s="58">
        <v>14</v>
      </c>
      <c r="V947" s="35">
        <f>IF(AND(tabPontoPed[[#This Row],[MENSAL]]&gt;0,tabPontoPed[[#This Row],[CÁLCULO]]&gt;0), IF( tabPontoPed[[#This Row],[MENSAL]] - tabPontoPed[[#This Row],[CÁLCULO]] &lt; 0, -1, IF( tabPontoPed[[#This Row],[MENSAL]] - tabPontoPed[[#This Row],[CÁLCULO]] &gt; 0, 1, -8)), -9 )</f>
        <v>-1</v>
      </c>
      <c r="W947" s="45"/>
      <c r="X947" s="48" t="s">
        <v>1564</v>
      </c>
      <c r="Y947" s="53">
        <v>44391.599108796298</v>
      </c>
      <c r="Z947" s="72">
        <f>tabPontoPed[CÁLC_4M] - tabPontoPed[CÁLCULO]</f>
        <v>0</v>
      </c>
      <c r="AA947" s="79" t="str">
        <f>IF(tabPontoPed[MENSAL]-tabPontoPed[ATA MENSAL] = 0,"sim","")</f>
        <v/>
      </c>
      <c r="AB947" s="79"/>
      <c r="AC947" s="47" t="str">
        <f t="shared" si="14"/>
        <v>*</v>
      </c>
    </row>
    <row r="948" spans="1:29" x14ac:dyDescent="0.25">
      <c r="A948" s="36">
        <v>129959</v>
      </c>
      <c r="B948" s="68" t="s">
        <v>115</v>
      </c>
      <c r="C948" s="33" t="s">
        <v>1317</v>
      </c>
      <c r="D948" s="32">
        <v>55</v>
      </c>
      <c r="E948" s="37">
        <v>19</v>
      </c>
      <c r="F948" s="38" t="str">
        <f>VLOOKUP(tabPontoPed[[#This Row],[GRUPO]],tabGrupos[#Data],2,FALSE)</f>
        <v>EQUIP. MAT. P/ GERACAO, TRANSM. DISTR. RETIF...</v>
      </c>
      <c r="G948" s="32" t="str">
        <f>VLOOKUP(tabPontoPed[[#This Row],[GRUPO]],tabGrupos[#Data],3,FALSE)</f>
        <v>MEL</v>
      </c>
      <c r="H948" s="33" t="s">
        <v>1311</v>
      </c>
      <c r="I948" s="80">
        <v>4</v>
      </c>
      <c r="J948" s="39">
        <v>17</v>
      </c>
      <c r="K948" s="41">
        <f>tabPontoPed[[#This Row],[QTDMÊS]] * tabPontoPed[[#This Row],[MENSAL]]</f>
        <v>68</v>
      </c>
      <c r="L948" s="83"/>
      <c r="M948" s="81"/>
      <c r="N948" s="34" t="s">
        <v>1009</v>
      </c>
      <c r="O948" s="76" t="s">
        <v>1454</v>
      </c>
      <c r="P948" s="77">
        <v>17</v>
      </c>
      <c r="Q948" s="57">
        <v>0</v>
      </c>
      <c r="R948" s="42">
        <v>1</v>
      </c>
      <c r="S948" s="69" t="str">
        <f>_xlfn.IFNA(IF(VLOOKUP(tabPontoPed[[#This Row],[CÓDIGO]],tabExcluirDoEstoque[#Data],1,FALSE),"sim",""),"")</f>
        <v>sim</v>
      </c>
      <c r="T948" s="43">
        <f>IF(AND(tabPontoPed[[#This Row],[MENSAL]]&gt;0,tabPontoPed[[#This Row],[CÁLCULO]]&gt;0), ABS( tabPontoPed[[#This Row],[MENSAL]] - tabPontoPed[[#This Row],[CÁLCULO]] ) / tabPontoPed[[#This Row],[MENSAL]], -1 )</f>
        <v>0.94117647058823528</v>
      </c>
      <c r="U948" s="58">
        <v>4</v>
      </c>
      <c r="V948" s="35">
        <f>IF(AND(tabPontoPed[[#This Row],[MENSAL]]&gt;0,tabPontoPed[[#This Row],[CÁLCULO]]&gt;0), IF( tabPontoPed[[#This Row],[MENSAL]] - tabPontoPed[[#This Row],[CÁLCULO]] &lt; 0, -1, IF( tabPontoPed[[#This Row],[MENSAL]] - tabPontoPed[[#This Row],[CÁLCULO]] &gt; 0, 1, -8)), -9 )</f>
        <v>1</v>
      </c>
      <c r="W948" s="35"/>
      <c r="X948" s="49" t="s">
        <v>1564</v>
      </c>
      <c r="Y948" s="51">
        <v>44391.599108796298</v>
      </c>
      <c r="Z948" s="72">
        <f>tabPontoPed[CÁLC_4M] - tabPontoPed[CÁLCULO]</f>
        <v>-1</v>
      </c>
      <c r="AA948" s="79" t="str">
        <f>IF(tabPontoPed[MENSAL]-tabPontoPed[ATA MENSAL] = 0,"sim","")</f>
        <v>sim</v>
      </c>
      <c r="AB948" s="79" t="s">
        <v>1614</v>
      </c>
      <c r="AC948" s="47" t="str">
        <f t="shared" si="14"/>
        <v>*</v>
      </c>
    </row>
    <row r="949" spans="1:29" x14ac:dyDescent="0.25">
      <c r="A949" s="36">
        <v>123371</v>
      </c>
      <c r="B949" s="68" t="s">
        <v>132</v>
      </c>
      <c r="C949" s="33" t="s">
        <v>1317</v>
      </c>
      <c r="D949" s="32">
        <v>55</v>
      </c>
      <c r="E949" s="37">
        <v>19</v>
      </c>
      <c r="F949" s="38" t="str">
        <f>VLOOKUP(tabPontoPed[[#This Row],[GRUPO]],tabGrupos[#Data],2,FALSE)</f>
        <v>EQUIP. MAT. P/ GERACAO, TRANSM. DISTR. RETIF...</v>
      </c>
      <c r="G949" s="32" t="str">
        <f>VLOOKUP(tabPontoPed[[#This Row],[GRUPO]],tabGrupos[#Data],3,FALSE)</f>
        <v>MEL</v>
      </c>
      <c r="H949" s="33" t="s">
        <v>1311</v>
      </c>
      <c r="I949" s="80">
        <v>4</v>
      </c>
      <c r="J949" s="39">
        <v>33</v>
      </c>
      <c r="K949" s="41">
        <f>tabPontoPed[[#This Row],[QTDMÊS]] * tabPontoPed[[#This Row],[MENSAL]]</f>
        <v>132</v>
      </c>
      <c r="L949" s="83"/>
      <c r="M949" s="81"/>
      <c r="N949" s="34" t="s">
        <v>1009</v>
      </c>
      <c r="O949" s="76" t="s">
        <v>1454</v>
      </c>
      <c r="P949" s="77">
        <v>34</v>
      </c>
      <c r="Q949" s="57">
        <v>0</v>
      </c>
      <c r="R949" s="42">
        <v>2</v>
      </c>
      <c r="S949" s="69" t="str">
        <f>_xlfn.IFNA(IF(VLOOKUP(tabPontoPed[[#This Row],[CÓDIGO]],tabExcluirDoEstoque[#Data],1,FALSE),"sim",""),"")</f>
        <v>sim</v>
      </c>
      <c r="T949" s="43">
        <f>IF(AND(tabPontoPed[[#This Row],[MENSAL]]&gt;0,tabPontoPed[[#This Row],[CÁLCULO]]&gt;0), ABS( tabPontoPed[[#This Row],[MENSAL]] - tabPontoPed[[#This Row],[CÁLCULO]] ) / tabPontoPed[[#This Row],[MENSAL]], -1 )</f>
        <v>0.93939393939393945</v>
      </c>
      <c r="U949" s="58">
        <v>18</v>
      </c>
      <c r="V949" s="35">
        <f>IF(AND(tabPontoPed[[#This Row],[MENSAL]]&gt;0,tabPontoPed[[#This Row],[CÁLCULO]]&gt;0), IF( tabPontoPed[[#This Row],[MENSAL]] - tabPontoPed[[#This Row],[CÁLCULO]] &lt; 0, -1, IF( tabPontoPed[[#This Row],[MENSAL]] - tabPontoPed[[#This Row],[CÁLCULO]] &gt; 0, 1, -8)), -9 )</f>
        <v>1</v>
      </c>
      <c r="W949" s="35"/>
      <c r="X949" s="49" t="s">
        <v>1564</v>
      </c>
      <c r="Y949" s="51">
        <v>44391.599108796298</v>
      </c>
      <c r="Z949" s="72">
        <f>tabPontoPed[CÁLC_4M] - tabPontoPed[CÁLCULO]</f>
        <v>-2</v>
      </c>
      <c r="AA949" s="79" t="str">
        <f>IF(tabPontoPed[MENSAL]-tabPontoPed[ATA MENSAL] = 0,"sim","")</f>
        <v/>
      </c>
      <c r="AB949" s="79"/>
      <c r="AC949" s="47" t="str">
        <f t="shared" si="14"/>
        <v>*</v>
      </c>
    </row>
    <row r="950" spans="1:29" x14ac:dyDescent="0.25">
      <c r="A950" s="36">
        <v>77380</v>
      </c>
      <c r="B950" s="68" t="s">
        <v>1303</v>
      </c>
      <c r="C950" s="33" t="s">
        <v>1317</v>
      </c>
      <c r="D950" s="32">
        <v>72</v>
      </c>
      <c r="E950" s="37">
        <v>6</v>
      </c>
      <c r="F950" s="38" t="str">
        <f>VLOOKUP(tabPontoPed[[#This Row],[GRUPO]],tabGrupos[#Data],2,FALSE)</f>
        <v>MAQ.EQUIP.E MATERIAIS P/ HIGIEN.LIMP.POLIM.E LUBR.</v>
      </c>
      <c r="G950" s="32" t="str">
        <f>VLOOKUP(tabPontoPed[[#This Row],[GRUPO]],tabGrupos[#Data],3,FALSE)</f>
        <v>ADM</v>
      </c>
      <c r="H950" s="33" t="s">
        <v>1311</v>
      </c>
      <c r="I950" s="80">
        <v>4</v>
      </c>
      <c r="J950" s="39">
        <v>15</v>
      </c>
      <c r="K950" s="41">
        <f>tabPontoPed[[#This Row],[QTDMÊS]] * tabPontoPed[[#This Row],[MENSAL]]</f>
        <v>60</v>
      </c>
      <c r="L950" s="83"/>
      <c r="M950" s="81"/>
      <c r="N950" s="34" t="s">
        <v>1009</v>
      </c>
      <c r="O950" s="76" t="s">
        <v>1607</v>
      </c>
      <c r="P950" s="77">
        <v>0</v>
      </c>
      <c r="Q950" s="57">
        <v>0</v>
      </c>
      <c r="R950" s="42">
        <v>1</v>
      </c>
      <c r="S950" s="69" t="str">
        <f>_xlfn.IFNA(IF(VLOOKUP(tabPontoPed[[#This Row],[CÓDIGO]],tabExcluirDoEstoque[#Data],1,FALSE),"sim",""),"")</f>
        <v>sim</v>
      </c>
      <c r="T950" s="43">
        <f>IF(AND(tabPontoPed[[#This Row],[MENSAL]]&gt;0,tabPontoPed[[#This Row],[CÁLCULO]]&gt;0), ABS( tabPontoPed[[#This Row],[MENSAL]] - tabPontoPed[[#This Row],[CÁLCULO]] ) / tabPontoPed[[#This Row],[MENSAL]], -1 )</f>
        <v>0.93333333333333335</v>
      </c>
      <c r="U950" s="58">
        <v>0</v>
      </c>
      <c r="V950" s="35">
        <f>IF(AND(tabPontoPed[[#This Row],[MENSAL]]&gt;0,tabPontoPed[[#This Row],[CÁLCULO]]&gt;0), IF( tabPontoPed[[#This Row],[MENSAL]] - tabPontoPed[[#This Row],[CÁLCULO]] &lt; 0, -1, IF( tabPontoPed[[#This Row],[MENSAL]] - tabPontoPed[[#This Row],[CÁLCULO]] &gt; 0, 1, -8)), -9 )</f>
        <v>1</v>
      </c>
      <c r="W950" s="35"/>
      <c r="X950" s="49" t="s">
        <v>1564</v>
      </c>
      <c r="Y950" s="51">
        <v>44391.599108796298</v>
      </c>
      <c r="Z950" s="72">
        <f>tabPontoPed[CÁLC_4M] - tabPontoPed[CÁLCULO]</f>
        <v>-1</v>
      </c>
      <c r="AA950" s="79" t="str">
        <f>IF(tabPontoPed[MENSAL]-tabPontoPed[ATA MENSAL] = 0,"sim","")</f>
        <v/>
      </c>
      <c r="AB950" s="79"/>
      <c r="AC950" s="47" t="str">
        <f t="shared" si="14"/>
        <v>*</v>
      </c>
    </row>
    <row r="951" spans="1:29" x14ac:dyDescent="0.25">
      <c r="A951" s="36">
        <v>17663</v>
      </c>
      <c r="B951" s="68" t="s">
        <v>979</v>
      </c>
      <c r="C951" s="33" t="s">
        <v>1317</v>
      </c>
      <c r="D951" s="32">
        <v>83</v>
      </c>
      <c r="E951" s="37">
        <v>2</v>
      </c>
      <c r="F951" s="38" t="str">
        <f>VLOOKUP(tabPontoPed[[#This Row],[GRUPO]],tabGrupos[#Data],2,FALSE)</f>
        <v>ABRASIVOS</v>
      </c>
      <c r="G951" s="32" t="str">
        <f>VLOOKUP(tabPontoPed[[#This Row],[GRUPO]],tabGrupos[#Data],3,FALSE)</f>
        <v>MAN</v>
      </c>
      <c r="H951" s="33" t="s">
        <v>1311</v>
      </c>
      <c r="I951" s="80">
        <v>4</v>
      </c>
      <c r="J951" s="39">
        <v>34</v>
      </c>
      <c r="K951" s="41">
        <f>tabPontoPed[[#This Row],[QTDMÊS]] * tabPontoPed[[#This Row],[MENSAL]]</f>
        <v>136</v>
      </c>
      <c r="L951" s="83"/>
      <c r="M951" s="81"/>
      <c r="N951" s="34" t="s">
        <v>1009</v>
      </c>
      <c r="O951" s="76" t="s">
        <v>1608</v>
      </c>
      <c r="P951" s="77">
        <v>0</v>
      </c>
      <c r="Q951" s="57">
        <v>3</v>
      </c>
      <c r="R951" s="42">
        <v>4</v>
      </c>
      <c r="S951" s="69" t="str">
        <f>_xlfn.IFNA(IF(VLOOKUP(tabPontoPed[[#This Row],[CÓDIGO]],tabExcluirDoEstoque[#Data],1,FALSE),"sim",""),"")</f>
        <v>sim</v>
      </c>
      <c r="T951" s="43">
        <f>IF(AND(tabPontoPed[[#This Row],[MENSAL]]&gt;0,tabPontoPed[[#This Row],[CÁLCULO]]&gt;0), ABS( tabPontoPed[[#This Row],[MENSAL]] - tabPontoPed[[#This Row],[CÁLCULO]] ) / tabPontoPed[[#This Row],[MENSAL]], -1 )</f>
        <v>0.88235294117647056</v>
      </c>
      <c r="U951" s="58">
        <v>6</v>
      </c>
      <c r="V951" s="35">
        <f>IF(AND(tabPontoPed[[#This Row],[MENSAL]]&gt;0,tabPontoPed[[#This Row],[CÁLCULO]]&gt;0), IF( tabPontoPed[[#This Row],[MENSAL]] - tabPontoPed[[#This Row],[CÁLCULO]] &lt; 0, -1, IF( tabPontoPed[[#This Row],[MENSAL]] - tabPontoPed[[#This Row],[CÁLCULO]] &gt; 0, 1, -8)), -9 )</f>
        <v>1</v>
      </c>
      <c r="W951" s="35"/>
      <c r="X951" s="48" t="s">
        <v>1564</v>
      </c>
      <c r="Y951" s="53">
        <v>44391.599108796298</v>
      </c>
      <c r="Z951" s="72">
        <f>tabPontoPed[CÁLC_4M] - tabPontoPed[CÁLCULO]</f>
        <v>-1</v>
      </c>
      <c r="AA951" s="79" t="str">
        <f>IF(tabPontoPed[MENSAL]-tabPontoPed[ATA MENSAL] = 0,"sim","")</f>
        <v/>
      </c>
      <c r="AB951" s="79"/>
      <c r="AC951" s="47" t="str">
        <f t="shared" si="14"/>
        <v>*</v>
      </c>
    </row>
    <row r="952" spans="1:29" x14ac:dyDescent="0.25">
      <c r="A952" s="36">
        <v>58647</v>
      </c>
      <c r="B952" s="68" t="s">
        <v>547</v>
      </c>
      <c r="C952" s="33" t="s">
        <v>1317</v>
      </c>
      <c r="D952" s="32">
        <v>51</v>
      </c>
      <c r="E952" s="37">
        <v>30</v>
      </c>
      <c r="F952" s="38" t="str">
        <f>VLOOKUP(tabPontoPed[[#This Row],[GRUPO]],tabGrupos[#Data],2,FALSE)</f>
        <v>MAT.E EQUIP. P/ CONSTR.CIVIL E CONSERV. DE VIAS PUBL.</v>
      </c>
      <c r="G952" s="32" t="str">
        <f>VLOOKUP(tabPontoPed[[#This Row],[GRUPO]],tabGrupos[#Data],3,FALSE)</f>
        <v>MCO</v>
      </c>
      <c r="H952" s="33" t="s">
        <v>1311</v>
      </c>
      <c r="I952" s="80">
        <v>4</v>
      </c>
      <c r="J952" s="39">
        <v>8</v>
      </c>
      <c r="K952" s="41">
        <f>tabPontoPed[[#This Row],[QTDMÊS]] * tabPontoPed[[#This Row],[MENSAL]]</f>
        <v>32</v>
      </c>
      <c r="L952" s="83"/>
      <c r="M952" s="81"/>
      <c r="N952" s="34" t="s">
        <v>1010</v>
      </c>
      <c r="O952" s="76" t="s">
        <v>1423</v>
      </c>
      <c r="P952" s="77"/>
      <c r="Q952" s="57">
        <v>0</v>
      </c>
      <c r="R952" s="42">
        <v>1</v>
      </c>
      <c r="S952" s="69" t="str">
        <f>_xlfn.IFNA(IF(VLOOKUP(tabPontoPed[[#This Row],[CÓDIGO]],tabExcluirDoEstoque[#Data],1,FALSE),"sim",""),"")</f>
        <v>sim</v>
      </c>
      <c r="T952" s="43">
        <f>IF(AND(tabPontoPed[[#This Row],[MENSAL]]&gt;0,tabPontoPed[[#This Row],[CÁLCULO]]&gt;0), ABS( tabPontoPed[[#This Row],[MENSAL]] - tabPontoPed[[#This Row],[CÁLCULO]] ) / tabPontoPed[[#This Row],[MENSAL]], -1 )</f>
        <v>0.875</v>
      </c>
      <c r="U952" s="58">
        <v>0</v>
      </c>
      <c r="V952" s="35">
        <f>IF(AND(tabPontoPed[[#This Row],[MENSAL]]&gt;0,tabPontoPed[[#This Row],[CÁLCULO]]&gt;0), IF( tabPontoPed[[#This Row],[MENSAL]] - tabPontoPed[[#This Row],[CÁLCULO]] &lt; 0, -1, IF( tabPontoPed[[#This Row],[MENSAL]] - tabPontoPed[[#This Row],[CÁLCULO]] &gt; 0, 1, -8)), -9 )</f>
        <v>1</v>
      </c>
      <c r="W952" s="35"/>
      <c r="X952" s="49" t="s">
        <v>1564</v>
      </c>
      <c r="Y952" s="51">
        <v>44391.599108796298</v>
      </c>
      <c r="Z952" s="72">
        <f>tabPontoPed[CÁLC_4M] - tabPontoPed[CÁLCULO]</f>
        <v>-1</v>
      </c>
      <c r="AA952" s="79" t="str">
        <f>IF(tabPontoPed[MENSAL]-tabPontoPed[ATA MENSAL] = 0,"sim","")</f>
        <v/>
      </c>
      <c r="AB952" s="79"/>
      <c r="AC952" s="47" t="str">
        <f t="shared" si="14"/>
        <v>*</v>
      </c>
    </row>
    <row r="953" spans="1:29" x14ac:dyDescent="0.25">
      <c r="A953" s="36">
        <v>94627</v>
      </c>
      <c r="B953" s="68" t="s">
        <v>167</v>
      </c>
      <c r="C953" s="33" t="s">
        <v>1317</v>
      </c>
      <c r="D953" s="32">
        <v>83</v>
      </c>
      <c r="E953" s="37">
        <v>2</v>
      </c>
      <c r="F953" s="38" t="str">
        <f>VLOOKUP(tabPontoPed[[#This Row],[GRUPO]],tabGrupos[#Data],2,FALSE)</f>
        <v>ABRASIVOS</v>
      </c>
      <c r="G953" s="32" t="str">
        <f>VLOOKUP(tabPontoPed[[#This Row],[GRUPO]],tabGrupos[#Data],3,FALSE)</f>
        <v>MAN</v>
      </c>
      <c r="H953" s="33" t="s">
        <v>1311</v>
      </c>
      <c r="I953" s="80">
        <v>4</v>
      </c>
      <c r="J953" s="39">
        <v>42</v>
      </c>
      <c r="K953" s="41">
        <f>tabPontoPed[[#This Row],[QTDMÊS]] * tabPontoPed[[#This Row],[MENSAL]]</f>
        <v>168</v>
      </c>
      <c r="L953" s="83"/>
      <c r="M953" s="81"/>
      <c r="N953" s="34" t="s">
        <v>1009</v>
      </c>
      <c r="O953" s="76" t="s">
        <v>1498</v>
      </c>
      <c r="P953" s="77">
        <v>42</v>
      </c>
      <c r="Q953" s="57">
        <v>5</v>
      </c>
      <c r="R953" s="42">
        <v>6</v>
      </c>
      <c r="S953" s="69" t="str">
        <f>_xlfn.IFNA(IF(VLOOKUP(tabPontoPed[[#This Row],[CÓDIGO]],tabExcluirDoEstoque[#Data],1,FALSE),"sim",""),"")</f>
        <v>sim</v>
      </c>
      <c r="T953" s="43">
        <f>IF(AND(tabPontoPed[[#This Row],[MENSAL]]&gt;0,tabPontoPed[[#This Row],[CÁLCULO]]&gt;0), ABS( tabPontoPed[[#This Row],[MENSAL]] - tabPontoPed[[#This Row],[CÁLCULO]] ) / tabPontoPed[[#This Row],[MENSAL]], -1 )</f>
        <v>0.8571428571428571</v>
      </c>
      <c r="U953" s="58">
        <v>20</v>
      </c>
      <c r="V953" s="35">
        <f>IF(AND(tabPontoPed[[#This Row],[MENSAL]]&gt;0,tabPontoPed[[#This Row],[CÁLCULO]]&gt;0), IF( tabPontoPed[[#This Row],[MENSAL]] - tabPontoPed[[#This Row],[CÁLCULO]] &lt; 0, -1, IF( tabPontoPed[[#This Row],[MENSAL]] - tabPontoPed[[#This Row],[CÁLCULO]] &gt; 0, 1, -8)), -9 )</f>
        <v>1</v>
      </c>
      <c r="W953" s="35"/>
      <c r="X953" s="49" t="s">
        <v>1564</v>
      </c>
      <c r="Y953" s="51">
        <v>44391.599108796298</v>
      </c>
      <c r="Z953" s="72">
        <f>tabPontoPed[CÁLC_4M] - tabPontoPed[CÁLCULO]</f>
        <v>-1</v>
      </c>
      <c r="AA953" s="79" t="str">
        <f>IF(tabPontoPed[MENSAL]-tabPontoPed[ATA MENSAL] = 0,"sim","")</f>
        <v>sim</v>
      </c>
      <c r="AB953" s="79" t="s">
        <v>1614</v>
      </c>
      <c r="AC953" s="47" t="str">
        <f t="shared" si="14"/>
        <v>*</v>
      </c>
    </row>
    <row r="954" spans="1:29" x14ac:dyDescent="0.25">
      <c r="A954" s="36">
        <v>120477</v>
      </c>
      <c r="B954" s="68" t="s">
        <v>376</v>
      </c>
      <c r="C954" s="33" t="s">
        <v>1317</v>
      </c>
      <c r="D954" s="32">
        <v>55</v>
      </c>
      <c r="E954" s="37">
        <v>63</v>
      </c>
      <c r="F954" s="38" t="str">
        <f>VLOOKUP(tabPontoPed[[#This Row],[GRUPO]],tabGrupos[#Data],2,FALSE)</f>
        <v>EQUIP. MAT. P/ GERACAO, TRANSM. DISTR. RETIF...</v>
      </c>
      <c r="G954" s="32" t="str">
        <f>VLOOKUP(tabPontoPed[[#This Row],[GRUPO]],tabGrupos[#Data],3,FALSE)</f>
        <v>MEL</v>
      </c>
      <c r="H954" s="33" t="s">
        <v>1311</v>
      </c>
      <c r="I954" s="80">
        <v>4</v>
      </c>
      <c r="J954" s="39">
        <v>7</v>
      </c>
      <c r="K954" s="41">
        <f>tabPontoPed[[#This Row],[QTDMÊS]] * tabPontoPed[[#This Row],[MENSAL]]</f>
        <v>28</v>
      </c>
      <c r="L954" s="83"/>
      <c r="M954" s="81"/>
      <c r="N954" s="34" t="s">
        <v>1009</v>
      </c>
      <c r="O954" s="76" t="s">
        <v>1603</v>
      </c>
      <c r="P954" s="77">
        <v>0</v>
      </c>
      <c r="Q954" s="57">
        <v>1</v>
      </c>
      <c r="R954" s="42">
        <v>1</v>
      </c>
      <c r="S954" s="69" t="str">
        <f>_xlfn.IFNA(IF(VLOOKUP(tabPontoPed[[#This Row],[CÓDIGO]],tabExcluirDoEstoque[#Data],1,FALSE),"sim",""),"")</f>
        <v>sim</v>
      </c>
      <c r="T954" s="43">
        <f>IF(AND(tabPontoPed[[#This Row],[MENSAL]]&gt;0,tabPontoPed[[#This Row],[CÁLCULO]]&gt;0), ABS( tabPontoPed[[#This Row],[MENSAL]] - tabPontoPed[[#This Row],[CÁLCULO]] ) / tabPontoPed[[#This Row],[MENSAL]], -1 )</f>
        <v>0.8571428571428571</v>
      </c>
      <c r="U954" s="58">
        <v>10</v>
      </c>
      <c r="V954" s="35">
        <f>IF(AND(tabPontoPed[[#This Row],[MENSAL]]&gt;0,tabPontoPed[[#This Row],[CÁLCULO]]&gt;0), IF( tabPontoPed[[#This Row],[MENSAL]] - tabPontoPed[[#This Row],[CÁLCULO]] &lt; 0, -1, IF( tabPontoPed[[#This Row],[MENSAL]] - tabPontoPed[[#This Row],[CÁLCULO]] &gt; 0, 1, -8)), -9 )</f>
        <v>1</v>
      </c>
      <c r="W954" s="35"/>
      <c r="X954" s="49" t="s">
        <v>1564</v>
      </c>
      <c r="Y954" s="51">
        <v>44391.599108796298</v>
      </c>
      <c r="Z954" s="72">
        <f>tabPontoPed[CÁLC_4M] - tabPontoPed[CÁLCULO]</f>
        <v>0</v>
      </c>
      <c r="AA954" s="79" t="str">
        <f>IF(tabPontoPed[MENSAL]-tabPontoPed[ATA MENSAL] = 0,"sim","")</f>
        <v/>
      </c>
      <c r="AB954" s="79"/>
      <c r="AC954" s="47" t="str">
        <f t="shared" si="14"/>
        <v>*</v>
      </c>
    </row>
    <row r="955" spans="1:29" x14ac:dyDescent="0.25">
      <c r="A955" s="36">
        <v>108441</v>
      </c>
      <c r="B955" s="68" t="s">
        <v>378</v>
      </c>
      <c r="C955" s="33" t="s">
        <v>1317</v>
      </c>
      <c r="D955" s="32">
        <v>55</v>
      </c>
      <c r="E955" s="37">
        <v>65</v>
      </c>
      <c r="F955" s="38" t="str">
        <f>VLOOKUP(tabPontoPed[[#This Row],[GRUPO]],tabGrupos[#Data],2,FALSE)</f>
        <v>EQUIP. MAT. P/ GERACAO, TRANSM. DISTR. RETIF...</v>
      </c>
      <c r="G955" s="32" t="str">
        <f>VLOOKUP(tabPontoPed[[#This Row],[GRUPO]],tabGrupos[#Data],3,FALSE)</f>
        <v>MEL</v>
      </c>
      <c r="H955" s="33" t="s">
        <v>1311</v>
      </c>
      <c r="I955" s="80">
        <v>4</v>
      </c>
      <c r="J955" s="39">
        <v>7</v>
      </c>
      <c r="K955" s="41">
        <f>tabPontoPed[[#This Row],[QTDMÊS]] * tabPontoPed[[#This Row],[MENSAL]]</f>
        <v>28</v>
      </c>
      <c r="L955" s="83"/>
      <c r="M955" s="81"/>
      <c r="N955" s="34" t="s">
        <v>1009</v>
      </c>
      <c r="O955" s="76" t="s">
        <v>1603</v>
      </c>
      <c r="P955" s="77">
        <v>0</v>
      </c>
      <c r="Q955" s="57">
        <v>2</v>
      </c>
      <c r="R955" s="42">
        <v>1</v>
      </c>
      <c r="S955" s="69" t="str">
        <f>_xlfn.IFNA(IF(VLOOKUP(tabPontoPed[[#This Row],[CÓDIGO]],tabExcluirDoEstoque[#Data],1,FALSE),"sim",""),"")</f>
        <v>sim</v>
      </c>
      <c r="T955" s="43">
        <f>IF(AND(tabPontoPed[[#This Row],[MENSAL]]&gt;0,tabPontoPed[[#This Row],[CÁLCULO]]&gt;0), ABS( tabPontoPed[[#This Row],[MENSAL]] - tabPontoPed[[#This Row],[CÁLCULO]] ) / tabPontoPed[[#This Row],[MENSAL]], -1 )</f>
        <v>0.8571428571428571</v>
      </c>
      <c r="U955" s="58">
        <v>6</v>
      </c>
      <c r="V955" s="35">
        <f>IF(AND(tabPontoPed[[#This Row],[MENSAL]]&gt;0,tabPontoPed[[#This Row],[CÁLCULO]]&gt;0), IF( tabPontoPed[[#This Row],[MENSAL]] - tabPontoPed[[#This Row],[CÁLCULO]] &lt; 0, -1, IF( tabPontoPed[[#This Row],[MENSAL]] - tabPontoPed[[#This Row],[CÁLCULO]] &gt; 0, 1, -8)), -9 )</f>
        <v>1</v>
      </c>
      <c r="W955" s="35"/>
      <c r="X955" s="49" t="s">
        <v>1564</v>
      </c>
      <c r="Y955" s="51">
        <v>44391.599108796298</v>
      </c>
      <c r="Z955" s="72">
        <f>tabPontoPed[CÁLC_4M] - tabPontoPed[CÁLCULO]</f>
        <v>1</v>
      </c>
      <c r="AA955" s="79" t="str">
        <f>IF(tabPontoPed[MENSAL]-tabPontoPed[ATA MENSAL] = 0,"sim","")</f>
        <v/>
      </c>
      <c r="AB955" s="79"/>
      <c r="AC955" s="47" t="str">
        <f t="shared" si="14"/>
        <v>*</v>
      </c>
    </row>
    <row r="956" spans="1:29" x14ac:dyDescent="0.25">
      <c r="A956" s="36">
        <v>90500</v>
      </c>
      <c r="B956" s="68" t="s">
        <v>621</v>
      </c>
      <c r="C956" s="33" t="s">
        <v>1317</v>
      </c>
      <c r="D956" s="32">
        <v>55</v>
      </c>
      <c r="E956" s="37">
        <v>19</v>
      </c>
      <c r="F956" s="38" t="str">
        <f>VLOOKUP(tabPontoPed[[#This Row],[GRUPO]],tabGrupos[#Data],2,FALSE)</f>
        <v>EQUIP. MAT. P/ GERACAO, TRANSM. DISTR. RETIF...</v>
      </c>
      <c r="G956" s="32" t="str">
        <f>VLOOKUP(tabPontoPed[[#This Row],[GRUPO]],tabGrupos[#Data],3,FALSE)</f>
        <v>MEL</v>
      </c>
      <c r="H956" s="33" t="s">
        <v>1311</v>
      </c>
      <c r="I956" s="80">
        <v>4</v>
      </c>
      <c r="J956" s="39">
        <v>83</v>
      </c>
      <c r="K956" s="41">
        <f>tabPontoPed[[#This Row],[QTDMÊS]] * tabPontoPed[[#This Row],[MENSAL]]</f>
        <v>332</v>
      </c>
      <c r="L956" s="83"/>
      <c r="M956" s="81"/>
      <c r="N956" s="34" t="s">
        <v>1010</v>
      </c>
      <c r="O956" s="76" t="s">
        <v>1454</v>
      </c>
      <c r="P956" s="77"/>
      <c r="Q956" s="57">
        <v>150</v>
      </c>
      <c r="R956" s="42">
        <v>150</v>
      </c>
      <c r="S956" s="69" t="str">
        <f>_xlfn.IFNA(IF(VLOOKUP(tabPontoPed[[#This Row],[CÓDIGO]],tabExcluirDoEstoque[#Data],1,FALSE),"sim",""),"")</f>
        <v>sim</v>
      </c>
      <c r="T956" s="43">
        <f>IF(AND(tabPontoPed[[#This Row],[MENSAL]]&gt;0,tabPontoPed[[#This Row],[CÁLCULO]]&gt;0), ABS( tabPontoPed[[#This Row],[MENSAL]] - tabPontoPed[[#This Row],[CÁLCULO]] ) / tabPontoPed[[#This Row],[MENSAL]], -1 )</f>
        <v>0.80722891566265065</v>
      </c>
      <c r="U956" s="58"/>
      <c r="V956" s="35">
        <f>IF(AND(tabPontoPed[[#This Row],[MENSAL]]&gt;0,tabPontoPed[[#This Row],[CÁLCULO]]&gt;0), IF( tabPontoPed[[#This Row],[MENSAL]] - tabPontoPed[[#This Row],[CÁLCULO]] &lt; 0, -1, IF( tabPontoPed[[#This Row],[MENSAL]] - tabPontoPed[[#This Row],[CÁLCULO]] &gt; 0, 1, -8)), -9 )</f>
        <v>-1</v>
      </c>
      <c r="W956" s="35"/>
      <c r="X956" s="48" t="s">
        <v>1564</v>
      </c>
      <c r="Y956" s="53">
        <v>44391.599108796298</v>
      </c>
      <c r="Z956" s="72">
        <f>tabPontoPed[CÁLC_4M] - tabPontoPed[CÁLCULO]</f>
        <v>0</v>
      </c>
      <c r="AA956" s="79" t="str">
        <f>IF(tabPontoPed[MENSAL]-tabPontoPed[ATA MENSAL] = 0,"sim","")</f>
        <v/>
      </c>
      <c r="AB956" s="79"/>
      <c r="AC956" s="47" t="str">
        <f t="shared" si="14"/>
        <v>*</v>
      </c>
    </row>
    <row r="957" spans="1:29" x14ac:dyDescent="0.25">
      <c r="A957" s="36">
        <v>110891</v>
      </c>
      <c r="B957" s="68" t="s">
        <v>624</v>
      </c>
      <c r="C957" s="33" t="s">
        <v>1317</v>
      </c>
      <c r="D957" s="32">
        <v>55</v>
      </c>
      <c r="E957" s="37">
        <v>19</v>
      </c>
      <c r="F957" s="38" t="str">
        <f>VLOOKUP(tabPontoPed[[#This Row],[GRUPO]],tabGrupos[#Data],2,FALSE)</f>
        <v>EQUIP. MAT. P/ GERACAO, TRANSM. DISTR. RETIF...</v>
      </c>
      <c r="G957" s="32" t="str">
        <f>VLOOKUP(tabPontoPed[[#This Row],[GRUPO]],tabGrupos[#Data],3,FALSE)</f>
        <v>MEL</v>
      </c>
      <c r="H957" s="33" t="s">
        <v>1311</v>
      </c>
      <c r="I957" s="80">
        <v>4</v>
      </c>
      <c r="J957" s="39">
        <v>25</v>
      </c>
      <c r="K957" s="41">
        <f>tabPontoPed[[#This Row],[QTDMÊS]] * tabPontoPed[[#This Row],[MENSAL]]</f>
        <v>100</v>
      </c>
      <c r="L957" s="83"/>
      <c r="M957" s="81"/>
      <c r="N957" s="34" t="s">
        <v>1009</v>
      </c>
      <c r="O957" s="76" t="s">
        <v>1454</v>
      </c>
      <c r="P957" s="77">
        <v>25</v>
      </c>
      <c r="Q957" s="57">
        <v>13</v>
      </c>
      <c r="R957" s="42">
        <v>5</v>
      </c>
      <c r="S957" s="69" t="str">
        <f>_xlfn.IFNA(IF(VLOOKUP(tabPontoPed[[#This Row],[CÓDIGO]],tabExcluirDoEstoque[#Data],1,FALSE),"sim",""),"")</f>
        <v>sim</v>
      </c>
      <c r="T957" s="43">
        <f>IF(AND(tabPontoPed[[#This Row],[MENSAL]]&gt;0,tabPontoPed[[#This Row],[CÁLCULO]]&gt;0), ABS( tabPontoPed[[#This Row],[MENSAL]] - tabPontoPed[[#This Row],[CÁLCULO]] ) / tabPontoPed[[#This Row],[MENSAL]], -1 )</f>
        <v>0.8</v>
      </c>
      <c r="U957" s="58">
        <v>50</v>
      </c>
      <c r="V957" s="35">
        <f>IF(AND(tabPontoPed[[#This Row],[MENSAL]]&gt;0,tabPontoPed[[#This Row],[CÁLCULO]]&gt;0), IF( tabPontoPed[[#This Row],[MENSAL]] - tabPontoPed[[#This Row],[CÁLCULO]] &lt; 0, -1, IF( tabPontoPed[[#This Row],[MENSAL]] - tabPontoPed[[#This Row],[CÁLCULO]] &gt; 0, 1, -8)), -9 )</f>
        <v>1</v>
      </c>
      <c r="W957" s="35"/>
      <c r="X957" s="48" t="s">
        <v>1564</v>
      </c>
      <c r="Y957" s="53">
        <v>44391.599108796298</v>
      </c>
      <c r="Z957" s="72">
        <f>tabPontoPed[CÁLC_4M] - tabPontoPed[CÁLCULO]</f>
        <v>8</v>
      </c>
      <c r="AA957" s="79" t="str">
        <f>IF(tabPontoPed[MENSAL]-tabPontoPed[ATA MENSAL] = 0,"sim","")</f>
        <v>sim</v>
      </c>
      <c r="AB957" s="79" t="s">
        <v>1614</v>
      </c>
      <c r="AC957" s="47" t="str">
        <f t="shared" si="14"/>
        <v>*</v>
      </c>
    </row>
    <row r="958" spans="1:29" x14ac:dyDescent="0.25">
      <c r="A958" s="36">
        <v>88718</v>
      </c>
      <c r="B958" s="68" t="s">
        <v>343</v>
      </c>
      <c r="C958" s="33" t="s">
        <v>1317</v>
      </c>
      <c r="D958" s="32">
        <v>55</v>
      </c>
      <c r="E958" s="37">
        <v>26</v>
      </c>
      <c r="F958" s="38" t="str">
        <f>VLOOKUP(tabPontoPed[[#This Row],[GRUPO]],tabGrupos[#Data],2,FALSE)</f>
        <v>EQUIP. MAT. P/ GERACAO, TRANSM. DISTR. RETIF...</v>
      </c>
      <c r="G958" s="32" t="str">
        <f>VLOOKUP(tabPontoPed[[#This Row],[GRUPO]],tabGrupos[#Data],3,FALSE)</f>
        <v>MEL</v>
      </c>
      <c r="H958" s="33" t="s">
        <v>1311</v>
      </c>
      <c r="I958" s="80">
        <v>4</v>
      </c>
      <c r="J958" s="39">
        <v>10</v>
      </c>
      <c r="K958" s="41">
        <f>tabPontoPed[[#This Row],[QTDMÊS]] * tabPontoPed[[#This Row],[MENSAL]]</f>
        <v>40</v>
      </c>
      <c r="L958" s="83"/>
      <c r="M958" s="81"/>
      <c r="N958" s="34" t="s">
        <v>1009</v>
      </c>
      <c r="O958" s="76" t="s">
        <v>1603</v>
      </c>
      <c r="P958" s="77">
        <v>17</v>
      </c>
      <c r="Q958" s="57">
        <v>2</v>
      </c>
      <c r="R958" s="42">
        <v>2</v>
      </c>
      <c r="S958" s="69" t="str">
        <f>_xlfn.IFNA(IF(VLOOKUP(tabPontoPed[[#This Row],[CÓDIGO]],tabExcluirDoEstoque[#Data],1,FALSE),"sim",""),"")</f>
        <v>sim</v>
      </c>
      <c r="T958" s="43">
        <f>IF(AND(tabPontoPed[[#This Row],[MENSAL]]&gt;0,tabPontoPed[[#This Row],[CÁLCULO]]&gt;0), ABS( tabPontoPed[[#This Row],[MENSAL]] - tabPontoPed[[#This Row],[CÁLCULO]] ) / tabPontoPed[[#This Row],[MENSAL]], -1 )</f>
        <v>0.8</v>
      </c>
      <c r="U958" s="58">
        <v>5</v>
      </c>
      <c r="V958" s="35">
        <f>IF(AND(tabPontoPed[[#This Row],[MENSAL]]&gt;0,tabPontoPed[[#This Row],[CÁLCULO]]&gt;0), IF( tabPontoPed[[#This Row],[MENSAL]] - tabPontoPed[[#This Row],[CÁLCULO]] &lt; 0, -1, IF( tabPontoPed[[#This Row],[MENSAL]] - tabPontoPed[[#This Row],[CÁLCULO]] &gt; 0, 1, -8)), -9 )</f>
        <v>1</v>
      </c>
      <c r="W958" s="35"/>
      <c r="X958" s="49" t="s">
        <v>1564</v>
      </c>
      <c r="Y958" s="51">
        <v>44391.599108796298</v>
      </c>
      <c r="Z958" s="72">
        <f>tabPontoPed[CÁLC_4M] - tabPontoPed[CÁLCULO]</f>
        <v>0</v>
      </c>
      <c r="AA958" s="79" t="str">
        <f>IF(tabPontoPed[MENSAL]-tabPontoPed[ATA MENSAL] = 0,"sim","")</f>
        <v/>
      </c>
      <c r="AB958" s="79"/>
      <c r="AC958" s="47" t="str">
        <f t="shared" si="14"/>
        <v>*</v>
      </c>
    </row>
    <row r="959" spans="1:29" x14ac:dyDescent="0.25">
      <c r="A959" s="36">
        <v>133813</v>
      </c>
      <c r="B959" s="68" t="s">
        <v>692</v>
      </c>
      <c r="C959" s="33" t="s">
        <v>1317</v>
      </c>
      <c r="D959" s="32">
        <v>55</v>
      </c>
      <c r="E959" s="37">
        <v>55</v>
      </c>
      <c r="F959" s="38" t="str">
        <f>VLOOKUP(tabPontoPed[[#This Row],[GRUPO]],tabGrupos[#Data],2,FALSE)</f>
        <v>EQUIP. MAT. P/ GERACAO, TRANSM. DISTR. RETIF...</v>
      </c>
      <c r="G959" s="32" t="str">
        <f>VLOOKUP(tabPontoPed[[#This Row],[GRUPO]],tabGrupos[#Data],3,FALSE)</f>
        <v>MEL</v>
      </c>
      <c r="H959" s="33" t="s">
        <v>1311</v>
      </c>
      <c r="I959" s="80">
        <v>4</v>
      </c>
      <c r="J959" s="39">
        <v>5</v>
      </c>
      <c r="K959" s="41">
        <f>tabPontoPed[[#This Row],[QTDMÊS]] * tabPontoPed[[#This Row],[MENSAL]]</f>
        <v>20</v>
      </c>
      <c r="L959" s="83"/>
      <c r="M959" s="81"/>
      <c r="N959" s="34" t="s">
        <v>1010</v>
      </c>
      <c r="O959" s="76" t="s">
        <v>1454</v>
      </c>
      <c r="P959" s="77"/>
      <c r="Q959" s="57">
        <v>1</v>
      </c>
      <c r="R959" s="42">
        <v>1</v>
      </c>
      <c r="S959" s="69" t="str">
        <f>_xlfn.IFNA(IF(VLOOKUP(tabPontoPed[[#This Row],[CÓDIGO]],tabExcluirDoEstoque[#Data],1,FALSE),"sim",""),"")</f>
        <v>sim</v>
      </c>
      <c r="T959" s="43">
        <f>IF(AND(tabPontoPed[[#This Row],[MENSAL]]&gt;0,tabPontoPed[[#This Row],[CÁLCULO]]&gt;0), ABS( tabPontoPed[[#This Row],[MENSAL]] - tabPontoPed[[#This Row],[CÁLCULO]] ) / tabPontoPed[[#This Row],[MENSAL]], -1 )</f>
        <v>0.8</v>
      </c>
      <c r="U959" s="58"/>
      <c r="V959" s="35">
        <f>IF(AND(tabPontoPed[[#This Row],[MENSAL]]&gt;0,tabPontoPed[[#This Row],[CÁLCULO]]&gt;0), IF( tabPontoPed[[#This Row],[MENSAL]] - tabPontoPed[[#This Row],[CÁLCULO]] &lt; 0, -1, IF( tabPontoPed[[#This Row],[MENSAL]] - tabPontoPed[[#This Row],[CÁLCULO]] &gt; 0, 1, -8)), -9 )</f>
        <v>1</v>
      </c>
      <c r="W959" s="35"/>
      <c r="X959" s="49" t="s">
        <v>1564</v>
      </c>
      <c r="Y959" s="51">
        <v>44391.599108796298</v>
      </c>
      <c r="Z959" s="72">
        <f>tabPontoPed[CÁLC_4M] - tabPontoPed[CÁLCULO]</f>
        <v>0</v>
      </c>
      <c r="AA959" s="79" t="str">
        <f>IF(tabPontoPed[MENSAL]-tabPontoPed[ATA MENSAL] = 0,"sim","")</f>
        <v/>
      </c>
      <c r="AB959" s="79"/>
      <c r="AC959" s="47" t="str">
        <f t="shared" si="14"/>
        <v>*</v>
      </c>
    </row>
    <row r="960" spans="1:29" ht="18.75" x14ac:dyDescent="0.25">
      <c r="A960" s="36">
        <v>135227</v>
      </c>
      <c r="B960" s="68" t="s">
        <v>237</v>
      </c>
      <c r="C960" s="33" t="s">
        <v>1317</v>
      </c>
      <c r="D960" s="32">
        <v>76</v>
      </c>
      <c r="E960" s="37">
        <v>10</v>
      </c>
      <c r="F960" s="38" t="str">
        <f>VLOOKUP(tabPontoPed[[#This Row],[GRUPO]],tabGrupos[#Data],2,FALSE)</f>
        <v>EQUIP. E MATERIAIS P/PINTURAS E IMPERMEABILIZACAO</v>
      </c>
      <c r="G960" s="32" t="str">
        <f>VLOOKUP(tabPontoPed[[#This Row],[GRUPO]],tabGrupos[#Data],3,FALSE)</f>
        <v>MPI</v>
      </c>
      <c r="H960" s="33" t="s">
        <v>1311</v>
      </c>
      <c r="I960" s="80">
        <v>4</v>
      </c>
      <c r="J960" s="39">
        <v>15</v>
      </c>
      <c r="K960" s="41">
        <f>tabPontoPed[[#This Row],[QTDMÊS]] * tabPontoPed[[#This Row],[MENSAL]]</f>
        <v>60</v>
      </c>
      <c r="L960" s="83"/>
      <c r="M960" s="81"/>
      <c r="N960" s="34" t="s">
        <v>1009</v>
      </c>
      <c r="O960" s="76" t="s">
        <v>1498</v>
      </c>
      <c r="P960" s="77">
        <v>50</v>
      </c>
      <c r="Q960" s="57">
        <v>29</v>
      </c>
      <c r="R960" s="42">
        <v>26</v>
      </c>
      <c r="S960" s="69" t="str">
        <f>_xlfn.IFNA(IF(VLOOKUP(tabPontoPed[[#This Row],[CÓDIGO]],tabExcluirDoEstoque[#Data],1,FALSE),"sim",""),"")</f>
        <v>sim</v>
      </c>
      <c r="T960" s="43">
        <f>IF(AND(tabPontoPed[[#This Row],[MENSAL]]&gt;0,tabPontoPed[[#This Row],[CÁLCULO]]&gt;0), ABS( tabPontoPed[[#This Row],[MENSAL]] - tabPontoPed[[#This Row],[CÁLCULO]] ) / tabPontoPed[[#This Row],[MENSAL]], -1 )</f>
        <v>0.73333333333333328</v>
      </c>
      <c r="U960" s="58">
        <v>55</v>
      </c>
      <c r="V960" s="35">
        <f>IF(AND(tabPontoPed[[#This Row],[MENSAL]]&gt;0,tabPontoPed[[#This Row],[CÁLCULO]]&gt;0), IF( tabPontoPed[[#This Row],[MENSAL]] - tabPontoPed[[#This Row],[CÁLCULO]] &lt; 0, -1, IF( tabPontoPed[[#This Row],[MENSAL]] - tabPontoPed[[#This Row],[CÁLCULO]] &gt; 0, 1, -8)), -9 )</f>
        <v>-1</v>
      </c>
      <c r="W960" s="45"/>
      <c r="X960" s="48" t="s">
        <v>1564</v>
      </c>
      <c r="Y960" s="53">
        <v>44391.599108796298</v>
      </c>
      <c r="Z960" s="72">
        <f>tabPontoPed[CÁLC_4M] - tabPontoPed[CÁLCULO]</f>
        <v>3</v>
      </c>
      <c r="AA960" s="79" t="str">
        <f>IF(tabPontoPed[MENSAL]-tabPontoPed[ATA MENSAL] = 0,"sim","")</f>
        <v/>
      </c>
      <c r="AB960" s="79"/>
      <c r="AC960" s="47" t="str">
        <f t="shared" si="14"/>
        <v>*</v>
      </c>
    </row>
    <row r="961" spans="1:29" x14ac:dyDescent="0.25">
      <c r="A961" s="36">
        <v>132230</v>
      </c>
      <c r="B961" s="68" t="s">
        <v>135</v>
      </c>
      <c r="C961" s="33" t="s">
        <v>1317</v>
      </c>
      <c r="D961" s="32">
        <v>55</v>
      </c>
      <c r="E961" s="37">
        <v>19</v>
      </c>
      <c r="F961" s="38" t="str">
        <f>VLOOKUP(tabPontoPed[[#This Row],[GRUPO]],tabGrupos[#Data],2,FALSE)</f>
        <v>EQUIP. MAT. P/ GERACAO, TRANSM. DISTR. RETIF...</v>
      </c>
      <c r="G961" s="32" t="str">
        <f>VLOOKUP(tabPontoPed[[#This Row],[GRUPO]],tabGrupos[#Data],3,FALSE)</f>
        <v>MEL</v>
      </c>
      <c r="H961" s="33" t="s">
        <v>1311</v>
      </c>
      <c r="I961" s="80">
        <v>4</v>
      </c>
      <c r="J961" s="39">
        <v>10</v>
      </c>
      <c r="K961" s="41">
        <f>tabPontoPed[[#This Row],[QTDMÊS]] * tabPontoPed[[#This Row],[MENSAL]]</f>
        <v>40</v>
      </c>
      <c r="L961" s="83"/>
      <c r="M961" s="81"/>
      <c r="N961" s="34"/>
      <c r="O961" s="76" t="s">
        <v>1472</v>
      </c>
      <c r="P961" s="77">
        <v>0</v>
      </c>
      <c r="Q961" s="57">
        <v>0</v>
      </c>
      <c r="R961" s="42">
        <v>3</v>
      </c>
      <c r="S961" s="69" t="str">
        <f>_xlfn.IFNA(IF(VLOOKUP(tabPontoPed[[#This Row],[CÓDIGO]],tabExcluirDoEstoque[#Data],1,FALSE),"sim",""),"")</f>
        <v>sim</v>
      </c>
      <c r="T961" s="43">
        <f>IF(AND(tabPontoPed[[#This Row],[MENSAL]]&gt;0,tabPontoPed[[#This Row],[CÁLCULO]]&gt;0), ABS( tabPontoPed[[#This Row],[MENSAL]] - tabPontoPed[[#This Row],[CÁLCULO]] ) / tabPontoPed[[#This Row],[MENSAL]], -1 )</f>
        <v>0.7</v>
      </c>
      <c r="U961" s="58">
        <v>35</v>
      </c>
      <c r="V961" s="35">
        <f>IF(AND(tabPontoPed[[#This Row],[MENSAL]]&gt;0,tabPontoPed[[#This Row],[CÁLCULO]]&gt;0), IF( tabPontoPed[[#This Row],[MENSAL]] - tabPontoPed[[#This Row],[CÁLCULO]] &lt; 0, -1, IF( tabPontoPed[[#This Row],[MENSAL]] - tabPontoPed[[#This Row],[CÁLCULO]] &gt; 0, 1, -8)), -9 )</f>
        <v>1</v>
      </c>
      <c r="W961" s="35"/>
      <c r="X961" s="49" t="s">
        <v>1564</v>
      </c>
      <c r="Y961" s="51">
        <v>44391.599108796298</v>
      </c>
      <c r="Z961" s="72">
        <f>tabPontoPed[CÁLC_4M] - tabPontoPed[CÁLCULO]</f>
        <v>-3</v>
      </c>
      <c r="AA961" s="79" t="str">
        <f>IF(tabPontoPed[MENSAL]-tabPontoPed[ATA MENSAL] = 0,"sim","")</f>
        <v/>
      </c>
      <c r="AB961" s="79"/>
      <c r="AC961" s="47" t="str">
        <f t="shared" si="14"/>
        <v>*</v>
      </c>
    </row>
    <row r="962" spans="1:29" x14ac:dyDescent="0.25">
      <c r="A962" s="36">
        <v>132715</v>
      </c>
      <c r="B962" s="68" t="s">
        <v>530</v>
      </c>
      <c r="C962" s="33" t="s">
        <v>1317</v>
      </c>
      <c r="D962" s="32">
        <v>51</v>
      </c>
      <c r="E962" s="37">
        <v>17</v>
      </c>
      <c r="F962" s="38" t="str">
        <f>VLOOKUP(tabPontoPed[[#This Row],[GRUPO]],tabGrupos[#Data],2,FALSE)</f>
        <v>MAT.E EQUIP. P/ CONSTR.CIVIL E CONSERV. DE VIAS PUBL.</v>
      </c>
      <c r="G962" s="32" t="str">
        <f>VLOOKUP(tabPontoPed[[#This Row],[GRUPO]],tabGrupos[#Data],3,FALSE)</f>
        <v>MCO</v>
      </c>
      <c r="H962" s="33" t="s">
        <v>1311</v>
      </c>
      <c r="I962" s="80">
        <v>4</v>
      </c>
      <c r="J962" s="39">
        <v>6</v>
      </c>
      <c r="K962" s="41">
        <f>tabPontoPed[[#This Row],[QTDMÊS]] * tabPontoPed[[#This Row],[MENSAL]]</f>
        <v>24</v>
      </c>
      <c r="L962" s="83"/>
      <c r="M962" s="81"/>
      <c r="N962" s="34" t="s">
        <v>1009</v>
      </c>
      <c r="O962" s="76" t="s">
        <v>1434</v>
      </c>
      <c r="P962" s="77"/>
      <c r="Q962" s="57">
        <v>6</v>
      </c>
      <c r="R962" s="42">
        <v>2</v>
      </c>
      <c r="S962" s="69" t="str">
        <f>_xlfn.IFNA(IF(VLOOKUP(tabPontoPed[[#This Row],[CÓDIGO]],tabExcluirDoEstoque[#Data],1,FALSE),"sim",""),"")</f>
        <v>sim</v>
      </c>
      <c r="T962" s="43">
        <f>IF(AND(tabPontoPed[[#This Row],[MENSAL]]&gt;0,tabPontoPed[[#This Row],[CÁLCULO]]&gt;0), ABS( tabPontoPed[[#This Row],[MENSAL]] - tabPontoPed[[#This Row],[CÁLCULO]] ) / tabPontoPed[[#This Row],[MENSAL]], -1 )</f>
        <v>0.66666666666666663</v>
      </c>
      <c r="U962" s="58">
        <v>22</v>
      </c>
      <c r="V962" s="35">
        <f>IF(AND(tabPontoPed[[#This Row],[MENSAL]]&gt;0,tabPontoPed[[#This Row],[CÁLCULO]]&gt;0), IF( tabPontoPed[[#This Row],[MENSAL]] - tabPontoPed[[#This Row],[CÁLCULO]] &lt; 0, -1, IF( tabPontoPed[[#This Row],[MENSAL]] - tabPontoPed[[#This Row],[CÁLCULO]] &gt; 0, 1, -8)), -9 )</f>
        <v>1</v>
      </c>
      <c r="W962" s="35"/>
      <c r="X962" s="49" t="s">
        <v>1564</v>
      </c>
      <c r="Y962" s="51">
        <v>44391.599108796298</v>
      </c>
      <c r="Z962" s="72">
        <f>tabPontoPed[CÁLC_4M] - tabPontoPed[CÁLCULO]</f>
        <v>4</v>
      </c>
      <c r="AA962" s="79" t="str">
        <f>IF(tabPontoPed[MENSAL]-tabPontoPed[ATA MENSAL] = 0,"sim","")</f>
        <v/>
      </c>
      <c r="AB962" s="79"/>
      <c r="AC962" s="47" t="str">
        <f t="shared" si="14"/>
        <v>*</v>
      </c>
    </row>
    <row r="963" spans="1:29" x14ac:dyDescent="0.25">
      <c r="A963" s="36">
        <v>115781</v>
      </c>
      <c r="B963" s="68" t="s">
        <v>377</v>
      </c>
      <c r="C963" s="33" t="s">
        <v>1317</v>
      </c>
      <c r="D963" s="32">
        <v>55</v>
      </c>
      <c r="E963" s="37">
        <v>64</v>
      </c>
      <c r="F963" s="38" t="str">
        <f>VLOOKUP(tabPontoPed[[#This Row],[GRUPO]],tabGrupos[#Data],2,FALSE)</f>
        <v>EQUIP. MAT. P/ GERACAO, TRANSM. DISTR. RETIF...</v>
      </c>
      <c r="G963" s="32" t="str">
        <f>VLOOKUP(tabPontoPed[[#This Row],[GRUPO]],tabGrupos[#Data],3,FALSE)</f>
        <v>MEL</v>
      </c>
      <c r="H963" s="33" t="s">
        <v>1311</v>
      </c>
      <c r="I963" s="80">
        <v>4</v>
      </c>
      <c r="J963" s="39">
        <v>3</v>
      </c>
      <c r="K963" s="41">
        <f>tabPontoPed[[#This Row],[QTDMÊS]] * tabPontoPed[[#This Row],[MENSAL]]</f>
        <v>12</v>
      </c>
      <c r="L963" s="83"/>
      <c r="M963" s="81"/>
      <c r="N963" s="34" t="s">
        <v>1009</v>
      </c>
      <c r="O963" s="76" t="s">
        <v>1603</v>
      </c>
      <c r="P963" s="77">
        <v>0</v>
      </c>
      <c r="Q963" s="57">
        <v>0</v>
      </c>
      <c r="R963" s="42">
        <v>1</v>
      </c>
      <c r="S963" s="69" t="str">
        <f>_xlfn.IFNA(IF(VLOOKUP(tabPontoPed[[#This Row],[CÓDIGO]],tabExcluirDoEstoque[#Data],1,FALSE),"sim",""),"")</f>
        <v>sim</v>
      </c>
      <c r="T963" s="43">
        <f>IF(AND(tabPontoPed[[#This Row],[MENSAL]]&gt;0,tabPontoPed[[#This Row],[CÁLCULO]]&gt;0), ABS( tabPontoPed[[#This Row],[MENSAL]] - tabPontoPed[[#This Row],[CÁLCULO]] ) / tabPontoPed[[#This Row],[MENSAL]], -1 )</f>
        <v>0.66666666666666663</v>
      </c>
      <c r="U963" s="58">
        <v>7</v>
      </c>
      <c r="V963" s="35">
        <f>IF(AND(tabPontoPed[[#This Row],[MENSAL]]&gt;0,tabPontoPed[[#This Row],[CÁLCULO]]&gt;0), IF( tabPontoPed[[#This Row],[MENSAL]] - tabPontoPed[[#This Row],[CÁLCULO]] &lt; 0, -1, IF( tabPontoPed[[#This Row],[MENSAL]] - tabPontoPed[[#This Row],[CÁLCULO]] &gt; 0, 1, -8)), -9 )</f>
        <v>1</v>
      </c>
      <c r="W963" s="35"/>
      <c r="X963" s="49" t="s">
        <v>1564</v>
      </c>
      <c r="Y963" s="51">
        <v>44391.599108796298</v>
      </c>
      <c r="Z963" s="72">
        <f>tabPontoPed[CÁLC_4M] - tabPontoPed[CÁLCULO]</f>
        <v>-1</v>
      </c>
      <c r="AA963" s="79" t="str">
        <f>IF(tabPontoPed[MENSAL]-tabPontoPed[ATA MENSAL] = 0,"sim","")</f>
        <v/>
      </c>
      <c r="AB963" s="79"/>
      <c r="AC963" s="47" t="str">
        <f t="shared" ref="AC963:AC1026" si="15">"*"</f>
        <v>*</v>
      </c>
    </row>
    <row r="964" spans="1:29" x14ac:dyDescent="0.25">
      <c r="A964" s="36">
        <v>132231</v>
      </c>
      <c r="B964" s="68" t="s">
        <v>116</v>
      </c>
      <c r="C964" s="33" t="s">
        <v>1317</v>
      </c>
      <c r="D964" s="32">
        <v>55</v>
      </c>
      <c r="E964" s="37">
        <v>19</v>
      </c>
      <c r="F964" s="38" t="str">
        <f>VLOOKUP(tabPontoPed[[#This Row],[GRUPO]],tabGrupos[#Data],2,FALSE)</f>
        <v>EQUIP. MAT. P/ GERACAO, TRANSM. DISTR. RETIF...</v>
      </c>
      <c r="G964" s="32" t="str">
        <f>VLOOKUP(tabPontoPed[[#This Row],[GRUPO]],tabGrupos[#Data],3,FALSE)</f>
        <v>MEL</v>
      </c>
      <c r="H964" s="33" t="s">
        <v>1311</v>
      </c>
      <c r="I964" s="80">
        <v>4</v>
      </c>
      <c r="J964" s="39">
        <v>125</v>
      </c>
      <c r="K964" s="41">
        <f>tabPontoPed[[#This Row],[QTDMÊS]] * tabPontoPed[[#This Row],[MENSAL]]</f>
        <v>500</v>
      </c>
      <c r="L964" s="83"/>
      <c r="M964" s="81"/>
      <c r="N964" s="34" t="s">
        <v>1009</v>
      </c>
      <c r="O964" s="76" t="s">
        <v>1573</v>
      </c>
      <c r="P964" s="77">
        <v>125</v>
      </c>
      <c r="Q964" s="57">
        <v>63</v>
      </c>
      <c r="R964" s="42">
        <v>49</v>
      </c>
      <c r="S964" s="69" t="str">
        <f>_xlfn.IFNA(IF(VLOOKUP(tabPontoPed[[#This Row],[CÓDIGO]],tabExcluirDoEstoque[#Data],1,FALSE),"sim",""),"")</f>
        <v>sim</v>
      </c>
      <c r="T964" s="43">
        <f>IF(AND(tabPontoPed[[#This Row],[MENSAL]]&gt;0,tabPontoPed[[#This Row],[CÁLCULO]]&gt;0), ABS( tabPontoPed[[#This Row],[MENSAL]] - tabPontoPed[[#This Row],[CÁLCULO]] ) / tabPontoPed[[#This Row],[MENSAL]], -1 )</f>
        <v>0.60799999999999998</v>
      </c>
      <c r="U964" s="58">
        <v>200</v>
      </c>
      <c r="V964" s="35">
        <f>IF(AND(tabPontoPed[[#This Row],[MENSAL]]&gt;0,tabPontoPed[[#This Row],[CÁLCULO]]&gt;0), IF( tabPontoPed[[#This Row],[MENSAL]] - tabPontoPed[[#This Row],[CÁLCULO]] &lt; 0, -1, IF( tabPontoPed[[#This Row],[MENSAL]] - tabPontoPed[[#This Row],[CÁLCULO]] &gt; 0, 1, -8)), -9 )</f>
        <v>1</v>
      </c>
      <c r="W964" s="35"/>
      <c r="X964" s="49" t="s">
        <v>1564</v>
      </c>
      <c r="Y964" s="51">
        <v>44391.599108796298</v>
      </c>
      <c r="Z964" s="72">
        <f>tabPontoPed[CÁLC_4M] - tabPontoPed[CÁLCULO]</f>
        <v>14</v>
      </c>
      <c r="AA964" s="79" t="str">
        <f>IF(tabPontoPed[MENSAL]-tabPontoPed[ATA MENSAL] = 0,"sim","")</f>
        <v>sim</v>
      </c>
      <c r="AB964" s="79" t="s">
        <v>1614</v>
      </c>
      <c r="AC964" s="47" t="str">
        <f t="shared" si="15"/>
        <v>*</v>
      </c>
    </row>
    <row r="965" spans="1:29" x14ac:dyDescent="0.25">
      <c r="A965" s="36">
        <v>133452</v>
      </c>
      <c r="B965" s="68" t="s">
        <v>76</v>
      </c>
      <c r="C965" s="33" t="s">
        <v>1317</v>
      </c>
      <c r="D965" s="32">
        <v>57</v>
      </c>
      <c r="E965" s="37">
        <v>15</v>
      </c>
      <c r="F965" s="38" t="str">
        <f>VLOOKUP(tabPontoPed[[#This Row],[GRUPO]],tabGrupos[#Data],2,FALSE)</f>
        <v>MAQ. E EQUIP. P/ IND. GRAFICA COMP. ACESS. E PAPEI</v>
      </c>
      <c r="G965" s="32" t="str">
        <f>VLOOKUP(tabPontoPed[[#This Row],[GRUPO]],tabGrupos[#Data],3,FALSE)</f>
        <v>EDU</v>
      </c>
      <c r="H965" s="33" t="s">
        <v>1311</v>
      </c>
      <c r="I965" s="80">
        <v>4</v>
      </c>
      <c r="J965" s="39">
        <v>100</v>
      </c>
      <c r="K965" s="41">
        <f>tabPontoPed[[#This Row],[QTDMÊS]] * tabPontoPed[[#This Row],[MENSAL]]</f>
        <v>400</v>
      </c>
      <c r="L965" s="83"/>
      <c r="M965" s="81"/>
      <c r="N965" s="34" t="s">
        <v>1009</v>
      </c>
      <c r="O965" s="76" t="s">
        <v>1432</v>
      </c>
      <c r="P965" s="77">
        <v>0</v>
      </c>
      <c r="Q965" s="57">
        <v>410</v>
      </c>
      <c r="R965" s="42">
        <v>160</v>
      </c>
      <c r="S965" s="69" t="str">
        <f>_xlfn.IFNA(IF(VLOOKUP(tabPontoPed[[#This Row],[CÓDIGO]],tabExcluirDoEstoque[#Data],1,FALSE),"sim",""),"")</f>
        <v>sim</v>
      </c>
      <c r="T965" s="43">
        <f>IF(AND(tabPontoPed[[#This Row],[MENSAL]]&gt;0,tabPontoPed[[#This Row],[CÁLCULO]]&gt;0), ABS( tabPontoPed[[#This Row],[MENSAL]] - tabPontoPed[[#This Row],[CÁLCULO]] ) / tabPontoPed[[#This Row],[MENSAL]], -1 )</f>
        <v>0.6</v>
      </c>
      <c r="U965" s="58">
        <v>1399</v>
      </c>
      <c r="V965" s="35">
        <f>IF(AND(tabPontoPed[[#This Row],[MENSAL]]&gt;0,tabPontoPed[[#This Row],[CÁLCULO]]&gt;0), IF( tabPontoPed[[#This Row],[MENSAL]] - tabPontoPed[[#This Row],[CÁLCULO]] &lt; 0, -1, IF( tabPontoPed[[#This Row],[MENSAL]] - tabPontoPed[[#This Row],[CÁLCULO]] &gt; 0, 1, -8)), -9 )</f>
        <v>-1</v>
      </c>
      <c r="W965" s="35"/>
      <c r="X965" s="49" t="s">
        <v>1564</v>
      </c>
      <c r="Y965" s="51">
        <v>44391.599108796298</v>
      </c>
      <c r="Z965" s="72">
        <f>tabPontoPed[CÁLC_4M] - tabPontoPed[CÁLCULO]</f>
        <v>250</v>
      </c>
      <c r="AA965" s="79" t="str">
        <f>IF(tabPontoPed[MENSAL]-tabPontoPed[ATA MENSAL] = 0,"sim","")</f>
        <v/>
      </c>
      <c r="AB965" s="79"/>
      <c r="AC965" s="47" t="str">
        <f t="shared" si="15"/>
        <v>*</v>
      </c>
    </row>
    <row r="966" spans="1:29" x14ac:dyDescent="0.25">
      <c r="A966" s="36">
        <v>35331</v>
      </c>
      <c r="B966" s="68" t="s">
        <v>570</v>
      </c>
      <c r="C966" s="33" t="s">
        <v>1317</v>
      </c>
      <c r="D966" s="32">
        <v>54</v>
      </c>
      <c r="E966" s="37">
        <v>4</v>
      </c>
      <c r="F966" s="38" t="str">
        <f>VLOOKUP(tabPontoPed[[#This Row],[GRUPO]],tabGrupos[#Data],2,FALSE)</f>
        <v>EQUIP PROT IND, INST MAT P/ SINAL, CONTR, COMB ...</v>
      </c>
      <c r="G966" s="32" t="str">
        <f>VLOOKUP(tabPontoPed[[#This Row],[GRUPO]],tabGrupos[#Data],3,FALSE)</f>
        <v>MAN</v>
      </c>
      <c r="H966" s="33" t="s">
        <v>1311</v>
      </c>
      <c r="I966" s="80">
        <v>4</v>
      </c>
      <c r="J966" s="39">
        <v>5</v>
      </c>
      <c r="K966" s="41">
        <f>tabPontoPed[[#This Row],[QTDMÊS]] * tabPontoPed[[#This Row],[MENSAL]]</f>
        <v>20</v>
      </c>
      <c r="L966" s="83"/>
      <c r="M966" s="81"/>
      <c r="N966" s="34" t="s">
        <v>1009</v>
      </c>
      <c r="O966" s="76" t="s">
        <v>1476</v>
      </c>
      <c r="P966" s="77">
        <v>0</v>
      </c>
      <c r="Q966" s="57">
        <v>2</v>
      </c>
      <c r="R966" s="42">
        <v>2</v>
      </c>
      <c r="S966" s="69" t="str">
        <f>_xlfn.IFNA(IF(VLOOKUP(tabPontoPed[[#This Row],[CÓDIGO]],tabExcluirDoEstoque[#Data],1,FALSE),"sim",""),"")</f>
        <v>sim</v>
      </c>
      <c r="T966" s="43">
        <f>IF(AND(tabPontoPed[[#This Row],[MENSAL]]&gt;0,tabPontoPed[[#This Row],[CÁLCULO]]&gt;0), ABS( tabPontoPed[[#This Row],[MENSAL]] - tabPontoPed[[#This Row],[CÁLCULO]] ) / tabPontoPed[[#This Row],[MENSAL]], -1 )</f>
        <v>0.6</v>
      </c>
      <c r="U966" s="58">
        <v>6</v>
      </c>
      <c r="V966" s="35">
        <f>IF(AND(tabPontoPed[[#This Row],[MENSAL]]&gt;0,tabPontoPed[[#This Row],[CÁLCULO]]&gt;0), IF( tabPontoPed[[#This Row],[MENSAL]] - tabPontoPed[[#This Row],[CÁLCULO]] &lt; 0, -1, IF( tabPontoPed[[#This Row],[MENSAL]] - tabPontoPed[[#This Row],[CÁLCULO]] &gt; 0, 1, -8)), -9 )</f>
        <v>1</v>
      </c>
      <c r="W966" s="35"/>
      <c r="X966" s="49" t="s">
        <v>1564</v>
      </c>
      <c r="Y966" s="51">
        <v>44391.599108796298</v>
      </c>
      <c r="Z966" s="72">
        <f>tabPontoPed[CÁLC_4M] - tabPontoPed[CÁLCULO]</f>
        <v>0</v>
      </c>
      <c r="AA966" s="79" t="str">
        <f>IF(tabPontoPed[MENSAL]-tabPontoPed[ATA MENSAL] = 0,"sim","")</f>
        <v/>
      </c>
      <c r="AB966" s="79"/>
      <c r="AC966" s="47" t="str">
        <f t="shared" si="15"/>
        <v>*</v>
      </c>
    </row>
    <row r="967" spans="1:29" x14ac:dyDescent="0.25">
      <c r="A967" s="36">
        <v>132714</v>
      </c>
      <c r="B967" s="68" t="s">
        <v>529</v>
      </c>
      <c r="C967" s="33" t="s">
        <v>1317</v>
      </c>
      <c r="D967" s="32">
        <v>51</v>
      </c>
      <c r="E967" s="37">
        <v>17</v>
      </c>
      <c r="F967" s="38" t="str">
        <f>VLOOKUP(tabPontoPed[[#This Row],[GRUPO]],tabGrupos[#Data],2,FALSE)</f>
        <v>MAT.E EQUIP. P/ CONSTR.CIVIL E CONSERV. DE VIAS PUBL.</v>
      </c>
      <c r="G967" s="32" t="str">
        <f>VLOOKUP(tabPontoPed[[#This Row],[GRUPO]],tabGrupos[#Data],3,FALSE)</f>
        <v>MCO</v>
      </c>
      <c r="H967" s="33" t="s">
        <v>1311</v>
      </c>
      <c r="I967" s="80">
        <v>4</v>
      </c>
      <c r="J967" s="39">
        <v>5</v>
      </c>
      <c r="K967" s="41">
        <f>tabPontoPed[[#This Row],[QTDMÊS]] * tabPontoPed[[#This Row],[MENSAL]]</f>
        <v>20</v>
      </c>
      <c r="L967" s="83"/>
      <c r="M967" s="81"/>
      <c r="N967" s="34" t="s">
        <v>1009</v>
      </c>
      <c r="O967" s="76" t="s">
        <v>1434</v>
      </c>
      <c r="P967" s="77"/>
      <c r="Q967" s="57">
        <v>6</v>
      </c>
      <c r="R967" s="42">
        <v>2</v>
      </c>
      <c r="S967" s="69" t="str">
        <f>_xlfn.IFNA(IF(VLOOKUP(tabPontoPed[[#This Row],[CÓDIGO]],tabExcluirDoEstoque[#Data],1,FALSE),"sim",""),"")</f>
        <v>sim</v>
      </c>
      <c r="T967" s="43">
        <f>IF(AND(tabPontoPed[[#This Row],[MENSAL]]&gt;0,tabPontoPed[[#This Row],[CÁLCULO]]&gt;0), ABS( tabPontoPed[[#This Row],[MENSAL]] - tabPontoPed[[#This Row],[CÁLCULO]] ) / tabPontoPed[[#This Row],[MENSAL]], -1 )</f>
        <v>0.6</v>
      </c>
      <c r="U967" s="58">
        <v>22</v>
      </c>
      <c r="V967" s="35">
        <f>IF(AND(tabPontoPed[[#This Row],[MENSAL]]&gt;0,tabPontoPed[[#This Row],[CÁLCULO]]&gt;0), IF( tabPontoPed[[#This Row],[MENSAL]] - tabPontoPed[[#This Row],[CÁLCULO]] &lt; 0, -1, IF( tabPontoPed[[#This Row],[MENSAL]] - tabPontoPed[[#This Row],[CÁLCULO]] &gt; 0, 1, -8)), -9 )</f>
        <v>1</v>
      </c>
      <c r="W967" s="35"/>
      <c r="X967" s="49" t="s">
        <v>1564</v>
      </c>
      <c r="Y967" s="51">
        <v>44391.599108796298</v>
      </c>
      <c r="Z967" s="72">
        <f>tabPontoPed[CÁLC_4M] - tabPontoPed[CÁLCULO]</f>
        <v>4</v>
      </c>
      <c r="AA967" s="79" t="str">
        <f>IF(tabPontoPed[MENSAL]-tabPontoPed[ATA MENSAL] = 0,"sim","")</f>
        <v/>
      </c>
      <c r="AB967" s="79"/>
      <c r="AC967" s="47" t="str">
        <f t="shared" si="15"/>
        <v>*</v>
      </c>
    </row>
    <row r="968" spans="1:29" x14ac:dyDescent="0.25">
      <c r="A968" s="36">
        <v>29435</v>
      </c>
      <c r="B968" s="68" t="s">
        <v>276</v>
      </c>
      <c r="C968" s="33" t="s">
        <v>1317</v>
      </c>
      <c r="D968" s="32">
        <v>51</v>
      </c>
      <c r="E968" s="37">
        <v>36</v>
      </c>
      <c r="F968" s="38" t="str">
        <f>VLOOKUP(tabPontoPed[[#This Row],[GRUPO]],tabGrupos[#Data],2,FALSE)</f>
        <v>MAT.E EQUIP. P/ CONSTR.CIVIL E CONSERV. DE VIAS PUBL.</v>
      </c>
      <c r="G968" s="32" t="str">
        <f>VLOOKUP(tabPontoPed[[#This Row],[GRUPO]],tabGrupos[#Data],3,FALSE)</f>
        <v>MCO</v>
      </c>
      <c r="H968" s="33" t="s">
        <v>1311</v>
      </c>
      <c r="I968" s="80">
        <v>4</v>
      </c>
      <c r="J968" s="39">
        <v>2.5</v>
      </c>
      <c r="K968" s="41">
        <f>tabPontoPed[[#This Row],[QTDMÊS]] * tabPontoPed[[#This Row],[MENSAL]]</f>
        <v>10</v>
      </c>
      <c r="L968" s="83"/>
      <c r="M968" s="81"/>
      <c r="N968" s="34" t="s">
        <v>1009</v>
      </c>
      <c r="O968" s="76" t="s">
        <v>1631</v>
      </c>
      <c r="P968" s="77">
        <v>3</v>
      </c>
      <c r="Q968" s="57">
        <v>2</v>
      </c>
      <c r="R968" s="42">
        <v>1</v>
      </c>
      <c r="S968" s="69" t="str">
        <f>_xlfn.IFNA(IF(VLOOKUP(tabPontoPed[[#This Row],[CÓDIGO]],tabExcluirDoEstoque[#Data],1,FALSE),"sim",""),"")</f>
        <v>sim</v>
      </c>
      <c r="T968" s="43">
        <f>IF(AND(tabPontoPed[[#This Row],[MENSAL]]&gt;0,tabPontoPed[[#This Row],[CÁLCULO]]&gt;0), ABS( tabPontoPed[[#This Row],[MENSAL]] - tabPontoPed[[#This Row],[CÁLCULO]] ) / tabPontoPed[[#This Row],[MENSAL]], -1 )</f>
        <v>0.6</v>
      </c>
      <c r="U968" s="58">
        <v>5</v>
      </c>
      <c r="V968" s="35">
        <f>IF(AND(tabPontoPed[[#This Row],[MENSAL]]&gt;0,tabPontoPed[[#This Row],[CÁLCULO]]&gt;0), IF( tabPontoPed[[#This Row],[MENSAL]] - tabPontoPed[[#This Row],[CÁLCULO]] &lt; 0, -1, IF( tabPontoPed[[#This Row],[MENSAL]] - tabPontoPed[[#This Row],[CÁLCULO]] &gt; 0, 1, -8)), -9 )</f>
        <v>1</v>
      </c>
      <c r="W968" s="35"/>
      <c r="X968" s="49" t="s">
        <v>1564</v>
      </c>
      <c r="Y968" s="51">
        <v>44391.599108796298</v>
      </c>
      <c r="Z968" s="72">
        <f>tabPontoPed[CÁLC_4M] - tabPontoPed[CÁLCULO]</f>
        <v>1</v>
      </c>
      <c r="AA968" s="79" t="str">
        <f>IF(tabPontoPed[MENSAL]-tabPontoPed[ATA MENSAL] = 0,"sim","")</f>
        <v/>
      </c>
      <c r="AB968" s="79"/>
      <c r="AC968" s="47" t="str">
        <f t="shared" si="15"/>
        <v>*</v>
      </c>
    </row>
    <row r="969" spans="1:29" x14ac:dyDescent="0.25">
      <c r="A969" s="36">
        <v>121292</v>
      </c>
      <c r="B969" s="68" t="s">
        <v>366</v>
      </c>
      <c r="C969" s="33" t="s">
        <v>1317</v>
      </c>
      <c r="D969" s="32">
        <v>55</v>
      </c>
      <c r="E969" s="37">
        <v>49</v>
      </c>
      <c r="F969" s="38" t="str">
        <f>VLOOKUP(tabPontoPed[[#This Row],[GRUPO]],tabGrupos[#Data],2,FALSE)</f>
        <v>EQUIP. MAT. P/ GERACAO, TRANSM. DISTR. RETIF...</v>
      </c>
      <c r="G969" s="32" t="str">
        <f>VLOOKUP(tabPontoPed[[#This Row],[GRUPO]],tabGrupos[#Data],3,FALSE)</f>
        <v>MEL</v>
      </c>
      <c r="H969" s="33" t="s">
        <v>1311</v>
      </c>
      <c r="I969" s="80">
        <v>4</v>
      </c>
      <c r="J969" s="39">
        <v>5</v>
      </c>
      <c r="K969" s="41">
        <f>tabPontoPed[[#This Row],[QTDMÊS]] * tabPontoPed[[#This Row],[MENSAL]]</f>
        <v>20</v>
      </c>
      <c r="L969" s="83"/>
      <c r="M969" s="81"/>
      <c r="N969" s="34" t="s">
        <v>1010</v>
      </c>
      <c r="O969" s="76" t="s">
        <v>1430</v>
      </c>
      <c r="P969" s="77"/>
      <c r="Q969" s="57">
        <v>1</v>
      </c>
      <c r="R969" s="42">
        <v>2</v>
      </c>
      <c r="S969" s="69" t="str">
        <f>_xlfn.IFNA(IF(VLOOKUP(tabPontoPed[[#This Row],[CÓDIGO]],tabExcluirDoEstoque[#Data],1,FALSE),"sim",""),"")</f>
        <v>sim</v>
      </c>
      <c r="T969" s="43">
        <f>IF(AND(tabPontoPed[[#This Row],[MENSAL]]&gt;0,tabPontoPed[[#This Row],[CÁLCULO]]&gt;0), ABS( tabPontoPed[[#This Row],[MENSAL]] - tabPontoPed[[#This Row],[CÁLCULO]] ) / tabPontoPed[[#This Row],[MENSAL]], -1 )</f>
        <v>0.6</v>
      </c>
      <c r="U969" s="58">
        <v>10</v>
      </c>
      <c r="V969" s="35">
        <f>IF(AND(tabPontoPed[[#This Row],[MENSAL]]&gt;0,tabPontoPed[[#This Row],[CÁLCULO]]&gt;0), IF( tabPontoPed[[#This Row],[MENSAL]] - tabPontoPed[[#This Row],[CÁLCULO]] &lt; 0, -1, IF( tabPontoPed[[#This Row],[MENSAL]] - tabPontoPed[[#This Row],[CÁLCULO]] &gt; 0, 1, -8)), -9 )</f>
        <v>1</v>
      </c>
      <c r="W969" s="35"/>
      <c r="X969" s="49" t="s">
        <v>1564</v>
      </c>
      <c r="Y969" s="51">
        <v>44391.599108796298</v>
      </c>
      <c r="Z969" s="72">
        <f>tabPontoPed[CÁLC_4M] - tabPontoPed[CÁLCULO]</f>
        <v>-1</v>
      </c>
      <c r="AA969" s="79" t="str">
        <f>IF(tabPontoPed[MENSAL]-tabPontoPed[ATA MENSAL] = 0,"sim","")</f>
        <v/>
      </c>
      <c r="AB969" s="79"/>
      <c r="AC969" s="47" t="str">
        <f t="shared" si="15"/>
        <v>*</v>
      </c>
    </row>
    <row r="970" spans="1:29" x14ac:dyDescent="0.25">
      <c r="A970" s="36">
        <v>112965</v>
      </c>
      <c r="B970" s="68" t="s">
        <v>112</v>
      </c>
      <c r="C970" s="33" t="s">
        <v>1317</v>
      </c>
      <c r="D970" s="32">
        <v>55</v>
      </c>
      <c r="E970" s="37">
        <v>19</v>
      </c>
      <c r="F970" s="38" t="str">
        <f>VLOOKUP(tabPontoPed[[#This Row],[GRUPO]],tabGrupos[#Data],2,FALSE)</f>
        <v>EQUIP. MAT. P/ GERACAO, TRANSM. DISTR. RETIF...</v>
      </c>
      <c r="G970" s="32" t="str">
        <f>VLOOKUP(tabPontoPed[[#This Row],[GRUPO]],tabGrupos[#Data],3,FALSE)</f>
        <v>MEL</v>
      </c>
      <c r="H970" s="33" t="s">
        <v>1311</v>
      </c>
      <c r="I970" s="80">
        <v>4</v>
      </c>
      <c r="J970" s="39">
        <v>100</v>
      </c>
      <c r="K970" s="41">
        <f>tabPontoPed[[#This Row],[QTDMÊS]] * tabPontoPed[[#This Row],[MENSAL]]</f>
        <v>400</v>
      </c>
      <c r="L970" s="83"/>
      <c r="M970" s="81"/>
      <c r="N970" s="34" t="s">
        <v>1009</v>
      </c>
      <c r="O970" s="76" t="s">
        <v>1454</v>
      </c>
      <c r="P970" s="77">
        <v>0</v>
      </c>
      <c r="Q970" s="57">
        <v>63</v>
      </c>
      <c r="R970" s="42">
        <v>44</v>
      </c>
      <c r="S970" s="69" t="str">
        <f>_xlfn.IFNA(IF(VLOOKUP(tabPontoPed[[#This Row],[CÓDIGO]],tabExcluirDoEstoque[#Data],1,FALSE),"sim",""),"")</f>
        <v>sim</v>
      </c>
      <c r="T970" s="43">
        <f>IF(AND(tabPontoPed[[#This Row],[MENSAL]]&gt;0,tabPontoPed[[#This Row],[CÁLCULO]]&gt;0), ABS( tabPontoPed[[#This Row],[MENSAL]] - tabPontoPed[[#This Row],[CÁLCULO]] ) / tabPontoPed[[#This Row],[MENSAL]], -1 )</f>
        <v>0.56000000000000005</v>
      </c>
      <c r="U970" s="58">
        <v>250</v>
      </c>
      <c r="V970" s="35">
        <f>IF(AND(tabPontoPed[[#This Row],[MENSAL]]&gt;0,tabPontoPed[[#This Row],[CÁLCULO]]&gt;0), IF( tabPontoPed[[#This Row],[MENSAL]] - tabPontoPed[[#This Row],[CÁLCULO]] &lt; 0, -1, IF( tabPontoPed[[#This Row],[MENSAL]] - tabPontoPed[[#This Row],[CÁLCULO]] &gt; 0, 1, -8)), -9 )</f>
        <v>1</v>
      </c>
      <c r="W970" s="35"/>
      <c r="X970" s="49" t="s">
        <v>1564</v>
      </c>
      <c r="Y970" s="51">
        <v>44391.599108796298</v>
      </c>
      <c r="Z970" s="72">
        <f>tabPontoPed[CÁLC_4M] - tabPontoPed[CÁLCULO]</f>
        <v>19</v>
      </c>
      <c r="AA970" s="79" t="str">
        <f>IF(tabPontoPed[MENSAL]-tabPontoPed[ATA MENSAL] = 0,"sim","")</f>
        <v/>
      </c>
      <c r="AB970" s="79"/>
      <c r="AC970" s="47" t="str">
        <f t="shared" si="15"/>
        <v>*</v>
      </c>
    </row>
    <row r="971" spans="1:29" x14ac:dyDescent="0.25">
      <c r="A971" s="36">
        <v>88719</v>
      </c>
      <c r="B971" s="68" t="s">
        <v>344</v>
      </c>
      <c r="C971" s="33" t="s">
        <v>1317</v>
      </c>
      <c r="D971" s="32">
        <v>55</v>
      </c>
      <c r="E971" s="37">
        <v>26</v>
      </c>
      <c r="F971" s="38" t="str">
        <f>VLOOKUP(tabPontoPed[[#This Row],[GRUPO]],tabGrupos[#Data],2,FALSE)</f>
        <v>EQUIP. MAT. P/ GERACAO, TRANSM. DISTR. RETIF...</v>
      </c>
      <c r="G971" s="32" t="str">
        <f>VLOOKUP(tabPontoPed[[#This Row],[GRUPO]],tabGrupos[#Data],3,FALSE)</f>
        <v>MEL</v>
      </c>
      <c r="H971" s="33" t="s">
        <v>1311</v>
      </c>
      <c r="I971" s="80">
        <v>4</v>
      </c>
      <c r="J971" s="39">
        <v>9</v>
      </c>
      <c r="K971" s="41">
        <f>tabPontoPed[[#This Row],[QTDMÊS]] * tabPontoPed[[#This Row],[MENSAL]]</f>
        <v>36</v>
      </c>
      <c r="L971" s="83"/>
      <c r="M971" s="81"/>
      <c r="N971" s="34" t="s">
        <v>1009</v>
      </c>
      <c r="O971" s="76" t="s">
        <v>1603</v>
      </c>
      <c r="P971" s="77">
        <v>9</v>
      </c>
      <c r="Q971" s="57">
        <v>1</v>
      </c>
      <c r="R971" s="42">
        <v>4</v>
      </c>
      <c r="S971" s="69" t="str">
        <f>_xlfn.IFNA(IF(VLOOKUP(tabPontoPed[[#This Row],[CÓDIGO]],tabExcluirDoEstoque[#Data],1,FALSE),"sim",""),"")</f>
        <v>sim</v>
      </c>
      <c r="T971" s="43">
        <f>IF(AND(tabPontoPed[[#This Row],[MENSAL]]&gt;0,tabPontoPed[[#This Row],[CÁLCULO]]&gt;0), ABS( tabPontoPed[[#This Row],[MENSAL]] - tabPontoPed[[#This Row],[CÁLCULO]] ) / tabPontoPed[[#This Row],[MENSAL]], -1 )</f>
        <v>0.55555555555555558</v>
      </c>
      <c r="U971" s="58">
        <v>15</v>
      </c>
      <c r="V971" s="35">
        <f>IF(AND(tabPontoPed[[#This Row],[MENSAL]]&gt;0,tabPontoPed[[#This Row],[CÁLCULO]]&gt;0), IF( tabPontoPed[[#This Row],[MENSAL]] - tabPontoPed[[#This Row],[CÁLCULO]] &lt; 0, -1, IF( tabPontoPed[[#This Row],[MENSAL]] - tabPontoPed[[#This Row],[CÁLCULO]] &gt; 0, 1, -8)), -9 )</f>
        <v>1</v>
      </c>
      <c r="W971" s="35"/>
      <c r="X971" s="49" t="s">
        <v>1564</v>
      </c>
      <c r="Y971" s="51">
        <v>44391.599108796298</v>
      </c>
      <c r="Z971" s="72">
        <f>tabPontoPed[CÁLC_4M] - tabPontoPed[CÁLCULO]</f>
        <v>-3</v>
      </c>
      <c r="AA971" s="79" t="str">
        <f>IF(tabPontoPed[MENSAL]-tabPontoPed[ATA MENSAL] = 0,"sim","")</f>
        <v>sim</v>
      </c>
      <c r="AB971" s="79" t="s">
        <v>1614</v>
      </c>
      <c r="AC971" s="47" t="str">
        <f t="shared" si="15"/>
        <v>*</v>
      </c>
    </row>
    <row r="972" spans="1:29" x14ac:dyDescent="0.25">
      <c r="A972" s="36">
        <v>119810</v>
      </c>
      <c r="B972" s="68" t="s">
        <v>369</v>
      </c>
      <c r="C972" s="33" t="s">
        <v>1317</v>
      </c>
      <c r="D972" s="32">
        <v>55</v>
      </c>
      <c r="E972" s="37">
        <v>52</v>
      </c>
      <c r="F972" s="38" t="str">
        <f>VLOOKUP(tabPontoPed[[#This Row],[GRUPO]],tabGrupos[#Data],2,FALSE)</f>
        <v>EQUIP. MAT. P/ GERACAO, TRANSM. DISTR. RETIF...</v>
      </c>
      <c r="G972" s="32" t="str">
        <f>VLOOKUP(tabPontoPed[[#This Row],[GRUPO]],tabGrupos[#Data],3,FALSE)</f>
        <v>MEL</v>
      </c>
      <c r="H972" s="33" t="s">
        <v>1311</v>
      </c>
      <c r="I972" s="80">
        <v>4</v>
      </c>
      <c r="J972" s="39">
        <v>9</v>
      </c>
      <c r="K972" s="41">
        <f>tabPontoPed[[#This Row],[QTDMÊS]] * tabPontoPed[[#This Row],[MENSAL]]</f>
        <v>36</v>
      </c>
      <c r="L972" s="83"/>
      <c r="M972" s="81"/>
      <c r="N972" s="34" t="s">
        <v>1009</v>
      </c>
      <c r="O972" s="76" t="s">
        <v>1603</v>
      </c>
      <c r="P972" s="77">
        <v>8</v>
      </c>
      <c r="Q972" s="57">
        <v>0</v>
      </c>
      <c r="R972" s="42">
        <v>4</v>
      </c>
      <c r="S972" s="69" t="str">
        <f>_xlfn.IFNA(IF(VLOOKUP(tabPontoPed[[#This Row],[CÓDIGO]],tabExcluirDoEstoque[#Data],1,FALSE),"sim",""),"")</f>
        <v>sim</v>
      </c>
      <c r="T972" s="43">
        <f>IF(AND(tabPontoPed[[#This Row],[MENSAL]]&gt;0,tabPontoPed[[#This Row],[CÁLCULO]]&gt;0), ABS( tabPontoPed[[#This Row],[MENSAL]] - tabPontoPed[[#This Row],[CÁLCULO]] ) / tabPontoPed[[#This Row],[MENSAL]], -1 )</f>
        <v>0.55555555555555558</v>
      </c>
      <c r="U972" s="58">
        <v>10</v>
      </c>
      <c r="V972" s="35">
        <f>IF(AND(tabPontoPed[[#This Row],[MENSAL]]&gt;0,tabPontoPed[[#This Row],[CÁLCULO]]&gt;0), IF( tabPontoPed[[#This Row],[MENSAL]] - tabPontoPed[[#This Row],[CÁLCULO]] &lt; 0, -1, IF( tabPontoPed[[#This Row],[MENSAL]] - tabPontoPed[[#This Row],[CÁLCULO]] &gt; 0, 1, -8)), -9 )</f>
        <v>1</v>
      </c>
      <c r="W972" s="35"/>
      <c r="X972" s="49" t="s">
        <v>1564</v>
      </c>
      <c r="Y972" s="51">
        <v>44391.599108796298</v>
      </c>
      <c r="Z972" s="72">
        <f>tabPontoPed[CÁLC_4M] - tabPontoPed[CÁLCULO]</f>
        <v>-4</v>
      </c>
      <c r="AA972" s="79" t="str">
        <f>IF(tabPontoPed[MENSAL]-tabPontoPed[ATA MENSAL] = 0,"sim","")</f>
        <v/>
      </c>
      <c r="AB972" s="79"/>
      <c r="AC972" s="47" t="str">
        <f t="shared" si="15"/>
        <v>*</v>
      </c>
    </row>
    <row r="973" spans="1:29" x14ac:dyDescent="0.25">
      <c r="A973" s="36">
        <v>86030</v>
      </c>
      <c r="B973" s="68" t="s">
        <v>688</v>
      </c>
      <c r="C973" s="33" t="s">
        <v>1317</v>
      </c>
      <c r="D973" s="32">
        <v>55</v>
      </c>
      <c r="E973" s="37">
        <v>49</v>
      </c>
      <c r="F973" s="38" t="str">
        <f>VLOOKUP(tabPontoPed[[#This Row],[GRUPO]],tabGrupos[#Data],2,FALSE)</f>
        <v>EQUIP. MAT. P/ GERACAO, TRANSM. DISTR. RETIF...</v>
      </c>
      <c r="G973" s="32" t="str">
        <f>VLOOKUP(tabPontoPed[[#This Row],[GRUPO]],tabGrupos[#Data],3,FALSE)</f>
        <v>MEL</v>
      </c>
      <c r="H973" s="33" t="s">
        <v>1311</v>
      </c>
      <c r="I973" s="80">
        <v>4</v>
      </c>
      <c r="J973" s="39">
        <v>13</v>
      </c>
      <c r="K973" s="41">
        <f>tabPontoPed[[#This Row],[QTDMÊS]] * tabPontoPed[[#This Row],[MENSAL]]</f>
        <v>52</v>
      </c>
      <c r="L973" s="83"/>
      <c r="M973" s="81"/>
      <c r="N973" s="34" t="s">
        <v>1009</v>
      </c>
      <c r="O973" s="76" t="s">
        <v>1573</v>
      </c>
      <c r="P973" s="77">
        <v>12</v>
      </c>
      <c r="Q973" s="57">
        <v>0</v>
      </c>
      <c r="R973" s="42">
        <v>6</v>
      </c>
      <c r="S973" s="69" t="str">
        <f>_xlfn.IFNA(IF(VLOOKUP(tabPontoPed[[#This Row],[CÓDIGO]],tabExcluirDoEstoque[#Data],1,FALSE),"sim",""),"")</f>
        <v>sim</v>
      </c>
      <c r="T973" s="43">
        <f>IF(AND(tabPontoPed[[#This Row],[MENSAL]]&gt;0,tabPontoPed[[#This Row],[CÁLCULO]]&gt;0), ABS( tabPontoPed[[#This Row],[MENSAL]] - tabPontoPed[[#This Row],[CÁLCULO]] ) / tabPontoPed[[#This Row],[MENSAL]], -1 )</f>
        <v>0.53846153846153844</v>
      </c>
      <c r="U973" s="58">
        <v>15</v>
      </c>
      <c r="V973" s="35">
        <f>IF(AND(tabPontoPed[[#This Row],[MENSAL]]&gt;0,tabPontoPed[[#This Row],[CÁLCULO]]&gt;0), IF( tabPontoPed[[#This Row],[MENSAL]] - tabPontoPed[[#This Row],[CÁLCULO]] &lt; 0, -1, IF( tabPontoPed[[#This Row],[MENSAL]] - tabPontoPed[[#This Row],[CÁLCULO]] &gt; 0, 1, -8)), -9 )</f>
        <v>1</v>
      </c>
      <c r="W973" s="35"/>
      <c r="X973" s="49" t="s">
        <v>1564</v>
      </c>
      <c r="Y973" s="51">
        <v>44391.599108796298</v>
      </c>
      <c r="Z973" s="72">
        <f>tabPontoPed[CÁLC_4M] - tabPontoPed[CÁLCULO]</f>
        <v>-6</v>
      </c>
      <c r="AA973" s="79" t="str">
        <f>IF(tabPontoPed[MENSAL]-tabPontoPed[ATA MENSAL] = 0,"sim","")</f>
        <v/>
      </c>
      <c r="AB973" s="79"/>
      <c r="AC973" s="47" t="str">
        <f t="shared" si="15"/>
        <v>*</v>
      </c>
    </row>
    <row r="974" spans="1:29" x14ac:dyDescent="0.25">
      <c r="A974" s="36">
        <v>94013</v>
      </c>
      <c r="B974" s="68" t="s">
        <v>604</v>
      </c>
      <c r="C974" s="33" t="s">
        <v>1317</v>
      </c>
      <c r="D974" s="32">
        <v>54</v>
      </c>
      <c r="E974" s="37">
        <v>19</v>
      </c>
      <c r="F974" s="38" t="str">
        <f>VLOOKUP(tabPontoPed[[#This Row],[GRUPO]],tabGrupos[#Data],2,FALSE)</f>
        <v>EQUIP PROT IND, INST MAT P/ SINAL, CONTR, COMB ...</v>
      </c>
      <c r="G974" s="32" t="str">
        <f>VLOOKUP(tabPontoPed[[#This Row],[GRUPO]],tabGrupos[#Data],3,FALSE)</f>
        <v>MAN</v>
      </c>
      <c r="H974" s="33" t="s">
        <v>1311</v>
      </c>
      <c r="I974" s="80">
        <v>4</v>
      </c>
      <c r="J974" s="39">
        <v>2</v>
      </c>
      <c r="K974" s="41">
        <f>tabPontoPed[[#This Row],[QTDMÊS]] * tabPontoPed[[#This Row],[MENSAL]]</f>
        <v>8</v>
      </c>
      <c r="L974" s="83"/>
      <c r="M974" s="81"/>
      <c r="N974" s="34" t="s">
        <v>1010</v>
      </c>
      <c r="O974" s="76" t="s">
        <v>1424</v>
      </c>
      <c r="P974" s="77"/>
      <c r="Q974" s="57">
        <v>0</v>
      </c>
      <c r="R974" s="42">
        <v>1</v>
      </c>
      <c r="S974" s="69" t="str">
        <f>_xlfn.IFNA(IF(VLOOKUP(tabPontoPed[[#This Row],[CÓDIGO]],tabExcluirDoEstoque[#Data],1,FALSE),"sim",""),"")</f>
        <v>sim</v>
      </c>
      <c r="T974" s="43">
        <f>IF(AND(tabPontoPed[[#This Row],[MENSAL]]&gt;0,tabPontoPed[[#This Row],[CÁLCULO]]&gt;0), ABS( tabPontoPed[[#This Row],[MENSAL]] - tabPontoPed[[#This Row],[CÁLCULO]] ) / tabPontoPed[[#This Row],[MENSAL]], -1 )</f>
        <v>0.5</v>
      </c>
      <c r="U974" s="58">
        <v>0</v>
      </c>
      <c r="V974" s="35">
        <f>IF(AND(tabPontoPed[[#This Row],[MENSAL]]&gt;0,tabPontoPed[[#This Row],[CÁLCULO]]&gt;0), IF( tabPontoPed[[#This Row],[MENSAL]] - tabPontoPed[[#This Row],[CÁLCULO]] &lt; 0, -1, IF( tabPontoPed[[#This Row],[MENSAL]] - tabPontoPed[[#This Row],[CÁLCULO]] &gt; 0, 1, -8)), -9 )</f>
        <v>1</v>
      </c>
      <c r="W974" s="35"/>
      <c r="X974" s="49" t="s">
        <v>1564</v>
      </c>
      <c r="Y974" s="51">
        <v>44391.599108796298</v>
      </c>
      <c r="Z974" s="72">
        <f>tabPontoPed[CÁLC_4M] - tabPontoPed[CÁLCULO]</f>
        <v>-1</v>
      </c>
      <c r="AA974" s="79" t="str">
        <f>IF(tabPontoPed[MENSAL]-tabPontoPed[ATA MENSAL] = 0,"sim","")</f>
        <v/>
      </c>
      <c r="AB974" s="79"/>
      <c r="AC974" s="47" t="str">
        <f t="shared" si="15"/>
        <v>*</v>
      </c>
    </row>
    <row r="975" spans="1:29" x14ac:dyDescent="0.25">
      <c r="A975" s="36">
        <v>121214</v>
      </c>
      <c r="B975" s="68" t="s">
        <v>170</v>
      </c>
      <c r="C975" s="33" t="s">
        <v>1317</v>
      </c>
      <c r="D975" s="32">
        <v>83</v>
      </c>
      <c r="E975" s="37">
        <v>8</v>
      </c>
      <c r="F975" s="38" t="str">
        <f>VLOOKUP(tabPontoPed[[#This Row],[GRUPO]],tabGrupos[#Data],2,FALSE)</f>
        <v>ABRASIVOS</v>
      </c>
      <c r="G975" s="32" t="str">
        <f>VLOOKUP(tabPontoPed[[#This Row],[GRUPO]],tabGrupos[#Data],3,FALSE)</f>
        <v>MAN</v>
      </c>
      <c r="H975" s="33" t="s">
        <v>1311</v>
      </c>
      <c r="I975" s="80">
        <v>4</v>
      </c>
      <c r="J975" s="39">
        <v>20</v>
      </c>
      <c r="K975" s="41">
        <f>tabPontoPed[[#This Row],[QTDMÊS]] * tabPontoPed[[#This Row],[MENSAL]]</f>
        <v>80</v>
      </c>
      <c r="L975" s="83"/>
      <c r="M975" s="81"/>
      <c r="N975" s="34" t="s">
        <v>1010</v>
      </c>
      <c r="O975" s="76" t="s">
        <v>1427</v>
      </c>
      <c r="P975" s="77"/>
      <c r="Q975" s="57">
        <v>10</v>
      </c>
      <c r="R975" s="42">
        <v>10</v>
      </c>
      <c r="S975" s="69" t="str">
        <f>_xlfn.IFNA(IF(VLOOKUP(tabPontoPed[[#This Row],[CÓDIGO]],tabExcluirDoEstoque[#Data],1,FALSE),"sim",""),"")</f>
        <v>sim</v>
      </c>
      <c r="T975" s="43">
        <f>IF(AND(tabPontoPed[[#This Row],[MENSAL]]&gt;0,tabPontoPed[[#This Row],[CÁLCULO]]&gt;0), ABS( tabPontoPed[[#This Row],[MENSAL]] - tabPontoPed[[#This Row],[CÁLCULO]] ) / tabPontoPed[[#This Row],[MENSAL]], -1 )</f>
        <v>0.5</v>
      </c>
      <c r="U975" s="58"/>
      <c r="V975" s="35">
        <f>IF(AND(tabPontoPed[[#This Row],[MENSAL]]&gt;0,tabPontoPed[[#This Row],[CÁLCULO]]&gt;0), IF( tabPontoPed[[#This Row],[MENSAL]] - tabPontoPed[[#This Row],[CÁLCULO]] &lt; 0, -1, IF( tabPontoPed[[#This Row],[MENSAL]] - tabPontoPed[[#This Row],[CÁLCULO]] &gt; 0, 1, -8)), -9 )</f>
        <v>1</v>
      </c>
      <c r="W975" s="35"/>
      <c r="X975" s="49" t="s">
        <v>1564</v>
      </c>
      <c r="Y975" s="51">
        <v>44391.599108796298</v>
      </c>
      <c r="Z975" s="72">
        <f>tabPontoPed[CÁLC_4M] - tabPontoPed[CÁLCULO]</f>
        <v>0</v>
      </c>
      <c r="AA975" s="79" t="str">
        <f>IF(tabPontoPed[MENSAL]-tabPontoPed[ATA MENSAL] = 0,"sim","")</f>
        <v/>
      </c>
      <c r="AB975" s="79"/>
      <c r="AC975" s="47" t="str">
        <f t="shared" si="15"/>
        <v>*</v>
      </c>
    </row>
    <row r="976" spans="1:29" ht="18.75" x14ac:dyDescent="0.25">
      <c r="A976" s="36">
        <v>136039</v>
      </c>
      <c r="B976" s="68" t="s">
        <v>956</v>
      </c>
      <c r="C976" s="33" t="s">
        <v>1317</v>
      </c>
      <c r="D976" s="32">
        <v>76</v>
      </c>
      <c r="E976" s="37">
        <v>3</v>
      </c>
      <c r="F976" s="38" t="str">
        <f>VLOOKUP(tabPontoPed[[#This Row],[GRUPO]],tabGrupos[#Data],2,FALSE)</f>
        <v>EQUIP. E MATERIAIS P/PINTURAS E IMPERMEABILIZACAO</v>
      </c>
      <c r="G976" s="32" t="str">
        <f>VLOOKUP(tabPontoPed[[#This Row],[GRUPO]],tabGrupos[#Data],3,FALSE)</f>
        <v>MPI</v>
      </c>
      <c r="H976" s="33" t="s">
        <v>1311</v>
      </c>
      <c r="I976" s="80">
        <v>4</v>
      </c>
      <c r="J976" s="39">
        <v>6</v>
      </c>
      <c r="K976" s="41">
        <f>tabPontoPed[[#This Row],[QTDMÊS]] * tabPontoPed[[#This Row],[MENSAL]]</f>
        <v>24</v>
      </c>
      <c r="L976" s="83"/>
      <c r="M976" s="81"/>
      <c r="N976" s="34" t="s">
        <v>1009</v>
      </c>
      <c r="O976" s="76" t="s">
        <v>1640</v>
      </c>
      <c r="P976" s="77">
        <v>5</v>
      </c>
      <c r="Q976" s="57">
        <v>1</v>
      </c>
      <c r="R976" s="42">
        <v>3</v>
      </c>
      <c r="S976" s="69" t="str">
        <f>_xlfn.IFNA(IF(VLOOKUP(tabPontoPed[[#This Row],[CÓDIGO]],tabExcluirDoEstoque[#Data],1,FALSE),"sim",""),"")</f>
        <v>sim</v>
      </c>
      <c r="T976" s="43">
        <f>IF(AND(tabPontoPed[[#This Row],[MENSAL]]&gt;0,tabPontoPed[[#This Row],[CÁLCULO]]&gt;0), ABS( tabPontoPed[[#This Row],[MENSAL]] - tabPontoPed[[#This Row],[CÁLCULO]] ) / tabPontoPed[[#This Row],[MENSAL]], -1 )</f>
        <v>0.5</v>
      </c>
      <c r="U976" s="58">
        <v>8</v>
      </c>
      <c r="V976" s="35">
        <f>IF(AND(tabPontoPed[[#This Row],[MENSAL]]&gt;0,tabPontoPed[[#This Row],[CÁLCULO]]&gt;0), IF( tabPontoPed[[#This Row],[MENSAL]] - tabPontoPed[[#This Row],[CÁLCULO]] &lt; 0, -1, IF( tabPontoPed[[#This Row],[MENSAL]] - tabPontoPed[[#This Row],[CÁLCULO]] &gt; 0, 1, -8)), -9 )</f>
        <v>1</v>
      </c>
      <c r="W976" s="45"/>
      <c r="X976" s="48" t="s">
        <v>1564</v>
      </c>
      <c r="Y976" s="53">
        <v>44391.599108796298</v>
      </c>
      <c r="Z976" s="72">
        <f>tabPontoPed[CÁLC_4M] - tabPontoPed[CÁLCULO]</f>
        <v>-2</v>
      </c>
      <c r="AA976" s="79" t="str">
        <f>IF(tabPontoPed[MENSAL]-tabPontoPed[ATA MENSAL] = 0,"sim","")</f>
        <v/>
      </c>
      <c r="AB976" s="79"/>
      <c r="AC976" s="47" t="str">
        <f t="shared" si="15"/>
        <v>*</v>
      </c>
    </row>
    <row r="977" spans="1:29" ht="18.75" x14ac:dyDescent="0.25">
      <c r="A977" s="36">
        <v>27479</v>
      </c>
      <c r="B977" s="68" t="s">
        <v>171</v>
      </c>
      <c r="C977" s="33" t="s">
        <v>1317</v>
      </c>
      <c r="D977" s="32">
        <v>76</v>
      </c>
      <c r="E977" s="37">
        <v>5</v>
      </c>
      <c r="F977" s="38" t="str">
        <f>VLOOKUP(tabPontoPed[[#This Row],[GRUPO]],tabGrupos[#Data],2,FALSE)</f>
        <v>EQUIP. E MATERIAIS P/PINTURAS E IMPERMEABILIZACAO</v>
      </c>
      <c r="G977" s="32" t="str">
        <f>VLOOKUP(tabPontoPed[[#This Row],[GRUPO]],tabGrupos[#Data],3,FALSE)</f>
        <v>MPI</v>
      </c>
      <c r="H977" s="33" t="s">
        <v>1311</v>
      </c>
      <c r="I977" s="80">
        <v>4</v>
      </c>
      <c r="J977" s="39">
        <v>20</v>
      </c>
      <c r="K977" s="41">
        <f>tabPontoPed[[#This Row],[QTDMÊS]] * tabPontoPed[[#This Row],[MENSAL]]</f>
        <v>80</v>
      </c>
      <c r="L977" s="83"/>
      <c r="M977" s="81"/>
      <c r="N977" s="34" t="s">
        <v>1009</v>
      </c>
      <c r="O977" s="76" t="s">
        <v>1498</v>
      </c>
      <c r="P977" s="77">
        <v>25</v>
      </c>
      <c r="Q977" s="57">
        <v>8</v>
      </c>
      <c r="R977" s="42">
        <v>10</v>
      </c>
      <c r="S977" s="69" t="str">
        <f>_xlfn.IFNA(IF(VLOOKUP(tabPontoPed[[#This Row],[CÓDIGO]],tabExcluirDoEstoque[#Data],1,FALSE),"sim",""),"")</f>
        <v>sim</v>
      </c>
      <c r="T977" s="43">
        <f>IF(AND(tabPontoPed[[#This Row],[MENSAL]]&gt;0,tabPontoPed[[#This Row],[CÁLCULO]]&gt;0), ABS( tabPontoPed[[#This Row],[MENSAL]] - tabPontoPed[[#This Row],[CÁLCULO]] ) / tabPontoPed[[#This Row],[MENSAL]], -1 )</f>
        <v>0.5</v>
      </c>
      <c r="U977" s="58">
        <v>25</v>
      </c>
      <c r="V977" s="35">
        <f>IF(AND(tabPontoPed[[#This Row],[MENSAL]]&gt;0,tabPontoPed[[#This Row],[CÁLCULO]]&gt;0), IF( tabPontoPed[[#This Row],[MENSAL]] - tabPontoPed[[#This Row],[CÁLCULO]] &lt; 0, -1, IF( tabPontoPed[[#This Row],[MENSAL]] - tabPontoPed[[#This Row],[CÁLCULO]] &gt; 0, 1, -8)), -9 )</f>
        <v>1</v>
      </c>
      <c r="W977" s="45"/>
      <c r="X977" s="50" t="s">
        <v>1564</v>
      </c>
      <c r="Y977" s="52">
        <v>44391.599108796298</v>
      </c>
      <c r="Z977" s="73">
        <f>tabPontoPed[CÁLC_4M] - tabPontoPed[CÁLCULO]</f>
        <v>-2</v>
      </c>
      <c r="AA977" s="79" t="str">
        <f>IF(tabPontoPed[MENSAL]-tabPontoPed[ATA MENSAL] = 0,"sim","")</f>
        <v/>
      </c>
      <c r="AB977" s="79"/>
      <c r="AC977" s="47" t="str">
        <f t="shared" si="15"/>
        <v>*</v>
      </c>
    </row>
    <row r="978" spans="1:29" ht="18.75" x14ac:dyDescent="0.25">
      <c r="A978" s="36">
        <v>82916</v>
      </c>
      <c r="B978" s="68" t="s">
        <v>4</v>
      </c>
      <c r="C978" s="33" t="s">
        <v>1317</v>
      </c>
      <c r="D978" s="32">
        <v>76</v>
      </c>
      <c r="E978" s="37">
        <v>6</v>
      </c>
      <c r="F978" s="38" t="str">
        <f>VLOOKUP(tabPontoPed[[#This Row],[GRUPO]],tabGrupos[#Data],2,FALSE)</f>
        <v>EQUIP. E MATERIAIS P/PINTURAS E IMPERMEABILIZACAO</v>
      </c>
      <c r="G978" s="32" t="str">
        <f>VLOOKUP(tabPontoPed[[#This Row],[GRUPO]],tabGrupos[#Data],3,FALSE)</f>
        <v>MPI</v>
      </c>
      <c r="H978" s="33" t="s">
        <v>1311</v>
      </c>
      <c r="I978" s="80">
        <v>4</v>
      </c>
      <c r="J978" s="39">
        <v>2</v>
      </c>
      <c r="K978" s="41">
        <f>tabPontoPed[[#This Row],[QTDMÊS]] * tabPontoPed[[#This Row],[MENSAL]]</f>
        <v>8</v>
      </c>
      <c r="L978" s="83"/>
      <c r="M978" s="81"/>
      <c r="N978" s="34" t="s">
        <v>1010</v>
      </c>
      <c r="O978" s="76" t="s">
        <v>1457</v>
      </c>
      <c r="P978" s="77"/>
      <c r="Q978" s="57">
        <v>1</v>
      </c>
      <c r="R978" s="42">
        <v>1</v>
      </c>
      <c r="S978" s="69" t="str">
        <f>_xlfn.IFNA(IF(VLOOKUP(tabPontoPed[[#This Row],[CÓDIGO]],tabExcluirDoEstoque[#Data],1,FALSE),"sim",""),"")</f>
        <v>sim</v>
      </c>
      <c r="T978" s="43">
        <f>IF(AND(tabPontoPed[[#This Row],[MENSAL]]&gt;0,tabPontoPed[[#This Row],[CÁLCULO]]&gt;0), ABS( tabPontoPed[[#This Row],[MENSAL]] - tabPontoPed[[#This Row],[CÁLCULO]] ) / tabPontoPed[[#This Row],[MENSAL]], -1 )</f>
        <v>0.5</v>
      </c>
      <c r="U978" s="58"/>
      <c r="V978" s="35">
        <f>IF(AND(tabPontoPed[[#This Row],[MENSAL]]&gt;0,tabPontoPed[[#This Row],[CÁLCULO]]&gt;0), IF( tabPontoPed[[#This Row],[MENSAL]] - tabPontoPed[[#This Row],[CÁLCULO]] &lt; 0, -1, IF( tabPontoPed[[#This Row],[MENSAL]] - tabPontoPed[[#This Row],[CÁLCULO]] &gt; 0, 1, -8)), -9 )</f>
        <v>1</v>
      </c>
      <c r="W978" s="45"/>
      <c r="X978" s="50" t="s">
        <v>1564</v>
      </c>
      <c r="Y978" s="52">
        <v>44391.599108796298</v>
      </c>
      <c r="Z978" s="73">
        <f>tabPontoPed[CÁLC_4M] - tabPontoPed[CÁLCULO]</f>
        <v>0</v>
      </c>
      <c r="AA978" s="79" t="str">
        <f>IF(tabPontoPed[MENSAL]-tabPontoPed[ATA MENSAL] = 0,"sim","")</f>
        <v/>
      </c>
      <c r="AB978" s="79"/>
      <c r="AC978" s="47" t="str">
        <f t="shared" si="15"/>
        <v>*</v>
      </c>
    </row>
    <row r="979" spans="1:29" ht="18.75" x14ac:dyDescent="0.25">
      <c r="A979" s="36">
        <v>30171</v>
      </c>
      <c r="B979" s="68" t="s">
        <v>10</v>
      </c>
      <c r="C979" s="33" t="s">
        <v>1317</v>
      </c>
      <c r="D979" s="32">
        <v>76</v>
      </c>
      <c r="E979" s="37">
        <v>9</v>
      </c>
      <c r="F979" s="38" t="str">
        <f>VLOOKUP(tabPontoPed[[#This Row],[GRUPO]],tabGrupos[#Data],2,FALSE)</f>
        <v>EQUIP. E MATERIAIS P/PINTURAS E IMPERMEABILIZACAO</v>
      </c>
      <c r="G979" s="32" t="str">
        <f>VLOOKUP(tabPontoPed[[#This Row],[GRUPO]],tabGrupos[#Data],3,FALSE)</f>
        <v>MPI</v>
      </c>
      <c r="H979" s="33" t="s">
        <v>1311</v>
      </c>
      <c r="I979" s="80">
        <v>4</v>
      </c>
      <c r="J979" s="39">
        <v>2</v>
      </c>
      <c r="K979" s="41">
        <f>tabPontoPed[[#This Row],[QTDMÊS]] * tabPontoPed[[#This Row],[MENSAL]]</f>
        <v>8</v>
      </c>
      <c r="L979" s="83"/>
      <c r="M979" s="81"/>
      <c r="N979" s="34" t="s">
        <v>1009</v>
      </c>
      <c r="O979" s="76" t="s">
        <v>1580</v>
      </c>
      <c r="P979" s="77">
        <v>2</v>
      </c>
      <c r="Q979" s="57">
        <v>0</v>
      </c>
      <c r="R979" s="42">
        <v>1</v>
      </c>
      <c r="S979" s="69" t="str">
        <f>_xlfn.IFNA(IF(VLOOKUP(tabPontoPed[[#This Row],[CÓDIGO]],tabExcluirDoEstoque[#Data],1,FALSE),"sim",""),"")</f>
        <v>sim</v>
      </c>
      <c r="T979" s="43">
        <f>IF(AND(tabPontoPed[[#This Row],[MENSAL]]&gt;0,tabPontoPed[[#This Row],[CÁLCULO]]&gt;0), ABS( tabPontoPed[[#This Row],[MENSAL]] - tabPontoPed[[#This Row],[CÁLCULO]] ) / tabPontoPed[[#This Row],[MENSAL]], -1 )</f>
        <v>0.5</v>
      </c>
      <c r="U979" s="58">
        <v>4</v>
      </c>
      <c r="V979" s="35">
        <f>IF(AND(tabPontoPed[[#This Row],[MENSAL]]&gt;0,tabPontoPed[[#This Row],[CÁLCULO]]&gt;0), IF( tabPontoPed[[#This Row],[MENSAL]] - tabPontoPed[[#This Row],[CÁLCULO]] &lt; 0, -1, IF( tabPontoPed[[#This Row],[MENSAL]] - tabPontoPed[[#This Row],[CÁLCULO]] &gt; 0, 1, -8)), -9 )</f>
        <v>1</v>
      </c>
      <c r="W979" s="45"/>
      <c r="X979" s="50" t="s">
        <v>1564</v>
      </c>
      <c r="Y979" s="52">
        <v>44391.599108796298</v>
      </c>
      <c r="Z979" s="73">
        <f>tabPontoPed[CÁLC_4M] - tabPontoPed[CÁLCULO]</f>
        <v>-1</v>
      </c>
      <c r="AA979" s="79" t="str">
        <f>IF(tabPontoPed[MENSAL]-tabPontoPed[ATA MENSAL] = 0,"sim","")</f>
        <v>sim</v>
      </c>
      <c r="AB979" s="79" t="s">
        <v>1614</v>
      </c>
      <c r="AC979" s="47" t="str">
        <f t="shared" si="15"/>
        <v>*</v>
      </c>
    </row>
    <row r="980" spans="1:29" x14ac:dyDescent="0.25">
      <c r="A980" s="36">
        <v>123373</v>
      </c>
      <c r="B980" s="68" t="s">
        <v>133</v>
      </c>
      <c r="C980" s="33" t="s">
        <v>1317</v>
      </c>
      <c r="D980" s="32">
        <v>55</v>
      </c>
      <c r="E980" s="37">
        <v>19</v>
      </c>
      <c r="F980" s="38" t="str">
        <f>VLOOKUP(tabPontoPed[[#This Row],[GRUPO]],tabGrupos[#Data],2,FALSE)</f>
        <v>EQUIP. MAT. P/ GERACAO, TRANSM. DISTR. RETIF...</v>
      </c>
      <c r="G980" s="32" t="str">
        <f>VLOOKUP(tabPontoPed[[#This Row],[GRUPO]],tabGrupos[#Data],3,FALSE)</f>
        <v>MEL</v>
      </c>
      <c r="H980" s="33" t="s">
        <v>1311</v>
      </c>
      <c r="I980" s="80">
        <v>4</v>
      </c>
      <c r="J980" s="39">
        <v>100</v>
      </c>
      <c r="K980" s="41">
        <f>tabPontoPed[[#This Row],[QTDMÊS]] * tabPontoPed[[#This Row],[MENSAL]]</f>
        <v>400</v>
      </c>
      <c r="L980" s="83"/>
      <c r="M980" s="81"/>
      <c r="N980" s="34" t="s">
        <v>1009</v>
      </c>
      <c r="O980" s="76" t="s">
        <v>1454</v>
      </c>
      <c r="P980" s="77">
        <v>117</v>
      </c>
      <c r="Q980" s="57">
        <v>13</v>
      </c>
      <c r="R980" s="42">
        <v>51</v>
      </c>
      <c r="S980" s="69" t="str">
        <f>_xlfn.IFNA(IF(VLOOKUP(tabPontoPed[[#This Row],[CÓDIGO]],tabExcluirDoEstoque[#Data],1,FALSE),"sim",""),"")</f>
        <v>sim</v>
      </c>
      <c r="T980" s="43">
        <f>IF(AND(tabPontoPed[[#This Row],[MENSAL]]&gt;0,tabPontoPed[[#This Row],[CÁLCULO]]&gt;0), ABS( tabPontoPed[[#This Row],[MENSAL]] - tabPontoPed[[#This Row],[CÁLCULO]] ) / tabPontoPed[[#This Row],[MENSAL]], -1 )</f>
        <v>0.49</v>
      </c>
      <c r="U980" s="58">
        <v>460</v>
      </c>
      <c r="V980" s="35">
        <f>IF(AND(tabPontoPed[[#This Row],[MENSAL]]&gt;0,tabPontoPed[[#This Row],[CÁLCULO]]&gt;0), IF( tabPontoPed[[#This Row],[MENSAL]] - tabPontoPed[[#This Row],[CÁLCULO]] &lt; 0, -1, IF( tabPontoPed[[#This Row],[MENSAL]] - tabPontoPed[[#This Row],[CÁLCULO]] &gt; 0, 1, -8)), -9 )</f>
        <v>1</v>
      </c>
      <c r="W980" s="35"/>
      <c r="X980" s="49" t="s">
        <v>1564</v>
      </c>
      <c r="Y980" s="51">
        <v>44391.599108796298</v>
      </c>
      <c r="Z980" s="72">
        <f>tabPontoPed[CÁLC_4M] - tabPontoPed[CÁLCULO]</f>
        <v>-38</v>
      </c>
      <c r="AA980" s="79" t="str">
        <f>IF(tabPontoPed[MENSAL]-tabPontoPed[ATA MENSAL] = 0,"sim","")</f>
        <v/>
      </c>
      <c r="AB980" s="79"/>
      <c r="AC980" s="47" t="str">
        <f t="shared" si="15"/>
        <v>*</v>
      </c>
    </row>
    <row r="981" spans="1:29" x14ac:dyDescent="0.25">
      <c r="A981" s="36">
        <v>124335</v>
      </c>
      <c r="B981" s="68" t="s">
        <v>690</v>
      </c>
      <c r="C981" s="33" t="s">
        <v>1317</v>
      </c>
      <c r="D981" s="32">
        <v>55</v>
      </c>
      <c r="E981" s="37">
        <v>49</v>
      </c>
      <c r="F981" s="38" t="str">
        <f>VLOOKUP(tabPontoPed[[#This Row],[GRUPO]],tabGrupos[#Data],2,FALSE)</f>
        <v>EQUIP. MAT. P/ GERACAO, TRANSM. DISTR. RETIF...</v>
      </c>
      <c r="G981" s="32" t="str">
        <f>VLOOKUP(tabPontoPed[[#This Row],[GRUPO]],tabGrupos[#Data],3,FALSE)</f>
        <v>MEL</v>
      </c>
      <c r="H981" s="33" t="s">
        <v>1311</v>
      </c>
      <c r="I981" s="80">
        <v>4</v>
      </c>
      <c r="J981" s="39">
        <v>15</v>
      </c>
      <c r="K981" s="41">
        <f>tabPontoPed[[#This Row],[QTDMÊS]] * tabPontoPed[[#This Row],[MENSAL]]</f>
        <v>60</v>
      </c>
      <c r="L981" s="83"/>
      <c r="M981" s="81"/>
      <c r="N981" s="34" t="s">
        <v>1009</v>
      </c>
      <c r="O981" s="76" t="s">
        <v>1454</v>
      </c>
      <c r="P981" s="77"/>
      <c r="Q981" s="57">
        <v>17</v>
      </c>
      <c r="R981" s="42">
        <v>8</v>
      </c>
      <c r="S981" s="69" t="str">
        <f>_xlfn.IFNA(IF(VLOOKUP(tabPontoPed[[#This Row],[CÓDIGO]],tabExcluirDoEstoque[#Data],1,FALSE),"sim",""),"")</f>
        <v>sim</v>
      </c>
      <c r="T981" s="43">
        <f>IF(AND(tabPontoPed[[#This Row],[MENSAL]]&gt;0,tabPontoPed[[#This Row],[CÁLCULO]]&gt;0), ABS( tabPontoPed[[#This Row],[MENSAL]] - tabPontoPed[[#This Row],[CÁLCULO]] ) / tabPontoPed[[#This Row],[MENSAL]], -1 )</f>
        <v>0.46666666666666667</v>
      </c>
      <c r="U981" s="58">
        <v>58</v>
      </c>
      <c r="V981" s="35">
        <f>IF(AND(tabPontoPed[[#This Row],[MENSAL]]&gt;0,tabPontoPed[[#This Row],[CÁLCULO]]&gt;0), IF( tabPontoPed[[#This Row],[MENSAL]] - tabPontoPed[[#This Row],[CÁLCULO]] &lt; 0, -1, IF( tabPontoPed[[#This Row],[MENSAL]] - tabPontoPed[[#This Row],[CÁLCULO]] &gt; 0, 1, -8)), -9 )</f>
        <v>1</v>
      </c>
      <c r="W981" s="35"/>
      <c r="X981" s="49" t="s">
        <v>1564</v>
      </c>
      <c r="Y981" s="51">
        <v>44391.599108796298</v>
      </c>
      <c r="Z981" s="72">
        <f>tabPontoPed[CÁLC_4M] - tabPontoPed[CÁLCULO]</f>
        <v>9</v>
      </c>
      <c r="AA981" s="79" t="str">
        <f>IF(tabPontoPed[MENSAL]-tabPontoPed[ATA MENSAL] = 0,"sim","")</f>
        <v/>
      </c>
      <c r="AB981" s="79"/>
      <c r="AC981" s="47" t="str">
        <f t="shared" si="15"/>
        <v>*</v>
      </c>
    </row>
    <row r="982" spans="1:29" x14ac:dyDescent="0.25">
      <c r="A982" s="36">
        <v>86118</v>
      </c>
      <c r="B982" s="68" t="s">
        <v>372</v>
      </c>
      <c r="C982" s="33" t="s">
        <v>1317</v>
      </c>
      <c r="D982" s="32">
        <v>55</v>
      </c>
      <c r="E982" s="37">
        <v>55</v>
      </c>
      <c r="F982" s="38" t="str">
        <f>VLOOKUP(tabPontoPed[[#This Row],[GRUPO]],tabGrupos[#Data],2,FALSE)</f>
        <v>EQUIP. MAT. P/ GERACAO, TRANSM. DISTR. RETIF...</v>
      </c>
      <c r="G982" s="32" t="str">
        <f>VLOOKUP(tabPontoPed[[#This Row],[GRUPO]],tabGrupos[#Data],3,FALSE)</f>
        <v>MEL</v>
      </c>
      <c r="H982" s="33" t="s">
        <v>1311</v>
      </c>
      <c r="I982" s="80">
        <v>4</v>
      </c>
      <c r="J982" s="39">
        <v>9</v>
      </c>
      <c r="K982" s="41">
        <f>tabPontoPed[[#This Row],[QTDMÊS]] * tabPontoPed[[#This Row],[MENSAL]]</f>
        <v>36</v>
      </c>
      <c r="L982" s="83"/>
      <c r="M982" s="81"/>
      <c r="N982" s="34" t="s">
        <v>1009</v>
      </c>
      <c r="O982" s="76" t="s">
        <v>1603</v>
      </c>
      <c r="P982" s="77">
        <v>8</v>
      </c>
      <c r="Q982" s="57">
        <v>3</v>
      </c>
      <c r="R982" s="42">
        <v>5</v>
      </c>
      <c r="S982" s="69" t="str">
        <f>_xlfn.IFNA(IF(VLOOKUP(tabPontoPed[[#This Row],[CÓDIGO]],tabExcluirDoEstoque[#Data],1,FALSE),"sim",""),"")</f>
        <v>sim</v>
      </c>
      <c r="T982" s="43">
        <f>IF(AND(tabPontoPed[[#This Row],[MENSAL]]&gt;0,tabPontoPed[[#This Row],[CÁLCULO]]&gt;0), ABS( tabPontoPed[[#This Row],[MENSAL]] - tabPontoPed[[#This Row],[CÁLCULO]] ) / tabPontoPed[[#This Row],[MENSAL]], -1 )</f>
        <v>0.44444444444444442</v>
      </c>
      <c r="U982" s="58">
        <v>30</v>
      </c>
      <c r="V982" s="35">
        <f>IF(AND(tabPontoPed[[#This Row],[MENSAL]]&gt;0,tabPontoPed[[#This Row],[CÁLCULO]]&gt;0), IF( tabPontoPed[[#This Row],[MENSAL]] - tabPontoPed[[#This Row],[CÁLCULO]] &lt; 0, -1, IF( tabPontoPed[[#This Row],[MENSAL]] - tabPontoPed[[#This Row],[CÁLCULO]] &gt; 0, 1, -8)), -9 )</f>
        <v>1</v>
      </c>
      <c r="W982" s="35"/>
      <c r="X982" s="48" t="s">
        <v>1564</v>
      </c>
      <c r="Y982" s="53">
        <v>44391.599108796298</v>
      </c>
      <c r="Z982" s="72">
        <f>tabPontoPed[CÁLC_4M] - tabPontoPed[CÁLCULO]</f>
        <v>-2</v>
      </c>
      <c r="AA982" s="79" t="str">
        <f>IF(tabPontoPed[MENSAL]-tabPontoPed[ATA MENSAL] = 0,"sim","")</f>
        <v/>
      </c>
      <c r="AB982" s="79"/>
      <c r="AC982" s="47" t="str">
        <f t="shared" si="15"/>
        <v>*</v>
      </c>
    </row>
    <row r="983" spans="1:29" x14ac:dyDescent="0.25">
      <c r="A983" s="36">
        <v>85798</v>
      </c>
      <c r="B983" s="68" t="s">
        <v>1453</v>
      </c>
      <c r="C983" s="33"/>
      <c r="D983" s="32">
        <v>83</v>
      </c>
      <c r="E983" s="37">
        <v>4</v>
      </c>
      <c r="F983" s="38" t="str">
        <f>VLOOKUP(tabPontoPed[[#This Row],[GRUPO]],tabGrupos[#Data],2,FALSE)</f>
        <v>ABRASIVOS</v>
      </c>
      <c r="G983" s="59" t="str">
        <f>VLOOKUP(tabPontoPed[[#This Row],[GRUPO]],tabGrupos[#Data],3,FALSE)</f>
        <v>MAN</v>
      </c>
      <c r="H983" s="33" t="s">
        <v>1311</v>
      </c>
      <c r="I983" s="80">
        <v>4</v>
      </c>
      <c r="J983" s="39">
        <v>21</v>
      </c>
      <c r="K983" s="41">
        <f>tabPontoPed[[#This Row],[QTDMÊS]] * tabPontoPed[[#This Row],[MENSAL]]</f>
        <v>84</v>
      </c>
      <c r="L983" s="83"/>
      <c r="M983" s="81"/>
      <c r="N983" s="34" t="s">
        <v>1011</v>
      </c>
      <c r="O983" s="76" t="s">
        <v>1575</v>
      </c>
      <c r="P983" s="77">
        <v>0</v>
      </c>
      <c r="Q983" s="57">
        <v>5</v>
      </c>
      <c r="R983" s="42">
        <v>12</v>
      </c>
      <c r="S983" s="69" t="str">
        <f>_xlfn.IFNA(IF(VLOOKUP(tabPontoPed[[#This Row],[CÓDIGO]],tabExcluirDoEstoque[#Data],1,FALSE),"sim",""),"")</f>
        <v>sim</v>
      </c>
      <c r="T983" s="43">
        <f>IF(AND(tabPontoPed[[#This Row],[MENSAL]]&gt;0,tabPontoPed[[#This Row],[CÁLCULO]]&gt;0), ABS( tabPontoPed[[#This Row],[MENSAL]] - tabPontoPed[[#This Row],[CÁLCULO]] ) / tabPontoPed[[#This Row],[MENSAL]], -1 )</f>
        <v>0.42857142857142855</v>
      </c>
      <c r="U983" s="58">
        <v>70</v>
      </c>
      <c r="V983" s="35">
        <f>IF(AND(tabPontoPed[[#This Row],[MENSAL]]&gt;0,tabPontoPed[[#This Row],[CÁLCULO]]&gt;0), IF( tabPontoPed[[#This Row],[MENSAL]] - tabPontoPed[[#This Row],[CÁLCULO]] &lt; 0, -1, IF( tabPontoPed[[#This Row],[MENSAL]] - tabPontoPed[[#This Row],[CÁLCULO]] &gt; 0, 1, -8)), -9 )</f>
        <v>1</v>
      </c>
      <c r="W983" s="35"/>
      <c r="X983" s="49" t="s">
        <v>1564</v>
      </c>
      <c r="Y983" s="51">
        <v>44391.599108796298</v>
      </c>
      <c r="Z983" s="72">
        <f>tabPontoPed[CÁLC_4M] - tabPontoPed[CÁLCULO]</f>
        <v>-7</v>
      </c>
      <c r="AA983" s="79" t="str">
        <f>IF(tabPontoPed[MENSAL]-tabPontoPed[ATA MENSAL] = 0,"sim","")</f>
        <v/>
      </c>
      <c r="AB983" s="79"/>
      <c r="AC983" s="47" t="str">
        <f t="shared" si="15"/>
        <v>*</v>
      </c>
    </row>
    <row r="984" spans="1:29" x14ac:dyDescent="0.25">
      <c r="A984" s="36">
        <v>136910</v>
      </c>
      <c r="B984" s="68" t="s">
        <v>1485</v>
      </c>
      <c r="C984" s="33"/>
      <c r="D984" s="32">
        <v>55</v>
      </c>
      <c r="E984" s="37">
        <v>19</v>
      </c>
      <c r="F984" s="38" t="str">
        <f>VLOOKUP(tabPontoPed[[#This Row],[GRUPO]],tabGrupos[#Data],2,FALSE)</f>
        <v>EQUIP. MAT. P/ GERACAO, TRANSM. DISTR. RETIF...</v>
      </c>
      <c r="G984" s="32" t="str">
        <f>VLOOKUP(tabPontoPed[[#This Row],[GRUPO]],tabGrupos[#Data],3,FALSE)</f>
        <v>MEL</v>
      </c>
      <c r="H984" s="33" t="s">
        <v>1311</v>
      </c>
      <c r="I984" s="80">
        <v>4</v>
      </c>
      <c r="J984" s="39">
        <v>167</v>
      </c>
      <c r="K984" s="41">
        <f>tabPontoPed[[#This Row],[QTDMÊS]] * tabPontoPed[[#This Row],[MENSAL]]</f>
        <v>668</v>
      </c>
      <c r="L984" s="83"/>
      <c r="M984" s="81"/>
      <c r="N984" s="34" t="s">
        <v>1009</v>
      </c>
      <c r="O984" s="76" t="s">
        <v>1573</v>
      </c>
      <c r="P984" s="77">
        <v>167</v>
      </c>
      <c r="Q984" s="57">
        <v>39</v>
      </c>
      <c r="R984" s="42">
        <v>100</v>
      </c>
      <c r="S984" s="69" t="str">
        <f>_xlfn.IFNA(IF(VLOOKUP(tabPontoPed[[#This Row],[CÓDIGO]],tabExcluirDoEstoque[#Data],1,FALSE),"sim",""),"")</f>
        <v>sim</v>
      </c>
      <c r="T984" s="43">
        <f>IF(AND(tabPontoPed[[#This Row],[MENSAL]]&gt;0,tabPontoPed[[#This Row],[CÁLCULO]]&gt;0), ABS( tabPontoPed[[#This Row],[MENSAL]] - tabPontoPed[[#This Row],[CÁLCULO]] ) / tabPontoPed[[#This Row],[MENSAL]], -1 )</f>
        <v>0.40119760479041916</v>
      </c>
      <c r="U984" s="58">
        <v>420</v>
      </c>
      <c r="V984" s="35">
        <f>IF(AND(tabPontoPed[[#This Row],[MENSAL]]&gt;0,tabPontoPed[[#This Row],[CÁLCULO]]&gt;0), IF( tabPontoPed[[#This Row],[MENSAL]] - tabPontoPed[[#This Row],[CÁLCULO]] &lt; 0, -1, IF( tabPontoPed[[#This Row],[MENSAL]] - tabPontoPed[[#This Row],[CÁLCULO]] &gt; 0, 1, -8)), -9 )</f>
        <v>1</v>
      </c>
      <c r="W984" s="35"/>
      <c r="X984" s="49" t="s">
        <v>1564</v>
      </c>
      <c r="Y984" s="51">
        <v>44391.599108796298</v>
      </c>
      <c r="Z984" s="72">
        <f>tabPontoPed[CÁLC_4M] - tabPontoPed[CÁLCULO]</f>
        <v>-61</v>
      </c>
      <c r="AA984" s="79" t="str">
        <f>IF(tabPontoPed[MENSAL]-tabPontoPed[ATA MENSAL] = 0,"sim","")</f>
        <v>sim</v>
      </c>
      <c r="AB984" s="79" t="s">
        <v>1614</v>
      </c>
      <c r="AC984" s="47" t="str">
        <f t="shared" si="15"/>
        <v>*</v>
      </c>
    </row>
    <row r="985" spans="1:29" x14ac:dyDescent="0.25">
      <c r="A985" s="36">
        <v>101938</v>
      </c>
      <c r="B985" s="68" t="s">
        <v>582</v>
      </c>
      <c r="C985" s="33" t="s">
        <v>1317</v>
      </c>
      <c r="D985" s="32">
        <v>54</v>
      </c>
      <c r="E985" s="37">
        <v>4</v>
      </c>
      <c r="F985" s="38" t="str">
        <f>VLOOKUP(tabPontoPed[[#This Row],[GRUPO]],tabGrupos[#Data],2,FALSE)</f>
        <v>EQUIP PROT IND, INST MAT P/ SINAL, CONTR, COMB ...</v>
      </c>
      <c r="G985" s="32" t="str">
        <f>VLOOKUP(tabPontoPed[[#This Row],[GRUPO]],tabGrupos[#Data],3,FALSE)</f>
        <v>MAN</v>
      </c>
      <c r="H985" s="33" t="s">
        <v>1311</v>
      </c>
      <c r="I985" s="80">
        <v>4</v>
      </c>
      <c r="J985" s="39">
        <v>5</v>
      </c>
      <c r="K985" s="41">
        <f>tabPontoPed[[#This Row],[QTDMÊS]] * tabPontoPed[[#This Row],[MENSAL]]</f>
        <v>20</v>
      </c>
      <c r="L985" s="83"/>
      <c r="M985" s="81"/>
      <c r="N985" s="34" t="s">
        <v>1010</v>
      </c>
      <c r="O985" s="76" t="s">
        <v>1424</v>
      </c>
      <c r="P985" s="77"/>
      <c r="Q985" s="57">
        <v>0</v>
      </c>
      <c r="R985" s="42">
        <v>3</v>
      </c>
      <c r="S985" s="69" t="str">
        <f>_xlfn.IFNA(IF(VLOOKUP(tabPontoPed[[#This Row],[CÓDIGO]],tabExcluirDoEstoque[#Data],1,FALSE),"sim",""),"")</f>
        <v>sim</v>
      </c>
      <c r="T985" s="43">
        <f>IF(AND(tabPontoPed[[#This Row],[MENSAL]]&gt;0,tabPontoPed[[#This Row],[CÁLCULO]]&gt;0), ABS( tabPontoPed[[#This Row],[MENSAL]] - tabPontoPed[[#This Row],[CÁLCULO]] ) / tabPontoPed[[#This Row],[MENSAL]], -1 )</f>
        <v>0.4</v>
      </c>
      <c r="U985" s="58">
        <v>12</v>
      </c>
      <c r="V985" s="35">
        <f>IF(AND(tabPontoPed[[#This Row],[MENSAL]]&gt;0,tabPontoPed[[#This Row],[CÁLCULO]]&gt;0), IF( tabPontoPed[[#This Row],[MENSAL]] - tabPontoPed[[#This Row],[CÁLCULO]] &lt; 0, -1, IF( tabPontoPed[[#This Row],[MENSAL]] - tabPontoPed[[#This Row],[CÁLCULO]] &gt; 0, 1, -8)), -9 )</f>
        <v>1</v>
      </c>
      <c r="W985" s="35"/>
      <c r="X985" s="49" t="s">
        <v>1564</v>
      </c>
      <c r="Y985" s="51">
        <v>44391.599108796298</v>
      </c>
      <c r="Z985" s="72">
        <f>tabPontoPed[CÁLC_4M] - tabPontoPed[CÁLCULO]</f>
        <v>-3</v>
      </c>
      <c r="AA985" s="79" t="str">
        <f>IF(tabPontoPed[MENSAL]-tabPontoPed[ATA MENSAL] = 0,"sim","")</f>
        <v/>
      </c>
      <c r="AB985" s="79"/>
      <c r="AC985" s="47" t="str">
        <f t="shared" si="15"/>
        <v>*</v>
      </c>
    </row>
    <row r="986" spans="1:29" x14ac:dyDescent="0.25">
      <c r="A986" s="36">
        <v>118865</v>
      </c>
      <c r="B986" s="68" t="s">
        <v>149</v>
      </c>
      <c r="C986" s="33" t="s">
        <v>1317</v>
      </c>
      <c r="D986" s="32">
        <v>51</v>
      </c>
      <c r="E986" s="37">
        <v>9</v>
      </c>
      <c r="F986" s="38" t="str">
        <f>VLOOKUP(tabPontoPed[[#This Row],[GRUPO]],tabGrupos[#Data],2,FALSE)</f>
        <v>MAT.E EQUIP. P/ CONSTR.CIVIL E CONSERV. DE VIAS PUBL.</v>
      </c>
      <c r="G986" s="32" t="str">
        <f>VLOOKUP(tabPontoPed[[#This Row],[GRUPO]],tabGrupos[#Data],3,FALSE)</f>
        <v>MCO</v>
      </c>
      <c r="H986" s="33" t="s">
        <v>1311</v>
      </c>
      <c r="I986" s="80">
        <v>4</v>
      </c>
      <c r="J986" s="39">
        <v>60</v>
      </c>
      <c r="K986" s="41">
        <f>tabPontoPed[[#This Row],[QTDMÊS]] * tabPontoPed[[#This Row],[MENSAL]]</f>
        <v>240</v>
      </c>
      <c r="L986" s="83"/>
      <c r="M986" s="81"/>
      <c r="N986" s="34" t="s">
        <v>1010</v>
      </c>
      <c r="O986" s="76" t="s">
        <v>1458</v>
      </c>
      <c r="P986" s="77"/>
      <c r="Q986" s="57">
        <v>84</v>
      </c>
      <c r="R986" s="42">
        <v>84</v>
      </c>
      <c r="S986" s="69" t="str">
        <f>_xlfn.IFNA(IF(VLOOKUP(tabPontoPed[[#This Row],[CÓDIGO]],tabExcluirDoEstoque[#Data],1,FALSE),"sim",""),"")</f>
        <v>sim</v>
      </c>
      <c r="T986" s="43">
        <f>IF(AND(tabPontoPed[[#This Row],[MENSAL]]&gt;0,tabPontoPed[[#This Row],[CÁLCULO]]&gt;0), ABS( tabPontoPed[[#This Row],[MENSAL]] - tabPontoPed[[#This Row],[CÁLCULO]] ) / tabPontoPed[[#This Row],[MENSAL]], -1 )</f>
        <v>0.4</v>
      </c>
      <c r="U986" s="58"/>
      <c r="V986" s="35">
        <f>IF(AND(tabPontoPed[[#This Row],[MENSAL]]&gt;0,tabPontoPed[[#This Row],[CÁLCULO]]&gt;0), IF( tabPontoPed[[#This Row],[MENSAL]] - tabPontoPed[[#This Row],[CÁLCULO]] &lt; 0, -1, IF( tabPontoPed[[#This Row],[MENSAL]] - tabPontoPed[[#This Row],[CÁLCULO]] &gt; 0, 1, -8)), -9 )</f>
        <v>-1</v>
      </c>
      <c r="W986" s="35"/>
      <c r="X986" s="48" t="s">
        <v>1564</v>
      </c>
      <c r="Y986" s="53">
        <v>44391.599108796298</v>
      </c>
      <c r="Z986" s="72">
        <f>tabPontoPed[CÁLC_4M] - tabPontoPed[CÁLCULO]</f>
        <v>0</v>
      </c>
      <c r="AA986" s="79" t="str">
        <f>IF(tabPontoPed[MENSAL]-tabPontoPed[ATA MENSAL] = 0,"sim","")</f>
        <v/>
      </c>
      <c r="AB986" s="79"/>
      <c r="AC986" s="47" t="str">
        <f t="shared" si="15"/>
        <v>*</v>
      </c>
    </row>
    <row r="987" spans="1:29" x14ac:dyDescent="0.25">
      <c r="A987" s="36">
        <v>108440</v>
      </c>
      <c r="B987" s="68" t="s">
        <v>689</v>
      </c>
      <c r="C987" s="33" t="s">
        <v>1317</v>
      </c>
      <c r="D987" s="32">
        <v>55</v>
      </c>
      <c r="E987" s="37">
        <v>49</v>
      </c>
      <c r="F987" s="38" t="str">
        <f>VLOOKUP(tabPontoPed[[#This Row],[GRUPO]],tabGrupos[#Data],2,FALSE)</f>
        <v>EQUIP. MAT. P/ GERACAO, TRANSM. DISTR. RETIF...</v>
      </c>
      <c r="G987" s="32" t="str">
        <f>VLOOKUP(tabPontoPed[[#This Row],[GRUPO]],tabGrupos[#Data],3,FALSE)</f>
        <v>MEL</v>
      </c>
      <c r="H987" s="33" t="s">
        <v>1311</v>
      </c>
      <c r="I987" s="80">
        <v>4</v>
      </c>
      <c r="J987" s="39">
        <v>10</v>
      </c>
      <c r="K987" s="41">
        <f>tabPontoPed[[#This Row],[QTDMÊS]] * tabPontoPed[[#This Row],[MENSAL]]</f>
        <v>40</v>
      </c>
      <c r="L987" s="83"/>
      <c r="M987" s="81"/>
      <c r="N987" s="34" t="s">
        <v>1009</v>
      </c>
      <c r="O987" s="76" t="s">
        <v>1575</v>
      </c>
      <c r="P987" s="77">
        <v>0</v>
      </c>
      <c r="Q987" s="57">
        <v>0</v>
      </c>
      <c r="R987" s="42">
        <v>6</v>
      </c>
      <c r="S987" s="69" t="str">
        <f>_xlfn.IFNA(IF(VLOOKUP(tabPontoPed[[#This Row],[CÓDIGO]],tabExcluirDoEstoque[#Data],1,FALSE),"sim",""),"")</f>
        <v>sim</v>
      </c>
      <c r="T987" s="43">
        <f>IF(AND(tabPontoPed[[#This Row],[MENSAL]]&gt;0,tabPontoPed[[#This Row],[CÁLCULO]]&gt;0), ABS( tabPontoPed[[#This Row],[MENSAL]] - tabPontoPed[[#This Row],[CÁLCULO]] ) / tabPontoPed[[#This Row],[MENSAL]], -1 )</f>
        <v>0.4</v>
      </c>
      <c r="U987" s="58">
        <v>12</v>
      </c>
      <c r="V987" s="35">
        <f>IF(AND(tabPontoPed[[#This Row],[MENSAL]]&gt;0,tabPontoPed[[#This Row],[CÁLCULO]]&gt;0), IF( tabPontoPed[[#This Row],[MENSAL]] - tabPontoPed[[#This Row],[CÁLCULO]] &lt; 0, -1, IF( tabPontoPed[[#This Row],[MENSAL]] - tabPontoPed[[#This Row],[CÁLCULO]] &gt; 0, 1, -8)), -9 )</f>
        <v>1</v>
      </c>
      <c r="W987" s="35"/>
      <c r="X987" s="49" t="s">
        <v>1564</v>
      </c>
      <c r="Y987" s="51">
        <v>44391.599108796298</v>
      </c>
      <c r="Z987" s="72">
        <f>tabPontoPed[CÁLC_4M] - tabPontoPed[CÁLCULO]</f>
        <v>-6</v>
      </c>
      <c r="AA987" s="79" t="str">
        <f>IF(tabPontoPed[MENSAL]-tabPontoPed[ATA MENSAL] = 0,"sim","")</f>
        <v/>
      </c>
      <c r="AB987" s="79"/>
      <c r="AC987" s="47" t="str">
        <f t="shared" si="15"/>
        <v>*</v>
      </c>
    </row>
    <row r="988" spans="1:29" ht="18.75" x14ac:dyDescent="0.25">
      <c r="A988" s="36">
        <v>136040</v>
      </c>
      <c r="B988" s="68" t="s">
        <v>957</v>
      </c>
      <c r="C988" s="33" t="s">
        <v>1317</v>
      </c>
      <c r="D988" s="32">
        <v>76</v>
      </c>
      <c r="E988" s="37">
        <v>3</v>
      </c>
      <c r="F988" s="38" t="str">
        <f>VLOOKUP(tabPontoPed[[#This Row],[GRUPO]],tabGrupos[#Data],2,FALSE)</f>
        <v>EQUIP. E MATERIAIS P/PINTURAS E IMPERMEABILIZACAO</v>
      </c>
      <c r="G988" s="32" t="str">
        <f>VLOOKUP(tabPontoPed[[#This Row],[GRUPO]],tabGrupos[#Data],3,FALSE)</f>
        <v>MPI</v>
      </c>
      <c r="H988" s="33" t="s">
        <v>1311</v>
      </c>
      <c r="I988" s="80">
        <v>4</v>
      </c>
      <c r="J988" s="39">
        <v>10</v>
      </c>
      <c r="K988" s="41">
        <f>tabPontoPed[[#This Row],[QTDMÊS]] * tabPontoPed[[#This Row],[MENSAL]]</f>
        <v>40</v>
      </c>
      <c r="L988" s="83"/>
      <c r="M988" s="81"/>
      <c r="N988" s="34" t="s">
        <v>1009</v>
      </c>
      <c r="O988" s="76" t="s">
        <v>1640</v>
      </c>
      <c r="P988" s="77">
        <v>9</v>
      </c>
      <c r="Q988" s="57">
        <v>2</v>
      </c>
      <c r="R988" s="42">
        <v>6</v>
      </c>
      <c r="S988" s="69" t="str">
        <f>_xlfn.IFNA(IF(VLOOKUP(tabPontoPed[[#This Row],[CÓDIGO]],tabExcluirDoEstoque[#Data],1,FALSE),"sim",""),"")</f>
        <v>sim</v>
      </c>
      <c r="T988" s="43">
        <f>IF(AND(tabPontoPed[[#This Row],[MENSAL]]&gt;0,tabPontoPed[[#This Row],[CÁLCULO]]&gt;0), ABS( tabPontoPed[[#This Row],[MENSAL]] - tabPontoPed[[#This Row],[CÁLCULO]] ) / tabPontoPed[[#This Row],[MENSAL]], -1 )</f>
        <v>0.4</v>
      </c>
      <c r="U988" s="58">
        <v>16</v>
      </c>
      <c r="V988" s="35">
        <f>IF(AND(tabPontoPed[[#This Row],[MENSAL]]&gt;0,tabPontoPed[[#This Row],[CÁLCULO]]&gt;0), IF( tabPontoPed[[#This Row],[MENSAL]] - tabPontoPed[[#This Row],[CÁLCULO]] &lt; 0, -1, IF( tabPontoPed[[#This Row],[MENSAL]] - tabPontoPed[[#This Row],[CÁLCULO]] &gt; 0, 1, -8)), -9 )</f>
        <v>1</v>
      </c>
      <c r="W988" s="45"/>
      <c r="X988" s="50" t="s">
        <v>1564</v>
      </c>
      <c r="Y988" s="52">
        <v>44391.599108796298</v>
      </c>
      <c r="Z988" s="73">
        <f>tabPontoPed[CÁLC_4M] - tabPontoPed[CÁLCULO]</f>
        <v>-4</v>
      </c>
      <c r="AA988" s="79" t="str">
        <f>IF(tabPontoPed[MENSAL]-tabPontoPed[ATA MENSAL] = 0,"sim","")</f>
        <v/>
      </c>
      <c r="AB988" s="79"/>
      <c r="AC988" s="47" t="str">
        <f t="shared" si="15"/>
        <v>*</v>
      </c>
    </row>
    <row r="989" spans="1:29" ht="18.75" x14ac:dyDescent="0.25">
      <c r="A989" s="36">
        <v>54668</v>
      </c>
      <c r="B989" s="68" t="s">
        <v>11</v>
      </c>
      <c r="C989" s="33" t="s">
        <v>1317</v>
      </c>
      <c r="D989" s="32">
        <v>76</v>
      </c>
      <c r="E989" s="37">
        <v>9</v>
      </c>
      <c r="F989" s="38" t="str">
        <f>VLOOKUP(tabPontoPed[[#This Row],[GRUPO]],tabGrupos[#Data],2,FALSE)</f>
        <v>EQUIP. E MATERIAIS P/PINTURAS E IMPERMEABILIZACAO</v>
      </c>
      <c r="G989" s="32" t="str">
        <f>VLOOKUP(tabPontoPed[[#This Row],[GRUPO]],tabGrupos[#Data],3,FALSE)</f>
        <v>MPI</v>
      </c>
      <c r="H989" s="33" t="s">
        <v>1311</v>
      </c>
      <c r="I989" s="80">
        <v>4</v>
      </c>
      <c r="J989" s="39">
        <v>5</v>
      </c>
      <c r="K989" s="41">
        <f>tabPontoPed[[#This Row],[QTDMÊS]] * tabPontoPed[[#This Row],[MENSAL]]</f>
        <v>20</v>
      </c>
      <c r="L989" s="83"/>
      <c r="M989" s="81"/>
      <c r="N989" s="34" t="s">
        <v>1009</v>
      </c>
      <c r="O989" s="76" t="s">
        <v>1455</v>
      </c>
      <c r="P989" s="77">
        <v>13</v>
      </c>
      <c r="Q989" s="57">
        <v>2</v>
      </c>
      <c r="R989" s="42">
        <v>7</v>
      </c>
      <c r="S989" s="69" t="str">
        <f>_xlfn.IFNA(IF(VLOOKUP(tabPontoPed[[#This Row],[CÓDIGO]],tabExcluirDoEstoque[#Data],1,FALSE),"sim",""),"")</f>
        <v>sim</v>
      </c>
      <c r="T989" s="43">
        <f>IF(AND(tabPontoPed[[#This Row],[MENSAL]]&gt;0,tabPontoPed[[#This Row],[CÁLCULO]]&gt;0), ABS( tabPontoPed[[#This Row],[MENSAL]] - tabPontoPed[[#This Row],[CÁLCULO]] ) / tabPontoPed[[#This Row],[MENSAL]], -1 )</f>
        <v>0.4</v>
      </c>
      <c r="U989" s="58">
        <v>18</v>
      </c>
      <c r="V989" s="35">
        <f>IF(AND(tabPontoPed[[#This Row],[MENSAL]]&gt;0,tabPontoPed[[#This Row],[CÁLCULO]]&gt;0), IF( tabPontoPed[[#This Row],[MENSAL]] - tabPontoPed[[#This Row],[CÁLCULO]] &lt; 0, -1, IF( tabPontoPed[[#This Row],[MENSAL]] - tabPontoPed[[#This Row],[CÁLCULO]] &gt; 0, 1, -8)), -9 )</f>
        <v>-1</v>
      </c>
      <c r="W989" s="45"/>
      <c r="X989" s="48" t="s">
        <v>1564</v>
      </c>
      <c r="Y989" s="53">
        <v>44391.599108796298</v>
      </c>
      <c r="Z989" s="72">
        <f>tabPontoPed[CÁLC_4M] - tabPontoPed[CÁLCULO]</f>
        <v>-5</v>
      </c>
      <c r="AA989" s="79" t="str">
        <f>IF(tabPontoPed[MENSAL]-tabPontoPed[ATA MENSAL] = 0,"sim","")</f>
        <v/>
      </c>
      <c r="AB989" s="79"/>
      <c r="AC989" s="47" t="str">
        <f t="shared" si="15"/>
        <v>*</v>
      </c>
    </row>
    <row r="990" spans="1:29" ht="18.75" x14ac:dyDescent="0.25">
      <c r="A990" s="36">
        <v>135225</v>
      </c>
      <c r="B990" s="68" t="s">
        <v>236</v>
      </c>
      <c r="C990" s="33" t="s">
        <v>1317</v>
      </c>
      <c r="D990" s="32">
        <v>76</v>
      </c>
      <c r="E990" s="37">
        <v>10</v>
      </c>
      <c r="F990" s="38" t="str">
        <f>VLOOKUP(tabPontoPed[[#This Row],[GRUPO]],tabGrupos[#Data],2,FALSE)</f>
        <v>EQUIP. E MATERIAIS P/PINTURAS E IMPERMEABILIZACAO</v>
      </c>
      <c r="G990" s="32" t="str">
        <f>VLOOKUP(tabPontoPed[[#This Row],[GRUPO]],tabGrupos[#Data],3,FALSE)</f>
        <v>MPI</v>
      </c>
      <c r="H990" s="33" t="s">
        <v>1311</v>
      </c>
      <c r="I990" s="80">
        <v>4</v>
      </c>
      <c r="J990" s="39">
        <v>10</v>
      </c>
      <c r="K990" s="41">
        <f>tabPontoPed[[#This Row],[QTDMÊS]] * tabPontoPed[[#This Row],[MENSAL]]</f>
        <v>40</v>
      </c>
      <c r="L990" s="83"/>
      <c r="M990" s="81"/>
      <c r="N990" s="34" t="s">
        <v>1009</v>
      </c>
      <c r="O990" s="76" t="s">
        <v>1498</v>
      </c>
      <c r="P990" s="77">
        <v>21</v>
      </c>
      <c r="Q990" s="57">
        <v>4</v>
      </c>
      <c r="R990" s="42">
        <v>6</v>
      </c>
      <c r="S990" s="69" t="str">
        <f>_xlfn.IFNA(IF(VLOOKUP(tabPontoPed[[#This Row],[CÓDIGO]],tabExcluirDoEstoque[#Data],1,FALSE),"sim",""),"")</f>
        <v>sim</v>
      </c>
      <c r="T990" s="43">
        <f>IF(AND(tabPontoPed[[#This Row],[MENSAL]]&gt;0,tabPontoPed[[#This Row],[CÁLCULO]]&gt;0), ABS( tabPontoPed[[#This Row],[MENSAL]] - tabPontoPed[[#This Row],[CÁLCULO]] ) / tabPontoPed[[#This Row],[MENSAL]], -1 )</f>
        <v>0.4</v>
      </c>
      <c r="U990" s="58">
        <v>12</v>
      </c>
      <c r="V990" s="35">
        <f>IF(AND(tabPontoPed[[#This Row],[MENSAL]]&gt;0,tabPontoPed[[#This Row],[CÁLCULO]]&gt;0), IF( tabPontoPed[[#This Row],[MENSAL]] - tabPontoPed[[#This Row],[CÁLCULO]] &lt; 0, -1, IF( tabPontoPed[[#This Row],[MENSAL]] - tabPontoPed[[#This Row],[CÁLCULO]] &gt; 0, 1, -8)), -9 )</f>
        <v>1</v>
      </c>
      <c r="W990" s="45"/>
      <c r="X990" s="50" t="s">
        <v>1564</v>
      </c>
      <c r="Y990" s="52">
        <v>44391.599108796298</v>
      </c>
      <c r="Z990" s="73">
        <f>tabPontoPed[CÁLC_4M] - tabPontoPed[CÁLCULO]</f>
        <v>-2</v>
      </c>
      <c r="AA990" s="79" t="str">
        <f>IF(tabPontoPed[MENSAL]-tabPontoPed[ATA MENSAL] = 0,"sim","")</f>
        <v/>
      </c>
      <c r="AB990" s="79"/>
      <c r="AC990" s="47" t="str">
        <f t="shared" si="15"/>
        <v>*</v>
      </c>
    </row>
    <row r="991" spans="1:29" x14ac:dyDescent="0.25">
      <c r="A991" s="36">
        <v>80384</v>
      </c>
      <c r="B991" s="68" t="s">
        <v>565</v>
      </c>
      <c r="C991" s="33" t="s">
        <v>1317</v>
      </c>
      <c r="D991" s="32">
        <v>51</v>
      </c>
      <c r="E991" s="37">
        <v>42</v>
      </c>
      <c r="F991" s="38" t="str">
        <f>VLOOKUP(tabPontoPed[[#This Row],[GRUPO]],tabGrupos[#Data],2,FALSE)</f>
        <v>MAT.E EQUIP. P/ CONSTR.CIVIL E CONSERV. DE VIAS PUBL.</v>
      </c>
      <c r="G991" s="32" t="str">
        <f>VLOOKUP(tabPontoPed[[#This Row],[GRUPO]],tabGrupos[#Data],3,FALSE)</f>
        <v>MCO</v>
      </c>
      <c r="H991" s="33" t="s">
        <v>1311</v>
      </c>
      <c r="I991" s="80">
        <v>4</v>
      </c>
      <c r="J991" s="39">
        <v>3</v>
      </c>
      <c r="K991" s="41">
        <f>tabPontoPed[[#This Row],[QTDMÊS]] * tabPontoPed[[#This Row],[MENSAL]]</f>
        <v>12</v>
      </c>
      <c r="L991" s="83"/>
      <c r="M991" s="81"/>
      <c r="N991" s="34" t="s">
        <v>1010</v>
      </c>
      <c r="O991" s="76"/>
      <c r="P991" s="77"/>
      <c r="Q991" s="57">
        <v>2</v>
      </c>
      <c r="R991" s="42">
        <v>2</v>
      </c>
      <c r="S991" s="69" t="str">
        <f>_xlfn.IFNA(IF(VLOOKUP(tabPontoPed[[#This Row],[CÓDIGO]],tabExcluirDoEstoque[#Data],1,FALSE),"sim",""),"")</f>
        <v>sim</v>
      </c>
      <c r="T991" s="43">
        <f>IF(AND(tabPontoPed[[#This Row],[MENSAL]]&gt;0,tabPontoPed[[#This Row],[CÁLCULO]]&gt;0), ABS( tabPontoPed[[#This Row],[MENSAL]] - tabPontoPed[[#This Row],[CÁLCULO]] ) / tabPontoPed[[#This Row],[MENSAL]], -1 )</f>
        <v>0.33333333333333331</v>
      </c>
      <c r="U991" s="58"/>
      <c r="V991" s="35">
        <f>IF(AND(tabPontoPed[[#This Row],[MENSAL]]&gt;0,tabPontoPed[[#This Row],[CÁLCULO]]&gt;0), IF( tabPontoPed[[#This Row],[MENSAL]] - tabPontoPed[[#This Row],[CÁLCULO]] &lt; 0, -1, IF( tabPontoPed[[#This Row],[MENSAL]] - tabPontoPed[[#This Row],[CÁLCULO]] &gt; 0, 1, -8)), -9 )</f>
        <v>1</v>
      </c>
      <c r="W991" s="35"/>
      <c r="X991" s="49" t="s">
        <v>1564</v>
      </c>
      <c r="Y991" s="51">
        <v>44391.599108796298</v>
      </c>
      <c r="Z991" s="72">
        <f>tabPontoPed[CÁLC_4M] - tabPontoPed[CÁLCULO]</f>
        <v>0</v>
      </c>
      <c r="AA991" s="79" t="str">
        <f>IF(tabPontoPed[MENSAL]-tabPontoPed[ATA MENSAL] = 0,"sim","")</f>
        <v/>
      </c>
      <c r="AB991" s="79"/>
      <c r="AC991" s="47" t="str">
        <f t="shared" si="15"/>
        <v>*</v>
      </c>
    </row>
    <row r="992" spans="1:29" x14ac:dyDescent="0.25">
      <c r="A992" s="36">
        <v>105491</v>
      </c>
      <c r="B992" s="68" t="s">
        <v>232</v>
      </c>
      <c r="C992" s="33" t="s">
        <v>1317</v>
      </c>
      <c r="D992" s="32">
        <v>76</v>
      </c>
      <c r="E992" s="37">
        <v>9</v>
      </c>
      <c r="F992" s="38" t="str">
        <f>VLOOKUP(tabPontoPed[[#This Row],[GRUPO]],tabGrupos[#Data],2,FALSE)</f>
        <v>EQUIP. E MATERIAIS P/PINTURAS E IMPERMEABILIZACAO</v>
      </c>
      <c r="G992" s="32" t="str">
        <f>VLOOKUP(tabPontoPed[[#This Row],[GRUPO]],tabGrupos[#Data],3,FALSE)</f>
        <v>MPI</v>
      </c>
      <c r="H992" s="33" t="s">
        <v>1311</v>
      </c>
      <c r="I992" s="80">
        <v>4</v>
      </c>
      <c r="J992" s="39">
        <v>3</v>
      </c>
      <c r="K992" s="41">
        <f>tabPontoPed[[#This Row],[QTDMÊS]] * tabPontoPed[[#This Row],[MENSAL]]</f>
        <v>12</v>
      </c>
      <c r="L992" s="83"/>
      <c r="M992" s="81"/>
      <c r="N992" s="34" t="s">
        <v>1010</v>
      </c>
      <c r="O992" s="76" t="s">
        <v>1429</v>
      </c>
      <c r="P992" s="77"/>
      <c r="Q992" s="57">
        <v>2</v>
      </c>
      <c r="R992" s="42">
        <v>2</v>
      </c>
      <c r="S992" s="69" t="str">
        <f>_xlfn.IFNA(IF(VLOOKUP(tabPontoPed[[#This Row],[CÓDIGO]],tabExcluirDoEstoque[#Data],1,FALSE),"sim",""),"")</f>
        <v>sim</v>
      </c>
      <c r="T992" s="43">
        <f>IF(AND(tabPontoPed[[#This Row],[MENSAL]]&gt;0,tabPontoPed[[#This Row],[CÁLCULO]]&gt;0), ABS( tabPontoPed[[#This Row],[MENSAL]] - tabPontoPed[[#This Row],[CÁLCULO]] ) / tabPontoPed[[#This Row],[MENSAL]], -1 )</f>
        <v>0.33333333333333331</v>
      </c>
      <c r="U992" s="58"/>
      <c r="V992" s="35">
        <f>IF(AND(tabPontoPed[[#This Row],[MENSAL]]&gt;0,tabPontoPed[[#This Row],[CÁLCULO]]&gt;0), IF( tabPontoPed[[#This Row],[MENSAL]] - tabPontoPed[[#This Row],[CÁLCULO]] &lt; 0, -1, IF( tabPontoPed[[#This Row],[MENSAL]] - tabPontoPed[[#This Row],[CÁLCULO]] &gt; 0, 1, -8)), -9 )</f>
        <v>1</v>
      </c>
      <c r="W992" s="35"/>
      <c r="X992" s="49" t="s">
        <v>1564</v>
      </c>
      <c r="Y992" s="51">
        <v>44391.599108796298</v>
      </c>
      <c r="Z992" s="72">
        <f>tabPontoPed[CÁLC_4M] - tabPontoPed[CÁLCULO]</f>
        <v>0</v>
      </c>
      <c r="AA992" s="79" t="str">
        <f>IF(tabPontoPed[MENSAL]-tabPontoPed[ATA MENSAL] = 0,"sim","")</f>
        <v/>
      </c>
      <c r="AB992" s="79"/>
      <c r="AC992" s="47" t="str">
        <f t="shared" si="15"/>
        <v>*</v>
      </c>
    </row>
    <row r="993" spans="1:29" ht="18.75" x14ac:dyDescent="0.25">
      <c r="A993" s="36">
        <v>64821</v>
      </c>
      <c r="B993" s="68" t="s">
        <v>234</v>
      </c>
      <c r="C993" s="33" t="s">
        <v>1317</v>
      </c>
      <c r="D993" s="32">
        <v>76</v>
      </c>
      <c r="E993" s="37">
        <v>9</v>
      </c>
      <c r="F993" s="38" t="str">
        <f>VLOOKUP(tabPontoPed[[#This Row],[GRUPO]],tabGrupos[#Data],2,FALSE)</f>
        <v>EQUIP. E MATERIAIS P/PINTURAS E IMPERMEABILIZACAO</v>
      </c>
      <c r="G993" s="32" t="str">
        <f>VLOOKUP(tabPontoPed[[#This Row],[GRUPO]],tabGrupos[#Data],3,FALSE)</f>
        <v>MPI</v>
      </c>
      <c r="H993" s="33" t="s">
        <v>1311</v>
      </c>
      <c r="I993" s="80">
        <v>4</v>
      </c>
      <c r="J993" s="39">
        <v>3</v>
      </c>
      <c r="K993" s="41">
        <f>tabPontoPed[[#This Row],[QTDMÊS]] * tabPontoPed[[#This Row],[MENSAL]]</f>
        <v>12</v>
      </c>
      <c r="L993" s="83"/>
      <c r="M993" s="81"/>
      <c r="N993" s="34" t="s">
        <v>1009</v>
      </c>
      <c r="O993" s="76" t="s">
        <v>1498</v>
      </c>
      <c r="P993" s="77">
        <v>3</v>
      </c>
      <c r="Q993" s="57">
        <v>1</v>
      </c>
      <c r="R993" s="42">
        <v>2</v>
      </c>
      <c r="S993" s="69" t="str">
        <f>_xlfn.IFNA(IF(VLOOKUP(tabPontoPed[[#This Row],[CÓDIGO]],tabExcluirDoEstoque[#Data],1,FALSE),"sim",""),"")</f>
        <v>sim</v>
      </c>
      <c r="T993" s="43">
        <f>IF(AND(tabPontoPed[[#This Row],[MENSAL]]&gt;0,tabPontoPed[[#This Row],[CÁLCULO]]&gt;0), ABS( tabPontoPed[[#This Row],[MENSAL]] - tabPontoPed[[#This Row],[CÁLCULO]] ) / tabPontoPed[[#This Row],[MENSAL]], -1 )</f>
        <v>0.33333333333333331</v>
      </c>
      <c r="U993" s="58">
        <v>10</v>
      </c>
      <c r="V993" s="35">
        <f>IF(AND(tabPontoPed[[#This Row],[MENSAL]]&gt;0,tabPontoPed[[#This Row],[CÁLCULO]]&gt;0), IF( tabPontoPed[[#This Row],[MENSAL]] - tabPontoPed[[#This Row],[CÁLCULO]] &lt; 0, -1, IF( tabPontoPed[[#This Row],[MENSAL]] - tabPontoPed[[#This Row],[CÁLCULO]] &gt; 0, 1, -8)), -9 )</f>
        <v>1</v>
      </c>
      <c r="W993" s="45"/>
      <c r="X993" s="50" t="s">
        <v>1564</v>
      </c>
      <c r="Y993" s="52">
        <v>44391.599108796298</v>
      </c>
      <c r="Z993" s="73">
        <f>tabPontoPed[CÁLC_4M] - tabPontoPed[CÁLCULO]</f>
        <v>-1</v>
      </c>
      <c r="AA993" s="79" t="str">
        <f>IF(tabPontoPed[MENSAL]-tabPontoPed[ATA MENSAL] = 0,"sim","")</f>
        <v>sim</v>
      </c>
      <c r="AB993" s="79" t="s">
        <v>1614</v>
      </c>
      <c r="AC993" s="47" t="str">
        <f t="shared" si="15"/>
        <v>*</v>
      </c>
    </row>
    <row r="994" spans="1:29" ht="18.75" x14ac:dyDescent="0.25">
      <c r="A994" s="36">
        <v>36011</v>
      </c>
      <c r="B994" s="68" t="s">
        <v>172</v>
      </c>
      <c r="C994" s="33" t="s">
        <v>1317</v>
      </c>
      <c r="D994" s="32">
        <v>76</v>
      </c>
      <c r="E994" s="37">
        <v>9</v>
      </c>
      <c r="F994" s="38" t="str">
        <f>VLOOKUP(tabPontoPed[[#This Row],[GRUPO]],tabGrupos[#Data],2,FALSE)</f>
        <v>EQUIP. E MATERIAIS P/PINTURAS E IMPERMEABILIZACAO</v>
      </c>
      <c r="G994" s="32" t="str">
        <f>VLOOKUP(tabPontoPed[[#This Row],[GRUPO]],tabGrupos[#Data],3,FALSE)</f>
        <v>MPI</v>
      </c>
      <c r="H994" s="33" t="s">
        <v>1311</v>
      </c>
      <c r="I994" s="80">
        <v>4</v>
      </c>
      <c r="J994" s="39">
        <v>3</v>
      </c>
      <c r="K994" s="41">
        <f>tabPontoPed[[#This Row],[QTDMÊS]] * tabPontoPed[[#This Row],[MENSAL]]</f>
        <v>12</v>
      </c>
      <c r="L994" s="83"/>
      <c r="M994" s="81"/>
      <c r="N994" s="34" t="s">
        <v>1009</v>
      </c>
      <c r="O994" s="76" t="s">
        <v>1498</v>
      </c>
      <c r="P994" s="77">
        <v>2</v>
      </c>
      <c r="Q994" s="57">
        <v>0</v>
      </c>
      <c r="R994" s="42">
        <v>2</v>
      </c>
      <c r="S994" s="69" t="str">
        <f>_xlfn.IFNA(IF(VLOOKUP(tabPontoPed[[#This Row],[CÓDIGO]],tabExcluirDoEstoque[#Data],1,FALSE),"sim",""),"")</f>
        <v>sim</v>
      </c>
      <c r="T994" s="43">
        <f>IF(AND(tabPontoPed[[#This Row],[MENSAL]]&gt;0,tabPontoPed[[#This Row],[CÁLCULO]]&gt;0), ABS( tabPontoPed[[#This Row],[MENSAL]] - tabPontoPed[[#This Row],[CÁLCULO]] ) / tabPontoPed[[#This Row],[MENSAL]], -1 )</f>
        <v>0.33333333333333331</v>
      </c>
      <c r="U994" s="58">
        <v>18</v>
      </c>
      <c r="V994" s="35">
        <f>IF(AND(tabPontoPed[[#This Row],[MENSAL]]&gt;0,tabPontoPed[[#This Row],[CÁLCULO]]&gt;0), IF( tabPontoPed[[#This Row],[MENSAL]] - tabPontoPed[[#This Row],[CÁLCULO]] &lt; 0, -1, IF( tabPontoPed[[#This Row],[MENSAL]] - tabPontoPed[[#This Row],[CÁLCULO]] &gt; 0, 1, -8)), -9 )</f>
        <v>1</v>
      </c>
      <c r="W994" s="45"/>
      <c r="X994" s="50" t="s">
        <v>1564</v>
      </c>
      <c r="Y994" s="52">
        <v>44391.599108796298</v>
      </c>
      <c r="Z994" s="73">
        <f>tabPontoPed[CÁLC_4M] - tabPontoPed[CÁLCULO]</f>
        <v>-2</v>
      </c>
      <c r="AA994" s="79" t="str">
        <f>IF(tabPontoPed[MENSAL]-tabPontoPed[ATA MENSAL] = 0,"sim","")</f>
        <v/>
      </c>
      <c r="AB994" s="79"/>
      <c r="AC994" s="47" t="str">
        <f t="shared" si="15"/>
        <v>*</v>
      </c>
    </row>
    <row r="995" spans="1:29" ht="18.75" x14ac:dyDescent="0.25">
      <c r="A995" s="36">
        <v>12806</v>
      </c>
      <c r="B995" s="68" t="s">
        <v>12</v>
      </c>
      <c r="C995" s="33" t="s">
        <v>1317</v>
      </c>
      <c r="D995" s="32">
        <v>76</v>
      </c>
      <c r="E995" s="37">
        <v>16</v>
      </c>
      <c r="F995" s="38" t="str">
        <f>VLOOKUP(tabPontoPed[[#This Row],[GRUPO]],tabGrupos[#Data],2,FALSE)</f>
        <v>EQUIP. E MATERIAIS P/PINTURAS E IMPERMEABILIZACAO</v>
      </c>
      <c r="G995" s="32" t="str">
        <f>VLOOKUP(tabPontoPed[[#This Row],[GRUPO]],tabGrupos[#Data],3,FALSE)</f>
        <v>MPI</v>
      </c>
      <c r="H995" s="33" t="s">
        <v>1311</v>
      </c>
      <c r="I995" s="80">
        <v>4</v>
      </c>
      <c r="J995" s="39">
        <v>3</v>
      </c>
      <c r="K995" s="41">
        <f>tabPontoPed[[#This Row],[QTDMÊS]] * tabPontoPed[[#This Row],[MENSAL]]</f>
        <v>12</v>
      </c>
      <c r="L995" s="83"/>
      <c r="M995" s="81"/>
      <c r="N995" s="34" t="s">
        <v>1009</v>
      </c>
      <c r="O995" s="76" t="s">
        <v>1580</v>
      </c>
      <c r="P995" s="77">
        <v>5</v>
      </c>
      <c r="Q995" s="57">
        <v>1</v>
      </c>
      <c r="R995" s="42">
        <v>2</v>
      </c>
      <c r="S995" s="69" t="str">
        <f>_xlfn.IFNA(IF(VLOOKUP(tabPontoPed[[#This Row],[CÓDIGO]],tabExcluirDoEstoque[#Data],1,FALSE),"sim",""),"")</f>
        <v>sim</v>
      </c>
      <c r="T995" s="43">
        <f>IF(AND(tabPontoPed[[#This Row],[MENSAL]]&gt;0,tabPontoPed[[#This Row],[CÁLCULO]]&gt;0), ABS( tabPontoPed[[#This Row],[MENSAL]] - tabPontoPed[[#This Row],[CÁLCULO]] ) / tabPontoPed[[#This Row],[MENSAL]], -1 )</f>
        <v>0.33333333333333331</v>
      </c>
      <c r="U995" s="58">
        <v>10</v>
      </c>
      <c r="V995" s="35">
        <f>IF(AND(tabPontoPed[[#This Row],[MENSAL]]&gt;0,tabPontoPed[[#This Row],[CÁLCULO]]&gt;0), IF( tabPontoPed[[#This Row],[MENSAL]] - tabPontoPed[[#This Row],[CÁLCULO]] &lt; 0, -1, IF( tabPontoPed[[#This Row],[MENSAL]] - tabPontoPed[[#This Row],[CÁLCULO]] &gt; 0, 1, -8)), -9 )</f>
        <v>1</v>
      </c>
      <c r="W995" s="45"/>
      <c r="X995" s="50" t="s">
        <v>1564</v>
      </c>
      <c r="Y995" s="52">
        <v>44391.599108796298</v>
      </c>
      <c r="Z995" s="73">
        <f>tabPontoPed[CÁLC_4M] - tabPontoPed[CÁLCULO]</f>
        <v>-1</v>
      </c>
      <c r="AA995" s="79" t="str">
        <f>IF(tabPontoPed[MENSAL]-tabPontoPed[ATA MENSAL] = 0,"sim","")</f>
        <v/>
      </c>
      <c r="AB995" s="79"/>
      <c r="AC995" s="47" t="str">
        <f t="shared" si="15"/>
        <v>*</v>
      </c>
    </row>
    <row r="996" spans="1:29" x14ac:dyDescent="0.25">
      <c r="A996" s="36">
        <v>134543</v>
      </c>
      <c r="B996" s="68" t="s">
        <v>244</v>
      </c>
      <c r="C996" s="33" t="s">
        <v>1317</v>
      </c>
      <c r="D996" s="32">
        <v>51</v>
      </c>
      <c r="E996" s="37">
        <v>21</v>
      </c>
      <c r="F996" s="38" t="str">
        <f>VLOOKUP(tabPontoPed[[#This Row],[GRUPO]],tabGrupos[#Data],2,FALSE)</f>
        <v>MAT.E EQUIP. P/ CONSTR.CIVIL E CONSERV. DE VIAS PUBL.</v>
      </c>
      <c r="G996" s="32" t="str">
        <f>VLOOKUP(tabPontoPed[[#This Row],[GRUPO]],tabGrupos[#Data],3,FALSE)</f>
        <v>MCO</v>
      </c>
      <c r="H996" s="33" t="s">
        <v>1311</v>
      </c>
      <c r="I996" s="80">
        <v>4</v>
      </c>
      <c r="J996" s="39">
        <v>200</v>
      </c>
      <c r="K996" s="41">
        <f>tabPontoPed[[#This Row],[QTDMÊS]] * tabPontoPed[[#This Row],[MENSAL]]</f>
        <v>800</v>
      </c>
      <c r="L996" s="83"/>
      <c r="M996" s="81"/>
      <c r="N996" s="34" t="s">
        <v>1009</v>
      </c>
      <c r="O996" s="76" t="s">
        <v>1574</v>
      </c>
      <c r="P996" s="77">
        <v>334</v>
      </c>
      <c r="Q996" s="57">
        <v>165</v>
      </c>
      <c r="R996" s="42">
        <v>139</v>
      </c>
      <c r="S996" s="69" t="str">
        <f>_xlfn.IFNA(IF(VLOOKUP(tabPontoPed[[#This Row],[CÓDIGO]],tabExcluirDoEstoque[#Data],1,FALSE),"sim",""),"")</f>
        <v>sim</v>
      </c>
      <c r="T996" s="43">
        <f>IF(AND(tabPontoPed[[#This Row],[MENSAL]]&gt;0,tabPontoPed[[#This Row],[CÁLCULO]]&gt;0), ABS( tabPontoPed[[#This Row],[MENSAL]] - tabPontoPed[[#This Row],[CÁLCULO]] ) / tabPontoPed[[#This Row],[MENSAL]], -1 )</f>
        <v>0.30499999999999999</v>
      </c>
      <c r="U996" s="58">
        <v>449</v>
      </c>
      <c r="V996" s="35">
        <f>IF(AND(tabPontoPed[[#This Row],[MENSAL]]&gt;0,tabPontoPed[[#This Row],[CÁLCULO]]&gt;0), IF( tabPontoPed[[#This Row],[MENSAL]] - tabPontoPed[[#This Row],[CÁLCULO]] &lt; 0, -1, IF( tabPontoPed[[#This Row],[MENSAL]] - tabPontoPed[[#This Row],[CÁLCULO]] &gt; 0, 1, -8)), -9 )</f>
        <v>1</v>
      </c>
      <c r="W996" s="35"/>
      <c r="X996" s="49" t="s">
        <v>1564</v>
      </c>
      <c r="Y996" s="51">
        <v>44391.599108796298</v>
      </c>
      <c r="Z996" s="72">
        <f>tabPontoPed[CÁLC_4M] - tabPontoPed[CÁLCULO]</f>
        <v>26</v>
      </c>
      <c r="AA996" s="79" t="str">
        <f>IF(tabPontoPed[MENSAL]-tabPontoPed[ATA MENSAL] = 0,"sim","")</f>
        <v/>
      </c>
      <c r="AB996" s="79"/>
      <c r="AC996" s="47" t="str">
        <f t="shared" si="15"/>
        <v>*</v>
      </c>
    </row>
    <row r="997" spans="1:29" x14ac:dyDescent="0.25">
      <c r="A997" s="36">
        <v>95513</v>
      </c>
      <c r="B997" s="68" t="s">
        <v>127</v>
      </c>
      <c r="C997" s="33" t="s">
        <v>1317</v>
      </c>
      <c r="D997" s="32">
        <v>55</v>
      </c>
      <c r="E997" s="37">
        <v>19</v>
      </c>
      <c r="F997" s="38" t="str">
        <f>VLOOKUP(tabPontoPed[[#This Row],[GRUPO]],tabGrupos[#Data],2,FALSE)</f>
        <v>EQUIP. MAT. P/ GERACAO, TRANSM. DISTR. RETIF...</v>
      </c>
      <c r="G997" s="32" t="str">
        <f>VLOOKUP(tabPontoPed[[#This Row],[GRUPO]],tabGrupos[#Data],3,FALSE)</f>
        <v>MEL</v>
      </c>
      <c r="H997" s="33" t="s">
        <v>1311</v>
      </c>
      <c r="I997" s="80">
        <v>4</v>
      </c>
      <c r="J997" s="39">
        <v>134</v>
      </c>
      <c r="K997" s="41">
        <f>tabPontoPed[[#This Row],[QTDMÊS]] * tabPontoPed[[#This Row],[MENSAL]]</f>
        <v>536</v>
      </c>
      <c r="L997" s="83"/>
      <c r="M997" s="81"/>
      <c r="N997" s="34" t="s">
        <v>1009</v>
      </c>
      <c r="O997" s="76" t="s">
        <v>1454</v>
      </c>
      <c r="P997" s="77">
        <v>134</v>
      </c>
      <c r="Q997" s="57">
        <v>200</v>
      </c>
      <c r="R997" s="42">
        <v>94</v>
      </c>
      <c r="S997" s="69" t="str">
        <f>_xlfn.IFNA(IF(VLOOKUP(tabPontoPed[[#This Row],[CÓDIGO]],tabExcluirDoEstoque[#Data],1,FALSE),"sim",""),"")</f>
        <v>sim</v>
      </c>
      <c r="T997" s="43">
        <f>IF(AND(tabPontoPed[[#This Row],[MENSAL]]&gt;0,tabPontoPed[[#This Row],[CÁLCULO]]&gt;0), ABS( tabPontoPed[[#This Row],[MENSAL]] - tabPontoPed[[#This Row],[CÁLCULO]] ) / tabPontoPed[[#This Row],[MENSAL]], -1 )</f>
        <v>0.29850746268656714</v>
      </c>
      <c r="U997" s="58">
        <v>300</v>
      </c>
      <c r="V997" s="35">
        <f>IF(AND(tabPontoPed[[#This Row],[MENSAL]]&gt;0,tabPontoPed[[#This Row],[CÁLCULO]]&gt;0), IF( tabPontoPed[[#This Row],[MENSAL]] - tabPontoPed[[#This Row],[CÁLCULO]] &lt; 0, -1, IF( tabPontoPed[[#This Row],[MENSAL]] - tabPontoPed[[#This Row],[CÁLCULO]] &gt; 0, 1, -8)), -9 )</f>
        <v>1</v>
      </c>
      <c r="W997" s="35"/>
      <c r="X997" s="49" t="s">
        <v>1564</v>
      </c>
      <c r="Y997" s="51">
        <v>44391.599108796298</v>
      </c>
      <c r="Z997" s="72">
        <f>tabPontoPed[CÁLC_4M] - tabPontoPed[CÁLCULO]</f>
        <v>106</v>
      </c>
      <c r="AA997" s="79" t="str">
        <f>IF(tabPontoPed[MENSAL]-tabPontoPed[ATA MENSAL] = 0,"sim","")</f>
        <v>sim</v>
      </c>
      <c r="AB997" s="79" t="s">
        <v>1614</v>
      </c>
      <c r="AC997" s="47" t="str">
        <f t="shared" si="15"/>
        <v>*</v>
      </c>
    </row>
    <row r="998" spans="1:29" x14ac:dyDescent="0.25">
      <c r="A998" s="36">
        <v>13059</v>
      </c>
      <c r="B998" s="68" t="s">
        <v>367</v>
      </c>
      <c r="C998" s="33" t="s">
        <v>1317</v>
      </c>
      <c r="D998" s="32">
        <v>55</v>
      </c>
      <c r="E998" s="37">
        <v>52</v>
      </c>
      <c r="F998" s="38" t="str">
        <f>VLOOKUP(tabPontoPed[[#This Row],[GRUPO]],tabGrupos[#Data],2,FALSE)</f>
        <v>EQUIP. MAT. P/ GERACAO, TRANSM. DISTR. RETIF...</v>
      </c>
      <c r="G998" s="32" t="str">
        <f>VLOOKUP(tabPontoPed[[#This Row],[GRUPO]],tabGrupos[#Data],3,FALSE)</f>
        <v>MEL</v>
      </c>
      <c r="H998" s="33" t="s">
        <v>1311</v>
      </c>
      <c r="I998" s="80">
        <v>4</v>
      </c>
      <c r="J998" s="39">
        <v>28</v>
      </c>
      <c r="K998" s="41">
        <f>tabPontoPed[[#This Row],[QTDMÊS]] * tabPontoPed[[#This Row],[MENSAL]]</f>
        <v>112</v>
      </c>
      <c r="L998" s="83"/>
      <c r="M998" s="81"/>
      <c r="N998" s="34" t="s">
        <v>1009</v>
      </c>
      <c r="O998" s="76" t="s">
        <v>1603</v>
      </c>
      <c r="P998" s="77">
        <v>42</v>
      </c>
      <c r="Q998" s="57">
        <v>29</v>
      </c>
      <c r="R998" s="42">
        <v>20</v>
      </c>
      <c r="S998" s="69" t="str">
        <f>_xlfn.IFNA(IF(VLOOKUP(tabPontoPed[[#This Row],[CÓDIGO]],tabExcluirDoEstoque[#Data],1,FALSE),"sim",""),"")</f>
        <v>sim</v>
      </c>
      <c r="T998" s="43">
        <f>IF(AND(tabPontoPed[[#This Row],[MENSAL]]&gt;0,tabPontoPed[[#This Row],[CÁLCULO]]&gt;0), ABS( tabPontoPed[[#This Row],[MENSAL]] - tabPontoPed[[#This Row],[CÁLCULO]] ) / tabPontoPed[[#This Row],[MENSAL]], -1 )</f>
        <v>0.2857142857142857</v>
      </c>
      <c r="U998" s="58">
        <v>66</v>
      </c>
      <c r="V998" s="35">
        <f>IF(AND(tabPontoPed[[#This Row],[MENSAL]]&gt;0,tabPontoPed[[#This Row],[CÁLCULO]]&gt;0), IF( tabPontoPed[[#This Row],[MENSAL]] - tabPontoPed[[#This Row],[CÁLCULO]] &lt; 0, -1, IF( tabPontoPed[[#This Row],[MENSAL]] - tabPontoPed[[#This Row],[CÁLCULO]] &gt; 0, 1, -8)), -9 )</f>
        <v>1</v>
      </c>
      <c r="W998" s="35"/>
      <c r="X998" s="49" t="s">
        <v>1564</v>
      </c>
      <c r="Y998" s="51">
        <v>44391.599108796298</v>
      </c>
      <c r="Z998" s="72">
        <f>tabPontoPed[CÁLC_4M] - tabPontoPed[CÁLCULO]</f>
        <v>9</v>
      </c>
      <c r="AA998" s="79" t="str">
        <f>IF(tabPontoPed[MENSAL]-tabPontoPed[ATA MENSAL] = 0,"sim","")</f>
        <v/>
      </c>
      <c r="AB998" s="79"/>
      <c r="AC998" s="47" t="str">
        <f t="shared" si="15"/>
        <v>*</v>
      </c>
    </row>
    <row r="999" spans="1:29" x14ac:dyDescent="0.25">
      <c r="A999" s="36">
        <v>77992</v>
      </c>
      <c r="B999" s="68" t="s">
        <v>568</v>
      </c>
      <c r="C999" s="33" t="s">
        <v>1317</v>
      </c>
      <c r="D999" s="32">
        <v>52</v>
      </c>
      <c r="E999" s="37">
        <v>15</v>
      </c>
      <c r="F999" s="38" t="str">
        <f>VLOOKUP(tabPontoPed[[#This Row],[GRUPO]],tabGrupos[#Data],2,FALSE)</f>
        <v>EQUIP.E MAT. P/REFEITORIO, COPA E COZINHA</v>
      </c>
      <c r="G999" s="32" t="str">
        <f>VLOOKUP(tabPontoPed[[#This Row],[GRUPO]],tabGrupos[#Data],3,FALSE)</f>
        <v>ADM</v>
      </c>
      <c r="H999" s="33" t="s">
        <v>1311</v>
      </c>
      <c r="I999" s="80">
        <v>4</v>
      </c>
      <c r="J999" s="39">
        <v>158</v>
      </c>
      <c r="K999" s="41">
        <f>tabPontoPed[[#This Row],[QTDMÊS]] * tabPontoPed[[#This Row],[MENSAL]]</f>
        <v>632</v>
      </c>
      <c r="L999" s="83"/>
      <c r="M999" s="81"/>
      <c r="N999" s="34" t="s">
        <v>1010</v>
      </c>
      <c r="O999" s="76" t="s">
        <v>1438</v>
      </c>
      <c r="P999" s="77"/>
      <c r="Q999" s="57">
        <v>113</v>
      </c>
      <c r="R999" s="42">
        <v>113</v>
      </c>
      <c r="S999" s="69" t="str">
        <f>_xlfn.IFNA(IF(VLOOKUP(tabPontoPed[[#This Row],[CÓDIGO]],tabExcluirDoEstoque[#Data],1,FALSE),"sim",""),"")</f>
        <v>sim</v>
      </c>
      <c r="T999" s="43">
        <f>IF(AND(tabPontoPed[[#This Row],[MENSAL]]&gt;0,tabPontoPed[[#This Row],[CÁLCULO]]&gt;0), ABS( tabPontoPed[[#This Row],[MENSAL]] - tabPontoPed[[#This Row],[CÁLCULO]] ) / tabPontoPed[[#This Row],[MENSAL]], -1 )</f>
        <v>0.2848101265822785</v>
      </c>
      <c r="U999" s="58"/>
      <c r="V999" s="35">
        <f>IF(AND(tabPontoPed[[#This Row],[MENSAL]]&gt;0,tabPontoPed[[#This Row],[CÁLCULO]]&gt;0), IF( tabPontoPed[[#This Row],[MENSAL]] - tabPontoPed[[#This Row],[CÁLCULO]] &lt; 0, -1, IF( tabPontoPed[[#This Row],[MENSAL]] - tabPontoPed[[#This Row],[CÁLCULO]] &gt; 0, 1, -8)), -9 )</f>
        <v>1</v>
      </c>
      <c r="W999" s="35"/>
      <c r="X999" s="49" t="s">
        <v>1564</v>
      </c>
      <c r="Y999" s="51">
        <v>44391.599108796298</v>
      </c>
      <c r="Z999" s="72">
        <f>tabPontoPed[CÁLC_4M] - tabPontoPed[CÁLCULO]</f>
        <v>0</v>
      </c>
      <c r="AA999" s="79" t="str">
        <f>IF(tabPontoPed[MENSAL]-tabPontoPed[ATA MENSAL] = 0,"sim","")</f>
        <v/>
      </c>
      <c r="AB999" s="79"/>
      <c r="AC999" s="47" t="str">
        <f t="shared" si="15"/>
        <v>*</v>
      </c>
    </row>
    <row r="1000" spans="1:29" x14ac:dyDescent="0.25">
      <c r="A1000" s="36">
        <v>76781</v>
      </c>
      <c r="B1000" s="68" t="s">
        <v>124</v>
      </c>
      <c r="C1000" s="33" t="s">
        <v>1317</v>
      </c>
      <c r="D1000" s="32">
        <v>55</v>
      </c>
      <c r="E1000" s="37">
        <v>19</v>
      </c>
      <c r="F1000" s="38" t="str">
        <f>VLOOKUP(tabPontoPed[[#This Row],[GRUPO]],tabGrupos[#Data],2,FALSE)</f>
        <v>EQUIP. MAT. P/ GERACAO, TRANSM. DISTR. RETIF...</v>
      </c>
      <c r="G1000" s="32" t="str">
        <f>VLOOKUP(tabPontoPed[[#This Row],[GRUPO]],tabGrupos[#Data],3,FALSE)</f>
        <v>MEL</v>
      </c>
      <c r="H1000" s="33" t="s">
        <v>1311</v>
      </c>
      <c r="I1000" s="80">
        <v>4</v>
      </c>
      <c r="J1000" s="39">
        <v>128</v>
      </c>
      <c r="K1000" s="41">
        <f>tabPontoPed[[#This Row],[QTDMÊS]] * tabPontoPed[[#This Row],[MENSAL]]</f>
        <v>512</v>
      </c>
      <c r="L1000" s="83"/>
      <c r="M1000" s="81"/>
      <c r="N1000" s="34" t="s">
        <v>1009</v>
      </c>
      <c r="O1000" s="76" t="s">
        <v>1454</v>
      </c>
      <c r="P1000" s="77">
        <v>84</v>
      </c>
      <c r="Q1000" s="57">
        <v>42</v>
      </c>
      <c r="R1000" s="42">
        <v>97</v>
      </c>
      <c r="S1000" s="69" t="str">
        <f>_xlfn.IFNA(IF(VLOOKUP(tabPontoPed[[#This Row],[CÓDIGO]],tabExcluirDoEstoque[#Data],1,FALSE),"sim",""),"")</f>
        <v>sim</v>
      </c>
      <c r="T1000" s="43">
        <f>IF(AND(tabPontoPed[[#This Row],[MENSAL]]&gt;0,tabPontoPed[[#This Row],[CÁLCULO]]&gt;0), ABS( tabPontoPed[[#This Row],[MENSAL]] - tabPontoPed[[#This Row],[CÁLCULO]] ) / tabPontoPed[[#This Row],[MENSAL]], -1 )</f>
        <v>0.2421875</v>
      </c>
      <c r="U1000" s="58">
        <v>300</v>
      </c>
      <c r="V1000" s="35">
        <f>IF(AND(tabPontoPed[[#This Row],[MENSAL]]&gt;0,tabPontoPed[[#This Row],[CÁLCULO]]&gt;0), IF( tabPontoPed[[#This Row],[MENSAL]] - tabPontoPed[[#This Row],[CÁLCULO]] &lt; 0, -1, IF( tabPontoPed[[#This Row],[MENSAL]] - tabPontoPed[[#This Row],[CÁLCULO]] &gt; 0, 1, -8)), -9 )</f>
        <v>1</v>
      </c>
      <c r="W1000" s="35"/>
      <c r="X1000" s="49" t="s">
        <v>1564</v>
      </c>
      <c r="Y1000" s="51">
        <v>44391.599108796298</v>
      </c>
      <c r="Z1000" s="72">
        <f>tabPontoPed[CÁLC_4M] - tabPontoPed[CÁLCULO]</f>
        <v>-55</v>
      </c>
      <c r="AA1000" s="79" t="str">
        <f>IF(tabPontoPed[MENSAL]-tabPontoPed[ATA MENSAL] = 0,"sim","")</f>
        <v/>
      </c>
      <c r="AB1000" s="79"/>
      <c r="AC1000" s="47" t="str">
        <f t="shared" si="15"/>
        <v>*</v>
      </c>
    </row>
    <row r="1001" spans="1:29" x14ac:dyDescent="0.25">
      <c r="A1001" s="36">
        <v>126076</v>
      </c>
      <c r="B1001" s="68" t="s">
        <v>375</v>
      </c>
      <c r="C1001" s="33" t="s">
        <v>1317</v>
      </c>
      <c r="D1001" s="32">
        <v>55</v>
      </c>
      <c r="E1001" s="37">
        <v>57</v>
      </c>
      <c r="F1001" s="38" t="str">
        <f>VLOOKUP(tabPontoPed[[#This Row],[GRUPO]],tabGrupos[#Data],2,FALSE)</f>
        <v>EQUIP. MAT. P/ GERACAO, TRANSM. DISTR. RETIF...</v>
      </c>
      <c r="G1001" s="32" t="str">
        <f>VLOOKUP(tabPontoPed[[#This Row],[GRUPO]],tabGrupos[#Data],3,FALSE)</f>
        <v>MEL</v>
      </c>
      <c r="H1001" s="33" t="s">
        <v>1311</v>
      </c>
      <c r="I1001" s="80">
        <v>4</v>
      </c>
      <c r="J1001" s="39">
        <v>25</v>
      </c>
      <c r="K1001" s="41">
        <f>tabPontoPed[[#This Row],[QTDMÊS]] * tabPontoPed[[#This Row],[MENSAL]]</f>
        <v>100</v>
      </c>
      <c r="L1001" s="83"/>
      <c r="M1001" s="81"/>
      <c r="N1001" s="34" t="s">
        <v>1009</v>
      </c>
      <c r="O1001" s="76" t="s">
        <v>1603</v>
      </c>
      <c r="P1001" s="77">
        <v>42</v>
      </c>
      <c r="Q1001" s="57">
        <v>12</v>
      </c>
      <c r="R1001" s="42">
        <v>19</v>
      </c>
      <c r="S1001" s="69" t="str">
        <f>_xlfn.IFNA(IF(VLOOKUP(tabPontoPed[[#This Row],[CÓDIGO]],tabExcluirDoEstoque[#Data],1,FALSE),"sim",""),"")</f>
        <v>sim</v>
      </c>
      <c r="T1001" s="43">
        <f>IF(AND(tabPontoPed[[#This Row],[MENSAL]]&gt;0,tabPontoPed[[#This Row],[CÁLCULO]]&gt;0), ABS( tabPontoPed[[#This Row],[MENSAL]] - tabPontoPed[[#This Row],[CÁLCULO]] ) / tabPontoPed[[#This Row],[MENSAL]], -1 )</f>
        <v>0.24</v>
      </c>
      <c r="U1001" s="58">
        <v>70</v>
      </c>
      <c r="V1001" s="35">
        <f>IF(AND(tabPontoPed[[#This Row],[MENSAL]]&gt;0,tabPontoPed[[#This Row],[CÁLCULO]]&gt;0), IF( tabPontoPed[[#This Row],[MENSAL]] - tabPontoPed[[#This Row],[CÁLCULO]] &lt; 0, -1, IF( tabPontoPed[[#This Row],[MENSAL]] - tabPontoPed[[#This Row],[CÁLCULO]] &gt; 0, 1, -8)), -9 )</f>
        <v>1</v>
      </c>
      <c r="W1001" s="35"/>
      <c r="X1001" s="49" t="s">
        <v>1564</v>
      </c>
      <c r="Y1001" s="51">
        <v>44391.599108796298</v>
      </c>
      <c r="Z1001" s="72">
        <f>tabPontoPed[CÁLC_4M] - tabPontoPed[CÁLCULO]</f>
        <v>-7</v>
      </c>
      <c r="AA1001" s="79" t="str">
        <f>IF(tabPontoPed[MENSAL]-tabPontoPed[ATA MENSAL] = 0,"sim","")</f>
        <v/>
      </c>
      <c r="AB1001" s="79"/>
      <c r="AC1001" s="47" t="str">
        <f t="shared" si="15"/>
        <v>*</v>
      </c>
    </row>
    <row r="1002" spans="1:29" x14ac:dyDescent="0.25">
      <c r="A1002" s="36">
        <v>92906</v>
      </c>
      <c r="B1002" s="68" t="s">
        <v>706</v>
      </c>
      <c r="C1002" s="33" t="s">
        <v>1317</v>
      </c>
      <c r="D1002" s="32">
        <v>57</v>
      </c>
      <c r="E1002" s="37">
        <v>17</v>
      </c>
      <c r="F1002" s="38" t="str">
        <f>VLOOKUP(tabPontoPed[[#This Row],[GRUPO]],tabGrupos[#Data],2,FALSE)</f>
        <v>MAQ. E EQUIP. P/ IND. GRAFICA COMP. ACESS. E PAPEI</v>
      </c>
      <c r="G1002" s="32" t="str">
        <f>VLOOKUP(tabPontoPed[[#This Row],[GRUPO]],tabGrupos[#Data],3,FALSE)</f>
        <v>EDU</v>
      </c>
      <c r="H1002" s="33" t="s">
        <v>1311</v>
      </c>
      <c r="I1002" s="80">
        <v>4</v>
      </c>
      <c r="J1002" s="39">
        <v>250</v>
      </c>
      <c r="K1002" s="41">
        <f>tabPontoPed[[#This Row],[QTDMÊS]] * tabPontoPed[[#This Row],[MENSAL]]</f>
        <v>1000</v>
      </c>
      <c r="L1002" s="83"/>
      <c r="M1002" s="81"/>
      <c r="N1002" s="34" t="s">
        <v>1010</v>
      </c>
      <c r="O1002" s="76" t="s">
        <v>1431</v>
      </c>
      <c r="P1002" s="77"/>
      <c r="Q1002" s="57">
        <v>193</v>
      </c>
      <c r="R1002" s="42">
        <v>193</v>
      </c>
      <c r="S1002" s="69" t="str">
        <f>_xlfn.IFNA(IF(VLOOKUP(tabPontoPed[[#This Row],[CÓDIGO]],tabExcluirDoEstoque[#Data],1,FALSE),"sim",""),"")</f>
        <v>sim</v>
      </c>
      <c r="T1002" s="43">
        <f>IF(AND(tabPontoPed[[#This Row],[MENSAL]]&gt;0,tabPontoPed[[#This Row],[CÁLCULO]]&gt;0), ABS( tabPontoPed[[#This Row],[MENSAL]] - tabPontoPed[[#This Row],[CÁLCULO]] ) / tabPontoPed[[#This Row],[MENSAL]], -1 )</f>
        <v>0.22800000000000001</v>
      </c>
      <c r="U1002" s="58"/>
      <c r="V1002" s="35">
        <f>IF(AND(tabPontoPed[[#This Row],[MENSAL]]&gt;0,tabPontoPed[[#This Row],[CÁLCULO]]&gt;0), IF( tabPontoPed[[#This Row],[MENSAL]] - tabPontoPed[[#This Row],[CÁLCULO]] &lt; 0, -1, IF( tabPontoPed[[#This Row],[MENSAL]] - tabPontoPed[[#This Row],[CÁLCULO]] &gt; 0, 1, -8)), -9 )</f>
        <v>1</v>
      </c>
      <c r="W1002" s="35"/>
      <c r="X1002" s="49" t="s">
        <v>1564</v>
      </c>
      <c r="Y1002" s="51">
        <v>44391.599108796298</v>
      </c>
      <c r="Z1002" s="72">
        <f>tabPontoPed[CÁLC_4M] - tabPontoPed[CÁLCULO]</f>
        <v>0</v>
      </c>
      <c r="AA1002" s="79" t="str">
        <f>IF(tabPontoPed[MENSAL]-tabPontoPed[ATA MENSAL] = 0,"sim","")</f>
        <v/>
      </c>
      <c r="AB1002" s="79"/>
      <c r="AC1002" s="47" t="str">
        <f t="shared" si="15"/>
        <v>*</v>
      </c>
    </row>
    <row r="1003" spans="1:29" x14ac:dyDescent="0.25">
      <c r="A1003" s="36">
        <v>78025</v>
      </c>
      <c r="B1003" s="68" t="s">
        <v>196</v>
      </c>
      <c r="C1003" s="33" t="s">
        <v>1317</v>
      </c>
      <c r="D1003" s="32">
        <v>72</v>
      </c>
      <c r="E1003" s="37">
        <v>6</v>
      </c>
      <c r="F1003" s="38" t="str">
        <f>VLOOKUP(tabPontoPed[[#This Row],[GRUPO]],tabGrupos[#Data],2,FALSE)</f>
        <v>MAQ.EQUIP.E MATERIAIS P/ HIGIEN.LIMP.POLIM.E LUBR.</v>
      </c>
      <c r="G1003" s="32" t="str">
        <f>VLOOKUP(tabPontoPed[[#This Row],[GRUPO]],tabGrupos[#Data],3,FALSE)</f>
        <v>ADM</v>
      </c>
      <c r="H1003" s="33" t="s">
        <v>1311</v>
      </c>
      <c r="I1003" s="80">
        <v>4</v>
      </c>
      <c r="J1003" s="39">
        <v>15</v>
      </c>
      <c r="K1003" s="41">
        <f>tabPontoPed[[#This Row],[QTDMÊS]] * tabPontoPed[[#This Row],[MENSAL]]</f>
        <v>60</v>
      </c>
      <c r="L1003" s="83"/>
      <c r="M1003" s="81"/>
      <c r="N1003" s="34" t="s">
        <v>1010</v>
      </c>
      <c r="O1003" s="76" t="s">
        <v>1436</v>
      </c>
      <c r="P1003" s="77"/>
      <c r="Q1003" s="57">
        <v>12</v>
      </c>
      <c r="R1003" s="42">
        <v>12</v>
      </c>
      <c r="S1003" s="69" t="str">
        <f>_xlfn.IFNA(IF(VLOOKUP(tabPontoPed[[#This Row],[CÓDIGO]],tabExcluirDoEstoque[#Data],1,FALSE),"sim",""),"")</f>
        <v>sim</v>
      </c>
      <c r="T1003" s="43">
        <f>IF(AND(tabPontoPed[[#This Row],[MENSAL]]&gt;0,tabPontoPed[[#This Row],[CÁLCULO]]&gt;0), ABS( tabPontoPed[[#This Row],[MENSAL]] - tabPontoPed[[#This Row],[CÁLCULO]] ) / tabPontoPed[[#This Row],[MENSAL]], -1 )</f>
        <v>0.2</v>
      </c>
      <c r="U1003" s="58"/>
      <c r="V1003" s="35">
        <f>IF(AND(tabPontoPed[[#This Row],[MENSAL]]&gt;0,tabPontoPed[[#This Row],[CÁLCULO]]&gt;0), IF( tabPontoPed[[#This Row],[MENSAL]] - tabPontoPed[[#This Row],[CÁLCULO]] &lt; 0, -1, IF( tabPontoPed[[#This Row],[MENSAL]] - tabPontoPed[[#This Row],[CÁLCULO]] &gt; 0, 1, -8)), -9 )</f>
        <v>1</v>
      </c>
      <c r="W1003" s="35"/>
      <c r="X1003" s="49" t="s">
        <v>1564</v>
      </c>
      <c r="Y1003" s="51">
        <v>44391.599108796298</v>
      </c>
      <c r="Z1003" s="72">
        <f>tabPontoPed[CÁLC_4M] - tabPontoPed[CÁLCULO]</f>
        <v>0</v>
      </c>
      <c r="AA1003" s="79" t="str">
        <f>IF(tabPontoPed[MENSAL]-tabPontoPed[ATA MENSAL] = 0,"sim","")</f>
        <v/>
      </c>
      <c r="AB1003" s="79"/>
      <c r="AC1003" s="47" t="str">
        <f t="shared" si="15"/>
        <v>*</v>
      </c>
    </row>
    <row r="1004" spans="1:29" x14ac:dyDescent="0.25">
      <c r="A1004" s="36">
        <v>103405</v>
      </c>
      <c r="B1004" s="68" t="s">
        <v>935</v>
      </c>
      <c r="C1004" s="33" t="s">
        <v>1317</v>
      </c>
      <c r="D1004" s="32">
        <v>72</v>
      </c>
      <c r="E1004" s="37">
        <v>8</v>
      </c>
      <c r="F1004" s="38" t="str">
        <f>VLOOKUP(tabPontoPed[[#This Row],[GRUPO]],tabGrupos[#Data],2,FALSE)</f>
        <v>MAQ.EQUIP.E MATERIAIS P/ HIGIEN.LIMP.POLIM.E LUBR.</v>
      </c>
      <c r="G1004" s="32" t="str">
        <f>VLOOKUP(tabPontoPed[[#This Row],[GRUPO]],tabGrupos[#Data],3,FALSE)</f>
        <v>ADM</v>
      </c>
      <c r="H1004" s="33" t="s">
        <v>1311</v>
      </c>
      <c r="I1004" s="80">
        <v>4</v>
      </c>
      <c r="J1004" s="39">
        <v>10</v>
      </c>
      <c r="K1004" s="41">
        <f>tabPontoPed[[#This Row],[QTDMÊS]] * tabPontoPed[[#This Row],[MENSAL]]</f>
        <v>40</v>
      </c>
      <c r="L1004" s="83"/>
      <c r="M1004" s="81"/>
      <c r="N1004" s="34" t="s">
        <v>1009</v>
      </c>
      <c r="O1004" s="76" t="s">
        <v>1481</v>
      </c>
      <c r="P1004" s="77"/>
      <c r="Q1004" s="57">
        <v>8</v>
      </c>
      <c r="R1004" s="42">
        <v>8</v>
      </c>
      <c r="S1004" s="69" t="str">
        <f>_xlfn.IFNA(IF(VLOOKUP(tabPontoPed[[#This Row],[CÓDIGO]],tabExcluirDoEstoque[#Data],1,FALSE),"sim",""),"")</f>
        <v>sim</v>
      </c>
      <c r="T1004" s="43">
        <f>IF(AND(tabPontoPed[[#This Row],[MENSAL]]&gt;0,tabPontoPed[[#This Row],[CÁLCULO]]&gt;0), ABS( tabPontoPed[[#This Row],[MENSAL]] - tabPontoPed[[#This Row],[CÁLCULO]] ) / tabPontoPed[[#This Row],[MENSAL]], -1 )</f>
        <v>0.2</v>
      </c>
      <c r="U1004" s="58">
        <v>13</v>
      </c>
      <c r="V1004" s="35">
        <f>IF(AND(tabPontoPed[[#This Row],[MENSAL]]&gt;0,tabPontoPed[[#This Row],[CÁLCULO]]&gt;0), IF( tabPontoPed[[#This Row],[MENSAL]] - tabPontoPed[[#This Row],[CÁLCULO]] &lt; 0, -1, IF( tabPontoPed[[#This Row],[MENSAL]] - tabPontoPed[[#This Row],[CÁLCULO]] &gt; 0, 1, -8)), -9 )</f>
        <v>1</v>
      </c>
      <c r="W1004" s="35"/>
      <c r="X1004" s="49" t="s">
        <v>1564</v>
      </c>
      <c r="Y1004" s="51">
        <v>44391.599108796298</v>
      </c>
      <c r="Z1004" s="72">
        <f>tabPontoPed[CÁLC_4M] - tabPontoPed[CÁLCULO]</f>
        <v>0</v>
      </c>
      <c r="AA1004" s="79" t="str">
        <f>IF(tabPontoPed[MENSAL]-tabPontoPed[ATA MENSAL] = 0,"sim","")</f>
        <v/>
      </c>
      <c r="AB1004" s="79"/>
      <c r="AC1004" s="47" t="str">
        <f t="shared" si="15"/>
        <v>*</v>
      </c>
    </row>
    <row r="1005" spans="1:29" x14ac:dyDescent="0.25">
      <c r="A1005" s="36">
        <v>12712</v>
      </c>
      <c r="B1005" s="68" t="s">
        <v>384</v>
      </c>
      <c r="C1005" s="33" t="s">
        <v>1317</v>
      </c>
      <c r="D1005" s="32">
        <v>72</v>
      </c>
      <c r="E1005" s="37">
        <v>9</v>
      </c>
      <c r="F1005" s="38" t="str">
        <f>VLOOKUP(tabPontoPed[[#This Row],[GRUPO]],tabGrupos[#Data],2,FALSE)</f>
        <v>MAQ.EQUIP.E MATERIAIS P/ HIGIEN.LIMP.POLIM.E LUBR.</v>
      </c>
      <c r="G1005" s="32" t="str">
        <f>VLOOKUP(tabPontoPed[[#This Row],[GRUPO]],tabGrupos[#Data],3,FALSE)</f>
        <v>ADM</v>
      </c>
      <c r="H1005" s="33" t="s">
        <v>1311</v>
      </c>
      <c r="I1005" s="80">
        <v>4</v>
      </c>
      <c r="J1005" s="39">
        <v>10</v>
      </c>
      <c r="K1005" s="41">
        <f>tabPontoPed[[#This Row],[QTDMÊS]] * tabPontoPed[[#This Row],[MENSAL]]</f>
        <v>40</v>
      </c>
      <c r="L1005" s="83"/>
      <c r="M1005" s="81"/>
      <c r="N1005" s="34" t="s">
        <v>1010</v>
      </c>
      <c r="O1005" s="76" t="s">
        <v>1435</v>
      </c>
      <c r="P1005" s="77"/>
      <c r="Q1005" s="57">
        <v>6</v>
      </c>
      <c r="R1005" s="42">
        <v>8</v>
      </c>
      <c r="S1005" s="69" t="str">
        <f>_xlfn.IFNA(IF(VLOOKUP(tabPontoPed[[#This Row],[CÓDIGO]],tabExcluirDoEstoque[#Data],1,FALSE),"sim",""),"")</f>
        <v>sim</v>
      </c>
      <c r="T1005" s="43">
        <f>IF(AND(tabPontoPed[[#This Row],[MENSAL]]&gt;0,tabPontoPed[[#This Row],[CÁLCULO]]&gt;0), ABS( tabPontoPed[[#This Row],[MENSAL]] - tabPontoPed[[#This Row],[CÁLCULO]] ) / tabPontoPed[[#This Row],[MENSAL]], -1 )</f>
        <v>0.2</v>
      </c>
      <c r="U1005" s="58">
        <v>21</v>
      </c>
      <c r="V1005" s="35">
        <f>IF(AND(tabPontoPed[[#This Row],[MENSAL]]&gt;0,tabPontoPed[[#This Row],[CÁLCULO]]&gt;0), IF( tabPontoPed[[#This Row],[MENSAL]] - tabPontoPed[[#This Row],[CÁLCULO]] &lt; 0, -1, IF( tabPontoPed[[#This Row],[MENSAL]] - tabPontoPed[[#This Row],[CÁLCULO]] &gt; 0, 1, -8)), -9 )</f>
        <v>1</v>
      </c>
      <c r="W1005" s="35"/>
      <c r="X1005" s="49" t="s">
        <v>1564</v>
      </c>
      <c r="Y1005" s="51">
        <v>44391.599108796298</v>
      </c>
      <c r="Z1005" s="72">
        <f>tabPontoPed[CÁLC_4M] - tabPontoPed[CÁLCULO]</f>
        <v>-2</v>
      </c>
      <c r="AA1005" s="79" t="str">
        <f>IF(tabPontoPed[MENSAL]-tabPontoPed[ATA MENSAL] = 0,"sim","")</f>
        <v/>
      </c>
      <c r="AB1005" s="79"/>
      <c r="AC1005" s="47" t="str">
        <f t="shared" si="15"/>
        <v>*</v>
      </c>
    </row>
    <row r="1006" spans="1:29" x14ac:dyDescent="0.25">
      <c r="A1006" s="36">
        <v>40685</v>
      </c>
      <c r="B1006" s="68" t="s">
        <v>120</v>
      </c>
      <c r="C1006" s="33" t="s">
        <v>1317</v>
      </c>
      <c r="D1006" s="32">
        <v>55</v>
      </c>
      <c r="E1006" s="37">
        <v>19</v>
      </c>
      <c r="F1006" s="38" t="str">
        <f>VLOOKUP(tabPontoPed[[#This Row],[GRUPO]],tabGrupos[#Data],2,FALSE)</f>
        <v>EQUIP. MAT. P/ GERACAO, TRANSM. DISTR. RETIF...</v>
      </c>
      <c r="G1006" s="32" t="str">
        <f>VLOOKUP(tabPontoPed[[#This Row],[GRUPO]],tabGrupos[#Data],3,FALSE)</f>
        <v>MEL</v>
      </c>
      <c r="H1006" s="33" t="s">
        <v>1311</v>
      </c>
      <c r="I1006" s="80">
        <v>4</v>
      </c>
      <c r="J1006" s="39">
        <v>250</v>
      </c>
      <c r="K1006" s="41">
        <f>tabPontoPed[[#This Row],[QTDMÊS]] * tabPontoPed[[#This Row],[MENSAL]]</f>
        <v>1000</v>
      </c>
      <c r="L1006" s="83"/>
      <c r="M1006" s="81"/>
      <c r="N1006" s="34" t="s">
        <v>1009</v>
      </c>
      <c r="O1006" s="76" t="s">
        <v>1454</v>
      </c>
      <c r="P1006" s="77">
        <v>159</v>
      </c>
      <c r="Q1006" s="57">
        <v>214</v>
      </c>
      <c r="R1006" s="42">
        <v>200</v>
      </c>
      <c r="S1006" s="69" t="str">
        <f>_xlfn.IFNA(IF(VLOOKUP(tabPontoPed[[#This Row],[CÓDIGO]],tabExcluirDoEstoque[#Data],1,FALSE),"sim",""),"")</f>
        <v>sim</v>
      </c>
      <c r="T1006" s="43">
        <f>IF(AND(tabPontoPed[[#This Row],[MENSAL]]&gt;0,tabPontoPed[[#This Row],[CÁLCULO]]&gt;0), ABS( tabPontoPed[[#This Row],[MENSAL]] - tabPontoPed[[#This Row],[CÁLCULO]] ) / tabPontoPed[[#This Row],[MENSAL]], -1 )</f>
        <v>0.2</v>
      </c>
      <c r="U1006" s="58">
        <v>800</v>
      </c>
      <c r="V1006" s="35">
        <f>IF(AND(tabPontoPed[[#This Row],[MENSAL]]&gt;0,tabPontoPed[[#This Row],[CÁLCULO]]&gt;0), IF( tabPontoPed[[#This Row],[MENSAL]] - tabPontoPed[[#This Row],[CÁLCULO]] &lt; 0, -1, IF( tabPontoPed[[#This Row],[MENSAL]] - tabPontoPed[[#This Row],[CÁLCULO]] &gt; 0, 1, -8)), -9 )</f>
        <v>1</v>
      </c>
      <c r="W1006" s="35"/>
      <c r="X1006" s="49" t="s">
        <v>1564</v>
      </c>
      <c r="Y1006" s="51">
        <v>44391.599108796298</v>
      </c>
      <c r="Z1006" s="72">
        <f>tabPontoPed[CÁLC_4M] - tabPontoPed[CÁLCULO]</f>
        <v>14</v>
      </c>
      <c r="AA1006" s="79" t="str">
        <f>IF(tabPontoPed[MENSAL]-tabPontoPed[ATA MENSAL] = 0,"sim","")</f>
        <v/>
      </c>
      <c r="AB1006" s="79"/>
      <c r="AC1006" s="47" t="str">
        <f t="shared" si="15"/>
        <v>*</v>
      </c>
    </row>
    <row r="1007" spans="1:29" x14ac:dyDescent="0.25">
      <c r="A1007" s="36">
        <v>132612</v>
      </c>
      <c r="B1007" s="68" t="s">
        <v>696</v>
      </c>
      <c r="C1007" s="33" t="s">
        <v>1317</v>
      </c>
      <c r="D1007" s="32">
        <v>55</v>
      </c>
      <c r="E1007" s="37">
        <v>66</v>
      </c>
      <c r="F1007" s="38" t="str">
        <f>VLOOKUP(tabPontoPed[[#This Row],[GRUPO]],tabGrupos[#Data],2,FALSE)</f>
        <v>EQUIP. MAT. P/ GERACAO, TRANSM. DISTR. RETIF...</v>
      </c>
      <c r="G1007" s="32" t="str">
        <f>VLOOKUP(tabPontoPed[[#This Row],[GRUPO]],tabGrupos[#Data],3,FALSE)</f>
        <v>MEL</v>
      </c>
      <c r="H1007" s="33" t="s">
        <v>1311</v>
      </c>
      <c r="I1007" s="80">
        <v>4</v>
      </c>
      <c r="J1007" s="39">
        <v>25</v>
      </c>
      <c r="K1007" s="41">
        <f>tabPontoPed[[#This Row],[QTDMÊS]] * tabPontoPed[[#This Row],[MENSAL]]</f>
        <v>100</v>
      </c>
      <c r="L1007" s="83"/>
      <c r="M1007" s="81"/>
      <c r="N1007" s="34" t="s">
        <v>1010</v>
      </c>
      <c r="O1007" s="76" t="s">
        <v>1424</v>
      </c>
      <c r="P1007" s="77"/>
      <c r="Q1007" s="57">
        <v>30</v>
      </c>
      <c r="R1007" s="42">
        <v>30</v>
      </c>
      <c r="S1007" s="69" t="str">
        <f>_xlfn.IFNA(IF(VLOOKUP(tabPontoPed[[#This Row],[CÓDIGO]],tabExcluirDoEstoque[#Data],1,FALSE),"sim",""),"")</f>
        <v>sim</v>
      </c>
      <c r="T1007" s="43">
        <f>IF(AND(tabPontoPed[[#This Row],[MENSAL]]&gt;0,tabPontoPed[[#This Row],[CÁLCULO]]&gt;0), ABS( tabPontoPed[[#This Row],[MENSAL]] - tabPontoPed[[#This Row],[CÁLCULO]] ) / tabPontoPed[[#This Row],[MENSAL]], -1 )</f>
        <v>0.2</v>
      </c>
      <c r="U1007" s="58"/>
      <c r="V1007" s="35">
        <f>IF(AND(tabPontoPed[[#This Row],[MENSAL]]&gt;0,tabPontoPed[[#This Row],[CÁLCULO]]&gt;0), IF( tabPontoPed[[#This Row],[MENSAL]] - tabPontoPed[[#This Row],[CÁLCULO]] &lt; 0, -1, IF( tabPontoPed[[#This Row],[MENSAL]] - tabPontoPed[[#This Row],[CÁLCULO]] &gt; 0, 1, -8)), -9 )</f>
        <v>-1</v>
      </c>
      <c r="W1007" s="35"/>
      <c r="X1007" s="48" t="s">
        <v>1564</v>
      </c>
      <c r="Y1007" s="53">
        <v>44391.599108796298</v>
      </c>
      <c r="Z1007" s="72">
        <f>tabPontoPed[CÁLC_4M] - tabPontoPed[CÁLCULO]</f>
        <v>0</v>
      </c>
      <c r="AA1007" s="79" t="str">
        <f>IF(tabPontoPed[MENSAL]-tabPontoPed[ATA MENSAL] = 0,"sim","")</f>
        <v/>
      </c>
      <c r="AB1007" s="79"/>
      <c r="AC1007" s="47" t="str">
        <f t="shared" si="15"/>
        <v>*</v>
      </c>
    </row>
    <row r="1008" spans="1:29" ht="18.75" x14ac:dyDescent="0.25">
      <c r="A1008" s="36">
        <v>136037</v>
      </c>
      <c r="B1008" s="68" t="s">
        <v>954</v>
      </c>
      <c r="C1008" s="33" t="s">
        <v>1317</v>
      </c>
      <c r="D1008" s="32">
        <v>76</v>
      </c>
      <c r="E1008" s="37">
        <v>3</v>
      </c>
      <c r="F1008" s="38" t="str">
        <f>VLOOKUP(tabPontoPed[[#This Row],[GRUPO]],tabGrupos[#Data],2,FALSE)</f>
        <v>EQUIP. E MATERIAIS P/PINTURAS E IMPERMEABILIZACAO</v>
      </c>
      <c r="G1008" s="32" t="str">
        <f>VLOOKUP(tabPontoPed[[#This Row],[GRUPO]],tabGrupos[#Data],3,FALSE)</f>
        <v>MPI</v>
      </c>
      <c r="H1008" s="33" t="s">
        <v>1311</v>
      </c>
      <c r="I1008" s="80">
        <v>4</v>
      </c>
      <c r="J1008" s="46">
        <v>5</v>
      </c>
      <c r="K1008" s="41">
        <f>tabPontoPed[[#This Row],[QTDMÊS]] * tabPontoPed[[#This Row],[MENSAL]]</f>
        <v>20</v>
      </c>
      <c r="L1008" s="83"/>
      <c r="M1008" s="81"/>
      <c r="N1008" s="34" t="s">
        <v>1009</v>
      </c>
      <c r="O1008" s="76" t="s">
        <v>1640</v>
      </c>
      <c r="P1008" s="77">
        <v>9</v>
      </c>
      <c r="Q1008" s="57">
        <v>2</v>
      </c>
      <c r="R1008" s="42">
        <v>4</v>
      </c>
      <c r="S1008" s="69" t="str">
        <f>_xlfn.IFNA(IF(VLOOKUP(tabPontoPed[[#This Row],[CÓDIGO]],tabExcluirDoEstoque[#Data],1,FALSE),"sim",""),"")</f>
        <v>sim</v>
      </c>
      <c r="T1008" s="43">
        <f>IF(AND(tabPontoPed[[#This Row],[MENSAL]]&gt;0,tabPontoPed[[#This Row],[CÁLCULO]]&gt;0), ABS( tabPontoPed[[#This Row],[MENSAL]] - tabPontoPed[[#This Row],[CÁLCULO]] ) / tabPontoPed[[#This Row],[MENSAL]], -1 )</f>
        <v>0.2</v>
      </c>
      <c r="U1008" s="58">
        <v>19</v>
      </c>
      <c r="V1008" s="35">
        <f>IF(AND(tabPontoPed[[#This Row],[MENSAL]]&gt;0,tabPontoPed[[#This Row],[CÁLCULO]]&gt;0), IF( tabPontoPed[[#This Row],[MENSAL]] - tabPontoPed[[#This Row],[CÁLCULO]] &lt; 0, -1, IF( tabPontoPed[[#This Row],[MENSAL]] - tabPontoPed[[#This Row],[CÁLCULO]] &gt; 0, 1, -8)), -9 )</f>
        <v>1</v>
      </c>
      <c r="W1008" s="45"/>
      <c r="X1008" s="48" t="s">
        <v>1564</v>
      </c>
      <c r="Y1008" s="53">
        <v>44391.599108796298</v>
      </c>
      <c r="Z1008" s="72">
        <f>tabPontoPed[CÁLC_4M] - tabPontoPed[CÁLCULO]</f>
        <v>-2</v>
      </c>
      <c r="AA1008" s="79" t="str">
        <f>IF(tabPontoPed[MENSAL]-tabPontoPed[ATA MENSAL] = 0,"sim","")</f>
        <v/>
      </c>
      <c r="AB1008" s="79"/>
      <c r="AC1008" s="47" t="str">
        <f t="shared" si="15"/>
        <v>*</v>
      </c>
    </row>
    <row r="1009" spans="1:29" x14ac:dyDescent="0.25">
      <c r="A1009" s="36">
        <v>11287</v>
      </c>
      <c r="B1009" s="68" t="s">
        <v>40</v>
      </c>
      <c r="C1009" s="33" t="s">
        <v>1317</v>
      </c>
      <c r="D1009" s="32">
        <v>45</v>
      </c>
      <c r="E1009" s="37">
        <v>12</v>
      </c>
      <c r="F1009" s="38" t="str">
        <f>VLOOKUP(tabPontoPed[[#This Row],[GRUPO]],tabGrupos[#Data],2,FALSE)</f>
        <v>MAQ., EQUIP., COMP., ACES., MAT. PARA ESCRIT.E ESCOLAR</v>
      </c>
      <c r="G1009" s="32" t="str">
        <f>VLOOKUP(tabPontoPed[[#This Row],[GRUPO]],tabGrupos[#Data],3,FALSE)</f>
        <v>EDU</v>
      </c>
      <c r="H1009" s="33" t="s">
        <v>1311</v>
      </c>
      <c r="I1009" s="80">
        <v>4</v>
      </c>
      <c r="J1009" s="39">
        <v>50</v>
      </c>
      <c r="K1009" s="41">
        <f>tabPontoPed[[#This Row],[QTDMÊS]] * tabPontoPed[[#This Row],[MENSAL]]</f>
        <v>200</v>
      </c>
      <c r="L1009" s="83"/>
      <c r="M1009" s="81"/>
      <c r="N1009" s="34" t="s">
        <v>1009</v>
      </c>
      <c r="O1009" s="76" t="s">
        <v>1431</v>
      </c>
      <c r="P1009" s="77">
        <v>0</v>
      </c>
      <c r="Q1009" s="57">
        <v>120</v>
      </c>
      <c r="R1009" s="42">
        <v>59</v>
      </c>
      <c r="S1009" s="69" t="str">
        <f>_xlfn.IFNA(IF(VLOOKUP(tabPontoPed[[#This Row],[CÓDIGO]],tabExcluirDoEstoque[#Data],1,FALSE),"sim",""),"")</f>
        <v>sim</v>
      </c>
      <c r="T1009" s="43">
        <f>IF(AND(tabPontoPed[[#This Row],[MENSAL]]&gt;0,tabPontoPed[[#This Row],[CÁLCULO]]&gt;0), ABS( tabPontoPed[[#This Row],[MENSAL]] - tabPontoPed[[#This Row],[CÁLCULO]] ) / tabPontoPed[[#This Row],[MENSAL]], -1 )</f>
        <v>0.18</v>
      </c>
      <c r="U1009" s="58">
        <v>403</v>
      </c>
      <c r="V1009" s="35">
        <f>IF(AND(tabPontoPed[[#This Row],[MENSAL]]&gt;0,tabPontoPed[[#This Row],[CÁLCULO]]&gt;0), IF( tabPontoPed[[#This Row],[MENSAL]] - tabPontoPed[[#This Row],[CÁLCULO]] &lt; 0, -1, IF( tabPontoPed[[#This Row],[MENSAL]] - tabPontoPed[[#This Row],[CÁLCULO]] &gt; 0, 1, -8)), -9 )</f>
        <v>-1</v>
      </c>
      <c r="W1009" s="35"/>
      <c r="X1009" s="49" t="s">
        <v>1564</v>
      </c>
      <c r="Y1009" s="51">
        <v>44391.599108796298</v>
      </c>
      <c r="Z1009" s="72">
        <f>tabPontoPed[CÁLC_4M] - tabPontoPed[CÁLCULO]</f>
        <v>61</v>
      </c>
      <c r="AA1009" s="79" t="str">
        <f>IF(tabPontoPed[MENSAL]-tabPontoPed[ATA MENSAL] = 0,"sim","")</f>
        <v/>
      </c>
      <c r="AB1009" s="79"/>
      <c r="AC1009" s="47" t="str">
        <f t="shared" si="15"/>
        <v>*</v>
      </c>
    </row>
    <row r="1010" spans="1:29" ht="18.75" x14ac:dyDescent="0.25">
      <c r="A1010" s="36">
        <v>135224</v>
      </c>
      <c r="B1010" s="68" t="s">
        <v>228</v>
      </c>
      <c r="C1010" s="33" t="s">
        <v>1317</v>
      </c>
      <c r="D1010" s="32">
        <v>76</v>
      </c>
      <c r="E1010" s="37">
        <v>3</v>
      </c>
      <c r="F1010" s="38" t="str">
        <f>VLOOKUP(tabPontoPed[[#This Row],[GRUPO]],tabGrupos[#Data],2,FALSE)</f>
        <v>EQUIP. E MATERIAIS P/PINTURAS E IMPERMEABILIZACAO</v>
      </c>
      <c r="G1010" s="32" t="str">
        <f>VLOOKUP(tabPontoPed[[#This Row],[GRUPO]],tabGrupos[#Data],3,FALSE)</f>
        <v>MPI</v>
      </c>
      <c r="H1010" s="33" t="s">
        <v>1321</v>
      </c>
      <c r="I1010" s="80">
        <v>3</v>
      </c>
      <c r="J1010" s="39">
        <v>50</v>
      </c>
      <c r="K1010" s="41">
        <f>tabPontoPed[[#This Row],[QTDMÊS]] * tabPontoPed[[#This Row],[MENSAL]]</f>
        <v>150</v>
      </c>
      <c r="L1010" s="83"/>
      <c r="M1010" s="81"/>
      <c r="N1010" s="34" t="s">
        <v>1009</v>
      </c>
      <c r="O1010" s="76" t="s">
        <v>1498</v>
      </c>
      <c r="P1010" s="77">
        <v>50</v>
      </c>
      <c r="Q1010" s="57">
        <v>35</v>
      </c>
      <c r="R1010" s="42">
        <v>41</v>
      </c>
      <c r="S1010" s="69" t="str">
        <f>_xlfn.IFNA(IF(VLOOKUP(tabPontoPed[[#This Row],[CÓDIGO]],tabExcluirDoEstoque[#Data],1,FALSE),"sim",""),"")</f>
        <v>sim</v>
      </c>
      <c r="T1010" s="43">
        <f>IF(AND(tabPontoPed[[#This Row],[MENSAL]]&gt;0,tabPontoPed[[#This Row],[CÁLCULO]]&gt;0), ABS( tabPontoPed[[#This Row],[MENSAL]] - tabPontoPed[[#This Row],[CÁLCULO]] ) / tabPontoPed[[#This Row],[MENSAL]], -1 )</f>
        <v>0.18</v>
      </c>
      <c r="U1010" s="58">
        <v>83</v>
      </c>
      <c r="V1010" s="35">
        <f>IF(AND(tabPontoPed[[#This Row],[MENSAL]]&gt;0,tabPontoPed[[#This Row],[CÁLCULO]]&gt;0), IF( tabPontoPed[[#This Row],[MENSAL]] - tabPontoPed[[#This Row],[CÁLCULO]] &lt; 0, -1, IF( tabPontoPed[[#This Row],[MENSAL]] - tabPontoPed[[#This Row],[CÁLCULO]] &gt; 0, 1, -8)), -9 )</f>
        <v>1</v>
      </c>
      <c r="W1010" s="45"/>
      <c r="X1010" s="50" t="s">
        <v>1450</v>
      </c>
      <c r="Y1010" s="52">
        <v>43966.654409722221</v>
      </c>
      <c r="Z1010" s="73">
        <f>tabPontoPed[CÁLC_4M] - tabPontoPed[CÁLCULO]</f>
        <v>-6</v>
      </c>
      <c r="AA1010" s="79" t="str">
        <f>IF(tabPontoPed[MENSAL]-tabPontoPed[ATA MENSAL] = 0,"sim","")</f>
        <v>sim</v>
      </c>
      <c r="AB1010" s="79" t="s">
        <v>1614</v>
      </c>
      <c r="AC1010" s="47" t="str">
        <f t="shared" si="15"/>
        <v>*</v>
      </c>
    </row>
    <row r="1011" spans="1:29" x14ac:dyDescent="0.25">
      <c r="A1011" s="36">
        <v>109163</v>
      </c>
      <c r="B1011" s="68" t="s">
        <v>448</v>
      </c>
      <c r="C1011" s="33" t="s">
        <v>1317</v>
      </c>
      <c r="D1011" s="32">
        <v>45</v>
      </c>
      <c r="E1011" s="37">
        <v>11</v>
      </c>
      <c r="F1011" s="38" t="str">
        <f>VLOOKUP(tabPontoPed[[#This Row],[GRUPO]],tabGrupos[#Data],2,FALSE)</f>
        <v>MAQ., EQUIP., COMP., ACES., MAT. PARA ESCRIT.E ESCOLAR</v>
      </c>
      <c r="G1011" s="32" t="str">
        <f>VLOOKUP(tabPontoPed[[#This Row],[GRUPO]],tabGrupos[#Data],3,FALSE)</f>
        <v>EDU</v>
      </c>
      <c r="H1011" s="33" t="s">
        <v>1311</v>
      </c>
      <c r="I1011" s="80">
        <v>4</v>
      </c>
      <c r="J1011" s="39">
        <v>148</v>
      </c>
      <c r="K1011" s="41">
        <f>tabPontoPed[[#This Row],[QTDMÊS]] * tabPontoPed[[#This Row],[MENSAL]]</f>
        <v>592</v>
      </c>
      <c r="L1011" s="83"/>
      <c r="M1011" s="81"/>
      <c r="N1011" s="34" t="s">
        <v>1009</v>
      </c>
      <c r="O1011" s="76" t="s">
        <v>1575</v>
      </c>
      <c r="P1011" s="77">
        <v>0</v>
      </c>
      <c r="Q1011" s="57">
        <v>125</v>
      </c>
      <c r="R1011" s="42">
        <v>173</v>
      </c>
      <c r="S1011" s="69" t="str">
        <f>_xlfn.IFNA(IF(VLOOKUP(tabPontoPed[[#This Row],[CÓDIGO]],tabExcluirDoEstoque[#Data],1,FALSE),"sim",""),"")</f>
        <v>sim</v>
      </c>
      <c r="T1011" s="43">
        <f>IF(AND(tabPontoPed[[#This Row],[MENSAL]]&gt;0,tabPontoPed[[#This Row],[CÁLCULO]]&gt;0), ABS( tabPontoPed[[#This Row],[MENSAL]] - tabPontoPed[[#This Row],[CÁLCULO]] ) / tabPontoPed[[#This Row],[MENSAL]], -1 )</f>
        <v>0.16891891891891891</v>
      </c>
      <c r="U1011" s="58">
        <v>472</v>
      </c>
      <c r="V1011" s="35">
        <f>IF(AND(tabPontoPed[[#This Row],[MENSAL]]&gt;0,tabPontoPed[[#This Row],[CÁLCULO]]&gt;0), IF( tabPontoPed[[#This Row],[MENSAL]] - tabPontoPed[[#This Row],[CÁLCULO]] &lt; 0, -1, IF( tabPontoPed[[#This Row],[MENSAL]] - tabPontoPed[[#This Row],[CÁLCULO]] &gt; 0, 1, -8)), -9 )</f>
        <v>-1</v>
      </c>
      <c r="W1011" s="35"/>
      <c r="X1011" s="49" t="s">
        <v>1564</v>
      </c>
      <c r="Y1011" s="51">
        <v>44391.599108796298</v>
      </c>
      <c r="Z1011" s="72">
        <f>tabPontoPed[CÁLC_4M] - tabPontoPed[CÁLCULO]</f>
        <v>-48</v>
      </c>
      <c r="AA1011" s="79" t="str">
        <f>IF(tabPontoPed[MENSAL]-tabPontoPed[ATA MENSAL] = 0,"sim","")</f>
        <v/>
      </c>
      <c r="AB1011" s="79"/>
      <c r="AC1011" s="47" t="str">
        <f t="shared" si="15"/>
        <v>*</v>
      </c>
    </row>
    <row r="1012" spans="1:29" x14ac:dyDescent="0.25">
      <c r="A1012" s="36">
        <v>138547</v>
      </c>
      <c r="B1012" s="68" t="s">
        <v>1537</v>
      </c>
      <c r="C1012" s="33">
        <v>1</v>
      </c>
      <c r="D1012" s="32">
        <v>55</v>
      </c>
      <c r="E1012" s="37">
        <v>49</v>
      </c>
      <c r="F1012" s="38" t="str">
        <f>VLOOKUP(tabPontoPed[[#This Row],[GRUPO]],tabGrupos[#Data],2,FALSE)</f>
        <v>EQUIP. MAT. P/ GERACAO, TRANSM. DISTR. RETIF...</v>
      </c>
      <c r="G1012" s="32" t="str">
        <f>VLOOKUP(tabPontoPed[[#This Row],[GRUPO]],tabGrupos[#Data],3,FALSE)</f>
        <v>MEL</v>
      </c>
      <c r="H1012" s="33" t="s">
        <v>1311</v>
      </c>
      <c r="I1012" s="80">
        <v>4</v>
      </c>
      <c r="J1012" s="39">
        <v>24</v>
      </c>
      <c r="K1012" s="41">
        <f>tabPontoPed[[#This Row],[QTDMÊS]] * tabPontoPed[[#This Row],[MENSAL]]</f>
        <v>96</v>
      </c>
      <c r="L1012" s="83"/>
      <c r="M1012" s="81"/>
      <c r="N1012" s="34" t="s">
        <v>1009</v>
      </c>
      <c r="O1012" s="76"/>
      <c r="P1012" s="77">
        <v>0</v>
      </c>
      <c r="Q1012" s="57">
        <v>2</v>
      </c>
      <c r="R1012" s="42">
        <v>20</v>
      </c>
      <c r="S1012" s="69" t="str">
        <f>_xlfn.IFNA(IF(VLOOKUP(tabPontoPed[[#This Row],[CÓDIGO]],tabExcluirDoEstoque[#Data],1,FALSE),"sim",""),"")</f>
        <v>sim</v>
      </c>
      <c r="T1012" s="43">
        <f>IF(AND(tabPontoPed[[#This Row],[MENSAL]]&gt;0,tabPontoPed[[#This Row],[CÁLCULO]]&gt;0), ABS( tabPontoPed[[#This Row],[MENSAL]] - tabPontoPed[[#This Row],[CÁLCULO]] ) / tabPontoPed[[#This Row],[MENSAL]], -1 )</f>
        <v>0.16666666666666666</v>
      </c>
      <c r="U1012" s="58">
        <v>58</v>
      </c>
      <c r="V1012" s="35">
        <f>IF(AND(tabPontoPed[[#This Row],[MENSAL]]&gt;0,tabPontoPed[[#This Row],[CÁLCULO]]&gt;0), IF( tabPontoPed[[#This Row],[MENSAL]] - tabPontoPed[[#This Row],[CÁLCULO]] &lt; 0, -1, IF( tabPontoPed[[#This Row],[MENSAL]] - tabPontoPed[[#This Row],[CÁLCULO]] &gt; 0, 1, -8)), -9 )</f>
        <v>1</v>
      </c>
      <c r="W1012" s="35"/>
      <c r="X1012" s="49" t="s">
        <v>1564</v>
      </c>
      <c r="Y1012" s="51">
        <v>44391.599108796298</v>
      </c>
      <c r="Z1012" s="72">
        <f>tabPontoPed[CÁLC_4M] - tabPontoPed[CÁLCULO]</f>
        <v>-18</v>
      </c>
      <c r="AA1012" s="79" t="str">
        <f>IF(tabPontoPed[MENSAL]-tabPontoPed[ATA MENSAL] = 0,"sim","")</f>
        <v/>
      </c>
      <c r="AB1012" s="79"/>
      <c r="AC1012" s="47" t="str">
        <f t="shared" si="15"/>
        <v>*</v>
      </c>
    </row>
    <row r="1013" spans="1:29" ht="18.75" x14ac:dyDescent="0.25">
      <c r="A1013" s="36">
        <v>105489</v>
      </c>
      <c r="B1013" s="68" t="s">
        <v>174</v>
      </c>
      <c r="C1013" s="33" t="s">
        <v>1317</v>
      </c>
      <c r="D1013" s="32">
        <v>76</v>
      </c>
      <c r="E1013" s="37">
        <v>9</v>
      </c>
      <c r="F1013" s="38" t="str">
        <f>VLOOKUP(tabPontoPed[[#This Row],[GRUPO]],tabGrupos[#Data],2,FALSE)</f>
        <v>EQUIP. E MATERIAIS P/PINTURAS E IMPERMEABILIZACAO</v>
      </c>
      <c r="G1013" s="32" t="str">
        <f>VLOOKUP(tabPontoPed[[#This Row],[GRUPO]],tabGrupos[#Data],3,FALSE)</f>
        <v>MPI</v>
      </c>
      <c r="H1013" s="33" t="s">
        <v>1311</v>
      </c>
      <c r="I1013" s="80">
        <v>4</v>
      </c>
      <c r="J1013" s="39">
        <v>12</v>
      </c>
      <c r="K1013" s="41">
        <f>tabPontoPed[[#This Row],[QTDMÊS]] * tabPontoPed[[#This Row],[MENSAL]]</f>
        <v>48</v>
      </c>
      <c r="L1013" s="83"/>
      <c r="M1013" s="81"/>
      <c r="N1013" s="34" t="s">
        <v>1010</v>
      </c>
      <c r="O1013" s="76" t="s">
        <v>1440</v>
      </c>
      <c r="P1013" s="77"/>
      <c r="Q1013" s="57">
        <v>14</v>
      </c>
      <c r="R1013" s="42">
        <v>14</v>
      </c>
      <c r="S1013" s="69" t="str">
        <f>_xlfn.IFNA(IF(VLOOKUP(tabPontoPed[[#This Row],[CÓDIGO]],tabExcluirDoEstoque[#Data],1,FALSE),"sim",""),"")</f>
        <v>sim</v>
      </c>
      <c r="T1013" s="43">
        <f>IF(AND(tabPontoPed[[#This Row],[MENSAL]]&gt;0,tabPontoPed[[#This Row],[CÁLCULO]]&gt;0), ABS( tabPontoPed[[#This Row],[MENSAL]] - tabPontoPed[[#This Row],[CÁLCULO]] ) / tabPontoPed[[#This Row],[MENSAL]], -1 )</f>
        <v>0.16666666666666666</v>
      </c>
      <c r="U1013" s="58"/>
      <c r="V1013" s="35">
        <f>IF(AND(tabPontoPed[[#This Row],[MENSAL]]&gt;0,tabPontoPed[[#This Row],[CÁLCULO]]&gt;0), IF( tabPontoPed[[#This Row],[MENSAL]] - tabPontoPed[[#This Row],[CÁLCULO]] &lt; 0, -1, IF( tabPontoPed[[#This Row],[MENSAL]] - tabPontoPed[[#This Row],[CÁLCULO]] &gt; 0, 1, -8)), -9 )</f>
        <v>-1</v>
      </c>
      <c r="W1013" s="45"/>
      <c r="X1013" s="48" t="s">
        <v>1564</v>
      </c>
      <c r="Y1013" s="53">
        <v>44391.599108796298</v>
      </c>
      <c r="Z1013" s="72">
        <f>tabPontoPed[CÁLC_4M] - tabPontoPed[CÁLCULO]</f>
        <v>0</v>
      </c>
      <c r="AA1013" s="79" t="str">
        <f>IF(tabPontoPed[MENSAL]-tabPontoPed[ATA MENSAL] = 0,"sim","")</f>
        <v/>
      </c>
      <c r="AB1013" s="79"/>
      <c r="AC1013" s="47" t="str">
        <f t="shared" si="15"/>
        <v>*</v>
      </c>
    </row>
    <row r="1014" spans="1:29" ht="18.75" x14ac:dyDescent="0.25">
      <c r="A1014" s="36">
        <v>135226</v>
      </c>
      <c r="B1014" s="68" t="s">
        <v>235</v>
      </c>
      <c r="C1014" s="33" t="s">
        <v>1317</v>
      </c>
      <c r="D1014" s="32">
        <v>76</v>
      </c>
      <c r="E1014" s="37">
        <v>10</v>
      </c>
      <c r="F1014" s="38" t="str">
        <f>VLOOKUP(tabPontoPed[[#This Row],[GRUPO]],tabGrupos[#Data],2,FALSE)</f>
        <v>EQUIP. E MATERIAIS P/PINTURAS E IMPERMEABILIZACAO</v>
      </c>
      <c r="G1014" s="32" t="str">
        <f>VLOOKUP(tabPontoPed[[#This Row],[GRUPO]],tabGrupos[#Data],3,FALSE)</f>
        <v>MPI</v>
      </c>
      <c r="H1014" s="33" t="s">
        <v>1311</v>
      </c>
      <c r="I1014" s="80">
        <v>4</v>
      </c>
      <c r="J1014" s="39">
        <v>12</v>
      </c>
      <c r="K1014" s="41">
        <f>tabPontoPed[[#This Row],[QTDMÊS]] * tabPontoPed[[#This Row],[MENSAL]]</f>
        <v>48</v>
      </c>
      <c r="L1014" s="83"/>
      <c r="M1014" s="81"/>
      <c r="N1014" s="34" t="s">
        <v>1009</v>
      </c>
      <c r="O1014" s="76" t="s">
        <v>1498</v>
      </c>
      <c r="P1014" s="77">
        <v>21</v>
      </c>
      <c r="Q1014" s="57">
        <v>7</v>
      </c>
      <c r="R1014" s="42">
        <v>10</v>
      </c>
      <c r="S1014" s="69" t="str">
        <f>_xlfn.IFNA(IF(VLOOKUP(tabPontoPed[[#This Row],[CÓDIGO]],tabExcluirDoEstoque[#Data],1,FALSE),"sim",""),"")</f>
        <v>sim</v>
      </c>
      <c r="T1014" s="43">
        <f>IF(AND(tabPontoPed[[#This Row],[MENSAL]]&gt;0,tabPontoPed[[#This Row],[CÁLCULO]]&gt;0), ABS( tabPontoPed[[#This Row],[MENSAL]] - tabPontoPed[[#This Row],[CÁLCULO]] ) / tabPontoPed[[#This Row],[MENSAL]], -1 )</f>
        <v>0.16666666666666666</v>
      </c>
      <c r="U1014" s="58">
        <v>24</v>
      </c>
      <c r="V1014" s="35">
        <f>IF(AND(tabPontoPed[[#This Row],[MENSAL]]&gt;0,tabPontoPed[[#This Row],[CÁLCULO]]&gt;0), IF( tabPontoPed[[#This Row],[MENSAL]] - tabPontoPed[[#This Row],[CÁLCULO]] &lt; 0, -1, IF( tabPontoPed[[#This Row],[MENSAL]] - tabPontoPed[[#This Row],[CÁLCULO]] &gt; 0, 1, -8)), -9 )</f>
        <v>1</v>
      </c>
      <c r="W1014" s="45"/>
      <c r="X1014" s="50" t="s">
        <v>1564</v>
      </c>
      <c r="Y1014" s="52">
        <v>44391.599108796298</v>
      </c>
      <c r="Z1014" s="73">
        <f>tabPontoPed[CÁLC_4M] - tabPontoPed[CÁLCULO]</f>
        <v>-3</v>
      </c>
      <c r="AA1014" s="79" t="str">
        <f>IF(tabPontoPed[MENSAL]-tabPontoPed[ATA MENSAL] = 0,"sim","")</f>
        <v/>
      </c>
      <c r="AB1014" s="79"/>
      <c r="AC1014" s="47" t="str">
        <f t="shared" si="15"/>
        <v>*</v>
      </c>
    </row>
    <row r="1015" spans="1:29" x14ac:dyDescent="0.25">
      <c r="A1015" s="36">
        <v>119811</v>
      </c>
      <c r="B1015" s="68" t="s">
        <v>370</v>
      </c>
      <c r="C1015" s="33" t="s">
        <v>1317</v>
      </c>
      <c r="D1015" s="32">
        <v>55</v>
      </c>
      <c r="E1015" s="37">
        <v>52</v>
      </c>
      <c r="F1015" s="38" t="str">
        <f>VLOOKUP(tabPontoPed[[#This Row],[GRUPO]],tabGrupos[#Data],2,FALSE)</f>
        <v>EQUIP. MAT. P/ GERACAO, TRANSM. DISTR. RETIF...</v>
      </c>
      <c r="G1015" s="32" t="str">
        <f>VLOOKUP(tabPontoPed[[#This Row],[GRUPO]],tabGrupos[#Data],3,FALSE)</f>
        <v>MEL</v>
      </c>
      <c r="H1015" s="33" t="s">
        <v>1311</v>
      </c>
      <c r="I1015" s="80">
        <v>4</v>
      </c>
      <c r="J1015" s="39">
        <v>37</v>
      </c>
      <c r="K1015" s="41">
        <f>tabPontoPed[[#This Row],[QTDMÊS]] * tabPontoPed[[#This Row],[MENSAL]]</f>
        <v>148</v>
      </c>
      <c r="L1015" s="83"/>
      <c r="M1015" s="81"/>
      <c r="N1015" s="34" t="s">
        <v>1009</v>
      </c>
      <c r="O1015" s="76" t="s">
        <v>1603</v>
      </c>
      <c r="P1015" s="77">
        <v>50</v>
      </c>
      <c r="Q1015" s="57">
        <v>30</v>
      </c>
      <c r="R1015" s="42">
        <v>31</v>
      </c>
      <c r="S1015" s="69" t="str">
        <f>_xlfn.IFNA(IF(VLOOKUP(tabPontoPed[[#This Row],[CÓDIGO]],tabExcluirDoEstoque[#Data],1,FALSE),"sim",""),"")</f>
        <v>sim</v>
      </c>
      <c r="T1015" s="43">
        <f>IF(AND(tabPontoPed[[#This Row],[MENSAL]]&gt;0,tabPontoPed[[#This Row],[CÁLCULO]]&gt;0), ABS( tabPontoPed[[#This Row],[MENSAL]] - tabPontoPed[[#This Row],[CÁLCULO]] ) / tabPontoPed[[#This Row],[MENSAL]], -1 )</f>
        <v>0.16216216216216217</v>
      </c>
      <c r="U1015" s="58">
        <v>72</v>
      </c>
      <c r="V1015" s="35">
        <f>IF(AND(tabPontoPed[[#This Row],[MENSAL]]&gt;0,tabPontoPed[[#This Row],[CÁLCULO]]&gt;0), IF( tabPontoPed[[#This Row],[MENSAL]] - tabPontoPed[[#This Row],[CÁLCULO]] &lt; 0, -1, IF( tabPontoPed[[#This Row],[MENSAL]] - tabPontoPed[[#This Row],[CÁLCULO]] &gt; 0, 1, -8)), -9 )</f>
        <v>1</v>
      </c>
      <c r="W1015" s="35"/>
      <c r="X1015" s="49" t="s">
        <v>1564</v>
      </c>
      <c r="Y1015" s="51">
        <v>44391.599108796298</v>
      </c>
      <c r="Z1015" s="72">
        <f>tabPontoPed[CÁLC_4M] - tabPontoPed[CÁLCULO]</f>
        <v>-1</v>
      </c>
      <c r="AA1015" s="79" t="str">
        <f>IF(tabPontoPed[MENSAL]-tabPontoPed[ATA MENSAL] = 0,"sim","")</f>
        <v/>
      </c>
      <c r="AB1015" s="79"/>
      <c r="AC1015" s="47" t="str">
        <f t="shared" si="15"/>
        <v>*</v>
      </c>
    </row>
    <row r="1016" spans="1:29" x14ac:dyDescent="0.25">
      <c r="A1016" s="36">
        <v>134045</v>
      </c>
      <c r="B1016" s="68" t="s">
        <v>329</v>
      </c>
      <c r="C1016" s="33" t="s">
        <v>1317</v>
      </c>
      <c r="D1016" s="32">
        <v>61</v>
      </c>
      <c r="E1016" s="37">
        <v>16</v>
      </c>
      <c r="F1016" s="38" t="str">
        <f>VLOOKUP(tabPontoPed[[#This Row],[GRUPO]],tabGrupos[#Data],2,FALSE)</f>
        <v>MATERIAL HIDRAULICO, CANOS, TUBOS, MANGUEIRAS, CONEXOES E ACESS.</v>
      </c>
      <c r="G1016" s="32" t="str">
        <f>VLOOKUP(tabPontoPed[[#This Row],[GRUPO]],tabGrupos[#Data],3,FALSE)</f>
        <v>MHI</v>
      </c>
      <c r="H1016" s="33" t="s">
        <v>1311</v>
      </c>
      <c r="I1016" s="80">
        <v>4</v>
      </c>
      <c r="J1016" s="39">
        <v>13</v>
      </c>
      <c r="K1016" s="41">
        <f>tabPontoPed[[#This Row],[QTDMÊS]] * tabPontoPed[[#This Row],[MENSAL]]</f>
        <v>52</v>
      </c>
      <c r="L1016" s="83"/>
      <c r="M1016" s="81"/>
      <c r="N1016" s="34" t="s">
        <v>1009</v>
      </c>
      <c r="O1016" s="76" t="s">
        <v>1496</v>
      </c>
      <c r="P1016" s="77">
        <v>0</v>
      </c>
      <c r="Q1016" s="57">
        <v>10</v>
      </c>
      <c r="R1016" s="42">
        <v>11</v>
      </c>
      <c r="S1016" s="69" t="str">
        <f>_xlfn.IFNA(IF(VLOOKUP(tabPontoPed[[#This Row],[CÓDIGO]],tabExcluirDoEstoque[#Data],1,FALSE),"sim",""),"")</f>
        <v>sim</v>
      </c>
      <c r="T1016" s="43">
        <f>IF(AND(tabPontoPed[[#This Row],[MENSAL]]&gt;0,tabPontoPed[[#This Row],[CÁLCULO]]&gt;0), ABS( tabPontoPed[[#This Row],[MENSAL]] - tabPontoPed[[#This Row],[CÁLCULO]] ) / tabPontoPed[[#This Row],[MENSAL]], -1 )</f>
        <v>0.15384615384615385</v>
      </c>
      <c r="U1016" s="58">
        <v>18</v>
      </c>
      <c r="V1016" s="35">
        <f>IF(AND(tabPontoPed[[#This Row],[MENSAL]]&gt;0,tabPontoPed[[#This Row],[CÁLCULO]]&gt;0), IF( tabPontoPed[[#This Row],[MENSAL]] - tabPontoPed[[#This Row],[CÁLCULO]] &lt; 0, -1, IF( tabPontoPed[[#This Row],[MENSAL]] - tabPontoPed[[#This Row],[CÁLCULO]] &gt; 0, 1, -8)), -9 )</f>
        <v>1</v>
      </c>
      <c r="W1016" s="35"/>
      <c r="X1016" s="48" t="s">
        <v>1564</v>
      </c>
      <c r="Y1016" s="53">
        <v>44391.599108796298</v>
      </c>
      <c r="Z1016" s="72">
        <f>tabPontoPed[CÁLC_4M] - tabPontoPed[CÁLCULO]</f>
        <v>-1</v>
      </c>
      <c r="AA1016" s="79" t="str">
        <f>IF(tabPontoPed[MENSAL]-tabPontoPed[ATA MENSAL] = 0,"sim","")</f>
        <v/>
      </c>
      <c r="AB1016" s="79"/>
      <c r="AC1016" s="47" t="str">
        <f t="shared" si="15"/>
        <v>*</v>
      </c>
    </row>
    <row r="1017" spans="1:29" x14ac:dyDescent="0.25">
      <c r="A1017" s="36">
        <v>102702</v>
      </c>
      <c r="B1017" s="68" t="s">
        <v>718</v>
      </c>
      <c r="C1017" s="33" t="s">
        <v>1317</v>
      </c>
      <c r="D1017" s="32">
        <v>60</v>
      </c>
      <c r="E1017" s="37">
        <v>21</v>
      </c>
      <c r="F1017" s="38" t="str">
        <f>VLOOKUP(tabPontoPed[[#This Row],[GRUPO]],tabGrupos[#Data],2,FALSE)</f>
        <v>COMPUT.SOFT. PROCES. EQUIP. SUPRI. COMP. ACESS. INFORMAT</v>
      </c>
      <c r="G1017" s="32" t="str">
        <f>VLOOKUP(tabPontoPed[[#This Row],[GRUPO]],tabGrupos[#Data],3,FALSE)</f>
        <v>INF</v>
      </c>
      <c r="H1017" s="33" t="s">
        <v>1311</v>
      </c>
      <c r="I1017" s="80">
        <v>4</v>
      </c>
      <c r="J1017" s="39">
        <v>640</v>
      </c>
      <c r="K1017" s="41">
        <f>tabPontoPed[[#This Row],[QTDMÊS]] * tabPontoPed[[#This Row],[MENSAL]]</f>
        <v>2560</v>
      </c>
      <c r="L1017" s="83"/>
      <c r="M1017" s="81"/>
      <c r="N1017" s="34" t="s">
        <v>1010</v>
      </c>
      <c r="O1017" s="76" t="s">
        <v>1424</v>
      </c>
      <c r="P1017" s="77"/>
      <c r="Q1017" s="57">
        <v>738</v>
      </c>
      <c r="R1017" s="42">
        <v>738</v>
      </c>
      <c r="S1017" s="69" t="str">
        <f>_xlfn.IFNA(IF(VLOOKUP(tabPontoPed[[#This Row],[CÓDIGO]],tabExcluirDoEstoque[#Data],1,FALSE),"sim",""),"")</f>
        <v>sim</v>
      </c>
      <c r="T1017" s="43">
        <f>IF(AND(tabPontoPed[[#This Row],[MENSAL]]&gt;0,tabPontoPed[[#This Row],[CÁLCULO]]&gt;0), ABS( tabPontoPed[[#This Row],[MENSAL]] - tabPontoPed[[#This Row],[CÁLCULO]] ) / tabPontoPed[[#This Row],[MENSAL]], -1 )</f>
        <v>0.15312500000000001</v>
      </c>
      <c r="U1017" s="58"/>
      <c r="V1017" s="35">
        <f>IF(AND(tabPontoPed[[#This Row],[MENSAL]]&gt;0,tabPontoPed[[#This Row],[CÁLCULO]]&gt;0), IF( tabPontoPed[[#This Row],[MENSAL]] - tabPontoPed[[#This Row],[CÁLCULO]] &lt; 0, -1, IF( tabPontoPed[[#This Row],[MENSAL]] - tabPontoPed[[#This Row],[CÁLCULO]] &gt; 0, 1, -8)), -9 )</f>
        <v>-1</v>
      </c>
      <c r="W1017" s="35"/>
      <c r="X1017" s="48" t="s">
        <v>1564</v>
      </c>
      <c r="Y1017" s="53">
        <v>44391.599108796298</v>
      </c>
      <c r="Z1017" s="72">
        <f>tabPontoPed[CÁLC_4M] - tabPontoPed[CÁLCULO]</f>
        <v>0</v>
      </c>
      <c r="AA1017" s="79" t="str">
        <f>IF(tabPontoPed[MENSAL]-tabPontoPed[ATA MENSAL] = 0,"sim","")</f>
        <v/>
      </c>
      <c r="AB1017" s="79"/>
      <c r="AC1017" s="47" t="str">
        <f t="shared" si="15"/>
        <v>*</v>
      </c>
    </row>
    <row r="1018" spans="1:29" x14ac:dyDescent="0.25">
      <c r="A1018" s="36">
        <v>132769</v>
      </c>
      <c r="B1018" s="68" t="s">
        <v>552</v>
      </c>
      <c r="C1018" s="33" t="s">
        <v>1317</v>
      </c>
      <c r="D1018" s="32">
        <v>51</v>
      </c>
      <c r="E1018" s="37">
        <v>33</v>
      </c>
      <c r="F1018" s="38" t="str">
        <f>VLOOKUP(tabPontoPed[[#This Row],[GRUPO]],tabGrupos[#Data],2,FALSE)</f>
        <v>MAT.E EQUIP. P/ CONSTR.CIVIL E CONSERV. DE VIAS PUBL.</v>
      </c>
      <c r="G1018" s="32" t="str">
        <f>VLOOKUP(tabPontoPed[[#This Row],[GRUPO]],tabGrupos[#Data],3,FALSE)</f>
        <v>MCO</v>
      </c>
      <c r="H1018" s="33" t="s">
        <v>1311</v>
      </c>
      <c r="I1018" s="80">
        <v>4</v>
      </c>
      <c r="J1018" s="39">
        <v>14</v>
      </c>
      <c r="K1018" s="41">
        <f>tabPontoPed[[#This Row],[QTDMÊS]] * tabPontoPed[[#This Row],[MENSAL]]</f>
        <v>56</v>
      </c>
      <c r="L1018" s="83"/>
      <c r="M1018" s="81"/>
      <c r="N1018" s="34" t="s">
        <v>1009</v>
      </c>
      <c r="O1018" s="76" t="s">
        <v>1616</v>
      </c>
      <c r="P1018" s="77">
        <v>0</v>
      </c>
      <c r="Q1018" s="57">
        <v>24</v>
      </c>
      <c r="R1018" s="42">
        <v>12</v>
      </c>
      <c r="S1018" s="69" t="str">
        <f>_xlfn.IFNA(IF(VLOOKUP(tabPontoPed[[#This Row],[CÓDIGO]],tabExcluirDoEstoque[#Data],1,FALSE),"sim",""),"")</f>
        <v>sim</v>
      </c>
      <c r="T1018" s="43">
        <f>IF(AND(tabPontoPed[[#This Row],[MENSAL]]&gt;0,tabPontoPed[[#This Row],[CÁLCULO]]&gt;0), ABS( tabPontoPed[[#This Row],[MENSAL]] - tabPontoPed[[#This Row],[CÁLCULO]] ) / tabPontoPed[[#This Row],[MENSAL]], -1 )</f>
        <v>0.14285714285714285</v>
      </c>
      <c r="U1018" s="58">
        <v>37</v>
      </c>
      <c r="V1018" s="35">
        <f>IF(AND(tabPontoPed[[#This Row],[MENSAL]]&gt;0,tabPontoPed[[#This Row],[CÁLCULO]]&gt;0), IF( tabPontoPed[[#This Row],[MENSAL]] - tabPontoPed[[#This Row],[CÁLCULO]] &lt; 0, -1, IF( tabPontoPed[[#This Row],[MENSAL]] - tabPontoPed[[#This Row],[CÁLCULO]] &gt; 0, 1, -8)), -9 )</f>
        <v>1</v>
      </c>
      <c r="W1018" s="35"/>
      <c r="X1018" s="49" t="s">
        <v>1564</v>
      </c>
      <c r="Y1018" s="51">
        <v>44391.599108796298</v>
      </c>
      <c r="Z1018" s="72">
        <f>tabPontoPed[CÁLC_4M] - tabPontoPed[CÁLCULO]</f>
        <v>12</v>
      </c>
      <c r="AA1018" s="79" t="str">
        <f>IF(tabPontoPed[MENSAL]-tabPontoPed[ATA MENSAL] = 0,"sim","")</f>
        <v/>
      </c>
      <c r="AB1018" s="79"/>
      <c r="AC1018" s="47" t="str">
        <f t="shared" si="15"/>
        <v>*</v>
      </c>
    </row>
    <row r="1019" spans="1:29" x14ac:dyDescent="0.25">
      <c r="A1019" s="36">
        <v>13060</v>
      </c>
      <c r="B1019" s="68" t="s">
        <v>368</v>
      </c>
      <c r="C1019" s="33" t="s">
        <v>1317</v>
      </c>
      <c r="D1019" s="32">
        <v>55</v>
      </c>
      <c r="E1019" s="37">
        <v>52</v>
      </c>
      <c r="F1019" s="38" t="str">
        <f>VLOOKUP(tabPontoPed[[#This Row],[GRUPO]],tabGrupos[#Data],2,FALSE)</f>
        <v>EQUIP. MAT. P/ GERACAO, TRANSM. DISTR. RETIF...</v>
      </c>
      <c r="G1019" s="32" t="str">
        <f>VLOOKUP(tabPontoPed[[#This Row],[GRUPO]],tabGrupos[#Data],3,FALSE)</f>
        <v>MEL</v>
      </c>
      <c r="H1019" s="33" t="s">
        <v>1311</v>
      </c>
      <c r="I1019" s="80">
        <v>4</v>
      </c>
      <c r="J1019" s="39">
        <v>35</v>
      </c>
      <c r="K1019" s="41">
        <f>tabPontoPed[[#This Row],[QTDMÊS]] * tabPontoPed[[#This Row],[MENSAL]]</f>
        <v>140</v>
      </c>
      <c r="L1019" s="83"/>
      <c r="M1019" s="81"/>
      <c r="N1019" s="34" t="s">
        <v>1009</v>
      </c>
      <c r="O1019" s="76" t="s">
        <v>1603</v>
      </c>
      <c r="P1019" s="77">
        <v>50</v>
      </c>
      <c r="Q1019" s="57">
        <v>23</v>
      </c>
      <c r="R1019" s="42">
        <v>30</v>
      </c>
      <c r="S1019" s="69" t="str">
        <f>_xlfn.IFNA(IF(VLOOKUP(tabPontoPed[[#This Row],[CÓDIGO]],tabExcluirDoEstoque[#Data],1,FALSE),"sim",""),"")</f>
        <v>sim</v>
      </c>
      <c r="T1019" s="43">
        <f>IF(AND(tabPontoPed[[#This Row],[MENSAL]]&gt;0,tabPontoPed[[#This Row],[CÁLCULO]]&gt;0), ABS( tabPontoPed[[#This Row],[MENSAL]] - tabPontoPed[[#This Row],[CÁLCULO]] ) / tabPontoPed[[#This Row],[MENSAL]], -1 )</f>
        <v>0.14285714285714285</v>
      </c>
      <c r="U1019" s="58">
        <v>55</v>
      </c>
      <c r="V1019" s="35">
        <f>IF(AND(tabPontoPed[[#This Row],[MENSAL]]&gt;0,tabPontoPed[[#This Row],[CÁLCULO]]&gt;0), IF( tabPontoPed[[#This Row],[MENSAL]] - tabPontoPed[[#This Row],[CÁLCULO]] &lt; 0, -1, IF( tabPontoPed[[#This Row],[MENSAL]] - tabPontoPed[[#This Row],[CÁLCULO]] &gt; 0, 1, -8)), -9 )</f>
        <v>1</v>
      </c>
      <c r="W1019" s="35"/>
      <c r="X1019" s="49" t="s">
        <v>1564</v>
      </c>
      <c r="Y1019" s="51">
        <v>44391.599108796298</v>
      </c>
      <c r="Z1019" s="72">
        <f>tabPontoPed[CÁLC_4M] - tabPontoPed[CÁLCULO]</f>
        <v>-7</v>
      </c>
      <c r="AA1019" s="79" t="str">
        <f>IF(tabPontoPed[MENSAL]-tabPontoPed[ATA MENSAL] = 0,"sim","")</f>
        <v/>
      </c>
      <c r="AB1019" s="79"/>
      <c r="AC1019" s="47" t="str">
        <f t="shared" si="15"/>
        <v>*</v>
      </c>
    </row>
    <row r="1020" spans="1:29" x14ac:dyDescent="0.25">
      <c r="A1020" s="36">
        <v>131931</v>
      </c>
      <c r="B1020" s="68" t="s">
        <v>408</v>
      </c>
      <c r="C1020" s="33" t="s">
        <v>1317</v>
      </c>
      <c r="D1020" s="32">
        <v>45</v>
      </c>
      <c r="E1020" s="37">
        <v>9</v>
      </c>
      <c r="F1020" s="38" t="str">
        <f>VLOOKUP(tabPontoPed[[#This Row],[GRUPO]],tabGrupos[#Data],2,FALSE)</f>
        <v>MAQ., EQUIP., COMP., ACES., MAT. PARA ESCRIT.E ESCOLAR</v>
      </c>
      <c r="G1020" s="32" t="str">
        <f>VLOOKUP(tabPontoPed[[#This Row],[GRUPO]],tabGrupos[#Data],3,FALSE)</f>
        <v>EDU</v>
      </c>
      <c r="H1020" s="33" t="s">
        <v>1311</v>
      </c>
      <c r="I1020" s="80">
        <v>4</v>
      </c>
      <c r="J1020" s="39">
        <v>76</v>
      </c>
      <c r="K1020" s="41">
        <f>tabPontoPed[[#This Row],[QTDMÊS]] * tabPontoPed[[#This Row],[MENSAL]]</f>
        <v>304</v>
      </c>
      <c r="L1020" s="83"/>
      <c r="M1020" s="81"/>
      <c r="N1020" s="34" t="s">
        <v>1009</v>
      </c>
      <c r="O1020" s="76"/>
      <c r="P1020" s="77">
        <v>0</v>
      </c>
      <c r="Q1020" s="57">
        <v>51</v>
      </c>
      <c r="R1020" s="42">
        <v>85</v>
      </c>
      <c r="S1020" s="69" t="str">
        <f>_xlfn.IFNA(IF(VLOOKUP(tabPontoPed[[#This Row],[CÓDIGO]],tabExcluirDoEstoque[#Data],1,FALSE),"sim",""),"")</f>
        <v>sim</v>
      </c>
      <c r="T1020" s="43">
        <f>IF(AND(tabPontoPed[[#This Row],[MENSAL]]&gt;0,tabPontoPed[[#This Row],[CÁLCULO]]&gt;0), ABS( tabPontoPed[[#This Row],[MENSAL]] - tabPontoPed[[#This Row],[CÁLCULO]] ) / tabPontoPed[[#This Row],[MENSAL]], -1 )</f>
        <v>0.11842105263157894</v>
      </c>
      <c r="U1020" s="58">
        <v>347</v>
      </c>
      <c r="V1020" s="35">
        <f>IF(AND(tabPontoPed[[#This Row],[MENSAL]]&gt;0,tabPontoPed[[#This Row],[CÁLCULO]]&gt;0), IF( tabPontoPed[[#This Row],[MENSAL]] - tabPontoPed[[#This Row],[CÁLCULO]] &lt; 0, -1, IF( tabPontoPed[[#This Row],[MENSAL]] - tabPontoPed[[#This Row],[CÁLCULO]] &gt; 0, 1, -8)), -9 )</f>
        <v>-1</v>
      </c>
      <c r="W1020" s="35"/>
      <c r="X1020" s="49" t="s">
        <v>1564</v>
      </c>
      <c r="Y1020" s="51">
        <v>44391.599108796298</v>
      </c>
      <c r="Z1020" s="72">
        <f>tabPontoPed[CÁLC_4M] - tabPontoPed[CÁLCULO]</f>
        <v>-34</v>
      </c>
      <c r="AA1020" s="79" t="str">
        <f>IF(tabPontoPed[MENSAL]-tabPontoPed[ATA MENSAL] = 0,"sim","")</f>
        <v/>
      </c>
      <c r="AB1020" s="79"/>
      <c r="AC1020" s="47" t="str">
        <f t="shared" si="15"/>
        <v>*</v>
      </c>
    </row>
    <row r="1021" spans="1:29" x14ac:dyDescent="0.25">
      <c r="A1021" s="36">
        <v>71190</v>
      </c>
      <c r="B1021" s="68" t="s">
        <v>150</v>
      </c>
      <c r="C1021" s="33" t="s">
        <v>1317</v>
      </c>
      <c r="D1021" s="32">
        <v>51</v>
      </c>
      <c r="E1021" s="37">
        <v>10</v>
      </c>
      <c r="F1021" s="38" t="str">
        <f>VLOOKUP(tabPontoPed[[#This Row],[GRUPO]],tabGrupos[#Data],2,FALSE)</f>
        <v>MAT.E EQUIP. P/ CONSTR.CIVIL E CONSERV. DE VIAS PUBL.</v>
      </c>
      <c r="G1021" s="32" t="str">
        <f>VLOOKUP(tabPontoPed[[#This Row],[GRUPO]],tabGrupos[#Data],3,FALSE)</f>
        <v>MCO</v>
      </c>
      <c r="H1021" s="33" t="s">
        <v>1311</v>
      </c>
      <c r="I1021" s="80">
        <v>4</v>
      </c>
      <c r="J1021" s="39">
        <v>289</v>
      </c>
      <c r="K1021" s="41">
        <f>tabPontoPed[[#This Row],[QTDMÊS]] * tabPontoPed[[#This Row],[MENSAL]]</f>
        <v>1156</v>
      </c>
      <c r="L1021" s="83"/>
      <c r="M1021" s="81"/>
      <c r="N1021" s="34" t="s">
        <v>1010</v>
      </c>
      <c r="O1021" s="76" t="s">
        <v>1423</v>
      </c>
      <c r="P1021" s="77"/>
      <c r="Q1021" s="57">
        <v>322</v>
      </c>
      <c r="R1021" s="42">
        <v>322</v>
      </c>
      <c r="S1021" s="69" t="str">
        <f>_xlfn.IFNA(IF(VLOOKUP(tabPontoPed[[#This Row],[CÓDIGO]],tabExcluirDoEstoque[#Data],1,FALSE),"sim",""),"")</f>
        <v>sim</v>
      </c>
      <c r="T1021" s="43">
        <f>IF(AND(tabPontoPed[[#This Row],[MENSAL]]&gt;0,tabPontoPed[[#This Row],[CÁLCULO]]&gt;0), ABS( tabPontoPed[[#This Row],[MENSAL]] - tabPontoPed[[#This Row],[CÁLCULO]] ) / tabPontoPed[[#This Row],[MENSAL]], -1 )</f>
        <v>0.11418685121107267</v>
      </c>
      <c r="U1021" s="58"/>
      <c r="V1021" s="35">
        <f>IF(AND(tabPontoPed[[#This Row],[MENSAL]]&gt;0,tabPontoPed[[#This Row],[CÁLCULO]]&gt;0), IF( tabPontoPed[[#This Row],[MENSAL]] - tabPontoPed[[#This Row],[CÁLCULO]] &lt; 0, -1, IF( tabPontoPed[[#This Row],[MENSAL]] - tabPontoPed[[#This Row],[CÁLCULO]] &gt; 0, 1, -8)), -9 )</f>
        <v>-1</v>
      </c>
      <c r="W1021" s="35"/>
      <c r="X1021" s="48" t="s">
        <v>1564</v>
      </c>
      <c r="Y1021" s="53">
        <v>44391.599108796298</v>
      </c>
      <c r="Z1021" s="72">
        <f>tabPontoPed[CÁLC_4M] - tabPontoPed[CÁLCULO]</f>
        <v>0</v>
      </c>
      <c r="AA1021" s="79" t="str">
        <f>IF(tabPontoPed[MENSAL]-tabPontoPed[ATA MENSAL] = 0,"sim","")</f>
        <v/>
      </c>
      <c r="AB1021" s="79"/>
      <c r="AC1021" s="47" t="str">
        <f t="shared" si="15"/>
        <v>*</v>
      </c>
    </row>
    <row r="1022" spans="1:29" x14ac:dyDescent="0.25">
      <c r="A1022" s="36">
        <v>90502</v>
      </c>
      <c r="B1022" s="68" t="s">
        <v>125</v>
      </c>
      <c r="C1022" s="33" t="s">
        <v>1317</v>
      </c>
      <c r="D1022" s="32">
        <v>55</v>
      </c>
      <c r="E1022" s="37">
        <v>19</v>
      </c>
      <c r="F1022" s="38" t="str">
        <f>VLOOKUP(tabPontoPed[[#This Row],[GRUPO]],tabGrupos[#Data],2,FALSE)</f>
        <v>EQUIP. MAT. P/ GERACAO, TRANSM. DISTR. RETIF...</v>
      </c>
      <c r="G1022" s="32" t="str">
        <f>VLOOKUP(tabPontoPed[[#This Row],[GRUPO]],tabGrupos[#Data],3,FALSE)</f>
        <v>MEL</v>
      </c>
      <c r="H1022" s="33" t="s">
        <v>1311</v>
      </c>
      <c r="I1022" s="80">
        <v>4</v>
      </c>
      <c r="J1022" s="39">
        <v>160</v>
      </c>
      <c r="K1022" s="41">
        <f>tabPontoPed[[#This Row],[QTDMÊS]] * tabPontoPed[[#This Row],[MENSAL]]</f>
        <v>640</v>
      </c>
      <c r="L1022" s="83"/>
      <c r="M1022" s="81"/>
      <c r="N1022" s="34" t="s">
        <v>1010</v>
      </c>
      <c r="O1022" s="76" t="s">
        <v>1454</v>
      </c>
      <c r="P1022" s="77"/>
      <c r="Q1022" s="57">
        <v>142</v>
      </c>
      <c r="R1022" s="42">
        <v>142</v>
      </c>
      <c r="S1022" s="69" t="str">
        <f>_xlfn.IFNA(IF(VLOOKUP(tabPontoPed[[#This Row],[CÓDIGO]],tabExcluirDoEstoque[#Data],1,FALSE),"sim",""),"")</f>
        <v>sim</v>
      </c>
      <c r="T1022" s="43">
        <f>IF(AND(tabPontoPed[[#This Row],[MENSAL]]&gt;0,tabPontoPed[[#This Row],[CÁLCULO]]&gt;0), ABS( tabPontoPed[[#This Row],[MENSAL]] - tabPontoPed[[#This Row],[CÁLCULO]] ) / tabPontoPed[[#This Row],[MENSAL]], -1 )</f>
        <v>0.1125</v>
      </c>
      <c r="U1022" s="58"/>
      <c r="V1022" s="35">
        <f>IF(AND(tabPontoPed[[#This Row],[MENSAL]]&gt;0,tabPontoPed[[#This Row],[CÁLCULO]]&gt;0), IF( tabPontoPed[[#This Row],[MENSAL]] - tabPontoPed[[#This Row],[CÁLCULO]] &lt; 0, -1, IF( tabPontoPed[[#This Row],[MENSAL]] - tabPontoPed[[#This Row],[CÁLCULO]] &gt; 0, 1, -8)), -9 )</f>
        <v>1</v>
      </c>
      <c r="W1022" s="35"/>
      <c r="X1022" s="49" t="s">
        <v>1564</v>
      </c>
      <c r="Y1022" s="51">
        <v>44391.599108796298</v>
      </c>
      <c r="Z1022" s="72">
        <f>tabPontoPed[CÁLC_4M] - tabPontoPed[CÁLCULO]</f>
        <v>0</v>
      </c>
      <c r="AA1022" s="79" t="str">
        <f>IF(tabPontoPed[MENSAL]-tabPontoPed[ATA MENSAL] = 0,"sim","")</f>
        <v/>
      </c>
      <c r="AB1022" s="79"/>
      <c r="AC1022" s="47" t="str">
        <f t="shared" si="15"/>
        <v>*</v>
      </c>
    </row>
    <row r="1023" spans="1:29" x14ac:dyDescent="0.25">
      <c r="A1023" s="36">
        <v>127331</v>
      </c>
      <c r="B1023" s="68" t="s">
        <v>380</v>
      </c>
      <c r="C1023" s="33" t="s">
        <v>1317</v>
      </c>
      <c r="D1023" s="32">
        <v>72</v>
      </c>
      <c r="E1023" s="37">
        <v>8</v>
      </c>
      <c r="F1023" s="38" t="str">
        <f>VLOOKUP(tabPontoPed[[#This Row],[GRUPO]],tabGrupos[#Data],2,FALSE)</f>
        <v>MAQ.EQUIP.E MATERIAIS P/ HIGIEN.LIMP.POLIM.E LUBR.</v>
      </c>
      <c r="G1023" s="32" t="str">
        <f>VLOOKUP(tabPontoPed[[#This Row],[GRUPO]],tabGrupos[#Data],3,FALSE)</f>
        <v>ADM</v>
      </c>
      <c r="H1023" s="33" t="s">
        <v>1321</v>
      </c>
      <c r="I1023" s="80">
        <v>3</v>
      </c>
      <c r="J1023" s="39">
        <v>139</v>
      </c>
      <c r="K1023" s="41">
        <f>tabPontoPed[[#This Row],[QTDMÊS]] * tabPontoPed[[#This Row],[MENSAL]]</f>
        <v>417</v>
      </c>
      <c r="L1023" s="83"/>
      <c r="M1023" s="81"/>
      <c r="N1023" s="34" t="s">
        <v>1009</v>
      </c>
      <c r="O1023" s="76" t="s">
        <v>1581</v>
      </c>
      <c r="P1023" s="77">
        <v>234</v>
      </c>
      <c r="Q1023" s="57">
        <v>38</v>
      </c>
      <c r="R1023" s="42">
        <v>124</v>
      </c>
      <c r="S1023" s="69" t="str">
        <f>_xlfn.IFNA(IF(VLOOKUP(tabPontoPed[[#This Row],[CÓDIGO]],tabExcluirDoEstoque[#Data],1,FALSE),"sim",""),"")</f>
        <v>sim</v>
      </c>
      <c r="T1023" s="43">
        <f>IF(AND(tabPontoPed[[#This Row],[MENSAL]]&gt;0,tabPontoPed[[#This Row],[CÁLCULO]]&gt;0), ABS( tabPontoPed[[#This Row],[MENSAL]] - tabPontoPed[[#This Row],[CÁLCULO]] ) / tabPontoPed[[#This Row],[MENSAL]], -1 )</f>
        <v>0.1079136690647482</v>
      </c>
      <c r="U1023" s="58">
        <v>323</v>
      </c>
      <c r="V1023" s="35">
        <f>IF(AND(tabPontoPed[[#This Row],[MENSAL]]&gt;0,tabPontoPed[[#This Row],[CÁLCULO]]&gt;0), IF( tabPontoPed[[#This Row],[MENSAL]] - tabPontoPed[[#This Row],[CÁLCULO]] &lt; 0, -1, IF( tabPontoPed[[#This Row],[MENSAL]] - tabPontoPed[[#This Row],[CÁLCULO]] &gt; 0, 1, -8)), -9 )</f>
        <v>1</v>
      </c>
      <c r="W1023" s="35"/>
      <c r="X1023" s="49" t="s">
        <v>1450</v>
      </c>
      <c r="Y1023" s="51">
        <v>43860.636087962965</v>
      </c>
      <c r="Z1023" s="72">
        <f>tabPontoPed[CÁLC_4M] - tabPontoPed[CÁLCULO]</f>
        <v>-86</v>
      </c>
      <c r="AA1023" s="79" t="str">
        <f>IF(tabPontoPed[MENSAL]-tabPontoPed[ATA MENSAL] = 0,"sim","")</f>
        <v/>
      </c>
      <c r="AB1023" s="79"/>
      <c r="AC1023" s="47" t="str">
        <f t="shared" si="15"/>
        <v>*</v>
      </c>
    </row>
    <row r="1024" spans="1:29" x14ac:dyDescent="0.25">
      <c r="A1024" s="36">
        <v>74124</v>
      </c>
      <c r="B1024" s="68" t="s">
        <v>122</v>
      </c>
      <c r="C1024" s="33" t="s">
        <v>1317</v>
      </c>
      <c r="D1024" s="32">
        <v>55</v>
      </c>
      <c r="E1024" s="37">
        <v>19</v>
      </c>
      <c r="F1024" s="38" t="str">
        <f>VLOOKUP(tabPontoPed[[#This Row],[GRUPO]],tabGrupos[#Data],2,FALSE)</f>
        <v>EQUIP. MAT. P/ GERACAO, TRANSM. DISTR. RETIF...</v>
      </c>
      <c r="G1024" s="32" t="str">
        <f>VLOOKUP(tabPontoPed[[#This Row],[GRUPO]],tabGrupos[#Data],3,FALSE)</f>
        <v>MEL</v>
      </c>
      <c r="H1024" s="33" t="s">
        <v>1311</v>
      </c>
      <c r="I1024" s="80">
        <v>4</v>
      </c>
      <c r="J1024" s="39">
        <v>492</v>
      </c>
      <c r="K1024" s="41">
        <f>tabPontoPed[[#This Row],[QTDMÊS]] * tabPontoPed[[#This Row],[MENSAL]]</f>
        <v>1968</v>
      </c>
      <c r="L1024" s="83"/>
      <c r="M1024" s="81"/>
      <c r="N1024" s="34" t="s">
        <v>1009</v>
      </c>
      <c r="O1024" s="76" t="s">
        <v>1454</v>
      </c>
      <c r="P1024" s="77">
        <v>342</v>
      </c>
      <c r="Q1024" s="57">
        <v>325</v>
      </c>
      <c r="R1024" s="42">
        <v>442</v>
      </c>
      <c r="S1024" s="69" t="str">
        <f>_xlfn.IFNA(IF(VLOOKUP(tabPontoPed[[#This Row],[CÓDIGO]],tabExcluirDoEstoque[#Data],1,FALSE),"sim",""),"")</f>
        <v>sim</v>
      </c>
      <c r="T1024" s="43">
        <f>IF(AND(tabPontoPed[[#This Row],[MENSAL]]&gt;0,tabPontoPed[[#This Row],[CÁLCULO]]&gt;0), ABS( tabPontoPed[[#This Row],[MENSAL]] - tabPontoPed[[#This Row],[CÁLCULO]] ) / tabPontoPed[[#This Row],[MENSAL]], -1 )</f>
        <v>0.1016260162601626</v>
      </c>
      <c r="U1024" s="58">
        <v>1000</v>
      </c>
      <c r="V1024" s="35">
        <f>IF(AND(tabPontoPed[[#This Row],[MENSAL]]&gt;0,tabPontoPed[[#This Row],[CÁLCULO]]&gt;0), IF( tabPontoPed[[#This Row],[MENSAL]] - tabPontoPed[[#This Row],[CÁLCULO]] &lt; 0, -1, IF( tabPontoPed[[#This Row],[MENSAL]] - tabPontoPed[[#This Row],[CÁLCULO]] &gt; 0, 1, -8)), -9 )</f>
        <v>1</v>
      </c>
      <c r="W1024" s="35"/>
      <c r="X1024" s="48" t="s">
        <v>1564</v>
      </c>
      <c r="Y1024" s="53">
        <v>44391.599108796298</v>
      </c>
      <c r="Z1024" s="72">
        <f>tabPontoPed[CÁLC_4M] - tabPontoPed[CÁLCULO]</f>
        <v>-117</v>
      </c>
      <c r="AA1024" s="79" t="str">
        <f>IF(tabPontoPed[MENSAL]-tabPontoPed[ATA MENSAL] = 0,"sim","")</f>
        <v/>
      </c>
      <c r="AB1024" s="79"/>
      <c r="AC1024" s="47" t="str">
        <f t="shared" si="15"/>
        <v>*</v>
      </c>
    </row>
    <row r="1025" spans="1:29" x14ac:dyDescent="0.25">
      <c r="A1025" s="36">
        <v>119627</v>
      </c>
      <c r="B1025" s="68" t="s">
        <v>118</v>
      </c>
      <c r="C1025" s="33" t="s">
        <v>1317</v>
      </c>
      <c r="D1025" s="32">
        <v>55</v>
      </c>
      <c r="E1025" s="37">
        <v>19</v>
      </c>
      <c r="F1025" s="38" t="str">
        <f>VLOOKUP(tabPontoPed[[#This Row],[GRUPO]],tabGrupos[#Data],2,FALSE)</f>
        <v>EQUIP. MAT. P/ GERACAO, TRANSM. DISTR. RETIF...</v>
      </c>
      <c r="G1025" s="32" t="str">
        <f>VLOOKUP(tabPontoPed[[#This Row],[GRUPO]],tabGrupos[#Data],3,FALSE)</f>
        <v>MEL</v>
      </c>
      <c r="H1025" s="33" t="s">
        <v>1311</v>
      </c>
      <c r="I1025" s="80">
        <v>4</v>
      </c>
      <c r="J1025" s="39">
        <v>150</v>
      </c>
      <c r="K1025" s="41">
        <f>tabPontoPed[[#This Row],[QTDMÊS]] * tabPontoPed[[#This Row],[MENSAL]]</f>
        <v>600</v>
      </c>
      <c r="L1025" s="83"/>
      <c r="M1025" s="81"/>
      <c r="N1025" s="34" t="s">
        <v>1009</v>
      </c>
      <c r="O1025" s="76" t="s">
        <v>1454</v>
      </c>
      <c r="P1025" s="77">
        <v>150</v>
      </c>
      <c r="Q1025" s="57">
        <v>330</v>
      </c>
      <c r="R1025" s="42">
        <v>135</v>
      </c>
      <c r="S1025" s="69" t="str">
        <f>_xlfn.IFNA(IF(VLOOKUP(tabPontoPed[[#This Row],[CÓDIGO]],tabExcluirDoEstoque[#Data],1,FALSE),"sim",""),"")</f>
        <v>sim</v>
      </c>
      <c r="T1025" s="43">
        <f>IF(AND(tabPontoPed[[#This Row],[MENSAL]]&gt;0,tabPontoPed[[#This Row],[CÁLCULO]]&gt;0), ABS( tabPontoPed[[#This Row],[MENSAL]] - tabPontoPed[[#This Row],[CÁLCULO]] ) / tabPontoPed[[#This Row],[MENSAL]], -1 )</f>
        <v>0.1</v>
      </c>
      <c r="U1025" s="58">
        <v>710</v>
      </c>
      <c r="V1025" s="35">
        <f>IF(AND(tabPontoPed[[#This Row],[MENSAL]]&gt;0,tabPontoPed[[#This Row],[CÁLCULO]]&gt;0), IF( tabPontoPed[[#This Row],[MENSAL]] - tabPontoPed[[#This Row],[CÁLCULO]] &lt; 0, -1, IF( tabPontoPed[[#This Row],[MENSAL]] - tabPontoPed[[#This Row],[CÁLCULO]] &gt; 0, 1, -8)), -9 )</f>
        <v>1</v>
      </c>
      <c r="W1025" s="35"/>
      <c r="X1025" s="49" t="s">
        <v>1564</v>
      </c>
      <c r="Y1025" s="51">
        <v>44391.599108796298</v>
      </c>
      <c r="Z1025" s="72">
        <f>tabPontoPed[CÁLC_4M] - tabPontoPed[CÁLCULO]</f>
        <v>195</v>
      </c>
      <c r="AA1025" s="79" t="str">
        <f>IF(tabPontoPed[MENSAL]-tabPontoPed[ATA MENSAL] = 0,"sim","")</f>
        <v>sim</v>
      </c>
      <c r="AB1025" s="79" t="s">
        <v>1614</v>
      </c>
      <c r="AC1025" s="47" t="str">
        <f t="shared" si="15"/>
        <v>*</v>
      </c>
    </row>
    <row r="1026" spans="1:29" ht="18.75" x14ac:dyDescent="0.25">
      <c r="A1026" s="36">
        <v>57444</v>
      </c>
      <c r="B1026" s="68" t="s">
        <v>9</v>
      </c>
      <c r="C1026" s="33" t="s">
        <v>1317</v>
      </c>
      <c r="D1026" s="32">
        <v>76</v>
      </c>
      <c r="E1026" s="37">
        <v>6</v>
      </c>
      <c r="F1026" s="38" t="str">
        <f>VLOOKUP(tabPontoPed[[#This Row],[GRUPO]],tabGrupos[#Data],2,FALSE)</f>
        <v>EQUIP. E MATERIAIS P/PINTURAS E IMPERMEABILIZACAO</v>
      </c>
      <c r="G1026" s="32" t="str">
        <f>VLOOKUP(tabPontoPed[[#This Row],[GRUPO]],tabGrupos[#Data],3,FALSE)</f>
        <v>MPI</v>
      </c>
      <c r="H1026" s="33" t="s">
        <v>1311</v>
      </c>
      <c r="I1026" s="80">
        <v>4</v>
      </c>
      <c r="J1026" s="39">
        <v>10</v>
      </c>
      <c r="K1026" s="41">
        <f>tabPontoPed[[#This Row],[QTDMÊS]] * tabPontoPed[[#This Row],[MENSAL]]</f>
        <v>40</v>
      </c>
      <c r="L1026" s="83"/>
      <c r="M1026" s="81"/>
      <c r="N1026" s="34" t="s">
        <v>1010</v>
      </c>
      <c r="O1026" s="76" t="s">
        <v>1433</v>
      </c>
      <c r="P1026" s="77"/>
      <c r="Q1026" s="57">
        <v>9</v>
      </c>
      <c r="R1026" s="42">
        <v>9</v>
      </c>
      <c r="S1026" s="69" t="str">
        <f>_xlfn.IFNA(IF(VLOOKUP(tabPontoPed[[#This Row],[CÓDIGO]],tabExcluirDoEstoque[#Data],1,FALSE),"sim",""),"")</f>
        <v>sim</v>
      </c>
      <c r="T1026" s="43">
        <f>IF(AND(tabPontoPed[[#This Row],[MENSAL]]&gt;0,tabPontoPed[[#This Row],[CÁLCULO]]&gt;0), ABS( tabPontoPed[[#This Row],[MENSAL]] - tabPontoPed[[#This Row],[CÁLCULO]] ) / tabPontoPed[[#This Row],[MENSAL]], -1 )</f>
        <v>0.1</v>
      </c>
      <c r="U1026" s="58"/>
      <c r="V1026" s="35">
        <f>IF(AND(tabPontoPed[[#This Row],[MENSAL]]&gt;0,tabPontoPed[[#This Row],[CÁLCULO]]&gt;0), IF( tabPontoPed[[#This Row],[MENSAL]] - tabPontoPed[[#This Row],[CÁLCULO]] &lt; 0, -1, IF( tabPontoPed[[#This Row],[MENSAL]] - tabPontoPed[[#This Row],[CÁLCULO]] &gt; 0, 1, -8)), -9 )</f>
        <v>1</v>
      </c>
      <c r="W1026" s="45"/>
      <c r="X1026" s="50" t="s">
        <v>1564</v>
      </c>
      <c r="Y1026" s="52">
        <v>44391.599108796298</v>
      </c>
      <c r="Z1026" s="73">
        <f>tabPontoPed[CÁLC_4M] - tabPontoPed[CÁLCULO]</f>
        <v>0</v>
      </c>
      <c r="AA1026" s="79" t="str">
        <f>IF(tabPontoPed[MENSAL]-tabPontoPed[ATA MENSAL] = 0,"sim","")</f>
        <v/>
      </c>
      <c r="AB1026" s="79"/>
      <c r="AC1026" s="47" t="str">
        <f t="shared" si="15"/>
        <v>*</v>
      </c>
    </row>
    <row r="1027" spans="1:29" x14ac:dyDescent="0.25">
      <c r="A1027" s="36">
        <v>31321</v>
      </c>
      <c r="B1027" s="68" t="s">
        <v>119</v>
      </c>
      <c r="C1027" s="33" t="s">
        <v>1317</v>
      </c>
      <c r="D1027" s="32">
        <v>55</v>
      </c>
      <c r="E1027" s="37">
        <v>19</v>
      </c>
      <c r="F1027" s="38" t="str">
        <f>VLOOKUP(tabPontoPed[[#This Row],[GRUPO]],tabGrupos[#Data],2,FALSE)</f>
        <v>EQUIP. MAT. P/ GERACAO, TRANSM. DISTR. RETIF...</v>
      </c>
      <c r="G1027" s="32" t="str">
        <f>VLOOKUP(tabPontoPed[[#This Row],[GRUPO]],tabGrupos[#Data],3,FALSE)</f>
        <v>MEL</v>
      </c>
      <c r="H1027" s="33" t="s">
        <v>1311</v>
      </c>
      <c r="I1027" s="80">
        <v>4</v>
      </c>
      <c r="J1027" s="39">
        <v>1884</v>
      </c>
      <c r="K1027" s="41">
        <f>tabPontoPed[[#This Row],[QTDMÊS]] * tabPontoPed[[#This Row],[MENSAL]]</f>
        <v>7536</v>
      </c>
      <c r="L1027" s="83"/>
      <c r="M1027" s="81"/>
      <c r="N1027" s="34" t="s">
        <v>1009</v>
      </c>
      <c r="O1027" s="76" t="s">
        <v>1454</v>
      </c>
      <c r="P1027" s="77">
        <v>1884</v>
      </c>
      <c r="Q1027" s="57">
        <v>1950</v>
      </c>
      <c r="R1027" s="42">
        <v>1717</v>
      </c>
      <c r="S1027" s="69" t="str">
        <f>_xlfn.IFNA(IF(VLOOKUP(tabPontoPed[[#This Row],[CÓDIGO]],tabExcluirDoEstoque[#Data],1,FALSE),"sim",""),"")</f>
        <v>sim</v>
      </c>
      <c r="T1027" s="43">
        <f>IF(AND(tabPontoPed[[#This Row],[MENSAL]]&gt;0,tabPontoPed[[#This Row],[CÁLCULO]]&gt;0), ABS( tabPontoPed[[#This Row],[MENSAL]] - tabPontoPed[[#This Row],[CÁLCULO]] ) / tabPontoPed[[#This Row],[MENSAL]], -1 )</f>
        <v>8.8641188959660291E-2</v>
      </c>
      <c r="U1027" s="58">
        <v>3300</v>
      </c>
      <c r="V1027" s="35">
        <f>IF(AND(tabPontoPed[[#This Row],[MENSAL]]&gt;0,tabPontoPed[[#This Row],[CÁLCULO]]&gt;0), IF( tabPontoPed[[#This Row],[MENSAL]] - tabPontoPed[[#This Row],[CÁLCULO]] &lt; 0, -1, IF( tabPontoPed[[#This Row],[MENSAL]] - tabPontoPed[[#This Row],[CÁLCULO]] &gt; 0, 1, -8)), -9 )</f>
        <v>1</v>
      </c>
      <c r="W1027" s="35"/>
      <c r="X1027" s="49" t="s">
        <v>1564</v>
      </c>
      <c r="Y1027" s="51">
        <v>44391.599108796298</v>
      </c>
      <c r="Z1027" s="72">
        <f>tabPontoPed[CÁLC_4M] - tabPontoPed[CÁLCULO]</f>
        <v>233</v>
      </c>
      <c r="AA1027" s="79" t="str">
        <f>IF(tabPontoPed[MENSAL]-tabPontoPed[ATA MENSAL] = 0,"sim","")</f>
        <v>sim</v>
      </c>
      <c r="AB1027" s="79" t="s">
        <v>1614</v>
      </c>
      <c r="AC1027" s="47" t="str">
        <f t="shared" ref="AC1027:AC1090" si="16">"*"</f>
        <v>*</v>
      </c>
    </row>
    <row r="1028" spans="1:29" x14ac:dyDescent="0.25">
      <c r="A1028" s="36">
        <v>82732</v>
      </c>
      <c r="B1028" s="68" t="s">
        <v>371</v>
      </c>
      <c r="C1028" s="33" t="s">
        <v>1317</v>
      </c>
      <c r="D1028" s="32">
        <v>55</v>
      </c>
      <c r="E1028" s="37">
        <v>54</v>
      </c>
      <c r="F1028" s="38" t="str">
        <f>VLOOKUP(tabPontoPed[[#This Row],[GRUPO]],tabGrupos[#Data],2,FALSE)</f>
        <v>EQUIP. MAT. P/ GERACAO, TRANSM. DISTR. RETIF...</v>
      </c>
      <c r="G1028" s="32" t="str">
        <f>VLOOKUP(tabPontoPed[[#This Row],[GRUPO]],tabGrupos[#Data],3,FALSE)</f>
        <v>MEL</v>
      </c>
      <c r="H1028" s="33" t="s">
        <v>1311</v>
      </c>
      <c r="I1028" s="80">
        <v>4</v>
      </c>
      <c r="J1028" s="39">
        <v>13</v>
      </c>
      <c r="K1028" s="41">
        <f>tabPontoPed[[#This Row],[QTDMÊS]] * tabPontoPed[[#This Row],[MENSAL]]</f>
        <v>52</v>
      </c>
      <c r="L1028" s="83"/>
      <c r="M1028" s="81"/>
      <c r="N1028" s="34" t="s">
        <v>1009</v>
      </c>
      <c r="O1028" s="76" t="s">
        <v>1603</v>
      </c>
      <c r="P1028" s="77">
        <v>42</v>
      </c>
      <c r="Q1028" s="57">
        <v>8</v>
      </c>
      <c r="R1028" s="42">
        <v>12</v>
      </c>
      <c r="S1028" s="69" t="str">
        <f>_xlfn.IFNA(IF(VLOOKUP(tabPontoPed[[#This Row],[CÓDIGO]],tabExcluirDoEstoque[#Data],1,FALSE),"sim",""),"")</f>
        <v>sim</v>
      </c>
      <c r="T1028" s="43">
        <f>IF(AND(tabPontoPed[[#This Row],[MENSAL]]&gt;0,tabPontoPed[[#This Row],[CÁLCULO]]&gt;0), ABS( tabPontoPed[[#This Row],[MENSAL]] - tabPontoPed[[#This Row],[CÁLCULO]] ) / tabPontoPed[[#This Row],[MENSAL]], -1 )</f>
        <v>7.6923076923076927E-2</v>
      </c>
      <c r="U1028" s="58">
        <v>29</v>
      </c>
      <c r="V1028" s="35">
        <f>IF(AND(tabPontoPed[[#This Row],[MENSAL]]&gt;0,tabPontoPed[[#This Row],[CÁLCULO]]&gt;0), IF( tabPontoPed[[#This Row],[MENSAL]] - tabPontoPed[[#This Row],[CÁLCULO]] &lt; 0, -1, IF( tabPontoPed[[#This Row],[MENSAL]] - tabPontoPed[[#This Row],[CÁLCULO]] &gt; 0, 1, -8)), -9 )</f>
        <v>1</v>
      </c>
      <c r="W1028" s="35"/>
      <c r="X1028" s="49" t="s">
        <v>1564</v>
      </c>
      <c r="Y1028" s="51">
        <v>44391.599108796298</v>
      </c>
      <c r="Z1028" s="72">
        <f>tabPontoPed[CÁLC_4M] - tabPontoPed[CÁLCULO]</f>
        <v>-4</v>
      </c>
      <c r="AA1028" s="79" t="str">
        <f>IF(tabPontoPed[MENSAL]-tabPontoPed[ATA MENSAL] = 0,"sim","")</f>
        <v/>
      </c>
      <c r="AB1028" s="79"/>
      <c r="AC1028" s="47" t="str">
        <f t="shared" si="16"/>
        <v>*</v>
      </c>
    </row>
    <row r="1029" spans="1:29" ht="18.75" x14ac:dyDescent="0.25">
      <c r="A1029" s="36">
        <v>24205</v>
      </c>
      <c r="B1029" s="68" t="s">
        <v>963</v>
      </c>
      <c r="C1029" s="33" t="s">
        <v>1317</v>
      </c>
      <c r="D1029" s="32">
        <v>76</v>
      </c>
      <c r="E1029" s="37">
        <v>11</v>
      </c>
      <c r="F1029" s="38" t="str">
        <f>VLOOKUP(tabPontoPed[[#This Row],[GRUPO]],tabGrupos[#Data],2,FALSE)</f>
        <v>EQUIP. E MATERIAIS P/PINTURAS E IMPERMEABILIZACAO</v>
      </c>
      <c r="G1029" s="32" t="str">
        <f>VLOOKUP(tabPontoPed[[#This Row],[GRUPO]],tabGrupos[#Data],3,FALSE)</f>
        <v>MPI</v>
      </c>
      <c r="H1029" s="33" t="s">
        <v>1311</v>
      </c>
      <c r="I1029" s="80">
        <v>4</v>
      </c>
      <c r="J1029" s="39">
        <v>40</v>
      </c>
      <c r="K1029" s="41">
        <f>tabPontoPed[[#This Row],[QTDMÊS]] * tabPontoPed[[#This Row],[MENSAL]]</f>
        <v>160</v>
      </c>
      <c r="L1029" s="83"/>
      <c r="M1029" s="81"/>
      <c r="N1029" s="34" t="s">
        <v>1009</v>
      </c>
      <c r="O1029" s="76" t="s">
        <v>1604</v>
      </c>
      <c r="P1029" s="77">
        <v>0</v>
      </c>
      <c r="Q1029" s="57">
        <v>32</v>
      </c>
      <c r="R1029" s="42">
        <v>37</v>
      </c>
      <c r="S1029" s="69" t="str">
        <f>_xlfn.IFNA(IF(VLOOKUP(tabPontoPed[[#This Row],[CÓDIGO]],tabExcluirDoEstoque[#Data],1,FALSE),"sim",""),"")</f>
        <v>sim</v>
      </c>
      <c r="T1029" s="43">
        <f>IF(AND(tabPontoPed[[#This Row],[MENSAL]]&gt;0,tabPontoPed[[#This Row],[CÁLCULO]]&gt;0), ABS( tabPontoPed[[#This Row],[MENSAL]] - tabPontoPed[[#This Row],[CÁLCULO]] ) / tabPontoPed[[#This Row],[MENSAL]], -1 )</f>
        <v>7.4999999999999997E-2</v>
      </c>
      <c r="U1029" s="58">
        <v>59</v>
      </c>
      <c r="V1029" s="35">
        <f>IF(AND(tabPontoPed[[#This Row],[MENSAL]]&gt;0,tabPontoPed[[#This Row],[CÁLCULO]]&gt;0), IF( tabPontoPed[[#This Row],[MENSAL]] - tabPontoPed[[#This Row],[CÁLCULO]] &lt; 0, -1, IF( tabPontoPed[[#This Row],[MENSAL]] - tabPontoPed[[#This Row],[CÁLCULO]] &gt; 0, 1, -8)), -9 )</f>
        <v>1</v>
      </c>
      <c r="W1029" s="45"/>
      <c r="X1029" s="50" t="s">
        <v>1564</v>
      </c>
      <c r="Y1029" s="52">
        <v>44391.599108796298</v>
      </c>
      <c r="Z1029" s="73">
        <f>tabPontoPed[CÁLC_4M] - tabPontoPed[CÁLCULO]</f>
        <v>-5</v>
      </c>
      <c r="AA1029" s="79" t="str">
        <f>IF(tabPontoPed[MENSAL]-tabPontoPed[ATA MENSAL] = 0,"sim","")</f>
        <v/>
      </c>
      <c r="AB1029" s="79"/>
      <c r="AC1029" s="47" t="str">
        <f t="shared" si="16"/>
        <v>*</v>
      </c>
    </row>
    <row r="1030" spans="1:29" x14ac:dyDescent="0.25">
      <c r="A1030" s="36">
        <v>124980</v>
      </c>
      <c r="B1030" s="68" t="s">
        <v>114</v>
      </c>
      <c r="C1030" s="33" t="s">
        <v>1317</v>
      </c>
      <c r="D1030" s="32">
        <v>55</v>
      </c>
      <c r="E1030" s="37">
        <v>19</v>
      </c>
      <c r="F1030" s="38" t="str">
        <f>VLOOKUP(tabPontoPed[[#This Row],[GRUPO]],tabGrupos[#Data],2,FALSE)</f>
        <v>EQUIP. MAT. P/ GERACAO, TRANSM. DISTR. RETIF...</v>
      </c>
      <c r="G1030" s="32" t="str">
        <f>VLOOKUP(tabPontoPed[[#This Row],[GRUPO]],tabGrupos[#Data],3,FALSE)</f>
        <v>MEL</v>
      </c>
      <c r="H1030" s="33" t="s">
        <v>1311</v>
      </c>
      <c r="I1030" s="80">
        <v>4</v>
      </c>
      <c r="J1030" s="39">
        <v>59</v>
      </c>
      <c r="K1030" s="41">
        <f>tabPontoPed[[#This Row],[QTDMÊS]] * tabPontoPed[[#This Row],[MENSAL]]</f>
        <v>236</v>
      </c>
      <c r="L1030" s="83"/>
      <c r="M1030" s="81"/>
      <c r="N1030" s="34" t="s">
        <v>1009</v>
      </c>
      <c r="O1030" s="76" t="s">
        <v>1454</v>
      </c>
      <c r="P1030" s="77">
        <v>17</v>
      </c>
      <c r="Q1030" s="57">
        <v>63</v>
      </c>
      <c r="R1030" s="42">
        <v>55</v>
      </c>
      <c r="S1030" s="69" t="str">
        <f>_xlfn.IFNA(IF(VLOOKUP(tabPontoPed[[#This Row],[CÓDIGO]],tabExcluirDoEstoque[#Data],1,FALSE),"sim",""),"")</f>
        <v>sim</v>
      </c>
      <c r="T1030" s="43">
        <f>IF(AND(tabPontoPed[[#This Row],[MENSAL]]&gt;0,tabPontoPed[[#This Row],[CÁLCULO]]&gt;0), ABS( tabPontoPed[[#This Row],[MENSAL]] - tabPontoPed[[#This Row],[CÁLCULO]] ) / tabPontoPed[[#This Row],[MENSAL]], -1 )</f>
        <v>6.7796610169491525E-2</v>
      </c>
      <c r="U1030" s="58">
        <v>150</v>
      </c>
      <c r="V1030" s="35">
        <f>IF(AND(tabPontoPed[[#This Row],[MENSAL]]&gt;0,tabPontoPed[[#This Row],[CÁLCULO]]&gt;0), IF( tabPontoPed[[#This Row],[MENSAL]] - tabPontoPed[[#This Row],[CÁLCULO]] &lt; 0, -1, IF( tabPontoPed[[#This Row],[MENSAL]] - tabPontoPed[[#This Row],[CÁLCULO]] &gt; 0, 1, -8)), -9 )</f>
        <v>1</v>
      </c>
      <c r="W1030" s="35"/>
      <c r="X1030" s="49" t="s">
        <v>1564</v>
      </c>
      <c r="Y1030" s="51">
        <v>44391.599108796298</v>
      </c>
      <c r="Z1030" s="72">
        <f>tabPontoPed[CÁLC_4M] - tabPontoPed[CÁLCULO]</f>
        <v>8</v>
      </c>
      <c r="AA1030" s="79" t="str">
        <f>IF(tabPontoPed[MENSAL]-tabPontoPed[ATA MENSAL] = 0,"sim","")</f>
        <v/>
      </c>
      <c r="AB1030" s="79"/>
      <c r="AC1030" s="47" t="str">
        <f t="shared" si="16"/>
        <v>*</v>
      </c>
    </row>
    <row r="1031" spans="1:29" x14ac:dyDescent="0.25">
      <c r="A1031" s="36">
        <v>124241</v>
      </c>
      <c r="B1031" s="68" t="s">
        <v>306</v>
      </c>
      <c r="C1031" s="33" t="s">
        <v>1317</v>
      </c>
      <c r="D1031" s="32">
        <v>61</v>
      </c>
      <c r="E1031" s="37">
        <v>10</v>
      </c>
      <c r="F1031" s="38" t="str">
        <f>VLOOKUP(tabPontoPed[[#This Row],[GRUPO]],tabGrupos[#Data],2,FALSE)</f>
        <v>MATERIAL HIDRAULICO, CANOS, TUBOS, MANGUEIRAS, CONEXOES E ACESS.</v>
      </c>
      <c r="G1031" s="32" t="str">
        <f>VLOOKUP(tabPontoPed[[#This Row],[GRUPO]],tabGrupos[#Data],3,FALSE)</f>
        <v>MHI</v>
      </c>
      <c r="H1031" s="33" t="s">
        <v>1311</v>
      </c>
      <c r="I1031" s="80">
        <v>4</v>
      </c>
      <c r="J1031" s="39">
        <v>15</v>
      </c>
      <c r="K1031" s="41">
        <f>tabPontoPed[[#This Row],[QTDMÊS]] * tabPontoPed[[#This Row],[MENSAL]]</f>
        <v>60</v>
      </c>
      <c r="L1031" s="83"/>
      <c r="M1031" s="81"/>
      <c r="N1031" s="34" t="s">
        <v>1010</v>
      </c>
      <c r="O1031" s="76" t="s">
        <v>1426</v>
      </c>
      <c r="P1031" s="77"/>
      <c r="Q1031" s="57">
        <v>11</v>
      </c>
      <c r="R1031" s="42">
        <v>14</v>
      </c>
      <c r="S1031" s="69" t="str">
        <f>_xlfn.IFNA(IF(VLOOKUP(tabPontoPed[[#This Row],[CÓDIGO]],tabExcluirDoEstoque[#Data],1,FALSE),"sim",""),"")</f>
        <v>sim</v>
      </c>
      <c r="T1031" s="43">
        <f>IF(AND(tabPontoPed[[#This Row],[MENSAL]]&gt;0,tabPontoPed[[#This Row],[CÁLCULO]]&gt;0), ABS( tabPontoPed[[#This Row],[MENSAL]] - tabPontoPed[[#This Row],[CÁLCULO]] ) / tabPontoPed[[#This Row],[MENSAL]], -1 )</f>
        <v>6.6666666666666666E-2</v>
      </c>
      <c r="U1031" s="58">
        <v>40</v>
      </c>
      <c r="V1031" s="35">
        <f>IF(AND(tabPontoPed[[#This Row],[MENSAL]]&gt;0,tabPontoPed[[#This Row],[CÁLCULO]]&gt;0), IF( tabPontoPed[[#This Row],[MENSAL]] - tabPontoPed[[#This Row],[CÁLCULO]] &lt; 0, -1, IF( tabPontoPed[[#This Row],[MENSAL]] - tabPontoPed[[#This Row],[CÁLCULO]] &gt; 0, 1, -8)), -9 )</f>
        <v>1</v>
      </c>
      <c r="W1031" s="35"/>
      <c r="X1031" s="48" t="s">
        <v>1564</v>
      </c>
      <c r="Y1031" s="53">
        <v>44391.599108796298</v>
      </c>
      <c r="Z1031" s="72">
        <f>tabPontoPed[CÁLC_4M] - tabPontoPed[CÁLCULO]</f>
        <v>-3</v>
      </c>
      <c r="AA1031" s="79" t="str">
        <f>IF(tabPontoPed[MENSAL]-tabPontoPed[ATA MENSAL] = 0,"sim","")</f>
        <v/>
      </c>
      <c r="AB1031" s="79"/>
      <c r="AC1031" s="47" t="str">
        <f t="shared" si="16"/>
        <v>*</v>
      </c>
    </row>
    <row r="1032" spans="1:29" ht="18.75" x14ac:dyDescent="0.25">
      <c r="A1032" s="36">
        <v>135238</v>
      </c>
      <c r="B1032" s="68" t="s">
        <v>229</v>
      </c>
      <c r="C1032" s="33" t="s">
        <v>1317</v>
      </c>
      <c r="D1032" s="32">
        <v>76</v>
      </c>
      <c r="E1032" s="37">
        <v>3</v>
      </c>
      <c r="F1032" s="38" t="str">
        <f>VLOOKUP(tabPontoPed[[#This Row],[GRUPO]],tabGrupos[#Data],2,FALSE)</f>
        <v>EQUIP. E MATERIAIS P/PINTURAS E IMPERMEABILIZACAO</v>
      </c>
      <c r="G1032" s="32" t="str">
        <f>VLOOKUP(tabPontoPed[[#This Row],[GRUPO]],tabGrupos[#Data],3,FALSE)</f>
        <v>MPI</v>
      </c>
      <c r="H1032" s="33" t="s">
        <v>1311</v>
      </c>
      <c r="I1032" s="80">
        <v>4</v>
      </c>
      <c r="J1032" s="39">
        <v>61</v>
      </c>
      <c r="K1032" s="41">
        <f>tabPontoPed[[#This Row],[QTDMÊS]] * tabPontoPed[[#This Row],[MENSAL]]</f>
        <v>244</v>
      </c>
      <c r="L1032" s="83"/>
      <c r="M1032" s="81"/>
      <c r="N1032" s="34" t="s">
        <v>1009</v>
      </c>
      <c r="O1032" s="76" t="s">
        <v>1498</v>
      </c>
      <c r="P1032" s="77">
        <v>84</v>
      </c>
      <c r="Q1032" s="57">
        <v>49</v>
      </c>
      <c r="R1032" s="42">
        <v>58</v>
      </c>
      <c r="S1032" s="69" t="str">
        <f>_xlfn.IFNA(IF(VLOOKUP(tabPontoPed[[#This Row],[CÓDIGO]],tabExcluirDoEstoque[#Data],1,FALSE),"sim",""),"")</f>
        <v>sim</v>
      </c>
      <c r="T1032" s="43">
        <f>IF(AND(tabPontoPed[[#This Row],[MENSAL]]&gt;0,tabPontoPed[[#This Row],[CÁLCULO]]&gt;0), ABS( tabPontoPed[[#This Row],[MENSAL]] - tabPontoPed[[#This Row],[CÁLCULO]] ) / tabPontoPed[[#This Row],[MENSAL]], -1 )</f>
        <v>4.9180327868852458E-2</v>
      </c>
      <c r="U1032" s="58">
        <v>104</v>
      </c>
      <c r="V1032" s="35">
        <f>IF(AND(tabPontoPed[[#This Row],[MENSAL]]&gt;0,tabPontoPed[[#This Row],[CÁLCULO]]&gt;0), IF( tabPontoPed[[#This Row],[MENSAL]] - tabPontoPed[[#This Row],[CÁLCULO]] &lt; 0, -1, IF( tabPontoPed[[#This Row],[MENSAL]] - tabPontoPed[[#This Row],[CÁLCULO]] &gt; 0, 1, -8)), -9 )</f>
        <v>1</v>
      </c>
      <c r="W1032" s="45"/>
      <c r="X1032" s="48" t="s">
        <v>1564</v>
      </c>
      <c r="Y1032" s="53">
        <v>44391.599108796298</v>
      </c>
      <c r="Z1032" s="72">
        <f>tabPontoPed[CÁLC_4M] - tabPontoPed[CÁLCULO]</f>
        <v>-9</v>
      </c>
      <c r="AA1032" s="79" t="str">
        <f>IF(tabPontoPed[MENSAL]-tabPontoPed[ATA MENSAL] = 0,"sim","")</f>
        <v/>
      </c>
      <c r="AB1032" s="79"/>
      <c r="AC1032" s="47" t="str">
        <f t="shared" si="16"/>
        <v>*</v>
      </c>
    </row>
    <row r="1033" spans="1:29" x14ac:dyDescent="0.25">
      <c r="A1033" s="36">
        <v>136911</v>
      </c>
      <c r="B1033" s="68" t="s">
        <v>1486</v>
      </c>
      <c r="C1033" s="33"/>
      <c r="D1033" s="32">
        <v>55</v>
      </c>
      <c r="E1033" s="37">
        <v>19</v>
      </c>
      <c r="F1033" s="38" t="str">
        <f>VLOOKUP(tabPontoPed[[#This Row],[GRUPO]],tabGrupos[#Data],2,FALSE)</f>
        <v>EQUIP. MAT. P/ GERACAO, TRANSM. DISTR. RETIF...</v>
      </c>
      <c r="G1033" s="32" t="str">
        <f>VLOOKUP(tabPontoPed[[#This Row],[GRUPO]],tabGrupos[#Data],3,FALSE)</f>
        <v>MEL</v>
      </c>
      <c r="H1033" s="33" t="s">
        <v>1311</v>
      </c>
      <c r="I1033" s="80">
        <v>4</v>
      </c>
      <c r="J1033" s="39">
        <v>298</v>
      </c>
      <c r="K1033" s="41">
        <f>tabPontoPed[[#This Row],[QTDMÊS]] * tabPontoPed[[#This Row],[MENSAL]]</f>
        <v>1192</v>
      </c>
      <c r="L1033" s="83"/>
      <c r="M1033" s="81"/>
      <c r="N1033" s="34" t="s">
        <v>1009</v>
      </c>
      <c r="O1033" s="76" t="s">
        <v>1573</v>
      </c>
      <c r="P1033" s="77">
        <v>209</v>
      </c>
      <c r="Q1033" s="57">
        <v>335</v>
      </c>
      <c r="R1033" s="42">
        <v>285</v>
      </c>
      <c r="S1033" s="69" t="str">
        <f>_xlfn.IFNA(IF(VLOOKUP(tabPontoPed[[#This Row],[CÓDIGO]],tabExcluirDoEstoque[#Data],1,FALSE),"sim",""),"")</f>
        <v>sim</v>
      </c>
      <c r="T1033" s="43">
        <f>IF(AND(tabPontoPed[[#This Row],[MENSAL]]&gt;0,tabPontoPed[[#This Row],[CÁLCULO]]&gt;0), ABS( tabPontoPed[[#This Row],[MENSAL]] - tabPontoPed[[#This Row],[CÁLCULO]] ) / tabPontoPed[[#This Row],[MENSAL]], -1 )</f>
        <v>4.3624161073825503E-2</v>
      </c>
      <c r="U1033" s="58">
        <v>500</v>
      </c>
      <c r="V1033" s="35">
        <f>IF(AND(tabPontoPed[[#This Row],[MENSAL]]&gt;0,tabPontoPed[[#This Row],[CÁLCULO]]&gt;0), IF( tabPontoPed[[#This Row],[MENSAL]] - tabPontoPed[[#This Row],[CÁLCULO]] &lt; 0, -1, IF( tabPontoPed[[#This Row],[MENSAL]] - tabPontoPed[[#This Row],[CÁLCULO]] &gt; 0, 1, -8)), -9 )</f>
        <v>1</v>
      </c>
      <c r="W1033" s="35"/>
      <c r="X1033" s="49" t="s">
        <v>1564</v>
      </c>
      <c r="Y1033" s="51">
        <v>44391.599108796298</v>
      </c>
      <c r="Z1033" s="72">
        <f>tabPontoPed[CÁLC_4M] - tabPontoPed[CÁLCULO]</f>
        <v>50</v>
      </c>
      <c r="AA1033" s="79" t="str">
        <f>IF(tabPontoPed[MENSAL]-tabPontoPed[ATA MENSAL] = 0,"sim","")</f>
        <v/>
      </c>
      <c r="AB1033" s="79"/>
      <c r="AC1033" s="47" t="str">
        <f t="shared" si="16"/>
        <v>*</v>
      </c>
    </row>
    <row r="1034" spans="1:29" x14ac:dyDescent="0.25">
      <c r="A1034" s="36">
        <v>110503</v>
      </c>
      <c r="B1034" s="68" t="s">
        <v>216</v>
      </c>
      <c r="C1034" s="33" t="s">
        <v>1317</v>
      </c>
      <c r="D1034" s="32">
        <v>52</v>
      </c>
      <c r="E1034" s="37">
        <v>6</v>
      </c>
      <c r="F1034" s="38" t="str">
        <f>VLOOKUP(tabPontoPed[[#This Row],[GRUPO]],tabGrupos[#Data],2,FALSE)</f>
        <v>EQUIP.E MAT. P/REFEITORIO, COPA E COZINHA</v>
      </c>
      <c r="G1034" s="32" t="str">
        <f>VLOOKUP(tabPontoPed[[#This Row],[GRUPO]],tabGrupos[#Data],3,FALSE)</f>
        <v>ADM</v>
      </c>
      <c r="H1034" s="33" t="s">
        <v>1311</v>
      </c>
      <c r="I1034" s="80">
        <v>4</v>
      </c>
      <c r="J1034" s="39">
        <v>400</v>
      </c>
      <c r="K1034" s="41">
        <f>tabPontoPed[[#This Row],[QTDMÊS]] * tabPontoPed[[#This Row],[MENSAL]]</f>
        <v>1600</v>
      </c>
      <c r="L1034" s="83"/>
      <c r="M1034" s="81"/>
      <c r="N1034" s="34" t="s">
        <v>1009</v>
      </c>
      <c r="O1034" s="76" t="s">
        <v>1439</v>
      </c>
      <c r="P1034" s="77"/>
      <c r="Q1034" s="57">
        <v>415</v>
      </c>
      <c r="R1034" s="42">
        <v>384</v>
      </c>
      <c r="S1034" s="69" t="str">
        <f>_xlfn.IFNA(IF(VLOOKUP(tabPontoPed[[#This Row],[CÓDIGO]],tabExcluirDoEstoque[#Data],1,FALSE),"sim",""),"")</f>
        <v>sim</v>
      </c>
      <c r="T1034" s="43">
        <f>IF(AND(tabPontoPed[[#This Row],[MENSAL]]&gt;0,tabPontoPed[[#This Row],[CÁLCULO]]&gt;0), ABS( tabPontoPed[[#This Row],[MENSAL]] - tabPontoPed[[#This Row],[CÁLCULO]] ) / tabPontoPed[[#This Row],[MENSAL]], -1 )</f>
        <v>0.04</v>
      </c>
      <c r="U1034" s="58">
        <v>1760</v>
      </c>
      <c r="V1034" s="35">
        <f>IF(AND(tabPontoPed[[#This Row],[MENSAL]]&gt;0,tabPontoPed[[#This Row],[CÁLCULO]]&gt;0), IF( tabPontoPed[[#This Row],[MENSAL]] - tabPontoPed[[#This Row],[CÁLCULO]] &lt; 0, -1, IF( tabPontoPed[[#This Row],[MENSAL]] - tabPontoPed[[#This Row],[CÁLCULO]] &gt; 0, 1, -8)), -9 )</f>
        <v>1</v>
      </c>
      <c r="W1034" s="35"/>
      <c r="X1034" s="48" t="s">
        <v>1564</v>
      </c>
      <c r="Y1034" s="53">
        <v>44391.599108796298</v>
      </c>
      <c r="Z1034" s="72">
        <f>tabPontoPed[CÁLC_4M] - tabPontoPed[CÁLCULO]</f>
        <v>31</v>
      </c>
      <c r="AA1034" s="79" t="str">
        <f>IF(tabPontoPed[MENSAL]-tabPontoPed[ATA MENSAL] = 0,"sim","")</f>
        <v/>
      </c>
      <c r="AB1034" s="79"/>
      <c r="AC1034" s="47" t="str">
        <f t="shared" si="16"/>
        <v>*</v>
      </c>
    </row>
    <row r="1035" spans="1:29" x14ac:dyDescent="0.25">
      <c r="A1035" s="36">
        <v>65748</v>
      </c>
      <c r="B1035" s="68" t="s">
        <v>121</v>
      </c>
      <c r="C1035" s="33" t="s">
        <v>1317</v>
      </c>
      <c r="D1035" s="32">
        <v>55</v>
      </c>
      <c r="E1035" s="37">
        <v>19</v>
      </c>
      <c r="F1035" s="38" t="str">
        <f>VLOOKUP(tabPontoPed[[#This Row],[GRUPO]],tabGrupos[#Data],2,FALSE)</f>
        <v>EQUIP. MAT. P/ GERACAO, TRANSM. DISTR. RETIF...</v>
      </c>
      <c r="G1035" s="32" t="str">
        <f>VLOOKUP(tabPontoPed[[#This Row],[GRUPO]],tabGrupos[#Data],3,FALSE)</f>
        <v>MEL</v>
      </c>
      <c r="H1035" s="33" t="s">
        <v>1311</v>
      </c>
      <c r="I1035" s="80">
        <v>4</v>
      </c>
      <c r="J1035" s="39">
        <v>567</v>
      </c>
      <c r="K1035" s="41">
        <f>tabPontoPed[[#This Row],[QTDMÊS]] * tabPontoPed[[#This Row],[MENSAL]]</f>
        <v>2268</v>
      </c>
      <c r="L1035" s="83"/>
      <c r="M1035" s="81"/>
      <c r="N1035" s="34" t="s">
        <v>1009</v>
      </c>
      <c r="O1035" s="76" t="s">
        <v>1454</v>
      </c>
      <c r="P1035" s="77">
        <v>567</v>
      </c>
      <c r="Q1035" s="57">
        <v>650</v>
      </c>
      <c r="R1035" s="42">
        <v>550</v>
      </c>
      <c r="S1035" s="69" t="str">
        <f>_xlfn.IFNA(IF(VLOOKUP(tabPontoPed[[#This Row],[CÓDIGO]],tabExcluirDoEstoque[#Data],1,FALSE),"sim",""),"")</f>
        <v>sim</v>
      </c>
      <c r="T1035" s="43">
        <f>IF(AND(tabPontoPed[[#This Row],[MENSAL]]&gt;0,tabPontoPed[[#This Row],[CÁLCULO]]&gt;0), ABS( tabPontoPed[[#This Row],[MENSAL]] - tabPontoPed[[#This Row],[CÁLCULO]] ) / tabPontoPed[[#This Row],[MENSAL]], -1 )</f>
        <v>2.9982363315696647E-2</v>
      </c>
      <c r="U1035" s="58">
        <v>1000</v>
      </c>
      <c r="V1035" s="35">
        <f>IF(AND(tabPontoPed[[#This Row],[MENSAL]]&gt;0,tabPontoPed[[#This Row],[CÁLCULO]]&gt;0), IF( tabPontoPed[[#This Row],[MENSAL]] - tabPontoPed[[#This Row],[CÁLCULO]] &lt; 0, -1, IF( tabPontoPed[[#This Row],[MENSAL]] - tabPontoPed[[#This Row],[CÁLCULO]] &gt; 0, 1, -8)), -9 )</f>
        <v>1</v>
      </c>
      <c r="W1035" s="35"/>
      <c r="X1035" s="49" t="s">
        <v>1564</v>
      </c>
      <c r="Y1035" s="51">
        <v>44391.599108796298</v>
      </c>
      <c r="Z1035" s="72">
        <f>tabPontoPed[CÁLC_4M] - tabPontoPed[CÁLCULO]</f>
        <v>100</v>
      </c>
      <c r="AA1035" s="79" t="str">
        <f>IF(tabPontoPed[MENSAL]-tabPontoPed[ATA MENSAL] = 0,"sim","")</f>
        <v>sim</v>
      </c>
      <c r="AB1035" s="79" t="s">
        <v>1614</v>
      </c>
      <c r="AC1035" s="47" t="str">
        <f t="shared" si="16"/>
        <v>*</v>
      </c>
    </row>
    <row r="1036" spans="1:29" x14ac:dyDescent="0.25">
      <c r="A1036" s="36">
        <v>13053</v>
      </c>
      <c r="B1036" s="68" t="s">
        <v>374</v>
      </c>
      <c r="C1036" s="33" t="s">
        <v>1317</v>
      </c>
      <c r="D1036" s="32">
        <v>55</v>
      </c>
      <c r="E1036" s="37">
        <v>57</v>
      </c>
      <c r="F1036" s="38" t="str">
        <f>VLOOKUP(tabPontoPed[[#This Row],[GRUPO]],tabGrupos[#Data],2,FALSE)</f>
        <v>EQUIP. MAT. P/ GERACAO, TRANSM. DISTR. RETIF...</v>
      </c>
      <c r="G1036" s="32" t="str">
        <f>VLOOKUP(tabPontoPed[[#This Row],[GRUPO]],tabGrupos[#Data],3,FALSE)</f>
        <v>MEL</v>
      </c>
      <c r="H1036" s="33" t="s">
        <v>1311</v>
      </c>
      <c r="I1036" s="80">
        <v>4</v>
      </c>
      <c r="J1036" s="39">
        <v>72</v>
      </c>
      <c r="K1036" s="41">
        <f>tabPontoPed[[#This Row],[QTDMÊS]] * tabPontoPed[[#This Row],[MENSAL]]</f>
        <v>288</v>
      </c>
      <c r="L1036" s="83"/>
      <c r="M1036" s="81"/>
      <c r="N1036" s="34" t="s">
        <v>1010</v>
      </c>
      <c r="O1036" s="76" t="s">
        <v>1430</v>
      </c>
      <c r="P1036" s="77"/>
      <c r="Q1036" s="57">
        <v>34</v>
      </c>
      <c r="R1036" s="42">
        <v>70</v>
      </c>
      <c r="S1036" s="69" t="str">
        <f>_xlfn.IFNA(IF(VLOOKUP(tabPontoPed[[#This Row],[CÓDIGO]],tabExcluirDoEstoque[#Data],1,FALSE),"sim",""),"")</f>
        <v>sim</v>
      </c>
      <c r="T1036" s="43">
        <f>IF(AND(tabPontoPed[[#This Row],[MENSAL]]&gt;0,tabPontoPed[[#This Row],[CÁLCULO]]&gt;0), ABS( tabPontoPed[[#This Row],[MENSAL]] - tabPontoPed[[#This Row],[CÁLCULO]] ) / tabPontoPed[[#This Row],[MENSAL]], -1 )</f>
        <v>2.7777777777777776E-2</v>
      </c>
      <c r="U1036" s="58">
        <v>190</v>
      </c>
      <c r="V1036" s="35">
        <f>IF(AND(tabPontoPed[[#This Row],[MENSAL]]&gt;0,tabPontoPed[[#This Row],[CÁLCULO]]&gt;0), IF( tabPontoPed[[#This Row],[MENSAL]] - tabPontoPed[[#This Row],[CÁLCULO]] &lt; 0, -1, IF( tabPontoPed[[#This Row],[MENSAL]] - tabPontoPed[[#This Row],[CÁLCULO]] &gt; 0, 1, -8)), -9 )</f>
        <v>1</v>
      </c>
      <c r="W1036" s="35"/>
      <c r="X1036" s="48" t="s">
        <v>1564</v>
      </c>
      <c r="Y1036" s="53">
        <v>44391.599108796298</v>
      </c>
      <c r="Z1036" s="72">
        <f>tabPontoPed[CÁLC_4M] - tabPontoPed[CÁLCULO]</f>
        <v>-36</v>
      </c>
      <c r="AA1036" s="79" t="str">
        <f>IF(tabPontoPed[MENSAL]-tabPontoPed[ATA MENSAL] = 0,"sim","")</f>
        <v/>
      </c>
      <c r="AB1036" s="79"/>
      <c r="AC1036" s="47" t="str">
        <f t="shared" si="16"/>
        <v>*</v>
      </c>
    </row>
    <row r="1037" spans="1:29" x14ac:dyDescent="0.25">
      <c r="A1037" s="36">
        <v>13175</v>
      </c>
      <c r="B1037" s="68" t="s">
        <v>781</v>
      </c>
      <c r="C1037" s="33" t="s">
        <v>1317</v>
      </c>
      <c r="D1037" s="32">
        <v>61</v>
      </c>
      <c r="E1037" s="37">
        <v>14</v>
      </c>
      <c r="F1037" s="38" t="str">
        <f>VLOOKUP(tabPontoPed[[#This Row],[GRUPO]],tabGrupos[#Data],2,FALSE)</f>
        <v>MATERIAL HIDRAULICO, CANOS, TUBOS, MANGUEIRAS, CONEXOES E ACESS.</v>
      </c>
      <c r="G1037" s="32" t="str">
        <f>VLOOKUP(tabPontoPed[[#This Row],[GRUPO]],tabGrupos[#Data],3,FALSE)</f>
        <v>MHI</v>
      </c>
      <c r="H1037" s="33" t="s">
        <v>1311</v>
      </c>
      <c r="I1037" s="80">
        <v>4</v>
      </c>
      <c r="J1037" s="39">
        <v>45</v>
      </c>
      <c r="K1037" s="41">
        <f>tabPontoPed[[#This Row],[QTDMÊS]] * tabPontoPed[[#This Row],[MENSAL]]</f>
        <v>180</v>
      </c>
      <c r="L1037" s="83"/>
      <c r="M1037" s="81"/>
      <c r="N1037" s="34" t="s">
        <v>1009</v>
      </c>
      <c r="O1037" s="76" t="s">
        <v>1482</v>
      </c>
      <c r="P1037" s="77">
        <v>36</v>
      </c>
      <c r="Q1037" s="57">
        <v>30</v>
      </c>
      <c r="R1037" s="42">
        <v>44</v>
      </c>
      <c r="S1037" s="69" t="str">
        <f>_xlfn.IFNA(IF(VLOOKUP(tabPontoPed[[#This Row],[CÓDIGO]],tabExcluirDoEstoque[#Data],1,FALSE),"sim",""),"")</f>
        <v>sim</v>
      </c>
      <c r="T1037" s="43">
        <f>IF(AND(tabPontoPed[[#This Row],[MENSAL]]&gt;0,tabPontoPed[[#This Row],[CÁLCULO]]&gt;0), ABS( tabPontoPed[[#This Row],[MENSAL]] - tabPontoPed[[#This Row],[CÁLCULO]] ) / tabPontoPed[[#This Row],[MENSAL]], -1 )</f>
        <v>2.2222222222222223E-2</v>
      </c>
      <c r="U1037" s="58">
        <v>96</v>
      </c>
      <c r="V1037" s="35">
        <f>IF(AND(tabPontoPed[[#This Row],[MENSAL]]&gt;0,tabPontoPed[[#This Row],[CÁLCULO]]&gt;0), IF( tabPontoPed[[#This Row],[MENSAL]] - tabPontoPed[[#This Row],[CÁLCULO]] &lt; 0, -1, IF( tabPontoPed[[#This Row],[MENSAL]] - tabPontoPed[[#This Row],[CÁLCULO]] &gt; 0, 1, -8)), -9 )</f>
        <v>1</v>
      </c>
      <c r="W1037" s="35"/>
      <c r="X1037" s="48" t="s">
        <v>1564</v>
      </c>
      <c r="Y1037" s="53">
        <v>44391.599108796298</v>
      </c>
      <c r="Z1037" s="72">
        <f>tabPontoPed[CÁLC_4M] - tabPontoPed[CÁLCULO]</f>
        <v>-14</v>
      </c>
      <c r="AA1037" s="79" t="str">
        <f>IF(tabPontoPed[MENSAL]-tabPontoPed[ATA MENSAL] = 0,"sim","")</f>
        <v/>
      </c>
      <c r="AB1037" s="79"/>
      <c r="AC1037" s="47" t="str">
        <f t="shared" si="16"/>
        <v>*</v>
      </c>
    </row>
    <row r="1038" spans="1:29" x14ac:dyDescent="0.25">
      <c r="A1038" s="36">
        <v>133851</v>
      </c>
      <c r="B1038" s="68" t="s">
        <v>67</v>
      </c>
      <c r="C1038" s="33" t="s">
        <v>1317</v>
      </c>
      <c r="D1038" s="32">
        <v>57</v>
      </c>
      <c r="E1038" s="37">
        <v>2</v>
      </c>
      <c r="F1038" s="38" t="str">
        <f>VLOOKUP(tabPontoPed[[#This Row],[GRUPO]],tabGrupos[#Data],2,FALSE)</f>
        <v>MAQ. E EQUIP. P/ IND. GRAFICA COMP. ACESS. E PAPEI</v>
      </c>
      <c r="G1038" s="32" t="str">
        <f>VLOOKUP(tabPontoPed[[#This Row],[GRUPO]],tabGrupos[#Data],3,FALSE)</f>
        <v>EDU</v>
      </c>
      <c r="H1038" s="33" t="s">
        <v>1311</v>
      </c>
      <c r="I1038" s="80">
        <v>4</v>
      </c>
      <c r="J1038" s="39">
        <v>62</v>
      </c>
      <c r="K1038" s="41">
        <f>tabPontoPed[[#This Row],[QTDMÊS]] * tabPontoPed[[#This Row],[MENSAL]]</f>
        <v>248</v>
      </c>
      <c r="L1038" s="83"/>
      <c r="M1038" s="81"/>
      <c r="N1038" s="34" t="s">
        <v>1010</v>
      </c>
      <c r="O1038" s="76" t="s">
        <v>1432</v>
      </c>
      <c r="P1038" s="77"/>
      <c r="Q1038" s="57">
        <v>63</v>
      </c>
      <c r="R1038" s="42">
        <v>63</v>
      </c>
      <c r="S1038" s="69" t="str">
        <f>_xlfn.IFNA(IF(VLOOKUP(tabPontoPed[[#This Row],[CÓDIGO]],tabExcluirDoEstoque[#Data],1,FALSE),"sim",""),"")</f>
        <v>sim</v>
      </c>
      <c r="T1038" s="43">
        <f>IF(AND(tabPontoPed[[#This Row],[MENSAL]]&gt;0,tabPontoPed[[#This Row],[CÁLCULO]]&gt;0), ABS( tabPontoPed[[#This Row],[MENSAL]] - tabPontoPed[[#This Row],[CÁLCULO]] ) / tabPontoPed[[#This Row],[MENSAL]], -1 )</f>
        <v>1.6129032258064516E-2</v>
      </c>
      <c r="U1038" s="58"/>
      <c r="V1038" s="35">
        <f>IF(AND(tabPontoPed[[#This Row],[MENSAL]]&gt;0,tabPontoPed[[#This Row],[CÁLCULO]]&gt;0), IF( tabPontoPed[[#This Row],[MENSAL]] - tabPontoPed[[#This Row],[CÁLCULO]] &lt; 0, -1, IF( tabPontoPed[[#This Row],[MENSAL]] - tabPontoPed[[#This Row],[CÁLCULO]] &gt; 0, 1, -8)), -9 )</f>
        <v>-1</v>
      </c>
      <c r="W1038" s="35"/>
      <c r="X1038" s="48" t="s">
        <v>1564</v>
      </c>
      <c r="Y1038" s="53">
        <v>44391.599108796298</v>
      </c>
      <c r="Z1038" s="72">
        <f>tabPontoPed[CÁLC_4M] - tabPontoPed[CÁLCULO]</f>
        <v>0</v>
      </c>
      <c r="AA1038" s="79" t="str">
        <f>IF(tabPontoPed[MENSAL]-tabPontoPed[ATA MENSAL] = 0,"sim","")</f>
        <v/>
      </c>
      <c r="AB1038" s="79"/>
      <c r="AC1038" s="47" t="str">
        <f t="shared" si="16"/>
        <v>*</v>
      </c>
    </row>
    <row r="1039" spans="1:29" x14ac:dyDescent="0.25">
      <c r="A1039" s="36">
        <v>105116</v>
      </c>
      <c r="B1039" s="68" t="s">
        <v>799</v>
      </c>
      <c r="C1039" s="33" t="s">
        <v>1317</v>
      </c>
      <c r="D1039" s="32">
        <v>62</v>
      </c>
      <c r="E1039" s="37">
        <v>1</v>
      </c>
      <c r="F1039" s="38" t="str">
        <f>VLOOKUP(tabPontoPed[[#This Row],[GRUPO]],tabGrupos[#Data],2,FALSE)</f>
        <v>VEST., ART.P/ TOUC.E HIG. PES. MAQ., EQUIP., MAT.E ACES.</v>
      </c>
      <c r="G1039" s="32" t="str">
        <f>VLOOKUP(tabPontoPed[[#This Row],[GRUPO]],tabGrupos[#Data],3,FALSE)</f>
        <v>ADM</v>
      </c>
      <c r="H1039" s="33" t="s">
        <v>1311</v>
      </c>
      <c r="I1039" s="80">
        <v>4</v>
      </c>
      <c r="J1039" s="39">
        <v>1</v>
      </c>
      <c r="K1039" s="41">
        <f>tabPontoPed[[#This Row],[QTDMÊS]] * tabPontoPed[[#This Row],[MENSAL]]</f>
        <v>4</v>
      </c>
      <c r="L1039" s="83"/>
      <c r="M1039" s="81"/>
      <c r="N1039" s="34" t="s">
        <v>1009</v>
      </c>
      <c r="O1039" s="76"/>
      <c r="P1039" s="77">
        <v>0</v>
      </c>
      <c r="Q1039" s="57">
        <v>1</v>
      </c>
      <c r="R1039" s="42">
        <v>1</v>
      </c>
      <c r="S1039" s="69" t="str">
        <f>_xlfn.IFNA(IF(VLOOKUP(tabPontoPed[[#This Row],[CÓDIGO]],tabExcluirDoEstoque[#Data],1,FALSE),"sim",""),"")</f>
        <v>sim</v>
      </c>
      <c r="T1039" s="43">
        <f>IF(AND(tabPontoPed[[#This Row],[MENSAL]]&gt;0,tabPontoPed[[#This Row],[CÁLCULO]]&gt;0), ABS( tabPontoPed[[#This Row],[MENSAL]] - tabPontoPed[[#This Row],[CÁLCULO]] ) / tabPontoPed[[#This Row],[MENSAL]], -1 )</f>
        <v>0</v>
      </c>
      <c r="U1039" s="58">
        <v>2</v>
      </c>
      <c r="V1039" s="35">
        <f>IF(AND(tabPontoPed[[#This Row],[MENSAL]]&gt;0,tabPontoPed[[#This Row],[CÁLCULO]]&gt;0), IF( tabPontoPed[[#This Row],[MENSAL]] - tabPontoPed[[#This Row],[CÁLCULO]] &lt; 0, -1, IF( tabPontoPed[[#This Row],[MENSAL]] - tabPontoPed[[#This Row],[CÁLCULO]] &gt; 0, 1, -8)), -9 )</f>
        <v>-8</v>
      </c>
      <c r="W1039" s="35"/>
      <c r="X1039" s="49" t="s">
        <v>1564</v>
      </c>
      <c r="Y1039" s="51">
        <v>44391.599108796298</v>
      </c>
      <c r="Z1039" s="72">
        <f>tabPontoPed[CÁLC_4M] - tabPontoPed[CÁLCULO]</f>
        <v>0</v>
      </c>
      <c r="AA1039" s="79" t="str">
        <f>IF(tabPontoPed[MENSAL]-tabPontoPed[ATA MENSAL] = 0,"sim","")</f>
        <v/>
      </c>
      <c r="AB1039" s="79"/>
      <c r="AC1039" s="47" t="str">
        <f t="shared" si="16"/>
        <v>*</v>
      </c>
    </row>
    <row r="1040" spans="1:29" x14ac:dyDescent="0.25">
      <c r="A1040" s="36">
        <v>94617</v>
      </c>
      <c r="B1040" s="68" t="s">
        <v>804</v>
      </c>
      <c r="C1040" s="33" t="s">
        <v>1317</v>
      </c>
      <c r="D1040" s="32">
        <v>62</v>
      </c>
      <c r="E1040" s="37">
        <v>4</v>
      </c>
      <c r="F1040" s="38" t="str">
        <f>VLOOKUP(tabPontoPed[[#This Row],[GRUPO]],tabGrupos[#Data],2,FALSE)</f>
        <v>VEST., ART.P/ TOUC.E HIG. PES. MAQ., EQUIP., MAT.E ACES.</v>
      </c>
      <c r="G1040" s="32" t="str">
        <f>VLOOKUP(tabPontoPed[[#This Row],[GRUPO]],tabGrupos[#Data],3,FALSE)</f>
        <v>ADM</v>
      </c>
      <c r="H1040" s="33" t="s">
        <v>1311</v>
      </c>
      <c r="I1040" s="80">
        <v>4</v>
      </c>
      <c r="J1040" s="39">
        <v>1</v>
      </c>
      <c r="K1040" s="41">
        <f>tabPontoPed[[#This Row],[QTDMÊS]] * tabPontoPed[[#This Row],[MENSAL]]</f>
        <v>4</v>
      </c>
      <c r="L1040" s="83"/>
      <c r="M1040" s="81"/>
      <c r="N1040" s="34" t="s">
        <v>1010</v>
      </c>
      <c r="O1040" s="76" t="s">
        <v>1424</v>
      </c>
      <c r="P1040" s="77"/>
      <c r="Q1040" s="57">
        <v>1</v>
      </c>
      <c r="R1040" s="42">
        <v>1</v>
      </c>
      <c r="S1040" s="69" t="str">
        <f>_xlfn.IFNA(IF(VLOOKUP(tabPontoPed[[#This Row],[CÓDIGO]],tabExcluirDoEstoque[#Data],1,FALSE),"sim",""),"")</f>
        <v>sim</v>
      </c>
      <c r="T1040" s="43">
        <f>IF(AND(tabPontoPed[[#This Row],[MENSAL]]&gt;0,tabPontoPed[[#This Row],[CÁLCULO]]&gt;0), ABS( tabPontoPed[[#This Row],[MENSAL]] - tabPontoPed[[#This Row],[CÁLCULO]] ) / tabPontoPed[[#This Row],[MENSAL]], -1 )</f>
        <v>0</v>
      </c>
      <c r="U1040" s="58"/>
      <c r="V1040" s="35">
        <f>IF(AND(tabPontoPed[[#This Row],[MENSAL]]&gt;0,tabPontoPed[[#This Row],[CÁLCULO]]&gt;0), IF( tabPontoPed[[#This Row],[MENSAL]] - tabPontoPed[[#This Row],[CÁLCULO]] &lt; 0, -1, IF( tabPontoPed[[#This Row],[MENSAL]] - tabPontoPed[[#This Row],[CÁLCULO]] &gt; 0, 1, -8)), -9 )</f>
        <v>-8</v>
      </c>
      <c r="W1040" s="35"/>
      <c r="X1040" s="49" t="s">
        <v>1564</v>
      </c>
      <c r="Y1040" s="51">
        <v>44391.599108796298</v>
      </c>
      <c r="Z1040" s="72">
        <f>tabPontoPed[CÁLC_4M] - tabPontoPed[CÁLCULO]</f>
        <v>0</v>
      </c>
      <c r="AA1040" s="79" t="str">
        <f>IF(tabPontoPed[MENSAL]-tabPontoPed[ATA MENSAL] = 0,"sim","")</f>
        <v/>
      </c>
      <c r="AB1040" s="79"/>
      <c r="AC1040" s="47" t="str">
        <f t="shared" si="16"/>
        <v>*</v>
      </c>
    </row>
    <row r="1041" spans="1:29" x14ac:dyDescent="0.25">
      <c r="A1041" s="36">
        <v>94618</v>
      </c>
      <c r="B1041" s="68" t="s">
        <v>805</v>
      </c>
      <c r="C1041" s="33" t="s">
        <v>1317</v>
      </c>
      <c r="D1041" s="32">
        <v>62</v>
      </c>
      <c r="E1041" s="37">
        <v>4</v>
      </c>
      <c r="F1041" s="38" t="str">
        <f>VLOOKUP(tabPontoPed[[#This Row],[GRUPO]],tabGrupos[#Data],2,FALSE)</f>
        <v>VEST., ART.P/ TOUC.E HIG. PES. MAQ., EQUIP., MAT.E ACES.</v>
      </c>
      <c r="G1041" s="32" t="str">
        <f>VLOOKUP(tabPontoPed[[#This Row],[GRUPO]],tabGrupos[#Data],3,FALSE)</f>
        <v>ADM</v>
      </c>
      <c r="H1041" s="33" t="s">
        <v>1311</v>
      </c>
      <c r="I1041" s="80">
        <v>4</v>
      </c>
      <c r="J1041" s="39">
        <v>1</v>
      </c>
      <c r="K1041" s="41">
        <f>tabPontoPed[[#This Row],[QTDMÊS]] * tabPontoPed[[#This Row],[MENSAL]]</f>
        <v>4</v>
      </c>
      <c r="L1041" s="83"/>
      <c r="M1041" s="81"/>
      <c r="N1041" s="34" t="s">
        <v>1010</v>
      </c>
      <c r="O1041" s="76" t="s">
        <v>1424</v>
      </c>
      <c r="P1041" s="77"/>
      <c r="Q1041" s="57">
        <v>1</v>
      </c>
      <c r="R1041" s="42">
        <v>1</v>
      </c>
      <c r="S1041" s="69" t="str">
        <f>_xlfn.IFNA(IF(VLOOKUP(tabPontoPed[[#This Row],[CÓDIGO]],tabExcluirDoEstoque[#Data],1,FALSE),"sim",""),"")</f>
        <v>sim</v>
      </c>
      <c r="T1041" s="43">
        <f>IF(AND(tabPontoPed[[#This Row],[MENSAL]]&gt;0,tabPontoPed[[#This Row],[CÁLCULO]]&gt;0), ABS( tabPontoPed[[#This Row],[MENSAL]] - tabPontoPed[[#This Row],[CÁLCULO]] ) / tabPontoPed[[#This Row],[MENSAL]], -1 )</f>
        <v>0</v>
      </c>
      <c r="U1041" s="58"/>
      <c r="V1041" s="35">
        <f>IF(AND(tabPontoPed[[#This Row],[MENSAL]]&gt;0,tabPontoPed[[#This Row],[CÁLCULO]]&gt;0), IF( tabPontoPed[[#This Row],[MENSAL]] - tabPontoPed[[#This Row],[CÁLCULO]] &lt; 0, -1, IF( tabPontoPed[[#This Row],[MENSAL]] - tabPontoPed[[#This Row],[CÁLCULO]] &gt; 0, 1, -8)), -9 )</f>
        <v>-8</v>
      </c>
      <c r="W1041" s="35"/>
      <c r="X1041" s="49" t="s">
        <v>1564</v>
      </c>
      <c r="Y1041" s="51">
        <v>44391.599108796298</v>
      </c>
      <c r="Z1041" s="72">
        <f>tabPontoPed[CÁLC_4M] - tabPontoPed[CÁLCULO]</f>
        <v>0</v>
      </c>
      <c r="AA1041" s="79" t="str">
        <f>IF(tabPontoPed[MENSAL]-tabPontoPed[ATA MENSAL] = 0,"sim","")</f>
        <v/>
      </c>
      <c r="AB1041" s="79"/>
      <c r="AC1041" s="47" t="str">
        <f t="shared" si="16"/>
        <v>*</v>
      </c>
    </row>
    <row r="1042" spans="1:29" x14ac:dyDescent="0.25">
      <c r="A1042" s="36">
        <v>94616</v>
      </c>
      <c r="B1042" s="68" t="s">
        <v>803</v>
      </c>
      <c r="C1042" s="33" t="s">
        <v>1317</v>
      </c>
      <c r="D1042" s="32">
        <v>62</v>
      </c>
      <c r="E1042" s="37">
        <v>4</v>
      </c>
      <c r="F1042" s="38" t="str">
        <f>VLOOKUP(tabPontoPed[[#This Row],[GRUPO]],tabGrupos[#Data],2,FALSE)</f>
        <v>VEST., ART.P/ TOUC.E HIG. PES. MAQ., EQUIP., MAT.E ACES.</v>
      </c>
      <c r="G1042" s="32" t="str">
        <f>VLOOKUP(tabPontoPed[[#This Row],[GRUPO]],tabGrupos[#Data],3,FALSE)</f>
        <v>ADM</v>
      </c>
      <c r="H1042" s="33" t="s">
        <v>1311</v>
      </c>
      <c r="I1042" s="80">
        <v>4</v>
      </c>
      <c r="J1042" s="39">
        <v>1</v>
      </c>
      <c r="K1042" s="41">
        <f>tabPontoPed[[#This Row],[QTDMÊS]] * tabPontoPed[[#This Row],[MENSAL]]</f>
        <v>4</v>
      </c>
      <c r="L1042" s="83"/>
      <c r="M1042" s="81"/>
      <c r="N1042" s="34" t="s">
        <v>1010</v>
      </c>
      <c r="O1042" s="76" t="s">
        <v>1424</v>
      </c>
      <c r="P1042" s="77"/>
      <c r="Q1042" s="57">
        <v>1</v>
      </c>
      <c r="R1042" s="42">
        <v>1</v>
      </c>
      <c r="S1042" s="69" t="str">
        <f>_xlfn.IFNA(IF(VLOOKUP(tabPontoPed[[#This Row],[CÓDIGO]],tabExcluirDoEstoque[#Data],1,FALSE),"sim",""),"")</f>
        <v>sim</v>
      </c>
      <c r="T1042" s="43">
        <f>IF(AND(tabPontoPed[[#This Row],[MENSAL]]&gt;0,tabPontoPed[[#This Row],[CÁLCULO]]&gt;0), ABS( tabPontoPed[[#This Row],[MENSAL]] - tabPontoPed[[#This Row],[CÁLCULO]] ) / tabPontoPed[[#This Row],[MENSAL]], -1 )</f>
        <v>0</v>
      </c>
      <c r="U1042" s="58"/>
      <c r="V1042" s="35">
        <f>IF(AND(tabPontoPed[[#This Row],[MENSAL]]&gt;0,tabPontoPed[[#This Row],[CÁLCULO]]&gt;0), IF( tabPontoPed[[#This Row],[MENSAL]] - tabPontoPed[[#This Row],[CÁLCULO]] &lt; 0, -1, IF( tabPontoPed[[#This Row],[MENSAL]] - tabPontoPed[[#This Row],[CÁLCULO]] &gt; 0, 1, -8)), -9 )</f>
        <v>-8</v>
      </c>
      <c r="W1042" s="35"/>
      <c r="X1042" s="49" t="s">
        <v>1564</v>
      </c>
      <c r="Y1042" s="51">
        <v>44391.599108796298</v>
      </c>
      <c r="Z1042" s="72">
        <f>tabPontoPed[CÁLC_4M] - tabPontoPed[CÁLCULO]</f>
        <v>0</v>
      </c>
      <c r="AA1042" s="79" t="str">
        <f>IF(tabPontoPed[MENSAL]-tabPontoPed[ATA MENSAL] = 0,"sim","")</f>
        <v/>
      </c>
      <c r="AB1042" s="79"/>
      <c r="AC1042" s="47" t="str">
        <f t="shared" si="16"/>
        <v>*</v>
      </c>
    </row>
    <row r="1043" spans="1:29" x14ac:dyDescent="0.25">
      <c r="A1043" s="36">
        <v>94615</v>
      </c>
      <c r="B1043" s="68" t="s">
        <v>802</v>
      </c>
      <c r="C1043" s="33" t="s">
        <v>1317</v>
      </c>
      <c r="D1043" s="32">
        <v>62</v>
      </c>
      <c r="E1043" s="37">
        <v>4</v>
      </c>
      <c r="F1043" s="38" t="str">
        <f>VLOOKUP(tabPontoPed[[#This Row],[GRUPO]],tabGrupos[#Data],2,FALSE)</f>
        <v>VEST., ART.P/ TOUC.E HIG. PES. MAQ., EQUIP., MAT.E ACES.</v>
      </c>
      <c r="G1043" s="32" t="str">
        <f>VLOOKUP(tabPontoPed[[#This Row],[GRUPO]],tabGrupos[#Data],3,FALSE)</f>
        <v>ADM</v>
      </c>
      <c r="H1043" s="33" t="s">
        <v>1311</v>
      </c>
      <c r="I1043" s="80">
        <v>4</v>
      </c>
      <c r="J1043" s="39">
        <v>1</v>
      </c>
      <c r="K1043" s="41">
        <f>tabPontoPed[[#This Row],[QTDMÊS]] * tabPontoPed[[#This Row],[MENSAL]]</f>
        <v>4</v>
      </c>
      <c r="L1043" s="83"/>
      <c r="M1043" s="81"/>
      <c r="N1043" s="34" t="s">
        <v>1010</v>
      </c>
      <c r="O1043" s="76" t="s">
        <v>1424</v>
      </c>
      <c r="P1043" s="77"/>
      <c r="Q1043" s="57">
        <v>1</v>
      </c>
      <c r="R1043" s="42">
        <v>1</v>
      </c>
      <c r="S1043" s="69" t="str">
        <f>_xlfn.IFNA(IF(VLOOKUP(tabPontoPed[[#This Row],[CÓDIGO]],tabExcluirDoEstoque[#Data],1,FALSE),"sim",""),"")</f>
        <v>sim</v>
      </c>
      <c r="T1043" s="43">
        <f>IF(AND(tabPontoPed[[#This Row],[MENSAL]]&gt;0,tabPontoPed[[#This Row],[CÁLCULO]]&gt;0), ABS( tabPontoPed[[#This Row],[MENSAL]] - tabPontoPed[[#This Row],[CÁLCULO]] ) / tabPontoPed[[#This Row],[MENSAL]], -1 )</f>
        <v>0</v>
      </c>
      <c r="U1043" s="58"/>
      <c r="V1043" s="35">
        <f>IF(AND(tabPontoPed[[#This Row],[MENSAL]]&gt;0,tabPontoPed[[#This Row],[CÁLCULO]]&gt;0), IF( tabPontoPed[[#This Row],[MENSAL]] - tabPontoPed[[#This Row],[CÁLCULO]] &lt; 0, -1, IF( tabPontoPed[[#This Row],[MENSAL]] - tabPontoPed[[#This Row],[CÁLCULO]] &gt; 0, 1, -8)), -9 )</f>
        <v>-8</v>
      </c>
      <c r="W1043" s="35"/>
      <c r="X1043" s="49" t="s">
        <v>1564</v>
      </c>
      <c r="Y1043" s="51">
        <v>44391.599108796298</v>
      </c>
      <c r="Z1043" s="72">
        <f>tabPontoPed[CÁLC_4M] - tabPontoPed[CÁLCULO]</f>
        <v>0</v>
      </c>
      <c r="AA1043" s="79" t="str">
        <f>IF(tabPontoPed[MENSAL]-tabPontoPed[ATA MENSAL] = 0,"sim","")</f>
        <v/>
      </c>
      <c r="AB1043" s="79"/>
      <c r="AC1043" s="47" t="str">
        <f t="shared" si="16"/>
        <v>*</v>
      </c>
    </row>
    <row r="1044" spans="1:29" x14ac:dyDescent="0.25">
      <c r="A1044" s="36">
        <v>13975</v>
      </c>
      <c r="B1044" s="68" t="s">
        <v>195</v>
      </c>
      <c r="C1044" s="33" t="s">
        <v>1317</v>
      </c>
      <c r="D1044" s="32">
        <v>72</v>
      </c>
      <c r="E1044" s="37">
        <v>6</v>
      </c>
      <c r="F1044" s="38" t="str">
        <f>VLOOKUP(tabPontoPed[[#This Row],[GRUPO]],tabGrupos[#Data],2,FALSE)</f>
        <v>MAQ.EQUIP.E MATERIAIS P/ HIGIEN.LIMP.POLIM.E LUBR.</v>
      </c>
      <c r="G1044" s="32" t="str">
        <f>VLOOKUP(tabPontoPed[[#This Row],[GRUPO]],tabGrupos[#Data],3,FALSE)</f>
        <v>ADM</v>
      </c>
      <c r="H1044" s="33" t="s">
        <v>1311</v>
      </c>
      <c r="I1044" s="80">
        <v>4</v>
      </c>
      <c r="J1044" s="39">
        <v>13</v>
      </c>
      <c r="K1044" s="41">
        <f>tabPontoPed[[#This Row],[QTDMÊS]] * tabPontoPed[[#This Row],[MENSAL]]</f>
        <v>52</v>
      </c>
      <c r="L1044" s="83"/>
      <c r="M1044" s="81"/>
      <c r="N1044" s="34" t="s">
        <v>1010</v>
      </c>
      <c r="O1044" s="76" t="s">
        <v>1436</v>
      </c>
      <c r="P1044" s="77"/>
      <c r="Q1044" s="57">
        <v>13</v>
      </c>
      <c r="R1044" s="42">
        <v>13</v>
      </c>
      <c r="S1044" s="69" t="str">
        <f>_xlfn.IFNA(IF(VLOOKUP(tabPontoPed[[#This Row],[CÓDIGO]],tabExcluirDoEstoque[#Data],1,FALSE),"sim",""),"")</f>
        <v>sim</v>
      </c>
      <c r="T1044" s="43">
        <f>IF(AND(tabPontoPed[[#This Row],[MENSAL]]&gt;0,tabPontoPed[[#This Row],[CÁLCULO]]&gt;0), ABS( tabPontoPed[[#This Row],[MENSAL]] - tabPontoPed[[#This Row],[CÁLCULO]] ) / tabPontoPed[[#This Row],[MENSAL]], -1 )</f>
        <v>0</v>
      </c>
      <c r="U1044" s="58"/>
      <c r="V1044" s="35">
        <f>IF(AND(tabPontoPed[[#This Row],[MENSAL]]&gt;0,tabPontoPed[[#This Row],[CÁLCULO]]&gt;0), IF( tabPontoPed[[#This Row],[MENSAL]] - tabPontoPed[[#This Row],[CÁLCULO]] &lt; 0, -1, IF( tabPontoPed[[#This Row],[MENSAL]] - tabPontoPed[[#This Row],[CÁLCULO]] &gt; 0, 1, -8)), -9 )</f>
        <v>-8</v>
      </c>
      <c r="W1044" s="35"/>
      <c r="X1044" s="48" t="s">
        <v>1564</v>
      </c>
      <c r="Y1044" s="53">
        <v>44391.599108796298</v>
      </c>
      <c r="Z1044" s="72">
        <f>tabPontoPed[CÁLC_4M] - tabPontoPed[CÁLCULO]</f>
        <v>0</v>
      </c>
      <c r="AA1044" s="79" t="str">
        <f>IF(tabPontoPed[MENSAL]-tabPontoPed[ATA MENSAL] = 0,"sim","")</f>
        <v/>
      </c>
      <c r="AB1044" s="79"/>
      <c r="AC1044" s="47" t="str">
        <f t="shared" si="16"/>
        <v>*</v>
      </c>
    </row>
    <row r="1045" spans="1:29" x14ac:dyDescent="0.25">
      <c r="A1045" s="36">
        <v>14199</v>
      </c>
      <c r="B1045" s="68" t="s">
        <v>383</v>
      </c>
      <c r="C1045" s="33" t="s">
        <v>1317</v>
      </c>
      <c r="D1045" s="32">
        <v>72</v>
      </c>
      <c r="E1045" s="37">
        <v>9</v>
      </c>
      <c r="F1045" s="38" t="str">
        <f>VLOOKUP(tabPontoPed[[#This Row],[GRUPO]],tabGrupos[#Data],2,FALSE)</f>
        <v>MAQ.EQUIP.E MATERIAIS P/ HIGIEN.LIMP.POLIM.E LUBR.</v>
      </c>
      <c r="G1045" s="32" t="str">
        <f>VLOOKUP(tabPontoPed[[#This Row],[GRUPO]],tabGrupos[#Data],3,FALSE)</f>
        <v>ADM</v>
      </c>
      <c r="H1045" s="33" t="s">
        <v>1311</v>
      </c>
      <c r="I1045" s="80">
        <v>4</v>
      </c>
      <c r="J1045" s="39">
        <v>128</v>
      </c>
      <c r="K1045" s="41">
        <f>tabPontoPed[[#This Row],[QTDMÊS]] * tabPontoPed[[#This Row],[MENSAL]]</f>
        <v>512</v>
      </c>
      <c r="L1045" s="83"/>
      <c r="M1045" s="81"/>
      <c r="N1045" s="34" t="s">
        <v>1009</v>
      </c>
      <c r="O1045" s="76" t="s">
        <v>1435</v>
      </c>
      <c r="P1045" s="77"/>
      <c r="Q1045" s="57">
        <v>75</v>
      </c>
      <c r="R1045" s="42">
        <v>128</v>
      </c>
      <c r="S1045" s="69" t="str">
        <f>_xlfn.IFNA(IF(VLOOKUP(tabPontoPed[[#This Row],[CÓDIGO]],tabExcluirDoEstoque[#Data],1,FALSE),"sim",""),"")</f>
        <v>sim</v>
      </c>
      <c r="T1045" s="43">
        <f>IF(AND(tabPontoPed[[#This Row],[MENSAL]]&gt;0,tabPontoPed[[#This Row],[CÁLCULO]]&gt;0), ABS( tabPontoPed[[#This Row],[MENSAL]] - tabPontoPed[[#This Row],[CÁLCULO]] ) / tabPontoPed[[#This Row],[MENSAL]], -1 )</f>
        <v>0</v>
      </c>
      <c r="U1045" s="58">
        <v>285</v>
      </c>
      <c r="V1045" s="35">
        <f>IF(AND(tabPontoPed[[#This Row],[MENSAL]]&gt;0,tabPontoPed[[#This Row],[CÁLCULO]]&gt;0), IF( tabPontoPed[[#This Row],[MENSAL]] - tabPontoPed[[#This Row],[CÁLCULO]] &lt; 0, -1, IF( tabPontoPed[[#This Row],[MENSAL]] - tabPontoPed[[#This Row],[CÁLCULO]] &gt; 0, 1, -8)), -9 )</f>
        <v>-8</v>
      </c>
      <c r="W1045" s="35"/>
      <c r="X1045" s="48" t="s">
        <v>1564</v>
      </c>
      <c r="Y1045" s="53">
        <v>44391.599108796298</v>
      </c>
      <c r="Z1045" s="72">
        <f>tabPontoPed[CÁLC_4M] - tabPontoPed[CÁLCULO]</f>
        <v>-53</v>
      </c>
      <c r="AA1045" s="79" t="str">
        <f>IF(tabPontoPed[MENSAL]-tabPontoPed[ATA MENSAL] = 0,"sim","")</f>
        <v/>
      </c>
      <c r="AB1045" s="79"/>
      <c r="AC1045" s="47" t="str">
        <f t="shared" si="16"/>
        <v>*</v>
      </c>
    </row>
    <row r="1046" spans="1:29" x14ac:dyDescent="0.25">
      <c r="A1046" s="36">
        <v>12615</v>
      </c>
      <c r="B1046" s="68" t="s">
        <v>381</v>
      </c>
      <c r="C1046" s="33" t="s">
        <v>1317</v>
      </c>
      <c r="D1046" s="32">
        <v>72</v>
      </c>
      <c r="E1046" s="37">
        <v>9</v>
      </c>
      <c r="F1046" s="38" t="str">
        <f>VLOOKUP(tabPontoPed[[#This Row],[GRUPO]],tabGrupos[#Data],2,FALSE)</f>
        <v>MAQ.EQUIP.E MATERIAIS P/ HIGIEN.LIMP.POLIM.E LUBR.</v>
      </c>
      <c r="G1046" s="32" t="str">
        <f>VLOOKUP(tabPontoPed[[#This Row],[GRUPO]],tabGrupos[#Data],3,FALSE)</f>
        <v>ADM</v>
      </c>
      <c r="H1046" s="33" t="s">
        <v>1311</v>
      </c>
      <c r="I1046" s="80">
        <v>4</v>
      </c>
      <c r="J1046" s="39">
        <v>154</v>
      </c>
      <c r="K1046" s="41">
        <f>tabPontoPed[[#This Row],[QTDMÊS]] * tabPontoPed[[#This Row],[MENSAL]]</f>
        <v>616</v>
      </c>
      <c r="L1046" s="83"/>
      <c r="M1046" s="81"/>
      <c r="N1046" s="34" t="s">
        <v>1009</v>
      </c>
      <c r="O1046" s="76" t="s">
        <v>1435</v>
      </c>
      <c r="P1046" s="77"/>
      <c r="Q1046" s="57">
        <v>79</v>
      </c>
      <c r="R1046" s="42">
        <v>154</v>
      </c>
      <c r="S1046" s="69" t="str">
        <f>_xlfn.IFNA(IF(VLOOKUP(tabPontoPed[[#This Row],[CÓDIGO]],tabExcluirDoEstoque[#Data],1,FALSE),"sim",""),"")</f>
        <v>sim</v>
      </c>
      <c r="T1046" s="43">
        <f>IF(AND(tabPontoPed[[#This Row],[MENSAL]]&gt;0,tabPontoPed[[#This Row],[CÁLCULO]]&gt;0), ABS( tabPontoPed[[#This Row],[MENSAL]] - tabPontoPed[[#This Row],[CÁLCULO]] ) / tabPontoPed[[#This Row],[MENSAL]], -1 )</f>
        <v>0</v>
      </c>
      <c r="U1046" s="58">
        <v>306</v>
      </c>
      <c r="V1046" s="35">
        <f>IF(AND(tabPontoPed[[#This Row],[MENSAL]]&gt;0,tabPontoPed[[#This Row],[CÁLCULO]]&gt;0), IF( tabPontoPed[[#This Row],[MENSAL]] - tabPontoPed[[#This Row],[CÁLCULO]] &lt; 0, -1, IF( tabPontoPed[[#This Row],[MENSAL]] - tabPontoPed[[#This Row],[CÁLCULO]] &gt; 0, 1, -8)), -9 )</f>
        <v>-8</v>
      </c>
      <c r="W1046" s="35"/>
      <c r="X1046" s="49" t="s">
        <v>1564</v>
      </c>
      <c r="Y1046" s="51">
        <v>44391.599108796298</v>
      </c>
      <c r="Z1046" s="72">
        <f>tabPontoPed[CÁLC_4M] - tabPontoPed[CÁLCULO]</f>
        <v>-75</v>
      </c>
      <c r="AA1046" s="79" t="str">
        <f>IF(tabPontoPed[MENSAL]-tabPontoPed[ATA MENSAL] = 0,"sim","")</f>
        <v/>
      </c>
      <c r="AB1046" s="79"/>
      <c r="AC1046" s="47" t="str">
        <f t="shared" si="16"/>
        <v>*</v>
      </c>
    </row>
    <row r="1047" spans="1:29" x14ac:dyDescent="0.25">
      <c r="A1047" s="36">
        <v>131938</v>
      </c>
      <c r="B1047" s="68" t="s">
        <v>412</v>
      </c>
      <c r="C1047" s="33" t="s">
        <v>1317</v>
      </c>
      <c r="D1047" s="32">
        <v>45</v>
      </c>
      <c r="E1047" s="37">
        <v>9</v>
      </c>
      <c r="F1047" s="38" t="str">
        <f>VLOOKUP(tabPontoPed[[#This Row],[GRUPO]],tabGrupos[#Data],2,FALSE)</f>
        <v>MAQ., EQUIP., COMP., ACES., MAT. PARA ESCRIT.E ESCOLAR</v>
      </c>
      <c r="G1047" s="32" t="str">
        <f>VLOOKUP(tabPontoPed[[#This Row],[GRUPO]],tabGrupos[#Data],3,FALSE)</f>
        <v>EDU</v>
      </c>
      <c r="H1047" s="33" t="s">
        <v>1311</v>
      </c>
      <c r="I1047" s="80">
        <v>4</v>
      </c>
      <c r="J1047" s="39">
        <v>438</v>
      </c>
      <c r="K1047" s="41">
        <f>tabPontoPed[[#This Row],[QTDMÊS]] * tabPontoPed[[#This Row],[MENSAL]]</f>
        <v>1752</v>
      </c>
      <c r="L1047" s="83"/>
      <c r="M1047" s="81"/>
      <c r="N1047" s="34" t="s">
        <v>1009</v>
      </c>
      <c r="O1047" s="76"/>
      <c r="P1047" s="77">
        <v>0</v>
      </c>
      <c r="Q1047" s="57">
        <v>984</v>
      </c>
      <c r="R1047" s="42">
        <v>438</v>
      </c>
      <c r="S1047" s="69" t="str">
        <f>_xlfn.IFNA(IF(VLOOKUP(tabPontoPed[[#This Row],[CÓDIGO]],tabExcluirDoEstoque[#Data],1,FALSE),"sim",""),"")</f>
        <v>sim</v>
      </c>
      <c r="T1047" s="43">
        <f>IF(AND(tabPontoPed[[#This Row],[MENSAL]]&gt;0,tabPontoPed[[#This Row],[CÁLCULO]]&gt;0), ABS( tabPontoPed[[#This Row],[MENSAL]] - tabPontoPed[[#This Row],[CÁLCULO]] ) / tabPontoPed[[#This Row],[MENSAL]], -1 )</f>
        <v>0</v>
      </c>
      <c r="U1047" s="58">
        <v>3471</v>
      </c>
      <c r="V1047" s="35">
        <f>IF(AND(tabPontoPed[[#This Row],[MENSAL]]&gt;0,tabPontoPed[[#This Row],[CÁLCULO]]&gt;0), IF( tabPontoPed[[#This Row],[MENSAL]] - tabPontoPed[[#This Row],[CÁLCULO]] &lt; 0, -1, IF( tabPontoPed[[#This Row],[MENSAL]] - tabPontoPed[[#This Row],[CÁLCULO]] &gt; 0, 1, -8)), -9 )</f>
        <v>-8</v>
      </c>
      <c r="W1047" s="35"/>
      <c r="X1047" s="48" t="s">
        <v>1564</v>
      </c>
      <c r="Y1047" s="53">
        <v>44391.599108796298</v>
      </c>
      <c r="Z1047" s="72">
        <f>tabPontoPed[CÁLC_4M] - tabPontoPed[CÁLCULO]</f>
        <v>546</v>
      </c>
      <c r="AA1047" s="79" t="str">
        <f>IF(tabPontoPed[MENSAL]-tabPontoPed[ATA MENSAL] = 0,"sim","")</f>
        <v/>
      </c>
      <c r="AB1047" s="79"/>
      <c r="AC1047" s="47" t="str">
        <f t="shared" si="16"/>
        <v>*</v>
      </c>
    </row>
    <row r="1048" spans="1:29" x14ac:dyDescent="0.25">
      <c r="A1048" s="36">
        <v>131939</v>
      </c>
      <c r="B1048" s="68" t="s">
        <v>413</v>
      </c>
      <c r="C1048" s="33" t="s">
        <v>1317</v>
      </c>
      <c r="D1048" s="32">
        <v>45</v>
      </c>
      <c r="E1048" s="37">
        <v>9</v>
      </c>
      <c r="F1048" s="38" t="str">
        <f>VLOOKUP(tabPontoPed[[#This Row],[GRUPO]],tabGrupos[#Data],2,FALSE)</f>
        <v>MAQ., EQUIP., COMP., ACES., MAT. PARA ESCRIT.E ESCOLAR</v>
      </c>
      <c r="G1048" s="32" t="str">
        <f>VLOOKUP(tabPontoPed[[#This Row],[GRUPO]],tabGrupos[#Data],3,FALSE)</f>
        <v>EDU</v>
      </c>
      <c r="H1048" s="33" t="s">
        <v>1311</v>
      </c>
      <c r="I1048" s="80">
        <v>4</v>
      </c>
      <c r="J1048" s="39">
        <v>424</v>
      </c>
      <c r="K1048" s="41">
        <f>tabPontoPed[[#This Row],[QTDMÊS]] * tabPontoPed[[#This Row],[MENSAL]]</f>
        <v>1696</v>
      </c>
      <c r="L1048" s="83"/>
      <c r="M1048" s="81"/>
      <c r="N1048" s="34" t="s">
        <v>1009</v>
      </c>
      <c r="O1048" s="76"/>
      <c r="P1048" s="77">
        <v>0</v>
      </c>
      <c r="Q1048" s="57">
        <v>967</v>
      </c>
      <c r="R1048" s="42">
        <v>424</v>
      </c>
      <c r="S1048" s="69" t="str">
        <f>_xlfn.IFNA(IF(VLOOKUP(tabPontoPed[[#This Row],[CÓDIGO]],tabExcluirDoEstoque[#Data],1,FALSE),"sim",""),"")</f>
        <v>sim</v>
      </c>
      <c r="T1048" s="43">
        <f>IF(AND(tabPontoPed[[#This Row],[MENSAL]]&gt;0,tabPontoPed[[#This Row],[CÁLCULO]]&gt;0), ABS( tabPontoPed[[#This Row],[MENSAL]] - tabPontoPed[[#This Row],[CÁLCULO]] ) / tabPontoPed[[#This Row],[MENSAL]], -1 )</f>
        <v>0</v>
      </c>
      <c r="U1048" s="58">
        <v>3413</v>
      </c>
      <c r="V1048" s="35">
        <f>IF(AND(tabPontoPed[[#This Row],[MENSAL]]&gt;0,tabPontoPed[[#This Row],[CÁLCULO]]&gt;0), IF( tabPontoPed[[#This Row],[MENSAL]] - tabPontoPed[[#This Row],[CÁLCULO]] &lt; 0, -1, IF( tabPontoPed[[#This Row],[MENSAL]] - tabPontoPed[[#This Row],[CÁLCULO]] &gt; 0, 1, -8)), -9 )</f>
        <v>-8</v>
      </c>
      <c r="W1048" s="35"/>
      <c r="X1048" s="48" t="s">
        <v>1564</v>
      </c>
      <c r="Y1048" s="53">
        <v>44391.599108796298</v>
      </c>
      <c r="Z1048" s="72">
        <f>tabPontoPed[CÁLC_4M] - tabPontoPed[CÁLCULO]</f>
        <v>543</v>
      </c>
      <c r="AA1048" s="79" t="str">
        <f>IF(tabPontoPed[MENSAL]-tabPontoPed[ATA MENSAL] = 0,"sim","")</f>
        <v/>
      </c>
      <c r="AB1048" s="79"/>
      <c r="AC1048" s="47" t="str">
        <f t="shared" si="16"/>
        <v>*</v>
      </c>
    </row>
    <row r="1049" spans="1:29" x14ac:dyDescent="0.25">
      <c r="A1049" s="36">
        <v>132305</v>
      </c>
      <c r="B1049" s="68" t="s">
        <v>415</v>
      </c>
      <c r="C1049" s="33" t="s">
        <v>1317</v>
      </c>
      <c r="D1049" s="32">
        <v>45</v>
      </c>
      <c r="E1049" s="37">
        <v>9</v>
      </c>
      <c r="F1049" s="38" t="str">
        <f>VLOOKUP(tabPontoPed[[#This Row],[GRUPO]],tabGrupos[#Data],2,FALSE)</f>
        <v>MAQ., EQUIP., COMP., ACES., MAT. PARA ESCRIT.E ESCOLAR</v>
      </c>
      <c r="G1049" s="32" t="str">
        <f>VLOOKUP(tabPontoPed[[#This Row],[GRUPO]],tabGrupos[#Data],3,FALSE)</f>
        <v>EDU</v>
      </c>
      <c r="H1049" s="33" t="s">
        <v>1311</v>
      </c>
      <c r="I1049" s="80">
        <v>4</v>
      </c>
      <c r="J1049" s="39">
        <v>415</v>
      </c>
      <c r="K1049" s="41">
        <f>tabPontoPed[[#This Row],[QTDMÊS]] * tabPontoPed[[#This Row],[MENSAL]]</f>
        <v>1660</v>
      </c>
      <c r="L1049" s="83"/>
      <c r="M1049" s="81"/>
      <c r="N1049" s="34" t="s">
        <v>1009</v>
      </c>
      <c r="O1049" s="76"/>
      <c r="P1049" s="77">
        <v>0</v>
      </c>
      <c r="Q1049" s="57">
        <v>980</v>
      </c>
      <c r="R1049" s="42">
        <v>415</v>
      </c>
      <c r="S1049" s="69" t="str">
        <f>_xlfn.IFNA(IF(VLOOKUP(tabPontoPed[[#This Row],[CÓDIGO]],tabExcluirDoEstoque[#Data],1,FALSE),"sim",""),"")</f>
        <v>sim</v>
      </c>
      <c r="T1049" s="43">
        <f>IF(AND(tabPontoPed[[#This Row],[MENSAL]]&gt;0,tabPontoPed[[#This Row],[CÁLCULO]]&gt;0), ABS( tabPontoPed[[#This Row],[MENSAL]] - tabPontoPed[[#This Row],[CÁLCULO]] ) / tabPontoPed[[#This Row],[MENSAL]], -1 )</f>
        <v>0</v>
      </c>
      <c r="U1049" s="58">
        <v>3472</v>
      </c>
      <c r="V1049" s="35">
        <f>IF(AND(tabPontoPed[[#This Row],[MENSAL]]&gt;0,tabPontoPed[[#This Row],[CÁLCULO]]&gt;0), IF( tabPontoPed[[#This Row],[MENSAL]] - tabPontoPed[[#This Row],[CÁLCULO]] &lt; 0, -1, IF( tabPontoPed[[#This Row],[MENSAL]] - tabPontoPed[[#This Row],[CÁLCULO]] &gt; 0, 1, -8)), -9 )</f>
        <v>-8</v>
      </c>
      <c r="W1049" s="35"/>
      <c r="X1049" s="48" t="s">
        <v>1564</v>
      </c>
      <c r="Y1049" s="53">
        <v>44391.599108796298</v>
      </c>
      <c r="Z1049" s="72">
        <f>tabPontoPed[CÁLC_4M] - tabPontoPed[CÁLCULO]</f>
        <v>565</v>
      </c>
      <c r="AA1049" s="79" t="str">
        <f>IF(tabPontoPed[MENSAL]-tabPontoPed[ATA MENSAL] = 0,"sim","")</f>
        <v/>
      </c>
      <c r="AB1049" s="79"/>
      <c r="AC1049" s="47" t="str">
        <f t="shared" si="16"/>
        <v>*</v>
      </c>
    </row>
    <row r="1050" spans="1:29" x14ac:dyDescent="0.25">
      <c r="A1050" s="36">
        <v>131940</v>
      </c>
      <c r="B1050" s="68" t="s">
        <v>414</v>
      </c>
      <c r="C1050" s="33" t="s">
        <v>1317</v>
      </c>
      <c r="D1050" s="32">
        <v>45</v>
      </c>
      <c r="E1050" s="37">
        <v>9</v>
      </c>
      <c r="F1050" s="38" t="str">
        <f>VLOOKUP(tabPontoPed[[#This Row],[GRUPO]],tabGrupos[#Data],2,FALSE)</f>
        <v>MAQ., EQUIP., COMP., ACES., MAT. PARA ESCRIT.E ESCOLAR</v>
      </c>
      <c r="G1050" s="32" t="str">
        <f>VLOOKUP(tabPontoPed[[#This Row],[GRUPO]],tabGrupos[#Data],3,FALSE)</f>
        <v>EDU</v>
      </c>
      <c r="H1050" s="33" t="s">
        <v>1311</v>
      </c>
      <c r="I1050" s="80">
        <v>4</v>
      </c>
      <c r="J1050" s="39">
        <v>7</v>
      </c>
      <c r="K1050" s="41">
        <f>tabPontoPed[[#This Row],[QTDMÊS]] * tabPontoPed[[#This Row],[MENSAL]]</f>
        <v>28</v>
      </c>
      <c r="L1050" s="83"/>
      <c r="M1050" s="81"/>
      <c r="N1050" s="34" t="s">
        <v>1009</v>
      </c>
      <c r="O1050" s="76"/>
      <c r="P1050" s="77">
        <v>0</v>
      </c>
      <c r="Q1050" s="57">
        <v>14</v>
      </c>
      <c r="R1050" s="42">
        <v>7</v>
      </c>
      <c r="S1050" s="69" t="str">
        <f>_xlfn.IFNA(IF(VLOOKUP(tabPontoPed[[#This Row],[CÓDIGO]],tabExcluirDoEstoque[#Data],1,FALSE),"sim",""),"")</f>
        <v>sim</v>
      </c>
      <c r="T1050" s="43">
        <f>IF(AND(tabPontoPed[[#This Row],[MENSAL]]&gt;0,tabPontoPed[[#This Row],[CÁLCULO]]&gt;0), ABS( tabPontoPed[[#This Row],[MENSAL]] - tabPontoPed[[#This Row],[CÁLCULO]] ) / tabPontoPed[[#This Row],[MENSAL]], -1 )</f>
        <v>0</v>
      </c>
      <c r="U1050" s="58">
        <v>36</v>
      </c>
      <c r="V1050" s="35">
        <f>IF(AND(tabPontoPed[[#This Row],[MENSAL]]&gt;0,tabPontoPed[[#This Row],[CÁLCULO]]&gt;0), IF( tabPontoPed[[#This Row],[MENSAL]] - tabPontoPed[[#This Row],[CÁLCULO]] &lt; 0, -1, IF( tabPontoPed[[#This Row],[MENSAL]] - tabPontoPed[[#This Row],[CÁLCULO]] &gt; 0, 1, -8)), -9 )</f>
        <v>-8</v>
      </c>
      <c r="W1050" s="35"/>
      <c r="X1050" s="49" t="s">
        <v>1564</v>
      </c>
      <c r="Y1050" s="51">
        <v>44391.599108796298</v>
      </c>
      <c r="Z1050" s="72">
        <f>tabPontoPed[CÁLC_4M] - tabPontoPed[CÁLCULO]</f>
        <v>7</v>
      </c>
      <c r="AA1050" s="79" t="str">
        <f>IF(tabPontoPed[MENSAL]-tabPontoPed[ATA MENSAL] = 0,"sim","")</f>
        <v/>
      </c>
      <c r="AB1050" s="79"/>
      <c r="AC1050" s="47" t="str">
        <f t="shared" si="16"/>
        <v>*</v>
      </c>
    </row>
    <row r="1051" spans="1:29" x14ac:dyDescent="0.25">
      <c r="A1051" s="36">
        <v>128309</v>
      </c>
      <c r="B1051" s="68" t="s">
        <v>699</v>
      </c>
      <c r="C1051" s="33" t="s">
        <v>1317</v>
      </c>
      <c r="D1051" s="32">
        <v>56</v>
      </c>
      <c r="E1051" s="37">
        <v>1</v>
      </c>
      <c r="F1051" s="38" t="str">
        <f>VLOOKUP(tabPontoPed[[#This Row],[GRUPO]],tabGrupos[#Data],2,FALSE)</f>
        <v>EQUIP. COMP. MAT. ELETRON. CELULAS E FIBRAS OTICAS</v>
      </c>
      <c r="G1051" s="32" t="str">
        <f>VLOOKUP(tabPontoPed[[#This Row],[GRUPO]],tabGrupos[#Data],3,FALSE)</f>
        <v>INF</v>
      </c>
      <c r="H1051" s="33" t="s">
        <v>1311</v>
      </c>
      <c r="I1051" s="80">
        <v>4</v>
      </c>
      <c r="J1051" s="39">
        <v>1</v>
      </c>
      <c r="K1051" s="41">
        <f>tabPontoPed[[#This Row],[QTDMÊS]] * tabPontoPed[[#This Row],[MENSAL]]</f>
        <v>4</v>
      </c>
      <c r="L1051" s="83"/>
      <c r="M1051" s="81"/>
      <c r="N1051" s="34" t="s">
        <v>1010</v>
      </c>
      <c r="O1051" s="76" t="s">
        <v>1424</v>
      </c>
      <c r="P1051" s="77"/>
      <c r="Q1051" s="57">
        <v>1</v>
      </c>
      <c r="R1051" s="42">
        <v>1</v>
      </c>
      <c r="S1051" s="69" t="str">
        <f>_xlfn.IFNA(IF(VLOOKUP(tabPontoPed[[#This Row],[CÓDIGO]],tabExcluirDoEstoque[#Data],1,FALSE),"sim",""),"")</f>
        <v>sim</v>
      </c>
      <c r="T1051" s="43">
        <f>IF(AND(tabPontoPed[[#This Row],[MENSAL]]&gt;0,tabPontoPed[[#This Row],[CÁLCULO]]&gt;0), ABS( tabPontoPed[[#This Row],[MENSAL]] - tabPontoPed[[#This Row],[CÁLCULO]] ) / tabPontoPed[[#This Row],[MENSAL]], -1 )</f>
        <v>0</v>
      </c>
      <c r="U1051" s="58"/>
      <c r="V1051" s="35">
        <f>IF(AND(tabPontoPed[[#This Row],[MENSAL]]&gt;0,tabPontoPed[[#This Row],[CÁLCULO]]&gt;0), IF( tabPontoPed[[#This Row],[MENSAL]] - tabPontoPed[[#This Row],[CÁLCULO]] &lt; 0, -1, IF( tabPontoPed[[#This Row],[MENSAL]] - tabPontoPed[[#This Row],[CÁLCULO]] &gt; 0, 1, -8)), -9 )</f>
        <v>-8</v>
      </c>
      <c r="W1051" s="35"/>
      <c r="X1051" s="49" t="s">
        <v>1564</v>
      </c>
      <c r="Y1051" s="51">
        <v>44391.599108796298</v>
      </c>
      <c r="Z1051" s="72">
        <f>tabPontoPed[CÁLC_4M] - tabPontoPed[CÁLCULO]</f>
        <v>0</v>
      </c>
      <c r="AA1051" s="79" t="str">
        <f>IF(tabPontoPed[MENSAL]-tabPontoPed[ATA MENSAL] = 0,"sim","")</f>
        <v/>
      </c>
      <c r="AB1051" s="79"/>
      <c r="AC1051" s="47" t="str">
        <f t="shared" si="16"/>
        <v>*</v>
      </c>
    </row>
    <row r="1052" spans="1:29" x14ac:dyDescent="0.25">
      <c r="A1052" s="36">
        <v>88989</v>
      </c>
      <c r="B1052" s="68" t="s">
        <v>576</v>
      </c>
      <c r="C1052" s="33" t="s">
        <v>1317</v>
      </c>
      <c r="D1052" s="32">
        <v>54</v>
      </c>
      <c r="E1052" s="37">
        <v>4</v>
      </c>
      <c r="F1052" s="38" t="str">
        <f>VLOOKUP(tabPontoPed[[#This Row],[GRUPO]],tabGrupos[#Data],2,FALSE)</f>
        <v>EQUIP PROT IND, INST MAT P/ SINAL, CONTR, COMB ...</v>
      </c>
      <c r="G1052" s="32" t="str">
        <f>VLOOKUP(tabPontoPed[[#This Row],[GRUPO]],tabGrupos[#Data],3,FALSE)</f>
        <v>MAN</v>
      </c>
      <c r="H1052" s="33" t="s">
        <v>1311</v>
      </c>
      <c r="I1052" s="80">
        <v>4</v>
      </c>
      <c r="J1052" s="39">
        <v>1</v>
      </c>
      <c r="K1052" s="41">
        <f>tabPontoPed[[#This Row],[QTDMÊS]] * tabPontoPed[[#This Row],[MENSAL]]</f>
        <v>4</v>
      </c>
      <c r="L1052" s="83"/>
      <c r="M1052" s="81"/>
      <c r="N1052" s="34" t="s">
        <v>1010</v>
      </c>
      <c r="O1052" s="76" t="s">
        <v>1424</v>
      </c>
      <c r="P1052" s="77"/>
      <c r="Q1052" s="57">
        <v>0</v>
      </c>
      <c r="R1052" s="42">
        <v>1</v>
      </c>
      <c r="S1052" s="69" t="str">
        <f>_xlfn.IFNA(IF(VLOOKUP(tabPontoPed[[#This Row],[CÓDIGO]],tabExcluirDoEstoque[#Data],1,FALSE),"sim",""),"")</f>
        <v>sim</v>
      </c>
      <c r="T1052" s="43">
        <f>IF(AND(tabPontoPed[[#This Row],[MENSAL]]&gt;0,tabPontoPed[[#This Row],[CÁLCULO]]&gt;0), ABS( tabPontoPed[[#This Row],[MENSAL]] - tabPontoPed[[#This Row],[CÁLCULO]] ) / tabPontoPed[[#This Row],[MENSAL]], -1 )</f>
        <v>0</v>
      </c>
      <c r="U1052" s="58">
        <v>0</v>
      </c>
      <c r="V1052" s="35">
        <f>IF(AND(tabPontoPed[[#This Row],[MENSAL]]&gt;0,tabPontoPed[[#This Row],[CÁLCULO]]&gt;0), IF( tabPontoPed[[#This Row],[MENSAL]] - tabPontoPed[[#This Row],[CÁLCULO]] &lt; 0, -1, IF( tabPontoPed[[#This Row],[MENSAL]] - tabPontoPed[[#This Row],[CÁLCULO]] &gt; 0, 1, -8)), -9 )</f>
        <v>-8</v>
      </c>
      <c r="W1052" s="35"/>
      <c r="X1052" s="49" t="s">
        <v>1564</v>
      </c>
      <c r="Y1052" s="51">
        <v>44391.599108796298</v>
      </c>
      <c r="Z1052" s="72">
        <f>tabPontoPed[CÁLC_4M] - tabPontoPed[CÁLCULO]</f>
        <v>-1</v>
      </c>
      <c r="AA1052" s="79" t="str">
        <f>IF(tabPontoPed[MENSAL]-tabPontoPed[ATA MENSAL] = 0,"sim","")</f>
        <v/>
      </c>
      <c r="AB1052" s="79"/>
      <c r="AC1052" s="47" t="str">
        <f t="shared" si="16"/>
        <v>*</v>
      </c>
    </row>
    <row r="1053" spans="1:29" x14ac:dyDescent="0.25">
      <c r="A1053" s="36">
        <v>88992</v>
      </c>
      <c r="B1053" s="68" t="s">
        <v>577</v>
      </c>
      <c r="C1053" s="33" t="s">
        <v>1317</v>
      </c>
      <c r="D1053" s="32">
        <v>54</v>
      </c>
      <c r="E1053" s="37">
        <v>4</v>
      </c>
      <c r="F1053" s="38" t="str">
        <f>VLOOKUP(tabPontoPed[[#This Row],[GRUPO]],tabGrupos[#Data],2,FALSE)</f>
        <v>EQUIP PROT IND, INST MAT P/ SINAL, CONTR, COMB ...</v>
      </c>
      <c r="G1053" s="32" t="str">
        <f>VLOOKUP(tabPontoPed[[#This Row],[GRUPO]],tabGrupos[#Data],3,FALSE)</f>
        <v>MAN</v>
      </c>
      <c r="H1053" s="33" t="s">
        <v>1311</v>
      </c>
      <c r="I1053" s="80">
        <v>4</v>
      </c>
      <c r="J1053" s="39">
        <v>1</v>
      </c>
      <c r="K1053" s="41">
        <f>tabPontoPed[[#This Row],[QTDMÊS]] * tabPontoPed[[#This Row],[MENSAL]]</f>
        <v>4</v>
      </c>
      <c r="L1053" s="83"/>
      <c r="M1053" s="81"/>
      <c r="N1053" s="34" t="s">
        <v>1010</v>
      </c>
      <c r="O1053" s="76" t="s">
        <v>1424</v>
      </c>
      <c r="P1053" s="77"/>
      <c r="Q1053" s="57">
        <v>0</v>
      </c>
      <c r="R1053" s="42">
        <v>1</v>
      </c>
      <c r="S1053" s="69" t="str">
        <f>_xlfn.IFNA(IF(VLOOKUP(tabPontoPed[[#This Row],[CÓDIGO]],tabExcluirDoEstoque[#Data],1,FALSE),"sim",""),"")</f>
        <v>sim</v>
      </c>
      <c r="T1053" s="43">
        <f>IF(AND(tabPontoPed[[#This Row],[MENSAL]]&gt;0,tabPontoPed[[#This Row],[CÁLCULO]]&gt;0), ABS( tabPontoPed[[#This Row],[MENSAL]] - tabPontoPed[[#This Row],[CÁLCULO]] ) / tabPontoPed[[#This Row],[MENSAL]], -1 )</f>
        <v>0</v>
      </c>
      <c r="U1053" s="58">
        <v>0</v>
      </c>
      <c r="V1053" s="35">
        <f>IF(AND(tabPontoPed[[#This Row],[MENSAL]]&gt;0,tabPontoPed[[#This Row],[CÁLCULO]]&gt;0), IF( tabPontoPed[[#This Row],[MENSAL]] - tabPontoPed[[#This Row],[CÁLCULO]] &lt; 0, -1, IF( tabPontoPed[[#This Row],[MENSAL]] - tabPontoPed[[#This Row],[CÁLCULO]] &gt; 0, 1, -8)), -9 )</f>
        <v>-8</v>
      </c>
      <c r="W1053" s="35"/>
      <c r="X1053" s="49" t="s">
        <v>1564</v>
      </c>
      <c r="Y1053" s="51">
        <v>44391.599108796298</v>
      </c>
      <c r="Z1053" s="72">
        <f>tabPontoPed[CÁLC_4M] - tabPontoPed[CÁLCULO]</f>
        <v>-1</v>
      </c>
      <c r="AA1053" s="79" t="str">
        <f>IF(tabPontoPed[MENSAL]-tabPontoPed[ATA MENSAL] = 0,"sim","")</f>
        <v/>
      </c>
      <c r="AB1053" s="79"/>
      <c r="AC1053" s="47" t="str">
        <f t="shared" si="16"/>
        <v>*</v>
      </c>
    </row>
    <row r="1054" spans="1:29" x14ac:dyDescent="0.25">
      <c r="A1054" s="36">
        <v>88993</v>
      </c>
      <c r="B1054" s="68" t="s">
        <v>578</v>
      </c>
      <c r="C1054" s="33" t="s">
        <v>1317</v>
      </c>
      <c r="D1054" s="32">
        <v>54</v>
      </c>
      <c r="E1054" s="37">
        <v>4</v>
      </c>
      <c r="F1054" s="38" t="str">
        <f>VLOOKUP(tabPontoPed[[#This Row],[GRUPO]],tabGrupos[#Data],2,FALSE)</f>
        <v>EQUIP PROT IND, INST MAT P/ SINAL, CONTR, COMB ...</v>
      </c>
      <c r="G1054" s="32" t="str">
        <f>VLOOKUP(tabPontoPed[[#This Row],[GRUPO]],tabGrupos[#Data],3,FALSE)</f>
        <v>MAN</v>
      </c>
      <c r="H1054" s="33" t="s">
        <v>1311</v>
      </c>
      <c r="I1054" s="80">
        <v>4</v>
      </c>
      <c r="J1054" s="39">
        <v>1</v>
      </c>
      <c r="K1054" s="41">
        <f>tabPontoPed[[#This Row],[QTDMÊS]] * tabPontoPed[[#This Row],[MENSAL]]</f>
        <v>4</v>
      </c>
      <c r="L1054" s="83"/>
      <c r="M1054" s="81"/>
      <c r="N1054" s="34" t="s">
        <v>1010</v>
      </c>
      <c r="O1054" s="76" t="s">
        <v>1424</v>
      </c>
      <c r="P1054" s="77"/>
      <c r="Q1054" s="57">
        <v>0</v>
      </c>
      <c r="R1054" s="42">
        <v>1</v>
      </c>
      <c r="S1054" s="69" t="str">
        <f>_xlfn.IFNA(IF(VLOOKUP(tabPontoPed[[#This Row],[CÓDIGO]],tabExcluirDoEstoque[#Data],1,FALSE),"sim",""),"")</f>
        <v>sim</v>
      </c>
      <c r="T1054" s="43">
        <f>IF(AND(tabPontoPed[[#This Row],[MENSAL]]&gt;0,tabPontoPed[[#This Row],[CÁLCULO]]&gt;0), ABS( tabPontoPed[[#This Row],[MENSAL]] - tabPontoPed[[#This Row],[CÁLCULO]] ) / tabPontoPed[[#This Row],[MENSAL]], -1 )</f>
        <v>0</v>
      </c>
      <c r="U1054" s="58">
        <v>0</v>
      </c>
      <c r="V1054" s="35">
        <f>IF(AND(tabPontoPed[[#This Row],[MENSAL]]&gt;0,tabPontoPed[[#This Row],[CÁLCULO]]&gt;0), IF( tabPontoPed[[#This Row],[MENSAL]] - tabPontoPed[[#This Row],[CÁLCULO]] &lt; 0, -1, IF( tabPontoPed[[#This Row],[MENSAL]] - tabPontoPed[[#This Row],[CÁLCULO]] &gt; 0, 1, -8)), -9 )</f>
        <v>-8</v>
      </c>
      <c r="W1054" s="35"/>
      <c r="X1054" s="49" t="s">
        <v>1564</v>
      </c>
      <c r="Y1054" s="51">
        <v>44391.599108796298</v>
      </c>
      <c r="Z1054" s="72">
        <f>tabPontoPed[CÁLC_4M] - tabPontoPed[CÁLCULO]</f>
        <v>-1</v>
      </c>
      <c r="AA1054" s="79" t="str">
        <f>IF(tabPontoPed[MENSAL]-tabPontoPed[ATA MENSAL] = 0,"sim","")</f>
        <v/>
      </c>
      <c r="AB1054" s="79"/>
      <c r="AC1054" s="47" t="str">
        <f t="shared" si="16"/>
        <v>*</v>
      </c>
    </row>
    <row r="1055" spans="1:29" x14ac:dyDescent="0.25">
      <c r="A1055" s="36">
        <v>89818</v>
      </c>
      <c r="B1055" s="68" t="s">
        <v>579</v>
      </c>
      <c r="C1055" s="33" t="s">
        <v>1317</v>
      </c>
      <c r="D1055" s="32">
        <v>54</v>
      </c>
      <c r="E1055" s="37">
        <v>4</v>
      </c>
      <c r="F1055" s="38" t="str">
        <f>VLOOKUP(tabPontoPed[[#This Row],[GRUPO]],tabGrupos[#Data],2,FALSE)</f>
        <v>EQUIP PROT IND, INST MAT P/ SINAL, CONTR, COMB ...</v>
      </c>
      <c r="G1055" s="32" t="str">
        <f>VLOOKUP(tabPontoPed[[#This Row],[GRUPO]],tabGrupos[#Data],3,FALSE)</f>
        <v>MAN</v>
      </c>
      <c r="H1055" s="33" t="s">
        <v>1311</v>
      </c>
      <c r="I1055" s="80">
        <v>4</v>
      </c>
      <c r="J1055" s="39">
        <v>2</v>
      </c>
      <c r="K1055" s="41">
        <f>tabPontoPed[[#This Row],[QTDMÊS]] * tabPontoPed[[#This Row],[MENSAL]]</f>
        <v>8</v>
      </c>
      <c r="L1055" s="83"/>
      <c r="M1055" s="81"/>
      <c r="N1055" s="34" t="s">
        <v>1010</v>
      </c>
      <c r="O1055" s="76" t="s">
        <v>1424</v>
      </c>
      <c r="P1055" s="77"/>
      <c r="Q1055" s="57">
        <v>2</v>
      </c>
      <c r="R1055" s="42">
        <v>2</v>
      </c>
      <c r="S1055" s="69" t="str">
        <f>_xlfn.IFNA(IF(VLOOKUP(tabPontoPed[[#This Row],[CÓDIGO]],tabExcluirDoEstoque[#Data],1,FALSE),"sim",""),"")</f>
        <v>sim</v>
      </c>
      <c r="T1055" s="43">
        <f>IF(AND(tabPontoPed[[#This Row],[MENSAL]]&gt;0,tabPontoPed[[#This Row],[CÁLCULO]]&gt;0), ABS( tabPontoPed[[#This Row],[MENSAL]] - tabPontoPed[[#This Row],[CÁLCULO]] ) / tabPontoPed[[#This Row],[MENSAL]], -1 )</f>
        <v>0</v>
      </c>
      <c r="U1055" s="58"/>
      <c r="V1055" s="35">
        <f>IF(AND(tabPontoPed[[#This Row],[MENSAL]]&gt;0,tabPontoPed[[#This Row],[CÁLCULO]]&gt;0), IF( tabPontoPed[[#This Row],[MENSAL]] - tabPontoPed[[#This Row],[CÁLCULO]] &lt; 0, -1, IF( tabPontoPed[[#This Row],[MENSAL]] - tabPontoPed[[#This Row],[CÁLCULO]] &gt; 0, 1, -8)), -9 )</f>
        <v>-8</v>
      </c>
      <c r="W1055" s="35"/>
      <c r="X1055" s="49" t="s">
        <v>1564</v>
      </c>
      <c r="Y1055" s="51">
        <v>44391.599108796298</v>
      </c>
      <c r="Z1055" s="72">
        <f>tabPontoPed[CÁLC_4M] - tabPontoPed[CÁLCULO]</f>
        <v>0</v>
      </c>
      <c r="AA1055" s="79" t="str">
        <f>IF(tabPontoPed[MENSAL]-tabPontoPed[ATA MENSAL] = 0,"sim","")</f>
        <v/>
      </c>
      <c r="AB1055" s="79"/>
      <c r="AC1055" s="47" t="str">
        <f t="shared" si="16"/>
        <v>*</v>
      </c>
    </row>
    <row r="1056" spans="1:29" x14ac:dyDescent="0.25">
      <c r="A1056" s="36">
        <v>106027</v>
      </c>
      <c r="B1056" s="68" t="s">
        <v>586</v>
      </c>
      <c r="C1056" s="33" t="s">
        <v>1317</v>
      </c>
      <c r="D1056" s="32">
        <v>54</v>
      </c>
      <c r="E1056" s="37">
        <v>4</v>
      </c>
      <c r="F1056" s="38" t="str">
        <f>VLOOKUP(tabPontoPed[[#This Row],[GRUPO]],tabGrupos[#Data],2,FALSE)</f>
        <v>EQUIP PROT IND, INST MAT P/ SINAL, CONTR, COMB ...</v>
      </c>
      <c r="G1056" s="32" t="str">
        <f>VLOOKUP(tabPontoPed[[#This Row],[GRUPO]],tabGrupos[#Data],3,FALSE)</f>
        <v>MAN</v>
      </c>
      <c r="H1056" s="33" t="s">
        <v>1311</v>
      </c>
      <c r="I1056" s="80">
        <v>4</v>
      </c>
      <c r="J1056" s="39">
        <v>1</v>
      </c>
      <c r="K1056" s="41">
        <f>tabPontoPed[[#This Row],[QTDMÊS]] * tabPontoPed[[#This Row],[MENSAL]]</f>
        <v>4</v>
      </c>
      <c r="L1056" s="83"/>
      <c r="M1056" s="81"/>
      <c r="N1056" s="34" t="s">
        <v>1010</v>
      </c>
      <c r="O1056" s="76" t="s">
        <v>1424</v>
      </c>
      <c r="P1056" s="77"/>
      <c r="Q1056" s="57">
        <v>1</v>
      </c>
      <c r="R1056" s="42">
        <v>1</v>
      </c>
      <c r="S1056" s="69" t="str">
        <f>_xlfn.IFNA(IF(VLOOKUP(tabPontoPed[[#This Row],[CÓDIGO]],tabExcluirDoEstoque[#Data],1,FALSE),"sim",""),"")</f>
        <v>sim</v>
      </c>
      <c r="T1056" s="43">
        <f>IF(AND(tabPontoPed[[#This Row],[MENSAL]]&gt;0,tabPontoPed[[#This Row],[CÁLCULO]]&gt;0), ABS( tabPontoPed[[#This Row],[MENSAL]] - tabPontoPed[[#This Row],[CÁLCULO]] ) / tabPontoPed[[#This Row],[MENSAL]], -1 )</f>
        <v>0</v>
      </c>
      <c r="U1056" s="58"/>
      <c r="V1056" s="35">
        <f>IF(AND(tabPontoPed[[#This Row],[MENSAL]]&gt;0,tabPontoPed[[#This Row],[CÁLCULO]]&gt;0), IF( tabPontoPed[[#This Row],[MENSAL]] - tabPontoPed[[#This Row],[CÁLCULO]] &lt; 0, -1, IF( tabPontoPed[[#This Row],[MENSAL]] - tabPontoPed[[#This Row],[CÁLCULO]] &gt; 0, 1, -8)), -9 )</f>
        <v>-8</v>
      </c>
      <c r="W1056" s="35"/>
      <c r="X1056" s="49" t="s">
        <v>1564</v>
      </c>
      <c r="Y1056" s="51">
        <v>44391.599108796298</v>
      </c>
      <c r="Z1056" s="72">
        <f>tabPontoPed[CÁLC_4M] - tabPontoPed[CÁLCULO]</f>
        <v>0</v>
      </c>
      <c r="AA1056" s="79" t="str">
        <f>IF(tabPontoPed[MENSAL]-tabPontoPed[ATA MENSAL] = 0,"sim","")</f>
        <v/>
      </c>
      <c r="AB1056" s="79"/>
      <c r="AC1056" s="47" t="str">
        <f t="shared" si="16"/>
        <v>*</v>
      </c>
    </row>
    <row r="1057" spans="1:29" x14ac:dyDescent="0.25">
      <c r="A1057" s="36">
        <v>131579</v>
      </c>
      <c r="B1057" s="68" t="s">
        <v>593</v>
      </c>
      <c r="C1057" s="33" t="s">
        <v>1317</v>
      </c>
      <c r="D1057" s="32">
        <v>54</v>
      </c>
      <c r="E1057" s="37">
        <v>4</v>
      </c>
      <c r="F1057" s="38" t="str">
        <f>VLOOKUP(tabPontoPed[[#This Row],[GRUPO]],tabGrupos[#Data],2,FALSE)</f>
        <v>EQUIP PROT IND, INST MAT P/ SINAL, CONTR, COMB ...</v>
      </c>
      <c r="G1057" s="32" t="str">
        <f>VLOOKUP(tabPontoPed[[#This Row],[GRUPO]],tabGrupos[#Data],3,FALSE)</f>
        <v>MAN</v>
      </c>
      <c r="H1057" s="33" t="s">
        <v>1311</v>
      </c>
      <c r="I1057" s="80">
        <v>4</v>
      </c>
      <c r="J1057" s="39">
        <v>1</v>
      </c>
      <c r="K1057" s="41">
        <f>tabPontoPed[[#This Row],[QTDMÊS]] * tabPontoPed[[#This Row],[MENSAL]]</f>
        <v>4</v>
      </c>
      <c r="L1057" s="83"/>
      <c r="M1057" s="81"/>
      <c r="N1057" s="34" t="s">
        <v>1010</v>
      </c>
      <c r="O1057" s="76" t="s">
        <v>1424</v>
      </c>
      <c r="P1057" s="77"/>
      <c r="Q1057" s="57">
        <v>0</v>
      </c>
      <c r="R1057" s="42">
        <v>1</v>
      </c>
      <c r="S1057" s="69" t="str">
        <f>_xlfn.IFNA(IF(VLOOKUP(tabPontoPed[[#This Row],[CÓDIGO]],tabExcluirDoEstoque[#Data],1,FALSE),"sim",""),"")</f>
        <v>sim</v>
      </c>
      <c r="T1057" s="43">
        <f>IF(AND(tabPontoPed[[#This Row],[MENSAL]]&gt;0,tabPontoPed[[#This Row],[CÁLCULO]]&gt;0), ABS( tabPontoPed[[#This Row],[MENSAL]] - tabPontoPed[[#This Row],[CÁLCULO]] ) / tabPontoPed[[#This Row],[MENSAL]], -1 )</f>
        <v>0</v>
      </c>
      <c r="U1057" s="58">
        <v>0</v>
      </c>
      <c r="V1057" s="35">
        <f>IF(AND(tabPontoPed[[#This Row],[MENSAL]]&gt;0,tabPontoPed[[#This Row],[CÁLCULO]]&gt;0), IF( tabPontoPed[[#This Row],[MENSAL]] - tabPontoPed[[#This Row],[CÁLCULO]] &lt; 0, -1, IF( tabPontoPed[[#This Row],[MENSAL]] - tabPontoPed[[#This Row],[CÁLCULO]] &gt; 0, 1, -8)), -9 )</f>
        <v>-8</v>
      </c>
      <c r="W1057" s="35"/>
      <c r="X1057" s="49" t="s">
        <v>1564</v>
      </c>
      <c r="Y1057" s="51">
        <v>44391.599108796298</v>
      </c>
      <c r="Z1057" s="72">
        <f>tabPontoPed[CÁLC_4M] - tabPontoPed[CÁLCULO]</f>
        <v>-1</v>
      </c>
      <c r="AA1057" s="79" t="str">
        <f>IF(tabPontoPed[MENSAL]-tabPontoPed[ATA MENSAL] = 0,"sim","")</f>
        <v/>
      </c>
      <c r="AB1057" s="79"/>
      <c r="AC1057" s="47" t="str">
        <f t="shared" si="16"/>
        <v>*</v>
      </c>
    </row>
    <row r="1058" spans="1:29" x14ac:dyDescent="0.25">
      <c r="A1058" s="36">
        <v>128306</v>
      </c>
      <c r="B1058" s="68" t="s">
        <v>600</v>
      </c>
      <c r="C1058" s="33" t="s">
        <v>1317</v>
      </c>
      <c r="D1058" s="32">
        <v>54</v>
      </c>
      <c r="E1058" s="37">
        <v>16</v>
      </c>
      <c r="F1058" s="38" t="str">
        <f>VLOOKUP(tabPontoPed[[#This Row],[GRUPO]],tabGrupos[#Data],2,FALSE)</f>
        <v>EQUIP PROT IND, INST MAT P/ SINAL, CONTR, COMB ...</v>
      </c>
      <c r="G1058" s="32" t="str">
        <f>VLOOKUP(tabPontoPed[[#This Row],[GRUPO]],tabGrupos[#Data],3,FALSE)</f>
        <v>MAN</v>
      </c>
      <c r="H1058" s="33" t="s">
        <v>1311</v>
      </c>
      <c r="I1058" s="80">
        <v>4</v>
      </c>
      <c r="J1058" s="39">
        <v>1</v>
      </c>
      <c r="K1058" s="41">
        <f>tabPontoPed[[#This Row],[QTDMÊS]] * tabPontoPed[[#This Row],[MENSAL]]</f>
        <v>4</v>
      </c>
      <c r="L1058" s="83"/>
      <c r="M1058" s="81"/>
      <c r="N1058" s="34" t="s">
        <v>1010</v>
      </c>
      <c r="O1058" s="76" t="s">
        <v>1424</v>
      </c>
      <c r="P1058" s="77"/>
      <c r="Q1058" s="57">
        <v>1</v>
      </c>
      <c r="R1058" s="42">
        <v>1</v>
      </c>
      <c r="S1058" s="69" t="str">
        <f>_xlfn.IFNA(IF(VLOOKUP(tabPontoPed[[#This Row],[CÓDIGO]],tabExcluirDoEstoque[#Data],1,FALSE),"sim",""),"")</f>
        <v>sim</v>
      </c>
      <c r="T1058" s="43">
        <f>IF(AND(tabPontoPed[[#This Row],[MENSAL]]&gt;0,tabPontoPed[[#This Row],[CÁLCULO]]&gt;0), ABS( tabPontoPed[[#This Row],[MENSAL]] - tabPontoPed[[#This Row],[CÁLCULO]] ) / tabPontoPed[[#This Row],[MENSAL]], -1 )</f>
        <v>0</v>
      </c>
      <c r="U1058" s="58"/>
      <c r="V1058" s="35">
        <f>IF(AND(tabPontoPed[[#This Row],[MENSAL]]&gt;0,tabPontoPed[[#This Row],[CÁLCULO]]&gt;0), IF( tabPontoPed[[#This Row],[MENSAL]] - tabPontoPed[[#This Row],[CÁLCULO]] &lt; 0, -1, IF( tabPontoPed[[#This Row],[MENSAL]] - tabPontoPed[[#This Row],[CÁLCULO]] &gt; 0, 1, -8)), -9 )</f>
        <v>-8</v>
      </c>
      <c r="W1058" s="35"/>
      <c r="X1058" s="49" t="s">
        <v>1564</v>
      </c>
      <c r="Y1058" s="51">
        <v>44391.599108796298</v>
      </c>
      <c r="Z1058" s="72">
        <f>tabPontoPed[CÁLC_4M] - tabPontoPed[CÁLCULO]</f>
        <v>0</v>
      </c>
      <c r="AA1058" s="79" t="str">
        <f>IF(tabPontoPed[MENSAL]-tabPontoPed[ATA MENSAL] = 0,"sim","")</f>
        <v/>
      </c>
      <c r="AB1058" s="79"/>
      <c r="AC1058" s="47" t="str">
        <f t="shared" si="16"/>
        <v>*</v>
      </c>
    </row>
    <row r="1059" spans="1:29" x14ac:dyDescent="0.25">
      <c r="A1059" s="36">
        <v>128302</v>
      </c>
      <c r="B1059" s="68" t="s">
        <v>598</v>
      </c>
      <c r="C1059" s="33" t="s">
        <v>1317</v>
      </c>
      <c r="D1059" s="32">
        <v>54</v>
      </c>
      <c r="E1059" s="37">
        <v>16</v>
      </c>
      <c r="F1059" s="38" t="str">
        <f>VLOOKUP(tabPontoPed[[#This Row],[GRUPO]],tabGrupos[#Data],2,FALSE)</f>
        <v>EQUIP PROT IND, INST MAT P/ SINAL, CONTR, COMB ...</v>
      </c>
      <c r="G1059" s="32" t="str">
        <f>VLOOKUP(tabPontoPed[[#This Row],[GRUPO]],tabGrupos[#Data],3,FALSE)</f>
        <v>MAN</v>
      </c>
      <c r="H1059" s="33" t="s">
        <v>1311</v>
      </c>
      <c r="I1059" s="80">
        <v>4</v>
      </c>
      <c r="J1059" s="39">
        <v>1</v>
      </c>
      <c r="K1059" s="41">
        <f>tabPontoPed[[#This Row],[QTDMÊS]] * tabPontoPed[[#This Row],[MENSAL]]</f>
        <v>4</v>
      </c>
      <c r="L1059" s="83"/>
      <c r="M1059" s="81"/>
      <c r="N1059" s="34" t="s">
        <v>1010</v>
      </c>
      <c r="O1059" s="76" t="s">
        <v>1424</v>
      </c>
      <c r="P1059" s="77"/>
      <c r="Q1059" s="57">
        <v>1</v>
      </c>
      <c r="R1059" s="42">
        <v>1</v>
      </c>
      <c r="S1059" s="69" t="str">
        <f>_xlfn.IFNA(IF(VLOOKUP(tabPontoPed[[#This Row],[CÓDIGO]],tabExcluirDoEstoque[#Data],1,FALSE),"sim",""),"")</f>
        <v>sim</v>
      </c>
      <c r="T1059" s="43">
        <f>IF(AND(tabPontoPed[[#This Row],[MENSAL]]&gt;0,tabPontoPed[[#This Row],[CÁLCULO]]&gt;0), ABS( tabPontoPed[[#This Row],[MENSAL]] - tabPontoPed[[#This Row],[CÁLCULO]] ) / tabPontoPed[[#This Row],[MENSAL]], -1 )</f>
        <v>0</v>
      </c>
      <c r="U1059" s="58"/>
      <c r="V1059" s="35">
        <f>IF(AND(tabPontoPed[[#This Row],[MENSAL]]&gt;0,tabPontoPed[[#This Row],[CÁLCULO]]&gt;0), IF( tabPontoPed[[#This Row],[MENSAL]] - tabPontoPed[[#This Row],[CÁLCULO]] &lt; 0, -1, IF( tabPontoPed[[#This Row],[MENSAL]] - tabPontoPed[[#This Row],[CÁLCULO]] &gt; 0, 1, -8)), -9 )</f>
        <v>-8</v>
      </c>
      <c r="W1059" s="35"/>
      <c r="X1059" s="49" t="s">
        <v>1564</v>
      </c>
      <c r="Y1059" s="51">
        <v>44391.599108796298</v>
      </c>
      <c r="Z1059" s="72">
        <f>tabPontoPed[CÁLC_4M] - tabPontoPed[CÁLCULO]</f>
        <v>0</v>
      </c>
      <c r="AA1059" s="79" t="str">
        <f>IF(tabPontoPed[MENSAL]-tabPontoPed[ATA MENSAL] = 0,"sim","")</f>
        <v/>
      </c>
      <c r="AB1059" s="79"/>
      <c r="AC1059" s="47" t="str">
        <f t="shared" si="16"/>
        <v>*</v>
      </c>
    </row>
    <row r="1060" spans="1:29" x14ac:dyDescent="0.25">
      <c r="A1060" s="36">
        <v>104625</v>
      </c>
      <c r="B1060" s="68" t="s">
        <v>607</v>
      </c>
      <c r="C1060" s="33" t="s">
        <v>1317</v>
      </c>
      <c r="D1060" s="32">
        <v>54</v>
      </c>
      <c r="E1060" s="37">
        <v>19</v>
      </c>
      <c r="F1060" s="38" t="str">
        <f>VLOOKUP(tabPontoPed[[#This Row],[GRUPO]],tabGrupos[#Data],2,FALSE)</f>
        <v>EQUIP PROT IND, INST MAT P/ SINAL, CONTR, COMB ...</v>
      </c>
      <c r="G1060" s="32" t="str">
        <f>VLOOKUP(tabPontoPed[[#This Row],[GRUPO]],tabGrupos[#Data],3,FALSE)</f>
        <v>MAN</v>
      </c>
      <c r="H1060" s="33" t="s">
        <v>1311</v>
      </c>
      <c r="I1060" s="80">
        <v>4</v>
      </c>
      <c r="J1060" s="39">
        <v>1</v>
      </c>
      <c r="K1060" s="41">
        <f>tabPontoPed[[#This Row],[QTDMÊS]] * tabPontoPed[[#This Row],[MENSAL]]</f>
        <v>4</v>
      </c>
      <c r="L1060" s="83"/>
      <c r="M1060" s="81"/>
      <c r="N1060" s="34" t="s">
        <v>1010</v>
      </c>
      <c r="O1060" s="76" t="s">
        <v>1424</v>
      </c>
      <c r="P1060" s="77"/>
      <c r="Q1060" s="57">
        <v>0</v>
      </c>
      <c r="R1060" s="42">
        <v>1</v>
      </c>
      <c r="S1060" s="69" t="str">
        <f>_xlfn.IFNA(IF(VLOOKUP(tabPontoPed[[#This Row],[CÓDIGO]],tabExcluirDoEstoque[#Data],1,FALSE),"sim",""),"")</f>
        <v>sim</v>
      </c>
      <c r="T1060" s="43">
        <f>IF(AND(tabPontoPed[[#This Row],[MENSAL]]&gt;0,tabPontoPed[[#This Row],[CÁLCULO]]&gt;0), ABS( tabPontoPed[[#This Row],[MENSAL]] - tabPontoPed[[#This Row],[CÁLCULO]] ) / tabPontoPed[[#This Row],[MENSAL]], -1 )</f>
        <v>0</v>
      </c>
      <c r="U1060" s="58">
        <v>7</v>
      </c>
      <c r="V1060" s="35">
        <f>IF(AND(tabPontoPed[[#This Row],[MENSAL]]&gt;0,tabPontoPed[[#This Row],[CÁLCULO]]&gt;0), IF( tabPontoPed[[#This Row],[MENSAL]] - tabPontoPed[[#This Row],[CÁLCULO]] &lt; 0, -1, IF( tabPontoPed[[#This Row],[MENSAL]] - tabPontoPed[[#This Row],[CÁLCULO]] &gt; 0, 1, -8)), -9 )</f>
        <v>-8</v>
      </c>
      <c r="W1060" s="35"/>
      <c r="X1060" s="49" t="s">
        <v>1564</v>
      </c>
      <c r="Y1060" s="51">
        <v>44391.599108796298</v>
      </c>
      <c r="Z1060" s="72">
        <f>tabPontoPed[CÁLC_4M] - tabPontoPed[CÁLCULO]</f>
        <v>-1</v>
      </c>
      <c r="AA1060" s="79" t="str">
        <f>IF(tabPontoPed[MENSAL]-tabPontoPed[ATA MENSAL] = 0,"sim","")</f>
        <v/>
      </c>
      <c r="AB1060" s="79"/>
      <c r="AC1060" s="47" t="str">
        <f t="shared" si="16"/>
        <v>*</v>
      </c>
    </row>
    <row r="1061" spans="1:29" x14ac:dyDescent="0.25">
      <c r="A1061" s="36">
        <v>104641</v>
      </c>
      <c r="B1061" s="68" t="s">
        <v>610</v>
      </c>
      <c r="C1061" s="33" t="s">
        <v>1317</v>
      </c>
      <c r="D1061" s="32">
        <v>54</v>
      </c>
      <c r="E1061" s="37">
        <v>19</v>
      </c>
      <c r="F1061" s="38" t="str">
        <f>VLOOKUP(tabPontoPed[[#This Row],[GRUPO]],tabGrupos[#Data],2,FALSE)</f>
        <v>EQUIP PROT IND, INST MAT P/ SINAL, CONTR, COMB ...</v>
      </c>
      <c r="G1061" s="32" t="str">
        <f>VLOOKUP(tabPontoPed[[#This Row],[GRUPO]],tabGrupos[#Data],3,FALSE)</f>
        <v>MAN</v>
      </c>
      <c r="H1061" s="33" t="s">
        <v>1311</v>
      </c>
      <c r="I1061" s="80">
        <v>4</v>
      </c>
      <c r="J1061" s="39">
        <v>1</v>
      </c>
      <c r="K1061" s="41">
        <f>tabPontoPed[[#This Row],[QTDMÊS]] * tabPontoPed[[#This Row],[MENSAL]]</f>
        <v>4</v>
      </c>
      <c r="L1061" s="83"/>
      <c r="M1061" s="81"/>
      <c r="N1061" s="34" t="s">
        <v>1010</v>
      </c>
      <c r="O1061" s="76" t="s">
        <v>1424</v>
      </c>
      <c r="P1061" s="77"/>
      <c r="Q1061" s="57">
        <v>0</v>
      </c>
      <c r="R1061" s="42">
        <v>1</v>
      </c>
      <c r="S1061" s="69" t="str">
        <f>_xlfn.IFNA(IF(VLOOKUP(tabPontoPed[[#This Row],[CÓDIGO]],tabExcluirDoEstoque[#Data],1,FALSE),"sim",""),"")</f>
        <v>sim</v>
      </c>
      <c r="T1061" s="43">
        <f>IF(AND(tabPontoPed[[#This Row],[MENSAL]]&gt;0,tabPontoPed[[#This Row],[CÁLCULO]]&gt;0), ABS( tabPontoPed[[#This Row],[MENSAL]] - tabPontoPed[[#This Row],[CÁLCULO]] ) / tabPontoPed[[#This Row],[MENSAL]], -1 )</f>
        <v>0</v>
      </c>
      <c r="U1061" s="58">
        <v>0</v>
      </c>
      <c r="V1061" s="35">
        <f>IF(AND(tabPontoPed[[#This Row],[MENSAL]]&gt;0,tabPontoPed[[#This Row],[CÁLCULO]]&gt;0), IF( tabPontoPed[[#This Row],[MENSAL]] - tabPontoPed[[#This Row],[CÁLCULO]] &lt; 0, -1, IF( tabPontoPed[[#This Row],[MENSAL]] - tabPontoPed[[#This Row],[CÁLCULO]] &gt; 0, 1, -8)), -9 )</f>
        <v>-8</v>
      </c>
      <c r="W1061" s="35"/>
      <c r="X1061" s="49" t="s">
        <v>1564</v>
      </c>
      <c r="Y1061" s="51">
        <v>44391.599108796298</v>
      </c>
      <c r="Z1061" s="72">
        <f>tabPontoPed[CÁLC_4M] - tabPontoPed[CÁLCULO]</f>
        <v>-1</v>
      </c>
      <c r="AA1061" s="79" t="str">
        <f>IF(tabPontoPed[MENSAL]-tabPontoPed[ATA MENSAL] = 0,"sim","")</f>
        <v/>
      </c>
      <c r="AB1061" s="79"/>
      <c r="AC1061" s="47" t="str">
        <f t="shared" si="16"/>
        <v>*</v>
      </c>
    </row>
    <row r="1062" spans="1:29" x14ac:dyDescent="0.25">
      <c r="A1062" s="36">
        <v>104642</v>
      </c>
      <c r="B1062" s="68" t="s">
        <v>611</v>
      </c>
      <c r="C1062" s="33" t="s">
        <v>1317</v>
      </c>
      <c r="D1062" s="32">
        <v>54</v>
      </c>
      <c r="E1062" s="37">
        <v>19</v>
      </c>
      <c r="F1062" s="38" t="str">
        <f>VLOOKUP(tabPontoPed[[#This Row],[GRUPO]],tabGrupos[#Data],2,FALSE)</f>
        <v>EQUIP PROT IND, INST MAT P/ SINAL, CONTR, COMB ...</v>
      </c>
      <c r="G1062" s="32" t="str">
        <f>VLOOKUP(tabPontoPed[[#This Row],[GRUPO]],tabGrupos[#Data],3,FALSE)</f>
        <v>MAN</v>
      </c>
      <c r="H1062" s="33" t="s">
        <v>1311</v>
      </c>
      <c r="I1062" s="80">
        <v>4</v>
      </c>
      <c r="J1062" s="39">
        <v>1</v>
      </c>
      <c r="K1062" s="41">
        <f>tabPontoPed[[#This Row],[QTDMÊS]] * tabPontoPed[[#This Row],[MENSAL]]</f>
        <v>4</v>
      </c>
      <c r="L1062" s="83"/>
      <c r="M1062" s="81"/>
      <c r="N1062" s="34" t="s">
        <v>1010</v>
      </c>
      <c r="O1062" s="76" t="s">
        <v>1424</v>
      </c>
      <c r="P1062" s="77"/>
      <c r="Q1062" s="57">
        <v>0</v>
      </c>
      <c r="R1062" s="42">
        <v>1</v>
      </c>
      <c r="S1062" s="69" t="str">
        <f>_xlfn.IFNA(IF(VLOOKUP(tabPontoPed[[#This Row],[CÓDIGO]],tabExcluirDoEstoque[#Data],1,FALSE),"sim",""),"")</f>
        <v>sim</v>
      </c>
      <c r="T1062" s="43">
        <f>IF(AND(tabPontoPed[[#This Row],[MENSAL]]&gt;0,tabPontoPed[[#This Row],[CÁLCULO]]&gt;0), ABS( tabPontoPed[[#This Row],[MENSAL]] - tabPontoPed[[#This Row],[CÁLCULO]] ) / tabPontoPed[[#This Row],[MENSAL]], -1 )</f>
        <v>0</v>
      </c>
      <c r="U1062" s="58">
        <v>0</v>
      </c>
      <c r="V1062" s="35">
        <f>IF(AND(tabPontoPed[[#This Row],[MENSAL]]&gt;0,tabPontoPed[[#This Row],[CÁLCULO]]&gt;0), IF( tabPontoPed[[#This Row],[MENSAL]] - tabPontoPed[[#This Row],[CÁLCULO]] &lt; 0, -1, IF( tabPontoPed[[#This Row],[MENSAL]] - tabPontoPed[[#This Row],[CÁLCULO]] &gt; 0, 1, -8)), -9 )</f>
        <v>-8</v>
      </c>
      <c r="W1062" s="35"/>
      <c r="X1062" s="49" t="s">
        <v>1564</v>
      </c>
      <c r="Y1062" s="51">
        <v>44391.599108796298</v>
      </c>
      <c r="Z1062" s="72">
        <f>tabPontoPed[CÁLC_4M] - tabPontoPed[CÁLCULO]</f>
        <v>-1</v>
      </c>
      <c r="AA1062" s="79" t="str">
        <f>IF(tabPontoPed[MENSAL]-tabPontoPed[ATA MENSAL] = 0,"sim","")</f>
        <v/>
      </c>
      <c r="AB1062" s="79"/>
      <c r="AC1062" s="47" t="str">
        <f t="shared" si="16"/>
        <v>*</v>
      </c>
    </row>
    <row r="1063" spans="1:29" x14ac:dyDescent="0.25">
      <c r="A1063" s="36">
        <v>58117</v>
      </c>
      <c r="B1063" s="68" t="s">
        <v>918</v>
      </c>
      <c r="C1063" s="33" t="s">
        <v>1317</v>
      </c>
      <c r="D1063" s="32">
        <v>70</v>
      </c>
      <c r="E1063" s="37">
        <v>38</v>
      </c>
      <c r="F1063" s="38" t="str">
        <f>VLOOKUP(tabPontoPed[[#This Row],[GRUPO]],tabGrupos[#Data],2,FALSE)</f>
        <v>FERRAMENTAS MAQ.FERRAMENTAS,ELETR.PECAS E ACESSORI</v>
      </c>
      <c r="G1063" s="32" t="str">
        <f>VLOOKUP(tabPontoPed[[#This Row],[GRUPO]],tabGrupos[#Data],3,FALSE)</f>
        <v>MAN</v>
      </c>
      <c r="H1063" s="33" t="s">
        <v>1311</v>
      </c>
      <c r="I1063" s="80">
        <v>4</v>
      </c>
      <c r="J1063" s="39">
        <v>9</v>
      </c>
      <c r="K1063" s="41">
        <f>tabPontoPed[[#This Row],[QTDMÊS]] * tabPontoPed[[#This Row],[MENSAL]]</f>
        <v>36</v>
      </c>
      <c r="L1063" s="83"/>
      <c r="M1063" s="81"/>
      <c r="N1063" s="34" t="s">
        <v>1009</v>
      </c>
      <c r="O1063" s="76"/>
      <c r="P1063" s="77">
        <v>0</v>
      </c>
      <c r="Q1063" s="57">
        <v>10</v>
      </c>
      <c r="R1063" s="42">
        <v>9</v>
      </c>
      <c r="S1063" s="69" t="str">
        <f>_xlfn.IFNA(IF(VLOOKUP(tabPontoPed[[#This Row],[CÓDIGO]],tabExcluirDoEstoque[#Data],1,FALSE),"sim",""),"")</f>
        <v>sim</v>
      </c>
      <c r="T1063" s="43">
        <f>IF(AND(tabPontoPed[[#This Row],[MENSAL]]&gt;0,tabPontoPed[[#This Row],[CÁLCULO]]&gt;0), ABS( tabPontoPed[[#This Row],[MENSAL]] - tabPontoPed[[#This Row],[CÁLCULO]] ) / tabPontoPed[[#This Row],[MENSAL]], -1 )</f>
        <v>0</v>
      </c>
      <c r="U1063" s="58">
        <v>20</v>
      </c>
      <c r="V1063" s="35">
        <f>IF(AND(tabPontoPed[[#This Row],[MENSAL]]&gt;0,tabPontoPed[[#This Row],[CÁLCULO]]&gt;0), IF( tabPontoPed[[#This Row],[MENSAL]] - tabPontoPed[[#This Row],[CÁLCULO]] &lt; 0, -1, IF( tabPontoPed[[#This Row],[MENSAL]] - tabPontoPed[[#This Row],[CÁLCULO]] &gt; 0, 1, -8)), -9 )</f>
        <v>-8</v>
      </c>
      <c r="W1063" s="35"/>
      <c r="X1063" s="49" t="s">
        <v>1564</v>
      </c>
      <c r="Y1063" s="51">
        <v>44391.599108796298</v>
      </c>
      <c r="Z1063" s="72">
        <f>tabPontoPed[CÁLC_4M] - tabPontoPed[CÁLCULO]</f>
        <v>1</v>
      </c>
      <c r="AA1063" s="79" t="str">
        <f>IF(tabPontoPed[MENSAL]-tabPontoPed[ATA MENSAL] = 0,"sim","")</f>
        <v/>
      </c>
      <c r="AB1063" s="79"/>
      <c r="AC1063" s="47" t="str">
        <f t="shared" si="16"/>
        <v>*</v>
      </c>
    </row>
    <row r="1064" spans="1:29" x14ac:dyDescent="0.25">
      <c r="A1064" s="36">
        <v>13225</v>
      </c>
      <c r="B1064" s="68" t="s">
        <v>506</v>
      </c>
      <c r="C1064" s="33" t="s">
        <v>1317</v>
      </c>
      <c r="D1064" s="32">
        <v>51</v>
      </c>
      <c r="E1064" s="37">
        <v>11</v>
      </c>
      <c r="F1064" s="38" t="str">
        <f>VLOOKUP(tabPontoPed[[#This Row],[GRUPO]],tabGrupos[#Data],2,FALSE)</f>
        <v>MAT.E EQUIP. P/ CONSTR.CIVIL E CONSERV. DE VIAS PUBL.</v>
      </c>
      <c r="G1064" s="32" t="str">
        <f>VLOOKUP(tabPontoPed[[#This Row],[GRUPO]],tabGrupos[#Data],3,FALSE)</f>
        <v>MCO</v>
      </c>
      <c r="H1064" s="33" t="s">
        <v>1311</v>
      </c>
      <c r="I1064" s="80">
        <v>4</v>
      </c>
      <c r="J1064" s="39">
        <v>19</v>
      </c>
      <c r="K1064" s="41">
        <f>tabPontoPed[[#This Row],[QTDMÊS]] * tabPontoPed[[#This Row],[MENSAL]]</f>
        <v>76</v>
      </c>
      <c r="L1064" s="83"/>
      <c r="M1064" s="81"/>
      <c r="N1064" s="34" t="s">
        <v>1010</v>
      </c>
      <c r="O1064" s="76" t="s">
        <v>1424</v>
      </c>
      <c r="P1064" s="77"/>
      <c r="Q1064" s="57">
        <v>19</v>
      </c>
      <c r="R1064" s="42">
        <v>19</v>
      </c>
      <c r="S1064" s="69" t="str">
        <f>_xlfn.IFNA(IF(VLOOKUP(tabPontoPed[[#This Row],[CÓDIGO]],tabExcluirDoEstoque[#Data],1,FALSE),"sim",""),"")</f>
        <v>sim</v>
      </c>
      <c r="T1064" s="43">
        <f>IF(AND(tabPontoPed[[#This Row],[MENSAL]]&gt;0,tabPontoPed[[#This Row],[CÁLCULO]]&gt;0), ABS( tabPontoPed[[#This Row],[MENSAL]] - tabPontoPed[[#This Row],[CÁLCULO]] ) / tabPontoPed[[#This Row],[MENSAL]], -1 )</f>
        <v>0</v>
      </c>
      <c r="U1064" s="58"/>
      <c r="V1064" s="35">
        <f>IF(AND(tabPontoPed[[#This Row],[MENSAL]]&gt;0,tabPontoPed[[#This Row],[CÁLCULO]]&gt;0), IF( tabPontoPed[[#This Row],[MENSAL]] - tabPontoPed[[#This Row],[CÁLCULO]] &lt; 0, -1, IF( tabPontoPed[[#This Row],[MENSAL]] - tabPontoPed[[#This Row],[CÁLCULO]] &gt; 0, 1, -8)), -9 )</f>
        <v>-8</v>
      </c>
      <c r="W1064" s="35"/>
      <c r="X1064" s="49" t="s">
        <v>1564</v>
      </c>
      <c r="Y1064" s="51">
        <v>44391.599108796298</v>
      </c>
      <c r="Z1064" s="72">
        <f>tabPontoPed[CÁLC_4M] - tabPontoPed[CÁLCULO]</f>
        <v>0</v>
      </c>
      <c r="AA1064" s="79" t="str">
        <f>IF(tabPontoPed[MENSAL]-tabPontoPed[ATA MENSAL] = 0,"sim","")</f>
        <v/>
      </c>
      <c r="AB1064" s="79"/>
      <c r="AC1064" s="47" t="str">
        <f t="shared" si="16"/>
        <v>*</v>
      </c>
    </row>
    <row r="1065" spans="1:29" x14ac:dyDescent="0.25">
      <c r="A1065" s="36">
        <v>134542</v>
      </c>
      <c r="B1065" s="68" t="s">
        <v>243</v>
      </c>
      <c r="C1065" s="33" t="s">
        <v>1317</v>
      </c>
      <c r="D1065" s="32">
        <v>51</v>
      </c>
      <c r="E1065" s="37">
        <v>21</v>
      </c>
      <c r="F1065" s="38" t="str">
        <f>VLOOKUP(tabPontoPed[[#This Row],[GRUPO]],tabGrupos[#Data],2,FALSE)</f>
        <v>MAT.E EQUIP. P/ CONSTR.CIVIL E CONSERV. DE VIAS PUBL.</v>
      </c>
      <c r="G1065" s="32" t="str">
        <f>VLOOKUP(tabPontoPed[[#This Row],[GRUPO]],tabGrupos[#Data],3,FALSE)</f>
        <v>MCO</v>
      </c>
      <c r="H1065" s="33" t="s">
        <v>1311</v>
      </c>
      <c r="I1065" s="80">
        <v>4</v>
      </c>
      <c r="J1065" s="39">
        <v>155</v>
      </c>
      <c r="K1065" s="41">
        <f>tabPontoPed[[#This Row],[QTDMÊS]] * tabPontoPed[[#This Row],[MENSAL]]</f>
        <v>620</v>
      </c>
      <c r="L1065" s="83"/>
      <c r="M1065" s="81"/>
      <c r="N1065" s="34" t="s">
        <v>1009</v>
      </c>
      <c r="O1065" s="76" t="s">
        <v>1503</v>
      </c>
      <c r="P1065" s="77">
        <v>125</v>
      </c>
      <c r="Q1065" s="57">
        <v>246</v>
      </c>
      <c r="R1065" s="42">
        <v>155</v>
      </c>
      <c r="S1065" s="69" t="str">
        <f>_xlfn.IFNA(IF(VLOOKUP(tabPontoPed[[#This Row],[CÓDIGO]],tabExcluirDoEstoque[#Data],1,FALSE),"sim",""),"")</f>
        <v>sim</v>
      </c>
      <c r="T1065" s="43">
        <f>IF(AND(tabPontoPed[[#This Row],[MENSAL]]&gt;0,tabPontoPed[[#This Row],[CÁLCULO]]&gt;0), ABS( tabPontoPed[[#This Row],[MENSAL]] - tabPontoPed[[#This Row],[CÁLCULO]] ) / tabPontoPed[[#This Row],[MENSAL]], -1 )</f>
        <v>0</v>
      </c>
      <c r="U1065" s="58">
        <v>698</v>
      </c>
      <c r="V1065" s="35">
        <f>IF(AND(tabPontoPed[[#This Row],[MENSAL]]&gt;0,tabPontoPed[[#This Row],[CÁLCULO]]&gt;0), IF( tabPontoPed[[#This Row],[MENSAL]] - tabPontoPed[[#This Row],[CÁLCULO]] &lt; 0, -1, IF( tabPontoPed[[#This Row],[MENSAL]] - tabPontoPed[[#This Row],[CÁLCULO]] &gt; 0, 1, -8)), -9 )</f>
        <v>-8</v>
      </c>
      <c r="W1065" s="35"/>
      <c r="X1065" s="49" t="s">
        <v>1564</v>
      </c>
      <c r="Y1065" s="51">
        <v>44391.599108796298</v>
      </c>
      <c r="Z1065" s="72">
        <f>tabPontoPed[CÁLC_4M] - tabPontoPed[CÁLCULO]</f>
        <v>91</v>
      </c>
      <c r="AA1065" s="79" t="str">
        <f>IF(tabPontoPed[MENSAL]-tabPontoPed[ATA MENSAL] = 0,"sim","")</f>
        <v/>
      </c>
      <c r="AB1065" s="79"/>
      <c r="AC1065" s="47" t="str">
        <f t="shared" si="16"/>
        <v>*</v>
      </c>
    </row>
    <row r="1066" spans="1:29" x14ac:dyDescent="0.25">
      <c r="A1066" s="36">
        <v>119514</v>
      </c>
      <c r="B1066" s="68" t="s">
        <v>546</v>
      </c>
      <c r="C1066" s="33" t="s">
        <v>1317</v>
      </c>
      <c r="D1066" s="32">
        <v>51</v>
      </c>
      <c r="E1066" s="37">
        <v>28</v>
      </c>
      <c r="F1066" s="38" t="str">
        <f>VLOOKUP(tabPontoPed[[#This Row],[GRUPO]],tabGrupos[#Data],2,FALSE)</f>
        <v>MAT.E EQUIP. P/ CONSTR.CIVIL E CONSERV. DE VIAS PUBL.</v>
      </c>
      <c r="G1066" s="32" t="str">
        <f>VLOOKUP(tabPontoPed[[#This Row],[GRUPO]],tabGrupos[#Data],3,FALSE)</f>
        <v>MCO</v>
      </c>
      <c r="H1066" s="33" t="s">
        <v>1311</v>
      </c>
      <c r="I1066" s="80">
        <v>4</v>
      </c>
      <c r="J1066" s="39">
        <v>10</v>
      </c>
      <c r="K1066" s="41">
        <f>tabPontoPed[[#This Row],[QTDMÊS]] * tabPontoPed[[#This Row],[MENSAL]]</f>
        <v>40</v>
      </c>
      <c r="L1066" s="83"/>
      <c r="M1066" s="81"/>
      <c r="N1066" s="34" t="s">
        <v>1010</v>
      </c>
      <c r="O1066" s="76" t="s">
        <v>1424</v>
      </c>
      <c r="P1066" s="77"/>
      <c r="Q1066" s="57">
        <v>10</v>
      </c>
      <c r="R1066" s="42">
        <v>10</v>
      </c>
      <c r="S1066" s="69" t="str">
        <f>_xlfn.IFNA(IF(VLOOKUP(tabPontoPed[[#This Row],[CÓDIGO]],tabExcluirDoEstoque[#Data],1,FALSE),"sim",""),"")</f>
        <v>sim</v>
      </c>
      <c r="T1066" s="43">
        <f>IF(AND(tabPontoPed[[#This Row],[MENSAL]]&gt;0,tabPontoPed[[#This Row],[CÁLCULO]]&gt;0), ABS( tabPontoPed[[#This Row],[MENSAL]] - tabPontoPed[[#This Row],[CÁLCULO]] ) / tabPontoPed[[#This Row],[MENSAL]], -1 )</f>
        <v>0</v>
      </c>
      <c r="U1066" s="58"/>
      <c r="V1066" s="35">
        <f>IF(AND(tabPontoPed[[#This Row],[MENSAL]]&gt;0,tabPontoPed[[#This Row],[CÁLCULO]]&gt;0), IF( tabPontoPed[[#This Row],[MENSAL]] - tabPontoPed[[#This Row],[CÁLCULO]] &lt; 0, -1, IF( tabPontoPed[[#This Row],[MENSAL]] - tabPontoPed[[#This Row],[CÁLCULO]] &gt; 0, 1, -8)), -9 )</f>
        <v>-8</v>
      </c>
      <c r="W1066" s="35"/>
      <c r="X1066" s="49" t="s">
        <v>1564</v>
      </c>
      <c r="Y1066" s="51">
        <v>44391.599108796298</v>
      </c>
      <c r="Z1066" s="72">
        <f>tabPontoPed[CÁLC_4M] - tabPontoPed[CÁLCULO]</f>
        <v>0</v>
      </c>
      <c r="AA1066" s="79" t="str">
        <f>IF(tabPontoPed[MENSAL]-tabPontoPed[ATA MENSAL] = 0,"sim","")</f>
        <v/>
      </c>
      <c r="AB1066" s="79"/>
      <c r="AC1066" s="47" t="str">
        <f t="shared" si="16"/>
        <v>*</v>
      </c>
    </row>
    <row r="1067" spans="1:29" x14ac:dyDescent="0.25">
      <c r="A1067" s="36">
        <v>64819</v>
      </c>
      <c r="B1067" s="68" t="s">
        <v>214</v>
      </c>
      <c r="C1067" s="33" t="s">
        <v>1317</v>
      </c>
      <c r="D1067" s="32">
        <v>51</v>
      </c>
      <c r="E1067" s="37">
        <v>30</v>
      </c>
      <c r="F1067" s="38" t="str">
        <f>VLOOKUP(tabPontoPed[[#This Row],[GRUPO]],tabGrupos[#Data],2,FALSE)</f>
        <v>MAT.E EQUIP. P/ CONSTR.CIVIL E CONSERV. DE VIAS PUBL.</v>
      </c>
      <c r="G1067" s="32" t="str">
        <f>VLOOKUP(tabPontoPed[[#This Row],[GRUPO]],tabGrupos[#Data],3,FALSE)</f>
        <v>MCO</v>
      </c>
      <c r="H1067" s="33" t="s">
        <v>1311</v>
      </c>
      <c r="I1067" s="80">
        <v>4</v>
      </c>
      <c r="J1067" s="39">
        <v>15</v>
      </c>
      <c r="K1067" s="41">
        <f>tabPontoPed[[#This Row],[QTDMÊS]] * tabPontoPed[[#This Row],[MENSAL]]</f>
        <v>60</v>
      </c>
      <c r="L1067" s="83"/>
      <c r="M1067" s="81"/>
      <c r="N1067" s="34" t="s">
        <v>1009</v>
      </c>
      <c r="O1067" s="76" t="s">
        <v>1437</v>
      </c>
      <c r="P1067" s="77"/>
      <c r="Q1067" s="57">
        <v>15</v>
      </c>
      <c r="R1067" s="42">
        <v>15</v>
      </c>
      <c r="S1067" s="69" t="str">
        <f>_xlfn.IFNA(IF(VLOOKUP(tabPontoPed[[#This Row],[CÓDIGO]],tabExcluirDoEstoque[#Data],1,FALSE),"sim",""),"")</f>
        <v>sim</v>
      </c>
      <c r="T1067" s="43">
        <f>IF(AND(tabPontoPed[[#This Row],[MENSAL]]&gt;0,tabPontoPed[[#This Row],[CÁLCULO]]&gt;0), ABS( tabPontoPed[[#This Row],[MENSAL]] - tabPontoPed[[#This Row],[CÁLCULO]] ) / tabPontoPed[[#This Row],[MENSAL]], -1 )</f>
        <v>0</v>
      </c>
      <c r="U1067" s="58">
        <v>70</v>
      </c>
      <c r="V1067" s="35">
        <f>IF(AND(tabPontoPed[[#This Row],[MENSAL]]&gt;0,tabPontoPed[[#This Row],[CÁLCULO]]&gt;0), IF( tabPontoPed[[#This Row],[MENSAL]] - tabPontoPed[[#This Row],[CÁLCULO]] &lt; 0, -1, IF( tabPontoPed[[#This Row],[MENSAL]] - tabPontoPed[[#This Row],[CÁLCULO]] &gt; 0, 1, -8)), -9 )</f>
        <v>-8</v>
      </c>
      <c r="W1067" s="35"/>
      <c r="X1067" s="49" t="s">
        <v>1564</v>
      </c>
      <c r="Y1067" s="51">
        <v>44391.599108796298</v>
      </c>
      <c r="Z1067" s="72">
        <f>tabPontoPed[CÁLC_4M] - tabPontoPed[CÁLCULO]</f>
        <v>0</v>
      </c>
      <c r="AA1067" s="79" t="str">
        <f>IF(tabPontoPed[MENSAL]-tabPontoPed[ATA MENSAL] = 0,"sim","")</f>
        <v/>
      </c>
      <c r="AB1067" s="79"/>
      <c r="AC1067" s="47" t="str">
        <f t="shared" si="16"/>
        <v>*</v>
      </c>
    </row>
    <row r="1068" spans="1:29" x14ac:dyDescent="0.25">
      <c r="A1068" s="36">
        <v>104832</v>
      </c>
      <c r="B1068" s="68" t="s">
        <v>204</v>
      </c>
      <c r="C1068" s="33" t="s">
        <v>1317</v>
      </c>
      <c r="D1068" s="32">
        <v>51</v>
      </c>
      <c r="E1068" s="37">
        <v>37</v>
      </c>
      <c r="F1068" s="38" t="str">
        <f>VLOOKUP(tabPontoPed[[#This Row],[GRUPO]],tabGrupos[#Data],2,FALSE)</f>
        <v>MAT.E EQUIP. P/ CONSTR.CIVIL E CONSERV. DE VIAS PUBL.</v>
      </c>
      <c r="G1068" s="32" t="str">
        <f>VLOOKUP(tabPontoPed[[#This Row],[GRUPO]],tabGrupos[#Data],3,FALSE)</f>
        <v>MCO</v>
      </c>
      <c r="H1068" s="33" t="s">
        <v>1311</v>
      </c>
      <c r="I1068" s="80">
        <v>4</v>
      </c>
      <c r="J1068" s="39">
        <v>11</v>
      </c>
      <c r="K1068" s="41">
        <f>tabPontoPed[[#This Row],[QTDMÊS]] * tabPontoPed[[#This Row],[MENSAL]]</f>
        <v>44</v>
      </c>
      <c r="L1068" s="83"/>
      <c r="M1068" s="81"/>
      <c r="N1068" s="34" t="s">
        <v>1010</v>
      </c>
      <c r="O1068" s="76" t="s">
        <v>1425</v>
      </c>
      <c r="P1068" s="77"/>
      <c r="Q1068" s="57">
        <v>11</v>
      </c>
      <c r="R1068" s="42">
        <v>11</v>
      </c>
      <c r="S1068" s="69" t="str">
        <f>_xlfn.IFNA(IF(VLOOKUP(tabPontoPed[[#This Row],[CÓDIGO]],tabExcluirDoEstoque[#Data],1,FALSE),"sim",""),"")</f>
        <v>sim</v>
      </c>
      <c r="T1068" s="43">
        <f>IF(AND(tabPontoPed[[#This Row],[MENSAL]]&gt;0,tabPontoPed[[#This Row],[CÁLCULO]]&gt;0), ABS( tabPontoPed[[#This Row],[MENSAL]] - tabPontoPed[[#This Row],[CÁLCULO]] ) / tabPontoPed[[#This Row],[MENSAL]], -1 )</f>
        <v>0</v>
      </c>
      <c r="U1068" s="58"/>
      <c r="V1068" s="35">
        <f>IF(AND(tabPontoPed[[#This Row],[MENSAL]]&gt;0,tabPontoPed[[#This Row],[CÁLCULO]]&gt;0), IF( tabPontoPed[[#This Row],[MENSAL]] - tabPontoPed[[#This Row],[CÁLCULO]] &lt; 0, -1, IF( tabPontoPed[[#This Row],[MENSAL]] - tabPontoPed[[#This Row],[CÁLCULO]] &gt; 0, 1, -8)), -9 )</f>
        <v>-8</v>
      </c>
      <c r="W1068" s="35"/>
      <c r="X1068" s="48" t="s">
        <v>1564</v>
      </c>
      <c r="Y1068" s="53">
        <v>44391.599108796298</v>
      </c>
      <c r="Z1068" s="72">
        <f>tabPontoPed[CÁLC_4M] - tabPontoPed[CÁLCULO]</f>
        <v>0</v>
      </c>
      <c r="AA1068" s="79" t="str">
        <f>IF(tabPontoPed[MENSAL]-tabPontoPed[ATA MENSAL] = 0,"sim","")</f>
        <v/>
      </c>
      <c r="AB1068" s="79"/>
      <c r="AC1068" s="47" t="str">
        <f t="shared" si="16"/>
        <v>*</v>
      </c>
    </row>
    <row r="1069" spans="1:29" x14ac:dyDescent="0.25">
      <c r="A1069" s="36">
        <v>58977</v>
      </c>
      <c r="B1069" s="68" t="s">
        <v>203</v>
      </c>
      <c r="C1069" s="33" t="s">
        <v>1317</v>
      </c>
      <c r="D1069" s="32">
        <v>51</v>
      </c>
      <c r="E1069" s="37">
        <v>37</v>
      </c>
      <c r="F1069" s="38" t="str">
        <f>VLOOKUP(tabPontoPed[[#This Row],[GRUPO]],tabGrupos[#Data],2,FALSE)</f>
        <v>MAT.E EQUIP. P/ CONSTR.CIVIL E CONSERV. DE VIAS PUBL.</v>
      </c>
      <c r="G1069" s="32" t="str">
        <f>VLOOKUP(tabPontoPed[[#This Row],[GRUPO]],tabGrupos[#Data],3,FALSE)</f>
        <v>MCO</v>
      </c>
      <c r="H1069" s="33" t="s">
        <v>1311</v>
      </c>
      <c r="I1069" s="80">
        <v>4</v>
      </c>
      <c r="J1069" s="39">
        <v>8</v>
      </c>
      <c r="K1069" s="41">
        <f>tabPontoPed[[#This Row],[QTDMÊS]] * tabPontoPed[[#This Row],[MENSAL]]</f>
        <v>32</v>
      </c>
      <c r="L1069" s="83"/>
      <c r="M1069" s="81"/>
      <c r="N1069" s="34" t="s">
        <v>1010</v>
      </c>
      <c r="O1069" s="76" t="s">
        <v>1425</v>
      </c>
      <c r="P1069" s="77"/>
      <c r="Q1069" s="57">
        <v>8</v>
      </c>
      <c r="R1069" s="42">
        <v>8</v>
      </c>
      <c r="S1069" s="69" t="str">
        <f>_xlfn.IFNA(IF(VLOOKUP(tabPontoPed[[#This Row],[CÓDIGO]],tabExcluirDoEstoque[#Data],1,FALSE),"sim",""),"")</f>
        <v>sim</v>
      </c>
      <c r="T1069" s="43">
        <f>IF(AND(tabPontoPed[[#This Row],[MENSAL]]&gt;0,tabPontoPed[[#This Row],[CÁLCULO]]&gt;0), ABS( tabPontoPed[[#This Row],[MENSAL]] - tabPontoPed[[#This Row],[CÁLCULO]] ) / tabPontoPed[[#This Row],[MENSAL]], -1 )</f>
        <v>0</v>
      </c>
      <c r="U1069" s="58"/>
      <c r="V1069" s="35">
        <f>IF(AND(tabPontoPed[[#This Row],[MENSAL]]&gt;0,tabPontoPed[[#This Row],[CÁLCULO]]&gt;0), IF( tabPontoPed[[#This Row],[MENSAL]] - tabPontoPed[[#This Row],[CÁLCULO]] &lt; 0, -1, IF( tabPontoPed[[#This Row],[MENSAL]] - tabPontoPed[[#This Row],[CÁLCULO]] &gt; 0, 1, -8)), -9 )</f>
        <v>-8</v>
      </c>
      <c r="W1069" s="35"/>
      <c r="X1069" s="48" t="s">
        <v>1564</v>
      </c>
      <c r="Y1069" s="53">
        <v>44391.599108796298</v>
      </c>
      <c r="Z1069" s="72">
        <f>tabPontoPed[CÁLC_4M] - tabPontoPed[CÁLCULO]</f>
        <v>0</v>
      </c>
      <c r="AA1069" s="79" t="str">
        <f>IF(tabPontoPed[MENSAL]-tabPontoPed[ATA MENSAL] = 0,"sim","")</f>
        <v/>
      </c>
      <c r="AB1069" s="79"/>
      <c r="AC1069" s="47" t="str">
        <f t="shared" si="16"/>
        <v>*</v>
      </c>
    </row>
    <row r="1070" spans="1:29" x14ac:dyDescent="0.25">
      <c r="A1070" s="36">
        <v>106631</v>
      </c>
      <c r="B1070" s="68" t="s">
        <v>562</v>
      </c>
      <c r="C1070" s="33" t="s">
        <v>1317</v>
      </c>
      <c r="D1070" s="32">
        <v>51</v>
      </c>
      <c r="E1070" s="37">
        <v>37</v>
      </c>
      <c r="F1070" s="38" t="str">
        <f>VLOOKUP(tabPontoPed[[#This Row],[GRUPO]],tabGrupos[#Data],2,FALSE)</f>
        <v>MAT.E EQUIP. P/ CONSTR.CIVIL E CONSERV. DE VIAS PUBL.</v>
      </c>
      <c r="G1070" s="32" t="str">
        <f>VLOOKUP(tabPontoPed[[#This Row],[GRUPO]],tabGrupos[#Data],3,FALSE)</f>
        <v>MCO</v>
      </c>
      <c r="H1070" s="33" t="s">
        <v>1311</v>
      </c>
      <c r="I1070" s="80">
        <v>4</v>
      </c>
      <c r="J1070" s="39">
        <v>11</v>
      </c>
      <c r="K1070" s="41">
        <f>tabPontoPed[[#This Row],[QTDMÊS]] * tabPontoPed[[#This Row],[MENSAL]]</f>
        <v>44</v>
      </c>
      <c r="L1070" s="83"/>
      <c r="M1070" s="81"/>
      <c r="N1070" s="34" t="s">
        <v>1010</v>
      </c>
      <c r="O1070" s="76" t="s">
        <v>1441</v>
      </c>
      <c r="P1070" s="77"/>
      <c r="Q1070" s="57">
        <v>11</v>
      </c>
      <c r="R1070" s="42">
        <v>11</v>
      </c>
      <c r="S1070" s="69" t="str">
        <f>_xlfn.IFNA(IF(VLOOKUP(tabPontoPed[[#This Row],[CÓDIGO]],tabExcluirDoEstoque[#Data],1,FALSE),"sim",""),"")</f>
        <v>sim</v>
      </c>
      <c r="T1070" s="43">
        <f>IF(AND(tabPontoPed[[#This Row],[MENSAL]]&gt;0,tabPontoPed[[#This Row],[CÁLCULO]]&gt;0), ABS( tabPontoPed[[#This Row],[MENSAL]] - tabPontoPed[[#This Row],[CÁLCULO]] ) / tabPontoPed[[#This Row],[MENSAL]], -1 )</f>
        <v>0</v>
      </c>
      <c r="U1070" s="58"/>
      <c r="V1070" s="35">
        <f>IF(AND(tabPontoPed[[#This Row],[MENSAL]]&gt;0,tabPontoPed[[#This Row],[CÁLCULO]]&gt;0), IF( tabPontoPed[[#This Row],[MENSAL]] - tabPontoPed[[#This Row],[CÁLCULO]] &lt; 0, -1, IF( tabPontoPed[[#This Row],[MENSAL]] - tabPontoPed[[#This Row],[CÁLCULO]] &gt; 0, 1, -8)), -9 )</f>
        <v>-8</v>
      </c>
      <c r="W1070" s="35"/>
      <c r="X1070" s="48" t="s">
        <v>1564</v>
      </c>
      <c r="Y1070" s="53">
        <v>44391.599108796298</v>
      </c>
      <c r="Z1070" s="72">
        <f>tabPontoPed[CÁLC_4M] - tabPontoPed[CÁLCULO]</f>
        <v>0</v>
      </c>
      <c r="AA1070" s="79" t="str">
        <f>IF(tabPontoPed[MENSAL]-tabPontoPed[ATA MENSAL] = 0,"sim","")</f>
        <v/>
      </c>
      <c r="AB1070" s="79"/>
      <c r="AC1070" s="47" t="str">
        <f t="shared" si="16"/>
        <v>*</v>
      </c>
    </row>
    <row r="1071" spans="1:29" x14ac:dyDescent="0.25">
      <c r="A1071" s="36">
        <v>98819</v>
      </c>
      <c r="B1071" s="68" t="s">
        <v>1405</v>
      </c>
      <c r="C1071" s="33"/>
      <c r="D1071" s="32">
        <v>51</v>
      </c>
      <c r="E1071" s="37">
        <v>49</v>
      </c>
      <c r="F1071" s="38" t="str">
        <f>VLOOKUP(tabPontoPed[[#This Row],[GRUPO]],tabGrupos[#Data],2,FALSE)</f>
        <v>MAT.E EQUIP. P/ CONSTR.CIVIL E CONSERV. DE VIAS PUBL.</v>
      </c>
      <c r="G1071" s="32" t="str">
        <f>VLOOKUP(tabPontoPed[[#This Row],[GRUPO]],tabGrupos[#Data],3,FALSE)</f>
        <v>MCO</v>
      </c>
      <c r="H1071" s="33" t="s">
        <v>1311</v>
      </c>
      <c r="I1071" s="80">
        <v>4</v>
      </c>
      <c r="J1071" s="39">
        <v>3</v>
      </c>
      <c r="K1071" s="41">
        <f>tabPontoPed[[#This Row],[QTDMÊS]] * tabPontoPed[[#This Row],[MENSAL]]</f>
        <v>12</v>
      </c>
      <c r="L1071" s="83"/>
      <c r="M1071" s="81"/>
      <c r="N1071" s="34" t="s">
        <v>1010</v>
      </c>
      <c r="O1071" s="76"/>
      <c r="P1071" s="77"/>
      <c r="Q1071" s="57">
        <v>3</v>
      </c>
      <c r="R1071" s="42">
        <v>3</v>
      </c>
      <c r="S1071" s="69" t="str">
        <f>_xlfn.IFNA(IF(VLOOKUP(tabPontoPed[[#This Row],[CÓDIGO]],tabExcluirDoEstoque[#Data],1,FALSE),"sim",""),"")</f>
        <v>sim</v>
      </c>
      <c r="T1071" s="43">
        <f>IF(AND(tabPontoPed[[#This Row],[MENSAL]]&gt;0,tabPontoPed[[#This Row],[CÁLCULO]]&gt;0), ABS( tabPontoPed[[#This Row],[MENSAL]] - tabPontoPed[[#This Row],[CÁLCULO]] ) / tabPontoPed[[#This Row],[MENSAL]], -1 )</f>
        <v>0</v>
      </c>
      <c r="U1071" s="58"/>
      <c r="V1071" s="35">
        <f>IF(AND(tabPontoPed[[#This Row],[MENSAL]]&gt;0,tabPontoPed[[#This Row],[CÁLCULO]]&gt;0), IF( tabPontoPed[[#This Row],[MENSAL]] - tabPontoPed[[#This Row],[CÁLCULO]] &lt; 0, -1, IF( tabPontoPed[[#This Row],[MENSAL]] - tabPontoPed[[#This Row],[CÁLCULO]] &gt; 0, 1, -8)), -9 )</f>
        <v>-8</v>
      </c>
      <c r="W1071" s="35"/>
      <c r="X1071" s="49" t="s">
        <v>1564</v>
      </c>
      <c r="Y1071" s="51">
        <v>44391.599108796298</v>
      </c>
      <c r="Z1071" s="72">
        <f>tabPontoPed[CÁLC_4M] - tabPontoPed[CÁLCULO]</f>
        <v>0</v>
      </c>
      <c r="AA1071" s="79" t="str">
        <f>IF(tabPontoPed[MENSAL]-tabPontoPed[ATA MENSAL] = 0,"sim","")</f>
        <v/>
      </c>
      <c r="AB1071" s="79"/>
      <c r="AC1071" s="47" t="str">
        <f t="shared" si="16"/>
        <v>*</v>
      </c>
    </row>
    <row r="1072" spans="1:29" x14ac:dyDescent="0.25">
      <c r="A1072" s="36">
        <v>112160</v>
      </c>
      <c r="B1072" s="68" t="s">
        <v>15</v>
      </c>
      <c r="C1072" s="33" t="s">
        <v>1317</v>
      </c>
      <c r="D1072" s="32">
        <v>55</v>
      </c>
      <c r="E1072" s="37">
        <v>7</v>
      </c>
      <c r="F1072" s="38" t="str">
        <f>VLOOKUP(tabPontoPed[[#This Row],[GRUPO]],tabGrupos[#Data],2,FALSE)</f>
        <v>EQUIP. MAT. P/ GERACAO, TRANSM. DISTR. RETIF...</v>
      </c>
      <c r="G1072" s="32" t="str">
        <f>VLOOKUP(tabPontoPed[[#This Row],[GRUPO]],tabGrupos[#Data],3,FALSE)</f>
        <v>MEL</v>
      </c>
      <c r="H1072" s="33" t="s">
        <v>1311</v>
      </c>
      <c r="I1072" s="80">
        <v>4</v>
      </c>
      <c r="J1072" s="39">
        <v>3</v>
      </c>
      <c r="K1072" s="41">
        <f>tabPontoPed[[#This Row],[QTDMÊS]] * tabPontoPed[[#This Row],[MENSAL]]</f>
        <v>12</v>
      </c>
      <c r="L1072" s="83"/>
      <c r="M1072" s="81"/>
      <c r="N1072" s="34" t="s">
        <v>1009</v>
      </c>
      <c r="O1072" s="76" t="s">
        <v>1477</v>
      </c>
      <c r="P1072" s="77"/>
      <c r="Q1072" s="57">
        <v>5</v>
      </c>
      <c r="R1072" s="42">
        <v>3</v>
      </c>
      <c r="S1072" s="69" t="str">
        <f>_xlfn.IFNA(IF(VLOOKUP(tabPontoPed[[#This Row],[CÓDIGO]],tabExcluirDoEstoque[#Data],1,FALSE),"sim",""),"")</f>
        <v>sim</v>
      </c>
      <c r="T1072" s="43">
        <f>IF(AND(tabPontoPed[[#This Row],[MENSAL]]&gt;0,tabPontoPed[[#This Row],[CÁLCULO]]&gt;0), ABS( tabPontoPed[[#This Row],[MENSAL]] - tabPontoPed[[#This Row],[CÁLCULO]] ) / tabPontoPed[[#This Row],[MENSAL]], -1 )</f>
        <v>0</v>
      </c>
      <c r="U1072" s="58">
        <v>20</v>
      </c>
      <c r="V1072" s="35">
        <f>IF(AND(tabPontoPed[[#This Row],[MENSAL]]&gt;0,tabPontoPed[[#This Row],[CÁLCULO]]&gt;0), IF( tabPontoPed[[#This Row],[MENSAL]] - tabPontoPed[[#This Row],[CÁLCULO]] &lt; 0, -1, IF( tabPontoPed[[#This Row],[MENSAL]] - tabPontoPed[[#This Row],[CÁLCULO]] &gt; 0, 1, -8)), -9 )</f>
        <v>-8</v>
      </c>
      <c r="W1072" s="35"/>
      <c r="X1072" s="49" t="s">
        <v>1564</v>
      </c>
      <c r="Y1072" s="51">
        <v>44391.599108796298</v>
      </c>
      <c r="Z1072" s="72">
        <f>tabPontoPed[CÁLC_4M] - tabPontoPed[CÁLCULO]</f>
        <v>2</v>
      </c>
      <c r="AA1072" s="79" t="str">
        <f>IF(tabPontoPed[MENSAL]-tabPontoPed[ATA MENSAL] = 0,"sim","")</f>
        <v/>
      </c>
      <c r="AB1072" s="79"/>
      <c r="AC1072" s="47" t="str">
        <f t="shared" si="16"/>
        <v>*</v>
      </c>
    </row>
    <row r="1073" spans="1:29" x14ac:dyDescent="0.25">
      <c r="A1073" s="36">
        <v>110890</v>
      </c>
      <c r="B1073" s="68" t="s">
        <v>623</v>
      </c>
      <c r="C1073" s="33" t="s">
        <v>1317</v>
      </c>
      <c r="D1073" s="32">
        <v>55</v>
      </c>
      <c r="E1073" s="37">
        <v>19</v>
      </c>
      <c r="F1073" s="38" t="str">
        <f>VLOOKUP(tabPontoPed[[#This Row],[GRUPO]],tabGrupos[#Data],2,FALSE)</f>
        <v>EQUIP. MAT. P/ GERACAO, TRANSM. DISTR. RETIF...</v>
      </c>
      <c r="G1073" s="32" t="str">
        <f>VLOOKUP(tabPontoPed[[#This Row],[GRUPO]],tabGrupos[#Data],3,FALSE)</f>
        <v>MEL</v>
      </c>
      <c r="H1073" s="33" t="s">
        <v>1311</v>
      </c>
      <c r="I1073" s="80">
        <v>4</v>
      </c>
      <c r="J1073" s="39">
        <v>15</v>
      </c>
      <c r="K1073" s="41">
        <f>tabPontoPed[[#This Row],[QTDMÊS]] * tabPontoPed[[#This Row],[MENSAL]]</f>
        <v>60</v>
      </c>
      <c r="L1073" s="83"/>
      <c r="M1073" s="81"/>
      <c r="N1073" s="34" t="s">
        <v>1009</v>
      </c>
      <c r="O1073" s="76"/>
      <c r="P1073" s="77">
        <v>0</v>
      </c>
      <c r="Q1073" s="57">
        <v>0</v>
      </c>
      <c r="R1073" s="42">
        <v>15</v>
      </c>
      <c r="S1073" s="69" t="str">
        <f>_xlfn.IFNA(IF(VLOOKUP(tabPontoPed[[#This Row],[CÓDIGO]],tabExcluirDoEstoque[#Data],1,FALSE),"sim",""),"")</f>
        <v>sim</v>
      </c>
      <c r="T1073" s="43">
        <f>IF(AND(tabPontoPed[[#This Row],[MENSAL]]&gt;0,tabPontoPed[[#This Row],[CÁLCULO]]&gt;0), ABS( tabPontoPed[[#This Row],[MENSAL]] - tabPontoPed[[#This Row],[CÁLCULO]] ) / tabPontoPed[[#This Row],[MENSAL]], -1 )</f>
        <v>0</v>
      </c>
      <c r="U1073" s="58">
        <v>170</v>
      </c>
      <c r="V1073" s="35">
        <f>IF(AND(tabPontoPed[[#This Row],[MENSAL]]&gt;0,tabPontoPed[[#This Row],[CÁLCULO]]&gt;0), IF( tabPontoPed[[#This Row],[MENSAL]] - tabPontoPed[[#This Row],[CÁLCULO]] &lt; 0, -1, IF( tabPontoPed[[#This Row],[MENSAL]] - tabPontoPed[[#This Row],[CÁLCULO]] &gt; 0, 1, -8)), -9 )</f>
        <v>-8</v>
      </c>
      <c r="W1073" s="35"/>
      <c r="X1073" s="49" t="s">
        <v>1564</v>
      </c>
      <c r="Y1073" s="51">
        <v>44391.599108796298</v>
      </c>
      <c r="Z1073" s="72">
        <f>tabPontoPed[CÁLC_4M] - tabPontoPed[CÁLCULO]</f>
        <v>-15</v>
      </c>
      <c r="AA1073" s="79" t="str">
        <f>IF(tabPontoPed[MENSAL]-tabPontoPed[ATA MENSAL] = 0,"sim","")</f>
        <v/>
      </c>
      <c r="AB1073" s="79"/>
      <c r="AC1073" s="47" t="str">
        <f t="shared" si="16"/>
        <v>*</v>
      </c>
    </row>
    <row r="1074" spans="1:29" x14ac:dyDescent="0.25">
      <c r="A1074" s="36">
        <v>119628</v>
      </c>
      <c r="B1074" s="68" t="s">
        <v>131</v>
      </c>
      <c r="C1074" s="33" t="s">
        <v>1317</v>
      </c>
      <c r="D1074" s="32">
        <v>55</v>
      </c>
      <c r="E1074" s="37">
        <v>19</v>
      </c>
      <c r="F1074" s="38" t="str">
        <f>VLOOKUP(tabPontoPed[[#This Row],[GRUPO]],tabGrupos[#Data],2,FALSE)</f>
        <v>EQUIP. MAT. P/ GERACAO, TRANSM. DISTR. RETIF...</v>
      </c>
      <c r="G1074" s="32" t="str">
        <f>VLOOKUP(tabPontoPed[[#This Row],[GRUPO]],tabGrupos[#Data],3,FALSE)</f>
        <v>MEL</v>
      </c>
      <c r="H1074" s="33" t="s">
        <v>1311</v>
      </c>
      <c r="I1074" s="80">
        <v>4</v>
      </c>
      <c r="J1074" s="39">
        <v>54</v>
      </c>
      <c r="K1074" s="41">
        <f>tabPontoPed[[#This Row],[QTDMÊS]] * tabPontoPed[[#This Row],[MENSAL]]</f>
        <v>216</v>
      </c>
      <c r="L1074" s="83"/>
      <c r="M1074" s="81"/>
      <c r="N1074" s="34" t="s">
        <v>1009</v>
      </c>
      <c r="O1074" s="76" t="s">
        <v>1454</v>
      </c>
      <c r="P1074" s="77">
        <v>42</v>
      </c>
      <c r="Q1074" s="57">
        <v>120</v>
      </c>
      <c r="R1074" s="42">
        <v>54</v>
      </c>
      <c r="S1074" s="69" t="str">
        <f>_xlfn.IFNA(IF(VLOOKUP(tabPontoPed[[#This Row],[CÓDIGO]],tabExcluirDoEstoque[#Data],1,FALSE),"sim",""),"")</f>
        <v>sim</v>
      </c>
      <c r="T1074" s="43">
        <f>IF(AND(tabPontoPed[[#This Row],[MENSAL]]&gt;0,tabPontoPed[[#This Row],[CÁLCULO]]&gt;0), ABS( tabPontoPed[[#This Row],[MENSAL]] - tabPontoPed[[#This Row],[CÁLCULO]] ) / tabPontoPed[[#This Row],[MENSAL]], -1 )</f>
        <v>0</v>
      </c>
      <c r="U1074" s="58">
        <v>250</v>
      </c>
      <c r="V1074" s="35">
        <f>IF(AND(tabPontoPed[[#This Row],[MENSAL]]&gt;0,tabPontoPed[[#This Row],[CÁLCULO]]&gt;0), IF( tabPontoPed[[#This Row],[MENSAL]] - tabPontoPed[[#This Row],[CÁLCULO]] &lt; 0, -1, IF( tabPontoPed[[#This Row],[MENSAL]] - tabPontoPed[[#This Row],[CÁLCULO]] &gt; 0, 1, -8)), -9 )</f>
        <v>-8</v>
      </c>
      <c r="W1074" s="35"/>
      <c r="X1074" s="49" t="s">
        <v>1564</v>
      </c>
      <c r="Y1074" s="51">
        <v>44391.599108796298</v>
      </c>
      <c r="Z1074" s="72">
        <f>tabPontoPed[CÁLC_4M] - tabPontoPed[CÁLCULO]</f>
        <v>66</v>
      </c>
      <c r="AA1074" s="79" t="str">
        <f>IF(tabPontoPed[MENSAL]-tabPontoPed[ATA MENSAL] = 0,"sim","")</f>
        <v/>
      </c>
      <c r="AB1074" s="79"/>
      <c r="AC1074" s="47" t="str">
        <f t="shared" si="16"/>
        <v>*</v>
      </c>
    </row>
    <row r="1075" spans="1:29" x14ac:dyDescent="0.25">
      <c r="A1075" s="36">
        <v>108463</v>
      </c>
      <c r="B1075" s="68" t="s">
        <v>111</v>
      </c>
      <c r="C1075" s="33" t="s">
        <v>1317</v>
      </c>
      <c r="D1075" s="32">
        <v>55</v>
      </c>
      <c r="E1075" s="37">
        <v>19</v>
      </c>
      <c r="F1075" s="38" t="str">
        <f>VLOOKUP(tabPontoPed[[#This Row],[GRUPO]],tabGrupos[#Data],2,FALSE)</f>
        <v>EQUIP. MAT. P/ GERACAO, TRANSM. DISTR. RETIF...</v>
      </c>
      <c r="G1075" s="32" t="str">
        <f>VLOOKUP(tabPontoPed[[#This Row],[GRUPO]],tabGrupos[#Data],3,FALSE)</f>
        <v>MEL</v>
      </c>
      <c r="H1075" s="33" t="s">
        <v>1311</v>
      </c>
      <c r="I1075" s="80">
        <v>4</v>
      </c>
      <c r="J1075" s="39">
        <v>181</v>
      </c>
      <c r="K1075" s="41">
        <f>tabPontoPed[[#This Row],[QTDMÊS]] * tabPontoPed[[#This Row],[MENSAL]]</f>
        <v>724</v>
      </c>
      <c r="L1075" s="83"/>
      <c r="M1075" s="81"/>
      <c r="N1075" s="34" t="s">
        <v>1009</v>
      </c>
      <c r="O1075" s="76" t="s">
        <v>1454</v>
      </c>
      <c r="P1075" s="77">
        <v>125</v>
      </c>
      <c r="Q1075" s="57">
        <v>300</v>
      </c>
      <c r="R1075" s="42">
        <v>181</v>
      </c>
      <c r="S1075" s="69" t="str">
        <f>_xlfn.IFNA(IF(VLOOKUP(tabPontoPed[[#This Row],[CÓDIGO]],tabExcluirDoEstoque[#Data],1,FALSE),"sim",""),"")</f>
        <v>sim</v>
      </c>
      <c r="T1075" s="43">
        <f>IF(AND(tabPontoPed[[#This Row],[MENSAL]]&gt;0,tabPontoPed[[#This Row],[CÁLCULO]]&gt;0), ABS( tabPontoPed[[#This Row],[MENSAL]] - tabPontoPed[[#This Row],[CÁLCULO]] ) / tabPontoPed[[#This Row],[MENSAL]], -1 )</f>
        <v>0</v>
      </c>
      <c r="U1075" s="58">
        <v>400</v>
      </c>
      <c r="V1075" s="35">
        <f>IF(AND(tabPontoPed[[#This Row],[MENSAL]]&gt;0,tabPontoPed[[#This Row],[CÁLCULO]]&gt;0), IF( tabPontoPed[[#This Row],[MENSAL]] - tabPontoPed[[#This Row],[CÁLCULO]] &lt; 0, -1, IF( tabPontoPed[[#This Row],[MENSAL]] - tabPontoPed[[#This Row],[CÁLCULO]] &gt; 0, 1, -8)), -9 )</f>
        <v>-8</v>
      </c>
      <c r="W1075" s="35"/>
      <c r="X1075" s="49" t="s">
        <v>1564</v>
      </c>
      <c r="Y1075" s="51">
        <v>44391.599108796298</v>
      </c>
      <c r="Z1075" s="72">
        <f>tabPontoPed[CÁLC_4M] - tabPontoPed[CÁLCULO]</f>
        <v>119</v>
      </c>
      <c r="AA1075" s="79" t="str">
        <f>IF(tabPontoPed[MENSAL]-tabPontoPed[ATA MENSAL] = 0,"sim","")</f>
        <v/>
      </c>
      <c r="AB1075" s="79"/>
      <c r="AC1075" s="47" t="str">
        <f t="shared" si="16"/>
        <v>*</v>
      </c>
    </row>
    <row r="1076" spans="1:29" x14ac:dyDescent="0.25">
      <c r="A1076" s="36">
        <v>101917</v>
      </c>
      <c r="B1076" s="68" t="s">
        <v>128</v>
      </c>
      <c r="C1076" s="33" t="s">
        <v>1317</v>
      </c>
      <c r="D1076" s="32">
        <v>55</v>
      </c>
      <c r="E1076" s="37">
        <v>19</v>
      </c>
      <c r="F1076" s="38" t="str">
        <f>VLOOKUP(tabPontoPed[[#This Row],[GRUPO]],tabGrupos[#Data],2,FALSE)</f>
        <v>EQUIP. MAT. P/ GERACAO, TRANSM. DISTR. RETIF...</v>
      </c>
      <c r="G1076" s="32" t="str">
        <f>VLOOKUP(tabPontoPed[[#This Row],[GRUPO]],tabGrupos[#Data],3,FALSE)</f>
        <v>MEL</v>
      </c>
      <c r="H1076" s="33" t="s">
        <v>1311</v>
      </c>
      <c r="I1076" s="80">
        <v>4</v>
      </c>
      <c r="J1076" s="39">
        <v>100</v>
      </c>
      <c r="K1076" s="41">
        <f>tabPontoPed[[#This Row],[QTDMÊS]] * tabPontoPed[[#This Row],[MENSAL]]</f>
        <v>400</v>
      </c>
      <c r="L1076" s="83"/>
      <c r="M1076" s="81"/>
      <c r="N1076" s="34" t="s">
        <v>1009</v>
      </c>
      <c r="O1076" s="76" t="s">
        <v>1454</v>
      </c>
      <c r="P1076" s="77">
        <v>100</v>
      </c>
      <c r="Q1076" s="57">
        <v>188</v>
      </c>
      <c r="R1076" s="42">
        <v>100</v>
      </c>
      <c r="S1076" s="69" t="str">
        <f>_xlfn.IFNA(IF(VLOOKUP(tabPontoPed[[#This Row],[CÓDIGO]],tabExcluirDoEstoque[#Data],1,FALSE),"sim",""),"")</f>
        <v>sim</v>
      </c>
      <c r="T1076" s="43">
        <f>IF(AND(tabPontoPed[[#This Row],[MENSAL]]&gt;0,tabPontoPed[[#This Row],[CÁLCULO]]&gt;0), ABS( tabPontoPed[[#This Row],[MENSAL]] - tabPontoPed[[#This Row],[CÁLCULO]] ) / tabPontoPed[[#This Row],[MENSAL]], -1 )</f>
        <v>0</v>
      </c>
      <c r="U1076" s="58">
        <v>350</v>
      </c>
      <c r="V1076" s="35">
        <f>IF(AND(tabPontoPed[[#This Row],[MENSAL]]&gt;0,tabPontoPed[[#This Row],[CÁLCULO]]&gt;0), IF( tabPontoPed[[#This Row],[MENSAL]] - tabPontoPed[[#This Row],[CÁLCULO]] &lt; 0, -1, IF( tabPontoPed[[#This Row],[MENSAL]] - tabPontoPed[[#This Row],[CÁLCULO]] &gt; 0, 1, -8)), -9 )</f>
        <v>-8</v>
      </c>
      <c r="W1076" s="35"/>
      <c r="X1076" s="49" t="s">
        <v>1564</v>
      </c>
      <c r="Y1076" s="51">
        <v>44391.599108796298</v>
      </c>
      <c r="Z1076" s="72">
        <f>tabPontoPed[CÁLC_4M] - tabPontoPed[CÁLCULO]</f>
        <v>88</v>
      </c>
      <c r="AA1076" s="79" t="str">
        <f>IF(tabPontoPed[MENSAL]-tabPontoPed[ATA MENSAL] = 0,"sim","")</f>
        <v>sim</v>
      </c>
      <c r="AB1076" s="79" t="s">
        <v>1614</v>
      </c>
      <c r="AC1076" s="47" t="str">
        <f t="shared" si="16"/>
        <v>*</v>
      </c>
    </row>
    <row r="1077" spans="1:29" x14ac:dyDescent="0.25">
      <c r="A1077" s="36">
        <v>99810</v>
      </c>
      <c r="B1077" s="68" t="s">
        <v>117</v>
      </c>
      <c r="C1077" s="33" t="s">
        <v>1317</v>
      </c>
      <c r="D1077" s="32">
        <v>55</v>
      </c>
      <c r="E1077" s="37">
        <v>19</v>
      </c>
      <c r="F1077" s="38" t="str">
        <f>VLOOKUP(tabPontoPed[[#This Row],[GRUPO]],tabGrupos[#Data],2,FALSE)</f>
        <v>EQUIP. MAT. P/ GERACAO, TRANSM. DISTR. RETIF...</v>
      </c>
      <c r="G1077" s="32" t="str">
        <f>VLOOKUP(tabPontoPed[[#This Row],[GRUPO]],tabGrupos[#Data],3,FALSE)</f>
        <v>MEL</v>
      </c>
      <c r="H1077" s="33" t="s">
        <v>1311</v>
      </c>
      <c r="I1077" s="80">
        <v>4</v>
      </c>
      <c r="J1077" s="39">
        <v>595</v>
      </c>
      <c r="K1077" s="41">
        <f>tabPontoPed[[#This Row],[QTDMÊS]] * tabPontoPed[[#This Row],[MENSAL]]</f>
        <v>2380</v>
      </c>
      <c r="L1077" s="83"/>
      <c r="M1077" s="81"/>
      <c r="N1077" s="34" t="s">
        <v>1009</v>
      </c>
      <c r="O1077" s="76" t="s">
        <v>1454</v>
      </c>
      <c r="P1077" s="77">
        <v>467</v>
      </c>
      <c r="Q1077" s="57">
        <v>735</v>
      </c>
      <c r="R1077" s="42">
        <v>595</v>
      </c>
      <c r="S1077" s="69" t="str">
        <f>_xlfn.IFNA(IF(VLOOKUP(tabPontoPed[[#This Row],[CÓDIGO]],tabExcluirDoEstoque[#Data],1,FALSE),"sim",""),"")</f>
        <v>sim</v>
      </c>
      <c r="T1077" s="43">
        <f>IF(AND(tabPontoPed[[#This Row],[MENSAL]]&gt;0,tabPontoPed[[#This Row],[CÁLCULO]]&gt;0), ABS( tabPontoPed[[#This Row],[MENSAL]] - tabPontoPed[[#This Row],[CÁLCULO]] ) / tabPontoPed[[#This Row],[MENSAL]], -1 )</f>
        <v>0</v>
      </c>
      <c r="U1077" s="58">
        <v>1230</v>
      </c>
      <c r="V1077" s="35">
        <f>IF(AND(tabPontoPed[[#This Row],[MENSAL]]&gt;0,tabPontoPed[[#This Row],[CÁLCULO]]&gt;0), IF( tabPontoPed[[#This Row],[MENSAL]] - tabPontoPed[[#This Row],[CÁLCULO]] &lt; 0, -1, IF( tabPontoPed[[#This Row],[MENSAL]] - tabPontoPed[[#This Row],[CÁLCULO]] &gt; 0, 1, -8)), -9 )</f>
        <v>-8</v>
      </c>
      <c r="W1077" s="35"/>
      <c r="X1077" s="48" t="s">
        <v>1564</v>
      </c>
      <c r="Y1077" s="53">
        <v>44391.599108796298</v>
      </c>
      <c r="Z1077" s="72">
        <f>tabPontoPed[CÁLC_4M] - tabPontoPed[CÁLCULO]</f>
        <v>140</v>
      </c>
      <c r="AA1077" s="79" t="str">
        <f>IF(tabPontoPed[MENSAL]-tabPontoPed[ATA MENSAL] = 0,"sim","")</f>
        <v/>
      </c>
      <c r="AB1077" s="79"/>
      <c r="AC1077" s="47" t="str">
        <f t="shared" si="16"/>
        <v>*</v>
      </c>
    </row>
    <row r="1078" spans="1:29" x14ac:dyDescent="0.25">
      <c r="A1078" s="36">
        <v>102791</v>
      </c>
      <c r="B1078" s="68" t="s">
        <v>129</v>
      </c>
      <c r="C1078" s="33" t="s">
        <v>1317</v>
      </c>
      <c r="D1078" s="32">
        <v>55</v>
      </c>
      <c r="E1078" s="37">
        <v>19</v>
      </c>
      <c r="F1078" s="38" t="str">
        <f>VLOOKUP(tabPontoPed[[#This Row],[GRUPO]],tabGrupos[#Data],2,FALSE)</f>
        <v>EQUIP. MAT. P/ GERACAO, TRANSM. DISTR. RETIF...</v>
      </c>
      <c r="G1078" s="32" t="str">
        <f>VLOOKUP(tabPontoPed[[#This Row],[GRUPO]],tabGrupos[#Data],3,FALSE)</f>
        <v>MEL</v>
      </c>
      <c r="H1078" s="33" t="s">
        <v>1311</v>
      </c>
      <c r="I1078" s="80">
        <v>4</v>
      </c>
      <c r="J1078" s="39">
        <v>44</v>
      </c>
      <c r="K1078" s="41">
        <f>tabPontoPed[[#This Row],[QTDMÊS]] * tabPontoPed[[#This Row],[MENSAL]]</f>
        <v>176</v>
      </c>
      <c r="L1078" s="83"/>
      <c r="M1078" s="81"/>
      <c r="N1078" s="34" t="s">
        <v>1009</v>
      </c>
      <c r="O1078" s="76" t="s">
        <v>1454</v>
      </c>
      <c r="P1078" s="77">
        <v>0</v>
      </c>
      <c r="Q1078" s="57">
        <v>30</v>
      </c>
      <c r="R1078" s="42">
        <v>44</v>
      </c>
      <c r="S1078" s="69" t="str">
        <f>_xlfn.IFNA(IF(VLOOKUP(tabPontoPed[[#This Row],[CÓDIGO]],tabExcluirDoEstoque[#Data],1,FALSE),"sim",""),"")</f>
        <v>sim</v>
      </c>
      <c r="T1078" s="43">
        <f>IF(AND(tabPontoPed[[#This Row],[MENSAL]]&gt;0,tabPontoPed[[#This Row],[CÁLCULO]]&gt;0), ABS( tabPontoPed[[#This Row],[MENSAL]] - tabPontoPed[[#This Row],[CÁLCULO]] ) / tabPontoPed[[#This Row],[MENSAL]], -1 )</f>
        <v>0</v>
      </c>
      <c r="U1078" s="58">
        <v>120</v>
      </c>
      <c r="V1078" s="35">
        <f>IF(AND(tabPontoPed[[#This Row],[MENSAL]]&gt;0,tabPontoPed[[#This Row],[CÁLCULO]]&gt;0), IF( tabPontoPed[[#This Row],[MENSAL]] - tabPontoPed[[#This Row],[CÁLCULO]] &lt; 0, -1, IF( tabPontoPed[[#This Row],[MENSAL]] - tabPontoPed[[#This Row],[CÁLCULO]] &gt; 0, 1, -8)), -9 )</f>
        <v>-8</v>
      </c>
      <c r="W1078" s="35"/>
      <c r="X1078" s="49" t="s">
        <v>1564</v>
      </c>
      <c r="Y1078" s="51">
        <v>44391.599108796298</v>
      </c>
      <c r="Z1078" s="72">
        <f>tabPontoPed[CÁLC_4M] - tabPontoPed[CÁLCULO]</f>
        <v>-14</v>
      </c>
      <c r="AA1078" s="79" t="str">
        <f>IF(tabPontoPed[MENSAL]-tabPontoPed[ATA MENSAL] = 0,"sim","")</f>
        <v/>
      </c>
      <c r="AB1078" s="79"/>
      <c r="AC1078" s="47" t="str">
        <f t="shared" si="16"/>
        <v>*</v>
      </c>
    </row>
    <row r="1079" spans="1:29" x14ac:dyDescent="0.25">
      <c r="A1079" s="36">
        <v>64302</v>
      </c>
      <c r="B1079" s="68" t="s">
        <v>107</v>
      </c>
      <c r="C1079" s="33" t="s">
        <v>1317</v>
      </c>
      <c r="D1079" s="32">
        <v>55</v>
      </c>
      <c r="E1079" s="37">
        <v>19</v>
      </c>
      <c r="F1079" s="38" t="str">
        <f>VLOOKUP(tabPontoPed[[#This Row],[GRUPO]],tabGrupos[#Data],2,FALSE)</f>
        <v>EQUIP. MAT. P/ GERACAO, TRANSM. DISTR. RETIF...</v>
      </c>
      <c r="G1079" s="32" t="str">
        <f>VLOOKUP(tabPontoPed[[#This Row],[GRUPO]],tabGrupos[#Data],3,FALSE)</f>
        <v>MEL</v>
      </c>
      <c r="H1079" s="33" t="s">
        <v>1311</v>
      </c>
      <c r="I1079" s="80">
        <v>4</v>
      </c>
      <c r="J1079" s="39">
        <v>1050</v>
      </c>
      <c r="K1079" s="41">
        <f>tabPontoPed[[#This Row],[QTDMÊS]] * tabPontoPed[[#This Row],[MENSAL]]</f>
        <v>4200</v>
      </c>
      <c r="L1079" s="83"/>
      <c r="M1079" s="81"/>
      <c r="N1079" s="34" t="s">
        <v>1009</v>
      </c>
      <c r="O1079" s="76" t="s">
        <v>1454</v>
      </c>
      <c r="P1079" s="77">
        <v>692</v>
      </c>
      <c r="Q1079" s="57">
        <v>1675</v>
      </c>
      <c r="R1079" s="42">
        <v>1050</v>
      </c>
      <c r="S1079" s="69" t="str">
        <f>_xlfn.IFNA(IF(VLOOKUP(tabPontoPed[[#This Row],[CÓDIGO]],tabExcluirDoEstoque[#Data],1,FALSE),"sim",""),"")</f>
        <v>sim</v>
      </c>
      <c r="T1079" s="43">
        <f>IF(AND(tabPontoPed[[#This Row],[MENSAL]]&gt;0,tabPontoPed[[#This Row],[CÁLCULO]]&gt;0), ABS( tabPontoPed[[#This Row],[MENSAL]] - tabPontoPed[[#This Row],[CÁLCULO]] ) / tabPontoPed[[#This Row],[MENSAL]], -1 )</f>
        <v>0</v>
      </c>
      <c r="U1079" s="58">
        <v>2100</v>
      </c>
      <c r="V1079" s="35">
        <f>IF(AND(tabPontoPed[[#This Row],[MENSAL]]&gt;0,tabPontoPed[[#This Row],[CÁLCULO]]&gt;0), IF( tabPontoPed[[#This Row],[MENSAL]] - tabPontoPed[[#This Row],[CÁLCULO]] &lt; 0, -1, IF( tabPontoPed[[#This Row],[MENSAL]] - tabPontoPed[[#This Row],[CÁLCULO]] &gt; 0, 1, -8)), -9 )</f>
        <v>-8</v>
      </c>
      <c r="W1079" s="35"/>
      <c r="X1079" s="49" t="s">
        <v>1564</v>
      </c>
      <c r="Y1079" s="51">
        <v>44391.599108796298</v>
      </c>
      <c r="Z1079" s="72">
        <f>tabPontoPed[CÁLC_4M] - tabPontoPed[CÁLCULO]</f>
        <v>625</v>
      </c>
      <c r="AA1079" s="79" t="str">
        <f>IF(tabPontoPed[MENSAL]-tabPontoPed[ATA MENSAL] = 0,"sim","")</f>
        <v/>
      </c>
      <c r="AB1079" s="79"/>
      <c r="AC1079" s="47" t="str">
        <f t="shared" si="16"/>
        <v>*</v>
      </c>
    </row>
    <row r="1080" spans="1:29" x14ac:dyDescent="0.25">
      <c r="A1080" s="36">
        <v>92111</v>
      </c>
      <c r="B1080" s="68" t="s">
        <v>126</v>
      </c>
      <c r="C1080" s="33" t="s">
        <v>1317</v>
      </c>
      <c r="D1080" s="32">
        <v>55</v>
      </c>
      <c r="E1080" s="37">
        <v>19</v>
      </c>
      <c r="F1080" s="38" t="str">
        <f>VLOOKUP(tabPontoPed[[#This Row],[GRUPO]],tabGrupos[#Data],2,FALSE)</f>
        <v>EQUIP. MAT. P/ GERACAO, TRANSM. DISTR. RETIF...</v>
      </c>
      <c r="G1080" s="32" t="str">
        <f>VLOOKUP(tabPontoPed[[#This Row],[GRUPO]],tabGrupos[#Data],3,FALSE)</f>
        <v>MEL</v>
      </c>
      <c r="H1080" s="33" t="s">
        <v>1311</v>
      </c>
      <c r="I1080" s="80">
        <v>4</v>
      </c>
      <c r="J1080" s="39">
        <v>135</v>
      </c>
      <c r="K1080" s="41">
        <f>tabPontoPed[[#This Row],[QTDMÊS]] * tabPontoPed[[#This Row],[MENSAL]]</f>
        <v>540</v>
      </c>
      <c r="L1080" s="83"/>
      <c r="M1080" s="81"/>
      <c r="N1080" s="34" t="s">
        <v>1009</v>
      </c>
      <c r="O1080" s="76" t="s">
        <v>1454</v>
      </c>
      <c r="P1080" s="77">
        <v>150</v>
      </c>
      <c r="Q1080" s="57">
        <v>163</v>
      </c>
      <c r="R1080" s="42">
        <v>135</v>
      </c>
      <c r="S1080" s="69" t="str">
        <f>_xlfn.IFNA(IF(VLOOKUP(tabPontoPed[[#This Row],[CÓDIGO]],tabExcluirDoEstoque[#Data],1,FALSE),"sim",""),"")</f>
        <v>sim</v>
      </c>
      <c r="T1080" s="43">
        <f>IF(AND(tabPontoPed[[#This Row],[MENSAL]]&gt;0,tabPontoPed[[#This Row],[CÁLCULO]]&gt;0), ABS( tabPontoPed[[#This Row],[MENSAL]] - tabPontoPed[[#This Row],[CÁLCULO]] ) / tabPontoPed[[#This Row],[MENSAL]], -1 )</f>
        <v>0</v>
      </c>
      <c r="U1080" s="58">
        <v>300</v>
      </c>
      <c r="V1080" s="35">
        <f>IF(AND(tabPontoPed[[#This Row],[MENSAL]]&gt;0,tabPontoPed[[#This Row],[CÁLCULO]]&gt;0), IF( tabPontoPed[[#This Row],[MENSAL]] - tabPontoPed[[#This Row],[CÁLCULO]] &lt; 0, -1, IF( tabPontoPed[[#This Row],[MENSAL]] - tabPontoPed[[#This Row],[CÁLCULO]] &gt; 0, 1, -8)), -9 )</f>
        <v>-8</v>
      </c>
      <c r="W1080" s="35"/>
      <c r="X1080" s="49" t="s">
        <v>1564</v>
      </c>
      <c r="Y1080" s="51">
        <v>44391.599108796298</v>
      </c>
      <c r="Z1080" s="72">
        <f>tabPontoPed[CÁLC_4M] - tabPontoPed[CÁLCULO]</f>
        <v>28</v>
      </c>
      <c r="AA1080" s="79" t="str">
        <f>IF(tabPontoPed[MENSAL]-tabPontoPed[ATA MENSAL] = 0,"sim","")</f>
        <v/>
      </c>
      <c r="AB1080" s="79"/>
      <c r="AC1080" s="47" t="str">
        <f t="shared" si="16"/>
        <v>*</v>
      </c>
    </row>
    <row r="1081" spans="1:29" x14ac:dyDescent="0.25">
      <c r="A1081" s="36">
        <v>103251</v>
      </c>
      <c r="B1081" s="68" t="s">
        <v>110</v>
      </c>
      <c r="C1081" s="33" t="s">
        <v>1317</v>
      </c>
      <c r="D1081" s="32">
        <v>55</v>
      </c>
      <c r="E1081" s="37">
        <v>19</v>
      </c>
      <c r="F1081" s="38" t="str">
        <f>VLOOKUP(tabPontoPed[[#This Row],[GRUPO]],tabGrupos[#Data],2,FALSE)</f>
        <v>EQUIP. MAT. P/ GERACAO, TRANSM. DISTR. RETIF...</v>
      </c>
      <c r="G1081" s="32" t="str">
        <f>VLOOKUP(tabPontoPed[[#This Row],[GRUPO]],tabGrupos[#Data],3,FALSE)</f>
        <v>MEL</v>
      </c>
      <c r="H1081" s="33" t="s">
        <v>1311</v>
      </c>
      <c r="I1081" s="80">
        <v>4</v>
      </c>
      <c r="J1081" s="39">
        <v>134</v>
      </c>
      <c r="K1081" s="41">
        <f>tabPontoPed[[#This Row],[QTDMÊS]] * tabPontoPed[[#This Row],[MENSAL]]</f>
        <v>536</v>
      </c>
      <c r="L1081" s="83"/>
      <c r="M1081" s="81"/>
      <c r="N1081" s="34" t="s">
        <v>1009</v>
      </c>
      <c r="O1081" s="76" t="s">
        <v>1454</v>
      </c>
      <c r="P1081" s="77">
        <v>59</v>
      </c>
      <c r="Q1081" s="57">
        <v>245</v>
      </c>
      <c r="R1081" s="42">
        <v>134</v>
      </c>
      <c r="S1081" s="69" t="str">
        <f>_xlfn.IFNA(IF(VLOOKUP(tabPontoPed[[#This Row],[CÓDIGO]],tabExcluirDoEstoque[#Data],1,FALSE),"sim",""),"")</f>
        <v>sim</v>
      </c>
      <c r="T1081" s="43">
        <f>IF(AND(tabPontoPed[[#This Row],[MENSAL]]&gt;0,tabPontoPed[[#This Row],[CÁLCULO]]&gt;0), ABS( tabPontoPed[[#This Row],[MENSAL]] - tabPontoPed[[#This Row],[CÁLCULO]] ) / tabPontoPed[[#This Row],[MENSAL]], -1 )</f>
        <v>0</v>
      </c>
      <c r="U1081" s="58">
        <v>780</v>
      </c>
      <c r="V1081" s="35">
        <f>IF(AND(tabPontoPed[[#This Row],[MENSAL]]&gt;0,tabPontoPed[[#This Row],[CÁLCULO]]&gt;0), IF( tabPontoPed[[#This Row],[MENSAL]] - tabPontoPed[[#This Row],[CÁLCULO]] &lt; 0, -1, IF( tabPontoPed[[#This Row],[MENSAL]] - tabPontoPed[[#This Row],[CÁLCULO]] &gt; 0, 1, -8)), -9 )</f>
        <v>-8</v>
      </c>
      <c r="W1081" s="35"/>
      <c r="X1081" s="48" t="s">
        <v>1564</v>
      </c>
      <c r="Y1081" s="53">
        <v>44391.599108796298</v>
      </c>
      <c r="Z1081" s="72">
        <f>tabPontoPed[CÁLC_4M] - tabPontoPed[CÁLCULO]</f>
        <v>111</v>
      </c>
      <c r="AA1081" s="79" t="str">
        <f>IF(tabPontoPed[MENSAL]-tabPontoPed[ATA MENSAL] = 0,"sim","")</f>
        <v/>
      </c>
      <c r="AB1081" s="79"/>
      <c r="AC1081" s="47" t="str">
        <f t="shared" si="16"/>
        <v>*</v>
      </c>
    </row>
    <row r="1082" spans="1:29" x14ac:dyDescent="0.25">
      <c r="A1082" s="36">
        <v>76777</v>
      </c>
      <c r="B1082" s="68" t="s">
        <v>108</v>
      </c>
      <c r="C1082" s="33" t="s">
        <v>1317</v>
      </c>
      <c r="D1082" s="32">
        <v>55</v>
      </c>
      <c r="E1082" s="37">
        <v>19</v>
      </c>
      <c r="F1082" s="38" t="str">
        <f>VLOOKUP(tabPontoPed[[#This Row],[GRUPO]],tabGrupos[#Data],2,FALSE)</f>
        <v>EQUIP. MAT. P/ GERACAO, TRANSM. DISTR. RETIF...</v>
      </c>
      <c r="G1082" s="32" t="str">
        <f>VLOOKUP(tabPontoPed[[#This Row],[GRUPO]],tabGrupos[#Data],3,FALSE)</f>
        <v>MEL</v>
      </c>
      <c r="H1082" s="33" t="s">
        <v>1311</v>
      </c>
      <c r="I1082" s="80">
        <v>4</v>
      </c>
      <c r="J1082" s="39">
        <v>470</v>
      </c>
      <c r="K1082" s="41">
        <f>tabPontoPed[[#This Row],[QTDMÊS]] * tabPontoPed[[#This Row],[MENSAL]]</f>
        <v>1880</v>
      </c>
      <c r="L1082" s="83"/>
      <c r="M1082" s="81"/>
      <c r="N1082" s="34" t="s">
        <v>1009</v>
      </c>
      <c r="O1082" s="76" t="s">
        <v>1454</v>
      </c>
      <c r="P1082" s="77">
        <v>317</v>
      </c>
      <c r="Q1082" s="57">
        <v>550</v>
      </c>
      <c r="R1082" s="42">
        <v>470</v>
      </c>
      <c r="S1082" s="69" t="str">
        <f>_xlfn.IFNA(IF(VLOOKUP(tabPontoPed[[#This Row],[CÓDIGO]],tabExcluirDoEstoque[#Data],1,FALSE),"sim",""),"")</f>
        <v>sim</v>
      </c>
      <c r="T1082" s="43">
        <f>IF(AND(tabPontoPed[[#This Row],[MENSAL]]&gt;0,tabPontoPed[[#This Row],[CÁLCULO]]&gt;0), ABS( tabPontoPed[[#This Row],[MENSAL]] - tabPontoPed[[#This Row],[CÁLCULO]] ) / tabPontoPed[[#This Row],[MENSAL]], -1 )</f>
        <v>0</v>
      </c>
      <c r="U1082" s="58">
        <v>1300</v>
      </c>
      <c r="V1082" s="35">
        <f>IF(AND(tabPontoPed[[#This Row],[MENSAL]]&gt;0,tabPontoPed[[#This Row],[CÁLCULO]]&gt;0), IF( tabPontoPed[[#This Row],[MENSAL]] - tabPontoPed[[#This Row],[CÁLCULO]] &lt; 0, -1, IF( tabPontoPed[[#This Row],[MENSAL]] - tabPontoPed[[#This Row],[CÁLCULO]] &gt; 0, 1, -8)), -9 )</f>
        <v>-8</v>
      </c>
      <c r="W1082" s="35"/>
      <c r="X1082" s="49" t="s">
        <v>1564</v>
      </c>
      <c r="Y1082" s="51">
        <v>44391.599108796298</v>
      </c>
      <c r="Z1082" s="72">
        <f>tabPontoPed[CÁLC_4M] - tabPontoPed[CÁLCULO]</f>
        <v>80</v>
      </c>
      <c r="AA1082" s="79" t="str">
        <f>IF(tabPontoPed[MENSAL]-tabPontoPed[ATA MENSAL] = 0,"sim","")</f>
        <v/>
      </c>
      <c r="AB1082" s="79"/>
      <c r="AC1082" s="47" t="str">
        <f t="shared" si="16"/>
        <v>*</v>
      </c>
    </row>
    <row r="1083" spans="1:29" x14ac:dyDescent="0.25">
      <c r="A1083" s="36">
        <v>76776</v>
      </c>
      <c r="B1083" s="68" t="s">
        <v>123</v>
      </c>
      <c r="C1083" s="33" t="s">
        <v>1317</v>
      </c>
      <c r="D1083" s="32">
        <v>55</v>
      </c>
      <c r="E1083" s="37">
        <v>19</v>
      </c>
      <c r="F1083" s="38" t="str">
        <f>VLOOKUP(tabPontoPed[[#This Row],[GRUPO]],tabGrupos[#Data],2,FALSE)</f>
        <v>EQUIP. MAT. P/ GERACAO, TRANSM. DISTR. RETIF...</v>
      </c>
      <c r="G1083" s="32" t="str">
        <f>VLOOKUP(tabPontoPed[[#This Row],[GRUPO]],tabGrupos[#Data],3,FALSE)</f>
        <v>MEL</v>
      </c>
      <c r="H1083" s="33" t="s">
        <v>1311</v>
      </c>
      <c r="I1083" s="80">
        <v>4</v>
      </c>
      <c r="J1083" s="39">
        <v>934</v>
      </c>
      <c r="K1083" s="41">
        <f>tabPontoPed[[#This Row],[QTDMÊS]] * tabPontoPed[[#This Row],[MENSAL]]</f>
        <v>3736</v>
      </c>
      <c r="L1083" s="83"/>
      <c r="M1083" s="81"/>
      <c r="N1083" s="34" t="s">
        <v>1009</v>
      </c>
      <c r="O1083" s="76" t="s">
        <v>1454</v>
      </c>
      <c r="P1083" s="77">
        <v>1175</v>
      </c>
      <c r="Q1083" s="57">
        <v>1250</v>
      </c>
      <c r="R1083" s="42">
        <v>934</v>
      </c>
      <c r="S1083" s="69" t="str">
        <f>_xlfn.IFNA(IF(VLOOKUP(tabPontoPed[[#This Row],[CÓDIGO]],tabExcluirDoEstoque[#Data],1,FALSE),"sim",""),"")</f>
        <v>sim</v>
      </c>
      <c r="T1083" s="43">
        <f>IF(AND(tabPontoPed[[#This Row],[MENSAL]]&gt;0,tabPontoPed[[#This Row],[CÁLCULO]]&gt;0), ABS( tabPontoPed[[#This Row],[MENSAL]] - tabPontoPed[[#This Row],[CÁLCULO]] ) / tabPontoPed[[#This Row],[MENSAL]], -1 )</f>
        <v>0</v>
      </c>
      <c r="U1083" s="58">
        <v>1400</v>
      </c>
      <c r="V1083" s="35">
        <f>IF(AND(tabPontoPed[[#This Row],[MENSAL]]&gt;0,tabPontoPed[[#This Row],[CÁLCULO]]&gt;0), IF( tabPontoPed[[#This Row],[MENSAL]] - tabPontoPed[[#This Row],[CÁLCULO]] &lt; 0, -1, IF( tabPontoPed[[#This Row],[MENSAL]] - tabPontoPed[[#This Row],[CÁLCULO]] &gt; 0, 1, -8)), -9 )</f>
        <v>-8</v>
      </c>
      <c r="W1083" s="35"/>
      <c r="X1083" s="49" t="s">
        <v>1564</v>
      </c>
      <c r="Y1083" s="51">
        <v>44391.599108796298</v>
      </c>
      <c r="Z1083" s="72">
        <f>tabPontoPed[CÁLC_4M] - tabPontoPed[CÁLCULO]</f>
        <v>316</v>
      </c>
      <c r="AA1083" s="79" t="str">
        <f>IF(tabPontoPed[MENSAL]-tabPontoPed[ATA MENSAL] = 0,"sim","")</f>
        <v/>
      </c>
      <c r="AB1083" s="79"/>
      <c r="AC1083" s="47" t="str">
        <f t="shared" si="16"/>
        <v>*</v>
      </c>
    </row>
    <row r="1084" spans="1:29" x14ac:dyDescent="0.25">
      <c r="A1084" s="36">
        <v>76780</v>
      </c>
      <c r="B1084" s="68" t="s">
        <v>109</v>
      </c>
      <c r="C1084" s="33" t="s">
        <v>1317</v>
      </c>
      <c r="D1084" s="32">
        <v>55</v>
      </c>
      <c r="E1084" s="37">
        <v>19</v>
      </c>
      <c r="F1084" s="38" t="str">
        <f>VLOOKUP(tabPontoPed[[#This Row],[GRUPO]],tabGrupos[#Data],2,FALSE)</f>
        <v>EQUIP. MAT. P/ GERACAO, TRANSM. DISTR. RETIF...</v>
      </c>
      <c r="G1084" s="32" t="str">
        <f>VLOOKUP(tabPontoPed[[#This Row],[GRUPO]],tabGrupos[#Data],3,FALSE)</f>
        <v>MEL</v>
      </c>
      <c r="H1084" s="33" t="s">
        <v>1311</v>
      </c>
      <c r="I1084" s="80">
        <v>4</v>
      </c>
      <c r="J1084" s="39">
        <v>300</v>
      </c>
      <c r="K1084" s="41">
        <f>tabPontoPed[[#This Row],[QTDMÊS]] * tabPontoPed[[#This Row],[MENSAL]]</f>
        <v>1200</v>
      </c>
      <c r="L1084" s="83"/>
      <c r="M1084" s="81"/>
      <c r="N1084" s="34" t="s">
        <v>1009</v>
      </c>
      <c r="O1084" s="76" t="s">
        <v>1454</v>
      </c>
      <c r="P1084" s="77">
        <v>292</v>
      </c>
      <c r="Q1084" s="57">
        <v>550</v>
      </c>
      <c r="R1084" s="42">
        <v>300</v>
      </c>
      <c r="S1084" s="69" t="str">
        <f>_xlfn.IFNA(IF(VLOOKUP(tabPontoPed[[#This Row],[CÓDIGO]],tabExcluirDoEstoque[#Data],1,FALSE),"sim",""),"")</f>
        <v>sim</v>
      </c>
      <c r="T1084" s="43">
        <f>IF(AND(tabPontoPed[[#This Row],[MENSAL]]&gt;0,tabPontoPed[[#This Row],[CÁLCULO]]&gt;0), ABS( tabPontoPed[[#This Row],[MENSAL]] - tabPontoPed[[#This Row],[CÁLCULO]] ) / tabPontoPed[[#This Row],[MENSAL]], -1 )</f>
        <v>0</v>
      </c>
      <c r="U1084" s="58">
        <v>1100</v>
      </c>
      <c r="V1084" s="35">
        <f>IF(AND(tabPontoPed[[#This Row],[MENSAL]]&gt;0,tabPontoPed[[#This Row],[CÁLCULO]]&gt;0), IF( tabPontoPed[[#This Row],[MENSAL]] - tabPontoPed[[#This Row],[CÁLCULO]] &lt; 0, -1, IF( tabPontoPed[[#This Row],[MENSAL]] - tabPontoPed[[#This Row],[CÁLCULO]] &gt; 0, 1, -8)), -9 )</f>
        <v>-8</v>
      </c>
      <c r="W1084" s="35"/>
      <c r="X1084" s="49" t="s">
        <v>1564</v>
      </c>
      <c r="Y1084" s="51">
        <v>44391.599108796298</v>
      </c>
      <c r="Z1084" s="72">
        <f>tabPontoPed[CÁLC_4M] - tabPontoPed[CÁLCULO]</f>
        <v>250</v>
      </c>
      <c r="AA1084" s="79" t="str">
        <f>IF(tabPontoPed[MENSAL]-tabPontoPed[ATA MENSAL] = 0,"sim","")</f>
        <v/>
      </c>
      <c r="AB1084" s="79"/>
      <c r="AC1084" s="47" t="str">
        <f t="shared" si="16"/>
        <v>*</v>
      </c>
    </row>
    <row r="1085" spans="1:29" x14ac:dyDescent="0.25">
      <c r="A1085" s="36">
        <v>128817</v>
      </c>
      <c r="B1085" s="68" t="s">
        <v>656</v>
      </c>
      <c r="C1085" s="33" t="s">
        <v>1317</v>
      </c>
      <c r="D1085" s="32">
        <v>55</v>
      </c>
      <c r="E1085" s="37">
        <v>32</v>
      </c>
      <c r="F1085" s="38" t="str">
        <f>VLOOKUP(tabPontoPed[[#This Row],[GRUPO]],tabGrupos[#Data],2,FALSE)</f>
        <v>EQUIP. MAT. P/ GERACAO, TRANSM. DISTR. RETIF...</v>
      </c>
      <c r="G1085" s="32" t="str">
        <f>VLOOKUP(tabPontoPed[[#This Row],[GRUPO]],tabGrupos[#Data],3,FALSE)</f>
        <v>MEL</v>
      </c>
      <c r="H1085" s="33" t="s">
        <v>1311</v>
      </c>
      <c r="I1085" s="80">
        <v>4</v>
      </c>
      <c r="J1085" s="39">
        <v>1</v>
      </c>
      <c r="K1085" s="41">
        <f>tabPontoPed[[#This Row],[QTDMÊS]] * tabPontoPed[[#This Row],[MENSAL]]</f>
        <v>4</v>
      </c>
      <c r="L1085" s="83"/>
      <c r="M1085" s="81"/>
      <c r="N1085" s="34" t="s">
        <v>1009</v>
      </c>
      <c r="O1085" s="76"/>
      <c r="P1085" s="77">
        <v>0</v>
      </c>
      <c r="Q1085" s="57">
        <v>0</v>
      </c>
      <c r="R1085" s="42">
        <v>1</v>
      </c>
      <c r="S1085" s="69" t="str">
        <f>_xlfn.IFNA(IF(VLOOKUP(tabPontoPed[[#This Row],[CÓDIGO]],tabExcluirDoEstoque[#Data],1,FALSE),"sim",""),"")</f>
        <v>sim</v>
      </c>
      <c r="T1085" s="43">
        <f>IF(AND(tabPontoPed[[#This Row],[MENSAL]]&gt;0,tabPontoPed[[#This Row],[CÁLCULO]]&gt;0), ABS( tabPontoPed[[#This Row],[MENSAL]] - tabPontoPed[[#This Row],[CÁLCULO]] ) / tabPontoPed[[#This Row],[MENSAL]], -1 )</f>
        <v>0</v>
      </c>
      <c r="U1085" s="58">
        <v>5</v>
      </c>
      <c r="V1085" s="35">
        <f>IF(AND(tabPontoPed[[#This Row],[MENSAL]]&gt;0,tabPontoPed[[#This Row],[CÁLCULO]]&gt;0), IF( tabPontoPed[[#This Row],[MENSAL]] - tabPontoPed[[#This Row],[CÁLCULO]] &lt; 0, -1, IF( tabPontoPed[[#This Row],[MENSAL]] - tabPontoPed[[#This Row],[CÁLCULO]] &gt; 0, 1, -8)), -9 )</f>
        <v>-8</v>
      </c>
      <c r="W1085" s="35"/>
      <c r="X1085" s="49" t="s">
        <v>1564</v>
      </c>
      <c r="Y1085" s="51">
        <v>44391.599108796298</v>
      </c>
      <c r="Z1085" s="72">
        <f>tabPontoPed[CÁLC_4M] - tabPontoPed[CÁLCULO]</f>
        <v>-1</v>
      </c>
      <c r="AA1085" s="79" t="str">
        <f>IF(tabPontoPed[MENSAL]-tabPontoPed[ATA MENSAL] = 0,"sim","")</f>
        <v/>
      </c>
      <c r="AB1085" s="79"/>
      <c r="AC1085" s="47" t="str">
        <f t="shared" si="16"/>
        <v>*</v>
      </c>
    </row>
    <row r="1086" spans="1:29" x14ac:dyDescent="0.25">
      <c r="A1086" s="36">
        <v>14014</v>
      </c>
      <c r="B1086" s="68" t="s">
        <v>685</v>
      </c>
      <c r="C1086" s="33" t="s">
        <v>1317</v>
      </c>
      <c r="D1086" s="32">
        <v>55</v>
      </c>
      <c r="E1086" s="37">
        <v>46</v>
      </c>
      <c r="F1086" s="38" t="str">
        <f>VLOOKUP(tabPontoPed[[#This Row],[GRUPO]],tabGrupos[#Data],2,FALSE)</f>
        <v>EQUIP. MAT. P/ GERACAO, TRANSM. DISTR. RETIF...</v>
      </c>
      <c r="G1086" s="32" t="str">
        <f>VLOOKUP(tabPontoPed[[#This Row],[GRUPO]],tabGrupos[#Data],3,FALSE)</f>
        <v>MEL</v>
      </c>
      <c r="H1086" s="33" t="s">
        <v>1311</v>
      </c>
      <c r="I1086" s="80">
        <v>4</v>
      </c>
      <c r="J1086" s="39">
        <v>1</v>
      </c>
      <c r="K1086" s="41">
        <f>tabPontoPed[[#This Row],[QTDMÊS]] * tabPontoPed[[#This Row],[MENSAL]]</f>
        <v>4</v>
      </c>
      <c r="L1086" s="83"/>
      <c r="M1086" s="81"/>
      <c r="N1086" s="34" t="s">
        <v>1010</v>
      </c>
      <c r="O1086" s="76" t="s">
        <v>1424</v>
      </c>
      <c r="P1086" s="77"/>
      <c r="Q1086" s="57">
        <v>1</v>
      </c>
      <c r="R1086" s="42">
        <v>1</v>
      </c>
      <c r="S1086" s="69" t="str">
        <f>_xlfn.IFNA(IF(VLOOKUP(tabPontoPed[[#This Row],[CÓDIGO]],tabExcluirDoEstoque[#Data],1,FALSE),"sim",""),"")</f>
        <v>sim</v>
      </c>
      <c r="T1086" s="43">
        <f>IF(AND(tabPontoPed[[#This Row],[MENSAL]]&gt;0,tabPontoPed[[#This Row],[CÁLCULO]]&gt;0), ABS( tabPontoPed[[#This Row],[MENSAL]] - tabPontoPed[[#This Row],[CÁLCULO]] ) / tabPontoPed[[#This Row],[MENSAL]], -1 )</f>
        <v>0</v>
      </c>
      <c r="U1086" s="58"/>
      <c r="V1086" s="35">
        <f>IF(AND(tabPontoPed[[#This Row],[MENSAL]]&gt;0,tabPontoPed[[#This Row],[CÁLCULO]]&gt;0), IF( tabPontoPed[[#This Row],[MENSAL]] - tabPontoPed[[#This Row],[CÁLCULO]] &lt; 0, -1, IF( tabPontoPed[[#This Row],[MENSAL]] - tabPontoPed[[#This Row],[CÁLCULO]] &gt; 0, 1, -8)), -9 )</f>
        <v>-8</v>
      </c>
      <c r="W1086" s="35"/>
      <c r="X1086" s="49" t="s">
        <v>1564</v>
      </c>
      <c r="Y1086" s="51">
        <v>44391.599108796298</v>
      </c>
      <c r="Z1086" s="72">
        <f>tabPontoPed[CÁLC_4M] - tabPontoPed[CÁLCULO]</f>
        <v>0</v>
      </c>
      <c r="AA1086" s="79" t="str">
        <f>IF(tabPontoPed[MENSAL]-tabPontoPed[ATA MENSAL] = 0,"sim","")</f>
        <v/>
      </c>
      <c r="AB1086" s="79"/>
      <c r="AC1086" s="47" t="str">
        <f t="shared" si="16"/>
        <v>*</v>
      </c>
    </row>
    <row r="1087" spans="1:29" x14ac:dyDescent="0.25">
      <c r="A1087" s="36">
        <v>133812</v>
      </c>
      <c r="B1087" s="68" t="s">
        <v>373</v>
      </c>
      <c r="C1087" s="33" t="s">
        <v>1317</v>
      </c>
      <c r="D1087" s="32">
        <v>55</v>
      </c>
      <c r="E1087" s="37">
        <v>55</v>
      </c>
      <c r="F1087" s="38" t="str">
        <f>VLOOKUP(tabPontoPed[[#This Row],[GRUPO]],tabGrupos[#Data],2,FALSE)</f>
        <v>EQUIP. MAT. P/ GERACAO, TRANSM. DISTR. RETIF...</v>
      </c>
      <c r="G1087" s="32" t="str">
        <f>VLOOKUP(tabPontoPed[[#This Row],[GRUPO]],tabGrupos[#Data],3,FALSE)</f>
        <v>MEL</v>
      </c>
      <c r="H1087" s="33" t="s">
        <v>1311</v>
      </c>
      <c r="I1087" s="80">
        <v>4</v>
      </c>
      <c r="J1087" s="39">
        <v>20</v>
      </c>
      <c r="K1087" s="41">
        <f>tabPontoPed[[#This Row],[QTDMÊS]] * tabPontoPed[[#This Row],[MENSAL]]</f>
        <v>80</v>
      </c>
      <c r="L1087" s="83"/>
      <c r="M1087" s="81"/>
      <c r="N1087" s="34" t="s">
        <v>1009</v>
      </c>
      <c r="O1087" s="76" t="s">
        <v>1603</v>
      </c>
      <c r="P1087" s="77">
        <v>25</v>
      </c>
      <c r="Q1087" s="57">
        <v>17</v>
      </c>
      <c r="R1087" s="42">
        <v>20</v>
      </c>
      <c r="S1087" s="69" t="str">
        <f>_xlfn.IFNA(IF(VLOOKUP(tabPontoPed[[#This Row],[CÓDIGO]],tabExcluirDoEstoque[#Data],1,FALSE),"sim",""),"")</f>
        <v>sim</v>
      </c>
      <c r="T1087" s="43">
        <f>IF(AND(tabPontoPed[[#This Row],[MENSAL]]&gt;0,tabPontoPed[[#This Row],[CÁLCULO]]&gt;0), ABS( tabPontoPed[[#This Row],[MENSAL]] - tabPontoPed[[#This Row],[CÁLCULO]] ) / tabPontoPed[[#This Row],[MENSAL]], -1 )</f>
        <v>0</v>
      </c>
      <c r="U1087" s="58">
        <v>33</v>
      </c>
      <c r="V1087" s="35">
        <f>IF(AND(tabPontoPed[[#This Row],[MENSAL]]&gt;0,tabPontoPed[[#This Row],[CÁLCULO]]&gt;0), IF( tabPontoPed[[#This Row],[MENSAL]] - tabPontoPed[[#This Row],[CÁLCULO]] &lt; 0, -1, IF( tabPontoPed[[#This Row],[MENSAL]] - tabPontoPed[[#This Row],[CÁLCULO]] &gt; 0, 1, -8)), -9 )</f>
        <v>-8</v>
      </c>
      <c r="W1087" s="35"/>
      <c r="X1087" s="49" t="s">
        <v>1564</v>
      </c>
      <c r="Y1087" s="51">
        <v>44391.599108796298</v>
      </c>
      <c r="Z1087" s="72">
        <f>tabPontoPed[CÁLC_4M] - tabPontoPed[CÁLCULO]</f>
        <v>-3</v>
      </c>
      <c r="AA1087" s="79" t="str">
        <f>IF(tabPontoPed[MENSAL]-tabPontoPed[ATA MENSAL] = 0,"sim","")</f>
        <v/>
      </c>
      <c r="AB1087" s="79"/>
      <c r="AC1087" s="47" t="str">
        <f t="shared" si="16"/>
        <v>*</v>
      </c>
    </row>
    <row r="1088" spans="1:29" x14ac:dyDescent="0.25">
      <c r="A1088" s="36">
        <v>132613</v>
      </c>
      <c r="B1088" s="68" t="s">
        <v>697</v>
      </c>
      <c r="C1088" s="33" t="s">
        <v>1317</v>
      </c>
      <c r="D1088" s="32">
        <v>55</v>
      </c>
      <c r="E1088" s="37">
        <v>66</v>
      </c>
      <c r="F1088" s="38" t="str">
        <f>VLOOKUP(tabPontoPed[[#This Row],[GRUPO]],tabGrupos[#Data],2,FALSE)</f>
        <v>EQUIP. MAT. P/ GERACAO, TRANSM. DISTR. RETIF...</v>
      </c>
      <c r="G1088" s="32" t="str">
        <f>VLOOKUP(tabPontoPed[[#This Row],[GRUPO]],tabGrupos[#Data],3,FALSE)</f>
        <v>MEL</v>
      </c>
      <c r="H1088" s="33" t="s">
        <v>1311</v>
      </c>
      <c r="I1088" s="80">
        <v>4</v>
      </c>
      <c r="J1088" s="39">
        <v>86</v>
      </c>
      <c r="K1088" s="41">
        <f>tabPontoPed[[#This Row],[QTDMÊS]] * tabPontoPed[[#This Row],[MENSAL]]</f>
        <v>344</v>
      </c>
      <c r="L1088" s="83"/>
      <c r="M1088" s="81"/>
      <c r="N1088" s="34" t="s">
        <v>1010</v>
      </c>
      <c r="O1088" s="76" t="s">
        <v>1443</v>
      </c>
      <c r="P1088" s="77"/>
      <c r="Q1088" s="57">
        <v>86</v>
      </c>
      <c r="R1088" s="42">
        <v>86</v>
      </c>
      <c r="S1088" s="69" t="str">
        <f>_xlfn.IFNA(IF(VLOOKUP(tabPontoPed[[#This Row],[CÓDIGO]],tabExcluirDoEstoque[#Data],1,FALSE),"sim",""),"")</f>
        <v>sim</v>
      </c>
      <c r="T1088" s="43">
        <f>IF(AND(tabPontoPed[[#This Row],[MENSAL]]&gt;0,tabPontoPed[[#This Row],[CÁLCULO]]&gt;0), ABS( tabPontoPed[[#This Row],[MENSAL]] - tabPontoPed[[#This Row],[CÁLCULO]] ) / tabPontoPed[[#This Row],[MENSAL]], -1 )</f>
        <v>0</v>
      </c>
      <c r="U1088" s="58"/>
      <c r="V1088" s="35">
        <f>IF(AND(tabPontoPed[[#This Row],[MENSAL]]&gt;0,tabPontoPed[[#This Row],[CÁLCULO]]&gt;0), IF( tabPontoPed[[#This Row],[MENSAL]] - tabPontoPed[[#This Row],[CÁLCULO]] &lt; 0, -1, IF( tabPontoPed[[#This Row],[MENSAL]] - tabPontoPed[[#This Row],[CÁLCULO]] &gt; 0, 1, -8)), -9 )</f>
        <v>-8</v>
      </c>
      <c r="W1088" s="35"/>
      <c r="X1088" s="49" t="s">
        <v>1564</v>
      </c>
      <c r="Y1088" s="51">
        <v>44391.599108796298</v>
      </c>
      <c r="Z1088" s="72">
        <f>tabPontoPed[CÁLC_4M] - tabPontoPed[CÁLCULO]</f>
        <v>0</v>
      </c>
      <c r="AA1088" s="79" t="str">
        <f>IF(tabPontoPed[MENSAL]-tabPontoPed[ATA MENSAL] = 0,"sim","")</f>
        <v/>
      </c>
      <c r="AB1088" s="79"/>
      <c r="AC1088" s="47" t="str">
        <f t="shared" si="16"/>
        <v>*</v>
      </c>
    </row>
    <row r="1089" spans="1:29" x14ac:dyDescent="0.25">
      <c r="A1089" s="36">
        <v>99796</v>
      </c>
      <c r="B1089" s="68" t="s">
        <v>768</v>
      </c>
      <c r="C1089" s="33" t="s">
        <v>1317</v>
      </c>
      <c r="D1089" s="32">
        <v>61</v>
      </c>
      <c r="E1089" s="37">
        <v>8</v>
      </c>
      <c r="F1089" s="38" t="str">
        <f>VLOOKUP(tabPontoPed[[#This Row],[GRUPO]],tabGrupos[#Data],2,FALSE)</f>
        <v>MATERIAL HIDRAULICO, CANOS, TUBOS, MANGUEIRAS, CONEXOES E ACESS.</v>
      </c>
      <c r="G1089" s="32" t="str">
        <f>VLOOKUP(tabPontoPed[[#This Row],[GRUPO]],tabGrupos[#Data],3,FALSE)</f>
        <v>MHI</v>
      </c>
      <c r="H1089" s="33" t="s">
        <v>1311</v>
      </c>
      <c r="I1089" s="80">
        <v>4</v>
      </c>
      <c r="J1089" s="39">
        <v>1</v>
      </c>
      <c r="K1089" s="41">
        <f>tabPontoPed[[#This Row],[QTDMÊS]] * tabPontoPed[[#This Row],[MENSAL]]</f>
        <v>4</v>
      </c>
      <c r="L1089" s="83"/>
      <c r="M1089" s="81"/>
      <c r="N1089" s="34" t="s">
        <v>1010</v>
      </c>
      <c r="O1089" s="76" t="s">
        <v>1424</v>
      </c>
      <c r="P1089" s="77"/>
      <c r="Q1089" s="57">
        <v>1</v>
      </c>
      <c r="R1089" s="42">
        <v>1</v>
      </c>
      <c r="S1089" s="69" t="str">
        <f>_xlfn.IFNA(IF(VLOOKUP(tabPontoPed[[#This Row],[CÓDIGO]],tabExcluirDoEstoque[#Data],1,FALSE),"sim",""),"")</f>
        <v>sim</v>
      </c>
      <c r="T1089" s="43">
        <f>IF(AND(tabPontoPed[[#This Row],[MENSAL]]&gt;0,tabPontoPed[[#This Row],[CÁLCULO]]&gt;0), ABS( tabPontoPed[[#This Row],[MENSAL]] - tabPontoPed[[#This Row],[CÁLCULO]] ) / tabPontoPed[[#This Row],[MENSAL]], -1 )</f>
        <v>0</v>
      </c>
      <c r="U1089" s="58"/>
      <c r="V1089" s="35">
        <f>IF(AND(tabPontoPed[[#This Row],[MENSAL]]&gt;0,tabPontoPed[[#This Row],[CÁLCULO]]&gt;0), IF( tabPontoPed[[#This Row],[MENSAL]] - tabPontoPed[[#This Row],[CÁLCULO]] &lt; 0, -1, IF( tabPontoPed[[#This Row],[MENSAL]] - tabPontoPed[[#This Row],[CÁLCULO]] &gt; 0, 1, -8)), -9 )</f>
        <v>-8</v>
      </c>
      <c r="W1089" s="35"/>
      <c r="X1089" s="49" t="s">
        <v>1564</v>
      </c>
      <c r="Y1089" s="51">
        <v>44391.599108796298</v>
      </c>
      <c r="Z1089" s="72">
        <f>tabPontoPed[CÁLC_4M] - tabPontoPed[CÁLCULO]</f>
        <v>0</v>
      </c>
      <c r="AA1089" s="79" t="str">
        <f>IF(tabPontoPed[MENSAL]-tabPontoPed[ATA MENSAL] = 0,"sim","")</f>
        <v/>
      </c>
      <c r="AB1089" s="79"/>
      <c r="AC1089" s="47" t="str">
        <f t="shared" si="16"/>
        <v>*</v>
      </c>
    </row>
    <row r="1090" spans="1:29" x14ac:dyDescent="0.25">
      <c r="A1090" s="36">
        <v>15029</v>
      </c>
      <c r="B1090" s="68" t="s">
        <v>305</v>
      </c>
      <c r="C1090" s="33" t="s">
        <v>1317</v>
      </c>
      <c r="D1090" s="32">
        <v>61</v>
      </c>
      <c r="E1090" s="37">
        <v>10</v>
      </c>
      <c r="F1090" s="38" t="str">
        <f>VLOOKUP(tabPontoPed[[#This Row],[GRUPO]],tabGrupos[#Data],2,FALSE)</f>
        <v>MATERIAL HIDRAULICO, CANOS, TUBOS, MANGUEIRAS, CONEXOES E ACESS.</v>
      </c>
      <c r="G1090" s="32" t="str">
        <f>VLOOKUP(tabPontoPed[[#This Row],[GRUPO]],tabGrupos[#Data],3,FALSE)</f>
        <v>MHI</v>
      </c>
      <c r="H1090" s="33" t="s">
        <v>1311</v>
      </c>
      <c r="I1090" s="80">
        <v>4</v>
      </c>
      <c r="J1090" s="39">
        <v>44</v>
      </c>
      <c r="K1090" s="41">
        <f>tabPontoPed[[#This Row],[QTDMÊS]] * tabPontoPed[[#This Row],[MENSAL]]</f>
        <v>176</v>
      </c>
      <c r="L1090" s="83"/>
      <c r="M1090" s="81"/>
      <c r="N1090" s="34" t="s">
        <v>1009</v>
      </c>
      <c r="O1090" s="76" t="s">
        <v>1426</v>
      </c>
      <c r="P1090" s="77"/>
      <c r="Q1090" s="57">
        <v>35</v>
      </c>
      <c r="R1090" s="42">
        <v>44</v>
      </c>
      <c r="S1090" s="69" t="str">
        <f>_xlfn.IFNA(IF(VLOOKUP(tabPontoPed[[#This Row],[CÓDIGO]],tabExcluirDoEstoque[#Data],1,FALSE),"sim",""),"")</f>
        <v>sim</v>
      </c>
      <c r="T1090" s="43">
        <f>IF(AND(tabPontoPed[[#This Row],[MENSAL]]&gt;0,tabPontoPed[[#This Row],[CÁLCULO]]&gt;0), ABS( tabPontoPed[[#This Row],[MENSAL]] - tabPontoPed[[#This Row],[CÁLCULO]] ) / tabPontoPed[[#This Row],[MENSAL]], -1 )</f>
        <v>0</v>
      </c>
      <c r="U1090" s="58">
        <v>98</v>
      </c>
      <c r="V1090" s="35">
        <f>IF(AND(tabPontoPed[[#This Row],[MENSAL]]&gt;0,tabPontoPed[[#This Row],[CÁLCULO]]&gt;0), IF( tabPontoPed[[#This Row],[MENSAL]] - tabPontoPed[[#This Row],[CÁLCULO]] &lt; 0, -1, IF( tabPontoPed[[#This Row],[MENSAL]] - tabPontoPed[[#This Row],[CÁLCULO]] &gt; 0, 1, -8)), -9 )</f>
        <v>-8</v>
      </c>
      <c r="W1090" s="35"/>
      <c r="X1090" s="49" t="s">
        <v>1564</v>
      </c>
      <c r="Y1090" s="51">
        <v>44391.599108796298</v>
      </c>
      <c r="Z1090" s="72">
        <f>tabPontoPed[CÁLC_4M] - tabPontoPed[CÁLCULO]</f>
        <v>-9</v>
      </c>
      <c r="AA1090" s="79" t="str">
        <f>IF(tabPontoPed[MENSAL]-tabPontoPed[ATA MENSAL] = 0,"sim","")</f>
        <v/>
      </c>
      <c r="AB1090" s="79"/>
      <c r="AC1090" s="47" t="str">
        <f t="shared" si="16"/>
        <v>*</v>
      </c>
    </row>
    <row r="1091" spans="1:29" x14ac:dyDescent="0.25">
      <c r="A1091" s="36">
        <v>30658</v>
      </c>
      <c r="B1091" s="68" t="s">
        <v>319</v>
      </c>
      <c r="C1091" s="33" t="s">
        <v>1317</v>
      </c>
      <c r="D1091" s="32">
        <v>61</v>
      </c>
      <c r="E1091" s="37">
        <v>15</v>
      </c>
      <c r="F1091" s="38" t="str">
        <f>VLOOKUP(tabPontoPed[[#This Row],[GRUPO]],tabGrupos[#Data],2,FALSE)</f>
        <v>MATERIAL HIDRAULICO, CANOS, TUBOS, MANGUEIRAS, CONEXOES E ACESS.</v>
      </c>
      <c r="G1091" s="32" t="str">
        <f>VLOOKUP(tabPontoPed[[#This Row],[GRUPO]],tabGrupos[#Data],3,FALSE)</f>
        <v>MHI</v>
      </c>
      <c r="H1091" s="33" t="s">
        <v>1311</v>
      </c>
      <c r="I1091" s="80">
        <v>4</v>
      </c>
      <c r="J1091" s="39">
        <v>2</v>
      </c>
      <c r="K1091" s="41">
        <f>tabPontoPed[[#This Row],[QTDMÊS]] * tabPontoPed[[#This Row],[MENSAL]]</f>
        <v>8</v>
      </c>
      <c r="L1091" s="83"/>
      <c r="M1091" s="81"/>
      <c r="N1091" s="34" t="s">
        <v>1010</v>
      </c>
      <c r="O1091" s="76" t="s">
        <v>1426</v>
      </c>
      <c r="P1091" s="77"/>
      <c r="Q1091" s="57">
        <v>2</v>
      </c>
      <c r="R1091" s="42">
        <v>2</v>
      </c>
      <c r="S1091" s="69" t="str">
        <f>_xlfn.IFNA(IF(VLOOKUP(tabPontoPed[[#This Row],[CÓDIGO]],tabExcluirDoEstoque[#Data],1,FALSE),"sim",""),"")</f>
        <v>sim</v>
      </c>
      <c r="T1091" s="43">
        <f>IF(AND(tabPontoPed[[#This Row],[MENSAL]]&gt;0,tabPontoPed[[#This Row],[CÁLCULO]]&gt;0), ABS( tabPontoPed[[#This Row],[MENSAL]] - tabPontoPed[[#This Row],[CÁLCULO]] ) / tabPontoPed[[#This Row],[MENSAL]], -1 )</f>
        <v>0</v>
      </c>
      <c r="U1091" s="58">
        <v>5</v>
      </c>
      <c r="V1091" s="35">
        <f>IF(AND(tabPontoPed[[#This Row],[MENSAL]]&gt;0,tabPontoPed[[#This Row],[CÁLCULO]]&gt;0), IF( tabPontoPed[[#This Row],[MENSAL]] - tabPontoPed[[#This Row],[CÁLCULO]] &lt; 0, -1, IF( tabPontoPed[[#This Row],[MENSAL]] - tabPontoPed[[#This Row],[CÁLCULO]] &gt; 0, 1, -8)), -9 )</f>
        <v>-8</v>
      </c>
      <c r="W1091" s="35"/>
      <c r="X1091" s="49" t="s">
        <v>1564</v>
      </c>
      <c r="Y1091" s="51">
        <v>44391.599108796298</v>
      </c>
      <c r="Z1091" s="72">
        <f>tabPontoPed[CÁLC_4M] - tabPontoPed[CÁLCULO]</f>
        <v>0</v>
      </c>
      <c r="AA1091" s="79" t="str">
        <f>IF(tabPontoPed[MENSAL]-tabPontoPed[ATA MENSAL] = 0,"sim","")</f>
        <v/>
      </c>
      <c r="AB1091" s="79"/>
      <c r="AC1091" s="47" t="str">
        <f t="shared" ref="AC1091:AC1154" si="17">"*"</f>
        <v>*</v>
      </c>
    </row>
    <row r="1092" spans="1:29" ht="18.75" x14ac:dyDescent="0.25">
      <c r="A1092" s="36">
        <v>72052</v>
      </c>
      <c r="B1092" s="68" t="s">
        <v>3</v>
      </c>
      <c r="C1092" s="33" t="s">
        <v>1317</v>
      </c>
      <c r="D1092" s="32">
        <v>76</v>
      </c>
      <c r="E1092" s="37">
        <v>5</v>
      </c>
      <c r="F1092" s="38" t="str">
        <f>VLOOKUP(tabPontoPed[[#This Row],[GRUPO]],tabGrupos[#Data],2,FALSE)</f>
        <v>EQUIP. E MATERIAIS P/PINTURAS E IMPERMEABILIZACAO</v>
      </c>
      <c r="G1092" s="32" t="str">
        <f>VLOOKUP(tabPontoPed[[#This Row],[GRUPO]],tabGrupos[#Data],3,FALSE)</f>
        <v>MPI</v>
      </c>
      <c r="H1092" s="33" t="s">
        <v>1311</v>
      </c>
      <c r="I1092" s="80">
        <v>4</v>
      </c>
      <c r="J1092" s="39">
        <v>2</v>
      </c>
      <c r="K1092" s="41">
        <f>tabPontoPed[[#This Row],[QTDMÊS]] * tabPontoPed[[#This Row],[MENSAL]]</f>
        <v>8</v>
      </c>
      <c r="L1092" s="83"/>
      <c r="M1092" s="81"/>
      <c r="N1092" s="34" t="s">
        <v>1009</v>
      </c>
      <c r="O1092" s="76" t="s">
        <v>1640</v>
      </c>
      <c r="P1092" s="77">
        <v>3</v>
      </c>
      <c r="Q1092" s="57">
        <v>0</v>
      </c>
      <c r="R1092" s="42">
        <v>2</v>
      </c>
      <c r="S1092" s="69" t="str">
        <f>_xlfn.IFNA(IF(VLOOKUP(tabPontoPed[[#This Row],[CÓDIGO]],tabExcluirDoEstoque[#Data],1,FALSE),"sim",""),"")</f>
        <v>sim</v>
      </c>
      <c r="T1092" s="43">
        <f>IF(AND(tabPontoPed[[#This Row],[MENSAL]]&gt;0,tabPontoPed[[#This Row],[CÁLCULO]]&gt;0), ABS( tabPontoPed[[#This Row],[MENSAL]] - tabPontoPed[[#This Row],[CÁLCULO]] ) / tabPontoPed[[#This Row],[MENSAL]], -1 )</f>
        <v>0</v>
      </c>
      <c r="U1092" s="58">
        <v>8</v>
      </c>
      <c r="V1092" s="35">
        <f>IF(AND(tabPontoPed[[#This Row],[MENSAL]]&gt;0,tabPontoPed[[#This Row],[CÁLCULO]]&gt;0), IF( tabPontoPed[[#This Row],[MENSAL]] - tabPontoPed[[#This Row],[CÁLCULO]] &lt; 0, -1, IF( tabPontoPed[[#This Row],[MENSAL]] - tabPontoPed[[#This Row],[CÁLCULO]] &gt; 0, 1, -8)), -9 )</f>
        <v>-8</v>
      </c>
      <c r="W1092" s="45"/>
      <c r="X1092" s="50" t="s">
        <v>1564</v>
      </c>
      <c r="Y1092" s="52">
        <v>44391.599108796298</v>
      </c>
      <c r="Z1092" s="73">
        <f>tabPontoPed[CÁLC_4M] - tabPontoPed[CÁLCULO]</f>
        <v>-2</v>
      </c>
      <c r="AA1092" s="79" t="str">
        <f>IF(tabPontoPed[MENSAL]-tabPontoPed[ATA MENSAL] = 0,"sim","")</f>
        <v/>
      </c>
      <c r="AB1092" s="79"/>
      <c r="AC1092" s="47" t="str">
        <f t="shared" si="17"/>
        <v>*</v>
      </c>
    </row>
    <row r="1093" spans="1:29" x14ac:dyDescent="0.25">
      <c r="A1093" s="36">
        <v>51013</v>
      </c>
      <c r="B1093" s="68" t="s">
        <v>1403</v>
      </c>
      <c r="C1093" s="33"/>
      <c r="D1093" s="32">
        <v>76</v>
      </c>
      <c r="E1093" s="37">
        <v>10</v>
      </c>
      <c r="F1093" s="38" t="str">
        <f>VLOOKUP(tabPontoPed[[#This Row],[GRUPO]],tabGrupos[#Data],2,FALSE)</f>
        <v>EQUIP. E MATERIAIS P/PINTURAS E IMPERMEABILIZACAO</v>
      </c>
      <c r="G1093" s="32" t="str">
        <f>VLOOKUP(tabPontoPed[[#This Row],[GRUPO]],tabGrupos[#Data],3,FALSE)</f>
        <v>MPI</v>
      </c>
      <c r="H1093" s="33" t="s">
        <v>1311</v>
      </c>
      <c r="I1093" s="80">
        <v>4</v>
      </c>
      <c r="J1093" s="39">
        <v>1</v>
      </c>
      <c r="K1093" s="41">
        <f>tabPontoPed[[#This Row],[QTDMÊS]] * tabPontoPed[[#This Row],[MENSAL]]</f>
        <v>4</v>
      </c>
      <c r="L1093" s="83"/>
      <c r="M1093" s="81"/>
      <c r="N1093" s="34" t="s">
        <v>1010</v>
      </c>
      <c r="O1093" s="76" t="s">
        <v>1440</v>
      </c>
      <c r="P1093" s="77"/>
      <c r="Q1093" s="57">
        <v>1</v>
      </c>
      <c r="R1093" s="42">
        <v>1</v>
      </c>
      <c r="S1093" s="69" t="str">
        <f>_xlfn.IFNA(IF(VLOOKUP(tabPontoPed[[#This Row],[CÓDIGO]],tabExcluirDoEstoque[#Data],1,FALSE),"sim",""),"")</f>
        <v>sim</v>
      </c>
      <c r="T1093" s="43">
        <f>IF(AND(tabPontoPed[[#This Row],[MENSAL]]&gt;0,tabPontoPed[[#This Row],[CÁLCULO]]&gt;0), ABS( tabPontoPed[[#This Row],[MENSAL]] - tabPontoPed[[#This Row],[CÁLCULO]] ) / tabPontoPed[[#This Row],[MENSAL]], -1 )</f>
        <v>0</v>
      </c>
      <c r="U1093" s="58"/>
      <c r="V1093" s="35">
        <f>IF(AND(tabPontoPed[[#This Row],[MENSAL]]&gt;0,tabPontoPed[[#This Row],[CÁLCULO]]&gt;0), IF( tabPontoPed[[#This Row],[MENSAL]] - tabPontoPed[[#This Row],[CÁLCULO]] &lt; 0, -1, IF( tabPontoPed[[#This Row],[MENSAL]] - tabPontoPed[[#This Row],[CÁLCULO]] &gt; 0, 1, -8)), -9 )</f>
        <v>-8</v>
      </c>
      <c r="W1093" s="35"/>
      <c r="X1093" s="49" t="s">
        <v>1564</v>
      </c>
      <c r="Y1093" s="51">
        <v>44391.599108796298</v>
      </c>
      <c r="Z1093" s="72">
        <f>tabPontoPed[CÁLC_4M] - tabPontoPed[CÁLCULO]</f>
        <v>0</v>
      </c>
      <c r="AA1093" s="79" t="str">
        <f>IF(tabPontoPed[MENSAL]-tabPontoPed[ATA MENSAL] = 0,"sim","")</f>
        <v/>
      </c>
      <c r="AB1093" s="79"/>
      <c r="AC1093" s="47" t="str">
        <f t="shared" si="17"/>
        <v>*</v>
      </c>
    </row>
    <row r="1094" spans="1:29" x14ac:dyDescent="0.25">
      <c r="A1094" s="36">
        <v>136676</v>
      </c>
      <c r="B1094" s="68" t="s">
        <v>1420</v>
      </c>
      <c r="C1094" s="33"/>
      <c r="D1094" s="32">
        <v>62</v>
      </c>
      <c r="E1094" s="37">
        <v>1</v>
      </c>
      <c r="F1094" s="38" t="str">
        <f>VLOOKUP(tabPontoPed[[#This Row],[GRUPO]],tabGrupos[#Data],2,FALSE)</f>
        <v>VEST., ART.P/ TOUC.E HIG. PES. MAQ., EQUIP., MAT.E ACES.</v>
      </c>
      <c r="G1094" s="32" t="str">
        <f>VLOOKUP(tabPontoPed[[#This Row],[GRUPO]],tabGrupos[#Data],3,FALSE)</f>
        <v>ADM</v>
      </c>
      <c r="H1094" s="33" t="s">
        <v>1311</v>
      </c>
      <c r="I1094" s="80">
        <v>4</v>
      </c>
      <c r="J1094" s="39">
        <v>0</v>
      </c>
      <c r="K1094" s="41">
        <f>tabPontoPed[[#This Row],[QTDMÊS]] * tabPontoPed[[#This Row],[MENSAL]]</f>
        <v>0</v>
      </c>
      <c r="L1094" s="83"/>
      <c r="M1094" s="81"/>
      <c r="N1094" s="34" t="s">
        <v>1009</v>
      </c>
      <c r="O1094" s="76"/>
      <c r="P1094" s="77">
        <v>0</v>
      </c>
      <c r="Q1094" s="57">
        <v>0</v>
      </c>
      <c r="R1094" s="42">
        <v>0</v>
      </c>
      <c r="S1094" s="69" t="str">
        <f>_xlfn.IFNA(IF(VLOOKUP(tabPontoPed[[#This Row],[CÓDIGO]],tabExcluirDoEstoque[#Data],1,FALSE),"sim",""),"")</f>
        <v>sim</v>
      </c>
      <c r="T1094" s="43">
        <f>IF(AND(tabPontoPed[[#This Row],[MENSAL]]&gt;0,tabPontoPed[[#This Row],[CÁLCULO]]&gt;0), ABS( tabPontoPed[[#This Row],[MENSAL]] - tabPontoPed[[#This Row],[CÁLCULO]] ) / tabPontoPed[[#This Row],[MENSAL]], -1 )</f>
        <v>-1</v>
      </c>
      <c r="U1094" s="58">
        <v>0</v>
      </c>
      <c r="V1094" s="35">
        <f>IF(AND(tabPontoPed[[#This Row],[MENSAL]]&gt;0,tabPontoPed[[#This Row],[CÁLCULO]]&gt;0), IF( tabPontoPed[[#This Row],[MENSAL]] - tabPontoPed[[#This Row],[CÁLCULO]] &lt; 0, -1, IF( tabPontoPed[[#This Row],[MENSAL]] - tabPontoPed[[#This Row],[CÁLCULO]] &gt; 0, 1, -8)), -9 )</f>
        <v>-9</v>
      </c>
      <c r="W1094" s="35"/>
      <c r="X1094" s="49" t="s">
        <v>1564</v>
      </c>
      <c r="Y1094" s="51">
        <v>44391.599108796298</v>
      </c>
      <c r="Z1094" s="72">
        <f>tabPontoPed[CÁLC_4M] - tabPontoPed[CÁLCULO]</f>
        <v>0</v>
      </c>
      <c r="AA1094" s="79" t="str">
        <f>IF(tabPontoPed[MENSAL]-tabPontoPed[ATA MENSAL] = 0,"sim","")</f>
        <v>sim</v>
      </c>
      <c r="AB1094" s="79" t="s">
        <v>1614</v>
      </c>
      <c r="AC1094" s="47" t="str">
        <f t="shared" si="17"/>
        <v>*</v>
      </c>
    </row>
    <row r="1095" spans="1:29" x14ac:dyDescent="0.25">
      <c r="A1095" s="36">
        <v>30772</v>
      </c>
      <c r="B1095" s="68" t="s">
        <v>189</v>
      </c>
      <c r="C1095" s="33" t="s">
        <v>1317</v>
      </c>
      <c r="D1095" s="32">
        <v>72</v>
      </c>
      <c r="E1095" s="37">
        <v>5</v>
      </c>
      <c r="F1095" s="38" t="str">
        <f>VLOOKUP(tabPontoPed[[#This Row],[GRUPO]],tabGrupos[#Data],2,FALSE)</f>
        <v>MAQ.EQUIP.E MATERIAIS P/ HIGIEN.LIMP.POLIM.E LUBR.</v>
      </c>
      <c r="G1095" s="32" t="str">
        <f>VLOOKUP(tabPontoPed[[#This Row],[GRUPO]],tabGrupos[#Data],3,FALSE)</f>
        <v>ADM</v>
      </c>
      <c r="H1095" s="33" t="s">
        <v>1311</v>
      </c>
      <c r="I1095" s="80">
        <v>4</v>
      </c>
      <c r="J1095" s="39">
        <v>5</v>
      </c>
      <c r="K1095" s="41">
        <f>tabPontoPed[[#This Row],[QTDMÊS]] * tabPontoPed[[#This Row],[MENSAL]]</f>
        <v>20</v>
      </c>
      <c r="L1095" s="83"/>
      <c r="M1095" s="81"/>
      <c r="N1095" s="34" t="s">
        <v>1010</v>
      </c>
      <c r="O1095" s="76"/>
      <c r="P1095" s="77"/>
      <c r="Q1095" s="57">
        <v>0</v>
      </c>
      <c r="R1095" s="42">
        <v>0</v>
      </c>
      <c r="S1095" s="69" t="str">
        <f>_xlfn.IFNA(IF(VLOOKUP(tabPontoPed[[#This Row],[CÓDIGO]],tabExcluirDoEstoque[#Data],1,FALSE),"sim",""),"")</f>
        <v>sim</v>
      </c>
      <c r="T1095" s="43">
        <f>IF(AND(tabPontoPed[[#This Row],[MENSAL]]&gt;0,tabPontoPed[[#This Row],[CÁLCULO]]&gt;0), ABS( tabPontoPed[[#This Row],[MENSAL]] - tabPontoPed[[#This Row],[CÁLCULO]] ) / tabPontoPed[[#This Row],[MENSAL]], -1 )</f>
        <v>-1</v>
      </c>
      <c r="U1095" s="58"/>
      <c r="V1095" s="35">
        <f>IF(AND(tabPontoPed[[#This Row],[MENSAL]]&gt;0,tabPontoPed[[#This Row],[CÁLCULO]]&gt;0), IF( tabPontoPed[[#This Row],[MENSAL]] - tabPontoPed[[#This Row],[CÁLCULO]] &lt; 0, -1, IF( tabPontoPed[[#This Row],[MENSAL]] - tabPontoPed[[#This Row],[CÁLCULO]] &gt; 0, 1, -8)), -9 )</f>
        <v>-9</v>
      </c>
      <c r="W1095" s="35"/>
      <c r="X1095" s="49" t="s">
        <v>1564</v>
      </c>
      <c r="Y1095" s="51">
        <v>44391.599108796298</v>
      </c>
      <c r="Z1095" s="72">
        <f>tabPontoPed[CÁLC_4M] - tabPontoPed[CÁLCULO]</f>
        <v>0</v>
      </c>
      <c r="AA1095" s="79" t="str">
        <f>IF(tabPontoPed[MENSAL]-tabPontoPed[ATA MENSAL] = 0,"sim","")</f>
        <v/>
      </c>
      <c r="AB1095" s="79"/>
      <c r="AC1095" s="47" t="str">
        <f t="shared" si="17"/>
        <v>*</v>
      </c>
    </row>
    <row r="1096" spans="1:29" x14ac:dyDescent="0.25">
      <c r="A1096" s="36">
        <v>12675</v>
      </c>
      <c r="B1096" s="68" t="s">
        <v>188</v>
      </c>
      <c r="C1096" s="33" t="s">
        <v>1317</v>
      </c>
      <c r="D1096" s="32">
        <v>72</v>
      </c>
      <c r="E1096" s="37">
        <v>5</v>
      </c>
      <c r="F1096" s="38" t="str">
        <f>VLOOKUP(tabPontoPed[[#This Row],[GRUPO]],tabGrupos[#Data],2,FALSE)</f>
        <v>MAQ.EQUIP.E MATERIAIS P/ HIGIEN.LIMP.POLIM.E LUBR.</v>
      </c>
      <c r="G1096" s="32" t="str">
        <f>VLOOKUP(tabPontoPed[[#This Row],[GRUPO]],tabGrupos[#Data],3,FALSE)</f>
        <v>ADM</v>
      </c>
      <c r="H1096" s="33" t="s">
        <v>1311</v>
      </c>
      <c r="I1096" s="80">
        <v>4</v>
      </c>
      <c r="J1096" s="39">
        <v>7</v>
      </c>
      <c r="K1096" s="41">
        <f>tabPontoPed[[#This Row],[QTDMÊS]] * tabPontoPed[[#This Row],[MENSAL]]</f>
        <v>28</v>
      </c>
      <c r="L1096" s="83"/>
      <c r="M1096" s="81"/>
      <c r="N1096" s="34" t="s">
        <v>1010</v>
      </c>
      <c r="O1096" s="76"/>
      <c r="P1096" s="77"/>
      <c r="Q1096" s="57">
        <v>0</v>
      </c>
      <c r="R1096" s="42">
        <v>0</v>
      </c>
      <c r="S1096" s="69" t="str">
        <f>_xlfn.IFNA(IF(VLOOKUP(tabPontoPed[[#This Row],[CÓDIGO]],tabExcluirDoEstoque[#Data],1,FALSE),"sim",""),"")</f>
        <v>sim</v>
      </c>
      <c r="T1096" s="43">
        <f>IF(AND(tabPontoPed[[#This Row],[MENSAL]]&gt;0,tabPontoPed[[#This Row],[CÁLCULO]]&gt;0), ABS( tabPontoPed[[#This Row],[MENSAL]] - tabPontoPed[[#This Row],[CÁLCULO]] ) / tabPontoPed[[#This Row],[MENSAL]], -1 )</f>
        <v>-1</v>
      </c>
      <c r="U1096" s="58"/>
      <c r="V1096" s="35">
        <f>IF(AND(tabPontoPed[[#This Row],[MENSAL]]&gt;0,tabPontoPed[[#This Row],[CÁLCULO]]&gt;0), IF( tabPontoPed[[#This Row],[MENSAL]] - tabPontoPed[[#This Row],[CÁLCULO]] &lt; 0, -1, IF( tabPontoPed[[#This Row],[MENSAL]] - tabPontoPed[[#This Row],[CÁLCULO]] &gt; 0, 1, -8)), -9 )</f>
        <v>-9</v>
      </c>
      <c r="W1096" s="35"/>
      <c r="X1096" s="49" t="s">
        <v>1564</v>
      </c>
      <c r="Y1096" s="51">
        <v>44391.599108796298</v>
      </c>
      <c r="Z1096" s="72">
        <f>tabPontoPed[CÁLC_4M] - tabPontoPed[CÁLCULO]</f>
        <v>0</v>
      </c>
      <c r="AA1096" s="79" t="str">
        <f>IF(tabPontoPed[MENSAL]-tabPontoPed[ATA MENSAL] = 0,"sim","")</f>
        <v/>
      </c>
      <c r="AB1096" s="79"/>
      <c r="AC1096" s="47" t="str">
        <f t="shared" si="17"/>
        <v>*</v>
      </c>
    </row>
    <row r="1097" spans="1:29" x14ac:dyDescent="0.25">
      <c r="A1097" s="36">
        <v>66786</v>
      </c>
      <c r="B1097" s="68" t="s">
        <v>382</v>
      </c>
      <c r="C1097" s="33" t="s">
        <v>1317</v>
      </c>
      <c r="D1097" s="32">
        <v>72</v>
      </c>
      <c r="E1097" s="37">
        <v>9</v>
      </c>
      <c r="F1097" s="38" t="str">
        <f>VLOOKUP(tabPontoPed[[#This Row],[GRUPO]],tabGrupos[#Data],2,FALSE)</f>
        <v>MAQ.EQUIP.E MATERIAIS P/ HIGIEN.LIMP.POLIM.E LUBR.</v>
      </c>
      <c r="G1097" s="32" t="str">
        <f>VLOOKUP(tabPontoPed[[#This Row],[GRUPO]],tabGrupos[#Data],3,FALSE)</f>
        <v>ADM</v>
      </c>
      <c r="H1097" s="33" t="s">
        <v>1311</v>
      </c>
      <c r="I1097" s="80">
        <v>4</v>
      </c>
      <c r="J1097" s="39">
        <v>113</v>
      </c>
      <c r="K1097" s="41">
        <f>tabPontoPed[[#This Row],[QTDMÊS]] * tabPontoPed[[#This Row],[MENSAL]]</f>
        <v>452</v>
      </c>
      <c r="L1097" s="83"/>
      <c r="M1097" s="81"/>
      <c r="N1097" s="34" t="s">
        <v>1010</v>
      </c>
      <c r="O1097" s="76"/>
      <c r="P1097" s="77"/>
      <c r="Q1097" s="57">
        <v>0</v>
      </c>
      <c r="R1097" s="42">
        <v>0</v>
      </c>
      <c r="S1097" s="69" t="str">
        <f>_xlfn.IFNA(IF(VLOOKUP(tabPontoPed[[#This Row],[CÓDIGO]],tabExcluirDoEstoque[#Data],1,FALSE),"sim",""),"")</f>
        <v>sim</v>
      </c>
      <c r="T1097" s="43">
        <f>IF(AND(tabPontoPed[[#This Row],[MENSAL]]&gt;0,tabPontoPed[[#This Row],[CÁLCULO]]&gt;0), ABS( tabPontoPed[[#This Row],[MENSAL]] - tabPontoPed[[#This Row],[CÁLCULO]] ) / tabPontoPed[[#This Row],[MENSAL]], -1 )</f>
        <v>-1</v>
      </c>
      <c r="U1097" s="58"/>
      <c r="V1097" s="35">
        <f>IF(AND(tabPontoPed[[#This Row],[MENSAL]]&gt;0,tabPontoPed[[#This Row],[CÁLCULO]]&gt;0), IF( tabPontoPed[[#This Row],[MENSAL]] - tabPontoPed[[#This Row],[CÁLCULO]] &lt; 0, -1, IF( tabPontoPed[[#This Row],[MENSAL]] - tabPontoPed[[#This Row],[CÁLCULO]] &gt; 0, 1, -8)), -9 )</f>
        <v>-9</v>
      </c>
      <c r="W1097" s="35"/>
      <c r="X1097" s="49" t="s">
        <v>1564</v>
      </c>
      <c r="Y1097" s="51">
        <v>44391.599108796298</v>
      </c>
      <c r="Z1097" s="72">
        <f>tabPontoPed[CÁLC_4M] - tabPontoPed[CÁLCULO]</f>
        <v>0</v>
      </c>
      <c r="AA1097" s="79" t="str">
        <f>IF(tabPontoPed[MENSAL]-tabPontoPed[ATA MENSAL] = 0,"sim","")</f>
        <v/>
      </c>
      <c r="AB1097" s="79"/>
      <c r="AC1097" s="47" t="str">
        <f t="shared" si="17"/>
        <v>*</v>
      </c>
    </row>
    <row r="1098" spans="1:29" x14ac:dyDescent="0.25">
      <c r="A1098" s="36">
        <v>26508</v>
      </c>
      <c r="B1098" s="68" t="s">
        <v>972</v>
      </c>
      <c r="C1098" s="33" t="s">
        <v>1317</v>
      </c>
      <c r="D1098" s="32">
        <v>78</v>
      </c>
      <c r="E1098" s="37">
        <v>6</v>
      </c>
      <c r="F1098" s="38" t="str">
        <f>VLOOKUP(tabPontoPed[[#This Row],[GRUPO]],tabGrupos[#Data],2,FALSE)</f>
        <v>MOBILIARIO E COFRE</v>
      </c>
      <c r="G1098" s="32" t="str">
        <f>VLOOKUP(tabPontoPed[[#This Row],[GRUPO]],tabGrupos[#Data],3,FALSE)</f>
        <v>ADM</v>
      </c>
      <c r="H1098" s="33" t="s">
        <v>1311</v>
      </c>
      <c r="I1098" s="80">
        <v>4</v>
      </c>
      <c r="J1098" s="39">
        <v>128</v>
      </c>
      <c r="K1098" s="41">
        <f>tabPontoPed[[#This Row],[QTDMÊS]] * tabPontoPed[[#This Row],[MENSAL]]</f>
        <v>512</v>
      </c>
      <c r="L1098" s="83"/>
      <c r="M1098" s="81"/>
      <c r="N1098" s="34" t="s">
        <v>1010</v>
      </c>
      <c r="O1098" s="76"/>
      <c r="P1098" s="77"/>
      <c r="Q1098" s="57">
        <v>0</v>
      </c>
      <c r="R1098" s="42">
        <v>0</v>
      </c>
      <c r="S1098" s="69" t="str">
        <f>_xlfn.IFNA(IF(VLOOKUP(tabPontoPed[[#This Row],[CÓDIGO]],tabExcluirDoEstoque[#Data],1,FALSE),"sim",""),"")</f>
        <v>sim</v>
      </c>
      <c r="T1098" s="43">
        <f>IF(AND(tabPontoPed[[#This Row],[MENSAL]]&gt;0,tabPontoPed[[#This Row],[CÁLCULO]]&gt;0), ABS( tabPontoPed[[#This Row],[MENSAL]] - tabPontoPed[[#This Row],[CÁLCULO]] ) / tabPontoPed[[#This Row],[MENSAL]], -1 )</f>
        <v>-1</v>
      </c>
      <c r="U1098" s="58"/>
      <c r="V1098" s="35">
        <f>IF(AND(tabPontoPed[[#This Row],[MENSAL]]&gt;0,tabPontoPed[[#This Row],[CÁLCULO]]&gt;0), IF( tabPontoPed[[#This Row],[MENSAL]] - tabPontoPed[[#This Row],[CÁLCULO]] &lt; 0, -1, IF( tabPontoPed[[#This Row],[MENSAL]] - tabPontoPed[[#This Row],[CÁLCULO]] &gt; 0, 1, -8)), -9 )</f>
        <v>-9</v>
      </c>
      <c r="W1098" s="35"/>
      <c r="X1098" s="49" t="s">
        <v>1564</v>
      </c>
      <c r="Y1098" s="51">
        <v>44391.599108796298</v>
      </c>
      <c r="Z1098" s="72">
        <f>tabPontoPed[CÁLC_4M] - tabPontoPed[CÁLCULO]</f>
        <v>0</v>
      </c>
      <c r="AA1098" s="79" t="str">
        <f>IF(tabPontoPed[MENSAL]-tabPontoPed[ATA MENSAL] = 0,"sim","")</f>
        <v/>
      </c>
      <c r="AB1098" s="79"/>
      <c r="AC1098" s="47" t="str">
        <f t="shared" si="17"/>
        <v>*</v>
      </c>
    </row>
    <row r="1099" spans="1:29" x14ac:dyDescent="0.25">
      <c r="A1099" s="36">
        <v>26503</v>
      </c>
      <c r="B1099" s="68" t="s">
        <v>971</v>
      </c>
      <c r="C1099" s="33" t="s">
        <v>1317</v>
      </c>
      <c r="D1099" s="32">
        <v>78</v>
      </c>
      <c r="E1099" s="37">
        <v>6</v>
      </c>
      <c r="F1099" s="38" t="str">
        <f>VLOOKUP(tabPontoPed[[#This Row],[GRUPO]],tabGrupos[#Data],2,FALSE)</f>
        <v>MOBILIARIO E COFRE</v>
      </c>
      <c r="G1099" s="32" t="str">
        <f>VLOOKUP(tabPontoPed[[#This Row],[GRUPO]],tabGrupos[#Data],3,FALSE)</f>
        <v>ADM</v>
      </c>
      <c r="H1099" s="33" t="s">
        <v>1311</v>
      </c>
      <c r="I1099" s="80">
        <v>4</v>
      </c>
      <c r="J1099" s="39">
        <v>125</v>
      </c>
      <c r="K1099" s="41">
        <f>tabPontoPed[[#This Row],[QTDMÊS]] * tabPontoPed[[#This Row],[MENSAL]]</f>
        <v>500</v>
      </c>
      <c r="L1099" s="83"/>
      <c r="M1099" s="81"/>
      <c r="N1099" s="34" t="s">
        <v>1010</v>
      </c>
      <c r="O1099" s="76"/>
      <c r="P1099" s="77"/>
      <c r="Q1099" s="57">
        <v>0</v>
      </c>
      <c r="R1099" s="42">
        <v>0</v>
      </c>
      <c r="S1099" s="69" t="str">
        <f>_xlfn.IFNA(IF(VLOOKUP(tabPontoPed[[#This Row],[CÓDIGO]],tabExcluirDoEstoque[#Data],1,FALSE),"sim",""),"")</f>
        <v>sim</v>
      </c>
      <c r="T1099" s="43">
        <f>IF(AND(tabPontoPed[[#This Row],[MENSAL]]&gt;0,tabPontoPed[[#This Row],[CÁLCULO]]&gt;0), ABS( tabPontoPed[[#This Row],[MENSAL]] - tabPontoPed[[#This Row],[CÁLCULO]] ) / tabPontoPed[[#This Row],[MENSAL]], -1 )</f>
        <v>-1</v>
      </c>
      <c r="U1099" s="58"/>
      <c r="V1099" s="35">
        <f>IF(AND(tabPontoPed[[#This Row],[MENSAL]]&gt;0,tabPontoPed[[#This Row],[CÁLCULO]]&gt;0), IF( tabPontoPed[[#This Row],[MENSAL]] - tabPontoPed[[#This Row],[CÁLCULO]] &lt; 0, -1, IF( tabPontoPed[[#This Row],[MENSAL]] - tabPontoPed[[#This Row],[CÁLCULO]] &gt; 0, 1, -8)), -9 )</f>
        <v>-9</v>
      </c>
      <c r="W1099" s="35"/>
      <c r="X1099" s="49" t="s">
        <v>1564</v>
      </c>
      <c r="Y1099" s="51">
        <v>44391.599108796298</v>
      </c>
      <c r="Z1099" s="72">
        <f>tabPontoPed[CÁLC_4M] - tabPontoPed[CÁLCULO]</f>
        <v>0</v>
      </c>
      <c r="AA1099" s="79" t="str">
        <f>IF(tabPontoPed[MENSAL]-tabPontoPed[ATA MENSAL] = 0,"sim","")</f>
        <v/>
      </c>
      <c r="AB1099" s="79"/>
      <c r="AC1099" s="47" t="str">
        <f t="shared" si="17"/>
        <v>*</v>
      </c>
    </row>
    <row r="1100" spans="1:29" x14ac:dyDescent="0.25">
      <c r="A1100" s="36">
        <v>104755</v>
      </c>
      <c r="B1100" s="68" t="s">
        <v>973</v>
      </c>
      <c r="C1100" s="33" t="s">
        <v>1317</v>
      </c>
      <c r="D1100" s="32">
        <v>78</v>
      </c>
      <c r="E1100" s="37">
        <v>6</v>
      </c>
      <c r="F1100" s="38" t="str">
        <f>VLOOKUP(tabPontoPed[[#This Row],[GRUPO]],tabGrupos[#Data],2,FALSE)</f>
        <v>MOBILIARIO E COFRE</v>
      </c>
      <c r="G1100" s="32" t="str">
        <f>VLOOKUP(tabPontoPed[[#This Row],[GRUPO]],tabGrupos[#Data],3,FALSE)</f>
        <v>ADM</v>
      </c>
      <c r="H1100" s="33" t="s">
        <v>1311</v>
      </c>
      <c r="I1100" s="80">
        <v>4</v>
      </c>
      <c r="J1100" s="39">
        <v>109</v>
      </c>
      <c r="K1100" s="41">
        <f>tabPontoPed[[#This Row],[QTDMÊS]] * tabPontoPed[[#This Row],[MENSAL]]</f>
        <v>436</v>
      </c>
      <c r="L1100" s="83"/>
      <c r="M1100" s="81"/>
      <c r="N1100" s="34" t="s">
        <v>1010</v>
      </c>
      <c r="O1100" s="76"/>
      <c r="P1100" s="77"/>
      <c r="Q1100" s="57">
        <v>0</v>
      </c>
      <c r="R1100" s="42">
        <v>0</v>
      </c>
      <c r="S1100" s="69" t="str">
        <f>_xlfn.IFNA(IF(VLOOKUP(tabPontoPed[[#This Row],[CÓDIGO]],tabExcluirDoEstoque[#Data],1,FALSE),"sim",""),"")</f>
        <v>sim</v>
      </c>
      <c r="T1100" s="43">
        <f>IF(AND(tabPontoPed[[#This Row],[MENSAL]]&gt;0,tabPontoPed[[#This Row],[CÁLCULO]]&gt;0), ABS( tabPontoPed[[#This Row],[MENSAL]] - tabPontoPed[[#This Row],[CÁLCULO]] ) / tabPontoPed[[#This Row],[MENSAL]], -1 )</f>
        <v>-1</v>
      </c>
      <c r="U1100" s="58"/>
      <c r="V1100" s="35">
        <f>IF(AND(tabPontoPed[[#This Row],[MENSAL]]&gt;0,tabPontoPed[[#This Row],[CÁLCULO]]&gt;0), IF( tabPontoPed[[#This Row],[MENSAL]] - tabPontoPed[[#This Row],[CÁLCULO]] &lt; 0, -1, IF( tabPontoPed[[#This Row],[MENSAL]] - tabPontoPed[[#This Row],[CÁLCULO]] &gt; 0, 1, -8)), -9 )</f>
        <v>-9</v>
      </c>
      <c r="W1100" s="35"/>
      <c r="X1100" s="49" t="s">
        <v>1564</v>
      </c>
      <c r="Y1100" s="51">
        <v>44391.599108796298</v>
      </c>
      <c r="Z1100" s="72">
        <f>tabPontoPed[CÁLC_4M] - tabPontoPed[CÁLCULO]</f>
        <v>0</v>
      </c>
      <c r="AA1100" s="79" t="str">
        <f>IF(tabPontoPed[MENSAL]-tabPontoPed[ATA MENSAL] = 0,"sim","")</f>
        <v/>
      </c>
      <c r="AB1100" s="79"/>
      <c r="AC1100" s="47" t="str">
        <f t="shared" si="17"/>
        <v>*</v>
      </c>
    </row>
    <row r="1101" spans="1:29" x14ac:dyDescent="0.25">
      <c r="A1101" s="36">
        <v>135699</v>
      </c>
      <c r="B1101" s="68" t="s">
        <v>416</v>
      </c>
      <c r="C1101" s="33" t="s">
        <v>1317</v>
      </c>
      <c r="D1101" s="32">
        <v>45</v>
      </c>
      <c r="E1101" s="37">
        <v>9</v>
      </c>
      <c r="F1101" s="38" t="str">
        <f>VLOOKUP(tabPontoPed[[#This Row],[GRUPO]],tabGrupos[#Data],2,FALSE)</f>
        <v>MAQ., EQUIP., COMP., ACES., MAT. PARA ESCRIT.E ESCOLAR</v>
      </c>
      <c r="G1101" s="32" t="str">
        <f>VLOOKUP(tabPontoPed[[#This Row],[GRUPO]],tabGrupos[#Data],3,FALSE)</f>
        <v>EDU</v>
      </c>
      <c r="H1101" s="33" t="s">
        <v>1311</v>
      </c>
      <c r="I1101" s="80">
        <v>4</v>
      </c>
      <c r="J1101" s="39">
        <v>0</v>
      </c>
      <c r="K1101" s="41">
        <f>tabPontoPed[[#This Row],[QTDMÊS]] * tabPontoPed[[#This Row],[MENSAL]]</f>
        <v>0</v>
      </c>
      <c r="L1101" s="83"/>
      <c r="M1101" s="81"/>
      <c r="N1101" s="34" t="s">
        <v>1009</v>
      </c>
      <c r="O1101" s="76"/>
      <c r="P1101" s="77"/>
      <c r="Q1101" s="57">
        <v>736</v>
      </c>
      <c r="R1101" s="42">
        <v>650</v>
      </c>
      <c r="S1101" s="69" t="str">
        <f>_xlfn.IFNA(IF(VLOOKUP(tabPontoPed[[#This Row],[CÓDIGO]],tabExcluirDoEstoque[#Data],1,FALSE),"sim",""),"")</f>
        <v>sim</v>
      </c>
      <c r="T1101" s="43">
        <f>IF(AND(tabPontoPed[[#This Row],[MENSAL]]&gt;0,tabPontoPed[[#This Row],[CÁLCULO]]&gt;0), ABS( tabPontoPed[[#This Row],[MENSAL]] - tabPontoPed[[#This Row],[CÁLCULO]] ) / tabPontoPed[[#This Row],[MENSAL]], -1 )</f>
        <v>-1</v>
      </c>
      <c r="U1101" s="58">
        <v>1526</v>
      </c>
      <c r="V1101" s="35">
        <f>IF(AND(tabPontoPed[[#This Row],[MENSAL]]&gt;0,tabPontoPed[[#This Row],[CÁLCULO]]&gt;0), IF( tabPontoPed[[#This Row],[MENSAL]] - tabPontoPed[[#This Row],[CÁLCULO]] &lt; 0, -1, IF( tabPontoPed[[#This Row],[MENSAL]] - tabPontoPed[[#This Row],[CÁLCULO]] &gt; 0, 1, -8)), -9 )</f>
        <v>-9</v>
      </c>
      <c r="W1101" s="35"/>
      <c r="X1101" s="49" t="s">
        <v>1564</v>
      </c>
      <c r="Y1101" s="51">
        <v>44391.599108796298</v>
      </c>
      <c r="Z1101" s="72">
        <f>tabPontoPed[CÁLC_4M] - tabPontoPed[CÁLCULO]</f>
        <v>86</v>
      </c>
      <c r="AA1101" s="79" t="str">
        <f>IF(tabPontoPed[MENSAL]-tabPontoPed[ATA MENSAL] = 0,"sim","")</f>
        <v>sim</v>
      </c>
      <c r="AB1101" s="79" t="s">
        <v>1614</v>
      </c>
      <c r="AC1101" s="47" t="str">
        <f t="shared" si="17"/>
        <v>*</v>
      </c>
    </row>
    <row r="1102" spans="1:29" x14ac:dyDescent="0.25">
      <c r="A1102" s="36">
        <v>133778</v>
      </c>
      <c r="B1102" s="68" t="s">
        <v>417</v>
      </c>
      <c r="C1102" s="33" t="s">
        <v>1317</v>
      </c>
      <c r="D1102" s="32">
        <v>45</v>
      </c>
      <c r="E1102" s="37">
        <v>9</v>
      </c>
      <c r="F1102" s="38" t="str">
        <f>VLOOKUP(tabPontoPed[[#This Row],[GRUPO]],tabGrupos[#Data],2,FALSE)</f>
        <v>MAQ., EQUIP., COMP., ACES., MAT. PARA ESCRIT.E ESCOLAR</v>
      </c>
      <c r="G1102" s="32" t="str">
        <f>VLOOKUP(tabPontoPed[[#This Row],[GRUPO]],tabGrupos[#Data],3,FALSE)</f>
        <v>EDU</v>
      </c>
      <c r="H1102" s="33" t="s">
        <v>1311</v>
      </c>
      <c r="I1102" s="80">
        <v>4</v>
      </c>
      <c r="J1102" s="39"/>
      <c r="K1102" s="41">
        <f>tabPontoPed[[#This Row],[QTDMÊS]] * tabPontoPed[[#This Row],[MENSAL]]</f>
        <v>0</v>
      </c>
      <c r="L1102" s="83"/>
      <c r="M1102" s="81"/>
      <c r="N1102" s="34" t="s">
        <v>1010</v>
      </c>
      <c r="O1102" s="76"/>
      <c r="P1102" s="77"/>
      <c r="Q1102" s="57">
        <v>2138</v>
      </c>
      <c r="R1102" s="42">
        <v>2361</v>
      </c>
      <c r="S1102" s="69" t="str">
        <f>_xlfn.IFNA(IF(VLOOKUP(tabPontoPed[[#This Row],[CÓDIGO]],tabExcluirDoEstoque[#Data],1,FALSE),"sim",""),"")</f>
        <v>sim</v>
      </c>
      <c r="T1102" s="43">
        <f>IF(AND(tabPontoPed[[#This Row],[MENSAL]]&gt;0,tabPontoPed[[#This Row],[CÁLCULO]]&gt;0), ABS( tabPontoPed[[#This Row],[MENSAL]] - tabPontoPed[[#This Row],[CÁLCULO]] ) / tabPontoPed[[#This Row],[MENSAL]], -1 )</f>
        <v>-1</v>
      </c>
      <c r="U1102" s="58">
        <v>4525</v>
      </c>
      <c r="V1102" s="35">
        <f>IF(AND(tabPontoPed[[#This Row],[MENSAL]]&gt;0,tabPontoPed[[#This Row],[CÁLCULO]]&gt;0), IF( tabPontoPed[[#This Row],[MENSAL]] - tabPontoPed[[#This Row],[CÁLCULO]] &lt; 0, -1, IF( tabPontoPed[[#This Row],[MENSAL]] - tabPontoPed[[#This Row],[CÁLCULO]] &gt; 0, 1, -8)), -9 )</f>
        <v>-9</v>
      </c>
      <c r="W1102" s="35"/>
      <c r="X1102" s="48" t="s">
        <v>1564</v>
      </c>
      <c r="Y1102" s="53">
        <v>44391.599108796298</v>
      </c>
      <c r="Z1102" s="72">
        <f>tabPontoPed[CÁLC_4M] - tabPontoPed[CÁLCULO]</f>
        <v>-223</v>
      </c>
      <c r="AA1102" s="79" t="str">
        <f>IF(tabPontoPed[MENSAL]-tabPontoPed[ATA MENSAL] = 0,"sim","")</f>
        <v>sim</v>
      </c>
      <c r="AB1102" s="79" t="s">
        <v>1614</v>
      </c>
      <c r="AC1102" s="47" t="str">
        <f t="shared" si="17"/>
        <v>*</v>
      </c>
    </row>
    <row r="1103" spans="1:29" x14ac:dyDescent="0.25">
      <c r="A1103" s="36">
        <v>133953</v>
      </c>
      <c r="B1103" s="68" t="s">
        <v>419</v>
      </c>
      <c r="C1103" s="33" t="s">
        <v>1317</v>
      </c>
      <c r="D1103" s="32">
        <v>45</v>
      </c>
      <c r="E1103" s="37">
        <v>9</v>
      </c>
      <c r="F1103" s="38" t="str">
        <f>VLOOKUP(tabPontoPed[[#This Row],[GRUPO]],tabGrupos[#Data],2,FALSE)</f>
        <v>MAQ., EQUIP., COMP., ACES., MAT. PARA ESCRIT.E ESCOLAR</v>
      </c>
      <c r="G1103" s="32" t="str">
        <f>VLOOKUP(tabPontoPed[[#This Row],[GRUPO]],tabGrupos[#Data],3,FALSE)</f>
        <v>EDU</v>
      </c>
      <c r="H1103" s="33" t="s">
        <v>1311</v>
      </c>
      <c r="I1103" s="80">
        <v>4</v>
      </c>
      <c r="J1103" s="39"/>
      <c r="K1103" s="41">
        <f>tabPontoPed[[#This Row],[QTDMÊS]] * tabPontoPed[[#This Row],[MENSAL]]</f>
        <v>0</v>
      </c>
      <c r="L1103" s="83"/>
      <c r="M1103" s="81"/>
      <c r="N1103" s="34" t="s">
        <v>1010</v>
      </c>
      <c r="O1103" s="76"/>
      <c r="P1103" s="77"/>
      <c r="Q1103" s="57">
        <v>831</v>
      </c>
      <c r="R1103" s="42">
        <v>1060</v>
      </c>
      <c r="S1103" s="69" t="str">
        <f>_xlfn.IFNA(IF(VLOOKUP(tabPontoPed[[#This Row],[CÓDIGO]],tabExcluirDoEstoque[#Data],1,FALSE),"sim",""),"")</f>
        <v>sim</v>
      </c>
      <c r="T1103" s="43">
        <f>IF(AND(tabPontoPed[[#This Row],[MENSAL]]&gt;0,tabPontoPed[[#This Row],[CÁLCULO]]&gt;0), ABS( tabPontoPed[[#This Row],[MENSAL]] - tabPontoPed[[#This Row],[CÁLCULO]] ) / tabPontoPed[[#This Row],[MENSAL]], -1 )</f>
        <v>-1</v>
      </c>
      <c r="U1103" s="58">
        <v>4577</v>
      </c>
      <c r="V1103" s="35">
        <f>IF(AND(tabPontoPed[[#This Row],[MENSAL]]&gt;0,tabPontoPed[[#This Row],[CÁLCULO]]&gt;0), IF( tabPontoPed[[#This Row],[MENSAL]] - tabPontoPed[[#This Row],[CÁLCULO]] &lt; 0, -1, IF( tabPontoPed[[#This Row],[MENSAL]] - tabPontoPed[[#This Row],[CÁLCULO]] &gt; 0, 1, -8)), -9 )</f>
        <v>-9</v>
      </c>
      <c r="W1103" s="35"/>
      <c r="X1103" s="49" t="s">
        <v>1564</v>
      </c>
      <c r="Y1103" s="51">
        <v>44391.599108796298</v>
      </c>
      <c r="Z1103" s="72">
        <f>tabPontoPed[CÁLC_4M] - tabPontoPed[CÁLCULO]</f>
        <v>-229</v>
      </c>
      <c r="AA1103" s="79" t="str">
        <f>IF(tabPontoPed[MENSAL]-tabPontoPed[ATA MENSAL] = 0,"sim","")</f>
        <v>sim</v>
      </c>
      <c r="AB1103" s="79" t="s">
        <v>1614</v>
      </c>
      <c r="AC1103" s="47" t="str">
        <f t="shared" si="17"/>
        <v>*</v>
      </c>
    </row>
    <row r="1104" spans="1:29" x14ac:dyDescent="0.25">
      <c r="A1104" s="36">
        <v>133955</v>
      </c>
      <c r="B1104" s="68" t="s">
        <v>420</v>
      </c>
      <c r="C1104" s="33" t="s">
        <v>1317</v>
      </c>
      <c r="D1104" s="32">
        <v>45</v>
      </c>
      <c r="E1104" s="37">
        <v>9</v>
      </c>
      <c r="F1104" s="38" t="str">
        <f>VLOOKUP(tabPontoPed[[#This Row],[GRUPO]],tabGrupos[#Data],2,FALSE)</f>
        <v>MAQ., EQUIP., COMP., ACES., MAT. PARA ESCRIT.E ESCOLAR</v>
      </c>
      <c r="G1104" s="32" t="str">
        <f>VLOOKUP(tabPontoPed[[#This Row],[GRUPO]],tabGrupos[#Data],3,FALSE)</f>
        <v>EDU</v>
      </c>
      <c r="H1104" s="33" t="s">
        <v>1311</v>
      </c>
      <c r="I1104" s="80">
        <v>4</v>
      </c>
      <c r="J1104" s="39"/>
      <c r="K1104" s="41">
        <f>tabPontoPed[[#This Row],[QTDMÊS]] * tabPontoPed[[#This Row],[MENSAL]]</f>
        <v>0</v>
      </c>
      <c r="L1104" s="83"/>
      <c r="M1104" s="81"/>
      <c r="N1104" s="34" t="s">
        <v>1010</v>
      </c>
      <c r="O1104" s="76"/>
      <c r="P1104" s="77"/>
      <c r="Q1104" s="57">
        <v>437</v>
      </c>
      <c r="R1104" s="42">
        <v>604</v>
      </c>
      <c r="S1104" s="69" t="str">
        <f>_xlfn.IFNA(IF(VLOOKUP(tabPontoPed[[#This Row],[CÓDIGO]],tabExcluirDoEstoque[#Data],1,FALSE),"sim",""),"")</f>
        <v>sim</v>
      </c>
      <c r="T1104" s="43">
        <f>IF(AND(tabPontoPed[[#This Row],[MENSAL]]&gt;0,tabPontoPed[[#This Row],[CÁLCULO]]&gt;0), ABS( tabPontoPed[[#This Row],[MENSAL]] - tabPontoPed[[#This Row],[CÁLCULO]] ) / tabPontoPed[[#This Row],[MENSAL]], -1 )</f>
        <v>-1</v>
      </c>
      <c r="U1104" s="58">
        <v>2175</v>
      </c>
      <c r="V1104" s="35">
        <f>IF(AND(tabPontoPed[[#This Row],[MENSAL]]&gt;0,tabPontoPed[[#This Row],[CÁLCULO]]&gt;0), IF( tabPontoPed[[#This Row],[MENSAL]] - tabPontoPed[[#This Row],[CÁLCULO]] &lt; 0, -1, IF( tabPontoPed[[#This Row],[MENSAL]] - tabPontoPed[[#This Row],[CÁLCULO]] &gt; 0, 1, -8)), -9 )</f>
        <v>-9</v>
      </c>
      <c r="W1104" s="35"/>
      <c r="X1104" s="49" t="s">
        <v>1564</v>
      </c>
      <c r="Y1104" s="51">
        <v>44391.599108796298</v>
      </c>
      <c r="Z1104" s="72">
        <f>tabPontoPed[CÁLC_4M] - tabPontoPed[CÁLCULO]</f>
        <v>-167</v>
      </c>
      <c r="AA1104" s="79" t="str">
        <f>IF(tabPontoPed[MENSAL]-tabPontoPed[ATA MENSAL] = 0,"sim","")</f>
        <v>sim</v>
      </c>
      <c r="AB1104" s="79" t="s">
        <v>1614</v>
      </c>
      <c r="AC1104" s="47" t="str">
        <f t="shared" si="17"/>
        <v>*</v>
      </c>
    </row>
    <row r="1105" spans="1:29" x14ac:dyDescent="0.25">
      <c r="A1105" s="36">
        <v>135700</v>
      </c>
      <c r="B1105" s="68" t="s">
        <v>422</v>
      </c>
      <c r="C1105" s="33" t="s">
        <v>1317</v>
      </c>
      <c r="D1105" s="32">
        <v>45</v>
      </c>
      <c r="E1105" s="37">
        <v>9</v>
      </c>
      <c r="F1105" s="38" t="str">
        <f>VLOOKUP(tabPontoPed[[#This Row],[GRUPO]],tabGrupos[#Data],2,FALSE)</f>
        <v>MAQ., EQUIP., COMP., ACES., MAT. PARA ESCRIT.E ESCOLAR</v>
      </c>
      <c r="G1105" s="32" t="str">
        <f>VLOOKUP(tabPontoPed[[#This Row],[GRUPO]],tabGrupos[#Data],3,FALSE)</f>
        <v>EDU</v>
      </c>
      <c r="H1105" s="33" t="s">
        <v>1311</v>
      </c>
      <c r="I1105" s="80">
        <v>4</v>
      </c>
      <c r="J1105" s="39"/>
      <c r="K1105" s="41">
        <f>tabPontoPed[[#This Row],[QTDMÊS]] * tabPontoPed[[#This Row],[MENSAL]]</f>
        <v>0</v>
      </c>
      <c r="L1105" s="83"/>
      <c r="M1105" s="81"/>
      <c r="N1105" s="34" t="s">
        <v>1010</v>
      </c>
      <c r="O1105" s="76"/>
      <c r="P1105" s="77"/>
      <c r="Q1105" s="57">
        <v>4285</v>
      </c>
      <c r="R1105" s="42">
        <v>3436</v>
      </c>
      <c r="S1105" s="69" t="str">
        <f>_xlfn.IFNA(IF(VLOOKUP(tabPontoPed[[#This Row],[CÓDIGO]],tabExcluirDoEstoque[#Data],1,FALSE),"sim",""),"")</f>
        <v>sim</v>
      </c>
      <c r="T1105" s="43">
        <f>IF(AND(tabPontoPed[[#This Row],[MENSAL]]&gt;0,tabPontoPed[[#This Row],[CÁLCULO]]&gt;0), ABS( tabPontoPed[[#This Row],[MENSAL]] - tabPontoPed[[#This Row],[CÁLCULO]] ) / tabPontoPed[[#This Row],[MENSAL]], -1 )</f>
        <v>-1</v>
      </c>
      <c r="U1105" s="58">
        <v>6186</v>
      </c>
      <c r="V1105" s="35">
        <f>IF(AND(tabPontoPed[[#This Row],[MENSAL]]&gt;0,tabPontoPed[[#This Row],[CÁLCULO]]&gt;0), IF( tabPontoPed[[#This Row],[MENSAL]] - tabPontoPed[[#This Row],[CÁLCULO]] &lt; 0, -1, IF( tabPontoPed[[#This Row],[MENSAL]] - tabPontoPed[[#This Row],[CÁLCULO]] &gt; 0, 1, -8)), -9 )</f>
        <v>-9</v>
      </c>
      <c r="W1105" s="35"/>
      <c r="X1105" s="48" t="s">
        <v>1564</v>
      </c>
      <c r="Y1105" s="53">
        <v>44391.599108796298</v>
      </c>
      <c r="Z1105" s="72">
        <f>tabPontoPed[CÁLC_4M] - tabPontoPed[CÁLCULO]</f>
        <v>849</v>
      </c>
      <c r="AA1105" s="79" t="str">
        <f>IF(tabPontoPed[MENSAL]-tabPontoPed[ATA MENSAL] = 0,"sim","")</f>
        <v>sim</v>
      </c>
      <c r="AB1105" s="79" t="s">
        <v>1614</v>
      </c>
      <c r="AC1105" s="47" t="str">
        <f t="shared" si="17"/>
        <v>*</v>
      </c>
    </row>
    <row r="1106" spans="1:29" x14ac:dyDescent="0.25">
      <c r="A1106" s="36">
        <v>131933</v>
      </c>
      <c r="B1106" s="68" t="s">
        <v>409</v>
      </c>
      <c r="C1106" s="33" t="s">
        <v>1317</v>
      </c>
      <c r="D1106" s="32">
        <v>45</v>
      </c>
      <c r="E1106" s="37">
        <v>9</v>
      </c>
      <c r="F1106" s="38" t="str">
        <f>VLOOKUP(tabPontoPed[[#This Row],[GRUPO]],tabGrupos[#Data],2,FALSE)</f>
        <v>MAQ., EQUIP., COMP., ACES., MAT. PARA ESCRIT.E ESCOLAR</v>
      </c>
      <c r="G1106" s="32" t="str">
        <f>VLOOKUP(tabPontoPed[[#This Row],[GRUPO]],tabGrupos[#Data],3,FALSE)</f>
        <v>EDU</v>
      </c>
      <c r="H1106" s="33" t="s">
        <v>1311</v>
      </c>
      <c r="I1106" s="80">
        <v>4</v>
      </c>
      <c r="J1106" s="39"/>
      <c r="K1106" s="41">
        <f>tabPontoPed[[#This Row],[QTDMÊS]] * tabPontoPed[[#This Row],[MENSAL]]</f>
        <v>0</v>
      </c>
      <c r="L1106" s="83"/>
      <c r="M1106" s="81"/>
      <c r="N1106" s="34" t="s">
        <v>1010</v>
      </c>
      <c r="O1106" s="76"/>
      <c r="P1106" s="77"/>
      <c r="Q1106" s="57">
        <v>437</v>
      </c>
      <c r="R1106" s="42">
        <v>465</v>
      </c>
      <c r="S1106" s="69" t="str">
        <f>_xlfn.IFNA(IF(VLOOKUP(tabPontoPed[[#This Row],[CÓDIGO]],tabExcluirDoEstoque[#Data],1,FALSE),"sim",""),"")</f>
        <v>sim</v>
      </c>
      <c r="T1106" s="43">
        <f>IF(AND(tabPontoPed[[#This Row],[MENSAL]]&gt;0,tabPontoPed[[#This Row],[CÁLCULO]]&gt;0), ABS( tabPontoPed[[#This Row],[MENSAL]] - tabPontoPed[[#This Row],[CÁLCULO]] ) / tabPontoPed[[#This Row],[MENSAL]], -1 )</f>
        <v>-1</v>
      </c>
      <c r="U1106" s="58">
        <v>654</v>
      </c>
      <c r="V1106" s="35">
        <f>IF(AND(tabPontoPed[[#This Row],[MENSAL]]&gt;0,tabPontoPed[[#This Row],[CÁLCULO]]&gt;0), IF( tabPontoPed[[#This Row],[MENSAL]] - tabPontoPed[[#This Row],[CÁLCULO]] &lt; 0, -1, IF( tabPontoPed[[#This Row],[MENSAL]] - tabPontoPed[[#This Row],[CÁLCULO]] &gt; 0, 1, -8)), -9 )</f>
        <v>-9</v>
      </c>
      <c r="W1106" s="35"/>
      <c r="X1106" s="49" t="s">
        <v>1564</v>
      </c>
      <c r="Y1106" s="51">
        <v>44391.599108796298</v>
      </c>
      <c r="Z1106" s="72">
        <f>tabPontoPed[CÁLC_4M] - tabPontoPed[CÁLCULO]</f>
        <v>-28</v>
      </c>
      <c r="AA1106" s="79" t="str">
        <f>IF(tabPontoPed[MENSAL]-tabPontoPed[ATA MENSAL] = 0,"sim","")</f>
        <v>sim</v>
      </c>
      <c r="AB1106" s="79" t="s">
        <v>1614</v>
      </c>
      <c r="AC1106" s="47" t="str">
        <f t="shared" si="17"/>
        <v>*</v>
      </c>
    </row>
    <row r="1107" spans="1:29" x14ac:dyDescent="0.25">
      <c r="A1107" s="36">
        <v>133793</v>
      </c>
      <c r="B1107" s="68" t="s">
        <v>418</v>
      </c>
      <c r="C1107" s="33" t="s">
        <v>1317</v>
      </c>
      <c r="D1107" s="32">
        <v>45</v>
      </c>
      <c r="E1107" s="37">
        <v>9</v>
      </c>
      <c r="F1107" s="38" t="str">
        <f>VLOOKUP(tabPontoPed[[#This Row],[GRUPO]],tabGrupos[#Data],2,FALSE)</f>
        <v>MAQ., EQUIP., COMP., ACES., MAT. PARA ESCRIT.E ESCOLAR</v>
      </c>
      <c r="G1107" s="32" t="str">
        <f>VLOOKUP(tabPontoPed[[#This Row],[GRUPO]],tabGrupos[#Data],3,FALSE)</f>
        <v>EDU</v>
      </c>
      <c r="H1107" s="33" t="s">
        <v>1311</v>
      </c>
      <c r="I1107" s="80">
        <v>4</v>
      </c>
      <c r="J1107" s="39"/>
      <c r="K1107" s="41">
        <f>tabPontoPed[[#This Row],[QTDMÊS]] * tabPontoPed[[#This Row],[MENSAL]]</f>
        <v>0</v>
      </c>
      <c r="L1107" s="83"/>
      <c r="M1107" s="81"/>
      <c r="N1107" s="34" t="s">
        <v>1010</v>
      </c>
      <c r="O1107" s="76"/>
      <c r="P1107" s="77"/>
      <c r="Q1107" s="57">
        <v>543</v>
      </c>
      <c r="R1107" s="42">
        <v>514</v>
      </c>
      <c r="S1107" s="69" t="str">
        <f>_xlfn.IFNA(IF(VLOOKUP(tabPontoPed[[#This Row],[CÓDIGO]],tabExcluirDoEstoque[#Data],1,FALSE),"sim",""),"")</f>
        <v>sim</v>
      </c>
      <c r="T1107" s="43">
        <f>IF(AND(tabPontoPed[[#This Row],[MENSAL]]&gt;0,tabPontoPed[[#This Row],[CÁLCULO]]&gt;0), ABS( tabPontoPed[[#This Row],[MENSAL]] - tabPontoPed[[#This Row],[CÁLCULO]] ) / tabPontoPed[[#This Row],[MENSAL]], -1 )</f>
        <v>-1</v>
      </c>
      <c r="U1107" s="58">
        <v>1093</v>
      </c>
      <c r="V1107" s="35">
        <f>IF(AND(tabPontoPed[[#This Row],[MENSAL]]&gt;0,tabPontoPed[[#This Row],[CÁLCULO]]&gt;0), IF( tabPontoPed[[#This Row],[MENSAL]] - tabPontoPed[[#This Row],[CÁLCULO]] &lt; 0, -1, IF( tabPontoPed[[#This Row],[MENSAL]] - tabPontoPed[[#This Row],[CÁLCULO]] &gt; 0, 1, -8)), -9 )</f>
        <v>-9</v>
      </c>
      <c r="W1107" s="35"/>
      <c r="X1107" s="48" t="s">
        <v>1564</v>
      </c>
      <c r="Y1107" s="53">
        <v>44391.599108796298</v>
      </c>
      <c r="Z1107" s="72">
        <f>tabPontoPed[CÁLC_4M] - tabPontoPed[CÁLCULO]</f>
        <v>29</v>
      </c>
      <c r="AA1107" s="79" t="str">
        <f>IF(tabPontoPed[MENSAL]-tabPontoPed[ATA MENSAL] = 0,"sim","")</f>
        <v>sim</v>
      </c>
      <c r="AB1107" s="79" t="s">
        <v>1614</v>
      </c>
      <c r="AC1107" s="47" t="str">
        <f t="shared" si="17"/>
        <v>*</v>
      </c>
    </row>
    <row r="1108" spans="1:29" x14ac:dyDescent="0.25">
      <c r="A1108" s="36">
        <v>133956</v>
      </c>
      <c r="B1108" s="68" t="s">
        <v>433</v>
      </c>
      <c r="C1108" s="33" t="s">
        <v>1317</v>
      </c>
      <c r="D1108" s="32">
        <v>45</v>
      </c>
      <c r="E1108" s="37">
        <v>10</v>
      </c>
      <c r="F1108" s="38" t="str">
        <f>VLOOKUP(tabPontoPed[[#This Row],[GRUPO]],tabGrupos[#Data],2,FALSE)</f>
        <v>MAQ., EQUIP., COMP., ACES., MAT. PARA ESCRIT.E ESCOLAR</v>
      </c>
      <c r="G1108" s="32" t="str">
        <f>VLOOKUP(tabPontoPed[[#This Row],[GRUPO]],tabGrupos[#Data],3,FALSE)</f>
        <v>EDU</v>
      </c>
      <c r="H1108" s="33" t="s">
        <v>1311</v>
      </c>
      <c r="I1108" s="80">
        <v>4</v>
      </c>
      <c r="J1108" s="39"/>
      <c r="K1108" s="41">
        <f>tabPontoPed[[#This Row],[QTDMÊS]] * tabPontoPed[[#This Row],[MENSAL]]</f>
        <v>0</v>
      </c>
      <c r="L1108" s="83"/>
      <c r="M1108" s="81"/>
      <c r="N1108" s="34" t="s">
        <v>1010</v>
      </c>
      <c r="O1108" s="76"/>
      <c r="P1108" s="77"/>
      <c r="Q1108" s="57">
        <v>2123</v>
      </c>
      <c r="R1108" s="42">
        <v>1950</v>
      </c>
      <c r="S1108" s="69" t="str">
        <f>_xlfn.IFNA(IF(VLOOKUP(tabPontoPed[[#This Row],[CÓDIGO]],tabExcluirDoEstoque[#Data],1,FALSE),"sim",""),"")</f>
        <v>sim</v>
      </c>
      <c r="T1108" s="43">
        <f>IF(AND(tabPontoPed[[#This Row],[MENSAL]]&gt;0,tabPontoPed[[#This Row],[CÁLCULO]]&gt;0), ABS( tabPontoPed[[#This Row],[MENSAL]] - tabPontoPed[[#This Row],[CÁLCULO]] ) / tabPontoPed[[#This Row],[MENSAL]], -1 )</f>
        <v>-1</v>
      </c>
      <c r="U1108" s="58">
        <v>2950</v>
      </c>
      <c r="V1108" s="35">
        <f>IF(AND(tabPontoPed[[#This Row],[MENSAL]]&gt;0,tabPontoPed[[#This Row],[CÁLCULO]]&gt;0), IF( tabPontoPed[[#This Row],[MENSAL]] - tabPontoPed[[#This Row],[CÁLCULO]] &lt; 0, -1, IF( tabPontoPed[[#This Row],[MENSAL]] - tabPontoPed[[#This Row],[CÁLCULO]] &gt; 0, 1, -8)), -9 )</f>
        <v>-9</v>
      </c>
      <c r="W1108" s="35"/>
      <c r="X1108" s="48" t="s">
        <v>1564</v>
      </c>
      <c r="Y1108" s="53">
        <v>44391.599108796298</v>
      </c>
      <c r="Z1108" s="72">
        <f>tabPontoPed[CÁLC_4M] - tabPontoPed[CÁLCULO]</f>
        <v>173</v>
      </c>
      <c r="AA1108" s="79" t="str">
        <f>IF(tabPontoPed[MENSAL]-tabPontoPed[ATA MENSAL] = 0,"sim","")</f>
        <v>sim</v>
      </c>
      <c r="AB1108" s="79" t="s">
        <v>1614</v>
      </c>
      <c r="AC1108" s="47" t="str">
        <f t="shared" si="17"/>
        <v>*</v>
      </c>
    </row>
    <row r="1109" spans="1:29" x14ac:dyDescent="0.25">
      <c r="A1109" s="36">
        <v>133957</v>
      </c>
      <c r="B1109" s="68" t="s">
        <v>434</v>
      </c>
      <c r="C1109" s="33" t="s">
        <v>1317</v>
      </c>
      <c r="D1109" s="32">
        <v>45</v>
      </c>
      <c r="E1109" s="37">
        <v>10</v>
      </c>
      <c r="F1109" s="38" t="str">
        <f>VLOOKUP(tabPontoPed[[#This Row],[GRUPO]],tabGrupos[#Data],2,FALSE)</f>
        <v>MAQ., EQUIP., COMP., ACES., MAT. PARA ESCRIT.E ESCOLAR</v>
      </c>
      <c r="G1109" s="32" t="str">
        <f>VLOOKUP(tabPontoPed[[#This Row],[GRUPO]],tabGrupos[#Data],3,FALSE)</f>
        <v>EDU</v>
      </c>
      <c r="H1109" s="33" t="s">
        <v>1311</v>
      </c>
      <c r="I1109" s="80">
        <v>4</v>
      </c>
      <c r="J1109" s="39"/>
      <c r="K1109" s="41">
        <f>tabPontoPed[[#This Row],[QTDMÊS]] * tabPontoPed[[#This Row],[MENSAL]]</f>
        <v>0</v>
      </c>
      <c r="L1109" s="83"/>
      <c r="M1109" s="81"/>
      <c r="N1109" s="34" t="s">
        <v>1010</v>
      </c>
      <c r="O1109" s="76"/>
      <c r="P1109" s="77"/>
      <c r="Q1109" s="57">
        <v>690</v>
      </c>
      <c r="R1109" s="42">
        <v>567</v>
      </c>
      <c r="S1109" s="69" t="str">
        <f>_xlfn.IFNA(IF(VLOOKUP(tabPontoPed[[#This Row],[CÓDIGO]],tabExcluirDoEstoque[#Data],1,FALSE),"sim",""),"")</f>
        <v>sim</v>
      </c>
      <c r="T1109" s="43">
        <f>IF(AND(tabPontoPed[[#This Row],[MENSAL]]&gt;0,tabPontoPed[[#This Row],[CÁLCULO]]&gt;0), ABS( tabPontoPed[[#This Row],[MENSAL]] - tabPontoPed[[#This Row],[CÁLCULO]] ) / tabPontoPed[[#This Row],[MENSAL]], -1 )</f>
        <v>-1</v>
      </c>
      <c r="U1109" s="58">
        <v>966</v>
      </c>
      <c r="V1109" s="35">
        <f>IF(AND(tabPontoPed[[#This Row],[MENSAL]]&gt;0,tabPontoPed[[#This Row],[CÁLCULO]]&gt;0), IF( tabPontoPed[[#This Row],[MENSAL]] - tabPontoPed[[#This Row],[CÁLCULO]] &lt; 0, -1, IF( tabPontoPed[[#This Row],[MENSAL]] - tabPontoPed[[#This Row],[CÁLCULO]] &gt; 0, 1, -8)), -9 )</f>
        <v>-9</v>
      </c>
      <c r="W1109" s="35"/>
      <c r="X1109" s="48" t="s">
        <v>1564</v>
      </c>
      <c r="Y1109" s="53">
        <v>44391.599108796298</v>
      </c>
      <c r="Z1109" s="72">
        <f>tabPontoPed[CÁLC_4M] - tabPontoPed[CÁLCULO]</f>
        <v>123</v>
      </c>
      <c r="AA1109" s="79" t="str">
        <f>IF(tabPontoPed[MENSAL]-tabPontoPed[ATA MENSAL] = 0,"sim","")</f>
        <v>sim</v>
      </c>
      <c r="AB1109" s="79" t="s">
        <v>1614</v>
      </c>
      <c r="AC1109" s="47" t="str">
        <f t="shared" si="17"/>
        <v>*</v>
      </c>
    </row>
    <row r="1110" spans="1:29" x14ac:dyDescent="0.25">
      <c r="A1110" s="36">
        <v>133779</v>
      </c>
      <c r="B1110" s="68" t="s">
        <v>451</v>
      </c>
      <c r="C1110" s="33" t="s">
        <v>1317</v>
      </c>
      <c r="D1110" s="32">
        <v>45</v>
      </c>
      <c r="E1110" s="37">
        <v>11</v>
      </c>
      <c r="F1110" s="38" t="str">
        <f>VLOOKUP(tabPontoPed[[#This Row],[GRUPO]],tabGrupos[#Data],2,FALSE)</f>
        <v>MAQ., EQUIP., COMP., ACES., MAT. PARA ESCRIT.E ESCOLAR</v>
      </c>
      <c r="G1110" s="32" t="str">
        <f>VLOOKUP(tabPontoPed[[#This Row],[GRUPO]],tabGrupos[#Data],3,FALSE)</f>
        <v>EDU</v>
      </c>
      <c r="H1110" s="33" t="s">
        <v>1311</v>
      </c>
      <c r="I1110" s="80">
        <v>4</v>
      </c>
      <c r="J1110" s="39"/>
      <c r="K1110" s="41">
        <f>tabPontoPed[[#This Row],[QTDMÊS]] * tabPontoPed[[#This Row],[MENSAL]]</f>
        <v>0</v>
      </c>
      <c r="L1110" s="83"/>
      <c r="M1110" s="81"/>
      <c r="N1110" s="34" t="s">
        <v>1010</v>
      </c>
      <c r="O1110" s="76"/>
      <c r="P1110" s="77"/>
      <c r="Q1110" s="57">
        <v>753</v>
      </c>
      <c r="R1110" s="42">
        <v>732</v>
      </c>
      <c r="S1110" s="69" t="str">
        <f>_xlfn.IFNA(IF(VLOOKUP(tabPontoPed[[#This Row],[CÓDIGO]],tabExcluirDoEstoque[#Data],1,FALSE),"sim",""),"")</f>
        <v>sim</v>
      </c>
      <c r="T1110" s="43">
        <f>IF(AND(tabPontoPed[[#This Row],[MENSAL]]&gt;0,tabPontoPed[[#This Row],[CÁLCULO]]&gt;0), ABS( tabPontoPed[[#This Row],[MENSAL]] - tabPontoPed[[#This Row],[CÁLCULO]] ) / tabPontoPed[[#This Row],[MENSAL]], -1 )</f>
        <v>-1</v>
      </c>
      <c r="U1110" s="58">
        <v>1200</v>
      </c>
      <c r="V1110" s="35">
        <f>IF(AND(tabPontoPed[[#This Row],[MENSAL]]&gt;0,tabPontoPed[[#This Row],[CÁLCULO]]&gt;0), IF( tabPontoPed[[#This Row],[MENSAL]] - tabPontoPed[[#This Row],[CÁLCULO]] &lt; 0, -1, IF( tabPontoPed[[#This Row],[MENSAL]] - tabPontoPed[[#This Row],[CÁLCULO]] &gt; 0, 1, -8)), -9 )</f>
        <v>-9</v>
      </c>
      <c r="W1110" s="35"/>
      <c r="X1110" s="48" t="s">
        <v>1564</v>
      </c>
      <c r="Y1110" s="53">
        <v>44391.599108796298</v>
      </c>
      <c r="Z1110" s="72">
        <f>tabPontoPed[CÁLC_4M] - tabPontoPed[CÁLCULO]</f>
        <v>21</v>
      </c>
      <c r="AA1110" s="79" t="str">
        <f>IF(tabPontoPed[MENSAL]-tabPontoPed[ATA MENSAL] = 0,"sim","")</f>
        <v>sim</v>
      </c>
      <c r="AB1110" s="79" t="s">
        <v>1614</v>
      </c>
      <c r="AC1110" s="47" t="str">
        <f t="shared" si="17"/>
        <v>*</v>
      </c>
    </row>
    <row r="1111" spans="1:29" x14ac:dyDescent="0.25">
      <c r="A1111" s="36">
        <v>133950</v>
      </c>
      <c r="B1111" s="68" t="s">
        <v>455</v>
      </c>
      <c r="C1111" s="33" t="s">
        <v>1317</v>
      </c>
      <c r="D1111" s="32">
        <v>45</v>
      </c>
      <c r="E1111" s="37">
        <v>11</v>
      </c>
      <c r="F1111" s="38" t="str">
        <f>VLOOKUP(tabPontoPed[[#This Row],[GRUPO]],tabGrupos[#Data],2,FALSE)</f>
        <v>MAQ., EQUIP., COMP., ACES., MAT. PARA ESCRIT.E ESCOLAR</v>
      </c>
      <c r="G1111" s="32" t="str">
        <f>VLOOKUP(tabPontoPed[[#This Row],[GRUPO]],tabGrupos[#Data],3,FALSE)</f>
        <v>EDU</v>
      </c>
      <c r="H1111" s="33" t="s">
        <v>1311</v>
      </c>
      <c r="I1111" s="80">
        <v>4</v>
      </c>
      <c r="J1111" s="39"/>
      <c r="K1111" s="41">
        <f>tabPontoPed[[#This Row],[QTDMÊS]] * tabPontoPed[[#This Row],[MENSAL]]</f>
        <v>0</v>
      </c>
      <c r="L1111" s="83"/>
      <c r="M1111" s="81"/>
      <c r="N1111" s="34" t="s">
        <v>1010</v>
      </c>
      <c r="O1111" s="76"/>
      <c r="P1111" s="77"/>
      <c r="Q1111" s="57">
        <v>248</v>
      </c>
      <c r="R1111" s="42">
        <v>952</v>
      </c>
      <c r="S1111" s="69" t="str">
        <f>_xlfn.IFNA(IF(VLOOKUP(tabPontoPed[[#This Row],[CÓDIGO]],tabExcluirDoEstoque[#Data],1,FALSE),"sim",""),"")</f>
        <v>sim</v>
      </c>
      <c r="T1111" s="43">
        <f>IF(AND(tabPontoPed[[#This Row],[MENSAL]]&gt;0,tabPontoPed[[#This Row],[CÁLCULO]]&gt;0), ABS( tabPontoPed[[#This Row],[MENSAL]] - tabPontoPed[[#This Row],[CÁLCULO]] ) / tabPontoPed[[#This Row],[MENSAL]], -1 )</f>
        <v>-1</v>
      </c>
      <c r="U1111" s="58">
        <v>8066</v>
      </c>
      <c r="V1111" s="35">
        <f>IF(AND(tabPontoPed[[#This Row],[MENSAL]]&gt;0,tabPontoPed[[#This Row],[CÁLCULO]]&gt;0), IF( tabPontoPed[[#This Row],[MENSAL]] - tabPontoPed[[#This Row],[CÁLCULO]] &lt; 0, -1, IF( tabPontoPed[[#This Row],[MENSAL]] - tabPontoPed[[#This Row],[CÁLCULO]] &gt; 0, 1, -8)), -9 )</f>
        <v>-9</v>
      </c>
      <c r="W1111" s="35"/>
      <c r="X1111" s="48" t="s">
        <v>1564</v>
      </c>
      <c r="Y1111" s="53">
        <v>44391.599108796298</v>
      </c>
      <c r="Z1111" s="72">
        <f>tabPontoPed[CÁLC_4M] - tabPontoPed[CÁLCULO]</f>
        <v>-704</v>
      </c>
      <c r="AA1111" s="79" t="str">
        <f>IF(tabPontoPed[MENSAL]-tabPontoPed[ATA MENSAL] = 0,"sim","")</f>
        <v>sim</v>
      </c>
      <c r="AB1111" s="79" t="s">
        <v>1614</v>
      </c>
      <c r="AC1111" s="47" t="str">
        <f t="shared" si="17"/>
        <v>*</v>
      </c>
    </row>
    <row r="1112" spans="1:29" x14ac:dyDescent="0.25">
      <c r="A1112" s="36">
        <v>133781</v>
      </c>
      <c r="B1112" s="68" t="s">
        <v>452</v>
      </c>
      <c r="C1112" s="33" t="s">
        <v>1317</v>
      </c>
      <c r="D1112" s="32">
        <v>45</v>
      </c>
      <c r="E1112" s="37">
        <v>11</v>
      </c>
      <c r="F1112" s="38" t="str">
        <f>VLOOKUP(tabPontoPed[[#This Row],[GRUPO]],tabGrupos[#Data],2,FALSE)</f>
        <v>MAQ., EQUIP., COMP., ACES., MAT. PARA ESCRIT.E ESCOLAR</v>
      </c>
      <c r="G1112" s="32" t="str">
        <f>VLOOKUP(tabPontoPed[[#This Row],[GRUPO]],tabGrupos[#Data],3,FALSE)</f>
        <v>EDU</v>
      </c>
      <c r="H1112" s="33" t="s">
        <v>1311</v>
      </c>
      <c r="I1112" s="80">
        <v>4</v>
      </c>
      <c r="J1112" s="39"/>
      <c r="K1112" s="41">
        <f>tabPontoPed[[#This Row],[QTDMÊS]] * tabPontoPed[[#This Row],[MENSAL]]</f>
        <v>0</v>
      </c>
      <c r="L1112" s="83"/>
      <c r="M1112" s="81"/>
      <c r="N1112" s="34" t="s">
        <v>1010</v>
      </c>
      <c r="O1112" s="76"/>
      <c r="P1112" s="77"/>
      <c r="Q1112" s="57">
        <v>745</v>
      </c>
      <c r="R1112" s="42">
        <v>3288</v>
      </c>
      <c r="S1112" s="69" t="str">
        <f>_xlfn.IFNA(IF(VLOOKUP(tabPontoPed[[#This Row],[CÓDIGO]],tabExcluirDoEstoque[#Data],1,FALSE),"sim",""),"")</f>
        <v>sim</v>
      </c>
      <c r="T1112" s="43">
        <f>IF(AND(tabPontoPed[[#This Row],[MENSAL]]&gt;0,tabPontoPed[[#This Row],[CÁLCULO]]&gt;0), ABS( tabPontoPed[[#This Row],[MENSAL]] - tabPontoPed[[#This Row],[CÁLCULO]] ) / tabPontoPed[[#This Row],[MENSAL]], -1 )</f>
        <v>-1</v>
      </c>
      <c r="U1112" s="58">
        <v>21568</v>
      </c>
      <c r="V1112" s="35">
        <f>IF(AND(tabPontoPed[[#This Row],[MENSAL]]&gt;0,tabPontoPed[[#This Row],[CÁLCULO]]&gt;0), IF( tabPontoPed[[#This Row],[MENSAL]] - tabPontoPed[[#This Row],[CÁLCULO]] &lt; 0, -1, IF( tabPontoPed[[#This Row],[MENSAL]] - tabPontoPed[[#This Row],[CÁLCULO]] &gt; 0, 1, -8)), -9 )</f>
        <v>-9</v>
      </c>
      <c r="W1112" s="35"/>
      <c r="X1112" s="49" t="s">
        <v>1564</v>
      </c>
      <c r="Y1112" s="51">
        <v>44391.599108796298</v>
      </c>
      <c r="Z1112" s="72">
        <f>tabPontoPed[CÁLC_4M] - tabPontoPed[CÁLCULO]</f>
        <v>-2543</v>
      </c>
      <c r="AA1112" s="79" t="str">
        <f>IF(tabPontoPed[MENSAL]-tabPontoPed[ATA MENSAL] = 0,"sim","")</f>
        <v>sim</v>
      </c>
      <c r="AB1112" s="79" t="s">
        <v>1614</v>
      </c>
      <c r="AC1112" s="47" t="str">
        <f t="shared" si="17"/>
        <v>*</v>
      </c>
    </row>
    <row r="1113" spans="1:29" x14ac:dyDescent="0.25">
      <c r="A1113" s="36">
        <v>133782</v>
      </c>
      <c r="B1113" s="68" t="s">
        <v>453</v>
      </c>
      <c r="C1113" s="33" t="s">
        <v>1317</v>
      </c>
      <c r="D1113" s="32">
        <v>45</v>
      </c>
      <c r="E1113" s="37">
        <v>11</v>
      </c>
      <c r="F1113" s="38" t="str">
        <f>VLOOKUP(tabPontoPed[[#This Row],[GRUPO]],tabGrupos[#Data],2,FALSE)</f>
        <v>MAQ., EQUIP., COMP., ACES., MAT. PARA ESCRIT.E ESCOLAR</v>
      </c>
      <c r="G1113" s="32" t="str">
        <f>VLOOKUP(tabPontoPed[[#This Row],[GRUPO]],tabGrupos[#Data],3,FALSE)</f>
        <v>EDU</v>
      </c>
      <c r="H1113" s="33" t="s">
        <v>1311</v>
      </c>
      <c r="I1113" s="80">
        <v>4</v>
      </c>
      <c r="J1113" s="39"/>
      <c r="K1113" s="41">
        <f>tabPontoPed[[#This Row],[QTDMÊS]] * tabPontoPed[[#This Row],[MENSAL]]</f>
        <v>0</v>
      </c>
      <c r="L1113" s="83"/>
      <c r="M1113" s="81"/>
      <c r="N1113" s="34" t="s">
        <v>1010</v>
      </c>
      <c r="O1113" s="76"/>
      <c r="P1113" s="77"/>
      <c r="Q1113" s="57">
        <v>85</v>
      </c>
      <c r="R1113" s="42">
        <v>31</v>
      </c>
      <c r="S1113" s="69" t="str">
        <f>_xlfn.IFNA(IF(VLOOKUP(tabPontoPed[[#This Row],[CÓDIGO]],tabExcluirDoEstoque[#Data],1,FALSE),"sim",""),"")</f>
        <v>sim</v>
      </c>
      <c r="T1113" s="43">
        <f>IF(AND(tabPontoPed[[#This Row],[MENSAL]]&gt;0,tabPontoPed[[#This Row],[CÁLCULO]]&gt;0), ABS( tabPontoPed[[#This Row],[MENSAL]] - tabPontoPed[[#This Row],[CÁLCULO]] ) / tabPontoPed[[#This Row],[MENSAL]], -1 )</f>
        <v>-1</v>
      </c>
      <c r="U1113" s="58">
        <v>223</v>
      </c>
      <c r="V1113" s="35">
        <f>IF(AND(tabPontoPed[[#This Row],[MENSAL]]&gt;0,tabPontoPed[[#This Row],[CÁLCULO]]&gt;0), IF( tabPontoPed[[#This Row],[MENSAL]] - tabPontoPed[[#This Row],[CÁLCULO]] &lt; 0, -1, IF( tabPontoPed[[#This Row],[MENSAL]] - tabPontoPed[[#This Row],[CÁLCULO]] &gt; 0, 1, -8)), -9 )</f>
        <v>-9</v>
      </c>
      <c r="W1113" s="35"/>
      <c r="X1113" s="48" t="s">
        <v>1564</v>
      </c>
      <c r="Y1113" s="53">
        <v>44391.599108796298</v>
      </c>
      <c r="Z1113" s="72">
        <f>tabPontoPed[CÁLC_4M] - tabPontoPed[CÁLCULO]</f>
        <v>54</v>
      </c>
      <c r="AA1113" s="79" t="str">
        <f>IF(tabPontoPed[MENSAL]-tabPontoPed[ATA MENSAL] = 0,"sim","")</f>
        <v>sim</v>
      </c>
      <c r="AB1113" s="79" t="s">
        <v>1614</v>
      </c>
      <c r="AC1113" s="47" t="str">
        <f t="shared" si="17"/>
        <v>*</v>
      </c>
    </row>
    <row r="1114" spans="1:29" x14ac:dyDescent="0.25">
      <c r="A1114" s="36">
        <v>133783</v>
      </c>
      <c r="B1114" s="68" t="s">
        <v>454</v>
      </c>
      <c r="C1114" s="33" t="s">
        <v>1317</v>
      </c>
      <c r="D1114" s="32">
        <v>45</v>
      </c>
      <c r="E1114" s="37">
        <v>11</v>
      </c>
      <c r="F1114" s="38" t="str">
        <f>VLOOKUP(tabPontoPed[[#This Row],[GRUPO]],tabGrupos[#Data],2,FALSE)</f>
        <v>MAQ., EQUIP., COMP., ACES., MAT. PARA ESCRIT.E ESCOLAR</v>
      </c>
      <c r="G1114" s="32" t="str">
        <f>VLOOKUP(tabPontoPed[[#This Row],[GRUPO]],tabGrupos[#Data],3,FALSE)</f>
        <v>EDU</v>
      </c>
      <c r="H1114" s="33" t="s">
        <v>1311</v>
      </c>
      <c r="I1114" s="80">
        <v>4</v>
      </c>
      <c r="J1114" s="39"/>
      <c r="K1114" s="41">
        <f>tabPontoPed[[#This Row],[QTDMÊS]] * tabPontoPed[[#This Row],[MENSAL]]</f>
        <v>0</v>
      </c>
      <c r="L1114" s="83"/>
      <c r="M1114" s="81"/>
      <c r="N1114" s="34" t="s">
        <v>1010</v>
      </c>
      <c r="O1114" s="76"/>
      <c r="P1114" s="77"/>
      <c r="Q1114" s="57">
        <v>628</v>
      </c>
      <c r="R1114" s="42">
        <v>750</v>
      </c>
      <c r="S1114" s="69" t="str">
        <f>_xlfn.IFNA(IF(VLOOKUP(tabPontoPed[[#This Row],[CÓDIGO]],tabExcluirDoEstoque[#Data],1,FALSE),"sim",""),"")</f>
        <v>sim</v>
      </c>
      <c r="T1114" s="43">
        <f>IF(AND(tabPontoPed[[#This Row],[MENSAL]]&gt;0,tabPontoPed[[#This Row],[CÁLCULO]]&gt;0), ABS( tabPontoPed[[#This Row],[MENSAL]] - tabPontoPed[[#This Row],[CÁLCULO]] ) / tabPontoPed[[#This Row],[MENSAL]], -1 )</f>
        <v>-1</v>
      </c>
      <c r="U1114" s="58">
        <v>1735</v>
      </c>
      <c r="V1114" s="35">
        <f>IF(AND(tabPontoPed[[#This Row],[MENSAL]]&gt;0,tabPontoPed[[#This Row],[CÁLCULO]]&gt;0), IF( tabPontoPed[[#This Row],[MENSAL]] - tabPontoPed[[#This Row],[CÁLCULO]] &lt; 0, -1, IF( tabPontoPed[[#This Row],[MENSAL]] - tabPontoPed[[#This Row],[CÁLCULO]] &gt; 0, 1, -8)), -9 )</f>
        <v>-9</v>
      </c>
      <c r="W1114" s="35"/>
      <c r="X1114" s="48" t="s">
        <v>1564</v>
      </c>
      <c r="Y1114" s="53">
        <v>44391.599108796298</v>
      </c>
      <c r="Z1114" s="72">
        <f>tabPontoPed[CÁLC_4M] - tabPontoPed[CÁLCULO]</f>
        <v>-122</v>
      </c>
      <c r="AA1114" s="79" t="str">
        <f>IF(tabPontoPed[MENSAL]-tabPontoPed[ATA MENSAL] = 0,"sim","")</f>
        <v>sim</v>
      </c>
      <c r="AB1114" s="79" t="s">
        <v>1614</v>
      </c>
      <c r="AC1114" s="47" t="str">
        <f t="shared" si="17"/>
        <v>*</v>
      </c>
    </row>
    <row r="1115" spans="1:29" x14ac:dyDescent="0.25">
      <c r="A1115" s="36">
        <v>135704</v>
      </c>
      <c r="B1115" s="68" t="s">
        <v>1295</v>
      </c>
      <c r="C1115" s="33" t="s">
        <v>1317</v>
      </c>
      <c r="D1115" s="32">
        <v>45</v>
      </c>
      <c r="E1115" s="37">
        <v>12</v>
      </c>
      <c r="F1115" s="38" t="str">
        <f>VLOOKUP(tabPontoPed[[#This Row],[GRUPO]],tabGrupos[#Data],2,FALSE)</f>
        <v>MAQ., EQUIP., COMP., ACES., MAT. PARA ESCRIT.E ESCOLAR</v>
      </c>
      <c r="G1115" s="32" t="str">
        <f>VLOOKUP(tabPontoPed[[#This Row],[GRUPO]],tabGrupos[#Data],3,FALSE)</f>
        <v>EDU</v>
      </c>
      <c r="H1115" s="33" t="s">
        <v>1311</v>
      </c>
      <c r="I1115" s="80">
        <v>4</v>
      </c>
      <c r="J1115" s="39">
        <v>0</v>
      </c>
      <c r="K1115" s="41">
        <f>tabPontoPed[[#This Row],[QTDMÊS]] * tabPontoPed[[#This Row],[MENSAL]]</f>
        <v>0</v>
      </c>
      <c r="L1115" s="83"/>
      <c r="M1115" s="81"/>
      <c r="N1115" s="34" t="s">
        <v>1009</v>
      </c>
      <c r="O1115" s="76"/>
      <c r="P1115" s="77"/>
      <c r="Q1115" s="57">
        <v>552</v>
      </c>
      <c r="R1115" s="42">
        <v>629</v>
      </c>
      <c r="S1115" s="69" t="str">
        <f>_xlfn.IFNA(IF(VLOOKUP(tabPontoPed[[#This Row],[CÓDIGO]],tabExcluirDoEstoque[#Data],1,FALSE),"sim",""),"")</f>
        <v>sim</v>
      </c>
      <c r="T1115" s="43">
        <f>IF(AND(tabPontoPed[[#This Row],[MENSAL]]&gt;0,tabPontoPed[[#This Row],[CÁLCULO]]&gt;0), ABS( tabPontoPed[[#This Row],[MENSAL]] - tabPontoPed[[#This Row],[CÁLCULO]] ) / tabPontoPed[[#This Row],[MENSAL]], -1 )</f>
        <v>-1</v>
      </c>
      <c r="U1115" s="58">
        <v>2172</v>
      </c>
      <c r="V1115" s="35">
        <f>IF(AND(tabPontoPed[[#This Row],[MENSAL]]&gt;0,tabPontoPed[[#This Row],[CÁLCULO]]&gt;0), IF( tabPontoPed[[#This Row],[MENSAL]] - tabPontoPed[[#This Row],[CÁLCULO]] &lt; 0, -1, IF( tabPontoPed[[#This Row],[MENSAL]] - tabPontoPed[[#This Row],[CÁLCULO]] &gt; 0, 1, -8)), -9 )</f>
        <v>-9</v>
      </c>
      <c r="W1115" s="35"/>
      <c r="X1115" s="49" t="s">
        <v>1564</v>
      </c>
      <c r="Y1115" s="51">
        <v>44391.599108796298</v>
      </c>
      <c r="Z1115" s="72">
        <f>tabPontoPed[CÁLC_4M] - tabPontoPed[CÁLCULO]</f>
        <v>-77</v>
      </c>
      <c r="AA1115" s="79" t="str">
        <f>IF(tabPontoPed[MENSAL]-tabPontoPed[ATA MENSAL] = 0,"sim","")</f>
        <v>sim</v>
      </c>
      <c r="AB1115" s="79" t="s">
        <v>1614</v>
      </c>
      <c r="AC1115" s="47" t="str">
        <f t="shared" si="17"/>
        <v>*</v>
      </c>
    </row>
    <row r="1116" spans="1:29" x14ac:dyDescent="0.25">
      <c r="A1116" s="36">
        <v>133954</v>
      </c>
      <c r="B1116" s="68" t="s">
        <v>476</v>
      </c>
      <c r="C1116" s="33" t="s">
        <v>1317</v>
      </c>
      <c r="D1116" s="32">
        <v>45</v>
      </c>
      <c r="E1116" s="37">
        <v>16</v>
      </c>
      <c r="F1116" s="38" t="str">
        <f>VLOOKUP(tabPontoPed[[#This Row],[GRUPO]],tabGrupos[#Data],2,FALSE)</f>
        <v>MAQ., EQUIP., COMP., ACES., MAT. PARA ESCRIT.E ESCOLAR</v>
      </c>
      <c r="G1116" s="32" t="str">
        <f>VLOOKUP(tabPontoPed[[#This Row],[GRUPO]],tabGrupos[#Data],3,FALSE)</f>
        <v>EDU</v>
      </c>
      <c r="H1116" s="33" t="s">
        <v>1311</v>
      </c>
      <c r="I1116" s="80">
        <v>4</v>
      </c>
      <c r="J1116" s="39"/>
      <c r="K1116" s="41">
        <f>tabPontoPed[[#This Row],[QTDMÊS]] * tabPontoPed[[#This Row],[MENSAL]]</f>
        <v>0</v>
      </c>
      <c r="L1116" s="83"/>
      <c r="M1116" s="81"/>
      <c r="N1116" s="34" t="s">
        <v>1010</v>
      </c>
      <c r="O1116" s="76"/>
      <c r="P1116" s="77"/>
      <c r="Q1116" s="57">
        <v>226</v>
      </c>
      <c r="R1116" s="42">
        <v>584</v>
      </c>
      <c r="S1116" s="69" t="str">
        <f>_xlfn.IFNA(IF(VLOOKUP(tabPontoPed[[#This Row],[CÓDIGO]],tabExcluirDoEstoque[#Data],1,FALSE),"sim",""),"")</f>
        <v>sim</v>
      </c>
      <c r="T1116" s="43">
        <f>IF(AND(tabPontoPed[[#This Row],[MENSAL]]&gt;0,tabPontoPed[[#This Row],[CÁLCULO]]&gt;0), ABS( tabPontoPed[[#This Row],[MENSAL]] - tabPontoPed[[#This Row],[CÁLCULO]] ) / tabPontoPed[[#This Row],[MENSAL]], -1 )</f>
        <v>-1</v>
      </c>
      <c r="U1116" s="58">
        <v>4564</v>
      </c>
      <c r="V1116" s="35">
        <f>IF(AND(tabPontoPed[[#This Row],[MENSAL]]&gt;0,tabPontoPed[[#This Row],[CÁLCULO]]&gt;0), IF( tabPontoPed[[#This Row],[MENSAL]] - tabPontoPed[[#This Row],[CÁLCULO]] &lt; 0, -1, IF( tabPontoPed[[#This Row],[MENSAL]] - tabPontoPed[[#This Row],[CÁLCULO]] &gt; 0, 1, -8)), -9 )</f>
        <v>-9</v>
      </c>
      <c r="W1116" s="35"/>
      <c r="X1116" s="49" t="s">
        <v>1564</v>
      </c>
      <c r="Y1116" s="51">
        <v>44391.599108796298</v>
      </c>
      <c r="Z1116" s="72">
        <f>tabPontoPed[CÁLC_4M] - tabPontoPed[CÁLCULO]</f>
        <v>-358</v>
      </c>
      <c r="AA1116" s="79" t="str">
        <f>IF(tabPontoPed[MENSAL]-tabPontoPed[ATA MENSAL] = 0,"sim","")</f>
        <v>sim</v>
      </c>
      <c r="AB1116" s="79" t="s">
        <v>1614</v>
      </c>
      <c r="AC1116" s="47" t="str">
        <f t="shared" si="17"/>
        <v>*</v>
      </c>
    </row>
    <row r="1117" spans="1:29" x14ac:dyDescent="0.25">
      <c r="A1117" s="36">
        <v>118660</v>
      </c>
      <c r="B1117" s="68" t="s">
        <v>480</v>
      </c>
      <c r="C1117" s="33" t="s">
        <v>1317</v>
      </c>
      <c r="D1117" s="32">
        <v>45</v>
      </c>
      <c r="E1117" s="37">
        <v>29</v>
      </c>
      <c r="F1117" s="38" t="str">
        <f>VLOOKUP(tabPontoPed[[#This Row],[GRUPO]],tabGrupos[#Data],2,FALSE)</f>
        <v>MAQ., EQUIP., COMP., ACES., MAT. PARA ESCRIT.E ESCOLAR</v>
      </c>
      <c r="G1117" s="32" t="str">
        <f>VLOOKUP(tabPontoPed[[#This Row],[GRUPO]],tabGrupos[#Data],3,FALSE)</f>
        <v>EDU</v>
      </c>
      <c r="H1117" s="33" t="s">
        <v>1311</v>
      </c>
      <c r="I1117" s="80">
        <v>4</v>
      </c>
      <c r="J1117" s="39"/>
      <c r="K1117" s="41">
        <f>tabPontoPed[[#This Row],[QTDMÊS]] * tabPontoPed[[#This Row],[MENSAL]]</f>
        <v>0</v>
      </c>
      <c r="L1117" s="83"/>
      <c r="M1117" s="81"/>
      <c r="N1117" s="34" t="s">
        <v>1009</v>
      </c>
      <c r="O1117" s="76"/>
      <c r="P1117" s="77"/>
      <c r="Q1117" s="57">
        <v>0</v>
      </c>
      <c r="R1117" s="42">
        <v>33</v>
      </c>
      <c r="S1117" s="69" t="str">
        <f>_xlfn.IFNA(IF(VLOOKUP(tabPontoPed[[#This Row],[CÓDIGO]],tabExcluirDoEstoque[#Data],1,FALSE),"sim",""),"")</f>
        <v>sim</v>
      </c>
      <c r="T1117" s="43">
        <f>IF(AND(tabPontoPed[[#This Row],[MENSAL]]&gt;0,tabPontoPed[[#This Row],[CÁLCULO]]&gt;0), ABS( tabPontoPed[[#This Row],[MENSAL]] - tabPontoPed[[#This Row],[CÁLCULO]] ) / tabPontoPed[[#This Row],[MENSAL]], -1 )</f>
        <v>-1</v>
      </c>
      <c r="U1117" s="58">
        <v>365</v>
      </c>
      <c r="V1117" s="35">
        <f>IF(AND(tabPontoPed[[#This Row],[MENSAL]]&gt;0,tabPontoPed[[#This Row],[CÁLCULO]]&gt;0), IF( tabPontoPed[[#This Row],[MENSAL]] - tabPontoPed[[#This Row],[CÁLCULO]] &lt; 0, -1, IF( tabPontoPed[[#This Row],[MENSAL]] - tabPontoPed[[#This Row],[CÁLCULO]] &gt; 0, 1, -8)), -9 )</f>
        <v>-9</v>
      </c>
      <c r="W1117" s="35"/>
      <c r="X1117" s="49" t="s">
        <v>1564</v>
      </c>
      <c r="Y1117" s="51">
        <v>44391.599108796298</v>
      </c>
      <c r="Z1117" s="72">
        <f>tabPontoPed[CÁLC_4M] - tabPontoPed[CÁLCULO]</f>
        <v>-33</v>
      </c>
      <c r="AA1117" s="79" t="str">
        <f>IF(tabPontoPed[MENSAL]-tabPontoPed[ATA MENSAL] = 0,"sim","")</f>
        <v>sim</v>
      </c>
      <c r="AB1117" s="79" t="s">
        <v>1614</v>
      </c>
      <c r="AC1117" s="47" t="str">
        <f t="shared" si="17"/>
        <v>*</v>
      </c>
    </row>
    <row r="1118" spans="1:29" x14ac:dyDescent="0.25">
      <c r="A1118" s="36">
        <v>128308</v>
      </c>
      <c r="B1118" s="68" t="s">
        <v>698</v>
      </c>
      <c r="C1118" s="33" t="s">
        <v>1317</v>
      </c>
      <c r="D1118" s="32">
        <v>56</v>
      </c>
      <c r="E1118" s="37">
        <v>1</v>
      </c>
      <c r="F1118" s="38" t="str">
        <f>VLOOKUP(tabPontoPed[[#This Row],[GRUPO]],tabGrupos[#Data],2,FALSE)</f>
        <v>EQUIP. COMP. MAT. ELETRON. CELULAS E FIBRAS OTICAS</v>
      </c>
      <c r="G1118" s="32" t="str">
        <f>VLOOKUP(tabPontoPed[[#This Row],[GRUPO]],tabGrupos[#Data],3,FALSE)</f>
        <v>INF</v>
      </c>
      <c r="H1118" s="33" t="s">
        <v>1311</v>
      </c>
      <c r="I1118" s="80">
        <v>4</v>
      </c>
      <c r="J1118" s="39">
        <v>0</v>
      </c>
      <c r="K1118" s="41">
        <f>tabPontoPed[[#This Row],[QTDMÊS]] * tabPontoPed[[#This Row],[MENSAL]]</f>
        <v>0</v>
      </c>
      <c r="L1118" s="83"/>
      <c r="M1118" s="81"/>
      <c r="N1118" s="34" t="s">
        <v>1010</v>
      </c>
      <c r="O1118" s="76" t="s">
        <v>1424</v>
      </c>
      <c r="P1118" s="77"/>
      <c r="Q1118" s="57">
        <v>1</v>
      </c>
      <c r="R1118" s="42">
        <v>1</v>
      </c>
      <c r="S1118" s="69" t="str">
        <f>_xlfn.IFNA(IF(VLOOKUP(tabPontoPed[[#This Row],[CÓDIGO]],tabExcluirDoEstoque[#Data],1,FALSE),"sim",""),"")</f>
        <v>sim</v>
      </c>
      <c r="T1118" s="43">
        <f>IF(AND(tabPontoPed[[#This Row],[MENSAL]]&gt;0,tabPontoPed[[#This Row],[CÁLCULO]]&gt;0), ABS( tabPontoPed[[#This Row],[MENSAL]] - tabPontoPed[[#This Row],[CÁLCULO]] ) / tabPontoPed[[#This Row],[MENSAL]], -1 )</f>
        <v>-1</v>
      </c>
      <c r="U1118" s="58"/>
      <c r="V1118" s="35">
        <f>IF(AND(tabPontoPed[[#This Row],[MENSAL]]&gt;0,tabPontoPed[[#This Row],[CÁLCULO]]&gt;0), IF( tabPontoPed[[#This Row],[MENSAL]] - tabPontoPed[[#This Row],[CÁLCULO]] &lt; 0, -1, IF( tabPontoPed[[#This Row],[MENSAL]] - tabPontoPed[[#This Row],[CÁLCULO]] &gt; 0, 1, -8)), -9 )</f>
        <v>-9</v>
      </c>
      <c r="W1118" s="35"/>
      <c r="X1118" s="49" t="s">
        <v>1564</v>
      </c>
      <c r="Y1118" s="51">
        <v>44391.599108796298</v>
      </c>
      <c r="Z1118" s="72">
        <f>tabPontoPed[CÁLC_4M] - tabPontoPed[CÁLCULO]</f>
        <v>0</v>
      </c>
      <c r="AA1118" s="79" t="str">
        <f>IF(tabPontoPed[MENSAL]-tabPontoPed[ATA MENSAL] = 0,"sim","")</f>
        <v>sim</v>
      </c>
      <c r="AB1118" s="79" t="s">
        <v>1614</v>
      </c>
      <c r="AC1118" s="47" t="str">
        <f t="shared" si="17"/>
        <v>*</v>
      </c>
    </row>
    <row r="1119" spans="1:29" x14ac:dyDescent="0.25">
      <c r="A1119" s="36">
        <v>130157</v>
      </c>
      <c r="B1119" s="68" t="s">
        <v>700</v>
      </c>
      <c r="C1119" s="33" t="s">
        <v>1317</v>
      </c>
      <c r="D1119" s="32">
        <v>56</v>
      </c>
      <c r="E1119" s="37">
        <v>9</v>
      </c>
      <c r="F1119" s="38" t="str">
        <f>VLOOKUP(tabPontoPed[[#This Row],[GRUPO]],tabGrupos[#Data],2,FALSE)</f>
        <v>EQUIP. COMP. MAT. ELETRON. CELULAS E FIBRAS OTICAS</v>
      </c>
      <c r="G1119" s="32" t="str">
        <f>VLOOKUP(tabPontoPed[[#This Row],[GRUPO]],tabGrupos[#Data],3,FALSE)</f>
        <v>INF</v>
      </c>
      <c r="H1119" s="33" t="s">
        <v>1311</v>
      </c>
      <c r="I1119" s="80">
        <v>4</v>
      </c>
      <c r="J1119" s="39">
        <v>25</v>
      </c>
      <c r="K1119" s="41">
        <f>tabPontoPed[[#This Row],[QTDMÊS]] * tabPontoPed[[#This Row],[MENSAL]]</f>
        <v>100</v>
      </c>
      <c r="L1119" s="83"/>
      <c r="M1119" s="81"/>
      <c r="N1119" s="34" t="s">
        <v>1010</v>
      </c>
      <c r="O1119" s="76" t="s">
        <v>1424</v>
      </c>
      <c r="P1119" s="77"/>
      <c r="Q1119" s="57">
        <v>0</v>
      </c>
      <c r="R1119" s="42">
        <v>0</v>
      </c>
      <c r="S1119" s="69" t="str">
        <f>_xlfn.IFNA(IF(VLOOKUP(tabPontoPed[[#This Row],[CÓDIGO]],tabExcluirDoEstoque[#Data],1,FALSE),"sim",""),"")</f>
        <v>sim</v>
      </c>
      <c r="T1119" s="43">
        <f>IF(AND(tabPontoPed[[#This Row],[MENSAL]]&gt;0,tabPontoPed[[#This Row],[CÁLCULO]]&gt;0), ABS( tabPontoPed[[#This Row],[MENSAL]] - tabPontoPed[[#This Row],[CÁLCULO]] ) / tabPontoPed[[#This Row],[MENSAL]], -1 )</f>
        <v>-1</v>
      </c>
      <c r="U1119" s="58"/>
      <c r="V1119" s="35">
        <f>IF(AND(tabPontoPed[[#This Row],[MENSAL]]&gt;0,tabPontoPed[[#This Row],[CÁLCULO]]&gt;0), IF( tabPontoPed[[#This Row],[MENSAL]] - tabPontoPed[[#This Row],[CÁLCULO]] &lt; 0, -1, IF( tabPontoPed[[#This Row],[MENSAL]] - tabPontoPed[[#This Row],[CÁLCULO]] &gt; 0, 1, -8)), -9 )</f>
        <v>-9</v>
      </c>
      <c r="W1119" s="35"/>
      <c r="X1119" s="49" t="s">
        <v>1564</v>
      </c>
      <c r="Y1119" s="51">
        <v>44391.599108796298</v>
      </c>
      <c r="Z1119" s="72">
        <f>tabPontoPed[CÁLC_4M] - tabPontoPed[CÁLCULO]</f>
        <v>0</v>
      </c>
      <c r="AA1119" s="79" t="str">
        <f>IF(tabPontoPed[MENSAL]-tabPontoPed[ATA MENSAL] = 0,"sim","")</f>
        <v/>
      </c>
      <c r="AB1119" s="79"/>
      <c r="AC1119" s="47" t="str">
        <f t="shared" si="17"/>
        <v>*</v>
      </c>
    </row>
    <row r="1120" spans="1:29" x14ac:dyDescent="0.25">
      <c r="A1120" s="36">
        <v>131221</v>
      </c>
      <c r="B1120" s="68" t="s">
        <v>717</v>
      </c>
      <c r="C1120" s="33" t="s">
        <v>1317</v>
      </c>
      <c r="D1120" s="32">
        <v>59</v>
      </c>
      <c r="E1120" s="37">
        <v>35</v>
      </c>
      <c r="F1120" s="38" t="str">
        <f>VLOOKUP(tabPontoPed[[#This Row],[GRUPO]],tabGrupos[#Data],2,FALSE)</f>
        <v>EQUIP.MAT.E ACESS.COMUNIC.CINE FOTO OTICA SOM</v>
      </c>
      <c r="G1120" s="32" t="str">
        <f>VLOOKUP(tabPontoPed[[#This Row],[GRUPO]],tabGrupos[#Data],3,FALSE)</f>
        <v>INF</v>
      </c>
      <c r="H1120" s="33" t="s">
        <v>1311</v>
      </c>
      <c r="I1120" s="80">
        <v>4</v>
      </c>
      <c r="J1120" s="39"/>
      <c r="K1120" s="41">
        <f>tabPontoPed[[#This Row],[QTDMÊS]] * tabPontoPed[[#This Row],[MENSAL]]</f>
        <v>0</v>
      </c>
      <c r="L1120" s="83"/>
      <c r="M1120" s="81"/>
      <c r="N1120" s="34" t="s">
        <v>1009</v>
      </c>
      <c r="O1120" s="76"/>
      <c r="P1120" s="77"/>
      <c r="Q1120" s="57">
        <v>0</v>
      </c>
      <c r="R1120" s="42">
        <v>0</v>
      </c>
      <c r="S1120" s="69" t="str">
        <f>_xlfn.IFNA(IF(VLOOKUP(tabPontoPed[[#This Row],[CÓDIGO]],tabExcluirDoEstoque[#Data],1,FALSE),"sim",""),"")</f>
        <v>sim</v>
      </c>
      <c r="T1120" s="43">
        <f>IF(AND(tabPontoPed[[#This Row],[MENSAL]]&gt;0,tabPontoPed[[#This Row],[CÁLCULO]]&gt;0), ABS( tabPontoPed[[#This Row],[MENSAL]] - tabPontoPed[[#This Row],[CÁLCULO]] ) / tabPontoPed[[#This Row],[MENSAL]], -1 )</f>
        <v>-1</v>
      </c>
      <c r="U1120" s="58">
        <v>0</v>
      </c>
      <c r="V1120" s="35">
        <f>IF(AND(tabPontoPed[[#This Row],[MENSAL]]&gt;0,tabPontoPed[[#This Row],[CÁLCULO]]&gt;0), IF( tabPontoPed[[#This Row],[MENSAL]] - tabPontoPed[[#This Row],[CÁLCULO]] &lt; 0, -1, IF( tabPontoPed[[#This Row],[MENSAL]] - tabPontoPed[[#This Row],[CÁLCULO]] &gt; 0, 1, -8)), -9 )</f>
        <v>-9</v>
      </c>
      <c r="W1120" s="35"/>
      <c r="X1120" s="49" t="s">
        <v>1564</v>
      </c>
      <c r="Y1120" s="51">
        <v>44391.599108796298</v>
      </c>
      <c r="Z1120" s="72">
        <f>tabPontoPed[CÁLC_4M] - tabPontoPed[CÁLCULO]</f>
        <v>0</v>
      </c>
      <c r="AA1120" s="79" t="str">
        <f>IF(tabPontoPed[MENSAL]-tabPontoPed[ATA MENSAL] = 0,"sim","")</f>
        <v>sim</v>
      </c>
      <c r="AB1120" s="79" t="s">
        <v>1614</v>
      </c>
      <c r="AC1120" s="47" t="str">
        <f t="shared" si="17"/>
        <v>*</v>
      </c>
    </row>
    <row r="1121" spans="1:29" x14ac:dyDescent="0.25">
      <c r="A1121" s="36">
        <v>108732</v>
      </c>
      <c r="B1121" s="68" t="s">
        <v>587</v>
      </c>
      <c r="C1121" s="33" t="s">
        <v>1317</v>
      </c>
      <c r="D1121" s="32">
        <v>54</v>
      </c>
      <c r="E1121" s="37">
        <v>4</v>
      </c>
      <c r="F1121" s="38" t="str">
        <f>VLOOKUP(tabPontoPed[[#This Row],[GRUPO]],tabGrupos[#Data],2,FALSE)</f>
        <v>EQUIP PROT IND, INST MAT P/ SINAL, CONTR, COMB ...</v>
      </c>
      <c r="G1121" s="32" t="str">
        <f>VLOOKUP(tabPontoPed[[#This Row],[GRUPO]],tabGrupos[#Data],3,FALSE)</f>
        <v>MAN</v>
      </c>
      <c r="H1121" s="33" t="s">
        <v>1311</v>
      </c>
      <c r="I1121" s="80">
        <v>4</v>
      </c>
      <c r="J1121" s="39">
        <v>1</v>
      </c>
      <c r="K1121" s="41">
        <f>tabPontoPed[[#This Row],[QTDMÊS]] * tabPontoPed[[#This Row],[MENSAL]]</f>
        <v>4</v>
      </c>
      <c r="L1121" s="83"/>
      <c r="M1121" s="81"/>
      <c r="N1121" s="34" t="s">
        <v>1010</v>
      </c>
      <c r="O1121" s="76"/>
      <c r="P1121" s="77"/>
      <c r="Q1121" s="57">
        <v>0</v>
      </c>
      <c r="R1121" s="42">
        <v>0</v>
      </c>
      <c r="S1121" s="69" t="str">
        <f>_xlfn.IFNA(IF(VLOOKUP(tabPontoPed[[#This Row],[CÓDIGO]],tabExcluirDoEstoque[#Data],1,FALSE),"sim",""),"")</f>
        <v>sim</v>
      </c>
      <c r="T1121" s="43">
        <f>IF(AND(tabPontoPed[[#This Row],[MENSAL]]&gt;0,tabPontoPed[[#This Row],[CÁLCULO]]&gt;0), ABS( tabPontoPed[[#This Row],[MENSAL]] - tabPontoPed[[#This Row],[CÁLCULO]] ) / tabPontoPed[[#This Row],[MENSAL]], -1 )</f>
        <v>-1</v>
      </c>
      <c r="U1121" s="58"/>
      <c r="V1121" s="35">
        <f>IF(AND(tabPontoPed[[#This Row],[MENSAL]]&gt;0,tabPontoPed[[#This Row],[CÁLCULO]]&gt;0), IF( tabPontoPed[[#This Row],[MENSAL]] - tabPontoPed[[#This Row],[CÁLCULO]] &lt; 0, -1, IF( tabPontoPed[[#This Row],[MENSAL]] - tabPontoPed[[#This Row],[CÁLCULO]] &gt; 0, 1, -8)), -9 )</f>
        <v>-9</v>
      </c>
      <c r="W1121" s="35"/>
      <c r="X1121" s="49" t="s">
        <v>1564</v>
      </c>
      <c r="Y1121" s="51">
        <v>44391.599108796298</v>
      </c>
      <c r="Z1121" s="72">
        <f>tabPontoPed[CÁLC_4M] - tabPontoPed[CÁLCULO]</f>
        <v>0</v>
      </c>
      <c r="AA1121" s="79" t="str">
        <f>IF(tabPontoPed[MENSAL]-tabPontoPed[ATA MENSAL] = 0,"sim","")</f>
        <v/>
      </c>
      <c r="AB1121" s="79"/>
      <c r="AC1121" s="47" t="str">
        <f t="shared" si="17"/>
        <v>*</v>
      </c>
    </row>
    <row r="1122" spans="1:29" x14ac:dyDescent="0.25">
      <c r="A1122" s="36">
        <v>108734</v>
      </c>
      <c r="B1122" s="68" t="s">
        <v>588</v>
      </c>
      <c r="C1122" s="33" t="s">
        <v>1317</v>
      </c>
      <c r="D1122" s="32">
        <v>54</v>
      </c>
      <c r="E1122" s="37">
        <v>4</v>
      </c>
      <c r="F1122" s="38" t="str">
        <f>VLOOKUP(tabPontoPed[[#This Row],[GRUPO]],tabGrupos[#Data],2,FALSE)</f>
        <v>EQUIP PROT IND, INST MAT P/ SINAL, CONTR, COMB ...</v>
      </c>
      <c r="G1122" s="32" t="str">
        <f>VLOOKUP(tabPontoPed[[#This Row],[GRUPO]],tabGrupos[#Data],3,FALSE)</f>
        <v>MAN</v>
      </c>
      <c r="H1122" s="33" t="s">
        <v>1311</v>
      </c>
      <c r="I1122" s="80">
        <v>4</v>
      </c>
      <c r="J1122" s="39">
        <v>1</v>
      </c>
      <c r="K1122" s="41">
        <f>tabPontoPed[[#This Row],[QTDMÊS]] * tabPontoPed[[#This Row],[MENSAL]]</f>
        <v>4</v>
      </c>
      <c r="L1122" s="83"/>
      <c r="M1122" s="81"/>
      <c r="N1122" s="34" t="s">
        <v>1010</v>
      </c>
      <c r="O1122" s="76"/>
      <c r="P1122" s="77"/>
      <c r="Q1122" s="57">
        <v>0</v>
      </c>
      <c r="R1122" s="42">
        <v>0</v>
      </c>
      <c r="S1122" s="69" t="str">
        <f>_xlfn.IFNA(IF(VLOOKUP(tabPontoPed[[#This Row],[CÓDIGO]],tabExcluirDoEstoque[#Data],1,FALSE),"sim",""),"")</f>
        <v>sim</v>
      </c>
      <c r="T1122" s="43">
        <f>IF(AND(tabPontoPed[[#This Row],[MENSAL]]&gt;0,tabPontoPed[[#This Row],[CÁLCULO]]&gt;0), ABS( tabPontoPed[[#This Row],[MENSAL]] - tabPontoPed[[#This Row],[CÁLCULO]] ) / tabPontoPed[[#This Row],[MENSAL]], -1 )</f>
        <v>-1</v>
      </c>
      <c r="U1122" s="58"/>
      <c r="V1122" s="35">
        <f>IF(AND(tabPontoPed[[#This Row],[MENSAL]]&gt;0,tabPontoPed[[#This Row],[CÁLCULO]]&gt;0), IF( tabPontoPed[[#This Row],[MENSAL]] - tabPontoPed[[#This Row],[CÁLCULO]] &lt; 0, -1, IF( tabPontoPed[[#This Row],[MENSAL]] - tabPontoPed[[#This Row],[CÁLCULO]] &gt; 0, 1, -8)), -9 )</f>
        <v>-9</v>
      </c>
      <c r="W1122" s="35"/>
      <c r="X1122" s="49" t="s">
        <v>1564</v>
      </c>
      <c r="Y1122" s="51">
        <v>44391.599108796298</v>
      </c>
      <c r="Z1122" s="72">
        <f>tabPontoPed[CÁLC_4M] - tabPontoPed[CÁLCULO]</f>
        <v>0</v>
      </c>
      <c r="AA1122" s="79" t="str">
        <f>IF(tabPontoPed[MENSAL]-tabPontoPed[ATA MENSAL] = 0,"sim","")</f>
        <v/>
      </c>
      <c r="AB1122" s="79"/>
      <c r="AC1122" s="47" t="str">
        <f t="shared" si="17"/>
        <v>*</v>
      </c>
    </row>
    <row r="1123" spans="1:29" x14ac:dyDescent="0.25">
      <c r="A1123" s="36">
        <v>108735</v>
      </c>
      <c r="B1123" s="68" t="s">
        <v>589</v>
      </c>
      <c r="C1123" s="33" t="s">
        <v>1317</v>
      </c>
      <c r="D1123" s="32">
        <v>54</v>
      </c>
      <c r="E1123" s="37">
        <v>4</v>
      </c>
      <c r="F1123" s="38" t="str">
        <f>VLOOKUP(tabPontoPed[[#This Row],[GRUPO]],tabGrupos[#Data],2,FALSE)</f>
        <v>EQUIP PROT IND, INST MAT P/ SINAL, CONTR, COMB ...</v>
      </c>
      <c r="G1123" s="32" t="str">
        <f>VLOOKUP(tabPontoPed[[#This Row],[GRUPO]],tabGrupos[#Data],3,FALSE)</f>
        <v>MAN</v>
      </c>
      <c r="H1123" s="33" t="s">
        <v>1311</v>
      </c>
      <c r="I1123" s="80">
        <v>4</v>
      </c>
      <c r="J1123" s="39">
        <v>1</v>
      </c>
      <c r="K1123" s="41">
        <f>tabPontoPed[[#This Row],[QTDMÊS]] * tabPontoPed[[#This Row],[MENSAL]]</f>
        <v>4</v>
      </c>
      <c r="L1123" s="83"/>
      <c r="M1123" s="81"/>
      <c r="N1123" s="34" t="s">
        <v>1010</v>
      </c>
      <c r="O1123" s="76"/>
      <c r="P1123" s="77"/>
      <c r="Q1123" s="57">
        <v>0</v>
      </c>
      <c r="R1123" s="42">
        <v>0</v>
      </c>
      <c r="S1123" s="69" t="str">
        <f>_xlfn.IFNA(IF(VLOOKUP(tabPontoPed[[#This Row],[CÓDIGO]],tabExcluirDoEstoque[#Data],1,FALSE),"sim",""),"")</f>
        <v>sim</v>
      </c>
      <c r="T1123" s="43">
        <f>IF(AND(tabPontoPed[[#This Row],[MENSAL]]&gt;0,tabPontoPed[[#This Row],[CÁLCULO]]&gt;0), ABS( tabPontoPed[[#This Row],[MENSAL]] - tabPontoPed[[#This Row],[CÁLCULO]] ) / tabPontoPed[[#This Row],[MENSAL]], -1 )</f>
        <v>-1</v>
      </c>
      <c r="U1123" s="58"/>
      <c r="V1123" s="35">
        <f>IF(AND(tabPontoPed[[#This Row],[MENSAL]]&gt;0,tabPontoPed[[#This Row],[CÁLCULO]]&gt;0), IF( tabPontoPed[[#This Row],[MENSAL]] - tabPontoPed[[#This Row],[CÁLCULO]] &lt; 0, -1, IF( tabPontoPed[[#This Row],[MENSAL]] - tabPontoPed[[#This Row],[CÁLCULO]] &gt; 0, 1, -8)), -9 )</f>
        <v>-9</v>
      </c>
      <c r="W1123" s="35"/>
      <c r="X1123" s="49" t="s">
        <v>1564</v>
      </c>
      <c r="Y1123" s="51">
        <v>44391.599108796298</v>
      </c>
      <c r="Z1123" s="72">
        <f>tabPontoPed[CÁLC_4M] - tabPontoPed[CÁLCULO]</f>
        <v>0</v>
      </c>
      <c r="AA1123" s="79" t="str">
        <f>IF(tabPontoPed[MENSAL]-tabPontoPed[ATA MENSAL] = 0,"sim","")</f>
        <v/>
      </c>
      <c r="AB1123" s="79"/>
      <c r="AC1123" s="47" t="str">
        <f t="shared" si="17"/>
        <v>*</v>
      </c>
    </row>
    <row r="1124" spans="1:29" x14ac:dyDescent="0.25">
      <c r="A1124" s="36">
        <v>108736</v>
      </c>
      <c r="B1124" s="68" t="s">
        <v>590</v>
      </c>
      <c r="C1124" s="33" t="s">
        <v>1317</v>
      </c>
      <c r="D1124" s="32">
        <v>54</v>
      </c>
      <c r="E1124" s="37">
        <v>4</v>
      </c>
      <c r="F1124" s="38" t="str">
        <f>VLOOKUP(tabPontoPed[[#This Row],[GRUPO]],tabGrupos[#Data],2,FALSE)</f>
        <v>EQUIP PROT IND, INST MAT P/ SINAL, CONTR, COMB ...</v>
      </c>
      <c r="G1124" s="32" t="str">
        <f>VLOOKUP(tabPontoPed[[#This Row],[GRUPO]],tabGrupos[#Data],3,FALSE)</f>
        <v>MAN</v>
      </c>
      <c r="H1124" s="33" t="s">
        <v>1311</v>
      </c>
      <c r="I1124" s="80">
        <v>4</v>
      </c>
      <c r="J1124" s="39">
        <v>1</v>
      </c>
      <c r="K1124" s="41">
        <f>tabPontoPed[[#This Row],[QTDMÊS]] * tabPontoPed[[#This Row],[MENSAL]]</f>
        <v>4</v>
      </c>
      <c r="L1124" s="83"/>
      <c r="M1124" s="81"/>
      <c r="N1124" s="34" t="s">
        <v>1010</v>
      </c>
      <c r="O1124" s="76"/>
      <c r="P1124" s="77"/>
      <c r="Q1124" s="57">
        <v>0</v>
      </c>
      <c r="R1124" s="42">
        <v>0</v>
      </c>
      <c r="S1124" s="69" t="str">
        <f>_xlfn.IFNA(IF(VLOOKUP(tabPontoPed[[#This Row],[CÓDIGO]],tabExcluirDoEstoque[#Data],1,FALSE),"sim",""),"")</f>
        <v>sim</v>
      </c>
      <c r="T1124" s="43">
        <f>IF(AND(tabPontoPed[[#This Row],[MENSAL]]&gt;0,tabPontoPed[[#This Row],[CÁLCULO]]&gt;0), ABS( tabPontoPed[[#This Row],[MENSAL]] - tabPontoPed[[#This Row],[CÁLCULO]] ) / tabPontoPed[[#This Row],[MENSAL]], -1 )</f>
        <v>-1</v>
      </c>
      <c r="U1124" s="58"/>
      <c r="V1124" s="35">
        <f>IF(AND(tabPontoPed[[#This Row],[MENSAL]]&gt;0,tabPontoPed[[#This Row],[CÁLCULO]]&gt;0), IF( tabPontoPed[[#This Row],[MENSAL]] - tabPontoPed[[#This Row],[CÁLCULO]] &lt; 0, -1, IF( tabPontoPed[[#This Row],[MENSAL]] - tabPontoPed[[#This Row],[CÁLCULO]] &gt; 0, 1, -8)), -9 )</f>
        <v>-9</v>
      </c>
      <c r="W1124" s="35"/>
      <c r="X1124" s="49" t="s">
        <v>1564</v>
      </c>
      <c r="Y1124" s="51">
        <v>44391.599108796298</v>
      </c>
      <c r="Z1124" s="72">
        <f>tabPontoPed[CÁLC_4M] - tabPontoPed[CÁLCULO]</f>
        <v>0</v>
      </c>
      <c r="AA1124" s="79" t="str">
        <f>IF(tabPontoPed[MENSAL]-tabPontoPed[ATA MENSAL] = 0,"sim","")</f>
        <v/>
      </c>
      <c r="AB1124" s="79"/>
      <c r="AC1124" s="47" t="str">
        <f t="shared" si="17"/>
        <v>*</v>
      </c>
    </row>
    <row r="1125" spans="1:29" x14ac:dyDescent="0.25">
      <c r="A1125" s="36">
        <v>136837</v>
      </c>
      <c r="B1125" s="68" t="s">
        <v>1592</v>
      </c>
      <c r="C1125" s="33">
        <v>1</v>
      </c>
      <c r="D1125" s="32">
        <v>54</v>
      </c>
      <c r="E1125" s="37">
        <v>4</v>
      </c>
      <c r="F1125" s="38" t="str">
        <f>VLOOKUP(tabPontoPed[[#This Row],[GRUPO]],tabGrupos[#Data],2,FALSE)</f>
        <v>EQUIP PROT IND, INST MAT P/ SINAL, CONTR, COMB ...</v>
      </c>
      <c r="G1125" s="32" t="str">
        <f>VLOOKUP(tabPontoPed[[#This Row],[GRUPO]],tabGrupos[#Data],3,FALSE)</f>
        <v>MAN</v>
      </c>
      <c r="H1125" s="33" t="s">
        <v>1311</v>
      </c>
      <c r="I1125" s="80">
        <v>4</v>
      </c>
      <c r="J1125" s="39">
        <v>0</v>
      </c>
      <c r="K1125" s="41">
        <f>tabPontoPed[[#This Row],[QTDMÊS]] * tabPontoPed[[#This Row],[MENSAL]]</f>
        <v>0</v>
      </c>
      <c r="L1125" s="83"/>
      <c r="M1125" s="81"/>
      <c r="N1125" s="34" t="s">
        <v>1009</v>
      </c>
      <c r="O1125" s="76"/>
      <c r="P1125" s="77">
        <v>0</v>
      </c>
      <c r="Q1125" s="57">
        <v>0</v>
      </c>
      <c r="R1125" s="42">
        <v>0</v>
      </c>
      <c r="S1125" s="69" t="str">
        <f>_xlfn.IFNA(IF(VLOOKUP(tabPontoPed[[#This Row],[CÓDIGO]],tabExcluirDoEstoque[#Data],1,FALSE),"sim",""),"")</f>
        <v>sim</v>
      </c>
      <c r="T1125" s="43">
        <f>IF(AND(tabPontoPed[[#This Row],[MENSAL]]&gt;0,tabPontoPed[[#This Row],[CÁLCULO]]&gt;0), ABS( tabPontoPed[[#This Row],[MENSAL]] - tabPontoPed[[#This Row],[CÁLCULO]] ) / tabPontoPed[[#This Row],[MENSAL]], -1 )</f>
        <v>-1</v>
      </c>
      <c r="U1125" s="58">
        <v>0</v>
      </c>
      <c r="V1125" s="35">
        <f>IF(AND(tabPontoPed[[#This Row],[MENSAL]]&gt;0,tabPontoPed[[#This Row],[CÁLCULO]]&gt;0), IF( tabPontoPed[[#This Row],[MENSAL]] - tabPontoPed[[#This Row],[CÁLCULO]] &lt; 0, -1, IF( tabPontoPed[[#This Row],[MENSAL]] - tabPontoPed[[#This Row],[CÁLCULO]] &gt; 0, 1, -8)), -9 )</f>
        <v>-9</v>
      </c>
      <c r="W1125" s="35"/>
      <c r="X1125" s="48" t="s">
        <v>1564</v>
      </c>
      <c r="Y1125" s="53">
        <v>44391.599108796298</v>
      </c>
      <c r="Z1125" s="72">
        <f>tabPontoPed[CÁLC_4M] - tabPontoPed[CÁLCULO]</f>
        <v>0</v>
      </c>
      <c r="AA1125" s="79" t="str">
        <f>IF(tabPontoPed[MENSAL]-tabPontoPed[ATA MENSAL] = 0,"sim","")</f>
        <v>sim</v>
      </c>
      <c r="AB1125" s="79" t="s">
        <v>1614</v>
      </c>
      <c r="AC1125" s="47" t="str">
        <f t="shared" si="17"/>
        <v>*</v>
      </c>
    </row>
    <row r="1126" spans="1:29" x14ac:dyDescent="0.25">
      <c r="A1126" s="36">
        <v>136838</v>
      </c>
      <c r="B1126" s="68" t="s">
        <v>1593</v>
      </c>
      <c r="C1126" s="33">
        <v>1</v>
      </c>
      <c r="D1126" s="32">
        <v>54</v>
      </c>
      <c r="E1126" s="37">
        <v>4</v>
      </c>
      <c r="F1126" s="38" t="str">
        <f>VLOOKUP(tabPontoPed[[#This Row],[GRUPO]],tabGrupos[#Data],2,FALSE)</f>
        <v>EQUIP PROT IND, INST MAT P/ SINAL, CONTR, COMB ...</v>
      </c>
      <c r="G1126" s="32" t="str">
        <f>VLOOKUP(tabPontoPed[[#This Row],[GRUPO]],tabGrupos[#Data],3,FALSE)</f>
        <v>MAN</v>
      </c>
      <c r="H1126" s="33" t="s">
        <v>1311</v>
      </c>
      <c r="I1126" s="80">
        <v>4</v>
      </c>
      <c r="J1126" s="39">
        <v>0</v>
      </c>
      <c r="K1126" s="41">
        <f>tabPontoPed[[#This Row],[QTDMÊS]] * tabPontoPed[[#This Row],[MENSAL]]</f>
        <v>0</v>
      </c>
      <c r="L1126" s="83"/>
      <c r="M1126" s="81"/>
      <c r="N1126" s="34" t="s">
        <v>1009</v>
      </c>
      <c r="O1126" s="76"/>
      <c r="P1126" s="77">
        <v>0</v>
      </c>
      <c r="Q1126" s="57">
        <v>0</v>
      </c>
      <c r="R1126" s="42">
        <v>0</v>
      </c>
      <c r="S1126" s="69" t="str">
        <f>_xlfn.IFNA(IF(VLOOKUP(tabPontoPed[[#This Row],[CÓDIGO]],tabExcluirDoEstoque[#Data],1,FALSE),"sim",""),"")</f>
        <v>sim</v>
      </c>
      <c r="T1126" s="43">
        <f>IF(AND(tabPontoPed[[#This Row],[MENSAL]]&gt;0,tabPontoPed[[#This Row],[CÁLCULO]]&gt;0), ABS( tabPontoPed[[#This Row],[MENSAL]] - tabPontoPed[[#This Row],[CÁLCULO]] ) / tabPontoPed[[#This Row],[MENSAL]], -1 )</f>
        <v>-1</v>
      </c>
      <c r="U1126" s="58">
        <v>0</v>
      </c>
      <c r="V1126" s="35">
        <f>IF(AND(tabPontoPed[[#This Row],[MENSAL]]&gt;0,tabPontoPed[[#This Row],[CÁLCULO]]&gt;0), IF( tabPontoPed[[#This Row],[MENSAL]] - tabPontoPed[[#This Row],[CÁLCULO]] &lt; 0, -1, IF( tabPontoPed[[#This Row],[MENSAL]] - tabPontoPed[[#This Row],[CÁLCULO]] &gt; 0, 1, -8)), -9 )</f>
        <v>-9</v>
      </c>
      <c r="W1126" s="35"/>
      <c r="X1126" s="48" t="s">
        <v>1564</v>
      </c>
      <c r="Y1126" s="53">
        <v>44391.599108796298</v>
      </c>
      <c r="Z1126" s="72">
        <f>tabPontoPed[CÁLC_4M] - tabPontoPed[CÁLCULO]</f>
        <v>0</v>
      </c>
      <c r="AA1126" s="79" t="str">
        <f>IF(tabPontoPed[MENSAL]-tabPontoPed[ATA MENSAL] = 0,"sim","")</f>
        <v>sim</v>
      </c>
      <c r="AB1126" s="79" t="s">
        <v>1614</v>
      </c>
      <c r="AC1126" s="47" t="str">
        <f t="shared" si="17"/>
        <v>*</v>
      </c>
    </row>
    <row r="1127" spans="1:29" x14ac:dyDescent="0.25">
      <c r="A1127" s="36">
        <v>136839</v>
      </c>
      <c r="B1127" s="68" t="s">
        <v>1594</v>
      </c>
      <c r="C1127" s="33">
        <v>1</v>
      </c>
      <c r="D1127" s="32">
        <v>54</v>
      </c>
      <c r="E1127" s="37">
        <v>4</v>
      </c>
      <c r="F1127" s="38" t="str">
        <f>VLOOKUP(tabPontoPed[[#This Row],[GRUPO]],tabGrupos[#Data],2,FALSE)</f>
        <v>EQUIP PROT IND, INST MAT P/ SINAL, CONTR, COMB ...</v>
      </c>
      <c r="G1127" s="32" t="str">
        <f>VLOOKUP(tabPontoPed[[#This Row],[GRUPO]],tabGrupos[#Data],3,FALSE)</f>
        <v>MAN</v>
      </c>
      <c r="H1127" s="33" t="s">
        <v>1311</v>
      </c>
      <c r="I1127" s="80">
        <v>4</v>
      </c>
      <c r="J1127" s="39">
        <v>0</v>
      </c>
      <c r="K1127" s="41">
        <f>tabPontoPed[[#This Row],[QTDMÊS]] * tabPontoPed[[#This Row],[MENSAL]]</f>
        <v>0</v>
      </c>
      <c r="L1127" s="83"/>
      <c r="M1127" s="81"/>
      <c r="N1127" s="34" t="s">
        <v>1009</v>
      </c>
      <c r="O1127" s="76"/>
      <c r="P1127" s="77">
        <v>0</v>
      </c>
      <c r="Q1127" s="57">
        <v>0</v>
      </c>
      <c r="R1127" s="42">
        <v>0</v>
      </c>
      <c r="S1127" s="69" t="str">
        <f>_xlfn.IFNA(IF(VLOOKUP(tabPontoPed[[#This Row],[CÓDIGO]],tabExcluirDoEstoque[#Data],1,FALSE),"sim",""),"")</f>
        <v>sim</v>
      </c>
      <c r="T1127" s="43">
        <f>IF(AND(tabPontoPed[[#This Row],[MENSAL]]&gt;0,tabPontoPed[[#This Row],[CÁLCULO]]&gt;0), ABS( tabPontoPed[[#This Row],[MENSAL]] - tabPontoPed[[#This Row],[CÁLCULO]] ) / tabPontoPed[[#This Row],[MENSAL]], -1 )</f>
        <v>-1</v>
      </c>
      <c r="U1127" s="58">
        <v>0</v>
      </c>
      <c r="V1127" s="35">
        <f>IF(AND(tabPontoPed[[#This Row],[MENSAL]]&gt;0,tabPontoPed[[#This Row],[CÁLCULO]]&gt;0), IF( tabPontoPed[[#This Row],[MENSAL]] - tabPontoPed[[#This Row],[CÁLCULO]] &lt; 0, -1, IF( tabPontoPed[[#This Row],[MENSAL]] - tabPontoPed[[#This Row],[CÁLCULO]] &gt; 0, 1, -8)), -9 )</f>
        <v>-9</v>
      </c>
      <c r="W1127" s="35"/>
      <c r="X1127" s="48" t="s">
        <v>1564</v>
      </c>
      <c r="Y1127" s="53">
        <v>44391.599108796298</v>
      </c>
      <c r="Z1127" s="72">
        <f>tabPontoPed[CÁLC_4M] - tabPontoPed[CÁLCULO]</f>
        <v>0</v>
      </c>
      <c r="AA1127" s="79" t="str">
        <f>IF(tabPontoPed[MENSAL]-tabPontoPed[ATA MENSAL] = 0,"sim","")</f>
        <v>sim</v>
      </c>
      <c r="AB1127" s="79" t="s">
        <v>1614</v>
      </c>
      <c r="AC1127" s="47" t="str">
        <f t="shared" si="17"/>
        <v>*</v>
      </c>
    </row>
    <row r="1128" spans="1:29" x14ac:dyDescent="0.25">
      <c r="A1128" s="36">
        <v>136840</v>
      </c>
      <c r="B1128" s="68" t="s">
        <v>1595</v>
      </c>
      <c r="C1128" s="33">
        <v>1</v>
      </c>
      <c r="D1128" s="32">
        <v>54</v>
      </c>
      <c r="E1128" s="37">
        <v>4</v>
      </c>
      <c r="F1128" s="38" t="str">
        <f>VLOOKUP(tabPontoPed[[#This Row],[GRUPO]],tabGrupos[#Data],2,FALSE)</f>
        <v>EQUIP PROT IND, INST MAT P/ SINAL, CONTR, COMB ...</v>
      </c>
      <c r="G1128" s="32" t="str">
        <f>VLOOKUP(tabPontoPed[[#This Row],[GRUPO]],tabGrupos[#Data],3,FALSE)</f>
        <v>MAN</v>
      </c>
      <c r="H1128" s="33" t="s">
        <v>1311</v>
      </c>
      <c r="I1128" s="80">
        <v>4</v>
      </c>
      <c r="J1128" s="39">
        <v>0</v>
      </c>
      <c r="K1128" s="41">
        <f>tabPontoPed[[#This Row],[QTDMÊS]] * tabPontoPed[[#This Row],[MENSAL]]</f>
        <v>0</v>
      </c>
      <c r="L1128" s="83"/>
      <c r="M1128" s="81"/>
      <c r="N1128" s="34" t="s">
        <v>1009</v>
      </c>
      <c r="O1128" s="76"/>
      <c r="P1128" s="77">
        <v>0</v>
      </c>
      <c r="Q1128" s="57">
        <v>0</v>
      </c>
      <c r="R1128" s="42">
        <v>0</v>
      </c>
      <c r="S1128" s="69" t="str">
        <f>_xlfn.IFNA(IF(VLOOKUP(tabPontoPed[[#This Row],[CÓDIGO]],tabExcluirDoEstoque[#Data],1,FALSE),"sim",""),"")</f>
        <v>sim</v>
      </c>
      <c r="T1128" s="43">
        <f>IF(AND(tabPontoPed[[#This Row],[MENSAL]]&gt;0,tabPontoPed[[#This Row],[CÁLCULO]]&gt;0), ABS( tabPontoPed[[#This Row],[MENSAL]] - tabPontoPed[[#This Row],[CÁLCULO]] ) / tabPontoPed[[#This Row],[MENSAL]], -1 )</f>
        <v>-1</v>
      </c>
      <c r="U1128" s="58">
        <v>0</v>
      </c>
      <c r="V1128" s="35">
        <f>IF(AND(tabPontoPed[[#This Row],[MENSAL]]&gt;0,tabPontoPed[[#This Row],[CÁLCULO]]&gt;0), IF( tabPontoPed[[#This Row],[MENSAL]] - tabPontoPed[[#This Row],[CÁLCULO]] &lt; 0, -1, IF( tabPontoPed[[#This Row],[MENSAL]] - tabPontoPed[[#This Row],[CÁLCULO]] &gt; 0, 1, -8)), -9 )</f>
        <v>-9</v>
      </c>
      <c r="W1128" s="35"/>
      <c r="X1128" s="48" t="s">
        <v>1564</v>
      </c>
      <c r="Y1128" s="53">
        <v>44391.599108796298</v>
      </c>
      <c r="Z1128" s="72">
        <f>tabPontoPed[CÁLC_4M] - tabPontoPed[CÁLCULO]</f>
        <v>0</v>
      </c>
      <c r="AA1128" s="79" t="str">
        <f>IF(tabPontoPed[MENSAL]-tabPontoPed[ATA MENSAL] = 0,"sim","")</f>
        <v>sim</v>
      </c>
      <c r="AB1128" s="79" t="s">
        <v>1614</v>
      </c>
      <c r="AC1128" s="47" t="str">
        <f t="shared" si="17"/>
        <v>*</v>
      </c>
    </row>
    <row r="1129" spans="1:29" x14ac:dyDescent="0.25">
      <c r="A1129" s="36">
        <v>136841</v>
      </c>
      <c r="B1129" s="68" t="s">
        <v>1596</v>
      </c>
      <c r="C1129" s="33">
        <v>1</v>
      </c>
      <c r="D1129" s="32">
        <v>54</v>
      </c>
      <c r="E1129" s="37">
        <v>4</v>
      </c>
      <c r="F1129" s="38" t="str">
        <f>VLOOKUP(tabPontoPed[[#This Row],[GRUPO]],tabGrupos[#Data],2,FALSE)</f>
        <v>EQUIP PROT IND, INST MAT P/ SINAL, CONTR, COMB ...</v>
      </c>
      <c r="G1129" s="32" t="str">
        <f>VLOOKUP(tabPontoPed[[#This Row],[GRUPO]],tabGrupos[#Data],3,FALSE)</f>
        <v>MAN</v>
      </c>
      <c r="H1129" s="33" t="s">
        <v>1311</v>
      </c>
      <c r="I1129" s="80">
        <v>4</v>
      </c>
      <c r="J1129" s="39">
        <v>0</v>
      </c>
      <c r="K1129" s="41">
        <f>tabPontoPed[[#This Row],[QTDMÊS]] * tabPontoPed[[#This Row],[MENSAL]]</f>
        <v>0</v>
      </c>
      <c r="L1129" s="83"/>
      <c r="M1129" s="81"/>
      <c r="N1129" s="34" t="s">
        <v>1009</v>
      </c>
      <c r="O1129" s="76"/>
      <c r="P1129" s="77">
        <v>0</v>
      </c>
      <c r="Q1129" s="57">
        <v>0</v>
      </c>
      <c r="R1129" s="42">
        <v>0</v>
      </c>
      <c r="S1129" s="69" t="str">
        <f>_xlfn.IFNA(IF(VLOOKUP(tabPontoPed[[#This Row],[CÓDIGO]],tabExcluirDoEstoque[#Data],1,FALSE),"sim",""),"")</f>
        <v>sim</v>
      </c>
      <c r="T1129" s="43">
        <f>IF(AND(tabPontoPed[[#This Row],[MENSAL]]&gt;0,tabPontoPed[[#This Row],[CÁLCULO]]&gt;0), ABS( tabPontoPed[[#This Row],[MENSAL]] - tabPontoPed[[#This Row],[CÁLCULO]] ) / tabPontoPed[[#This Row],[MENSAL]], -1 )</f>
        <v>-1</v>
      </c>
      <c r="U1129" s="58">
        <v>0</v>
      </c>
      <c r="V1129" s="35">
        <f>IF(AND(tabPontoPed[[#This Row],[MENSAL]]&gt;0,tabPontoPed[[#This Row],[CÁLCULO]]&gt;0), IF( tabPontoPed[[#This Row],[MENSAL]] - tabPontoPed[[#This Row],[CÁLCULO]] &lt; 0, -1, IF( tabPontoPed[[#This Row],[MENSAL]] - tabPontoPed[[#This Row],[CÁLCULO]] &gt; 0, 1, -8)), -9 )</f>
        <v>-9</v>
      </c>
      <c r="W1129" s="35"/>
      <c r="X1129" s="48" t="s">
        <v>1564</v>
      </c>
      <c r="Y1129" s="53">
        <v>44391.599108796298</v>
      </c>
      <c r="Z1129" s="72">
        <f>tabPontoPed[CÁLC_4M] - tabPontoPed[CÁLCULO]</f>
        <v>0</v>
      </c>
      <c r="AA1129" s="79" t="str">
        <f>IF(tabPontoPed[MENSAL]-tabPontoPed[ATA MENSAL] = 0,"sim","")</f>
        <v>sim</v>
      </c>
      <c r="AB1129" s="79" t="s">
        <v>1614</v>
      </c>
      <c r="AC1129" s="47" t="str">
        <f t="shared" si="17"/>
        <v>*</v>
      </c>
    </row>
    <row r="1130" spans="1:29" x14ac:dyDescent="0.25">
      <c r="A1130" s="36">
        <v>136842</v>
      </c>
      <c r="B1130" s="68" t="s">
        <v>1597</v>
      </c>
      <c r="C1130" s="33">
        <v>1</v>
      </c>
      <c r="D1130" s="32">
        <v>54</v>
      </c>
      <c r="E1130" s="37">
        <v>4</v>
      </c>
      <c r="F1130" s="38" t="str">
        <f>VLOOKUP(tabPontoPed[[#This Row],[GRUPO]],tabGrupos[#Data],2,FALSE)</f>
        <v>EQUIP PROT IND, INST MAT P/ SINAL, CONTR, COMB ...</v>
      </c>
      <c r="G1130" s="32" t="str">
        <f>VLOOKUP(tabPontoPed[[#This Row],[GRUPO]],tabGrupos[#Data],3,FALSE)</f>
        <v>MAN</v>
      </c>
      <c r="H1130" s="33" t="s">
        <v>1311</v>
      </c>
      <c r="I1130" s="80">
        <v>4</v>
      </c>
      <c r="J1130" s="39">
        <v>0</v>
      </c>
      <c r="K1130" s="41">
        <f>tabPontoPed[[#This Row],[QTDMÊS]] * tabPontoPed[[#This Row],[MENSAL]]</f>
        <v>0</v>
      </c>
      <c r="L1130" s="83"/>
      <c r="M1130" s="81"/>
      <c r="N1130" s="34" t="s">
        <v>1009</v>
      </c>
      <c r="O1130" s="76"/>
      <c r="P1130" s="77">
        <v>0</v>
      </c>
      <c r="Q1130" s="57">
        <v>0</v>
      </c>
      <c r="R1130" s="42">
        <v>0</v>
      </c>
      <c r="S1130" s="69" t="str">
        <f>_xlfn.IFNA(IF(VLOOKUP(tabPontoPed[[#This Row],[CÓDIGO]],tabExcluirDoEstoque[#Data],1,FALSE),"sim",""),"")</f>
        <v>sim</v>
      </c>
      <c r="T1130" s="43">
        <f>IF(AND(tabPontoPed[[#This Row],[MENSAL]]&gt;0,tabPontoPed[[#This Row],[CÁLCULO]]&gt;0), ABS( tabPontoPed[[#This Row],[MENSAL]] - tabPontoPed[[#This Row],[CÁLCULO]] ) / tabPontoPed[[#This Row],[MENSAL]], -1 )</f>
        <v>-1</v>
      </c>
      <c r="U1130" s="58">
        <v>0</v>
      </c>
      <c r="V1130" s="35">
        <f>IF(AND(tabPontoPed[[#This Row],[MENSAL]]&gt;0,tabPontoPed[[#This Row],[CÁLCULO]]&gt;0), IF( tabPontoPed[[#This Row],[MENSAL]] - tabPontoPed[[#This Row],[CÁLCULO]] &lt; 0, -1, IF( tabPontoPed[[#This Row],[MENSAL]] - tabPontoPed[[#This Row],[CÁLCULO]] &gt; 0, 1, -8)), -9 )</f>
        <v>-9</v>
      </c>
      <c r="W1130" s="35"/>
      <c r="X1130" s="48" t="s">
        <v>1564</v>
      </c>
      <c r="Y1130" s="53">
        <v>44391.599108796298</v>
      </c>
      <c r="Z1130" s="72">
        <f>tabPontoPed[CÁLC_4M] - tabPontoPed[CÁLCULO]</f>
        <v>0</v>
      </c>
      <c r="AA1130" s="79" t="str">
        <f>IF(tabPontoPed[MENSAL]-tabPontoPed[ATA MENSAL] = 0,"sim","")</f>
        <v>sim</v>
      </c>
      <c r="AB1130" s="79" t="s">
        <v>1614</v>
      </c>
      <c r="AC1130" s="47" t="str">
        <f t="shared" si="17"/>
        <v>*</v>
      </c>
    </row>
    <row r="1131" spans="1:29" x14ac:dyDescent="0.25">
      <c r="A1131" s="36">
        <v>136843</v>
      </c>
      <c r="B1131" s="68" t="s">
        <v>1598</v>
      </c>
      <c r="C1131" s="33">
        <v>1</v>
      </c>
      <c r="D1131" s="32">
        <v>54</v>
      </c>
      <c r="E1131" s="37">
        <v>4</v>
      </c>
      <c r="F1131" s="38" t="str">
        <f>VLOOKUP(tabPontoPed[[#This Row],[GRUPO]],tabGrupos[#Data],2,FALSE)</f>
        <v>EQUIP PROT IND, INST MAT P/ SINAL, CONTR, COMB ...</v>
      </c>
      <c r="G1131" s="32" t="str">
        <f>VLOOKUP(tabPontoPed[[#This Row],[GRUPO]],tabGrupos[#Data],3,FALSE)</f>
        <v>MAN</v>
      </c>
      <c r="H1131" s="33" t="s">
        <v>1311</v>
      </c>
      <c r="I1131" s="80">
        <v>4</v>
      </c>
      <c r="J1131" s="39">
        <v>0</v>
      </c>
      <c r="K1131" s="41">
        <f>tabPontoPed[[#This Row],[QTDMÊS]] * tabPontoPed[[#This Row],[MENSAL]]</f>
        <v>0</v>
      </c>
      <c r="L1131" s="83"/>
      <c r="M1131" s="81"/>
      <c r="N1131" s="34" t="s">
        <v>1009</v>
      </c>
      <c r="O1131" s="76"/>
      <c r="P1131" s="77">
        <v>0</v>
      </c>
      <c r="Q1131" s="57">
        <v>0</v>
      </c>
      <c r="R1131" s="42">
        <v>0</v>
      </c>
      <c r="S1131" s="69" t="str">
        <f>_xlfn.IFNA(IF(VLOOKUP(tabPontoPed[[#This Row],[CÓDIGO]],tabExcluirDoEstoque[#Data],1,FALSE),"sim",""),"")</f>
        <v>sim</v>
      </c>
      <c r="T1131" s="43">
        <f>IF(AND(tabPontoPed[[#This Row],[MENSAL]]&gt;0,tabPontoPed[[#This Row],[CÁLCULO]]&gt;0), ABS( tabPontoPed[[#This Row],[MENSAL]] - tabPontoPed[[#This Row],[CÁLCULO]] ) / tabPontoPed[[#This Row],[MENSAL]], -1 )</f>
        <v>-1</v>
      </c>
      <c r="U1131" s="58">
        <v>0</v>
      </c>
      <c r="V1131" s="35">
        <f>IF(AND(tabPontoPed[[#This Row],[MENSAL]]&gt;0,tabPontoPed[[#This Row],[CÁLCULO]]&gt;0), IF( tabPontoPed[[#This Row],[MENSAL]] - tabPontoPed[[#This Row],[CÁLCULO]] &lt; 0, -1, IF( tabPontoPed[[#This Row],[MENSAL]] - tabPontoPed[[#This Row],[CÁLCULO]] &gt; 0, 1, -8)), -9 )</f>
        <v>-9</v>
      </c>
      <c r="W1131" s="35"/>
      <c r="X1131" s="48" t="s">
        <v>1564</v>
      </c>
      <c r="Y1131" s="53">
        <v>44391.599108796298</v>
      </c>
      <c r="Z1131" s="72">
        <f>tabPontoPed[CÁLC_4M] - tabPontoPed[CÁLCULO]</f>
        <v>0</v>
      </c>
      <c r="AA1131" s="79" t="str">
        <f>IF(tabPontoPed[MENSAL]-tabPontoPed[ATA MENSAL] = 0,"sim","")</f>
        <v>sim</v>
      </c>
      <c r="AB1131" s="79" t="s">
        <v>1614</v>
      </c>
      <c r="AC1131" s="47" t="str">
        <f t="shared" si="17"/>
        <v>*</v>
      </c>
    </row>
    <row r="1132" spans="1:29" x14ac:dyDescent="0.25">
      <c r="A1132" s="36">
        <v>136820</v>
      </c>
      <c r="B1132" s="68" t="s">
        <v>1584</v>
      </c>
      <c r="C1132" s="33">
        <v>1</v>
      </c>
      <c r="D1132" s="32">
        <v>54</v>
      </c>
      <c r="E1132" s="37">
        <v>4</v>
      </c>
      <c r="F1132" s="38" t="str">
        <f>VLOOKUP(tabPontoPed[[#This Row],[GRUPO]],tabGrupos[#Data],2,FALSE)</f>
        <v>EQUIP PROT IND, INST MAT P/ SINAL, CONTR, COMB ...</v>
      </c>
      <c r="G1132" s="32" t="str">
        <f>VLOOKUP(tabPontoPed[[#This Row],[GRUPO]],tabGrupos[#Data],3,FALSE)</f>
        <v>MAN</v>
      </c>
      <c r="H1132" s="33" t="s">
        <v>1311</v>
      </c>
      <c r="I1132" s="80">
        <v>4</v>
      </c>
      <c r="J1132" s="39">
        <v>0</v>
      </c>
      <c r="K1132" s="41">
        <f>tabPontoPed[[#This Row],[QTDMÊS]] * tabPontoPed[[#This Row],[MENSAL]]</f>
        <v>0</v>
      </c>
      <c r="L1132" s="83"/>
      <c r="M1132" s="81"/>
      <c r="N1132" s="34" t="s">
        <v>1009</v>
      </c>
      <c r="O1132" s="76"/>
      <c r="P1132" s="77">
        <v>0</v>
      </c>
      <c r="Q1132" s="57">
        <v>0</v>
      </c>
      <c r="R1132" s="42">
        <v>0</v>
      </c>
      <c r="S1132" s="69" t="str">
        <f>_xlfn.IFNA(IF(VLOOKUP(tabPontoPed[[#This Row],[CÓDIGO]],tabExcluirDoEstoque[#Data],1,FALSE),"sim",""),"")</f>
        <v>sim</v>
      </c>
      <c r="T1132" s="43">
        <f>IF(AND(tabPontoPed[[#This Row],[MENSAL]]&gt;0,tabPontoPed[[#This Row],[CÁLCULO]]&gt;0), ABS( tabPontoPed[[#This Row],[MENSAL]] - tabPontoPed[[#This Row],[CÁLCULO]] ) / tabPontoPed[[#This Row],[MENSAL]], -1 )</f>
        <v>-1</v>
      </c>
      <c r="U1132" s="58">
        <v>0</v>
      </c>
      <c r="V1132" s="35">
        <f>IF(AND(tabPontoPed[[#This Row],[MENSAL]]&gt;0,tabPontoPed[[#This Row],[CÁLCULO]]&gt;0), IF( tabPontoPed[[#This Row],[MENSAL]] - tabPontoPed[[#This Row],[CÁLCULO]] &lt; 0, -1, IF( tabPontoPed[[#This Row],[MENSAL]] - tabPontoPed[[#This Row],[CÁLCULO]] &gt; 0, 1, -8)), -9 )</f>
        <v>-9</v>
      </c>
      <c r="W1132" s="35"/>
      <c r="X1132" s="48" t="s">
        <v>1564</v>
      </c>
      <c r="Y1132" s="53">
        <v>44391.599108796298</v>
      </c>
      <c r="Z1132" s="72">
        <f>tabPontoPed[CÁLC_4M] - tabPontoPed[CÁLCULO]</f>
        <v>0</v>
      </c>
      <c r="AA1132" s="79" t="str">
        <f>IF(tabPontoPed[MENSAL]-tabPontoPed[ATA MENSAL] = 0,"sim","")</f>
        <v>sim</v>
      </c>
      <c r="AB1132" s="79" t="s">
        <v>1614</v>
      </c>
      <c r="AC1132" s="47" t="str">
        <f t="shared" si="17"/>
        <v>*</v>
      </c>
    </row>
    <row r="1133" spans="1:29" x14ac:dyDescent="0.25">
      <c r="A1133" s="36">
        <v>136821</v>
      </c>
      <c r="B1133" s="68" t="s">
        <v>1585</v>
      </c>
      <c r="C1133" s="33">
        <v>1</v>
      </c>
      <c r="D1133" s="32">
        <v>54</v>
      </c>
      <c r="E1133" s="37">
        <v>4</v>
      </c>
      <c r="F1133" s="38" t="str">
        <f>VLOOKUP(tabPontoPed[[#This Row],[GRUPO]],tabGrupos[#Data],2,FALSE)</f>
        <v>EQUIP PROT IND, INST MAT P/ SINAL, CONTR, COMB ...</v>
      </c>
      <c r="G1133" s="32" t="str">
        <f>VLOOKUP(tabPontoPed[[#This Row],[GRUPO]],tabGrupos[#Data],3,FALSE)</f>
        <v>MAN</v>
      </c>
      <c r="H1133" s="33" t="s">
        <v>1311</v>
      </c>
      <c r="I1133" s="80">
        <v>4</v>
      </c>
      <c r="J1133" s="39">
        <v>0</v>
      </c>
      <c r="K1133" s="41">
        <f>tabPontoPed[[#This Row],[QTDMÊS]] * tabPontoPed[[#This Row],[MENSAL]]</f>
        <v>0</v>
      </c>
      <c r="L1133" s="83"/>
      <c r="M1133" s="81"/>
      <c r="N1133" s="34" t="s">
        <v>1009</v>
      </c>
      <c r="O1133" s="76"/>
      <c r="P1133" s="77">
        <v>0</v>
      </c>
      <c r="Q1133" s="57">
        <v>1</v>
      </c>
      <c r="R1133" s="42">
        <v>1</v>
      </c>
      <c r="S1133" s="69" t="str">
        <f>_xlfn.IFNA(IF(VLOOKUP(tabPontoPed[[#This Row],[CÓDIGO]],tabExcluirDoEstoque[#Data],1,FALSE),"sim",""),"")</f>
        <v>sim</v>
      </c>
      <c r="T1133" s="43">
        <f>IF(AND(tabPontoPed[[#This Row],[MENSAL]]&gt;0,tabPontoPed[[#This Row],[CÁLCULO]]&gt;0), ABS( tabPontoPed[[#This Row],[MENSAL]] - tabPontoPed[[#This Row],[CÁLCULO]] ) / tabPontoPed[[#This Row],[MENSAL]], -1 )</f>
        <v>-1</v>
      </c>
      <c r="U1133" s="58">
        <v>1</v>
      </c>
      <c r="V1133" s="35">
        <f>IF(AND(tabPontoPed[[#This Row],[MENSAL]]&gt;0,tabPontoPed[[#This Row],[CÁLCULO]]&gt;0), IF( tabPontoPed[[#This Row],[MENSAL]] - tabPontoPed[[#This Row],[CÁLCULO]] &lt; 0, -1, IF( tabPontoPed[[#This Row],[MENSAL]] - tabPontoPed[[#This Row],[CÁLCULO]] &gt; 0, 1, -8)), -9 )</f>
        <v>-9</v>
      </c>
      <c r="W1133" s="35"/>
      <c r="X1133" s="48" t="s">
        <v>1564</v>
      </c>
      <c r="Y1133" s="53">
        <v>44391.599108796298</v>
      </c>
      <c r="Z1133" s="72">
        <f>tabPontoPed[CÁLC_4M] - tabPontoPed[CÁLCULO]</f>
        <v>0</v>
      </c>
      <c r="AA1133" s="79" t="str">
        <f>IF(tabPontoPed[MENSAL]-tabPontoPed[ATA MENSAL] = 0,"sim","")</f>
        <v>sim</v>
      </c>
      <c r="AB1133" s="79" t="s">
        <v>1614</v>
      </c>
      <c r="AC1133" s="47" t="str">
        <f t="shared" si="17"/>
        <v>*</v>
      </c>
    </row>
    <row r="1134" spans="1:29" x14ac:dyDescent="0.25">
      <c r="A1134" s="36">
        <v>136822</v>
      </c>
      <c r="B1134" s="68" t="s">
        <v>1586</v>
      </c>
      <c r="C1134" s="33">
        <v>1</v>
      </c>
      <c r="D1134" s="32">
        <v>54</v>
      </c>
      <c r="E1134" s="37">
        <v>4</v>
      </c>
      <c r="F1134" s="38" t="str">
        <f>VLOOKUP(tabPontoPed[[#This Row],[GRUPO]],tabGrupos[#Data],2,FALSE)</f>
        <v>EQUIP PROT IND, INST MAT P/ SINAL, CONTR, COMB ...</v>
      </c>
      <c r="G1134" s="32" t="str">
        <f>VLOOKUP(tabPontoPed[[#This Row],[GRUPO]],tabGrupos[#Data],3,FALSE)</f>
        <v>MAN</v>
      </c>
      <c r="H1134" s="33" t="s">
        <v>1311</v>
      </c>
      <c r="I1134" s="80">
        <v>4</v>
      </c>
      <c r="J1134" s="39">
        <v>0</v>
      </c>
      <c r="K1134" s="41">
        <f>tabPontoPed[[#This Row],[QTDMÊS]] * tabPontoPed[[#This Row],[MENSAL]]</f>
        <v>0</v>
      </c>
      <c r="L1134" s="83"/>
      <c r="M1134" s="81"/>
      <c r="N1134" s="34" t="s">
        <v>1009</v>
      </c>
      <c r="O1134" s="76"/>
      <c r="P1134" s="77">
        <v>0</v>
      </c>
      <c r="Q1134" s="57">
        <v>0</v>
      </c>
      <c r="R1134" s="42">
        <v>0</v>
      </c>
      <c r="S1134" s="69" t="str">
        <f>_xlfn.IFNA(IF(VLOOKUP(tabPontoPed[[#This Row],[CÓDIGO]],tabExcluirDoEstoque[#Data],1,FALSE),"sim",""),"")</f>
        <v>sim</v>
      </c>
      <c r="T1134" s="43">
        <f>IF(AND(tabPontoPed[[#This Row],[MENSAL]]&gt;0,tabPontoPed[[#This Row],[CÁLCULO]]&gt;0), ABS( tabPontoPed[[#This Row],[MENSAL]] - tabPontoPed[[#This Row],[CÁLCULO]] ) / tabPontoPed[[#This Row],[MENSAL]], -1 )</f>
        <v>-1</v>
      </c>
      <c r="U1134" s="58">
        <v>0</v>
      </c>
      <c r="V1134" s="35">
        <f>IF(AND(tabPontoPed[[#This Row],[MENSAL]]&gt;0,tabPontoPed[[#This Row],[CÁLCULO]]&gt;0), IF( tabPontoPed[[#This Row],[MENSAL]] - tabPontoPed[[#This Row],[CÁLCULO]] &lt; 0, -1, IF( tabPontoPed[[#This Row],[MENSAL]] - tabPontoPed[[#This Row],[CÁLCULO]] &gt; 0, 1, -8)), -9 )</f>
        <v>-9</v>
      </c>
      <c r="W1134" s="35"/>
      <c r="X1134" s="48" t="s">
        <v>1564</v>
      </c>
      <c r="Y1134" s="53">
        <v>44391.599108796298</v>
      </c>
      <c r="Z1134" s="72">
        <f>tabPontoPed[CÁLC_4M] - tabPontoPed[CÁLCULO]</f>
        <v>0</v>
      </c>
      <c r="AA1134" s="79" t="str">
        <f>IF(tabPontoPed[MENSAL]-tabPontoPed[ATA MENSAL] = 0,"sim","")</f>
        <v>sim</v>
      </c>
      <c r="AB1134" s="79" t="s">
        <v>1614</v>
      </c>
      <c r="AC1134" s="47" t="str">
        <f t="shared" si="17"/>
        <v>*</v>
      </c>
    </row>
    <row r="1135" spans="1:29" x14ac:dyDescent="0.25">
      <c r="A1135" s="36">
        <v>135012</v>
      </c>
      <c r="B1135" s="68" t="s">
        <v>1408</v>
      </c>
      <c r="C1135" s="33"/>
      <c r="D1135" s="32">
        <v>54</v>
      </c>
      <c r="E1135" s="37">
        <v>4</v>
      </c>
      <c r="F1135" s="38" t="str">
        <f>VLOOKUP(tabPontoPed[[#This Row],[GRUPO]],tabGrupos[#Data],2,FALSE)</f>
        <v>EQUIP PROT IND, INST MAT P/ SINAL, CONTR, COMB ...</v>
      </c>
      <c r="G1135" s="32" t="str">
        <f>VLOOKUP(tabPontoPed[[#This Row],[GRUPO]],tabGrupos[#Data],3,FALSE)</f>
        <v>MAN</v>
      </c>
      <c r="H1135" s="33" t="s">
        <v>1311</v>
      </c>
      <c r="I1135" s="80">
        <v>4</v>
      </c>
      <c r="J1135" s="39">
        <v>0</v>
      </c>
      <c r="K1135" s="41">
        <f>tabPontoPed[[#This Row],[QTDMÊS]] * tabPontoPed[[#This Row],[MENSAL]]</f>
        <v>0</v>
      </c>
      <c r="L1135" s="83"/>
      <c r="M1135" s="81"/>
      <c r="N1135" s="34" t="s">
        <v>1009</v>
      </c>
      <c r="O1135" s="76" t="s">
        <v>1476</v>
      </c>
      <c r="P1135" s="77">
        <v>0</v>
      </c>
      <c r="Q1135" s="57">
        <v>0</v>
      </c>
      <c r="R1135" s="42">
        <v>0</v>
      </c>
      <c r="S1135" s="69" t="str">
        <f>_xlfn.IFNA(IF(VLOOKUP(tabPontoPed[[#This Row],[CÓDIGO]],tabExcluirDoEstoque[#Data],1,FALSE),"sim",""),"")</f>
        <v>sim</v>
      </c>
      <c r="T1135" s="43">
        <f>IF(AND(tabPontoPed[[#This Row],[MENSAL]]&gt;0,tabPontoPed[[#This Row],[CÁLCULO]]&gt;0), ABS( tabPontoPed[[#This Row],[MENSAL]] - tabPontoPed[[#This Row],[CÁLCULO]] ) / tabPontoPed[[#This Row],[MENSAL]], -1 )</f>
        <v>-1</v>
      </c>
      <c r="U1135" s="58">
        <v>0</v>
      </c>
      <c r="V1135" s="35">
        <f>IF(AND(tabPontoPed[[#This Row],[MENSAL]]&gt;0,tabPontoPed[[#This Row],[CÁLCULO]]&gt;0), IF( tabPontoPed[[#This Row],[MENSAL]] - tabPontoPed[[#This Row],[CÁLCULO]] &lt; 0, -1, IF( tabPontoPed[[#This Row],[MENSAL]] - tabPontoPed[[#This Row],[CÁLCULO]] &gt; 0, 1, -8)), -9 )</f>
        <v>-9</v>
      </c>
      <c r="W1135" s="35"/>
      <c r="X1135" s="49" t="s">
        <v>1564</v>
      </c>
      <c r="Y1135" s="51">
        <v>44391.599108796298</v>
      </c>
      <c r="Z1135" s="72">
        <f>tabPontoPed[CÁLC_4M] - tabPontoPed[CÁLCULO]</f>
        <v>0</v>
      </c>
      <c r="AA1135" s="79" t="str">
        <f>IF(tabPontoPed[MENSAL]-tabPontoPed[ATA MENSAL] = 0,"sim","")</f>
        <v>sim</v>
      </c>
      <c r="AB1135" s="79" t="s">
        <v>1614</v>
      </c>
      <c r="AC1135" s="47" t="str">
        <f t="shared" si="17"/>
        <v>*</v>
      </c>
    </row>
    <row r="1136" spans="1:29" x14ac:dyDescent="0.25">
      <c r="A1136" s="36">
        <v>135016</v>
      </c>
      <c r="B1136" s="68" t="s">
        <v>1410</v>
      </c>
      <c r="C1136" s="33"/>
      <c r="D1136" s="32">
        <v>54</v>
      </c>
      <c r="E1136" s="37">
        <v>4</v>
      </c>
      <c r="F1136" s="38" t="str">
        <f>VLOOKUP(tabPontoPed[[#This Row],[GRUPO]],tabGrupos[#Data],2,FALSE)</f>
        <v>EQUIP PROT IND, INST MAT P/ SINAL, CONTR, COMB ...</v>
      </c>
      <c r="G1136" s="32" t="str">
        <f>VLOOKUP(tabPontoPed[[#This Row],[GRUPO]],tabGrupos[#Data],3,FALSE)</f>
        <v>MAN</v>
      </c>
      <c r="H1136" s="33" t="s">
        <v>1311</v>
      </c>
      <c r="I1136" s="80">
        <v>4</v>
      </c>
      <c r="J1136" s="39">
        <v>0</v>
      </c>
      <c r="K1136" s="41">
        <f>tabPontoPed[[#This Row],[QTDMÊS]] * tabPontoPed[[#This Row],[MENSAL]]</f>
        <v>0</v>
      </c>
      <c r="L1136" s="83"/>
      <c r="M1136" s="81"/>
      <c r="N1136" s="34" t="s">
        <v>1009</v>
      </c>
      <c r="O1136" s="76" t="s">
        <v>1476</v>
      </c>
      <c r="P1136" s="77">
        <v>0</v>
      </c>
      <c r="Q1136" s="57">
        <v>0</v>
      </c>
      <c r="R1136" s="42">
        <v>1</v>
      </c>
      <c r="S1136" s="69" t="str">
        <f>_xlfn.IFNA(IF(VLOOKUP(tabPontoPed[[#This Row],[CÓDIGO]],tabExcluirDoEstoque[#Data],1,FALSE),"sim",""),"")</f>
        <v>sim</v>
      </c>
      <c r="T1136" s="43">
        <f>IF(AND(tabPontoPed[[#This Row],[MENSAL]]&gt;0,tabPontoPed[[#This Row],[CÁLCULO]]&gt;0), ABS( tabPontoPed[[#This Row],[MENSAL]] - tabPontoPed[[#This Row],[CÁLCULO]] ) / tabPontoPed[[#This Row],[MENSAL]], -1 )</f>
        <v>-1</v>
      </c>
      <c r="U1136" s="58">
        <v>0</v>
      </c>
      <c r="V1136" s="35">
        <f>IF(AND(tabPontoPed[[#This Row],[MENSAL]]&gt;0,tabPontoPed[[#This Row],[CÁLCULO]]&gt;0), IF( tabPontoPed[[#This Row],[MENSAL]] - tabPontoPed[[#This Row],[CÁLCULO]] &lt; 0, -1, IF( tabPontoPed[[#This Row],[MENSAL]] - tabPontoPed[[#This Row],[CÁLCULO]] &gt; 0, 1, -8)), -9 )</f>
        <v>-9</v>
      </c>
      <c r="W1136" s="35"/>
      <c r="X1136" s="49" t="s">
        <v>1564</v>
      </c>
      <c r="Y1136" s="51">
        <v>44391.599108796298</v>
      </c>
      <c r="Z1136" s="72">
        <f>tabPontoPed[CÁLC_4M] - tabPontoPed[CÁLCULO]</f>
        <v>-1</v>
      </c>
      <c r="AA1136" s="79" t="str">
        <f>IF(tabPontoPed[MENSAL]-tabPontoPed[ATA MENSAL] = 0,"sim","")</f>
        <v>sim</v>
      </c>
      <c r="AB1136" s="79" t="s">
        <v>1614</v>
      </c>
      <c r="AC1136" s="47" t="str">
        <f t="shared" si="17"/>
        <v>*</v>
      </c>
    </row>
    <row r="1137" spans="1:29" x14ac:dyDescent="0.25">
      <c r="A1137" s="36">
        <v>105810</v>
      </c>
      <c r="B1137" s="68" t="s">
        <v>1407</v>
      </c>
      <c r="C1137" s="33"/>
      <c r="D1137" s="32">
        <v>54</v>
      </c>
      <c r="E1137" s="37">
        <v>4</v>
      </c>
      <c r="F1137" s="38" t="str">
        <f>VLOOKUP(tabPontoPed[[#This Row],[GRUPO]],tabGrupos[#Data],2,FALSE)</f>
        <v>EQUIP PROT IND, INST MAT P/ SINAL, CONTR, COMB ...</v>
      </c>
      <c r="G1137" s="32" t="str">
        <f>VLOOKUP(tabPontoPed[[#This Row],[GRUPO]],tabGrupos[#Data],3,FALSE)</f>
        <v>MAN</v>
      </c>
      <c r="H1137" s="33" t="s">
        <v>1311</v>
      </c>
      <c r="I1137" s="80">
        <v>4</v>
      </c>
      <c r="J1137" s="39">
        <v>0</v>
      </c>
      <c r="K1137" s="41">
        <f>tabPontoPed[[#This Row],[QTDMÊS]] * tabPontoPed[[#This Row],[MENSAL]]</f>
        <v>0</v>
      </c>
      <c r="L1137" s="83"/>
      <c r="M1137" s="81"/>
      <c r="N1137" s="34" t="s">
        <v>1010</v>
      </c>
      <c r="O1137" s="76" t="s">
        <v>1424</v>
      </c>
      <c r="P1137" s="77"/>
      <c r="Q1137" s="57">
        <v>0</v>
      </c>
      <c r="R1137" s="42">
        <v>0</v>
      </c>
      <c r="S1137" s="69" t="str">
        <f>_xlfn.IFNA(IF(VLOOKUP(tabPontoPed[[#This Row],[CÓDIGO]],tabExcluirDoEstoque[#Data],1,FALSE),"sim",""),"")</f>
        <v>sim</v>
      </c>
      <c r="T1137" s="43">
        <f>IF(AND(tabPontoPed[[#This Row],[MENSAL]]&gt;0,tabPontoPed[[#This Row],[CÁLCULO]]&gt;0), ABS( tabPontoPed[[#This Row],[MENSAL]] - tabPontoPed[[#This Row],[CÁLCULO]] ) / tabPontoPed[[#This Row],[MENSAL]], -1 )</f>
        <v>-1</v>
      </c>
      <c r="U1137" s="58">
        <v>0</v>
      </c>
      <c r="V1137" s="35">
        <f>IF(AND(tabPontoPed[[#This Row],[MENSAL]]&gt;0,tabPontoPed[[#This Row],[CÁLCULO]]&gt;0), IF( tabPontoPed[[#This Row],[MENSAL]] - tabPontoPed[[#This Row],[CÁLCULO]] &lt; 0, -1, IF( tabPontoPed[[#This Row],[MENSAL]] - tabPontoPed[[#This Row],[CÁLCULO]] &gt; 0, 1, -8)), -9 )</f>
        <v>-9</v>
      </c>
      <c r="W1137" s="35"/>
      <c r="X1137" s="49" t="s">
        <v>1564</v>
      </c>
      <c r="Y1137" s="51">
        <v>44391.599108796298</v>
      </c>
      <c r="Z1137" s="72">
        <f>tabPontoPed[CÁLC_4M] - tabPontoPed[CÁLCULO]</f>
        <v>0</v>
      </c>
      <c r="AA1137" s="79" t="str">
        <f>IF(tabPontoPed[MENSAL]-tabPontoPed[ATA MENSAL] = 0,"sim","")</f>
        <v>sim</v>
      </c>
      <c r="AB1137" s="79" t="s">
        <v>1614</v>
      </c>
      <c r="AC1137" s="47" t="str">
        <f t="shared" si="17"/>
        <v>*</v>
      </c>
    </row>
    <row r="1138" spans="1:29" x14ac:dyDescent="0.25">
      <c r="A1138" s="36">
        <v>130564</v>
      </c>
      <c r="B1138" s="68" t="s">
        <v>591</v>
      </c>
      <c r="C1138" s="33" t="s">
        <v>1317</v>
      </c>
      <c r="D1138" s="32">
        <v>54</v>
      </c>
      <c r="E1138" s="37">
        <v>4</v>
      </c>
      <c r="F1138" s="38" t="str">
        <f>VLOOKUP(tabPontoPed[[#This Row],[GRUPO]],tabGrupos[#Data],2,FALSE)</f>
        <v>EQUIP PROT IND, INST MAT P/ SINAL, CONTR, COMB ...</v>
      </c>
      <c r="G1138" s="32" t="str">
        <f>VLOOKUP(tabPontoPed[[#This Row],[GRUPO]],tabGrupos[#Data],3,FALSE)</f>
        <v>MAN</v>
      </c>
      <c r="H1138" s="33" t="s">
        <v>1311</v>
      </c>
      <c r="I1138" s="80">
        <v>4</v>
      </c>
      <c r="J1138" s="39"/>
      <c r="K1138" s="41">
        <f>tabPontoPed[[#This Row],[QTDMÊS]] * tabPontoPed[[#This Row],[MENSAL]]</f>
        <v>0</v>
      </c>
      <c r="L1138" s="83"/>
      <c r="M1138" s="81"/>
      <c r="N1138" s="34" t="s">
        <v>1009</v>
      </c>
      <c r="O1138" s="76"/>
      <c r="P1138" s="77"/>
      <c r="Q1138" s="57">
        <v>1</v>
      </c>
      <c r="R1138" s="42">
        <v>1</v>
      </c>
      <c r="S1138" s="69" t="str">
        <f>_xlfn.IFNA(IF(VLOOKUP(tabPontoPed[[#This Row],[CÓDIGO]],tabExcluirDoEstoque[#Data],1,FALSE),"sim",""),"")</f>
        <v>sim</v>
      </c>
      <c r="T1138" s="43">
        <f>IF(AND(tabPontoPed[[#This Row],[MENSAL]]&gt;0,tabPontoPed[[#This Row],[CÁLCULO]]&gt;0), ABS( tabPontoPed[[#This Row],[MENSAL]] - tabPontoPed[[#This Row],[CÁLCULO]] ) / tabPontoPed[[#This Row],[MENSAL]], -1 )</f>
        <v>-1</v>
      </c>
      <c r="U1138" s="58">
        <v>4</v>
      </c>
      <c r="V1138" s="35">
        <f>IF(AND(tabPontoPed[[#This Row],[MENSAL]]&gt;0,tabPontoPed[[#This Row],[CÁLCULO]]&gt;0), IF( tabPontoPed[[#This Row],[MENSAL]] - tabPontoPed[[#This Row],[CÁLCULO]] &lt; 0, -1, IF( tabPontoPed[[#This Row],[MENSAL]] - tabPontoPed[[#This Row],[CÁLCULO]] &gt; 0, 1, -8)), -9 )</f>
        <v>-9</v>
      </c>
      <c r="W1138" s="35"/>
      <c r="X1138" s="49" t="s">
        <v>1564</v>
      </c>
      <c r="Y1138" s="51">
        <v>44391.599108796298</v>
      </c>
      <c r="Z1138" s="72">
        <f>tabPontoPed[CÁLC_4M] - tabPontoPed[CÁLCULO]</f>
        <v>0</v>
      </c>
      <c r="AA1138" s="79" t="str">
        <f>IF(tabPontoPed[MENSAL]-tabPontoPed[ATA MENSAL] = 0,"sim","")</f>
        <v>sim</v>
      </c>
      <c r="AB1138" s="79" t="s">
        <v>1614</v>
      </c>
      <c r="AC1138" s="47" t="str">
        <f t="shared" si="17"/>
        <v>*</v>
      </c>
    </row>
    <row r="1139" spans="1:29" x14ac:dyDescent="0.25">
      <c r="A1139" s="36">
        <v>42681</v>
      </c>
      <c r="B1139" s="68" t="s">
        <v>572</v>
      </c>
      <c r="C1139" s="33" t="s">
        <v>1317</v>
      </c>
      <c r="D1139" s="32">
        <v>54</v>
      </c>
      <c r="E1139" s="37">
        <v>4</v>
      </c>
      <c r="F1139" s="38" t="str">
        <f>VLOOKUP(tabPontoPed[[#This Row],[GRUPO]],tabGrupos[#Data],2,FALSE)</f>
        <v>EQUIP PROT IND, INST MAT P/ SINAL, CONTR, COMB ...</v>
      </c>
      <c r="G1139" s="32" t="str">
        <f>VLOOKUP(tabPontoPed[[#This Row],[GRUPO]],tabGrupos[#Data],3,FALSE)</f>
        <v>MAN</v>
      </c>
      <c r="H1139" s="33" t="s">
        <v>1311</v>
      </c>
      <c r="I1139" s="80">
        <v>4</v>
      </c>
      <c r="J1139" s="39">
        <v>0</v>
      </c>
      <c r="K1139" s="41">
        <f>tabPontoPed[[#This Row],[QTDMÊS]] * tabPontoPed[[#This Row],[MENSAL]]</f>
        <v>0</v>
      </c>
      <c r="L1139" s="83"/>
      <c r="M1139" s="81"/>
      <c r="N1139" s="34" t="s">
        <v>1009</v>
      </c>
      <c r="O1139" s="76"/>
      <c r="P1139" s="77">
        <v>0</v>
      </c>
      <c r="Q1139" s="57">
        <v>0</v>
      </c>
      <c r="R1139" s="42">
        <v>0</v>
      </c>
      <c r="S1139" s="69" t="str">
        <f>_xlfn.IFNA(IF(VLOOKUP(tabPontoPed[[#This Row],[CÓDIGO]],tabExcluirDoEstoque[#Data],1,FALSE),"sim",""),"")</f>
        <v>sim</v>
      </c>
      <c r="T1139" s="43">
        <f>IF(AND(tabPontoPed[[#This Row],[MENSAL]]&gt;0,tabPontoPed[[#This Row],[CÁLCULO]]&gt;0), ABS( tabPontoPed[[#This Row],[MENSAL]] - tabPontoPed[[#This Row],[CÁLCULO]] ) / tabPontoPed[[#This Row],[MENSAL]], -1 )</f>
        <v>-1</v>
      </c>
      <c r="U1139" s="58">
        <v>0</v>
      </c>
      <c r="V1139" s="35">
        <f>IF(AND(tabPontoPed[[#This Row],[MENSAL]]&gt;0,tabPontoPed[[#This Row],[CÁLCULO]]&gt;0), IF( tabPontoPed[[#This Row],[MENSAL]] - tabPontoPed[[#This Row],[CÁLCULO]] &lt; 0, -1, IF( tabPontoPed[[#This Row],[MENSAL]] - tabPontoPed[[#This Row],[CÁLCULO]] &gt; 0, 1, -8)), -9 )</f>
        <v>-9</v>
      </c>
      <c r="W1139" s="35"/>
      <c r="X1139" s="49" t="s">
        <v>1564</v>
      </c>
      <c r="Y1139" s="51">
        <v>44391.599108796298</v>
      </c>
      <c r="Z1139" s="72">
        <f>tabPontoPed[CÁLC_4M] - tabPontoPed[CÁLCULO]</f>
        <v>0</v>
      </c>
      <c r="AA1139" s="79" t="str">
        <f>IF(tabPontoPed[MENSAL]-tabPontoPed[ATA MENSAL] = 0,"sim","")</f>
        <v>sim</v>
      </c>
      <c r="AB1139" s="79" t="s">
        <v>1614</v>
      </c>
      <c r="AC1139" s="47" t="str">
        <f t="shared" si="17"/>
        <v>*</v>
      </c>
    </row>
    <row r="1140" spans="1:29" x14ac:dyDescent="0.25">
      <c r="A1140" s="36">
        <v>35238</v>
      </c>
      <c r="B1140" s="68" t="s">
        <v>569</v>
      </c>
      <c r="C1140" s="33" t="s">
        <v>1317</v>
      </c>
      <c r="D1140" s="32">
        <v>54</v>
      </c>
      <c r="E1140" s="37">
        <v>4</v>
      </c>
      <c r="F1140" s="38" t="str">
        <f>VLOOKUP(tabPontoPed[[#This Row],[GRUPO]],tabGrupos[#Data],2,FALSE)</f>
        <v>EQUIP PROT IND, INST MAT P/ SINAL, CONTR, COMB ...</v>
      </c>
      <c r="G1140" s="32" t="str">
        <f>VLOOKUP(tabPontoPed[[#This Row],[GRUPO]],tabGrupos[#Data],3,FALSE)</f>
        <v>MAN</v>
      </c>
      <c r="H1140" s="33" t="s">
        <v>1311</v>
      </c>
      <c r="I1140" s="80">
        <v>4</v>
      </c>
      <c r="J1140" s="39">
        <v>0</v>
      </c>
      <c r="K1140" s="41">
        <f>tabPontoPed[[#This Row],[QTDMÊS]] * tabPontoPed[[#This Row],[MENSAL]]</f>
        <v>0</v>
      </c>
      <c r="L1140" s="83"/>
      <c r="M1140" s="81"/>
      <c r="N1140" s="34" t="s">
        <v>1009</v>
      </c>
      <c r="O1140" s="76"/>
      <c r="P1140" s="77">
        <v>0</v>
      </c>
      <c r="Q1140" s="57">
        <v>0</v>
      </c>
      <c r="R1140" s="42">
        <v>0</v>
      </c>
      <c r="S1140" s="69" t="str">
        <f>_xlfn.IFNA(IF(VLOOKUP(tabPontoPed[[#This Row],[CÓDIGO]],tabExcluirDoEstoque[#Data],1,FALSE),"sim",""),"")</f>
        <v>sim</v>
      </c>
      <c r="T1140" s="43">
        <f>IF(AND(tabPontoPed[[#This Row],[MENSAL]]&gt;0,tabPontoPed[[#This Row],[CÁLCULO]]&gt;0), ABS( tabPontoPed[[#This Row],[MENSAL]] - tabPontoPed[[#This Row],[CÁLCULO]] ) / tabPontoPed[[#This Row],[MENSAL]], -1 )</f>
        <v>-1</v>
      </c>
      <c r="U1140" s="58">
        <v>0</v>
      </c>
      <c r="V1140" s="35">
        <f>IF(AND(tabPontoPed[[#This Row],[MENSAL]]&gt;0,tabPontoPed[[#This Row],[CÁLCULO]]&gt;0), IF( tabPontoPed[[#This Row],[MENSAL]] - tabPontoPed[[#This Row],[CÁLCULO]] &lt; 0, -1, IF( tabPontoPed[[#This Row],[MENSAL]] - tabPontoPed[[#This Row],[CÁLCULO]] &gt; 0, 1, -8)), -9 )</f>
        <v>-9</v>
      </c>
      <c r="W1140" s="35"/>
      <c r="X1140" s="49" t="s">
        <v>1564</v>
      </c>
      <c r="Y1140" s="51">
        <v>44391.599108796298</v>
      </c>
      <c r="Z1140" s="72">
        <f>tabPontoPed[CÁLC_4M] - tabPontoPed[CÁLCULO]</f>
        <v>0</v>
      </c>
      <c r="AA1140" s="79" t="str">
        <f>IF(tabPontoPed[MENSAL]-tabPontoPed[ATA MENSAL] = 0,"sim","")</f>
        <v>sim</v>
      </c>
      <c r="AB1140" s="79" t="s">
        <v>1614</v>
      </c>
      <c r="AC1140" s="47" t="str">
        <f t="shared" si="17"/>
        <v>*</v>
      </c>
    </row>
    <row r="1141" spans="1:29" x14ac:dyDescent="0.25">
      <c r="A1141" s="36">
        <v>93344</v>
      </c>
      <c r="B1141" s="68" t="s">
        <v>580</v>
      </c>
      <c r="C1141" s="33" t="s">
        <v>1317</v>
      </c>
      <c r="D1141" s="32">
        <v>54</v>
      </c>
      <c r="E1141" s="37">
        <v>4</v>
      </c>
      <c r="F1141" s="38" t="str">
        <f>VLOOKUP(tabPontoPed[[#This Row],[GRUPO]],tabGrupos[#Data],2,FALSE)</f>
        <v>EQUIP PROT IND, INST MAT P/ SINAL, CONTR, COMB ...</v>
      </c>
      <c r="G1141" s="32" t="str">
        <f>VLOOKUP(tabPontoPed[[#This Row],[GRUPO]],tabGrupos[#Data],3,FALSE)</f>
        <v>MAN</v>
      </c>
      <c r="H1141" s="33" t="s">
        <v>1311</v>
      </c>
      <c r="I1141" s="80">
        <v>4</v>
      </c>
      <c r="J1141" s="39"/>
      <c r="K1141" s="41">
        <f>tabPontoPed[[#This Row],[QTDMÊS]] * tabPontoPed[[#This Row],[MENSAL]]</f>
        <v>0</v>
      </c>
      <c r="L1141" s="83"/>
      <c r="M1141" s="81"/>
      <c r="N1141" s="34" t="s">
        <v>1009</v>
      </c>
      <c r="O1141" s="76"/>
      <c r="P1141" s="77"/>
      <c r="Q1141" s="57">
        <v>1</v>
      </c>
      <c r="R1141" s="42">
        <v>1</v>
      </c>
      <c r="S1141" s="69" t="str">
        <f>_xlfn.IFNA(IF(VLOOKUP(tabPontoPed[[#This Row],[CÓDIGO]],tabExcluirDoEstoque[#Data],1,FALSE),"sim",""),"")</f>
        <v>sim</v>
      </c>
      <c r="T1141" s="43">
        <f>IF(AND(tabPontoPed[[#This Row],[MENSAL]]&gt;0,tabPontoPed[[#This Row],[CÁLCULO]]&gt;0), ABS( tabPontoPed[[#This Row],[MENSAL]] - tabPontoPed[[#This Row],[CÁLCULO]] ) / tabPontoPed[[#This Row],[MENSAL]], -1 )</f>
        <v>-1</v>
      </c>
      <c r="U1141" s="58">
        <v>1</v>
      </c>
      <c r="V1141" s="35">
        <f>IF(AND(tabPontoPed[[#This Row],[MENSAL]]&gt;0,tabPontoPed[[#This Row],[CÁLCULO]]&gt;0), IF( tabPontoPed[[#This Row],[MENSAL]] - tabPontoPed[[#This Row],[CÁLCULO]] &lt; 0, -1, IF( tabPontoPed[[#This Row],[MENSAL]] - tabPontoPed[[#This Row],[CÁLCULO]] &gt; 0, 1, -8)), -9 )</f>
        <v>-9</v>
      </c>
      <c r="W1141" s="35"/>
      <c r="X1141" s="49" t="s">
        <v>1564</v>
      </c>
      <c r="Y1141" s="51">
        <v>44391.599108796298</v>
      </c>
      <c r="Z1141" s="72">
        <f>tabPontoPed[CÁLC_4M] - tabPontoPed[CÁLCULO]</f>
        <v>0</v>
      </c>
      <c r="AA1141" s="79" t="str">
        <f>IF(tabPontoPed[MENSAL]-tabPontoPed[ATA MENSAL] = 0,"sim","")</f>
        <v>sim</v>
      </c>
      <c r="AB1141" s="79" t="s">
        <v>1614</v>
      </c>
      <c r="AC1141" s="47" t="str">
        <f t="shared" si="17"/>
        <v>*</v>
      </c>
    </row>
    <row r="1142" spans="1:29" x14ac:dyDescent="0.25">
      <c r="A1142" s="36">
        <v>93346</v>
      </c>
      <c r="B1142" s="68" t="s">
        <v>1406</v>
      </c>
      <c r="C1142" s="33"/>
      <c r="D1142" s="32">
        <v>54</v>
      </c>
      <c r="E1142" s="37">
        <v>4</v>
      </c>
      <c r="F1142" s="38" t="str">
        <f>VLOOKUP(tabPontoPed[[#This Row],[GRUPO]],tabGrupos[#Data],2,FALSE)</f>
        <v>EQUIP PROT IND, INST MAT P/ SINAL, CONTR, COMB ...</v>
      </c>
      <c r="G1142" s="32" t="str">
        <f>VLOOKUP(tabPontoPed[[#This Row],[GRUPO]],tabGrupos[#Data],3,FALSE)</f>
        <v>MAN</v>
      </c>
      <c r="H1142" s="33" t="s">
        <v>1311</v>
      </c>
      <c r="I1142" s="80">
        <v>4</v>
      </c>
      <c r="J1142" s="39">
        <v>0</v>
      </c>
      <c r="K1142" s="41">
        <f>tabPontoPed[[#This Row],[QTDMÊS]] * tabPontoPed[[#This Row],[MENSAL]]</f>
        <v>0</v>
      </c>
      <c r="L1142" s="83"/>
      <c r="M1142" s="81"/>
      <c r="N1142" s="34" t="s">
        <v>1010</v>
      </c>
      <c r="O1142" s="76" t="s">
        <v>1424</v>
      </c>
      <c r="P1142" s="77"/>
      <c r="Q1142" s="57">
        <v>0</v>
      </c>
      <c r="R1142" s="42">
        <v>0</v>
      </c>
      <c r="S1142" s="69" t="str">
        <f>_xlfn.IFNA(IF(VLOOKUP(tabPontoPed[[#This Row],[CÓDIGO]],tabExcluirDoEstoque[#Data],1,FALSE),"sim",""),"")</f>
        <v>sim</v>
      </c>
      <c r="T1142" s="43">
        <f>IF(AND(tabPontoPed[[#This Row],[MENSAL]]&gt;0,tabPontoPed[[#This Row],[CÁLCULO]]&gt;0), ABS( tabPontoPed[[#This Row],[MENSAL]] - tabPontoPed[[#This Row],[CÁLCULO]] ) / tabPontoPed[[#This Row],[MENSAL]], -1 )</f>
        <v>-1</v>
      </c>
      <c r="U1142" s="58">
        <v>0</v>
      </c>
      <c r="V1142" s="35">
        <f>IF(AND(tabPontoPed[[#This Row],[MENSAL]]&gt;0,tabPontoPed[[#This Row],[CÁLCULO]]&gt;0), IF( tabPontoPed[[#This Row],[MENSAL]] - tabPontoPed[[#This Row],[CÁLCULO]] &lt; 0, -1, IF( tabPontoPed[[#This Row],[MENSAL]] - tabPontoPed[[#This Row],[CÁLCULO]] &gt; 0, 1, -8)), -9 )</f>
        <v>-9</v>
      </c>
      <c r="W1142" s="35"/>
      <c r="X1142" s="49" t="s">
        <v>1564</v>
      </c>
      <c r="Y1142" s="51">
        <v>44391.599108796298</v>
      </c>
      <c r="Z1142" s="72">
        <f>tabPontoPed[CÁLC_4M] - tabPontoPed[CÁLCULO]</f>
        <v>0</v>
      </c>
      <c r="AA1142" s="79" t="str">
        <f>IF(tabPontoPed[MENSAL]-tabPontoPed[ATA MENSAL] = 0,"sim","")</f>
        <v>sim</v>
      </c>
      <c r="AB1142" s="79" t="s">
        <v>1614</v>
      </c>
      <c r="AC1142" s="47" t="str">
        <f t="shared" si="17"/>
        <v>*</v>
      </c>
    </row>
    <row r="1143" spans="1:29" x14ac:dyDescent="0.25">
      <c r="A1143" s="36">
        <v>130740</v>
      </c>
      <c r="B1143" s="68" t="s">
        <v>592</v>
      </c>
      <c r="C1143" s="33" t="s">
        <v>1317</v>
      </c>
      <c r="D1143" s="32">
        <v>54</v>
      </c>
      <c r="E1143" s="37">
        <v>4</v>
      </c>
      <c r="F1143" s="38" t="str">
        <f>VLOOKUP(tabPontoPed[[#This Row],[GRUPO]],tabGrupos[#Data],2,FALSE)</f>
        <v>EQUIP PROT IND, INST MAT P/ SINAL, CONTR, COMB ...</v>
      </c>
      <c r="G1143" s="32" t="str">
        <f>VLOOKUP(tabPontoPed[[#This Row],[GRUPO]],tabGrupos[#Data],3,FALSE)</f>
        <v>MAN</v>
      </c>
      <c r="H1143" s="33" t="s">
        <v>1311</v>
      </c>
      <c r="I1143" s="80">
        <v>4</v>
      </c>
      <c r="J1143" s="39"/>
      <c r="K1143" s="41">
        <f>tabPontoPed[[#This Row],[QTDMÊS]] * tabPontoPed[[#This Row],[MENSAL]]</f>
        <v>0</v>
      </c>
      <c r="L1143" s="83"/>
      <c r="M1143" s="81"/>
      <c r="N1143" s="34" t="s">
        <v>1009</v>
      </c>
      <c r="O1143" s="76"/>
      <c r="P1143" s="77"/>
      <c r="Q1143" s="57">
        <v>0</v>
      </c>
      <c r="R1143" s="42">
        <v>0</v>
      </c>
      <c r="S1143" s="69" t="str">
        <f>_xlfn.IFNA(IF(VLOOKUP(tabPontoPed[[#This Row],[CÓDIGO]],tabExcluirDoEstoque[#Data],1,FALSE),"sim",""),"")</f>
        <v>sim</v>
      </c>
      <c r="T1143" s="43">
        <f>IF(AND(tabPontoPed[[#This Row],[MENSAL]]&gt;0,tabPontoPed[[#This Row],[CÁLCULO]]&gt;0), ABS( tabPontoPed[[#This Row],[MENSAL]] - tabPontoPed[[#This Row],[CÁLCULO]] ) / tabPontoPed[[#This Row],[MENSAL]], -1 )</f>
        <v>-1</v>
      </c>
      <c r="U1143" s="58">
        <v>0</v>
      </c>
      <c r="V1143" s="35">
        <f>IF(AND(tabPontoPed[[#This Row],[MENSAL]]&gt;0,tabPontoPed[[#This Row],[CÁLCULO]]&gt;0), IF( tabPontoPed[[#This Row],[MENSAL]] - tabPontoPed[[#This Row],[CÁLCULO]] &lt; 0, -1, IF( tabPontoPed[[#This Row],[MENSAL]] - tabPontoPed[[#This Row],[CÁLCULO]] &gt; 0, 1, -8)), -9 )</f>
        <v>-9</v>
      </c>
      <c r="W1143" s="35"/>
      <c r="X1143" s="49" t="s">
        <v>1564</v>
      </c>
      <c r="Y1143" s="51">
        <v>44391.599108796298</v>
      </c>
      <c r="Z1143" s="72">
        <f>tabPontoPed[CÁLC_4M] - tabPontoPed[CÁLCULO]</f>
        <v>0</v>
      </c>
      <c r="AA1143" s="79" t="str">
        <f>IF(tabPontoPed[MENSAL]-tabPontoPed[ATA MENSAL] = 0,"sim","")</f>
        <v>sim</v>
      </c>
      <c r="AB1143" s="79" t="s">
        <v>1614</v>
      </c>
      <c r="AC1143" s="47" t="str">
        <f t="shared" si="17"/>
        <v>*</v>
      </c>
    </row>
    <row r="1144" spans="1:29" x14ac:dyDescent="0.25">
      <c r="A1144" s="36">
        <v>71053</v>
      </c>
      <c r="B1144" s="68" t="s">
        <v>573</v>
      </c>
      <c r="C1144" s="33" t="s">
        <v>1317</v>
      </c>
      <c r="D1144" s="32">
        <v>54</v>
      </c>
      <c r="E1144" s="37">
        <v>4</v>
      </c>
      <c r="F1144" s="38" t="str">
        <f>VLOOKUP(tabPontoPed[[#This Row],[GRUPO]],tabGrupos[#Data],2,FALSE)</f>
        <v>EQUIP PROT IND, INST MAT P/ SINAL, CONTR, COMB ...</v>
      </c>
      <c r="G1144" s="32" t="str">
        <f>VLOOKUP(tabPontoPed[[#This Row],[GRUPO]],tabGrupos[#Data],3,FALSE)</f>
        <v>MAN</v>
      </c>
      <c r="H1144" s="33" t="s">
        <v>1311</v>
      </c>
      <c r="I1144" s="80">
        <v>4</v>
      </c>
      <c r="J1144" s="39">
        <v>0</v>
      </c>
      <c r="K1144" s="41">
        <f>tabPontoPed[[#This Row],[QTDMÊS]] * tabPontoPed[[#This Row],[MENSAL]]</f>
        <v>0</v>
      </c>
      <c r="L1144" s="83"/>
      <c r="M1144" s="81"/>
      <c r="N1144" s="34" t="s">
        <v>1009</v>
      </c>
      <c r="O1144" s="76"/>
      <c r="P1144" s="77">
        <v>0</v>
      </c>
      <c r="Q1144" s="57">
        <v>0</v>
      </c>
      <c r="R1144" s="42">
        <v>0</v>
      </c>
      <c r="S1144" s="69" t="str">
        <f>_xlfn.IFNA(IF(VLOOKUP(tabPontoPed[[#This Row],[CÓDIGO]],tabExcluirDoEstoque[#Data],1,FALSE),"sim",""),"")</f>
        <v>sim</v>
      </c>
      <c r="T1144" s="43">
        <f>IF(AND(tabPontoPed[[#This Row],[MENSAL]]&gt;0,tabPontoPed[[#This Row],[CÁLCULO]]&gt;0), ABS( tabPontoPed[[#This Row],[MENSAL]] - tabPontoPed[[#This Row],[CÁLCULO]] ) / tabPontoPed[[#This Row],[MENSAL]], -1 )</f>
        <v>-1</v>
      </c>
      <c r="U1144" s="58">
        <v>0</v>
      </c>
      <c r="V1144" s="35">
        <f>IF(AND(tabPontoPed[[#This Row],[MENSAL]]&gt;0,tabPontoPed[[#This Row],[CÁLCULO]]&gt;0), IF( tabPontoPed[[#This Row],[MENSAL]] - tabPontoPed[[#This Row],[CÁLCULO]] &lt; 0, -1, IF( tabPontoPed[[#This Row],[MENSAL]] - tabPontoPed[[#This Row],[CÁLCULO]] &gt; 0, 1, -8)), -9 )</f>
        <v>-9</v>
      </c>
      <c r="W1144" s="35"/>
      <c r="X1144" s="49" t="s">
        <v>1564</v>
      </c>
      <c r="Y1144" s="51">
        <v>44391.599108796298</v>
      </c>
      <c r="Z1144" s="72">
        <f>tabPontoPed[CÁLC_4M] - tabPontoPed[CÁLCULO]</f>
        <v>0</v>
      </c>
      <c r="AA1144" s="79" t="str">
        <f>IF(tabPontoPed[MENSAL]-tabPontoPed[ATA MENSAL] = 0,"sim","")</f>
        <v>sim</v>
      </c>
      <c r="AB1144" s="79" t="s">
        <v>1614</v>
      </c>
      <c r="AC1144" s="47" t="str">
        <f t="shared" si="17"/>
        <v>*</v>
      </c>
    </row>
    <row r="1145" spans="1:29" x14ac:dyDescent="0.25">
      <c r="A1145" s="36">
        <v>105994</v>
      </c>
      <c r="B1145" s="68" t="s">
        <v>585</v>
      </c>
      <c r="C1145" s="33" t="s">
        <v>1317</v>
      </c>
      <c r="D1145" s="32">
        <v>54</v>
      </c>
      <c r="E1145" s="37">
        <v>4</v>
      </c>
      <c r="F1145" s="38" t="str">
        <f>VLOOKUP(tabPontoPed[[#This Row],[GRUPO]],tabGrupos[#Data],2,FALSE)</f>
        <v>EQUIP PROT IND, INST MAT P/ SINAL, CONTR, COMB ...</v>
      </c>
      <c r="G1145" s="32" t="str">
        <f>VLOOKUP(tabPontoPed[[#This Row],[GRUPO]],tabGrupos[#Data],3,FALSE)</f>
        <v>MAN</v>
      </c>
      <c r="H1145" s="33" t="s">
        <v>1311</v>
      </c>
      <c r="I1145" s="80">
        <v>4</v>
      </c>
      <c r="J1145" s="39">
        <v>0</v>
      </c>
      <c r="K1145" s="41">
        <f>tabPontoPed[[#This Row],[QTDMÊS]] * tabPontoPed[[#This Row],[MENSAL]]</f>
        <v>0</v>
      </c>
      <c r="L1145" s="83"/>
      <c r="M1145" s="81"/>
      <c r="N1145" s="34" t="s">
        <v>1009</v>
      </c>
      <c r="O1145" s="76"/>
      <c r="P1145" s="77">
        <v>0</v>
      </c>
      <c r="Q1145" s="57">
        <v>0</v>
      </c>
      <c r="R1145" s="42">
        <v>1</v>
      </c>
      <c r="S1145" s="69" t="str">
        <f>_xlfn.IFNA(IF(VLOOKUP(tabPontoPed[[#This Row],[CÓDIGO]],tabExcluirDoEstoque[#Data],1,FALSE),"sim",""),"")</f>
        <v>sim</v>
      </c>
      <c r="T1145" s="43">
        <f>IF(AND(tabPontoPed[[#This Row],[MENSAL]]&gt;0,tabPontoPed[[#This Row],[CÁLCULO]]&gt;0), ABS( tabPontoPed[[#This Row],[MENSAL]] - tabPontoPed[[#This Row],[CÁLCULO]] ) / tabPontoPed[[#This Row],[MENSAL]], -1 )</f>
        <v>-1</v>
      </c>
      <c r="U1145" s="58">
        <v>1</v>
      </c>
      <c r="V1145" s="35">
        <f>IF(AND(tabPontoPed[[#This Row],[MENSAL]]&gt;0,tabPontoPed[[#This Row],[CÁLCULO]]&gt;0), IF( tabPontoPed[[#This Row],[MENSAL]] - tabPontoPed[[#This Row],[CÁLCULO]] &lt; 0, -1, IF( tabPontoPed[[#This Row],[MENSAL]] - tabPontoPed[[#This Row],[CÁLCULO]] &gt; 0, 1, -8)), -9 )</f>
        <v>-9</v>
      </c>
      <c r="W1145" s="35"/>
      <c r="X1145" s="49" t="s">
        <v>1564</v>
      </c>
      <c r="Y1145" s="51">
        <v>44391.599108796298</v>
      </c>
      <c r="Z1145" s="72">
        <f>tabPontoPed[CÁLC_4M] - tabPontoPed[CÁLCULO]</f>
        <v>-1</v>
      </c>
      <c r="AA1145" s="79" t="str">
        <f>IF(tabPontoPed[MENSAL]-tabPontoPed[ATA MENSAL] = 0,"sim","")</f>
        <v>sim</v>
      </c>
      <c r="AB1145" s="79" t="s">
        <v>1614</v>
      </c>
      <c r="AC1145" s="47" t="str">
        <f t="shared" si="17"/>
        <v>*</v>
      </c>
    </row>
    <row r="1146" spans="1:29" x14ac:dyDescent="0.25">
      <c r="A1146" s="36">
        <v>105993</v>
      </c>
      <c r="B1146" s="68" t="s">
        <v>584</v>
      </c>
      <c r="C1146" s="33" t="s">
        <v>1317</v>
      </c>
      <c r="D1146" s="32">
        <v>54</v>
      </c>
      <c r="E1146" s="37">
        <v>4</v>
      </c>
      <c r="F1146" s="38" t="str">
        <f>VLOOKUP(tabPontoPed[[#This Row],[GRUPO]],tabGrupos[#Data],2,FALSE)</f>
        <v>EQUIP PROT IND, INST MAT P/ SINAL, CONTR, COMB ...</v>
      </c>
      <c r="G1146" s="32" t="str">
        <f>VLOOKUP(tabPontoPed[[#This Row],[GRUPO]],tabGrupos[#Data],3,FALSE)</f>
        <v>MAN</v>
      </c>
      <c r="H1146" s="33" t="s">
        <v>1311</v>
      </c>
      <c r="I1146" s="80">
        <v>4</v>
      </c>
      <c r="J1146" s="39"/>
      <c r="K1146" s="41">
        <f>tabPontoPed[[#This Row],[QTDMÊS]] * tabPontoPed[[#This Row],[MENSAL]]</f>
        <v>0</v>
      </c>
      <c r="L1146" s="83"/>
      <c r="M1146" s="81"/>
      <c r="N1146" s="34" t="s">
        <v>1009</v>
      </c>
      <c r="O1146" s="76"/>
      <c r="P1146" s="77">
        <v>0</v>
      </c>
      <c r="Q1146" s="57">
        <v>1</v>
      </c>
      <c r="R1146" s="42">
        <v>1</v>
      </c>
      <c r="S1146" s="69" t="str">
        <f>_xlfn.IFNA(IF(VLOOKUP(tabPontoPed[[#This Row],[CÓDIGO]],tabExcluirDoEstoque[#Data],1,FALSE),"sim",""),"")</f>
        <v>sim</v>
      </c>
      <c r="T1146" s="43">
        <f>IF(AND(tabPontoPed[[#This Row],[MENSAL]]&gt;0,tabPontoPed[[#This Row],[CÁLCULO]]&gt;0), ABS( tabPontoPed[[#This Row],[MENSAL]] - tabPontoPed[[#This Row],[CÁLCULO]] ) / tabPontoPed[[#This Row],[MENSAL]], -1 )</f>
        <v>-1</v>
      </c>
      <c r="U1146" s="58">
        <v>1</v>
      </c>
      <c r="V1146" s="35">
        <f>IF(AND(tabPontoPed[[#This Row],[MENSAL]]&gt;0,tabPontoPed[[#This Row],[CÁLCULO]]&gt;0), IF( tabPontoPed[[#This Row],[MENSAL]] - tabPontoPed[[#This Row],[CÁLCULO]] &lt; 0, -1, IF( tabPontoPed[[#This Row],[MENSAL]] - tabPontoPed[[#This Row],[CÁLCULO]] &gt; 0, 1, -8)), -9 )</f>
        <v>-9</v>
      </c>
      <c r="W1146" s="35"/>
      <c r="X1146" s="49" t="s">
        <v>1564</v>
      </c>
      <c r="Y1146" s="51">
        <v>44391.599108796298</v>
      </c>
      <c r="Z1146" s="72">
        <f>tabPontoPed[CÁLC_4M] - tabPontoPed[CÁLCULO]</f>
        <v>0</v>
      </c>
      <c r="AA1146" s="79" t="str">
        <f>IF(tabPontoPed[MENSAL]-tabPontoPed[ATA MENSAL] = 0,"sim","")</f>
        <v>sim</v>
      </c>
      <c r="AB1146" s="79" t="s">
        <v>1614</v>
      </c>
      <c r="AC1146" s="47" t="str">
        <f t="shared" si="17"/>
        <v>*</v>
      </c>
    </row>
    <row r="1147" spans="1:29" x14ac:dyDescent="0.25">
      <c r="A1147" s="36">
        <v>78398</v>
      </c>
      <c r="B1147" s="68" t="s">
        <v>595</v>
      </c>
      <c r="C1147" s="33" t="s">
        <v>1317</v>
      </c>
      <c r="D1147" s="32">
        <v>54</v>
      </c>
      <c r="E1147" s="37">
        <v>9</v>
      </c>
      <c r="F1147" s="38" t="str">
        <f>VLOOKUP(tabPontoPed[[#This Row],[GRUPO]],tabGrupos[#Data],2,FALSE)</f>
        <v>EQUIP PROT IND, INST MAT P/ SINAL, CONTR, COMB ...</v>
      </c>
      <c r="G1147" s="32" t="str">
        <f>VLOOKUP(tabPontoPed[[#This Row],[GRUPO]],tabGrupos[#Data],3,FALSE)</f>
        <v>MAN</v>
      </c>
      <c r="H1147" s="33" t="s">
        <v>1311</v>
      </c>
      <c r="I1147" s="80">
        <v>4</v>
      </c>
      <c r="J1147" s="39">
        <v>0</v>
      </c>
      <c r="K1147" s="41">
        <f>tabPontoPed[[#This Row],[QTDMÊS]] * tabPontoPed[[#This Row],[MENSAL]]</f>
        <v>0</v>
      </c>
      <c r="L1147" s="83"/>
      <c r="M1147" s="81"/>
      <c r="N1147" s="34" t="s">
        <v>1009</v>
      </c>
      <c r="O1147" s="76"/>
      <c r="P1147" s="77">
        <v>0</v>
      </c>
      <c r="Q1147" s="57">
        <v>1</v>
      </c>
      <c r="R1147" s="42">
        <v>1</v>
      </c>
      <c r="S1147" s="69" t="str">
        <f>_xlfn.IFNA(IF(VLOOKUP(tabPontoPed[[#This Row],[CÓDIGO]],tabExcluirDoEstoque[#Data],1,FALSE),"sim",""),"")</f>
        <v>sim</v>
      </c>
      <c r="T1147" s="43">
        <f>IF(AND(tabPontoPed[[#This Row],[MENSAL]]&gt;0,tabPontoPed[[#This Row],[CÁLCULO]]&gt;0), ABS( tabPontoPed[[#This Row],[MENSAL]] - tabPontoPed[[#This Row],[CÁLCULO]] ) / tabPontoPed[[#This Row],[MENSAL]], -1 )</f>
        <v>-1</v>
      </c>
      <c r="U1147" s="58">
        <v>2</v>
      </c>
      <c r="V1147" s="35">
        <f>IF(AND(tabPontoPed[[#This Row],[MENSAL]]&gt;0,tabPontoPed[[#This Row],[CÁLCULO]]&gt;0), IF( tabPontoPed[[#This Row],[MENSAL]] - tabPontoPed[[#This Row],[CÁLCULO]] &lt; 0, -1, IF( tabPontoPed[[#This Row],[MENSAL]] - tabPontoPed[[#This Row],[CÁLCULO]] &gt; 0, 1, -8)), -9 )</f>
        <v>-9</v>
      </c>
      <c r="W1147" s="35"/>
      <c r="X1147" s="49" t="s">
        <v>1564</v>
      </c>
      <c r="Y1147" s="51">
        <v>44391.599108796298</v>
      </c>
      <c r="Z1147" s="72">
        <f>tabPontoPed[CÁLC_4M] - tabPontoPed[CÁLCULO]</f>
        <v>0</v>
      </c>
      <c r="AA1147" s="79" t="str">
        <f>IF(tabPontoPed[MENSAL]-tabPontoPed[ATA MENSAL] = 0,"sim","")</f>
        <v>sim</v>
      </c>
      <c r="AB1147" s="79" t="s">
        <v>1614</v>
      </c>
      <c r="AC1147" s="47" t="str">
        <f t="shared" si="17"/>
        <v>*</v>
      </c>
    </row>
    <row r="1148" spans="1:29" x14ac:dyDescent="0.25">
      <c r="A1148" s="36">
        <v>128307</v>
      </c>
      <c r="B1148" s="68" t="s">
        <v>601</v>
      </c>
      <c r="C1148" s="33" t="s">
        <v>1317</v>
      </c>
      <c r="D1148" s="32">
        <v>54</v>
      </c>
      <c r="E1148" s="37">
        <v>16</v>
      </c>
      <c r="F1148" s="38" t="str">
        <f>VLOOKUP(tabPontoPed[[#This Row],[GRUPO]],tabGrupos[#Data],2,FALSE)</f>
        <v>EQUIP PROT IND, INST MAT P/ SINAL, CONTR, COMB ...</v>
      </c>
      <c r="G1148" s="32" t="str">
        <f>VLOOKUP(tabPontoPed[[#This Row],[GRUPO]],tabGrupos[#Data],3,FALSE)</f>
        <v>MAN</v>
      </c>
      <c r="H1148" s="33" t="s">
        <v>1311</v>
      </c>
      <c r="I1148" s="80">
        <v>4</v>
      </c>
      <c r="J1148" s="39"/>
      <c r="K1148" s="41">
        <f>tabPontoPed[[#This Row],[QTDMÊS]] * tabPontoPed[[#This Row],[MENSAL]]</f>
        <v>0</v>
      </c>
      <c r="L1148" s="83"/>
      <c r="M1148" s="81"/>
      <c r="N1148" s="34" t="s">
        <v>1009</v>
      </c>
      <c r="O1148" s="76"/>
      <c r="P1148" s="77">
        <v>0</v>
      </c>
      <c r="Q1148" s="57">
        <v>0</v>
      </c>
      <c r="R1148" s="42">
        <v>1</v>
      </c>
      <c r="S1148" s="69" t="str">
        <f>_xlfn.IFNA(IF(VLOOKUP(tabPontoPed[[#This Row],[CÓDIGO]],tabExcluirDoEstoque[#Data],1,FALSE),"sim",""),"")</f>
        <v>sim</v>
      </c>
      <c r="T1148" s="43">
        <f>IF(AND(tabPontoPed[[#This Row],[MENSAL]]&gt;0,tabPontoPed[[#This Row],[CÁLCULO]]&gt;0), ABS( tabPontoPed[[#This Row],[MENSAL]] - tabPontoPed[[#This Row],[CÁLCULO]] ) / tabPontoPed[[#This Row],[MENSAL]], -1 )</f>
        <v>-1</v>
      </c>
      <c r="U1148" s="58">
        <v>3</v>
      </c>
      <c r="V1148" s="35">
        <f>IF(AND(tabPontoPed[[#This Row],[MENSAL]]&gt;0,tabPontoPed[[#This Row],[CÁLCULO]]&gt;0), IF( tabPontoPed[[#This Row],[MENSAL]] - tabPontoPed[[#This Row],[CÁLCULO]] &lt; 0, -1, IF( tabPontoPed[[#This Row],[MENSAL]] - tabPontoPed[[#This Row],[CÁLCULO]] &gt; 0, 1, -8)), -9 )</f>
        <v>-9</v>
      </c>
      <c r="W1148" s="35"/>
      <c r="X1148" s="49" t="s">
        <v>1564</v>
      </c>
      <c r="Y1148" s="51">
        <v>44391.599108796298</v>
      </c>
      <c r="Z1148" s="72">
        <f>tabPontoPed[CÁLC_4M] - tabPontoPed[CÁLCULO]</f>
        <v>-1</v>
      </c>
      <c r="AA1148" s="79" t="str">
        <f>IF(tabPontoPed[MENSAL]-tabPontoPed[ATA MENSAL] = 0,"sim","")</f>
        <v>sim</v>
      </c>
      <c r="AB1148" s="79" t="s">
        <v>1614</v>
      </c>
      <c r="AC1148" s="47" t="str">
        <f t="shared" si="17"/>
        <v>*</v>
      </c>
    </row>
    <row r="1149" spans="1:29" x14ac:dyDescent="0.25">
      <c r="A1149" s="36">
        <v>128458</v>
      </c>
      <c r="B1149" s="68" t="s">
        <v>602</v>
      </c>
      <c r="C1149" s="33" t="s">
        <v>1317</v>
      </c>
      <c r="D1149" s="32">
        <v>54</v>
      </c>
      <c r="E1149" s="37">
        <v>16</v>
      </c>
      <c r="F1149" s="38" t="str">
        <f>VLOOKUP(tabPontoPed[[#This Row],[GRUPO]],tabGrupos[#Data],2,FALSE)</f>
        <v>EQUIP PROT IND, INST MAT P/ SINAL, CONTR, COMB ...</v>
      </c>
      <c r="G1149" s="32" t="str">
        <f>VLOOKUP(tabPontoPed[[#This Row],[GRUPO]],tabGrupos[#Data],3,FALSE)</f>
        <v>MAN</v>
      </c>
      <c r="H1149" s="33" t="s">
        <v>1311</v>
      </c>
      <c r="I1149" s="80">
        <v>4</v>
      </c>
      <c r="J1149" s="39">
        <v>0</v>
      </c>
      <c r="K1149" s="41">
        <f>tabPontoPed[[#This Row],[QTDMÊS]] * tabPontoPed[[#This Row],[MENSAL]]</f>
        <v>0</v>
      </c>
      <c r="L1149" s="83"/>
      <c r="M1149" s="81"/>
      <c r="N1149" s="34" t="s">
        <v>1010</v>
      </c>
      <c r="O1149" s="76" t="s">
        <v>1424</v>
      </c>
      <c r="P1149" s="77"/>
      <c r="Q1149" s="57">
        <v>0</v>
      </c>
      <c r="R1149" s="42">
        <v>0</v>
      </c>
      <c r="S1149" s="69" t="str">
        <f>_xlfn.IFNA(IF(VLOOKUP(tabPontoPed[[#This Row],[CÓDIGO]],tabExcluirDoEstoque[#Data],1,FALSE),"sim",""),"")</f>
        <v>sim</v>
      </c>
      <c r="T1149" s="43">
        <f>IF(AND(tabPontoPed[[#This Row],[MENSAL]]&gt;0,tabPontoPed[[#This Row],[CÁLCULO]]&gt;0), ABS( tabPontoPed[[#This Row],[MENSAL]] - tabPontoPed[[#This Row],[CÁLCULO]] ) / tabPontoPed[[#This Row],[MENSAL]], -1 )</f>
        <v>-1</v>
      </c>
      <c r="U1149" s="58"/>
      <c r="V1149" s="35">
        <f>IF(AND(tabPontoPed[[#This Row],[MENSAL]]&gt;0,tabPontoPed[[#This Row],[CÁLCULO]]&gt;0), IF( tabPontoPed[[#This Row],[MENSAL]] - tabPontoPed[[#This Row],[CÁLCULO]] &lt; 0, -1, IF( tabPontoPed[[#This Row],[MENSAL]] - tabPontoPed[[#This Row],[CÁLCULO]] &gt; 0, 1, -8)), -9 )</f>
        <v>-9</v>
      </c>
      <c r="W1149" s="35"/>
      <c r="X1149" s="49" t="s">
        <v>1564</v>
      </c>
      <c r="Y1149" s="51">
        <v>44391.599108796298</v>
      </c>
      <c r="Z1149" s="72">
        <f>tabPontoPed[CÁLC_4M] - tabPontoPed[CÁLCULO]</f>
        <v>0</v>
      </c>
      <c r="AA1149" s="79" t="str">
        <f>IF(tabPontoPed[MENSAL]-tabPontoPed[ATA MENSAL] = 0,"sim","")</f>
        <v>sim</v>
      </c>
      <c r="AB1149" s="79" t="s">
        <v>1614</v>
      </c>
      <c r="AC1149" s="47" t="str">
        <f t="shared" si="17"/>
        <v>*</v>
      </c>
    </row>
    <row r="1150" spans="1:29" x14ac:dyDescent="0.25">
      <c r="A1150" s="36">
        <v>69339</v>
      </c>
      <c r="B1150" s="68" t="s">
        <v>597</v>
      </c>
      <c r="C1150" s="33" t="s">
        <v>1317</v>
      </c>
      <c r="D1150" s="32">
        <v>54</v>
      </c>
      <c r="E1150" s="37">
        <v>16</v>
      </c>
      <c r="F1150" s="38" t="str">
        <f>VLOOKUP(tabPontoPed[[#This Row],[GRUPO]],tabGrupos[#Data],2,FALSE)</f>
        <v>EQUIP PROT IND, INST MAT P/ SINAL, CONTR, COMB ...</v>
      </c>
      <c r="G1150" s="32" t="str">
        <f>VLOOKUP(tabPontoPed[[#This Row],[GRUPO]],tabGrupos[#Data],3,FALSE)</f>
        <v>MAN</v>
      </c>
      <c r="H1150" s="33" t="s">
        <v>1311</v>
      </c>
      <c r="I1150" s="80">
        <v>4</v>
      </c>
      <c r="J1150" s="39">
        <v>1</v>
      </c>
      <c r="K1150" s="41">
        <f>tabPontoPed[[#This Row],[QTDMÊS]] * tabPontoPed[[#This Row],[MENSAL]]</f>
        <v>4</v>
      </c>
      <c r="L1150" s="83"/>
      <c r="M1150" s="81"/>
      <c r="N1150" s="34" t="s">
        <v>1010</v>
      </c>
      <c r="O1150" s="76" t="s">
        <v>1424</v>
      </c>
      <c r="P1150" s="77"/>
      <c r="Q1150" s="57">
        <v>0</v>
      </c>
      <c r="R1150" s="42">
        <v>0</v>
      </c>
      <c r="S1150" s="69" t="str">
        <f>_xlfn.IFNA(IF(VLOOKUP(tabPontoPed[[#This Row],[CÓDIGO]],tabExcluirDoEstoque[#Data],1,FALSE),"sim",""),"")</f>
        <v>sim</v>
      </c>
      <c r="T1150" s="43">
        <f>IF(AND(tabPontoPed[[#This Row],[MENSAL]]&gt;0,tabPontoPed[[#This Row],[CÁLCULO]]&gt;0), ABS( tabPontoPed[[#This Row],[MENSAL]] - tabPontoPed[[#This Row],[CÁLCULO]] ) / tabPontoPed[[#This Row],[MENSAL]], -1 )</f>
        <v>-1</v>
      </c>
      <c r="U1150" s="58"/>
      <c r="V1150" s="35">
        <f>IF(AND(tabPontoPed[[#This Row],[MENSAL]]&gt;0,tabPontoPed[[#This Row],[CÁLCULO]]&gt;0), IF( tabPontoPed[[#This Row],[MENSAL]] - tabPontoPed[[#This Row],[CÁLCULO]] &lt; 0, -1, IF( tabPontoPed[[#This Row],[MENSAL]] - tabPontoPed[[#This Row],[CÁLCULO]] &gt; 0, 1, -8)), -9 )</f>
        <v>-9</v>
      </c>
      <c r="W1150" s="35"/>
      <c r="X1150" s="49" t="s">
        <v>1564</v>
      </c>
      <c r="Y1150" s="51">
        <v>44391.599108796298</v>
      </c>
      <c r="Z1150" s="72">
        <f>tabPontoPed[CÁLC_4M] - tabPontoPed[CÁLCULO]</f>
        <v>0</v>
      </c>
      <c r="AA1150" s="79" t="str">
        <f>IF(tabPontoPed[MENSAL]-tabPontoPed[ATA MENSAL] = 0,"sim","")</f>
        <v/>
      </c>
      <c r="AB1150" s="79"/>
      <c r="AC1150" s="47" t="str">
        <f t="shared" si="17"/>
        <v>*</v>
      </c>
    </row>
    <row r="1151" spans="1:29" x14ac:dyDescent="0.25">
      <c r="A1151" s="36">
        <v>98747</v>
      </c>
      <c r="B1151" s="68" t="s">
        <v>1411</v>
      </c>
      <c r="C1151" s="33"/>
      <c r="D1151" s="32">
        <v>54</v>
      </c>
      <c r="E1151" s="37">
        <v>19</v>
      </c>
      <c r="F1151" s="38" t="str">
        <f>VLOOKUP(tabPontoPed[[#This Row],[GRUPO]],tabGrupos[#Data],2,FALSE)</f>
        <v>EQUIP PROT IND, INST MAT P/ SINAL, CONTR, COMB ...</v>
      </c>
      <c r="G1151" s="32" t="str">
        <f>VLOOKUP(tabPontoPed[[#This Row],[GRUPO]],tabGrupos[#Data],3,FALSE)</f>
        <v>MAN</v>
      </c>
      <c r="H1151" s="33" t="s">
        <v>1311</v>
      </c>
      <c r="I1151" s="80">
        <v>4</v>
      </c>
      <c r="J1151" s="39">
        <v>0</v>
      </c>
      <c r="K1151" s="41">
        <f>tabPontoPed[[#This Row],[QTDMÊS]] * tabPontoPed[[#This Row],[MENSAL]]</f>
        <v>0</v>
      </c>
      <c r="L1151" s="83"/>
      <c r="M1151" s="81"/>
      <c r="N1151" s="34" t="s">
        <v>1009</v>
      </c>
      <c r="O1151" s="76" t="s">
        <v>1476</v>
      </c>
      <c r="P1151" s="77"/>
      <c r="Q1151" s="57">
        <v>1</v>
      </c>
      <c r="R1151" s="42">
        <v>1</v>
      </c>
      <c r="S1151" s="69" t="str">
        <f>_xlfn.IFNA(IF(VLOOKUP(tabPontoPed[[#This Row],[CÓDIGO]],tabExcluirDoEstoque[#Data],1,FALSE),"sim",""),"")</f>
        <v>sim</v>
      </c>
      <c r="T1151" s="43">
        <f>IF(AND(tabPontoPed[[#This Row],[MENSAL]]&gt;0,tabPontoPed[[#This Row],[CÁLCULO]]&gt;0), ABS( tabPontoPed[[#This Row],[MENSAL]] - tabPontoPed[[#This Row],[CÁLCULO]] ) / tabPontoPed[[#This Row],[MENSAL]], -1 )</f>
        <v>-1</v>
      </c>
      <c r="U1151" s="58">
        <v>1</v>
      </c>
      <c r="V1151" s="35">
        <f>IF(AND(tabPontoPed[[#This Row],[MENSAL]]&gt;0,tabPontoPed[[#This Row],[CÁLCULO]]&gt;0), IF( tabPontoPed[[#This Row],[MENSAL]] - tabPontoPed[[#This Row],[CÁLCULO]] &lt; 0, -1, IF( tabPontoPed[[#This Row],[MENSAL]] - tabPontoPed[[#This Row],[CÁLCULO]] &gt; 0, 1, -8)), -9 )</f>
        <v>-9</v>
      </c>
      <c r="W1151" s="35"/>
      <c r="X1151" s="49" t="s">
        <v>1564</v>
      </c>
      <c r="Y1151" s="51">
        <v>44391.599108796298</v>
      </c>
      <c r="Z1151" s="72">
        <f>tabPontoPed[CÁLC_4M] - tabPontoPed[CÁLCULO]</f>
        <v>0</v>
      </c>
      <c r="AA1151" s="79" t="str">
        <f>IF(tabPontoPed[MENSAL]-tabPontoPed[ATA MENSAL] = 0,"sim","")</f>
        <v>sim</v>
      </c>
      <c r="AB1151" s="79" t="s">
        <v>1614</v>
      </c>
      <c r="AC1151" s="47" t="str">
        <f t="shared" si="17"/>
        <v>*</v>
      </c>
    </row>
    <row r="1152" spans="1:29" x14ac:dyDescent="0.25">
      <c r="A1152" s="36">
        <v>98748</v>
      </c>
      <c r="B1152" s="68" t="s">
        <v>1412</v>
      </c>
      <c r="C1152" s="33"/>
      <c r="D1152" s="32">
        <v>54</v>
      </c>
      <c r="E1152" s="37">
        <v>19</v>
      </c>
      <c r="F1152" s="38" t="str">
        <f>VLOOKUP(tabPontoPed[[#This Row],[GRUPO]],tabGrupos[#Data],2,FALSE)</f>
        <v>EQUIP PROT IND, INST MAT P/ SINAL, CONTR, COMB ...</v>
      </c>
      <c r="G1152" s="32" t="str">
        <f>VLOOKUP(tabPontoPed[[#This Row],[GRUPO]],tabGrupos[#Data],3,FALSE)</f>
        <v>MAN</v>
      </c>
      <c r="H1152" s="33" t="s">
        <v>1311</v>
      </c>
      <c r="I1152" s="80">
        <v>4</v>
      </c>
      <c r="J1152" s="39">
        <v>0</v>
      </c>
      <c r="K1152" s="41">
        <f>tabPontoPed[[#This Row],[QTDMÊS]] * tabPontoPed[[#This Row],[MENSAL]]</f>
        <v>0</v>
      </c>
      <c r="L1152" s="83"/>
      <c r="M1152" s="81"/>
      <c r="N1152" s="34" t="s">
        <v>1010</v>
      </c>
      <c r="O1152" s="76" t="s">
        <v>1476</v>
      </c>
      <c r="P1152" s="77"/>
      <c r="Q1152" s="57">
        <v>0</v>
      </c>
      <c r="R1152" s="42">
        <v>0</v>
      </c>
      <c r="S1152" s="69" t="str">
        <f>_xlfn.IFNA(IF(VLOOKUP(tabPontoPed[[#This Row],[CÓDIGO]],tabExcluirDoEstoque[#Data],1,FALSE),"sim",""),"")</f>
        <v>sim</v>
      </c>
      <c r="T1152" s="43">
        <f>IF(AND(tabPontoPed[[#This Row],[MENSAL]]&gt;0,tabPontoPed[[#This Row],[CÁLCULO]]&gt;0), ABS( tabPontoPed[[#This Row],[MENSAL]] - tabPontoPed[[#This Row],[CÁLCULO]] ) / tabPontoPed[[#This Row],[MENSAL]], -1 )</f>
        <v>-1</v>
      </c>
      <c r="U1152" s="58">
        <v>0</v>
      </c>
      <c r="V1152" s="35">
        <f>IF(AND(tabPontoPed[[#This Row],[MENSAL]]&gt;0,tabPontoPed[[#This Row],[CÁLCULO]]&gt;0), IF( tabPontoPed[[#This Row],[MENSAL]] - tabPontoPed[[#This Row],[CÁLCULO]] &lt; 0, -1, IF( tabPontoPed[[#This Row],[MENSAL]] - tabPontoPed[[#This Row],[CÁLCULO]] &gt; 0, 1, -8)), -9 )</f>
        <v>-9</v>
      </c>
      <c r="W1152" s="35"/>
      <c r="X1152" s="49" t="s">
        <v>1564</v>
      </c>
      <c r="Y1152" s="51">
        <v>44391.599108796298</v>
      </c>
      <c r="Z1152" s="72">
        <f>tabPontoPed[CÁLC_4M] - tabPontoPed[CÁLCULO]</f>
        <v>0</v>
      </c>
      <c r="AA1152" s="79" t="str">
        <f>IF(tabPontoPed[MENSAL]-tabPontoPed[ATA MENSAL] = 0,"sim","")</f>
        <v>sim</v>
      </c>
      <c r="AB1152" s="79" t="s">
        <v>1614</v>
      </c>
      <c r="AC1152" s="47" t="str">
        <f t="shared" si="17"/>
        <v>*</v>
      </c>
    </row>
    <row r="1153" spans="1:29" x14ac:dyDescent="0.25">
      <c r="A1153" s="36">
        <v>98749</v>
      </c>
      <c r="B1153" s="68" t="s">
        <v>1413</v>
      </c>
      <c r="C1153" s="33"/>
      <c r="D1153" s="32">
        <v>54</v>
      </c>
      <c r="E1153" s="37">
        <v>19</v>
      </c>
      <c r="F1153" s="38" t="str">
        <f>VLOOKUP(tabPontoPed[[#This Row],[GRUPO]],tabGrupos[#Data],2,FALSE)</f>
        <v>EQUIP PROT IND, INST MAT P/ SINAL, CONTR, COMB ...</v>
      </c>
      <c r="G1153" s="32" t="str">
        <f>VLOOKUP(tabPontoPed[[#This Row],[GRUPO]],tabGrupos[#Data],3,FALSE)</f>
        <v>MAN</v>
      </c>
      <c r="H1153" s="33" t="s">
        <v>1311</v>
      </c>
      <c r="I1153" s="80">
        <v>4</v>
      </c>
      <c r="J1153" s="39">
        <v>0</v>
      </c>
      <c r="K1153" s="41">
        <f>tabPontoPed[[#This Row],[QTDMÊS]] * tabPontoPed[[#This Row],[MENSAL]]</f>
        <v>0</v>
      </c>
      <c r="L1153" s="83"/>
      <c r="M1153" s="81"/>
      <c r="N1153" s="34" t="s">
        <v>1009</v>
      </c>
      <c r="O1153" s="76" t="s">
        <v>1476</v>
      </c>
      <c r="P1153" s="77"/>
      <c r="Q1153" s="57">
        <v>0</v>
      </c>
      <c r="R1153" s="42">
        <v>0</v>
      </c>
      <c r="S1153" s="69" t="str">
        <f>_xlfn.IFNA(IF(VLOOKUP(tabPontoPed[[#This Row],[CÓDIGO]],tabExcluirDoEstoque[#Data],1,FALSE),"sim",""),"")</f>
        <v>sim</v>
      </c>
      <c r="T1153" s="43">
        <f>IF(AND(tabPontoPed[[#This Row],[MENSAL]]&gt;0,tabPontoPed[[#This Row],[CÁLCULO]]&gt;0), ABS( tabPontoPed[[#This Row],[MENSAL]] - tabPontoPed[[#This Row],[CÁLCULO]] ) / tabPontoPed[[#This Row],[MENSAL]], -1 )</f>
        <v>-1</v>
      </c>
      <c r="U1153" s="58">
        <v>0</v>
      </c>
      <c r="V1153" s="35">
        <f>IF(AND(tabPontoPed[[#This Row],[MENSAL]]&gt;0,tabPontoPed[[#This Row],[CÁLCULO]]&gt;0), IF( tabPontoPed[[#This Row],[MENSAL]] - tabPontoPed[[#This Row],[CÁLCULO]] &lt; 0, -1, IF( tabPontoPed[[#This Row],[MENSAL]] - tabPontoPed[[#This Row],[CÁLCULO]] &gt; 0, 1, -8)), -9 )</f>
        <v>-9</v>
      </c>
      <c r="W1153" s="35"/>
      <c r="X1153" s="49" t="s">
        <v>1564</v>
      </c>
      <c r="Y1153" s="51">
        <v>44391.599108796298</v>
      </c>
      <c r="Z1153" s="72">
        <f>tabPontoPed[CÁLC_4M] - tabPontoPed[CÁLCULO]</f>
        <v>0</v>
      </c>
      <c r="AA1153" s="79" t="str">
        <f>IF(tabPontoPed[MENSAL]-tabPontoPed[ATA MENSAL] = 0,"sim","")</f>
        <v>sim</v>
      </c>
      <c r="AB1153" s="79" t="s">
        <v>1614</v>
      </c>
      <c r="AC1153" s="47" t="str">
        <f t="shared" si="17"/>
        <v>*</v>
      </c>
    </row>
    <row r="1154" spans="1:29" x14ac:dyDescent="0.25">
      <c r="A1154" s="36">
        <v>98750</v>
      </c>
      <c r="B1154" s="68" t="s">
        <v>1414</v>
      </c>
      <c r="C1154" s="33"/>
      <c r="D1154" s="32">
        <v>54</v>
      </c>
      <c r="E1154" s="37">
        <v>19</v>
      </c>
      <c r="F1154" s="38" t="str">
        <f>VLOOKUP(tabPontoPed[[#This Row],[GRUPO]],tabGrupos[#Data],2,FALSE)</f>
        <v>EQUIP PROT IND, INST MAT P/ SINAL, CONTR, COMB ...</v>
      </c>
      <c r="G1154" s="32" t="str">
        <f>VLOOKUP(tabPontoPed[[#This Row],[GRUPO]],tabGrupos[#Data],3,FALSE)</f>
        <v>MAN</v>
      </c>
      <c r="H1154" s="33" t="s">
        <v>1311</v>
      </c>
      <c r="I1154" s="80">
        <v>4</v>
      </c>
      <c r="J1154" s="39">
        <v>0</v>
      </c>
      <c r="K1154" s="41">
        <f>tabPontoPed[[#This Row],[QTDMÊS]] * tabPontoPed[[#This Row],[MENSAL]]</f>
        <v>0</v>
      </c>
      <c r="L1154" s="83"/>
      <c r="M1154" s="81"/>
      <c r="N1154" s="34" t="s">
        <v>1009</v>
      </c>
      <c r="O1154" s="76"/>
      <c r="P1154" s="77"/>
      <c r="Q1154" s="57">
        <v>0</v>
      </c>
      <c r="R1154" s="42">
        <v>0</v>
      </c>
      <c r="S1154" s="69" t="str">
        <f>_xlfn.IFNA(IF(VLOOKUP(tabPontoPed[[#This Row],[CÓDIGO]],tabExcluirDoEstoque[#Data],1,FALSE),"sim",""),"")</f>
        <v>sim</v>
      </c>
      <c r="T1154" s="43">
        <f>IF(AND(tabPontoPed[[#This Row],[MENSAL]]&gt;0,tabPontoPed[[#This Row],[CÁLCULO]]&gt;0), ABS( tabPontoPed[[#This Row],[MENSAL]] - tabPontoPed[[#This Row],[CÁLCULO]] ) / tabPontoPed[[#This Row],[MENSAL]], -1 )</f>
        <v>-1</v>
      </c>
      <c r="U1154" s="58">
        <v>0</v>
      </c>
      <c r="V1154" s="35">
        <f>IF(AND(tabPontoPed[[#This Row],[MENSAL]]&gt;0,tabPontoPed[[#This Row],[CÁLCULO]]&gt;0), IF( tabPontoPed[[#This Row],[MENSAL]] - tabPontoPed[[#This Row],[CÁLCULO]] &lt; 0, -1, IF( tabPontoPed[[#This Row],[MENSAL]] - tabPontoPed[[#This Row],[CÁLCULO]] &gt; 0, 1, -8)), -9 )</f>
        <v>-9</v>
      </c>
      <c r="W1154" s="35"/>
      <c r="X1154" s="49" t="s">
        <v>1564</v>
      </c>
      <c r="Y1154" s="51">
        <v>44391.599108796298</v>
      </c>
      <c r="Z1154" s="72">
        <f>tabPontoPed[CÁLC_4M] - tabPontoPed[CÁLCULO]</f>
        <v>0</v>
      </c>
      <c r="AA1154" s="79" t="str">
        <f>IF(tabPontoPed[MENSAL]-tabPontoPed[ATA MENSAL] = 0,"sim","")</f>
        <v>sim</v>
      </c>
      <c r="AB1154" s="79" t="s">
        <v>1614</v>
      </c>
      <c r="AC1154" s="47" t="str">
        <f t="shared" si="17"/>
        <v>*</v>
      </c>
    </row>
    <row r="1155" spans="1:29" x14ac:dyDescent="0.25">
      <c r="A1155" s="36">
        <v>98751</v>
      </c>
      <c r="B1155" s="68" t="s">
        <v>1415</v>
      </c>
      <c r="C1155" s="33"/>
      <c r="D1155" s="32">
        <v>54</v>
      </c>
      <c r="E1155" s="37">
        <v>19</v>
      </c>
      <c r="F1155" s="38" t="str">
        <f>VLOOKUP(tabPontoPed[[#This Row],[GRUPO]],tabGrupos[#Data],2,FALSE)</f>
        <v>EQUIP PROT IND, INST MAT P/ SINAL, CONTR, COMB ...</v>
      </c>
      <c r="G1155" s="32" t="str">
        <f>VLOOKUP(tabPontoPed[[#This Row],[GRUPO]],tabGrupos[#Data],3,FALSE)</f>
        <v>MAN</v>
      </c>
      <c r="H1155" s="33" t="s">
        <v>1311</v>
      </c>
      <c r="I1155" s="80">
        <v>4</v>
      </c>
      <c r="J1155" s="39">
        <v>0</v>
      </c>
      <c r="K1155" s="41">
        <f>tabPontoPed[[#This Row],[QTDMÊS]] * tabPontoPed[[#This Row],[MENSAL]]</f>
        <v>0</v>
      </c>
      <c r="L1155" s="83"/>
      <c r="M1155" s="81"/>
      <c r="N1155" s="34" t="s">
        <v>1009</v>
      </c>
      <c r="O1155" s="76" t="s">
        <v>1476</v>
      </c>
      <c r="P1155" s="77"/>
      <c r="Q1155" s="57">
        <v>0</v>
      </c>
      <c r="R1155" s="42">
        <v>0</v>
      </c>
      <c r="S1155" s="69" t="str">
        <f>_xlfn.IFNA(IF(VLOOKUP(tabPontoPed[[#This Row],[CÓDIGO]],tabExcluirDoEstoque[#Data],1,FALSE),"sim",""),"")</f>
        <v>sim</v>
      </c>
      <c r="T1155" s="43">
        <f>IF(AND(tabPontoPed[[#This Row],[MENSAL]]&gt;0,tabPontoPed[[#This Row],[CÁLCULO]]&gt;0), ABS( tabPontoPed[[#This Row],[MENSAL]] - tabPontoPed[[#This Row],[CÁLCULO]] ) / tabPontoPed[[#This Row],[MENSAL]], -1 )</f>
        <v>-1</v>
      </c>
      <c r="U1155" s="58">
        <v>0</v>
      </c>
      <c r="V1155" s="35">
        <f>IF(AND(tabPontoPed[[#This Row],[MENSAL]]&gt;0,tabPontoPed[[#This Row],[CÁLCULO]]&gt;0), IF( tabPontoPed[[#This Row],[MENSAL]] - tabPontoPed[[#This Row],[CÁLCULO]] &lt; 0, -1, IF( tabPontoPed[[#This Row],[MENSAL]] - tabPontoPed[[#This Row],[CÁLCULO]] &gt; 0, 1, -8)), -9 )</f>
        <v>-9</v>
      </c>
      <c r="W1155" s="35"/>
      <c r="X1155" s="49" t="s">
        <v>1564</v>
      </c>
      <c r="Y1155" s="51">
        <v>44391.599108796298</v>
      </c>
      <c r="Z1155" s="72">
        <f>tabPontoPed[CÁLC_4M] - tabPontoPed[CÁLCULO]</f>
        <v>0</v>
      </c>
      <c r="AA1155" s="79" t="str">
        <f>IF(tabPontoPed[MENSAL]-tabPontoPed[ATA MENSAL] = 0,"sim","")</f>
        <v>sim</v>
      </c>
      <c r="AB1155" s="79" t="s">
        <v>1614</v>
      </c>
      <c r="AC1155" s="47" t="str">
        <f t="shared" ref="AC1155:AC1190" si="18">"*"</f>
        <v>*</v>
      </c>
    </row>
    <row r="1156" spans="1:29" x14ac:dyDescent="0.25">
      <c r="A1156" s="36">
        <v>104626</v>
      </c>
      <c r="B1156" s="68" t="s">
        <v>1416</v>
      </c>
      <c r="C1156" s="33"/>
      <c r="D1156" s="32">
        <v>54</v>
      </c>
      <c r="E1156" s="37">
        <v>19</v>
      </c>
      <c r="F1156" s="38" t="str">
        <f>VLOOKUP(tabPontoPed[[#This Row],[GRUPO]],tabGrupos[#Data],2,FALSE)</f>
        <v>EQUIP PROT IND, INST MAT P/ SINAL, CONTR, COMB ...</v>
      </c>
      <c r="G1156" s="32" t="str">
        <f>VLOOKUP(tabPontoPed[[#This Row],[GRUPO]],tabGrupos[#Data],3,FALSE)</f>
        <v>MAN</v>
      </c>
      <c r="H1156" s="33" t="s">
        <v>1311</v>
      </c>
      <c r="I1156" s="80">
        <v>4</v>
      </c>
      <c r="J1156" s="39">
        <v>0</v>
      </c>
      <c r="K1156" s="41">
        <f>tabPontoPed[[#This Row],[QTDMÊS]] * tabPontoPed[[#This Row],[MENSAL]]</f>
        <v>0</v>
      </c>
      <c r="L1156" s="83"/>
      <c r="M1156" s="81"/>
      <c r="N1156" s="34" t="s">
        <v>1010</v>
      </c>
      <c r="O1156" s="76" t="s">
        <v>1424</v>
      </c>
      <c r="P1156" s="77"/>
      <c r="Q1156" s="57">
        <v>0</v>
      </c>
      <c r="R1156" s="42">
        <v>0</v>
      </c>
      <c r="S1156" s="69" t="str">
        <f>_xlfn.IFNA(IF(VLOOKUP(tabPontoPed[[#This Row],[CÓDIGO]],tabExcluirDoEstoque[#Data],1,FALSE),"sim",""),"")</f>
        <v>sim</v>
      </c>
      <c r="T1156" s="43">
        <f>IF(AND(tabPontoPed[[#This Row],[MENSAL]]&gt;0,tabPontoPed[[#This Row],[CÁLCULO]]&gt;0), ABS( tabPontoPed[[#This Row],[MENSAL]] - tabPontoPed[[#This Row],[CÁLCULO]] ) / tabPontoPed[[#This Row],[MENSAL]], -1 )</f>
        <v>-1</v>
      </c>
      <c r="U1156" s="58">
        <v>0</v>
      </c>
      <c r="V1156" s="35">
        <f>IF(AND(tabPontoPed[[#This Row],[MENSAL]]&gt;0,tabPontoPed[[#This Row],[CÁLCULO]]&gt;0), IF( tabPontoPed[[#This Row],[MENSAL]] - tabPontoPed[[#This Row],[CÁLCULO]] &lt; 0, -1, IF( tabPontoPed[[#This Row],[MENSAL]] - tabPontoPed[[#This Row],[CÁLCULO]] &gt; 0, 1, -8)), -9 )</f>
        <v>-9</v>
      </c>
      <c r="W1156" s="35"/>
      <c r="X1156" s="49" t="s">
        <v>1564</v>
      </c>
      <c r="Y1156" s="51">
        <v>44391.599108796298</v>
      </c>
      <c r="Z1156" s="72">
        <f>tabPontoPed[CÁLC_4M] - tabPontoPed[CÁLCULO]</f>
        <v>0</v>
      </c>
      <c r="AA1156" s="79" t="str">
        <f>IF(tabPontoPed[MENSAL]-tabPontoPed[ATA MENSAL] = 0,"sim","")</f>
        <v>sim</v>
      </c>
      <c r="AB1156" s="79" t="s">
        <v>1614</v>
      </c>
      <c r="AC1156" s="47" t="str">
        <f t="shared" si="18"/>
        <v>*</v>
      </c>
    </row>
    <row r="1157" spans="1:29" x14ac:dyDescent="0.25">
      <c r="A1157" s="36">
        <v>104627</v>
      </c>
      <c r="B1157" s="68" t="s">
        <v>1417</v>
      </c>
      <c r="C1157" s="33"/>
      <c r="D1157" s="32">
        <v>54</v>
      </c>
      <c r="E1157" s="37">
        <v>19</v>
      </c>
      <c r="F1157" s="38" t="str">
        <f>VLOOKUP(tabPontoPed[[#This Row],[GRUPO]],tabGrupos[#Data],2,FALSE)</f>
        <v>EQUIP PROT IND, INST MAT P/ SINAL, CONTR, COMB ...</v>
      </c>
      <c r="G1157" s="32" t="str">
        <f>VLOOKUP(tabPontoPed[[#This Row],[GRUPO]],tabGrupos[#Data],3,FALSE)</f>
        <v>MAN</v>
      </c>
      <c r="H1157" s="33" t="s">
        <v>1311</v>
      </c>
      <c r="I1157" s="80">
        <v>4</v>
      </c>
      <c r="J1157" s="39">
        <v>0</v>
      </c>
      <c r="K1157" s="41">
        <f>tabPontoPed[[#This Row],[QTDMÊS]] * tabPontoPed[[#This Row],[MENSAL]]</f>
        <v>0</v>
      </c>
      <c r="L1157" s="83"/>
      <c r="M1157" s="81"/>
      <c r="N1157" s="34" t="s">
        <v>1010</v>
      </c>
      <c r="O1157" s="76" t="s">
        <v>1424</v>
      </c>
      <c r="P1157" s="77"/>
      <c r="Q1157" s="57">
        <v>0</v>
      </c>
      <c r="R1157" s="42">
        <v>1</v>
      </c>
      <c r="S1157" s="69" t="str">
        <f>_xlfn.IFNA(IF(VLOOKUP(tabPontoPed[[#This Row],[CÓDIGO]],tabExcluirDoEstoque[#Data],1,FALSE),"sim",""),"")</f>
        <v>sim</v>
      </c>
      <c r="T1157" s="43">
        <f>IF(AND(tabPontoPed[[#This Row],[MENSAL]]&gt;0,tabPontoPed[[#This Row],[CÁLCULO]]&gt;0), ABS( tabPontoPed[[#This Row],[MENSAL]] - tabPontoPed[[#This Row],[CÁLCULO]] ) / tabPontoPed[[#This Row],[MENSAL]], -1 )</f>
        <v>-1</v>
      </c>
      <c r="U1157" s="58">
        <v>0</v>
      </c>
      <c r="V1157" s="35">
        <f>IF(AND(tabPontoPed[[#This Row],[MENSAL]]&gt;0,tabPontoPed[[#This Row],[CÁLCULO]]&gt;0), IF( tabPontoPed[[#This Row],[MENSAL]] - tabPontoPed[[#This Row],[CÁLCULO]] &lt; 0, -1, IF( tabPontoPed[[#This Row],[MENSAL]] - tabPontoPed[[#This Row],[CÁLCULO]] &gt; 0, 1, -8)), -9 )</f>
        <v>-9</v>
      </c>
      <c r="W1157" s="35"/>
      <c r="X1157" s="49" t="s">
        <v>1564</v>
      </c>
      <c r="Y1157" s="51">
        <v>44391.599108796298</v>
      </c>
      <c r="Z1157" s="72">
        <f>tabPontoPed[CÁLC_4M] - tabPontoPed[CÁLCULO]</f>
        <v>-1</v>
      </c>
      <c r="AA1157" s="79" t="str">
        <f>IF(tabPontoPed[MENSAL]-tabPontoPed[ATA MENSAL] = 0,"sim","")</f>
        <v>sim</v>
      </c>
      <c r="AB1157" s="79" t="s">
        <v>1614</v>
      </c>
      <c r="AC1157" s="47" t="str">
        <f t="shared" si="18"/>
        <v>*</v>
      </c>
    </row>
    <row r="1158" spans="1:29" x14ac:dyDescent="0.25">
      <c r="A1158" s="36">
        <v>104639</v>
      </c>
      <c r="B1158" s="68" t="s">
        <v>608</v>
      </c>
      <c r="C1158" s="33" t="s">
        <v>1317</v>
      </c>
      <c r="D1158" s="32">
        <v>54</v>
      </c>
      <c r="E1158" s="37">
        <v>19</v>
      </c>
      <c r="F1158" s="38" t="str">
        <f>VLOOKUP(tabPontoPed[[#This Row],[GRUPO]],tabGrupos[#Data],2,FALSE)</f>
        <v>EQUIP PROT IND, INST MAT P/ SINAL, CONTR, COMB ...</v>
      </c>
      <c r="G1158" s="32" t="str">
        <f>VLOOKUP(tabPontoPed[[#This Row],[GRUPO]],tabGrupos[#Data],3,FALSE)</f>
        <v>MAN</v>
      </c>
      <c r="H1158" s="33" t="s">
        <v>1311</v>
      </c>
      <c r="I1158" s="80">
        <v>4</v>
      </c>
      <c r="J1158" s="39"/>
      <c r="K1158" s="41">
        <f>tabPontoPed[[#This Row],[QTDMÊS]] * tabPontoPed[[#This Row],[MENSAL]]</f>
        <v>0</v>
      </c>
      <c r="L1158" s="83"/>
      <c r="M1158" s="81"/>
      <c r="N1158" s="34" t="s">
        <v>1009</v>
      </c>
      <c r="O1158" s="76"/>
      <c r="P1158" s="77"/>
      <c r="Q1158" s="57">
        <v>0</v>
      </c>
      <c r="R1158" s="42">
        <v>1</v>
      </c>
      <c r="S1158" s="69" t="str">
        <f>_xlfn.IFNA(IF(VLOOKUP(tabPontoPed[[#This Row],[CÓDIGO]],tabExcluirDoEstoque[#Data],1,FALSE),"sim",""),"")</f>
        <v>sim</v>
      </c>
      <c r="T1158" s="43">
        <f>IF(AND(tabPontoPed[[#This Row],[MENSAL]]&gt;0,tabPontoPed[[#This Row],[CÁLCULO]]&gt;0), ABS( tabPontoPed[[#This Row],[MENSAL]] - tabPontoPed[[#This Row],[CÁLCULO]] ) / tabPontoPed[[#This Row],[MENSAL]], -1 )</f>
        <v>-1</v>
      </c>
      <c r="U1158" s="58">
        <v>4</v>
      </c>
      <c r="V1158" s="35">
        <f>IF(AND(tabPontoPed[[#This Row],[MENSAL]]&gt;0,tabPontoPed[[#This Row],[CÁLCULO]]&gt;0), IF( tabPontoPed[[#This Row],[MENSAL]] - tabPontoPed[[#This Row],[CÁLCULO]] &lt; 0, -1, IF( tabPontoPed[[#This Row],[MENSAL]] - tabPontoPed[[#This Row],[CÁLCULO]] &gt; 0, 1, -8)), -9 )</f>
        <v>-9</v>
      </c>
      <c r="W1158" s="35"/>
      <c r="X1158" s="49" t="s">
        <v>1564</v>
      </c>
      <c r="Y1158" s="51">
        <v>44391.599108796298</v>
      </c>
      <c r="Z1158" s="72">
        <f>tabPontoPed[CÁLC_4M] - tabPontoPed[CÁLCULO]</f>
        <v>-1</v>
      </c>
      <c r="AA1158" s="79" t="str">
        <f>IF(tabPontoPed[MENSAL]-tabPontoPed[ATA MENSAL] = 0,"sim","")</f>
        <v>sim</v>
      </c>
      <c r="AB1158" s="79" t="s">
        <v>1614</v>
      </c>
      <c r="AC1158" s="47" t="str">
        <f t="shared" si="18"/>
        <v>*</v>
      </c>
    </row>
    <row r="1159" spans="1:29" x14ac:dyDescent="0.25">
      <c r="A1159" s="36">
        <v>104640</v>
      </c>
      <c r="B1159" s="68" t="s">
        <v>609</v>
      </c>
      <c r="C1159" s="33" t="s">
        <v>1317</v>
      </c>
      <c r="D1159" s="32">
        <v>54</v>
      </c>
      <c r="E1159" s="37">
        <v>19</v>
      </c>
      <c r="F1159" s="38" t="str">
        <f>VLOOKUP(tabPontoPed[[#This Row],[GRUPO]],tabGrupos[#Data],2,FALSE)</f>
        <v>EQUIP PROT IND, INST MAT P/ SINAL, CONTR, COMB ...</v>
      </c>
      <c r="G1159" s="32" t="str">
        <f>VLOOKUP(tabPontoPed[[#This Row],[GRUPO]],tabGrupos[#Data],3,FALSE)</f>
        <v>MAN</v>
      </c>
      <c r="H1159" s="33" t="s">
        <v>1311</v>
      </c>
      <c r="I1159" s="80">
        <v>4</v>
      </c>
      <c r="J1159" s="39"/>
      <c r="K1159" s="41">
        <f>tabPontoPed[[#This Row],[QTDMÊS]] * tabPontoPed[[#This Row],[MENSAL]]</f>
        <v>0</v>
      </c>
      <c r="L1159" s="83"/>
      <c r="M1159" s="81"/>
      <c r="N1159" s="34" t="s">
        <v>1009</v>
      </c>
      <c r="O1159" s="76"/>
      <c r="P1159" s="77"/>
      <c r="Q1159" s="57">
        <v>1</v>
      </c>
      <c r="R1159" s="42">
        <v>1</v>
      </c>
      <c r="S1159" s="69" t="str">
        <f>_xlfn.IFNA(IF(VLOOKUP(tabPontoPed[[#This Row],[CÓDIGO]],tabExcluirDoEstoque[#Data],1,FALSE),"sim",""),"")</f>
        <v>sim</v>
      </c>
      <c r="T1159" s="43">
        <f>IF(AND(tabPontoPed[[#This Row],[MENSAL]]&gt;0,tabPontoPed[[#This Row],[CÁLCULO]]&gt;0), ABS( tabPontoPed[[#This Row],[MENSAL]] - tabPontoPed[[#This Row],[CÁLCULO]] ) / tabPontoPed[[#This Row],[MENSAL]], -1 )</f>
        <v>-1</v>
      </c>
      <c r="U1159" s="58">
        <v>2</v>
      </c>
      <c r="V1159" s="35">
        <f>IF(AND(tabPontoPed[[#This Row],[MENSAL]]&gt;0,tabPontoPed[[#This Row],[CÁLCULO]]&gt;0), IF( tabPontoPed[[#This Row],[MENSAL]] - tabPontoPed[[#This Row],[CÁLCULO]] &lt; 0, -1, IF( tabPontoPed[[#This Row],[MENSAL]] - tabPontoPed[[#This Row],[CÁLCULO]] &gt; 0, 1, -8)), -9 )</f>
        <v>-9</v>
      </c>
      <c r="W1159" s="35"/>
      <c r="X1159" s="49" t="s">
        <v>1564</v>
      </c>
      <c r="Y1159" s="51">
        <v>44391.599108796298</v>
      </c>
      <c r="Z1159" s="72">
        <f>tabPontoPed[CÁLC_4M] - tabPontoPed[CÁLCULO]</f>
        <v>0</v>
      </c>
      <c r="AA1159" s="79" t="str">
        <f>IF(tabPontoPed[MENSAL]-tabPontoPed[ATA MENSAL] = 0,"sim","")</f>
        <v>sim</v>
      </c>
      <c r="AB1159" s="79" t="s">
        <v>1614</v>
      </c>
      <c r="AC1159" s="47" t="str">
        <f t="shared" si="18"/>
        <v>*</v>
      </c>
    </row>
    <row r="1160" spans="1:29" x14ac:dyDescent="0.25">
      <c r="A1160" s="36">
        <v>17659</v>
      </c>
      <c r="B1160" s="68" t="s">
        <v>981</v>
      </c>
      <c r="C1160" s="33" t="s">
        <v>1317</v>
      </c>
      <c r="D1160" s="32">
        <v>83</v>
      </c>
      <c r="E1160" s="37">
        <v>3</v>
      </c>
      <c r="F1160" s="38" t="str">
        <f>VLOOKUP(tabPontoPed[[#This Row],[GRUPO]],tabGrupos[#Data],2,FALSE)</f>
        <v>ABRASIVOS</v>
      </c>
      <c r="G1160" s="32" t="str">
        <f>VLOOKUP(tabPontoPed[[#This Row],[GRUPO]],tabGrupos[#Data],3,FALSE)</f>
        <v>MAN</v>
      </c>
      <c r="H1160" s="33" t="s">
        <v>1311</v>
      </c>
      <c r="I1160" s="80">
        <v>4</v>
      </c>
      <c r="J1160" s="39"/>
      <c r="K1160" s="41">
        <f>tabPontoPed[[#This Row],[QTDMÊS]] * tabPontoPed[[#This Row],[MENSAL]]</f>
        <v>0</v>
      </c>
      <c r="L1160" s="83"/>
      <c r="M1160" s="81"/>
      <c r="N1160" s="34" t="s">
        <v>1009</v>
      </c>
      <c r="O1160" s="76"/>
      <c r="P1160" s="77"/>
      <c r="Q1160" s="57">
        <v>0</v>
      </c>
      <c r="R1160" s="42">
        <v>0</v>
      </c>
      <c r="S1160" s="69" t="str">
        <f>_xlfn.IFNA(IF(VLOOKUP(tabPontoPed[[#This Row],[CÓDIGO]],tabExcluirDoEstoque[#Data],1,FALSE),"sim",""),"")</f>
        <v>sim</v>
      </c>
      <c r="T1160" s="43">
        <f>IF(AND(tabPontoPed[[#This Row],[MENSAL]]&gt;0,tabPontoPed[[#This Row],[CÁLCULO]]&gt;0), ABS( tabPontoPed[[#This Row],[MENSAL]] - tabPontoPed[[#This Row],[CÁLCULO]] ) / tabPontoPed[[#This Row],[MENSAL]], -1 )</f>
        <v>-1</v>
      </c>
      <c r="U1160" s="58">
        <v>0</v>
      </c>
      <c r="V1160" s="35">
        <f>IF(AND(tabPontoPed[[#This Row],[MENSAL]]&gt;0,tabPontoPed[[#This Row],[CÁLCULO]]&gt;0), IF( tabPontoPed[[#This Row],[MENSAL]] - tabPontoPed[[#This Row],[CÁLCULO]] &lt; 0, -1, IF( tabPontoPed[[#This Row],[MENSAL]] - tabPontoPed[[#This Row],[CÁLCULO]] &gt; 0, 1, -8)), -9 )</f>
        <v>-9</v>
      </c>
      <c r="W1160" s="35"/>
      <c r="X1160" s="49" t="s">
        <v>1564</v>
      </c>
      <c r="Y1160" s="51">
        <v>44391.599108796298</v>
      </c>
      <c r="Z1160" s="72">
        <f>tabPontoPed[CÁLC_4M] - tabPontoPed[CÁLCULO]</f>
        <v>0</v>
      </c>
      <c r="AA1160" s="79" t="str">
        <f>IF(tabPontoPed[MENSAL]-tabPontoPed[ATA MENSAL] = 0,"sim","")</f>
        <v>sim</v>
      </c>
      <c r="AB1160" s="79" t="s">
        <v>1614</v>
      </c>
      <c r="AC1160" s="47" t="str">
        <f t="shared" si="18"/>
        <v>*</v>
      </c>
    </row>
    <row r="1161" spans="1:29" x14ac:dyDescent="0.25">
      <c r="A1161" s="36">
        <v>89855</v>
      </c>
      <c r="B1161" s="68" t="s">
        <v>984</v>
      </c>
      <c r="C1161" s="33" t="s">
        <v>1317</v>
      </c>
      <c r="D1161" s="32">
        <v>83</v>
      </c>
      <c r="E1161" s="37">
        <v>3</v>
      </c>
      <c r="F1161" s="38" t="str">
        <f>VLOOKUP(tabPontoPed[[#This Row],[GRUPO]],tabGrupos[#Data],2,FALSE)</f>
        <v>ABRASIVOS</v>
      </c>
      <c r="G1161" s="32" t="str">
        <f>VLOOKUP(tabPontoPed[[#This Row],[GRUPO]],tabGrupos[#Data],3,FALSE)</f>
        <v>MAN</v>
      </c>
      <c r="H1161" s="33" t="s">
        <v>1311</v>
      </c>
      <c r="I1161" s="80">
        <v>4</v>
      </c>
      <c r="J1161" s="39">
        <v>0</v>
      </c>
      <c r="K1161" s="41">
        <f>tabPontoPed[[#This Row],[QTDMÊS]] * tabPontoPed[[#This Row],[MENSAL]]</f>
        <v>0</v>
      </c>
      <c r="L1161" s="83"/>
      <c r="M1161" s="81"/>
      <c r="N1161" s="34" t="s">
        <v>1009</v>
      </c>
      <c r="O1161" s="76"/>
      <c r="P1161" s="77">
        <v>0</v>
      </c>
      <c r="Q1161" s="57">
        <v>0</v>
      </c>
      <c r="R1161" s="42">
        <v>0</v>
      </c>
      <c r="S1161" s="69" t="str">
        <f>_xlfn.IFNA(IF(VLOOKUP(tabPontoPed[[#This Row],[CÓDIGO]],tabExcluirDoEstoque[#Data],1,FALSE),"sim",""),"")</f>
        <v>sim</v>
      </c>
      <c r="T1161" s="43">
        <f>IF(AND(tabPontoPed[[#This Row],[MENSAL]]&gt;0,tabPontoPed[[#This Row],[CÁLCULO]]&gt;0), ABS( tabPontoPed[[#This Row],[MENSAL]] - tabPontoPed[[#This Row],[CÁLCULO]] ) / tabPontoPed[[#This Row],[MENSAL]], -1 )</f>
        <v>-1</v>
      </c>
      <c r="U1161" s="58">
        <v>0</v>
      </c>
      <c r="V1161" s="35">
        <f>IF(AND(tabPontoPed[[#This Row],[MENSAL]]&gt;0,tabPontoPed[[#This Row],[CÁLCULO]]&gt;0), IF( tabPontoPed[[#This Row],[MENSAL]] - tabPontoPed[[#This Row],[CÁLCULO]] &lt; 0, -1, IF( tabPontoPed[[#This Row],[MENSAL]] - tabPontoPed[[#This Row],[CÁLCULO]] &gt; 0, 1, -8)), -9 )</f>
        <v>-9</v>
      </c>
      <c r="W1161" s="35"/>
      <c r="X1161" s="49" t="s">
        <v>1564</v>
      </c>
      <c r="Y1161" s="51">
        <v>44391.599108796298</v>
      </c>
      <c r="Z1161" s="72">
        <f>tabPontoPed[CÁLC_4M] - tabPontoPed[CÁLCULO]</f>
        <v>0</v>
      </c>
      <c r="AA1161" s="79" t="str">
        <f>IF(tabPontoPed[MENSAL]-tabPontoPed[ATA MENSAL] = 0,"sim","")</f>
        <v>sim</v>
      </c>
      <c r="AB1161" s="79" t="s">
        <v>1614</v>
      </c>
      <c r="AC1161" s="47" t="str">
        <f t="shared" si="18"/>
        <v>*</v>
      </c>
    </row>
    <row r="1162" spans="1:29" x14ac:dyDescent="0.25">
      <c r="A1162" s="36">
        <v>64630</v>
      </c>
      <c r="B1162" s="68" t="s">
        <v>990</v>
      </c>
      <c r="C1162" s="33" t="s">
        <v>1317</v>
      </c>
      <c r="D1162" s="32">
        <v>83</v>
      </c>
      <c r="E1162" s="37">
        <v>5</v>
      </c>
      <c r="F1162" s="38" t="str">
        <f>VLOOKUP(tabPontoPed[[#This Row],[GRUPO]],tabGrupos[#Data],2,FALSE)</f>
        <v>ABRASIVOS</v>
      </c>
      <c r="G1162" s="32" t="str">
        <f>VLOOKUP(tabPontoPed[[#This Row],[GRUPO]],tabGrupos[#Data],3,FALSE)</f>
        <v>MAN</v>
      </c>
      <c r="H1162" s="33" t="s">
        <v>1311</v>
      </c>
      <c r="I1162" s="80">
        <v>4</v>
      </c>
      <c r="J1162" s="39">
        <v>2</v>
      </c>
      <c r="K1162" s="41">
        <f>tabPontoPed[[#This Row],[QTDMÊS]] * tabPontoPed[[#This Row],[MENSAL]]</f>
        <v>8</v>
      </c>
      <c r="L1162" s="83"/>
      <c r="M1162" s="81"/>
      <c r="N1162" s="34" t="s">
        <v>1009</v>
      </c>
      <c r="O1162" s="76" t="s">
        <v>1604</v>
      </c>
      <c r="P1162" s="77">
        <v>0</v>
      </c>
      <c r="Q1162" s="57">
        <v>0</v>
      </c>
      <c r="R1162" s="42">
        <v>0</v>
      </c>
      <c r="S1162" s="69" t="str">
        <f>_xlfn.IFNA(IF(VLOOKUP(tabPontoPed[[#This Row],[CÓDIGO]],tabExcluirDoEstoque[#Data],1,FALSE),"sim",""),"")</f>
        <v>sim</v>
      </c>
      <c r="T1162" s="43">
        <f>IF(AND(tabPontoPed[[#This Row],[MENSAL]]&gt;0,tabPontoPed[[#This Row],[CÁLCULO]]&gt;0), ABS( tabPontoPed[[#This Row],[MENSAL]] - tabPontoPed[[#This Row],[CÁLCULO]] ) / tabPontoPed[[#This Row],[MENSAL]], -1 )</f>
        <v>-1</v>
      </c>
      <c r="U1162" s="58">
        <v>0</v>
      </c>
      <c r="V1162" s="35">
        <f>IF(AND(tabPontoPed[[#This Row],[MENSAL]]&gt;0,tabPontoPed[[#This Row],[CÁLCULO]]&gt;0), IF( tabPontoPed[[#This Row],[MENSAL]] - tabPontoPed[[#This Row],[CÁLCULO]] &lt; 0, -1, IF( tabPontoPed[[#This Row],[MENSAL]] - tabPontoPed[[#This Row],[CÁLCULO]] &gt; 0, 1, -8)), -9 )</f>
        <v>-9</v>
      </c>
      <c r="W1162" s="35"/>
      <c r="X1162" s="49" t="s">
        <v>1564</v>
      </c>
      <c r="Y1162" s="51">
        <v>44391.599108796298</v>
      </c>
      <c r="Z1162" s="72">
        <f>tabPontoPed[CÁLC_4M] - tabPontoPed[CÁLCULO]</f>
        <v>0</v>
      </c>
      <c r="AA1162" s="79" t="str">
        <f>IF(tabPontoPed[MENSAL]-tabPontoPed[ATA MENSAL] = 0,"sim","")</f>
        <v/>
      </c>
      <c r="AB1162" s="79"/>
      <c r="AC1162" s="47" t="str">
        <f t="shared" si="18"/>
        <v>*</v>
      </c>
    </row>
    <row r="1163" spans="1:29" x14ac:dyDescent="0.25">
      <c r="A1163" s="36">
        <v>118864</v>
      </c>
      <c r="B1163" s="68" t="s">
        <v>1256</v>
      </c>
      <c r="C1163" s="33" t="s">
        <v>1317</v>
      </c>
      <c r="D1163" s="32">
        <v>51</v>
      </c>
      <c r="E1163" s="37">
        <v>9</v>
      </c>
      <c r="F1163" s="38" t="str">
        <f>VLOOKUP(tabPontoPed[[#This Row],[GRUPO]],tabGrupos[#Data],2,FALSE)</f>
        <v>MAT.E EQUIP. P/ CONSTR.CIVIL E CONSERV. DE VIAS PUBL.</v>
      </c>
      <c r="G1163" s="32" t="str">
        <f>VLOOKUP(tabPontoPed[[#This Row],[GRUPO]],tabGrupos[#Data],3,FALSE)</f>
        <v>MCO</v>
      </c>
      <c r="H1163" s="33" t="s">
        <v>1311</v>
      </c>
      <c r="I1163" s="80">
        <v>4</v>
      </c>
      <c r="J1163" s="39">
        <v>51</v>
      </c>
      <c r="K1163" s="41">
        <f>tabPontoPed[[#This Row],[QTDMÊS]] * tabPontoPed[[#This Row],[MENSAL]]</f>
        <v>204</v>
      </c>
      <c r="L1163" s="83"/>
      <c r="M1163" s="81"/>
      <c r="N1163" s="34" t="s">
        <v>1010</v>
      </c>
      <c r="O1163" s="76"/>
      <c r="P1163" s="77"/>
      <c r="Q1163" s="57">
        <v>0</v>
      </c>
      <c r="R1163" s="42">
        <v>0</v>
      </c>
      <c r="S1163" s="69" t="str">
        <f>_xlfn.IFNA(IF(VLOOKUP(tabPontoPed[[#This Row],[CÓDIGO]],tabExcluirDoEstoque[#Data],1,FALSE),"sim",""),"")</f>
        <v>sim</v>
      </c>
      <c r="T1163" s="43">
        <f>IF(AND(tabPontoPed[[#This Row],[MENSAL]]&gt;0,tabPontoPed[[#This Row],[CÁLCULO]]&gt;0), ABS( tabPontoPed[[#This Row],[MENSAL]] - tabPontoPed[[#This Row],[CÁLCULO]] ) / tabPontoPed[[#This Row],[MENSAL]], -1 )</f>
        <v>-1</v>
      </c>
      <c r="U1163" s="58"/>
      <c r="V1163" s="35">
        <f>IF(AND(tabPontoPed[[#This Row],[MENSAL]]&gt;0,tabPontoPed[[#This Row],[CÁLCULO]]&gt;0), IF( tabPontoPed[[#This Row],[MENSAL]] - tabPontoPed[[#This Row],[CÁLCULO]] &lt; 0, -1, IF( tabPontoPed[[#This Row],[MENSAL]] - tabPontoPed[[#This Row],[CÁLCULO]] &gt; 0, 1, -8)), -9 )</f>
        <v>-9</v>
      </c>
      <c r="W1163" s="35"/>
      <c r="X1163" s="49" t="s">
        <v>1564</v>
      </c>
      <c r="Y1163" s="51">
        <v>44391.599108796298</v>
      </c>
      <c r="Z1163" s="72">
        <f>tabPontoPed[CÁLC_4M] - tabPontoPed[CÁLCULO]</f>
        <v>0</v>
      </c>
      <c r="AA1163" s="79" t="str">
        <f>IF(tabPontoPed[MENSAL]-tabPontoPed[ATA MENSAL] = 0,"sim","")</f>
        <v/>
      </c>
      <c r="AB1163" s="79"/>
      <c r="AC1163" s="47" t="str">
        <f t="shared" si="18"/>
        <v>*</v>
      </c>
    </row>
    <row r="1164" spans="1:29" x14ac:dyDescent="0.25">
      <c r="A1164" s="36">
        <v>71189</v>
      </c>
      <c r="B1164" s="68" t="s">
        <v>150</v>
      </c>
      <c r="C1164" s="33" t="s">
        <v>1317</v>
      </c>
      <c r="D1164" s="32">
        <v>51</v>
      </c>
      <c r="E1164" s="37">
        <v>10</v>
      </c>
      <c r="F1164" s="38" t="str">
        <f>VLOOKUP(tabPontoPed[[#This Row],[GRUPO]],tabGrupos[#Data],2,FALSE)</f>
        <v>MAT.E EQUIP. P/ CONSTR.CIVIL E CONSERV. DE VIAS PUBL.</v>
      </c>
      <c r="G1164" s="32" t="str">
        <f>VLOOKUP(tabPontoPed[[#This Row],[GRUPO]],tabGrupos[#Data],3,FALSE)</f>
        <v>MCO</v>
      </c>
      <c r="H1164" s="33" t="s">
        <v>1311</v>
      </c>
      <c r="I1164" s="80">
        <v>4</v>
      </c>
      <c r="J1164" s="39"/>
      <c r="K1164" s="41">
        <f>tabPontoPed[[#This Row],[QTDMÊS]] * tabPontoPed[[#This Row],[MENSAL]]</f>
        <v>0</v>
      </c>
      <c r="L1164" s="83"/>
      <c r="M1164" s="81"/>
      <c r="N1164" s="34" t="s">
        <v>1009</v>
      </c>
      <c r="O1164" s="76"/>
      <c r="P1164" s="77"/>
      <c r="Q1164" s="57">
        <v>75</v>
      </c>
      <c r="R1164" s="42">
        <v>25</v>
      </c>
      <c r="S1164" s="69" t="str">
        <f>_xlfn.IFNA(IF(VLOOKUP(tabPontoPed[[#This Row],[CÓDIGO]],tabExcluirDoEstoque[#Data],1,FALSE),"sim",""),"")</f>
        <v>sim</v>
      </c>
      <c r="T1164" s="43">
        <f>IF(AND(tabPontoPed[[#This Row],[MENSAL]]&gt;0,tabPontoPed[[#This Row],[CÁLCULO]]&gt;0), ABS( tabPontoPed[[#This Row],[MENSAL]] - tabPontoPed[[#This Row],[CÁLCULO]] ) / tabPontoPed[[#This Row],[MENSAL]], -1 )</f>
        <v>-1</v>
      </c>
      <c r="U1164" s="58">
        <v>300</v>
      </c>
      <c r="V1164" s="35">
        <f>IF(AND(tabPontoPed[[#This Row],[MENSAL]]&gt;0,tabPontoPed[[#This Row],[CÁLCULO]]&gt;0), IF( tabPontoPed[[#This Row],[MENSAL]] - tabPontoPed[[#This Row],[CÁLCULO]] &lt; 0, -1, IF( tabPontoPed[[#This Row],[MENSAL]] - tabPontoPed[[#This Row],[CÁLCULO]] &gt; 0, 1, -8)), -9 )</f>
        <v>-9</v>
      </c>
      <c r="W1164" s="35"/>
      <c r="X1164" s="49" t="s">
        <v>1564</v>
      </c>
      <c r="Y1164" s="51">
        <v>44391.599108796298</v>
      </c>
      <c r="Z1164" s="72">
        <f>tabPontoPed[CÁLC_4M] - tabPontoPed[CÁLCULO]</f>
        <v>50</v>
      </c>
      <c r="AA1164" s="79" t="str">
        <f>IF(tabPontoPed[MENSAL]-tabPontoPed[ATA MENSAL] = 0,"sim","")</f>
        <v>sim</v>
      </c>
      <c r="AB1164" s="79" t="s">
        <v>1614</v>
      </c>
      <c r="AC1164" s="47" t="str">
        <f t="shared" si="18"/>
        <v>*</v>
      </c>
    </row>
    <row r="1165" spans="1:29" x14ac:dyDescent="0.25">
      <c r="A1165" s="36">
        <v>125260</v>
      </c>
      <c r="B1165" s="68" t="s">
        <v>533</v>
      </c>
      <c r="C1165" s="33" t="s">
        <v>1317</v>
      </c>
      <c r="D1165" s="32">
        <v>51</v>
      </c>
      <c r="E1165" s="37">
        <v>21</v>
      </c>
      <c r="F1165" s="38" t="str">
        <f>VLOOKUP(tabPontoPed[[#This Row],[GRUPO]],tabGrupos[#Data],2,FALSE)</f>
        <v>MAT.E EQUIP. P/ CONSTR.CIVIL E CONSERV. DE VIAS PUBL.</v>
      </c>
      <c r="G1165" s="32" t="str">
        <f>VLOOKUP(tabPontoPed[[#This Row],[GRUPO]],tabGrupos[#Data],3,FALSE)</f>
        <v>MCO</v>
      </c>
      <c r="H1165" s="33" t="s">
        <v>1311</v>
      </c>
      <c r="I1165" s="80">
        <v>4</v>
      </c>
      <c r="J1165" s="39">
        <v>27</v>
      </c>
      <c r="K1165" s="41">
        <f>tabPontoPed[[#This Row],[QTDMÊS]] * tabPontoPed[[#This Row],[MENSAL]]</f>
        <v>108</v>
      </c>
      <c r="L1165" s="83"/>
      <c r="M1165" s="81"/>
      <c r="N1165" s="34" t="s">
        <v>1010</v>
      </c>
      <c r="O1165" s="76"/>
      <c r="P1165" s="77"/>
      <c r="Q1165" s="57">
        <v>0</v>
      </c>
      <c r="R1165" s="42">
        <v>0</v>
      </c>
      <c r="S1165" s="69" t="str">
        <f>_xlfn.IFNA(IF(VLOOKUP(tabPontoPed[[#This Row],[CÓDIGO]],tabExcluirDoEstoque[#Data],1,FALSE),"sim",""),"")</f>
        <v>sim</v>
      </c>
      <c r="T1165" s="43">
        <f>IF(AND(tabPontoPed[[#This Row],[MENSAL]]&gt;0,tabPontoPed[[#This Row],[CÁLCULO]]&gt;0), ABS( tabPontoPed[[#This Row],[MENSAL]] - tabPontoPed[[#This Row],[CÁLCULO]] ) / tabPontoPed[[#This Row],[MENSAL]], -1 )</f>
        <v>-1</v>
      </c>
      <c r="U1165" s="58"/>
      <c r="V1165" s="35">
        <f>IF(AND(tabPontoPed[[#This Row],[MENSAL]]&gt;0,tabPontoPed[[#This Row],[CÁLCULO]]&gt;0), IF( tabPontoPed[[#This Row],[MENSAL]] - tabPontoPed[[#This Row],[CÁLCULO]] &lt; 0, -1, IF( tabPontoPed[[#This Row],[MENSAL]] - tabPontoPed[[#This Row],[CÁLCULO]] &gt; 0, 1, -8)), -9 )</f>
        <v>-9</v>
      </c>
      <c r="W1165" s="35"/>
      <c r="X1165" s="49" t="s">
        <v>1564</v>
      </c>
      <c r="Y1165" s="51">
        <v>44391.599108796298</v>
      </c>
      <c r="Z1165" s="72">
        <f>tabPontoPed[CÁLC_4M] - tabPontoPed[CÁLCULO]</f>
        <v>0</v>
      </c>
      <c r="AA1165" s="79" t="str">
        <f>IF(tabPontoPed[MENSAL]-tabPontoPed[ATA MENSAL] = 0,"sim","")</f>
        <v/>
      </c>
      <c r="AB1165" s="79"/>
      <c r="AC1165" s="47" t="str">
        <f t="shared" si="18"/>
        <v>*</v>
      </c>
    </row>
    <row r="1166" spans="1:29" x14ac:dyDescent="0.25">
      <c r="A1166" s="36">
        <v>114255</v>
      </c>
      <c r="B1166" s="68" t="s">
        <v>531</v>
      </c>
      <c r="C1166" s="33" t="s">
        <v>1317</v>
      </c>
      <c r="D1166" s="32">
        <v>51</v>
      </c>
      <c r="E1166" s="37">
        <v>21</v>
      </c>
      <c r="F1166" s="38" t="str">
        <f>VLOOKUP(tabPontoPed[[#This Row],[GRUPO]],tabGrupos[#Data],2,FALSE)</f>
        <v>MAT.E EQUIP. P/ CONSTR.CIVIL E CONSERV. DE VIAS PUBL.</v>
      </c>
      <c r="G1166" s="32" t="str">
        <f>VLOOKUP(tabPontoPed[[#This Row],[GRUPO]],tabGrupos[#Data],3,FALSE)</f>
        <v>MCO</v>
      </c>
      <c r="H1166" s="33" t="s">
        <v>1311</v>
      </c>
      <c r="I1166" s="80">
        <v>4</v>
      </c>
      <c r="J1166" s="39">
        <v>27</v>
      </c>
      <c r="K1166" s="41">
        <f>tabPontoPed[[#This Row],[QTDMÊS]] * tabPontoPed[[#This Row],[MENSAL]]</f>
        <v>108</v>
      </c>
      <c r="L1166" s="83"/>
      <c r="M1166" s="81"/>
      <c r="N1166" s="34" t="s">
        <v>1010</v>
      </c>
      <c r="O1166" s="76"/>
      <c r="P1166" s="77"/>
      <c r="Q1166" s="57">
        <v>0</v>
      </c>
      <c r="R1166" s="42">
        <v>0</v>
      </c>
      <c r="S1166" s="69" t="str">
        <f>_xlfn.IFNA(IF(VLOOKUP(tabPontoPed[[#This Row],[CÓDIGO]],tabExcluirDoEstoque[#Data],1,FALSE),"sim",""),"")</f>
        <v>sim</v>
      </c>
      <c r="T1166" s="43">
        <f>IF(AND(tabPontoPed[[#This Row],[MENSAL]]&gt;0,tabPontoPed[[#This Row],[CÁLCULO]]&gt;0), ABS( tabPontoPed[[#This Row],[MENSAL]] - tabPontoPed[[#This Row],[CÁLCULO]] ) / tabPontoPed[[#This Row],[MENSAL]], -1 )</f>
        <v>-1</v>
      </c>
      <c r="U1166" s="58"/>
      <c r="V1166" s="35">
        <f>IF(AND(tabPontoPed[[#This Row],[MENSAL]]&gt;0,tabPontoPed[[#This Row],[CÁLCULO]]&gt;0), IF( tabPontoPed[[#This Row],[MENSAL]] - tabPontoPed[[#This Row],[CÁLCULO]] &lt; 0, -1, IF( tabPontoPed[[#This Row],[MENSAL]] - tabPontoPed[[#This Row],[CÁLCULO]] &gt; 0, 1, -8)), -9 )</f>
        <v>-9</v>
      </c>
      <c r="W1166" s="35"/>
      <c r="X1166" s="49" t="s">
        <v>1564</v>
      </c>
      <c r="Y1166" s="51">
        <v>44391.599108796298</v>
      </c>
      <c r="Z1166" s="72">
        <f>tabPontoPed[CÁLC_4M] - tabPontoPed[CÁLCULO]</f>
        <v>0</v>
      </c>
      <c r="AA1166" s="79" t="str">
        <f>IF(tabPontoPed[MENSAL]-tabPontoPed[ATA MENSAL] = 0,"sim","")</f>
        <v/>
      </c>
      <c r="AB1166" s="79"/>
      <c r="AC1166" s="47" t="str">
        <f t="shared" si="18"/>
        <v>*</v>
      </c>
    </row>
    <row r="1167" spans="1:29" x14ac:dyDescent="0.25">
      <c r="A1167" s="36">
        <v>13033</v>
      </c>
      <c r="B1167" s="68" t="s">
        <v>537</v>
      </c>
      <c r="C1167" s="33" t="s">
        <v>1317</v>
      </c>
      <c r="D1167" s="32">
        <v>51</v>
      </c>
      <c r="E1167" s="37">
        <v>26</v>
      </c>
      <c r="F1167" s="38" t="str">
        <f>VLOOKUP(tabPontoPed[[#This Row],[GRUPO]],tabGrupos[#Data],2,FALSE)</f>
        <v>MAT.E EQUIP. P/ CONSTR.CIVIL E CONSERV. DE VIAS PUBL.</v>
      </c>
      <c r="G1167" s="32" t="str">
        <f>VLOOKUP(tabPontoPed[[#This Row],[GRUPO]],tabGrupos[#Data],3,FALSE)</f>
        <v>MCO</v>
      </c>
      <c r="H1167" s="33" t="s">
        <v>1311</v>
      </c>
      <c r="I1167" s="80">
        <v>4</v>
      </c>
      <c r="J1167" s="39">
        <v>3</v>
      </c>
      <c r="K1167" s="41">
        <f>tabPontoPed[[#This Row],[QTDMÊS]] * tabPontoPed[[#This Row],[MENSAL]]</f>
        <v>12</v>
      </c>
      <c r="L1167" s="83"/>
      <c r="M1167" s="81"/>
      <c r="N1167" s="34" t="s">
        <v>1010</v>
      </c>
      <c r="O1167" s="76"/>
      <c r="P1167" s="77"/>
      <c r="Q1167" s="57">
        <v>0</v>
      </c>
      <c r="R1167" s="42">
        <v>0</v>
      </c>
      <c r="S1167" s="69" t="str">
        <f>_xlfn.IFNA(IF(VLOOKUP(tabPontoPed[[#This Row],[CÓDIGO]],tabExcluirDoEstoque[#Data],1,FALSE),"sim",""),"")</f>
        <v>sim</v>
      </c>
      <c r="T1167" s="43">
        <f>IF(AND(tabPontoPed[[#This Row],[MENSAL]]&gt;0,tabPontoPed[[#This Row],[CÁLCULO]]&gt;0), ABS( tabPontoPed[[#This Row],[MENSAL]] - tabPontoPed[[#This Row],[CÁLCULO]] ) / tabPontoPed[[#This Row],[MENSAL]], -1 )</f>
        <v>-1</v>
      </c>
      <c r="U1167" s="58"/>
      <c r="V1167" s="35">
        <f>IF(AND(tabPontoPed[[#This Row],[MENSAL]]&gt;0,tabPontoPed[[#This Row],[CÁLCULO]]&gt;0), IF( tabPontoPed[[#This Row],[MENSAL]] - tabPontoPed[[#This Row],[CÁLCULO]] &lt; 0, -1, IF( tabPontoPed[[#This Row],[MENSAL]] - tabPontoPed[[#This Row],[CÁLCULO]] &gt; 0, 1, -8)), -9 )</f>
        <v>-9</v>
      </c>
      <c r="W1167" s="35"/>
      <c r="X1167" s="49" t="s">
        <v>1564</v>
      </c>
      <c r="Y1167" s="51">
        <v>44391.599108796298</v>
      </c>
      <c r="Z1167" s="72">
        <f>tabPontoPed[CÁLC_4M] - tabPontoPed[CÁLCULO]</f>
        <v>0</v>
      </c>
      <c r="AA1167" s="79" t="str">
        <f>IF(tabPontoPed[MENSAL]-tabPontoPed[ATA MENSAL] = 0,"sim","")</f>
        <v/>
      </c>
      <c r="AB1167" s="79"/>
      <c r="AC1167" s="47" t="str">
        <f t="shared" si="18"/>
        <v>*</v>
      </c>
    </row>
    <row r="1168" spans="1:29" x14ac:dyDescent="0.25">
      <c r="A1168" s="36">
        <v>26368</v>
      </c>
      <c r="B1168" s="68" t="s">
        <v>539</v>
      </c>
      <c r="C1168" s="33" t="s">
        <v>1317</v>
      </c>
      <c r="D1168" s="32">
        <v>51</v>
      </c>
      <c r="E1168" s="37">
        <v>26</v>
      </c>
      <c r="F1168" s="38" t="str">
        <f>VLOOKUP(tabPontoPed[[#This Row],[GRUPO]],tabGrupos[#Data],2,FALSE)</f>
        <v>MAT.E EQUIP. P/ CONSTR.CIVIL E CONSERV. DE VIAS PUBL.</v>
      </c>
      <c r="G1168" s="32" t="str">
        <f>VLOOKUP(tabPontoPed[[#This Row],[GRUPO]],tabGrupos[#Data],3,FALSE)</f>
        <v>MCO</v>
      </c>
      <c r="H1168" s="33" t="s">
        <v>1311</v>
      </c>
      <c r="I1168" s="80">
        <v>4</v>
      </c>
      <c r="J1168" s="39">
        <v>1</v>
      </c>
      <c r="K1168" s="41">
        <f>tabPontoPed[[#This Row],[QTDMÊS]] * tabPontoPed[[#This Row],[MENSAL]]</f>
        <v>4</v>
      </c>
      <c r="L1168" s="83"/>
      <c r="M1168" s="81"/>
      <c r="N1168" s="34" t="s">
        <v>1010</v>
      </c>
      <c r="O1168" s="76"/>
      <c r="P1168" s="77"/>
      <c r="Q1168" s="57">
        <v>0</v>
      </c>
      <c r="R1168" s="42">
        <v>0</v>
      </c>
      <c r="S1168" s="69" t="str">
        <f>_xlfn.IFNA(IF(VLOOKUP(tabPontoPed[[#This Row],[CÓDIGO]],tabExcluirDoEstoque[#Data],1,FALSE),"sim",""),"")</f>
        <v>sim</v>
      </c>
      <c r="T1168" s="43">
        <f>IF(AND(tabPontoPed[[#This Row],[MENSAL]]&gt;0,tabPontoPed[[#This Row],[CÁLCULO]]&gt;0), ABS( tabPontoPed[[#This Row],[MENSAL]] - tabPontoPed[[#This Row],[CÁLCULO]] ) / tabPontoPed[[#This Row],[MENSAL]], -1 )</f>
        <v>-1</v>
      </c>
      <c r="U1168" s="58"/>
      <c r="V1168" s="35">
        <f>IF(AND(tabPontoPed[[#This Row],[MENSAL]]&gt;0,tabPontoPed[[#This Row],[CÁLCULO]]&gt;0), IF( tabPontoPed[[#This Row],[MENSAL]] - tabPontoPed[[#This Row],[CÁLCULO]] &lt; 0, -1, IF( tabPontoPed[[#This Row],[MENSAL]] - tabPontoPed[[#This Row],[CÁLCULO]] &gt; 0, 1, -8)), -9 )</f>
        <v>-9</v>
      </c>
      <c r="W1168" s="35"/>
      <c r="X1168" s="49" t="s">
        <v>1564</v>
      </c>
      <c r="Y1168" s="51">
        <v>44391.599108796298</v>
      </c>
      <c r="Z1168" s="72">
        <f>tabPontoPed[CÁLC_4M] - tabPontoPed[CÁLCULO]</f>
        <v>0</v>
      </c>
      <c r="AA1168" s="79" t="str">
        <f>IF(tabPontoPed[MENSAL]-tabPontoPed[ATA MENSAL] = 0,"sim","")</f>
        <v/>
      </c>
      <c r="AB1168" s="79"/>
      <c r="AC1168" s="47" t="str">
        <f t="shared" si="18"/>
        <v>*</v>
      </c>
    </row>
    <row r="1169" spans="1:29" x14ac:dyDescent="0.25">
      <c r="A1169" s="36">
        <v>75915</v>
      </c>
      <c r="B1169" s="68" t="s">
        <v>561</v>
      </c>
      <c r="C1169" s="33" t="s">
        <v>1317</v>
      </c>
      <c r="D1169" s="32">
        <v>51</v>
      </c>
      <c r="E1169" s="37">
        <v>37</v>
      </c>
      <c r="F1169" s="38" t="str">
        <f>VLOOKUP(tabPontoPed[[#This Row],[GRUPO]],tabGrupos[#Data],2,FALSE)</f>
        <v>MAT.E EQUIP. P/ CONSTR.CIVIL E CONSERV. DE VIAS PUBL.</v>
      </c>
      <c r="G1169" s="32" t="str">
        <f>VLOOKUP(tabPontoPed[[#This Row],[GRUPO]],tabGrupos[#Data],3,FALSE)</f>
        <v>MCO</v>
      </c>
      <c r="H1169" s="33" t="s">
        <v>1311</v>
      </c>
      <c r="I1169" s="80">
        <v>4</v>
      </c>
      <c r="J1169" s="39">
        <v>8</v>
      </c>
      <c r="K1169" s="41">
        <f>tabPontoPed[[#This Row],[QTDMÊS]] * tabPontoPed[[#This Row],[MENSAL]]</f>
        <v>32</v>
      </c>
      <c r="L1169" s="83"/>
      <c r="M1169" s="81"/>
      <c r="N1169" s="34" t="s">
        <v>1010</v>
      </c>
      <c r="O1169" s="76"/>
      <c r="P1169" s="77"/>
      <c r="Q1169" s="57">
        <v>0</v>
      </c>
      <c r="R1169" s="42">
        <v>0</v>
      </c>
      <c r="S1169" s="69" t="str">
        <f>_xlfn.IFNA(IF(VLOOKUP(tabPontoPed[[#This Row],[CÓDIGO]],tabExcluirDoEstoque[#Data],1,FALSE),"sim",""),"")</f>
        <v>sim</v>
      </c>
      <c r="T1169" s="43">
        <f>IF(AND(tabPontoPed[[#This Row],[MENSAL]]&gt;0,tabPontoPed[[#This Row],[CÁLCULO]]&gt;0), ABS( tabPontoPed[[#This Row],[MENSAL]] - tabPontoPed[[#This Row],[CÁLCULO]] ) / tabPontoPed[[#This Row],[MENSAL]], -1 )</f>
        <v>-1</v>
      </c>
      <c r="U1169" s="58"/>
      <c r="V1169" s="35">
        <f>IF(AND(tabPontoPed[[#This Row],[MENSAL]]&gt;0,tabPontoPed[[#This Row],[CÁLCULO]]&gt;0), IF( tabPontoPed[[#This Row],[MENSAL]] - tabPontoPed[[#This Row],[CÁLCULO]] &lt; 0, -1, IF( tabPontoPed[[#This Row],[MENSAL]] - tabPontoPed[[#This Row],[CÁLCULO]] &gt; 0, 1, -8)), -9 )</f>
        <v>-9</v>
      </c>
      <c r="W1169" s="35"/>
      <c r="X1169" s="49" t="s">
        <v>1564</v>
      </c>
      <c r="Y1169" s="51">
        <v>44391.599108796298</v>
      </c>
      <c r="Z1169" s="72">
        <f>tabPontoPed[CÁLC_4M] - tabPontoPed[CÁLCULO]</f>
        <v>0</v>
      </c>
      <c r="AA1169" s="79" t="str">
        <f>IF(tabPontoPed[MENSAL]-tabPontoPed[ATA MENSAL] = 0,"sim","")</f>
        <v/>
      </c>
      <c r="AB1169" s="79"/>
      <c r="AC1169" s="47" t="str">
        <f t="shared" si="18"/>
        <v>*</v>
      </c>
    </row>
    <row r="1170" spans="1:29" x14ac:dyDescent="0.25">
      <c r="A1170" s="36">
        <v>97965</v>
      </c>
      <c r="B1170" s="68" t="s">
        <v>949</v>
      </c>
      <c r="C1170" s="33" t="s">
        <v>1317</v>
      </c>
      <c r="D1170" s="32">
        <v>74</v>
      </c>
      <c r="E1170" s="37">
        <v>4</v>
      </c>
      <c r="F1170" s="38" t="str">
        <f>VLOOKUP(tabPontoPed[[#This Row],[GRUPO]],tabGrupos[#Data],2,FALSE)</f>
        <v>MADEIRAS,LAMINADOS,COMPENSADOS E AGLOMERADOS</v>
      </c>
      <c r="G1170" s="32" t="str">
        <f>VLOOKUP(tabPontoPed[[#This Row],[GRUPO]],tabGrupos[#Data],3,FALSE)</f>
        <v>MCO</v>
      </c>
      <c r="H1170" s="33" t="s">
        <v>1311</v>
      </c>
      <c r="I1170" s="80">
        <v>4</v>
      </c>
      <c r="J1170" s="39">
        <v>2</v>
      </c>
      <c r="K1170" s="41">
        <f>tabPontoPed[[#This Row],[QTDMÊS]] * tabPontoPed[[#This Row],[MENSAL]]</f>
        <v>8</v>
      </c>
      <c r="L1170" s="83"/>
      <c r="M1170" s="81"/>
      <c r="N1170" s="34" t="s">
        <v>1009</v>
      </c>
      <c r="O1170" s="76" t="s">
        <v>1456</v>
      </c>
      <c r="P1170" s="77">
        <v>2</v>
      </c>
      <c r="Q1170" s="57">
        <v>0</v>
      </c>
      <c r="R1170" s="42">
        <v>0</v>
      </c>
      <c r="S1170" s="69" t="str">
        <f>_xlfn.IFNA(IF(VLOOKUP(tabPontoPed[[#This Row],[CÓDIGO]],tabExcluirDoEstoque[#Data],1,FALSE),"sim",""),"")</f>
        <v>sim</v>
      </c>
      <c r="T1170" s="43">
        <f>IF(AND(tabPontoPed[[#This Row],[MENSAL]]&gt;0,tabPontoPed[[#This Row],[CÁLCULO]]&gt;0), ABS( tabPontoPed[[#This Row],[MENSAL]] - tabPontoPed[[#This Row],[CÁLCULO]] ) / tabPontoPed[[#This Row],[MENSAL]], -1 )</f>
        <v>-1</v>
      </c>
      <c r="U1170" s="58">
        <v>0</v>
      </c>
      <c r="V1170" s="35">
        <f>IF(AND(tabPontoPed[[#This Row],[MENSAL]]&gt;0,tabPontoPed[[#This Row],[CÁLCULO]]&gt;0), IF( tabPontoPed[[#This Row],[MENSAL]] - tabPontoPed[[#This Row],[CÁLCULO]] &lt; 0, -1, IF( tabPontoPed[[#This Row],[MENSAL]] - tabPontoPed[[#This Row],[CÁLCULO]] &gt; 0, 1, -8)), -9 )</f>
        <v>-9</v>
      </c>
      <c r="W1170" s="35"/>
      <c r="X1170" s="49" t="s">
        <v>1564</v>
      </c>
      <c r="Y1170" s="51">
        <v>44391.599108796298</v>
      </c>
      <c r="Z1170" s="72">
        <f>tabPontoPed[CÁLC_4M] - tabPontoPed[CÁLCULO]</f>
        <v>0</v>
      </c>
      <c r="AA1170" s="79" t="str">
        <f>IF(tabPontoPed[MENSAL]-tabPontoPed[ATA MENSAL] = 0,"sim","")</f>
        <v>sim</v>
      </c>
      <c r="AB1170" s="79" t="s">
        <v>1614</v>
      </c>
      <c r="AC1170" s="47" t="str">
        <f t="shared" si="18"/>
        <v>*</v>
      </c>
    </row>
    <row r="1171" spans="1:29" x14ac:dyDescent="0.25">
      <c r="A1171" s="36">
        <v>128389</v>
      </c>
      <c r="B1171" s="68" t="s">
        <v>616</v>
      </c>
      <c r="C1171" s="33" t="s">
        <v>1317</v>
      </c>
      <c r="D1171" s="32">
        <v>55</v>
      </c>
      <c r="E1171" s="37">
        <v>5</v>
      </c>
      <c r="F1171" s="38" t="str">
        <f>VLOOKUP(tabPontoPed[[#This Row],[GRUPO]],tabGrupos[#Data],2,FALSE)</f>
        <v>EQUIP. MAT. P/ GERACAO, TRANSM. DISTR. RETIF...</v>
      </c>
      <c r="G1171" s="32" t="str">
        <f>VLOOKUP(tabPontoPed[[#This Row],[GRUPO]],tabGrupos[#Data],3,FALSE)</f>
        <v>MEL</v>
      </c>
      <c r="H1171" s="33" t="s">
        <v>1311</v>
      </c>
      <c r="I1171" s="80">
        <v>4</v>
      </c>
      <c r="J1171" s="39"/>
      <c r="K1171" s="41">
        <f>tabPontoPed[[#This Row],[QTDMÊS]] * tabPontoPed[[#This Row],[MENSAL]]</f>
        <v>0</v>
      </c>
      <c r="L1171" s="83"/>
      <c r="M1171" s="81"/>
      <c r="N1171" s="34" t="s">
        <v>1009</v>
      </c>
      <c r="O1171" s="76"/>
      <c r="P1171" s="77">
        <v>0</v>
      </c>
      <c r="Q1171" s="57">
        <v>0</v>
      </c>
      <c r="R1171" s="42">
        <v>0</v>
      </c>
      <c r="S1171" s="69" t="str">
        <f>_xlfn.IFNA(IF(VLOOKUP(tabPontoPed[[#This Row],[CÓDIGO]],tabExcluirDoEstoque[#Data],1,FALSE),"sim",""),"")</f>
        <v>sim</v>
      </c>
      <c r="T1171" s="43">
        <f>IF(AND(tabPontoPed[[#This Row],[MENSAL]]&gt;0,tabPontoPed[[#This Row],[CÁLCULO]]&gt;0), ABS( tabPontoPed[[#This Row],[MENSAL]] - tabPontoPed[[#This Row],[CÁLCULO]] ) / tabPontoPed[[#This Row],[MENSAL]], -1 )</f>
        <v>-1</v>
      </c>
      <c r="U1171" s="58">
        <v>0</v>
      </c>
      <c r="V1171" s="35">
        <f>IF(AND(tabPontoPed[[#This Row],[MENSAL]]&gt;0,tabPontoPed[[#This Row],[CÁLCULO]]&gt;0), IF( tabPontoPed[[#This Row],[MENSAL]] - tabPontoPed[[#This Row],[CÁLCULO]] &lt; 0, -1, IF( tabPontoPed[[#This Row],[MENSAL]] - tabPontoPed[[#This Row],[CÁLCULO]] &gt; 0, 1, -8)), -9 )</f>
        <v>-9</v>
      </c>
      <c r="W1171" s="35"/>
      <c r="X1171" s="49" t="s">
        <v>1564</v>
      </c>
      <c r="Y1171" s="51">
        <v>44391.599108796298</v>
      </c>
      <c r="Z1171" s="72">
        <f>tabPontoPed[CÁLC_4M] - tabPontoPed[CÁLCULO]</f>
        <v>0</v>
      </c>
      <c r="AA1171" s="79" t="str">
        <f>IF(tabPontoPed[MENSAL]-tabPontoPed[ATA MENSAL] = 0,"sim","")</f>
        <v>sim</v>
      </c>
      <c r="AB1171" s="79" t="s">
        <v>1614</v>
      </c>
      <c r="AC1171" s="47" t="str">
        <f t="shared" si="18"/>
        <v>*</v>
      </c>
    </row>
    <row r="1172" spans="1:29" x14ac:dyDescent="0.25">
      <c r="A1172" s="36">
        <v>68351</v>
      </c>
      <c r="B1172" s="68" t="s">
        <v>615</v>
      </c>
      <c r="C1172" s="33" t="s">
        <v>1317</v>
      </c>
      <c r="D1172" s="32">
        <v>55</v>
      </c>
      <c r="E1172" s="37">
        <v>5</v>
      </c>
      <c r="F1172" s="38" t="str">
        <f>VLOOKUP(tabPontoPed[[#This Row],[GRUPO]],tabGrupos[#Data],2,FALSE)</f>
        <v>EQUIP. MAT. P/ GERACAO, TRANSM. DISTR. RETIF...</v>
      </c>
      <c r="G1172" s="32" t="str">
        <f>VLOOKUP(tabPontoPed[[#This Row],[GRUPO]],tabGrupos[#Data],3,FALSE)</f>
        <v>MEL</v>
      </c>
      <c r="H1172" s="33" t="s">
        <v>1311</v>
      </c>
      <c r="I1172" s="80">
        <v>4</v>
      </c>
      <c r="J1172" s="39">
        <v>2</v>
      </c>
      <c r="K1172" s="41">
        <f>tabPontoPed[[#This Row],[QTDMÊS]] * tabPontoPed[[#This Row],[MENSAL]]</f>
        <v>8</v>
      </c>
      <c r="L1172" s="83"/>
      <c r="M1172" s="81"/>
      <c r="N1172" s="34" t="s">
        <v>1010</v>
      </c>
      <c r="O1172" s="76" t="s">
        <v>1424</v>
      </c>
      <c r="P1172" s="77"/>
      <c r="Q1172" s="57">
        <v>0</v>
      </c>
      <c r="R1172" s="42">
        <v>0</v>
      </c>
      <c r="S1172" s="69" t="str">
        <f>_xlfn.IFNA(IF(VLOOKUP(tabPontoPed[[#This Row],[CÓDIGO]],tabExcluirDoEstoque[#Data],1,FALSE),"sim",""),"")</f>
        <v>sim</v>
      </c>
      <c r="T1172" s="43">
        <f>IF(AND(tabPontoPed[[#This Row],[MENSAL]]&gt;0,tabPontoPed[[#This Row],[CÁLCULO]]&gt;0), ABS( tabPontoPed[[#This Row],[MENSAL]] - tabPontoPed[[#This Row],[CÁLCULO]] ) / tabPontoPed[[#This Row],[MENSAL]], -1 )</f>
        <v>-1</v>
      </c>
      <c r="U1172" s="58"/>
      <c r="V1172" s="35">
        <f>IF(AND(tabPontoPed[[#This Row],[MENSAL]]&gt;0,tabPontoPed[[#This Row],[CÁLCULO]]&gt;0), IF( tabPontoPed[[#This Row],[MENSAL]] - tabPontoPed[[#This Row],[CÁLCULO]] &lt; 0, -1, IF( tabPontoPed[[#This Row],[MENSAL]] - tabPontoPed[[#This Row],[CÁLCULO]] &gt; 0, 1, -8)), -9 )</f>
        <v>-9</v>
      </c>
      <c r="W1172" s="35"/>
      <c r="X1172" s="49" t="s">
        <v>1564</v>
      </c>
      <c r="Y1172" s="51">
        <v>44391.599108796298</v>
      </c>
      <c r="Z1172" s="72">
        <f>tabPontoPed[CÁLC_4M] - tabPontoPed[CÁLCULO]</f>
        <v>0</v>
      </c>
      <c r="AA1172" s="79" t="str">
        <f>IF(tabPontoPed[MENSAL]-tabPontoPed[ATA MENSAL] = 0,"sim","")</f>
        <v/>
      </c>
      <c r="AB1172" s="79"/>
      <c r="AC1172" s="47" t="str">
        <f t="shared" si="18"/>
        <v>*</v>
      </c>
    </row>
    <row r="1173" spans="1:29" x14ac:dyDescent="0.25">
      <c r="A1173" s="36">
        <v>127963</v>
      </c>
      <c r="B1173" s="68" t="s">
        <v>667</v>
      </c>
      <c r="C1173" s="33" t="s">
        <v>1317</v>
      </c>
      <c r="D1173" s="32">
        <v>55</v>
      </c>
      <c r="E1173" s="37">
        <v>34</v>
      </c>
      <c r="F1173" s="38" t="str">
        <f>VLOOKUP(tabPontoPed[[#This Row],[GRUPO]],tabGrupos[#Data],2,FALSE)</f>
        <v>EQUIP. MAT. P/ GERACAO, TRANSM. DISTR. RETIF...</v>
      </c>
      <c r="G1173" s="32" t="str">
        <f>VLOOKUP(tabPontoPed[[#This Row],[GRUPO]],tabGrupos[#Data],3,FALSE)</f>
        <v>MEL</v>
      </c>
      <c r="H1173" s="33" t="s">
        <v>1311</v>
      </c>
      <c r="I1173" s="80">
        <v>4</v>
      </c>
      <c r="J1173" s="39">
        <v>0</v>
      </c>
      <c r="K1173" s="41">
        <f>tabPontoPed[[#This Row],[QTDMÊS]] * tabPontoPed[[#This Row],[MENSAL]]</f>
        <v>0</v>
      </c>
      <c r="L1173" s="83"/>
      <c r="M1173" s="81"/>
      <c r="N1173" s="34" t="s">
        <v>1009</v>
      </c>
      <c r="O1173" s="76"/>
      <c r="P1173" s="77">
        <v>0</v>
      </c>
      <c r="Q1173" s="57">
        <v>0</v>
      </c>
      <c r="R1173" s="42">
        <v>0</v>
      </c>
      <c r="S1173" s="69" t="str">
        <f>_xlfn.IFNA(IF(VLOOKUP(tabPontoPed[[#This Row],[CÓDIGO]],tabExcluirDoEstoque[#Data],1,FALSE),"sim",""),"")</f>
        <v>sim</v>
      </c>
      <c r="T1173" s="43">
        <f>IF(AND(tabPontoPed[[#This Row],[MENSAL]]&gt;0,tabPontoPed[[#This Row],[CÁLCULO]]&gt;0), ABS( tabPontoPed[[#This Row],[MENSAL]] - tabPontoPed[[#This Row],[CÁLCULO]] ) / tabPontoPed[[#This Row],[MENSAL]], -1 )</f>
        <v>-1</v>
      </c>
      <c r="U1173" s="58">
        <v>0</v>
      </c>
      <c r="V1173" s="35">
        <f>IF(AND(tabPontoPed[[#This Row],[MENSAL]]&gt;0,tabPontoPed[[#This Row],[CÁLCULO]]&gt;0), IF( tabPontoPed[[#This Row],[MENSAL]] - tabPontoPed[[#This Row],[CÁLCULO]] &lt; 0, -1, IF( tabPontoPed[[#This Row],[MENSAL]] - tabPontoPed[[#This Row],[CÁLCULO]] &gt; 0, 1, -8)), -9 )</f>
        <v>-9</v>
      </c>
      <c r="W1173" s="35"/>
      <c r="X1173" s="49" t="s">
        <v>1564</v>
      </c>
      <c r="Y1173" s="51">
        <v>44391.599108796298</v>
      </c>
      <c r="Z1173" s="72">
        <f>tabPontoPed[CÁLC_4M] - tabPontoPed[CÁLCULO]</f>
        <v>0</v>
      </c>
      <c r="AA1173" s="79" t="str">
        <f>IF(tabPontoPed[MENSAL]-tabPontoPed[ATA MENSAL] = 0,"sim","")</f>
        <v>sim</v>
      </c>
      <c r="AB1173" s="79" t="s">
        <v>1614</v>
      </c>
      <c r="AC1173" s="47" t="str">
        <f t="shared" si="18"/>
        <v>*</v>
      </c>
    </row>
    <row r="1174" spans="1:29" x14ac:dyDescent="0.25">
      <c r="A1174" s="36">
        <v>80650</v>
      </c>
      <c r="B1174" s="68" t="s">
        <v>36</v>
      </c>
      <c r="C1174" s="33" t="s">
        <v>1317</v>
      </c>
      <c r="D1174" s="32">
        <v>55</v>
      </c>
      <c r="E1174" s="37">
        <v>46</v>
      </c>
      <c r="F1174" s="38" t="str">
        <f>VLOOKUP(tabPontoPed[[#This Row],[GRUPO]],tabGrupos[#Data],2,FALSE)</f>
        <v>EQUIP. MAT. P/ GERACAO, TRANSM. DISTR. RETIF...</v>
      </c>
      <c r="G1174" s="32" t="str">
        <f>VLOOKUP(tabPontoPed[[#This Row],[GRUPO]],tabGrupos[#Data],3,FALSE)</f>
        <v>MEL</v>
      </c>
      <c r="H1174" s="33" t="s">
        <v>1311</v>
      </c>
      <c r="I1174" s="80">
        <v>4</v>
      </c>
      <c r="J1174" s="39">
        <v>0</v>
      </c>
      <c r="K1174" s="41">
        <f>tabPontoPed[[#This Row],[QTDMÊS]] * tabPontoPed[[#This Row],[MENSAL]]</f>
        <v>0</v>
      </c>
      <c r="L1174" s="83"/>
      <c r="M1174" s="81"/>
      <c r="N1174" s="34" t="s">
        <v>1010</v>
      </c>
      <c r="O1174" s="76" t="s">
        <v>1442</v>
      </c>
      <c r="P1174" s="77"/>
      <c r="Q1174" s="57">
        <v>1</v>
      </c>
      <c r="R1174" s="42">
        <v>1</v>
      </c>
      <c r="S1174" s="69" t="str">
        <f>_xlfn.IFNA(IF(VLOOKUP(tabPontoPed[[#This Row],[CÓDIGO]],tabExcluirDoEstoque[#Data],1,FALSE),"sim",""),"")</f>
        <v>sim</v>
      </c>
      <c r="T1174" s="43">
        <f>IF(AND(tabPontoPed[[#This Row],[MENSAL]]&gt;0,tabPontoPed[[#This Row],[CÁLCULO]]&gt;0), ABS( tabPontoPed[[#This Row],[MENSAL]] - tabPontoPed[[#This Row],[CÁLCULO]] ) / tabPontoPed[[#This Row],[MENSAL]], -1 )</f>
        <v>-1</v>
      </c>
      <c r="U1174" s="58"/>
      <c r="V1174" s="35">
        <f>IF(AND(tabPontoPed[[#This Row],[MENSAL]]&gt;0,tabPontoPed[[#This Row],[CÁLCULO]]&gt;0), IF( tabPontoPed[[#This Row],[MENSAL]] - tabPontoPed[[#This Row],[CÁLCULO]] &lt; 0, -1, IF( tabPontoPed[[#This Row],[MENSAL]] - tabPontoPed[[#This Row],[CÁLCULO]] &gt; 0, 1, -8)), -9 )</f>
        <v>-9</v>
      </c>
      <c r="W1174" s="35"/>
      <c r="X1174" s="49" t="s">
        <v>1564</v>
      </c>
      <c r="Y1174" s="51">
        <v>44391.599108796298</v>
      </c>
      <c r="Z1174" s="72">
        <f>tabPontoPed[CÁLC_4M] - tabPontoPed[CÁLCULO]</f>
        <v>0</v>
      </c>
      <c r="AA1174" s="79" t="str">
        <f>IF(tabPontoPed[MENSAL]-tabPontoPed[ATA MENSAL] = 0,"sim","")</f>
        <v>sim</v>
      </c>
      <c r="AB1174" s="79" t="s">
        <v>1614</v>
      </c>
      <c r="AC1174" s="47" t="str">
        <f t="shared" si="18"/>
        <v>*</v>
      </c>
    </row>
    <row r="1175" spans="1:29" x14ac:dyDescent="0.25">
      <c r="A1175" s="36">
        <v>79635</v>
      </c>
      <c r="B1175" s="68" t="s">
        <v>693</v>
      </c>
      <c r="C1175" s="33" t="s">
        <v>1317</v>
      </c>
      <c r="D1175" s="32">
        <v>55</v>
      </c>
      <c r="E1175" s="37">
        <v>57</v>
      </c>
      <c r="F1175" s="38" t="str">
        <f>VLOOKUP(tabPontoPed[[#This Row],[GRUPO]],tabGrupos[#Data],2,FALSE)</f>
        <v>EQUIP. MAT. P/ GERACAO, TRANSM. DISTR. RETIF...</v>
      </c>
      <c r="G1175" s="32" t="str">
        <f>VLOOKUP(tabPontoPed[[#This Row],[GRUPO]],tabGrupos[#Data],3,FALSE)</f>
        <v>MEL</v>
      </c>
      <c r="H1175" s="33" t="s">
        <v>1311</v>
      </c>
      <c r="I1175" s="80">
        <v>4</v>
      </c>
      <c r="J1175" s="39">
        <v>1</v>
      </c>
      <c r="K1175" s="41">
        <f>tabPontoPed[[#This Row],[QTDMÊS]] * tabPontoPed[[#This Row],[MENSAL]]</f>
        <v>4</v>
      </c>
      <c r="L1175" s="83"/>
      <c r="M1175" s="81"/>
      <c r="N1175" s="34" t="s">
        <v>1010</v>
      </c>
      <c r="O1175" s="76" t="s">
        <v>1423</v>
      </c>
      <c r="P1175" s="77"/>
      <c r="Q1175" s="57">
        <v>0</v>
      </c>
      <c r="R1175" s="42">
        <v>0</v>
      </c>
      <c r="S1175" s="69" t="str">
        <f>_xlfn.IFNA(IF(VLOOKUP(tabPontoPed[[#This Row],[CÓDIGO]],tabExcluirDoEstoque[#Data],1,FALSE),"sim",""),"")</f>
        <v>sim</v>
      </c>
      <c r="T1175" s="43">
        <f>IF(AND(tabPontoPed[[#This Row],[MENSAL]]&gt;0,tabPontoPed[[#This Row],[CÁLCULO]]&gt;0), ABS( tabPontoPed[[#This Row],[MENSAL]] - tabPontoPed[[#This Row],[CÁLCULO]] ) / tabPontoPed[[#This Row],[MENSAL]], -1 )</f>
        <v>-1</v>
      </c>
      <c r="U1175" s="58"/>
      <c r="V1175" s="35">
        <f>IF(AND(tabPontoPed[[#This Row],[MENSAL]]&gt;0,tabPontoPed[[#This Row],[CÁLCULO]]&gt;0), IF( tabPontoPed[[#This Row],[MENSAL]] - tabPontoPed[[#This Row],[CÁLCULO]] &lt; 0, -1, IF( tabPontoPed[[#This Row],[MENSAL]] - tabPontoPed[[#This Row],[CÁLCULO]] &gt; 0, 1, -8)), -9 )</f>
        <v>-9</v>
      </c>
      <c r="W1175" s="35"/>
      <c r="X1175" s="49" t="s">
        <v>1564</v>
      </c>
      <c r="Y1175" s="51">
        <v>44391.599108796298</v>
      </c>
      <c r="Z1175" s="72">
        <f>tabPontoPed[CÁLC_4M] - tabPontoPed[CÁLCULO]</f>
        <v>0</v>
      </c>
      <c r="AA1175" s="79" t="str">
        <f>IF(tabPontoPed[MENSAL]-tabPontoPed[ATA MENSAL] = 0,"sim","")</f>
        <v/>
      </c>
      <c r="AB1175" s="79"/>
      <c r="AC1175" s="47" t="str">
        <f t="shared" si="18"/>
        <v>*</v>
      </c>
    </row>
    <row r="1176" spans="1:29" x14ac:dyDescent="0.25">
      <c r="A1176" s="36">
        <v>119008</v>
      </c>
      <c r="B1176" s="68" t="s">
        <v>694</v>
      </c>
      <c r="C1176" s="33" t="s">
        <v>1317</v>
      </c>
      <c r="D1176" s="32">
        <v>55</v>
      </c>
      <c r="E1176" s="37">
        <v>62</v>
      </c>
      <c r="F1176" s="38" t="str">
        <f>VLOOKUP(tabPontoPed[[#This Row],[GRUPO]],tabGrupos[#Data],2,FALSE)</f>
        <v>EQUIP. MAT. P/ GERACAO, TRANSM. DISTR. RETIF...</v>
      </c>
      <c r="G1176" s="32" t="str">
        <f>VLOOKUP(tabPontoPed[[#This Row],[GRUPO]],tabGrupos[#Data],3,FALSE)</f>
        <v>MEL</v>
      </c>
      <c r="H1176" s="33" t="s">
        <v>1311</v>
      </c>
      <c r="I1176" s="80">
        <v>4</v>
      </c>
      <c r="J1176" s="39">
        <v>0</v>
      </c>
      <c r="K1176" s="41">
        <f>tabPontoPed[[#This Row],[QTDMÊS]] * tabPontoPed[[#This Row],[MENSAL]]</f>
        <v>0</v>
      </c>
      <c r="L1176" s="83"/>
      <c r="M1176" s="81"/>
      <c r="N1176" s="34" t="s">
        <v>1009</v>
      </c>
      <c r="O1176" s="76"/>
      <c r="P1176" s="77">
        <v>0</v>
      </c>
      <c r="Q1176" s="57">
        <v>0</v>
      </c>
      <c r="R1176" s="42">
        <v>0</v>
      </c>
      <c r="S1176" s="69" t="str">
        <f>_xlfn.IFNA(IF(VLOOKUP(tabPontoPed[[#This Row],[CÓDIGO]],tabExcluirDoEstoque[#Data],1,FALSE),"sim",""),"")</f>
        <v>sim</v>
      </c>
      <c r="T1176" s="43">
        <f>IF(AND(tabPontoPed[[#This Row],[MENSAL]]&gt;0,tabPontoPed[[#This Row],[CÁLCULO]]&gt;0), ABS( tabPontoPed[[#This Row],[MENSAL]] - tabPontoPed[[#This Row],[CÁLCULO]] ) / tabPontoPed[[#This Row],[MENSAL]], -1 )</f>
        <v>-1</v>
      </c>
      <c r="U1176" s="58">
        <v>0</v>
      </c>
      <c r="V1176" s="35">
        <f>IF(AND(tabPontoPed[[#This Row],[MENSAL]]&gt;0,tabPontoPed[[#This Row],[CÁLCULO]]&gt;0), IF( tabPontoPed[[#This Row],[MENSAL]] - tabPontoPed[[#This Row],[CÁLCULO]] &lt; 0, -1, IF( tabPontoPed[[#This Row],[MENSAL]] - tabPontoPed[[#This Row],[CÁLCULO]] &gt; 0, 1, -8)), -9 )</f>
        <v>-9</v>
      </c>
      <c r="W1176" s="35"/>
      <c r="X1176" s="49" t="s">
        <v>1564</v>
      </c>
      <c r="Y1176" s="51">
        <v>44391.599108796298</v>
      </c>
      <c r="Z1176" s="72">
        <f>tabPontoPed[CÁLC_4M] - tabPontoPed[CÁLCULO]</f>
        <v>0</v>
      </c>
      <c r="AA1176" s="79" t="str">
        <f>IF(tabPontoPed[MENSAL]-tabPontoPed[ATA MENSAL] = 0,"sim","")</f>
        <v>sim</v>
      </c>
      <c r="AB1176" s="79" t="s">
        <v>1614</v>
      </c>
      <c r="AC1176" s="47" t="str">
        <f t="shared" si="18"/>
        <v>*</v>
      </c>
    </row>
    <row r="1177" spans="1:29" x14ac:dyDescent="0.25">
      <c r="A1177" s="36">
        <v>128301</v>
      </c>
      <c r="B1177" s="68" t="s">
        <v>695</v>
      </c>
      <c r="C1177" s="33" t="s">
        <v>1317</v>
      </c>
      <c r="D1177" s="32">
        <v>55</v>
      </c>
      <c r="E1177" s="37">
        <v>62</v>
      </c>
      <c r="F1177" s="38" t="str">
        <f>VLOOKUP(tabPontoPed[[#This Row],[GRUPO]],tabGrupos[#Data],2,FALSE)</f>
        <v>EQUIP. MAT. P/ GERACAO, TRANSM. DISTR. RETIF...</v>
      </c>
      <c r="G1177" s="32" t="str">
        <f>VLOOKUP(tabPontoPed[[#This Row],[GRUPO]],tabGrupos[#Data],3,FALSE)</f>
        <v>MEL</v>
      </c>
      <c r="H1177" s="33" t="s">
        <v>1311</v>
      </c>
      <c r="I1177" s="80">
        <v>4</v>
      </c>
      <c r="J1177" s="39">
        <v>1</v>
      </c>
      <c r="K1177" s="41">
        <f>tabPontoPed[[#This Row],[QTDMÊS]] * tabPontoPed[[#This Row],[MENSAL]]</f>
        <v>4</v>
      </c>
      <c r="L1177" s="83"/>
      <c r="M1177" s="81"/>
      <c r="N1177" s="34" t="s">
        <v>1010</v>
      </c>
      <c r="O1177" s="76"/>
      <c r="P1177" s="77"/>
      <c r="Q1177" s="57">
        <v>0</v>
      </c>
      <c r="R1177" s="42">
        <v>0</v>
      </c>
      <c r="S1177" s="69" t="str">
        <f>_xlfn.IFNA(IF(VLOOKUP(tabPontoPed[[#This Row],[CÓDIGO]],tabExcluirDoEstoque[#Data],1,FALSE),"sim",""),"")</f>
        <v>sim</v>
      </c>
      <c r="T1177" s="43">
        <f>IF(AND(tabPontoPed[[#This Row],[MENSAL]]&gt;0,tabPontoPed[[#This Row],[CÁLCULO]]&gt;0), ABS( tabPontoPed[[#This Row],[MENSAL]] - tabPontoPed[[#This Row],[CÁLCULO]] ) / tabPontoPed[[#This Row],[MENSAL]], -1 )</f>
        <v>-1</v>
      </c>
      <c r="U1177" s="58"/>
      <c r="V1177" s="35">
        <f>IF(AND(tabPontoPed[[#This Row],[MENSAL]]&gt;0,tabPontoPed[[#This Row],[CÁLCULO]]&gt;0), IF( tabPontoPed[[#This Row],[MENSAL]] - tabPontoPed[[#This Row],[CÁLCULO]] &lt; 0, -1, IF( tabPontoPed[[#This Row],[MENSAL]] - tabPontoPed[[#This Row],[CÁLCULO]] &gt; 0, 1, -8)), -9 )</f>
        <v>-9</v>
      </c>
      <c r="W1177" s="35"/>
      <c r="X1177" s="49" t="s">
        <v>1564</v>
      </c>
      <c r="Y1177" s="51">
        <v>44391.599108796298</v>
      </c>
      <c r="Z1177" s="72">
        <f>tabPontoPed[CÁLC_4M] - tabPontoPed[CÁLCULO]</f>
        <v>0</v>
      </c>
      <c r="AA1177" s="79" t="str">
        <f>IF(tabPontoPed[MENSAL]-tabPontoPed[ATA MENSAL] = 0,"sim","")</f>
        <v/>
      </c>
      <c r="AB1177" s="79"/>
      <c r="AC1177" s="47" t="str">
        <f t="shared" si="18"/>
        <v>*</v>
      </c>
    </row>
    <row r="1178" spans="1:29" x14ac:dyDescent="0.25">
      <c r="A1178" s="36">
        <v>135734</v>
      </c>
      <c r="B1178" s="68" t="s">
        <v>1299</v>
      </c>
      <c r="C1178" s="33" t="s">
        <v>1317</v>
      </c>
      <c r="D1178" s="32">
        <v>55</v>
      </c>
      <c r="E1178" s="37">
        <v>66</v>
      </c>
      <c r="F1178" s="38" t="str">
        <f>VLOOKUP(tabPontoPed[[#This Row],[GRUPO]],tabGrupos[#Data],2,FALSE)</f>
        <v>EQUIP. MAT. P/ GERACAO, TRANSM. DISTR. RETIF...</v>
      </c>
      <c r="G1178" s="32" t="str">
        <f>VLOOKUP(tabPontoPed[[#This Row],[GRUPO]],tabGrupos[#Data],3,FALSE)</f>
        <v>MEL</v>
      </c>
      <c r="H1178" s="33" t="s">
        <v>1311</v>
      </c>
      <c r="I1178" s="80">
        <v>4</v>
      </c>
      <c r="J1178" s="39">
        <v>0</v>
      </c>
      <c r="K1178" s="41">
        <f>tabPontoPed[[#This Row],[QTDMÊS]] * tabPontoPed[[#This Row],[MENSAL]]</f>
        <v>0</v>
      </c>
      <c r="L1178" s="83"/>
      <c r="M1178" s="81"/>
      <c r="N1178" s="34" t="s">
        <v>1010</v>
      </c>
      <c r="O1178" s="76" t="s">
        <v>1423</v>
      </c>
      <c r="P1178" s="77"/>
      <c r="Q1178" s="57">
        <v>20</v>
      </c>
      <c r="R1178" s="42">
        <v>20</v>
      </c>
      <c r="S1178" s="69" t="str">
        <f>_xlfn.IFNA(IF(VLOOKUP(tabPontoPed[[#This Row],[CÓDIGO]],tabExcluirDoEstoque[#Data],1,FALSE),"sim",""),"")</f>
        <v>sim</v>
      </c>
      <c r="T1178" s="43">
        <f>IF(AND(tabPontoPed[[#This Row],[MENSAL]]&gt;0,tabPontoPed[[#This Row],[CÁLCULO]]&gt;0), ABS( tabPontoPed[[#This Row],[MENSAL]] - tabPontoPed[[#This Row],[CÁLCULO]] ) / tabPontoPed[[#This Row],[MENSAL]], -1 )</f>
        <v>-1</v>
      </c>
      <c r="U1178" s="58"/>
      <c r="V1178" s="35">
        <f>IF(AND(tabPontoPed[[#This Row],[MENSAL]]&gt;0,tabPontoPed[[#This Row],[CÁLCULO]]&gt;0), IF( tabPontoPed[[#This Row],[MENSAL]] - tabPontoPed[[#This Row],[CÁLCULO]] &lt; 0, -1, IF( tabPontoPed[[#This Row],[MENSAL]] - tabPontoPed[[#This Row],[CÁLCULO]] &gt; 0, 1, -8)), -9 )</f>
        <v>-9</v>
      </c>
      <c r="W1178" s="35"/>
      <c r="X1178" s="49" t="s">
        <v>1564</v>
      </c>
      <c r="Y1178" s="51">
        <v>44391.599108796298</v>
      </c>
      <c r="Z1178" s="72">
        <f>tabPontoPed[CÁLC_4M] - tabPontoPed[CÁLCULO]</f>
        <v>0</v>
      </c>
      <c r="AA1178" s="79" t="str">
        <f>IF(tabPontoPed[MENSAL]-tabPontoPed[ATA MENSAL] = 0,"sim","")</f>
        <v>sim</v>
      </c>
      <c r="AB1178" s="79" t="s">
        <v>1614</v>
      </c>
      <c r="AC1178" s="47" t="str">
        <f t="shared" si="18"/>
        <v>*</v>
      </c>
    </row>
    <row r="1179" spans="1:29" x14ac:dyDescent="0.25">
      <c r="A1179" s="36">
        <v>36400</v>
      </c>
      <c r="B1179" s="68" t="s">
        <v>995</v>
      </c>
      <c r="C1179" s="33" t="s">
        <v>1317</v>
      </c>
      <c r="D1179" s="32">
        <v>89</v>
      </c>
      <c r="E1179" s="37">
        <v>12</v>
      </c>
      <c r="F1179" s="38" t="str">
        <f>VLOOKUP(tabPontoPed[[#This Row],[GRUPO]],tabGrupos[#Data],2,FALSE)</f>
        <v>PEC.P/ VEICULO DE USO ESPECIAL E BATERIASROLAMENTO</v>
      </c>
      <c r="G1179" s="32" t="str">
        <f>VLOOKUP(tabPontoPed[[#This Row],[GRUPO]],tabGrupos[#Data],3,FALSE)</f>
        <v>MFR</v>
      </c>
      <c r="H1179" s="33" t="s">
        <v>1311</v>
      </c>
      <c r="I1179" s="80">
        <v>4</v>
      </c>
      <c r="J1179" s="39"/>
      <c r="K1179" s="41">
        <f>tabPontoPed[[#This Row],[QTDMÊS]] * tabPontoPed[[#This Row],[MENSAL]]</f>
        <v>0</v>
      </c>
      <c r="L1179" s="83"/>
      <c r="M1179" s="81"/>
      <c r="N1179" s="34" t="s">
        <v>1009</v>
      </c>
      <c r="O1179" s="76"/>
      <c r="P1179" s="77">
        <v>0</v>
      </c>
      <c r="Q1179" s="57">
        <v>0</v>
      </c>
      <c r="R1179" s="42">
        <v>0</v>
      </c>
      <c r="S1179" s="69" t="str">
        <f>_xlfn.IFNA(IF(VLOOKUP(tabPontoPed[[#This Row],[CÓDIGO]],tabExcluirDoEstoque[#Data],1,FALSE),"sim",""),"")</f>
        <v>sim</v>
      </c>
      <c r="T1179" s="43">
        <f>IF(AND(tabPontoPed[[#This Row],[MENSAL]]&gt;0,tabPontoPed[[#This Row],[CÁLCULO]]&gt;0), ABS( tabPontoPed[[#This Row],[MENSAL]] - tabPontoPed[[#This Row],[CÁLCULO]] ) / tabPontoPed[[#This Row],[MENSAL]], -1 )</f>
        <v>-1</v>
      </c>
      <c r="U1179" s="58">
        <v>0</v>
      </c>
      <c r="V1179" s="35">
        <f>IF(AND(tabPontoPed[[#This Row],[MENSAL]]&gt;0,tabPontoPed[[#This Row],[CÁLCULO]]&gt;0), IF( tabPontoPed[[#This Row],[MENSAL]] - tabPontoPed[[#This Row],[CÁLCULO]] &lt; 0, -1, IF( tabPontoPed[[#This Row],[MENSAL]] - tabPontoPed[[#This Row],[CÁLCULO]] &gt; 0, 1, -8)), -9 )</f>
        <v>-9</v>
      </c>
      <c r="W1179" s="35"/>
      <c r="X1179" s="49" t="s">
        <v>1564</v>
      </c>
      <c r="Y1179" s="51">
        <v>44391.599108796298</v>
      </c>
      <c r="Z1179" s="72">
        <f>tabPontoPed[CÁLC_4M] - tabPontoPed[CÁLCULO]</f>
        <v>0</v>
      </c>
      <c r="AA1179" s="79" t="str">
        <f>IF(tabPontoPed[MENSAL]-tabPontoPed[ATA MENSAL] = 0,"sim","")</f>
        <v>sim</v>
      </c>
      <c r="AB1179" s="79" t="s">
        <v>1614</v>
      </c>
      <c r="AC1179" s="47" t="str">
        <f t="shared" si="18"/>
        <v>*</v>
      </c>
    </row>
    <row r="1180" spans="1:29" x14ac:dyDescent="0.25">
      <c r="A1180" s="36">
        <v>118243</v>
      </c>
      <c r="B1180" s="68" t="s">
        <v>997</v>
      </c>
      <c r="C1180" s="33" t="s">
        <v>1317</v>
      </c>
      <c r="D1180" s="32">
        <v>89</v>
      </c>
      <c r="E1180" s="37">
        <v>12</v>
      </c>
      <c r="F1180" s="38" t="str">
        <f>VLOOKUP(tabPontoPed[[#This Row],[GRUPO]],tabGrupos[#Data],2,FALSE)</f>
        <v>PEC.P/ VEICULO DE USO ESPECIAL E BATERIASROLAMENTO</v>
      </c>
      <c r="G1180" s="32" t="str">
        <f>VLOOKUP(tabPontoPed[[#This Row],[GRUPO]],tabGrupos[#Data],3,FALSE)</f>
        <v>MFR</v>
      </c>
      <c r="H1180" s="33" t="s">
        <v>1311</v>
      </c>
      <c r="I1180" s="80">
        <v>4</v>
      </c>
      <c r="J1180" s="39"/>
      <c r="K1180" s="41">
        <f>tabPontoPed[[#This Row],[QTDMÊS]] * tabPontoPed[[#This Row],[MENSAL]]</f>
        <v>0</v>
      </c>
      <c r="L1180" s="83"/>
      <c r="M1180" s="81"/>
      <c r="N1180" s="34" t="s">
        <v>1009</v>
      </c>
      <c r="O1180" s="76"/>
      <c r="P1180" s="77">
        <v>0</v>
      </c>
      <c r="Q1180" s="57">
        <v>0</v>
      </c>
      <c r="R1180" s="42">
        <v>0</v>
      </c>
      <c r="S1180" s="69" t="str">
        <f>_xlfn.IFNA(IF(VLOOKUP(tabPontoPed[[#This Row],[CÓDIGO]],tabExcluirDoEstoque[#Data],1,FALSE),"sim",""),"")</f>
        <v>sim</v>
      </c>
      <c r="T1180" s="43">
        <f>IF(AND(tabPontoPed[[#This Row],[MENSAL]]&gt;0,tabPontoPed[[#This Row],[CÁLCULO]]&gt;0), ABS( tabPontoPed[[#This Row],[MENSAL]] - tabPontoPed[[#This Row],[CÁLCULO]] ) / tabPontoPed[[#This Row],[MENSAL]], -1 )</f>
        <v>-1</v>
      </c>
      <c r="U1180" s="58">
        <v>0</v>
      </c>
      <c r="V1180" s="35">
        <f>IF(AND(tabPontoPed[[#This Row],[MENSAL]]&gt;0,tabPontoPed[[#This Row],[CÁLCULO]]&gt;0), IF( tabPontoPed[[#This Row],[MENSAL]] - tabPontoPed[[#This Row],[CÁLCULO]] &lt; 0, -1, IF( tabPontoPed[[#This Row],[MENSAL]] - tabPontoPed[[#This Row],[CÁLCULO]] &gt; 0, 1, -8)), -9 )</f>
        <v>-9</v>
      </c>
      <c r="W1180" s="35"/>
      <c r="X1180" s="49" t="s">
        <v>1564</v>
      </c>
      <c r="Y1180" s="51">
        <v>44391.599108796298</v>
      </c>
      <c r="Z1180" s="72">
        <f>tabPontoPed[CÁLC_4M] - tabPontoPed[CÁLCULO]</f>
        <v>0</v>
      </c>
      <c r="AA1180" s="79" t="str">
        <f>IF(tabPontoPed[MENSAL]-tabPontoPed[ATA MENSAL] = 0,"sim","")</f>
        <v>sim</v>
      </c>
      <c r="AB1180" s="79" t="s">
        <v>1614</v>
      </c>
      <c r="AC1180" s="47" t="str">
        <f t="shared" si="18"/>
        <v>*</v>
      </c>
    </row>
    <row r="1181" spans="1:29" x14ac:dyDescent="0.25">
      <c r="A1181" s="36">
        <v>129979</v>
      </c>
      <c r="B1181" s="68" t="s">
        <v>773</v>
      </c>
      <c r="C1181" s="33" t="s">
        <v>1317</v>
      </c>
      <c r="D1181" s="32">
        <v>61</v>
      </c>
      <c r="E1181" s="37">
        <v>8</v>
      </c>
      <c r="F1181" s="38" t="str">
        <f>VLOOKUP(tabPontoPed[[#This Row],[GRUPO]],tabGrupos[#Data],2,FALSE)</f>
        <v>MATERIAL HIDRAULICO, CANOS, TUBOS, MANGUEIRAS, CONEXOES E ACESS.</v>
      </c>
      <c r="G1181" s="32" t="str">
        <f>VLOOKUP(tabPontoPed[[#This Row],[GRUPO]],tabGrupos[#Data],3,FALSE)</f>
        <v>MHI</v>
      </c>
      <c r="H1181" s="33" t="s">
        <v>1311</v>
      </c>
      <c r="I1181" s="80">
        <v>4</v>
      </c>
      <c r="J1181" s="39">
        <v>1</v>
      </c>
      <c r="K1181" s="41">
        <f>tabPontoPed[[#This Row],[QTDMÊS]] * tabPontoPed[[#This Row],[MENSAL]]</f>
        <v>4</v>
      </c>
      <c r="L1181" s="83"/>
      <c r="M1181" s="81"/>
      <c r="N1181" s="34" t="s">
        <v>1010</v>
      </c>
      <c r="O1181" s="76" t="s">
        <v>1424</v>
      </c>
      <c r="P1181" s="77"/>
      <c r="Q1181" s="57">
        <v>0</v>
      </c>
      <c r="R1181" s="42">
        <v>0</v>
      </c>
      <c r="S1181" s="69" t="str">
        <f>_xlfn.IFNA(IF(VLOOKUP(tabPontoPed[[#This Row],[CÓDIGO]],tabExcluirDoEstoque[#Data],1,FALSE),"sim",""),"")</f>
        <v>sim</v>
      </c>
      <c r="T1181" s="43">
        <f>IF(AND(tabPontoPed[[#This Row],[MENSAL]]&gt;0,tabPontoPed[[#This Row],[CÁLCULO]]&gt;0), ABS( tabPontoPed[[#This Row],[MENSAL]] - tabPontoPed[[#This Row],[CÁLCULO]] ) / tabPontoPed[[#This Row],[MENSAL]], -1 )</f>
        <v>-1</v>
      </c>
      <c r="U1181" s="58"/>
      <c r="V1181" s="35">
        <f>IF(AND(tabPontoPed[[#This Row],[MENSAL]]&gt;0,tabPontoPed[[#This Row],[CÁLCULO]]&gt;0), IF( tabPontoPed[[#This Row],[MENSAL]] - tabPontoPed[[#This Row],[CÁLCULO]] &lt; 0, -1, IF( tabPontoPed[[#This Row],[MENSAL]] - tabPontoPed[[#This Row],[CÁLCULO]] &gt; 0, 1, -8)), -9 )</f>
        <v>-9</v>
      </c>
      <c r="W1181" s="35"/>
      <c r="X1181" s="49" t="s">
        <v>1564</v>
      </c>
      <c r="Y1181" s="51">
        <v>44391.599108796298</v>
      </c>
      <c r="Z1181" s="72">
        <f>tabPontoPed[CÁLC_4M] - tabPontoPed[CÁLCULO]</f>
        <v>0</v>
      </c>
      <c r="AA1181" s="79" t="str">
        <f>IF(tabPontoPed[MENSAL]-tabPontoPed[ATA MENSAL] = 0,"sim","")</f>
        <v/>
      </c>
      <c r="AB1181" s="79"/>
      <c r="AC1181" s="47" t="str">
        <f t="shared" si="18"/>
        <v>*</v>
      </c>
    </row>
    <row r="1182" spans="1:29" x14ac:dyDescent="0.25">
      <c r="A1182" s="36">
        <v>12869</v>
      </c>
      <c r="B1182" s="68" t="s">
        <v>732</v>
      </c>
      <c r="C1182" s="33" t="s">
        <v>1317</v>
      </c>
      <c r="D1182" s="32">
        <v>61</v>
      </c>
      <c r="E1182" s="37">
        <v>8</v>
      </c>
      <c r="F1182" s="38" t="str">
        <f>VLOOKUP(tabPontoPed[[#This Row],[GRUPO]],tabGrupos[#Data],2,FALSE)</f>
        <v>MATERIAL HIDRAULICO, CANOS, TUBOS, MANGUEIRAS, CONEXOES E ACESS.</v>
      </c>
      <c r="G1182" s="32" t="str">
        <f>VLOOKUP(tabPontoPed[[#This Row],[GRUPO]],tabGrupos[#Data],3,FALSE)</f>
        <v>MHI</v>
      </c>
      <c r="H1182" s="33" t="s">
        <v>1311</v>
      </c>
      <c r="I1182" s="80">
        <v>4</v>
      </c>
      <c r="J1182" s="39">
        <v>0</v>
      </c>
      <c r="K1182" s="41">
        <f>tabPontoPed[[#This Row],[QTDMÊS]] * tabPontoPed[[#This Row],[MENSAL]]</f>
        <v>0</v>
      </c>
      <c r="L1182" s="83"/>
      <c r="M1182" s="81"/>
      <c r="N1182" s="34" t="s">
        <v>1009</v>
      </c>
      <c r="O1182" s="76"/>
      <c r="P1182" s="77">
        <v>0</v>
      </c>
      <c r="Q1182" s="57">
        <v>0</v>
      </c>
      <c r="R1182" s="42">
        <v>0</v>
      </c>
      <c r="S1182" s="69" t="str">
        <f>_xlfn.IFNA(IF(VLOOKUP(tabPontoPed[[#This Row],[CÓDIGO]],tabExcluirDoEstoque[#Data],1,FALSE),"sim",""),"")</f>
        <v>sim</v>
      </c>
      <c r="T1182" s="43">
        <f>IF(AND(tabPontoPed[[#This Row],[MENSAL]]&gt;0,tabPontoPed[[#This Row],[CÁLCULO]]&gt;0), ABS( tabPontoPed[[#This Row],[MENSAL]] - tabPontoPed[[#This Row],[CÁLCULO]] ) / tabPontoPed[[#This Row],[MENSAL]], -1 )</f>
        <v>-1</v>
      </c>
      <c r="U1182" s="58">
        <v>0</v>
      </c>
      <c r="V1182" s="35">
        <f>IF(AND(tabPontoPed[[#This Row],[MENSAL]]&gt;0,tabPontoPed[[#This Row],[CÁLCULO]]&gt;0), IF( tabPontoPed[[#This Row],[MENSAL]] - tabPontoPed[[#This Row],[CÁLCULO]] &lt; 0, -1, IF( tabPontoPed[[#This Row],[MENSAL]] - tabPontoPed[[#This Row],[CÁLCULO]] &gt; 0, 1, -8)), -9 )</f>
        <v>-9</v>
      </c>
      <c r="W1182" s="35"/>
      <c r="X1182" s="49" t="s">
        <v>1564</v>
      </c>
      <c r="Y1182" s="51">
        <v>44391.599108796298</v>
      </c>
      <c r="Z1182" s="72">
        <f>tabPontoPed[CÁLC_4M] - tabPontoPed[CÁLCULO]</f>
        <v>0</v>
      </c>
      <c r="AA1182" s="79" t="str">
        <f>IF(tabPontoPed[MENSAL]-tabPontoPed[ATA MENSAL] = 0,"sim","")</f>
        <v>sim</v>
      </c>
      <c r="AB1182" s="79" t="s">
        <v>1614</v>
      </c>
      <c r="AC1182" s="47" t="str">
        <f t="shared" si="18"/>
        <v>*</v>
      </c>
    </row>
    <row r="1183" spans="1:29" x14ac:dyDescent="0.25">
      <c r="A1183" s="36">
        <v>29437</v>
      </c>
      <c r="B1183" s="68" t="s">
        <v>751</v>
      </c>
      <c r="C1183" s="33" t="s">
        <v>1317</v>
      </c>
      <c r="D1183" s="32">
        <v>61</v>
      </c>
      <c r="E1183" s="37">
        <v>8</v>
      </c>
      <c r="F1183" s="38" t="str">
        <f>VLOOKUP(tabPontoPed[[#This Row],[GRUPO]],tabGrupos[#Data],2,FALSE)</f>
        <v>MATERIAL HIDRAULICO, CANOS, TUBOS, MANGUEIRAS, CONEXOES E ACESS.</v>
      </c>
      <c r="G1183" s="32" t="str">
        <f>VLOOKUP(tabPontoPed[[#This Row],[GRUPO]],tabGrupos[#Data],3,FALSE)</f>
        <v>MHI</v>
      </c>
      <c r="H1183" s="33" t="s">
        <v>1311</v>
      </c>
      <c r="I1183" s="80">
        <v>4</v>
      </c>
      <c r="J1183" s="39">
        <v>0</v>
      </c>
      <c r="K1183" s="41">
        <f>tabPontoPed[[#This Row],[QTDMÊS]] * tabPontoPed[[#This Row],[MENSAL]]</f>
        <v>0</v>
      </c>
      <c r="L1183" s="83"/>
      <c r="M1183" s="81"/>
      <c r="N1183" s="34" t="s">
        <v>1009</v>
      </c>
      <c r="O1183" s="76"/>
      <c r="P1183" s="77">
        <v>0</v>
      </c>
      <c r="Q1183" s="57">
        <v>0</v>
      </c>
      <c r="R1183" s="42">
        <v>0</v>
      </c>
      <c r="S1183" s="69" t="str">
        <f>_xlfn.IFNA(IF(VLOOKUP(tabPontoPed[[#This Row],[CÓDIGO]],tabExcluirDoEstoque[#Data],1,FALSE),"sim",""),"")</f>
        <v>sim</v>
      </c>
      <c r="T1183" s="43">
        <f>IF(AND(tabPontoPed[[#This Row],[MENSAL]]&gt;0,tabPontoPed[[#This Row],[CÁLCULO]]&gt;0), ABS( tabPontoPed[[#This Row],[MENSAL]] - tabPontoPed[[#This Row],[CÁLCULO]] ) / tabPontoPed[[#This Row],[MENSAL]], -1 )</f>
        <v>-1</v>
      </c>
      <c r="U1183" s="58">
        <v>0</v>
      </c>
      <c r="V1183" s="35">
        <f>IF(AND(tabPontoPed[[#This Row],[MENSAL]]&gt;0,tabPontoPed[[#This Row],[CÁLCULO]]&gt;0), IF( tabPontoPed[[#This Row],[MENSAL]] - tabPontoPed[[#This Row],[CÁLCULO]] &lt; 0, -1, IF( tabPontoPed[[#This Row],[MENSAL]] - tabPontoPed[[#This Row],[CÁLCULO]] &gt; 0, 1, -8)), -9 )</f>
        <v>-9</v>
      </c>
      <c r="W1183" s="35"/>
      <c r="X1183" s="49" t="s">
        <v>1564</v>
      </c>
      <c r="Y1183" s="51">
        <v>44391.599108796298</v>
      </c>
      <c r="Z1183" s="72">
        <f>tabPontoPed[CÁLC_4M] - tabPontoPed[CÁLCULO]</f>
        <v>0</v>
      </c>
      <c r="AA1183" s="79" t="str">
        <f>IF(tabPontoPed[MENSAL]-tabPontoPed[ATA MENSAL] = 0,"sim","")</f>
        <v>sim</v>
      </c>
      <c r="AB1183" s="79" t="s">
        <v>1614</v>
      </c>
      <c r="AC1183" s="47" t="str">
        <f t="shared" si="18"/>
        <v>*</v>
      </c>
    </row>
    <row r="1184" spans="1:29" x14ac:dyDescent="0.25">
      <c r="A1184" s="36">
        <v>102234</v>
      </c>
      <c r="B1184" s="68" t="s">
        <v>769</v>
      </c>
      <c r="C1184" s="33" t="s">
        <v>1317</v>
      </c>
      <c r="D1184" s="32">
        <v>61</v>
      </c>
      <c r="E1184" s="37">
        <v>8</v>
      </c>
      <c r="F1184" s="38" t="str">
        <f>VLOOKUP(tabPontoPed[[#This Row],[GRUPO]],tabGrupos[#Data],2,FALSE)</f>
        <v>MATERIAL HIDRAULICO, CANOS, TUBOS, MANGUEIRAS, CONEXOES E ACESS.</v>
      </c>
      <c r="G1184" s="32" t="str">
        <f>VLOOKUP(tabPontoPed[[#This Row],[GRUPO]],tabGrupos[#Data],3,FALSE)</f>
        <v>MHI</v>
      </c>
      <c r="H1184" s="33" t="s">
        <v>1311</v>
      </c>
      <c r="I1184" s="80">
        <v>4</v>
      </c>
      <c r="J1184" s="39"/>
      <c r="K1184" s="41">
        <f>tabPontoPed[[#This Row],[QTDMÊS]] * tabPontoPed[[#This Row],[MENSAL]]</f>
        <v>0</v>
      </c>
      <c r="L1184" s="83"/>
      <c r="M1184" s="81"/>
      <c r="N1184" s="34" t="s">
        <v>1010</v>
      </c>
      <c r="O1184" s="76" t="s">
        <v>1424</v>
      </c>
      <c r="P1184" s="77"/>
      <c r="Q1184" s="57">
        <v>21</v>
      </c>
      <c r="R1184" s="42">
        <v>26</v>
      </c>
      <c r="S1184" s="69" t="str">
        <f>_xlfn.IFNA(IF(VLOOKUP(tabPontoPed[[#This Row],[CÓDIGO]],tabExcluirDoEstoque[#Data],1,FALSE),"sim",""),"")</f>
        <v>sim</v>
      </c>
      <c r="T1184" s="43">
        <f>IF(AND(tabPontoPed[[#This Row],[MENSAL]]&gt;0,tabPontoPed[[#This Row],[CÁLCULO]]&gt;0), ABS( tabPontoPed[[#This Row],[MENSAL]] - tabPontoPed[[#This Row],[CÁLCULO]] ) / tabPontoPed[[#This Row],[MENSAL]], -1 )</f>
        <v>-1</v>
      </c>
      <c r="U1184" s="58">
        <v>97</v>
      </c>
      <c r="V1184" s="35">
        <f>IF(AND(tabPontoPed[[#This Row],[MENSAL]]&gt;0,tabPontoPed[[#This Row],[CÁLCULO]]&gt;0), IF( tabPontoPed[[#This Row],[MENSAL]] - tabPontoPed[[#This Row],[CÁLCULO]] &lt; 0, -1, IF( tabPontoPed[[#This Row],[MENSAL]] - tabPontoPed[[#This Row],[CÁLCULO]] &gt; 0, 1, -8)), -9 )</f>
        <v>-9</v>
      </c>
      <c r="W1184" s="35"/>
      <c r="X1184" s="49" t="s">
        <v>1564</v>
      </c>
      <c r="Y1184" s="51">
        <v>44391.599108796298</v>
      </c>
      <c r="Z1184" s="72">
        <f>tabPontoPed[CÁLC_4M] - tabPontoPed[CÁLCULO]</f>
        <v>-5</v>
      </c>
      <c r="AA1184" s="79" t="str">
        <f>IF(tabPontoPed[MENSAL]-tabPontoPed[ATA MENSAL] = 0,"sim","")</f>
        <v>sim</v>
      </c>
      <c r="AB1184" s="79" t="s">
        <v>1614</v>
      </c>
      <c r="AC1184" s="47" t="str">
        <f t="shared" si="18"/>
        <v>*</v>
      </c>
    </row>
    <row r="1185" spans="1:29" x14ac:dyDescent="0.25">
      <c r="A1185" s="36">
        <v>27759</v>
      </c>
      <c r="B1185" s="68" t="s">
        <v>789</v>
      </c>
      <c r="C1185" s="33" t="s">
        <v>1317</v>
      </c>
      <c r="D1185" s="32">
        <v>61</v>
      </c>
      <c r="E1185" s="37">
        <v>15</v>
      </c>
      <c r="F1185" s="38" t="str">
        <f>VLOOKUP(tabPontoPed[[#This Row],[GRUPO]],tabGrupos[#Data],2,FALSE)</f>
        <v>MATERIAL HIDRAULICO, CANOS, TUBOS, MANGUEIRAS, CONEXOES E ACESS.</v>
      </c>
      <c r="G1185" s="32" t="str">
        <f>VLOOKUP(tabPontoPed[[#This Row],[GRUPO]],tabGrupos[#Data],3,FALSE)</f>
        <v>MHI</v>
      </c>
      <c r="H1185" s="33" t="s">
        <v>1311</v>
      </c>
      <c r="I1185" s="80">
        <v>4</v>
      </c>
      <c r="J1185" s="39">
        <v>4</v>
      </c>
      <c r="K1185" s="41">
        <f>tabPontoPed[[#This Row],[QTDMÊS]] * tabPontoPed[[#This Row],[MENSAL]]</f>
        <v>16</v>
      </c>
      <c r="L1185" s="83"/>
      <c r="M1185" s="81"/>
      <c r="N1185" s="34" t="s">
        <v>1009</v>
      </c>
      <c r="O1185" s="76" t="s">
        <v>1428</v>
      </c>
      <c r="P1185" s="77">
        <v>0</v>
      </c>
      <c r="Q1185" s="57">
        <v>0</v>
      </c>
      <c r="R1185" s="42">
        <v>0</v>
      </c>
      <c r="S1185" s="69" t="str">
        <f>_xlfn.IFNA(IF(VLOOKUP(tabPontoPed[[#This Row],[CÓDIGO]],tabExcluirDoEstoque[#Data],1,FALSE),"sim",""),"")</f>
        <v>sim</v>
      </c>
      <c r="T1185" s="43">
        <f>IF(AND(tabPontoPed[[#This Row],[MENSAL]]&gt;0,tabPontoPed[[#This Row],[CÁLCULO]]&gt;0), ABS( tabPontoPed[[#This Row],[MENSAL]] - tabPontoPed[[#This Row],[CÁLCULO]] ) / tabPontoPed[[#This Row],[MENSAL]], -1 )</f>
        <v>-1</v>
      </c>
      <c r="U1185" s="58">
        <v>0</v>
      </c>
      <c r="V1185" s="35">
        <f>IF(AND(tabPontoPed[[#This Row],[MENSAL]]&gt;0,tabPontoPed[[#This Row],[CÁLCULO]]&gt;0), IF( tabPontoPed[[#This Row],[MENSAL]] - tabPontoPed[[#This Row],[CÁLCULO]] &lt; 0, -1, IF( tabPontoPed[[#This Row],[MENSAL]] - tabPontoPed[[#This Row],[CÁLCULO]] &gt; 0, 1, -8)), -9 )</f>
        <v>-9</v>
      </c>
      <c r="W1185" s="35"/>
      <c r="X1185" s="49" t="s">
        <v>1564</v>
      </c>
      <c r="Y1185" s="51">
        <v>44391.599108796298</v>
      </c>
      <c r="Z1185" s="72">
        <f>tabPontoPed[CÁLC_4M] - tabPontoPed[CÁLCULO]</f>
        <v>0</v>
      </c>
      <c r="AA1185" s="79" t="str">
        <f>IF(tabPontoPed[MENSAL]-tabPontoPed[ATA MENSAL] = 0,"sim","")</f>
        <v/>
      </c>
      <c r="AB1185" s="79"/>
      <c r="AC1185" s="47" t="str">
        <f t="shared" si="18"/>
        <v>*</v>
      </c>
    </row>
    <row r="1186" spans="1:29" x14ac:dyDescent="0.25">
      <c r="A1186" s="36">
        <v>135239</v>
      </c>
      <c r="B1186" s="68" t="s">
        <v>230</v>
      </c>
      <c r="C1186" s="33" t="s">
        <v>1317</v>
      </c>
      <c r="D1186" s="32">
        <v>76</v>
      </c>
      <c r="E1186" s="37">
        <v>3</v>
      </c>
      <c r="F1186" s="38" t="str">
        <f>VLOOKUP(tabPontoPed[[#This Row],[GRUPO]],tabGrupos[#Data],2,FALSE)</f>
        <v>EQUIP. E MATERIAIS P/PINTURAS E IMPERMEABILIZACAO</v>
      </c>
      <c r="G1186" s="32" t="str">
        <f>VLOOKUP(tabPontoPed[[#This Row],[GRUPO]],tabGrupos[#Data],3,FALSE)</f>
        <v>MPI</v>
      </c>
      <c r="H1186" s="33" t="s">
        <v>1311</v>
      </c>
      <c r="I1186" s="80">
        <v>4</v>
      </c>
      <c r="J1186" s="39">
        <v>0</v>
      </c>
      <c r="K1186" s="41">
        <f>tabPontoPed[[#This Row],[QTDMÊS]] * tabPontoPed[[#This Row],[MENSAL]]</f>
        <v>0</v>
      </c>
      <c r="L1186" s="83"/>
      <c r="M1186" s="81"/>
      <c r="N1186" s="34" t="s">
        <v>1010</v>
      </c>
      <c r="O1186" s="76"/>
      <c r="P1186" s="77"/>
      <c r="Q1186" s="57">
        <v>0</v>
      </c>
      <c r="R1186" s="42">
        <v>0</v>
      </c>
      <c r="S1186" s="69" t="str">
        <f>_xlfn.IFNA(IF(VLOOKUP(tabPontoPed[[#This Row],[CÓDIGO]],tabExcluirDoEstoque[#Data],1,FALSE),"sim",""),"")</f>
        <v>sim</v>
      </c>
      <c r="T1186" s="43">
        <f>IF(AND(tabPontoPed[[#This Row],[MENSAL]]&gt;0,tabPontoPed[[#This Row],[CÁLCULO]]&gt;0), ABS( tabPontoPed[[#This Row],[MENSAL]] - tabPontoPed[[#This Row],[CÁLCULO]] ) / tabPontoPed[[#This Row],[MENSAL]], -1 )</f>
        <v>-1</v>
      </c>
      <c r="U1186" s="58"/>
      <c r="V1186" s="35">
        <f>IF(AND(tabPontoPed[[#This Row],[MENSAL]]&gt;0,tabPontoPed[[#This Row],[CÁLCULO]]&gt;0), IF( tabPontoPed[[#This Row],[MENSAL]] - tabPontoPed[[#This Row],[CÁLCULO]] &lt; 0, -1, IF( tabPontoPed[[#This Row],[MENSAL]] - tabPontoPed[[#This Row],[CÁLCULO]] &gt; 0, 1, -8)), -9 )</f>
        <v>-9</v>
      </c>
      <c r="W1186" s="35"/>
      <c r="X1186" s="49" t="s">
        <v>1564</v>
      </c>
      <c r="Y1186" s="51">
        <v>44391.599108796298</v>
      </c>
      <c r="Z1186" s="72">
        <f>tabPontoPed[CÁLC_4M] - tabPontoPed[CÁLCULO]</f>
        <v>0</v>
      </c>
      <c r="AA1186" s="79" t="str">
        <f>IF(tabPontoPed[MENSAL]-tabPontoPed[ATA MENSAL] = 0,"sim","")</f>
        <v>sim</v>
      </c>
      <c r="AB1186" s="79" t="s">
        <v>1614</v>
      </c>
      <c r="AC1186" s="47" t="str">
        <f t="shared" si="18"/>
        <v>*</v>
      </c>
    </row>
    <row r="1187" spans="1:29" x14ac:dyDescent="0.25">
      <c r="A1187" s="36">
        <v>123241</v>
      </c>
      <c r="B1187" s="68" t="s">
        <v>1421</v>
      </c>
      <c r="C1187" s="33"/>
      <c r="D1187" s="32">
        <v>69</v>
      </c>
      <c r="E1187" s="37">
        <v>2</v>
      </c>
      <c r="F1187" s="38" t="str">
        <f>VLOOKUP(tabPontoPed[[#This Row],[GRUPO]],tabGrupos[#Data],2,FALSE)</f>
        <v>METAIS,LAMINAD.,PERFILADOS E ARTEFATOS METALICOS</v>
      </c>
      <c r="G1187" s="32" t="str">
        <f>VLOOKUP(tabPontoPed[[#This Row],[GRUPO]],tabGrupos[#Data],3,FALSE)</f>
        <v>MSE</v>
      </c>
      <c r="H1187" s="33" t="s">
        <v>1311</v>
      </c>
      <c r="I1187" s="80">
        <v>4</v>
      </c>
      <c r="J1187" s="39">
        <v>25</v>
      </c>
      <c r="K1187" s="41">
        <f>tabPontoPed[[#This Row],[QTDMÊS]] * tabPontoPed[[#This Row],[MENSAL]]</f>
        <v>100</v>
      </c>
      <c r="L1187" s="83"/>
      <c r="M1187" s="81"/>
      <c r="N1187" s="34" t="s">
        <v>1009</v>
      </c>
      <c r="O1187" s="76" t="s">
        <v>1576</v>
      </c>
      <c r="P1187" s="77">
        <v>0</v>
      </c>
      <c r="Q1187" s="57">
        <v>0</v>
      </c>
      <c r="R1187" s="42">
        <v>0</v>
      </c>
      <c r="S1187" s="69" t="str">
        <f>_xlfn.IFNA(IF(VLOOKUP(tabPontoPed[[#This Row],[CÓDIGO]],tabExcluirDoEstoque[#Data],1,FALSE),"sim",""),"")</f>
        <v>sim</v>
      </c>
      <c r="T1187" s="43">
        <f>IF(AND(tabPontoPed[[#This Row],[MENSAL]]&gt;0,tabPontoPed[[#This Row],[CÁLCULO]]&gt;0), ABS( tabPontoPed[[#This Row],[MENSAL]] - tabPontoPed[[#This Row],[CÁLCULO]] ) / tabPontoPed[[#This Row],[MENSAL]], -1 )</f>
        <v>-1</v>
      </c>
      <c r="U1187" s="58">
        <v>0</v>
      </c>
      <c r="V1187" s="35">
        <f>IF(AND(tabPontoPed[[#This Row],[MENSAL]]&gt;0,tabPontoPed[[#This Row],[CÁLCULO]]&gt;0), IF( tabPontoPed[[#This Row],[MENSAL]] - tabPontoPed[[#This Row],[CÁLCULO]] &lt; 0, -1, IF( tabPontoPed[[#This Row],[MENSAL]] - tabPontoPed[[#This Row],[CÁLCULO]] &gt; 0, 1, -8)), -9 )</f>
        <v>-9</v>
      </c>
      <c r="W1187" s="35"/>
      <c r="X1187" s="49" t="s">
        <v>1564</v>
      </c>
      <c r="Y1187" s="51">
        <v>44391.599108796298</v>
      </c>
      <c r="Z1187" s="72">
        <f>tabPontoPed[CÁLC_4M] - tabPontoPed[CÁLCULO]</f>
        <v>0</v>
      </c>
      <c r="AA1187" s="79" t="str">
        <f>IF(tabPontoPed[MENSAL]-tabPontoPed[ATA MENSAL] = 0,"sim","")</f>
        <v/>
      </c>
      <c r="AB1187" s="79"/>
      <c r="AC1187" s="47" t="str">
        <f t="shared" si="18"/>
        <v>*</v>
      </c>
    </row>
    <row r="1188" spans="1:29" x14ac:dyDescent="0.25">
      <c r="A1188" s="36">
        <v>102691</v>
      </c>
      <c r="B1188" s="68" t="s">
        <v>889</v>
      </c>
      <c r="C1188" s="33" t="s">
        <v>1317</v>
      </c>
      <c r="D1188" s="32">
        <v>69</v>
      </c>
      <c r="E1188" s="37">
        <v>5</v>
      </c>
      <c r="F1188" s="38" t="str">
        <f>VLOOKUP(tabPontoPed[[#This Row],[GRUPO]],tabGrupos[#Data],2,FALSE)</f>
        <v>METAIS,LAMINAD.,PERFILADOS E ARTEFATOS METALICOS</v>
      </c>
      <c r="G1188" s="32" t="str">
        <f>VLOOKUP(tabPontoPed[[#This Row],[GRUPO]],tabGrupos[#Data],3,FALSE)</f>
        <v>MSE</v>
      </c>
      <c r="H1188" s="33" t="s">
        <v>1311</v>
      </c>
      <c r="I1188" s="80">
        <v>4</v>
      </c>
      <c r="J1188" s="39">
        <v>0</v>
      </c>
      <c r="K1188" s="41">
        <f>tabPontoPed[[#This Row],[QTDMÊS]] * tabPontoPed[[#This Row],[MENSAL]]</f>
        <v>0</v>
      </c>
      <c r="L1188" s="83"/>
      <c r="M1188" s="81"/>
      <c r="N1188" s="34" t="s">
        <v>1009</v>
      </c>
      <c r="O1188" s="76"/>
      <c r="P1188" s="77">
        <v>0</v>
      </c>
      <c r="Q1188" s="57">
        <v>0</v>
      </c>
      <c r="R1188" s="42">
        <v>0</v>
      </c>
      <c r="S1188" s="69" t="str">
        <f>_xlfn.IFNA(IF(VLOOKUP(tabPontoPed[[#This Row],[CÓDIGO]],tabExcluirDoEstoque[#Data],1,FALSE),"sim",""),"")</f>
        <v>sim</v>
      </c>
      <c r="T1188" s="43">
        <f>IF(AND(tabPontoPed[[#This Row],[MENSAL]]&gt;0,tabPontoPed[[#This Row],[CÁLCULO]]&gt;0), ABS( tabPontoPed[[#This Row],[MENSAL]] - tabPontoPed[[#This Row],[CÁLCULO]] ) / tabPontoPed[[#This Row],[MENSAL]], -1 )</f>
        <v>-1</v>
      </c>
      <c r="U1188" s="58">
        <v>0</v>
      </c>
      <c r="V1188" s="35">
        <f>IF(AND(tabPontoPed[[#This Row],[MENSAL]]&gt;0,tabPontoPed[[#This Row],[CÁLCULO]]&gt;0), IF( tabPontoPed[[#This Row],[MENSAL]] - tabPontoPed[[#This Row],[CÁLCULO]] &lt; 0, -1, IF( tabPontoPed[[#This Row],[MENSAL]] - tabPontoPed[[#This Row],[CÁLCULO]] &gt; 0, 1, -8)), -9 )</f>
        <v>-9</v>
      </c>
      <c r="W1188" s="35"/>
      <c r="X1188" s="49" t="s">
        <v>1564</v>
      </c>
      <c r="Y1188" s="51">
        <v>44391.599108796298</v>
      </c>
      <c r="Z1188" s="72">
        <f>tabPontoPed[CÁLC_4M] - tabPontoPed[CÁLCULO]</f>
        <v>0</v>
      </c>
      <c r="AA1188" s="79" t="str">
        <f>IF(tabPontoPed[MENSAL]-tabPontoPed[ATA MENSAL] = 0,"sim","")</f>
        <v>sim</v>
      </c>
      <c r="AB1188" s="79" t="s">
        <v>1614</v>
      </c>
      <c r="AC1188" s="47" t="str">
        <f t="shared" si="18"/>
        <v>*</v>
      </c>
    </row>
    <row r="1189" spans="1:29" x14ac:dyDescent="0.25">
      <c r="A1189" s="36">
        <v>102775</v>
      </c>
      <c r="B1189" s="68" t="s">
        <v>896</v>
      </c>
      <c r="C1189" s="33" t="s">
        <v>1317</v>
      </c>
      <c r="D1189" s="32">
        <v>69</v>
      </c>
      <c r="E1189" s="37">
        <v>8</v>
      </c>
      <c r="F1189" s="38" t="str">
        <f>VLOOKUP(tabPontoPed[[#This Row],[GRUPO]],tabGrupos[#Data],2,FALSE)</f>
        <v>METAIS,LAMINAD.,PERFILADOS E ARTEFATOS METALICOS</v>
      </c>
      <c r="G1189" s="32" t="str">
        <f>VLOOKUP(tabPontoPed[[#This Row],[GRUPO]],tabGrupos[#Data],3,FALSE)</f>
        <v>MSE</v>
      </c>
      <c r="H1189" s="33" t="s">
        <v>1311</v>
      </c>
      <c r="I1189" s="80">
        <v>4</v>
      </c>
      <c r="J1189" s="39">
        <v>0</v>
      </c>
      <c r="K1189" s="41">
        <f>tabPontoPed[[#This Row],[QTDMÊS]] * tabPontoPed[[#This Row],[MENSAL]]</f>
        <v>0</v>
      </c>
      <c r="L1189" s="83"/>
      <c r="M1189" s="81"/>
      <c r="N1189" s="34" t="s">
        <v>1009</v>
      </c>
      <c r="O1189" s="76"/>
      <c r="P1189" s="77">
        <v>0</v>
      </c>
      <c r="Q1189" s="57">
        <v>0</v>
      </c>
      <c r="R1189" s="42">
        <v>0</v>
      </c>
      <c r="S1189" s="69" t="str">
        <f>_xlfn.IFNA(IF(VLOOKUP(tabPontoPed[[#This Row],[CÓDIGO]],tabExcluirDoEstoque[#Data],1,FALSE),"sim",""),"")</f>
        <v>sim</v>
      </c>
      <c r="T1189" s="43">
        <f>IF(AND(tabPontoPed[[#This Row],[MENSAL]]&gt;0,tabPontoPed[[#This Row],[CÁLCULO]]&gt;0), ABS( tabPontoPed[[#This Row],[MENSAL]] - tabPontoPed[[#This Row],[CÁLCULO]] ) / tabPontoPed[[#This Row],[MENSAL]], -1 )</f>
        <v>-1</v>
      </c>
      <c r="U1189" s="58">
        <v>0</v>
      </c>
      <c r="V1189" s="35">
        <f>IF(AND(tabPontoPed[[#This Row],[MENSAL]]&gt;0,tabPontoPed[[#This Row],[CÁLCULO]]&gt;0), IF( tabPontoPed[[#This Row],[MENSAL]] - tabPontoPed[[#This Row],[CÁLCULO]] &lt; 0, -1, IF( tabPontoPed[[#This Row],[MENSAL]] - tabPontoPed[[#This Row],[CÁLCULO]] &gt; 0, 1, -8)), -9 )</f>
        <v>-9</v>
      </c>
      <c r="W1189" s="35"/>
      <c r="X1189" s="49" t="s">
        <v>1564</v>
      </c>
      <c r="Y1189" s="51">
        <v>44391.599108796298</v>
      </c>
      <c r="Z1189" s="72">
        <f>tabPontoPed[CÁLC_4M] - tabPontoPed[CÁLCULO]</f>
        <v>0</v>
      </c>
      <c r="AA1189" s="79" t="str">
        <f>IF(tabPontoPed[MENSAL]-tabPontoPed[ATA MENSAL] = 0,"sim","")</f>
        <v>sim</v>
      </c>
      <c r="AB1189" s="79" t="s">
        <v>1614</v>
      </c>
      <c r="AC1189" s="47" t="str">
        <f t="shared" si="18"/>
        <v>*</v>
      </c>
    </row>
    <row r="1190" spans="1:29" x14ac:dyDescent="0.25">
      <c r="A1190" s="36">
        <v>12657</v>
      </c>
      <c r="B1190" s="68" t="s">
        <v>198</v>
      </c>
      <c r="C1190" s="33" t="s">
        <v>1317</v>
      </c>
      <c r="D1190" s="32">
        <v>81</v>
      </c>
      <c r="E1190" s="37">
        <v>9</v>
      </c>
      <c r="F1190" s="38" t="str">
        <f>VLOOKUP(tabPontoPed[[#This Row],[GRUPO]],tabGrupos[#Data],2,FALSE)</f>
        <v>ARMAS COMP.EXPLOSIVOS MUNICOES COMP.ACESSORIOS</v>
      </c>
      <c r="G1190" s="32" t="str">
        <f>VLOOKUP(tabPontoPed[[#This Row],[GRUPO]],tabGrupos[#Data],3,FALSE)</f>
        <v>OUT</v>
      </c>
      <c r="H1190" s="33" t="s">
        <v>1311</v>
      </c>
      <c r="I1190" s="80">
        <v>4</v>
      </c>
      <c r="J1190" s="39">
        <v>40</v>
      </c>
      <c r="K1190" s="41">
        <f>tabPontoPed[[#This Row],[QTDMÊS]] * tabPontoPed[[#This Row],[MENSAL]]</f>
        <v>160</v>
      </c>
      <c r="L1190" s="83"/>
      <c r="M1190" s="81"/>
      <c r="N1190" s="34" t="s">
        <v>1010</v>
      </c>
      <c r="O1190" s="76"/>
      <c r="P1190" s="77"/>
      <c r="Q1190" s="57">
        <v>0</v>
      </c>
      <c r="R1190" s="42">
        <v>0</v>
      </c>
      <c r="S1190" s="69" t="str">
        <f>_xlfn.IFNA(IF(VLOOKUP(tabPontoPed[[#This Row],[CÓDIGO]],tabExcluirDoEstoque[#Data],1,FALSE),"sim",""),"")</f>
        <v>sim</v>
      </c>
      <c r="T1190" s="43">
        <f>IF(AND(tabPontoPed[[#This Row],[MENSAL]]&gt;0,tabPontoPed[[#This Row],[CÁLCULO]]&gt;0), ABS( tabPontoPed[[#This Row],[MENSAL]] - tabPontoPed[[#This Row],[CÁLCULO]] ) / tabPontoPed[[#This Row],[MENSAL]], -1 )</f>
        <v>-1</v>
      </c>
      <c r="U1190" s="58"/>
      <c r="V1190" s="35">
        <f>IF(AND(tabPontoPed[[#This Row],[MENSAL]]&gt;0,tabPontoPed[[#This Row],[CÁLCULO]]&gt;0), IF( tabPontoPed[[#This Row],[MENSAL]] - tabPontoPed[[#This Row],[CÁLCULO]] &lt; 0, -1, IF( tabPontoPed[[#This Row],[MENSAL]] - tabPontoPed[[#This Row],[CÁLCULO]] &gt; 0, 1, -8)), -9 )</f>
        <v>-9</v>
      </c>
      <c r="W1190" s="35"/>
      <c r="X1190" s="49" t="s">
        <v>1564</v>
      </c>
      <c r="Y1190" s="51">
        <v>44391.599108796298</v>
      </c>
      <c r="Z1190" s="72">
        <f>tabPontoPed[CÁLC_4M] - tabPontoPed[CÁLCULO]</f>
        <v>0</v>
      </c>
      <c r="AA1190" s="79" t="str">
        <f>IF(tabPontoPed[MENSAL]-tabPontoPed[ATA MENSAL] = 0,"sim","")</f>
        <v/>
      </c>
      <c r="AB1190" s="79"/>
      <c r="AC1190" s="47" t="str">
        <f t="shared" si="18"/>
        <v>*</v>
      </c>
    </row>
    <row r="1192" spans="1:29" x14ac:dyDescent="0.25">
      <c r="J1192" s="84"/>
    </row>
    <row r="1193" spans="1:29" x14ac:dyDescent="0.25">
      <c r="K1193" s="84"/>
      <c r="L1193" s="84"/>
    </row>
    <row r="1194" spans="1:29" x14ac:dyDescent="0.25">
      <c r="J1194" s="84"/>
    </row>
    <row r="1195" spans="1:29" x14ac:dyDescent="0.25">
      <c r="H1195" s="87"/>
    </row>
    <row r="1198" spans="1:29" x14ac:dyDescent="0.25">
      <c r="K1198" s="84"/>
    </row>
    <row r="1208" spans="14:14" x14ac:dyDescent="0.25">
      <c r="N1208" s="84"/>
    </row>
  </sheetData>
  <sortState ref="A3:AC1190">
    <sortCondition ref="S2:S1190"/>
    <sortCondition descending="1" ref="T2:T1190"/>
    <sortCondition ref="G2:G1190"/>
    <sortCondition ref="D2:D1190"/>
    <sortCondition ref="E2:E1190"/>
    <sortCondition ref="B2:B1190"/>
    <sortCondition ref="A2:A1190"/>
  </sortState>
  <mergeCells count="1">
    <mergeCell ref="A1:AC1"/>
  </mergeCells>
  <conditionalFormatting sqref="A3:AC1190">
    <cfRule type="expression" dxfId="76" priority="294">
      <formula>$S3="sim"</formula>
    </cfRule>
  </conditionalFormatting>
  <conditionalFormatting sqref="T3:T1190">
    <cfRule type="expression" dxfId="75" priority="3">
      <formula>$V3 = -1</formula>
    </cfRule>
  </conditionalFormatting>
  <conditionalFormatting sqref="AA3:AB1190 P3:P1190">
    <cfRule type="cellIs" dxfId="74" priority="2" operator="lessThan">
      <formula>0</formula>
    </cfRule>
  </conditionalFormatting>
  <conditionalFormatting sqref="J3:J1190">
    <cfRule type="expression" dxfId="73" priority="28">
      <formula>$AA3="sim"</formula>
    </cfRule>
  </conditionalFormatting>
  <conditionalFormatting sqref="A3:A1190">
    <cfRule type="duplicateValues" dxfId="72" priority="1336"/>
  </conditionalFormatting>
  <dataValidations count="3">
    <dataValidation type="date" allowBlank="1" showInputMessage="1" showErrorMessage="1" sqref="M3:M1190" xr:uid="{00000000-0002-0000-0000-000001000000}">
      <formula1>43933</formula1>
      <formula2>47585</formula2>
    </dataValidation>
    <dataValidation type="whole" operator="greaterThan" allowBlank="1" showInputMessage="1" showErrorMessage="1" sqref="L3:L1190" xr:uid="{00000000-0002-0000-0000-000002000000}">
      <formula1>-1</formula1>
    </dataValidation>
    <dataValidation type="whole" operator="greaterThanOrEqual" allowBlank="1" showInputMessage="1" showErrorMessage="1" sqref="H1114:H1048576" xr:uid="{00000000-0002-0000-0000-000000000000}">
      <formula1>0</formula1>
    </dataValidation>
  </dataValidations>
  <printOptions gridLines="1"/>
  <pageMargins left="0.23622047244094491" right="0.23622047244094491" top="0.74803149606299213" bottom="0.74803149606299213" header="0.31496062992125984" footer="0.31496062992125984"/>
  <pageSetup paperSize="9" scale="43" fitToHeight="0" orientation="portrait" r:id="rId1"/>
  <headerFooter>
    <oddHeader>&amp;R&amp;"-,Negrito"&amp;12Página &amp;P de &amp;N</oddHeader>
    <oddFooter>&amp;REmissão: &amp;D</oddFooter>
  </headerFooter>
  <drawing r:id="rId2"/>
  <legacyDrawing r:id="rId3"/>
  <controls>
    <mc:AlternateContent xmlns:mc="http://schemas.openxmlformats.org/markup-compatibility/2006">
      <mc:Choice Requires="x14">
        <control shapeId="1420" r:id="rId4" name="btn_Ponto_Ped_Export">
          <controlPr defaultSize="0" print="0" autoLine="0" r:id="rId5">
            <anchor>
              <from>
                <xdr:col>13</xdr:col>
                <xdr:colOff>762000</xdr:colOff>
                <xdr:row>0</xdr:row>
                <xdr:rowOff>85725</xdr:rowOff>
              </from>
              <to>
                <xdr:col>17</xdr:col>
                <xdr:colOff>123825</xdr:colOff>
                <xdr:row>0</xdr:row>
                <xdr:rowOff>533400</xdr:rowOff>
              </to>
            </anchor>
          </controlPr>
        </control>
      </mc:Choice>
      <mc:Fallback>
        <control shapeId="1420" r:id="rId4" name="btn_Ponto_Ped_Export"/>
      </mc:Fallback>
    </mc:AlternateContent>
    <mc:AlternateContent xmlns:mc="http://schemas.openxmlformats.org/markup-compatibility/2006">
      <mc:Choice Requires="x14">
        <control shapeId="1175" r:id="rId6" name="btn_Ponto_Ped_FilCód">
          <controlPr defaultSize="0" print="0" autoLine="0" r:id="rId7">
            <anchor>
              <from>
                <xdr:col>5</xdr:col>
                <xdr:colOff>1276350</xdr:colOff>
                <xdr:row>0</xdr:row>
                <xdr:rowOff>85725</xdr:rowOff>
              </from>
              <to>
                <xdr:col>7</xdr:col>
                <xdr:colOff>57150</xdr:colOff>
                <xdr:row>0</xdr:row>
                <xdr:rowOff>533400</xdr:rowOff>
              </to>
            </anchor>
          </controlPr>
        </control>
      </mc:Choice>
      <mc:Fallback>
        <control shapeId="1175" r:id="rId6" name="btn_Ponto_Ped_FilCód"/>
      </mc:Fallback>
    </mc:AlternateContent>
    <mc:AlternateContent xmlns:mc="http://schemas.openxmlformats.org/markup-compatibility/2006">
      <mc:Choice Requires="x14">
        <control shapeId="1159" r:id="rId8" name="btn_Ponto_Ped_AtuCod">
          <controlPr defaultSize="0" print="0" autoLine="0" r:id="rId9">
            <anchor>
              <from>
                <xdr:col>7</xdr:col>
                <xdr:colOff>114300</xdr:colOff>
                <xdr:row>0</xdr:row>
                <xdr:rowOff>85725</xdr:rowOff>
              </from>
              <to>
                <xdr:col>10</xdr:col>
                <xdr:colOff>200025</xdr:colOff>
                <xdr:row>0</xdr:row>
                <xdr:rowOff>533400</xdr:rowOff>
              </to>
            </anchor>
          </controlPr>
        </control>
      </mc:Choice>
      <mc:Fallback>
        <control shapeId="1159" r:id="rId8" name="btn_Ponto_Ped_AtuCod"/>
      </mc:Fallback>
    </mc:AlternateContent>
    <mc:AlternateContent xmlns:mc="http://schemas.openxmlformats.org/markup-compatibility/2006">
      <mc:Choice Requires="x14">
        <control shapeId="1106" r:id="rId10" name="btn_Ponto_Ped_Filtros">
          <controlPr defaultSize="0" print="0" autoLine="0" r:id="rId11">
            <anchor>
              <from>
                <xdr:col>1</xdr:col>
                <xdr:colOff>3743325</xdr:colOff>
                <xdr:row>0</xdr:row>
                <xdr:rowOff>85725</xdr:rowOff>
              </from>
              <to>
                <xdr:col>5</xdr:col>
                <xdr:colOff>1209675</xdr:colOff>
                <xdr:row>0</xdr:row>
                <xdr:rowOff>533400</xdr:rowOff>
              </to>
            </anchor>
          </controlPr>
        </control>
      </mc:Choice>
      <mc:Fallback>
        <control shapeId="1106" r:id="rId10" name="btn_Ponto_Ped_Filtros"/>
      </mc:Fallback>
    </mc:AlternateContent>
    <mc:AlternateContent xmlns:mc="http://schemas.openxmlformats.org/markup-compatibility/2006">
      <mc:Choice Requires="x14">
        <control shapeId="1030" r:id="rId12" name="btn_Ponto_Ped_Ordenar">
          <controlPr defaultSize="0" print="0" autoLine="0" r:id="rId13">
            <anchor>
              <from>
                <xdr:col>0</xdr:col>
                <xdr:colOff>66675</xdr:colOff>
                <xdr:row>0</xdr:row>
                <xdr:rowOff>85725</xdr:rowOff>
              </from>
              <to>
                <xdr:col>1</xdr:col>
                <xdr:colOff>1466850</xdr:colOff>
                <xdr:row>0</xdr:row>
                <xdr:rowOff>533400</xdr:rowOff>
              </to>
            </anchor>
          </controlPr>
        </control>
      </mc:Choice>
      <mc:Fallback>
        <control shapeId="1030" r:id="rId12" name="btn_Ponto_Ped_Ordenar"/>
      </mc:Fallback>
    </mc:AlternateContent>
    <mc:AlternateContent xmlns:mc="http://schemas.openxmlformats.org/markup-compatibility/2006">
      <mc:Choice Requires="x14">
        <control shapeId="1084" r:id="rId14" name="btn_Ponto_Ped_HabOutAlt">
          <controlPr locked="0" defaultSize="0" print="0" autoLine="0" r:id="rId15">
            <anchor>
              <from>
                <xdr:col>1</xdr:col>
                <xdr:colOff>1524000</xdr:colOff>
                <xdr:row>0</xdr:row>
                <xdr:rowOff>85725</xdr:rowOff>
              </from>
              <to>
                <xdr:col>1</xdr:col>
                <xdr:colOff>3686175</xdr:colOff>
                <xdr:row>0</xdr:row>
                <xdr:rowOff>533400</xdr:rowOff>
              </to>
            </anchor>
          </controlPr>
        </control>
      </mc:Choice>
      <mc:Fallback>
        <control shapeId="1084" r:id="rId14" name="btn_Ponto_Ped_HabOutAlt"/>
      </mc:Fallback>
    </mc:AlternateContent>
    <mc:AlternateContent xmlns:mc="http://schemas.openxmlformats.org/markup-compatibility/2006">
      <mc:Choice Requires="x14">
        <control shapeId="1337" r:id="rId16" name="btn_Ponto_Ped_ColCompra">
          <controlPr defaultSize="0" print="0" autoLine="0" r:id="rId17">
            <anchor>
              <from>
                <xdr:col>17</xdr:col>
                <xdr:colOff>180975</xdr:colOff>
                <xdr:row>0</xdr:row>
                <xdr:rowOff>85725</xdr:rowOff>
              </from>
              <to>
                <xdr:col>28</xdr:col>
                <xdr:colOff>180975</xdr:colOff>
                <xdr:row>0</xdr:row>
                <xdr:rowOff>533400</xdr:rowOff>
              </to>
            </anchor>
          </controlPr>
        </control>
      </mc:Choice>
      <mc:Fallback>
        <control shapeId="1337" r:id="rId16" name="btn_Ponto_Ped_ColCompra"/>
      </mc:Fallback>
    </mc:AlternateContent>
    <mc:AlternateContent xmlns:mc="http://schemas.openxmlformats.org/markup-compatibility/2006">
      <mc:Choice Requires="x14">
        <control shapeId="244956" r:id="rId18" name="btn_Ponto_Ped_MudMens">
          <controlPr defaultSize="0" print="0" autoLine="0" r:id="rId19">
            <anchor>
              <from>
                <xdr:col>10</xdr:col>
                <xdr:colOff>247650</xdr:colOff>
                <xdr:row>0</xdr:row>
                <xdr:rowOff>85725</xdr:rowOff>
              </from>
              <to>
                <xdr:col>13</xdr:col>
                <xdr:colOff>695325</xdr:colOff>
                <xdr:row>0</xdr:row>
                <xdr:rowOff>533400</xdr:rowOff>
              </to>
            </anchor>
          </controlPr>
        </control>
      </mc:Choice>
      <mc:Fallback>
        <control shapeId="244956" r:id="rId18" name="btn_Ponto_Ped_MudMens"/>
      </mc:Fallback>
    </mc:AlternateContent>
  </controls>
  <tableParts count="1">
    <tablePart r:id="rId20"/>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3000000}">
          <x14:formula1>
            <xm:f>Estáticas!$A$3:$A$5</xm:f>
          </x14:formula1>
          <xm:sqref>N3:N1190</xm:sqref>
        </x14:dataValidation>
        <x14:dataValidation type="list" allowBlank="1" showInputMessage="1" showErrorMessage="1" xr:uid="{00000000-0002-0000-0000-000004000000}">
          <x14:formula1>
            <xm:f>Estáticas!$A$10:$A$11</xm:f>
          </x14:formula1>
          <xm:sqref>H3:H1113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2"/>
  <dimension ref="A1:B1236"/>
  <sheetViews>
    <sheetView workbookViewId="0"/>
  </sheetViews>
  <sheetFormatPr defaultRowHeight="15" x14ac:dyDescent="0.25"/>
  <cols>
    <col min="1" max="1" width="10.28515625" customWidth="1"/>
  </cols>
  <sheetData>
    <row r="1" spans="1:2" x14ac:dyDescent="0.25">
      <c r="A1" t="s">
        <v>0</v>
      </c>
      <c r="B1" t="s">
        <v>1393</v>
      </c>
    </row>
    <row r="2" spans="1:2" x14ac:dyDescent="0.25">
      <c r="A2">
        <v>2278</v>
      </c>
      <c r="B2">
        <v>34</v>
      </c>
    </row>
    <row r="3" spans="1:2" x14ac:dyDescent="0.25">
      <c r="A3">
        <v>4680</v>
      </c>
      <c r="B3">
        <v>12219</v>
      </c>
    </row>
    <row r="4" spans="1:2" x14ac:dyDescent="0.25">
      <c r="A4">
        <v>9413</v>
      </c>
      <c r="B4">
        <v>65671</v>
      </c>
    </row>
    <row r="5" spans="1:2" x14ac:dyDescent="0.25">
      <c r="A5">
        <v>10302</v>
      </c>
      <c r="B5">
        <v>2641</v>
      </c>
    </row>
    <row r="6" spans="1:2" x14ac:dyDescent="0.25">
      <c r="A6">
        <v>10359</v>
      </c>
      <c r="B6">
        <v>1869</v>
      </c>
    </row>
    <row r="7" spans="1:2" x14ac:dyDescent="0.25">
      <c r="A7">
        <v>10392</v>
      </c>
      <c r="B7">
        <v>4335</v>
      </c>
    </row>
    <row r="8" spans="1:2" x14ac:dyDescent="0.25">
      <c r="A8">
        <v>10412</v>
      </c>
      <c r="B8">
        <v>1019</v>
      </c>
    </row>
    <row r="9" spans="1:2" x14ac:dyDescent="0.25">
      <c r="A9">
        <v>10547</v>
      </c>
      <c r="B9">
        <v>10695</v>
      </c>
    </row>
    <row r="10" spans="1:2" x14ac:dyDescent="0.25">
      <c r="A10">
        <v>10719</v>
      </c>
      <c r="B10">
        <v>38942</v>
      </c>
    </row>
    <row r="11" spans="1:2" x14ac:dyDescent="0.25">
      <c r="A11">
        <v>10867</v>
      </c>
      <c r="B11">
        <v>27134</v>
      </c>
    </row>
    <row r="12" spans="1:2" x14ac:dyDescent="0.25">
      <c r="A12">
        <v>10870</v>
      </c>
      <c r="B12">
        <v>3280</v>
      </c>
    </row>
    <row r="13" spans="1:2" x14ac:dyDescent="0.25">
      <c r="A13">
        <v>11072</v>
      </c>
      <c r="B13">
        <v>284</v>
      </c>
    </row>
    <row r="14" spans="1:2" x14ac:dyDescent="0.25">
      <c r="A14">
        <v>11109</v>
      </c>
      <c r="B14">
        <v>4199</v>
      </c>
    </row>
    <row r="15" spans="1:2" x14ac:dyDescent="0.25">
      <c r="A15">
        <v>11116</v>
      </c>
      <c r="B15">
        <v>630</v>
      </c>
    </row>
    <row r="16" spans="1:2" x14ac:dyDescent="0.25">
      <c r="A16">
        <v>11264</v>
      </c>
      <c r="B16">
        <v>494</v>
      </c>
    </row>
    <row r="17" spans="1:2" x14ac:dyDescent="0.25">
      <c r="A17">
        <v>11287</v>
      </c>
      <c r="B17">
        <v>572</v>
      </c>
    </row>
    <row r="18" spans="1:2" x14ac:dyDescent="0.25">
      <c r="A18">
        <v>11418</v>
      </c>
      <c r="B18">
        <v>4365</v>
      </c>
    </row>
    <row r="19" spans="1:2" x14ac:dyDescent="0.25">
      <c r="A19">
        <v>11448</v>
      </c>
      <c r="B19">
        <v>964</v>
      </c>
    </row>
    <row r="20" spans="1:2" x14ac:dyDescent="0.25">
      <c r="A20">
        <v>11509</v>
      </c>
      <c r="B20">
        <v>4116</v>
      </c>
    </row>
    <row r="21" spans="1:2" x14ac:dyDescent="0.25">
      <c r="A21">
        <v>11590</v>
      </c>
      <c r="B21">
        <v>2574</v>
      </c>
    </row>
    <row r="22" spans="1:2" x14ac:dyDescent="0.25">
      <c r="A22">
        <v>11857</v>
      </c>
      <c r="B22">
        <v>27454</v>
      </c>
    </row>
    <row r="23" spans="1:2" x14ac:dyDescent="0.25">
      <c r="A23">
        <v>11882</v>
      </c>
      <c r="B23">
        <v>0</v>
      </c>
    </row>
    <row r="24" spans="1:2" x14ac:dyDescent="0.25">
      <c r="A24">
        <v>11956</v>
      </c>
      <c r="B24">
        <v>0</v>
      </c>
    </row>
    <row r="25" spans="1:2" x14ac:dyDescent="0.25">
      <c r="A25">
        <v>11980</v>
      </c>
      <c r="B25">
        <v>11336</v>
      </c>
    </row>
    <row r="26" spans="1:2" x14ac:dyDescent="0.25">
      <c r="A26">
        <v>12018</v>
      </c>
      <c r="B26">
        <v>274</v>
      </c>
    </row>
    <row r="27" spans="1:2" x14ac:dyDescent="0.25">
      <c r="A27">
        <v>12020</v>
      </c>
      <c r="B27">
        <v>0</v>
      </c>
    </row>
    <row r="28" spans="1:2" x14ac:dyDescent="0.25">
      <c r="A28">
        <v>12613</v>
      </c>
      <c r="B28">
        <v>41261</v>
      </c>
    </row>
    <row r="29" spans="1:2" x14ac:dyDescent="0.25">
      <c r="A29">
        <v>12614</v>
      </c>
      <c r="B29">
        <v>34578</v>
      </c>
    </row>
    <row r="30" spans="1:2" x14ac:dyDescent="0.25">
      <c r="A30">
        <v>12615</v>
      </c>
      <c r="B30">
        <v>2551</v>
      </c>
    </row>
    <row r="31" spans="1:2" x14ac:dyDescent="0.25">
      <c r="A31">
        <v>12616</v>
      </c>
      <c r="B31">
        <v>47023</v>
      </c>
    </row>
    <row r="32" spans="1:2" x14ac:dyDescent="0.25">
      <c r="A32">
        <v>12623</v>
      </c>
      <c r="B32">
        <v>15849</v>
      </c>
    </row>
    <row r="33" spans="1:2" x14ac:dyDescent="0.25">
      <c r="A33">
        <v>12635</v>
      </c>
      <c r="B33">
        <v>16480</v>
      </c>
    </row>
    <row r="34" spans="1:2" x14ac:dyDescent="0.25">
      <c r="A34">
        <v>12652</v>
      </c>
      <c r="B34">
        <v>9888</v>
      </c>
    </row>
    <row r="35" spans="1:2" x14ac:dyDescent="0.25">
      <c r="A35">
        <v>12654</v>
      </c>
      <c r="B35">
        <v>80598</v>
      </c>
    </row>
    <row r="36" spans="1:2" x14ac:dyDescent="0.25">
      <c r="A36">
        <v>12657</v>
      </c>
      <c r="B36">
        <v>478</v>
      </c>
    </row>
    <row r="37" spans="1:2" x14ac:dyDescent="0.25">
      <c r="A37">
        <v>12659</v>
      </c>
      <c r="B37">
        <v>1939</v>
      </c>
    </row>
    <row r="38" spans="1:2" x14ac:dyDescent="0.25">
      <c r="A38">
        <v>12673</v>
      </c>
      <c r="B38">
        <v>182</v>
      </c>
    </row>
    <row r="39" spans="1:2" x14ac:dyDescent="0.25">
      <c r="A39">
        <v>12675</v>
      </c>
      <c r="B39">
        <v>79</v>
      </c>
    </row>
    <row r="40" spans="1:2" x14ac:dyDescent="0.25">
      <c r="A40">
        <v>12685</v>
      </c>
      <c r="B40">
        <v>34107</v>
      </c>
    </row>
    <row r="41" spans="1:2" x14ac:dyDescent="0.25">
      <c r="A41">
        <v>12708</v>
      </c>
      <c r="B41">
        <v>1452</v>
      </c>
    </row>
    <row r="42" spans="1:2" x14ac:dyDescent="0.25">
      <c r="A42">
        <v>12712</v>
      </c>
      <c r="B42">
        <v>425</v>
      </c>
    </row>
    <row r="43" spans="1:2" x14ac:dyDescent="0.25">
      <c r="A43">
        <v>12754</v>
      </c>
      <c r="B43">
        <v>1005</v>
      </c>
    </row>
    <row r="44" spans="1:2" x14ac:dyDescent="0.25">
      <c r="A44">
        <v>12763</v>
      </c>
      <c r="B44">
        <v>819</v>
      </c>
    </row>
    <row r="45" spans="1:2" x14ac:dyDescent="0.25">
      <c r="A45">
        <v>12806</v>
      </c>
      <c r="B45">
        <v>25</v>
      </c>
    </row>
    <row r="46" spans="1:2" x14ac:dyDescent="0.25">
      <c r="A46">
        <v>12812</v>
      </c>
      <c r="B46">
        <v>22</v>
      </c>
    </row>
    <row r="47" spans="1:2" x14ac:dyDescent="0.25">
      <c r="A47">
        <v>12813</v>
      </c>
      <c r="B47">
        <v>12</v>
      </c>
    </row>
    <row r="48" spans="1:2" x14ac:dyDescent="0.25">
      <c r="A48">
        <v>12818</v>
      </c>
      <c r="B48">
        <v>235</v>
      </c>
    </row>
    <row r="49" spans="1:2" x14ac:dyDescent="0.25">
      <c r="A49">
        <v>12820</v>
      </c>
      <c r="B49">
        <v>135</v>
      </c>
    </row>
    <row r="50" spans="1:2" x14ac:dyDescent="0.25">
      <c r="A50">
        <v>12821</v>
      </c>
      <c r="B50">
        <v>28</v>
      </c>
    </row>
    <row r="51" spans="1:2" x14ac:dyDescent="0.25">
      <c r="A51">
        <v>12824</v>
      </c>
      <c r="B51">
        <v>29</v>
      </c>
    </row>
    <row r="52" spans="1:2" x14ac:dyDescent="0.25">
      <c r="A52">
        <v>12829</v>
      </c>
      <c r="B52">
        <v>175</v>
      </c>
    </row>
    <row r="53" spans="1:2" x14ac:dyDescent="0.25">
      <c r="A53">
        <v>12830</v>
      </c>
      <c r="B53">
        <v>271</v>
      </c>
    </row>
    <row r="54" spans="1:2" x14ac:dyDescent="0.25">
      <c r="A54">
        <v>12831</v>
      </c>
      <c r="B54">
        <v>83</v>
      </c>
    </row>
    <row r="55" spans="1:2" x14ac:dyDescent="0.25">
      <c r="A55">
        <v>12835</v>
      </c>
      <c r="B55">
        <v>250</v>
      </c>
    </row>
    <row r="56" spans="1:2" x14ac:dyDescent="0.25">
      <c r="A56">
        <v>12838</v>
      </c>
      <c r="B56">
        <v>140</v>
      </c>
    </row>
    <row r="57" spans="1:2" x14ac:dyDescent="0.25">
      <c r="A57">
        <v>12847</v>
      </c>
      <c r="B57">
        <v>1255</v>
      </c>
    </row>
    <row r="58" spans="1:2" x14ac:dyDescent="0.25">
      <c r="A58">
        <v>12851</v>
      </c>
      <c r="B58">
        <v>5</v>
      </c>
    </row>
    <row r="59" spans="1:2" x14ac:dyDescent="0.25">
      <c r="A59">
        <v>12853</v>
      </c>
      <c r="B59">
        <v>132</v>
      </c>
    </row>
    <row r="60" spans="1:2" x14ac:dyDescent="0.25">
      <c r="A60">
        <v>12856</v>
      </c>
      <c r="B60">
        <v>1447</v>
      </c>
    </row>
    <row r="61" spans="1:2" x14ac:dyDescent="0.25">
      <c r="A61">
        <v>12857</v>
      </c>
      <c r="B61">
        <v>377</v>
      </c>
    </row>
    <row r="62" spans="1:2" x14ac:dyDescent="0.25">
      <c r="A62">
        <v>12869</v>
      </c>
      <c r="B62">
        <v>0</v>
      </c>
    </row>
    <row r="63" spans="1:2" x14ac:dyDescent="0.25">
      <c r="A63">
        <v>12877</v>
      </c>
      <c r="B63">
        <v>337</v>
      </c>
    </row>
    <row r="64" spans="1:2" x14ac:dyDescent="0.25">
      <c r="A64">
        <v>12881</v>
      </c>
      <c r="B64">
        <v>196</v>
      </c>
    </row>
    <row r="65" spans="1:2" x14ac:dyDescent="0.25">
      <c r="A65">
        <v>12884</v>
      </c>
      <c r="B65">
        <v>216</v>
      </c>
    </row>
    <row r="66" spans="1:2" x14ac:dyDescent="0.25">
      <c r="A66">
        <v>12886</v>
      </c>
      <c r="B66">
        <v>148</v>
      </c>
    </row>
    <row r="67" spans="1:2" x14ac:dyDescent="0.25">
      <c r="A67">
        <v>12888</v>
      </c>
      <c r="B67">
        <v>46</v>
      </c>
    </row>
    <row r="68" spans="1:2" x14ac:dyDescent="0.25">
      <c r="A68">
        <v>12891</v>
      </c>
      <c r="B68">
        <v>63</v>
      </c>
    </row>
    <row r="69" spans="1:2" x14ac:dyDescent="0.25">
      <c r="A69">
        <v>12894</v>
      </c>
      <c r="B69">
        <v>593</v>
      </c>
    </row>
    <row r="70" spans="1:2" x14ac:dyDescent="0.25">
      <c r="A70">
        <v>12922</v>
      </c>
      <c r="B70">
        <v>24</v>
      </c>
    </row>
    <row r="71" spans="1:2" x14ac:dyDescent="0.25">
      <c r="A71">
        <v>12937</v>
      </c>
      <c r="B71">
        <v>0</v>
      </c>
    </row>
    <row r="72" spans="1:2" x14ac:dyDescent="0.25">
      <c r="A72">
        <v>12938</v>
      </c>
      <c r="B72">
        <v>0</v>
      </c>
    </row>
    <row r="73" spans="1:2" x14ac:dyDescent="0.25">
      <c r="A73">
        <v>12944</v>
      </c>
      <c r="B73">
        <v>6</v>
      </c>
    </row>
    <row r="74" spans="1:2" x14ac:dyDescent="0.25">
      <c r="A74">
        <v>12948</v>
      </c>
      <c r="B74">
        <v>14</v>
      </c>
    </row>
    <row r="75" spans="1:2" x14ac:dyDescent="0.25">
      <c r="A75">
        <v>12950</v>
      </c>
      <c r="B75">
        <v>104</v>
      </c>
    </row>
    <row r="76" spans="1:2" x14ac:dyDescent="0.25">
      <c r="A76">
        <v>12953</v>
      </c>
      <c r="B76">
        <v>18</v>
      </c>
    </row>
    <row r="77" spans="1:2" x14ac:dyDescent="0.25">
      <c r="A77">
        <v>12956</v>
      </c>
      <c r="B77">
        <v>393</v>
      </c>
    </row>
    <row r="78" spans="1:2" x14ac:dyDescent="0.25">
      <c r="A78">
        <v>12961</v>
      </c>
      <c r="B78">
        <v>0</v>
      </c>
    </row>
    <row r="79" spans="1:2" x14ac:dyDescent="0.25">
      <c r="A79">
        <v>12964</v>
      </c>
      <c r="B79">
        <v>1</v>
      </c>
    </row>
    <row r="80" spans="1:2" x14ac:dyDescent="0.25">
      <c r="A80">
        <v>12971</v>
      </c>
      <c r="B80">
        <v>169</v>
      </c>
    </row>
    <row r="81" spans="1:2" x14ac:dyDescent="0.25">
      <c r="A81">
        <v>12989</v>
      </c>
      <c r="B81">
        <v>226</v>
      </c>
    </row>
    <row r="82" spans="1:2" x14ac:dyDescent="0.25">
      <c r="A82">
        <v>12992</v>
      </c>
      <c r="B82">
        <v>59</v>
      </c>
    </row>
    <row r="83" spans="1:2" x14ac:dyDescent="0.25">
      <c r="A83">
        <v>13007</v>
      </c>
      <c r="B83">
        <v>212</v>
      </c>
    </row>
    <row r="84" spans="1:2" x14ac:dyDescent="0.25">
      <c r="A84">
        <v>13009</v>
      </c>
      <c r="B84">
        <v>654</v>
      </c>
    </row>
    <row r="85" spans="1:2" x14ac:dyDescent="0.25">
      <c r="A85">
        <v>13013</v>
      </c>
      <c r="B85">
        <v>90</v>
      </c>
    </row>
    <row r="86" spans="1:2" x14ac:dyDescent="0.25">
      <c r="A86">
        <v>13019</v>
      </c>
      <c r="B86">
        <v>1630</v>
      </c>
    </row>
    <row r="87" spans="1:2" x14ac:dyDescent="0.25">
      <c r="A87">
        <v>13021</v>
      </c>
      <c r="B87">
        <v>1</v>
      </c>
    </row>
    <row r="88" spans="1:2" x14ac:dyDescent="0.25">
      <c r="A88">
        <v>13033</v>
      </c>
      <c r="B88">
        <v>26</v>
      </c>
    </row>
    <row r="89" spans="1:2" x14ac:dyDescent="0.25">
      <c r="A89">
        <v>13053</v>
      </c>
      <c r="B89">
        <v>462</v>
      </c>
    </row>
    <row r="90" spans="1:2" x14ac:dyDescent="0.25">
      <c r="A90">
        <v>13059</v>
      </c>
      <c r="B90">
        <v>275</v>
      </c>
    </row>
    <row r="91" spans="1:2" x14ac:dyDescent="0.25">
      <c r="A91">
        <v>13060</v>
      </c>
      <c r="B91">
        <v>203</v>
      </c>
    </row>
    <row r="92" spans="1:2" x14ac:dyDescent="0.25">
      <c r="A92">
        <v>13063</v>
      </c>
      <c r="B92">
        <v>558</v>
      </c>
    </row>
    <row r="93" spans="1:2" x14ac:dyDescent="0.25">
      <c r="A93">
        <v>13064</v>
      </c>
      <c r="B93">
        <v>1091</v>
      </c>
    </row>
    <row r="94" spans="1:2" x14ac:dyDescent="0.25">
      <c r="A94">
        <v>13066</v>
      </c>
      <c r="B94">
        <v>411</v>
      </c>
    </row>
    <row r="95" spans="1:2" x14ac:dyDescent="0.25">
      <c r="A95">
        <v>13068</v>
      </c>
      <c r="B95">
        <v>16</v>
      </c>
    </row>
    <row r="96" spans="1:2" x14ac:dyDescent="0.25">
      <c r="A96">
        <v>13070</v>
      </c>
      <c r="B96">
        <v>3</v>
      </c>
    </row>
    <row r="97" spans="1:2" x14ac:dyDescent="0.25">
      <c r="A97">
        <v>13072</v>
      </c>
      <c r="B97">
        <v>106</v>
      </c>
    </row>
    <row r="98" spans="1:2" x14ac:dyDescent="0.25">
      <c r="A98">
        <v>13076</v>
      </c>
      <c r="B98">
        <v>26</v>
      </c>
    </row>
    <row r="99" spans="1:2" x14ac:dyDescent="0.25">
      <c r="A99">
        <v>13077</v>
      </c>
      <c r="B99">
        <v>1</v>
      </c>
    </row>
    <row r="100" spans="1:2" x14ac:dyDescent="0.25">
      <c r="A100">
        <v>13078</v>
      </c>
      <c r="B100">
        <v>2</v>
      </c>
    </row>
    <row r="101" spans="1:2" x14ac:dyDescent="0.25">
      <c r="A101">
        <v>13087</v>
      </c>
      <c r="B101">
        <v>46</v>
      </c>
    </row>
    <row r="102" spans="1:2" x14ac:dyDescent="0.25">
      <c r="A102">
        <v>13088</v>
      </c>
      <c r="B102">
        <v>34</v>
      </c>
    </row>
    <row r="103" spans="1:2" x14ac:dyDescent="0.25">
      <c r="A103">
        <v>13091</v>
      </c>
      <c r="B103">
        <v>4699</v>
      </c>
    </row>
    <row r="104" spans="1:2" x14ac:dyDescent="0.25">
      <c r="A104">
        <v>13092</v>
      </c>
      <c r="B104">
        <v>92</v>
      </c>
    </row>
    <row r="105" spans="1:2" x14ac:dyDescent="0.25">
      <c r="A105">
        <v>13094</v>
      </c>
      <c r="B105">
        <v>888</v>
      </c>
    </row>
    <row r="106" spans="1:2" x14ac:dyDescent="0.25">
      <c r="A106">
        <v>13095</v>
      </c>
      <c r="B106">
        <v>69</v>
      </c>
    </row>
    <row r="107" spans="1:2" x14ac:dyDescent="0.25">
      <c r="A107">
        <v>13096</v>
      </c>
      <c r="B107">
        <v>21</v>
      </c>
    </row>
    <row r="108" spans="1:2" x14ac:dyDescent="0.25">
      <c r="A108">
        <v>13100</v>
      </c>
      <c r="B108">
        <v>0</v>
      </c>
    </row>
    <row r="109" spans="1:2" x14ac:dyDescent="0.25">
      <c r="A109">
        <v>13101</v>
      </c>
      <c r="B109">
        <v>22</v>
      </c>
    </row>
    <row r="110" spans="1:2" x14ac:dyDescent="0.25">
      <c r="A110">
        <v>13102</v>
      </c>
      <c r="B110">
        <v>3</v>
      </c>
    </row>
    <row r="111" spans="1:2" x14ac:dyDescent="0.25">
      <c r="A111">
        <v>13109</v>
      </c>
      <c r="B111">
        <v>105</v>
      </c>
    </row>
    <row r="112" spans="1:2" x14ac:dyDescent="0.25">
      <c r="A112">
        <v>13116</v>
      </c>
      <c r="B112">
        <v>26</v>
      </c>
    </row>
    <row r="113" spans="1:2" x14ac:dyDescent="0.25">
      <c r="A113">
        <v>13117</v>
      </c>
      <c r="B113">
        <v>54</v>
      </c>
    </row>
    <row r="114" spans="1:2" x14ac:dyDescent="0.25">
      <c r="A114">
        <v>13120</v>
      </c>
      <c r="B114">
        <v>11</v>
      </c>
    </row>
    <row r="115" spans="1:2" x14ac:dyDescent="0.25">
      <c r="A115">
        <v>13123</v>
      </c>
      <c r="B115">
        <v>0</v>
      </c>
    </row>
    <row r="116" spans="1:2" x14ac:dyDescent="0.25">
      <c r="A116">
        <v>13125</v>
      </c>
      <c r="B116">
        <v>2</v>
      </c>
    </row>
    <row r="117" spans="1:2" x14ac:dyDescent="0.25">
      <c r="A117">
        <v>13152</v>
      </c>
      <c r="B117">
        <v>19</v>
      </c>
    </row>
    <row r="118" spans="1:2" x14ac:dyDescent="0.25">
      <c r="A118">
        <v>13161</v>
      </c>
      <c r="B118">
        <v>431</v>
      </c>
    </row>
    <row r="119" spans="1:2" x14ac:dyDescent="0.25">
      <c r="A119">
        <v>13165</v>
      </c>
      <c r="B119">
        <v>614</v>
      </c>
    </row>
    <row r="120" spans="1:2" x14ac:dyDescent="0.25">
      <c r="A120">
        <v>13175</v>
      </c>
      <c r="B120">
        <v>328</v>
      </c>
    </row>
    <row r="121" spans="1:2" x14ac:dyDescent="0.25">
      <c r="A121">
        <v>13178</v>
      </c>
      <c r="B121">
        <v>6965</v>
      </c>
    </row>
    <row r="122" spans="1:2" x14ac:dyDescent="0.25">
      <c r="A122">
        <v>13180</v>
      </c>
      <c r="B122">
        <v>233</v>
      </c>
    </row>
    <row r="123" spans="1:2" x14ac:dyDescent="0.25">
      <c r="A123">
        <v>13181</v>
      </c>
      <c r="B123">
        <v>59</v>
      </c>
    </row>
    <row r="124" spans="1:2" x14ac:dyDescent="0.25">
      <c r="A124">
        <v>13186</v>
      </c>
      <c r="B124">
        <v>70</v>
      </c>
    </row>
    <row r="125" spans="1:2" x14ac:dyDescent="0.25">
      <c r="A125">
        <v>13192</v>
      </c>
      <c r="B125">
        <v>49</v>
      </c>
    </row>
    <row r="126" spans="1:2" x14ac:dyDescent="0.25">
      <c r="A126">
        <v>13197</v>
      </c>
      <c r="B126">
        <v>0</v>
      </c>
    </row>
    <row r="127" spans="1:2" x14ac:dyDescent="0.25">
      <c r="A127">
        <v>13199</v>
      </c>
      <c r="B127">
        <v>260</v>
      </c>
    </row>
    <row r="128" spans="1:2" x14ac:dyDescent="0.25">
      <c r="A128">
        <v>13218</v>
      </c>
      <c r="B128">
        <v>211</v>
      </c>
    </row>
    <row r="129" spans="1:2" x14ac:dyDescent="0.25">
      <c r="A129">
        <v>13221</v>
      </c>
      <c r="B129">
        <v>1610</v>
      </c>
    </row>
    <row r="130" spans="1:2" x14ac:dyDescent="0.25">
      <c r="A130">
        <v>13222</v>
      </c>
      <c r="B130">
        <v>235</v>
      </c>
    </row>
    <row r="131" spans="1:2" x14ac:dyDescent="0.25">
      <c r="A131">
        <v>13225</v>
      </c>
      <c r="B131">
        <v>219</v>
      </c>
    </row>
    <row r="132" spans="1:2" x14ac:dyDescent="0.25">
      <c r="A132">
        <v>13517</v>
      </c>
      <c r="B132">
        <v>36</v>
      </c>
    </row>
    <row r="133" spans="1:2" x14ac:dyDescent="0.25">
      <c r="A133">
        <v>13518</v>
      </c>
      <c r="B133">
        <v>60</v>
      </c>
    </row>
    <row r="134" spans="1:2" x14ac:dyDescent="0.25">
      <c r="A134">
        <v>13539</v>
      </c>
      <c r="B134">
        <v>2879</v>
      </c>
    </row>
    <row r="135" spans="1:2" x14ac:dyDescent="0.25">
      <c r="A135">
        <v>13556</v>
      </c>
      <c r="B135">
        <v>30</v>
      </c>
    </row>
    <row r="136" spans="1:2" x14ac:dyDescent="0.25">
      <c r="A136">
        <v>13558</v>
      </c>
      <c r="B136">
        <v>39</v>
      </c>
    </row>
    <row r="137" spans="1:2" x14ac:dyDescent="0.25">
      <c r="A137">
        <v>13559</v>
      </c>
      <c r="B137">
        <v>136</v>
      </c>
    </row>
    <row r="138" spans="1:2" x14ac:dyDescent="0.25">
      <c r="A138">
        <v>13560</v>
      </c>
      <c r="B138">
        <v>17</v>
      </c>
    </row>
    <row r="139" spans="1:2" x14ac:dyDescent="0.25">
      <c r="A139">
        <v>13561</v>
      </c>
      <c r="B139">
        <v>74</v>
      </c>
    </row>
    <row r="140" spans="1:2" x14ac:dyDescent="0.25">
      <c r="A140">
        <v>13562</v>
      </c>
      <c r="B140">
        <v>167</v>
      </c>
    </row>
    <row r="141" spans="1:2" x14ac:dyDescent="0.25">
      <c r="A141">
        <v>13563</v>
      </c>
      <c r="B141">
        <v>281</v>
      </c>
    </row>
    <row r="142" spans="1:2" x14ac:dyDescent="0.25">
      <c r="A142">
        <v>13655</v>
      </c>
      <c r="B142">
        <v>5715</v>
      </c>
    </row>
    <row r="143" spans="1:2" x14ac:dyDescent="0.25">
      <c r="A143">
        <v>13768</v>
      </c>
      <c r="B143">
        <v>2742</v>
      </c>
    </row>
    <row r="144" spans="1:2" x14ac:dyDescent="0.25">
      <c r="A144">
        <v>13905</v>
      </c>
      <c r="B144">
        <v>5512</v>
      </c>
    </row>
    <row r="145" spans="1:2" x14ac:dyDescent="0.25">
      <c r="A145">
        <v>13975</v>
      </c>
      <c r="B145">
        <v>142</v>
      </c>
    </row>
    <row r="146" spans="1:2" x14ac:dyDescent="0.25">
      <c r="A146">
        <v>13991</v>
      </c>
      <c r="B146">
        <v>362</v>
      </c>
    </row>
    <row r="147" spans="1:2" x14ac:dyDescent="0.25">
      <c r="A147">
        <v>14001</v>
      </c>
      <c r="B147">
        <v>179</v>
      </c>
    </row>
    <row r="148" spans="1:2" x14ac:dyDescent="0.25">
      <c r="A148">
        <v>14009</v>
      </c>
      <c r="B148">
        <v>53</v>
      </c>
    </row>
    <row r="149" spans="1:2" x14ac:dyDescent="0.25">
      <c r="A149">
        <v>14010</v>
      </c>
      <c r="B149">
        <v>56</v>
      </c>
    </row>
    <row r="150" spans="1:2" x14ac:dyDescent="0.25">
      <c r="A150">
        <v>14012</v>
      </c>
      <c r="B150">
        <v>380</v>
      </c>
    </row>
    <row r="151" spans="1:2" x14ac:dyDescent="0.25">
      <c r="A151">
        <v>14013</v>
      </c>
      <c r="B151">
        <v>159</v>
      </c>
    </row>
    <row r="152" spans="1:2" x14ac:dyDescent="0.25">
      <c r="A152">
        <v>14014</v>
      </c>
      <c r="B152">
        <v>3</v>
      </c>
    </row>
    <row r="153" spans="1:2" x14ac:dyDescent="0.25">
      <c r="A153">
        <v>14055</v>
      </c>
      <c r="B153">
        <v>28</v>
      </c>
    </row>
    <row r="154" spans="1:2" x14ac:dyDescent="0.25">
      <c r="A154">
        <v>14056</v>
      </c>
      <c r="B154">
        <v>0</v>
      </c>
    </row>
    <row r="155" spans="1:2" x14ac:dyDescent="0.25">
      <c r="A155">
        <v>14121</v>
      </c>
      <c r="B155">
        <v>48992</v>
      </c>
    </row>
    <row r="156" spans="1:2" x14ac:dyDescent="0.25">
      <c r="A156">
        <v>14154</v>
      </c>
      <c r="B156">
        <v>7889</v>
      </c>
    </row>
    <row r="157" spans="1:2" x14ac:dyDescent="0.25">
      <c r="A157">
        <v>14199</v>
      </c>
      <c r="B157">
        <v>1357</v>
      </c>
    </row>
    <row r="158" spans="1:2" x14ac:dyDescent="0.25">
      <c r="A158">
        <v>14662</v>
      </c>
      <c r="B158">
        <v>2470</v>
      </c>
    </row>
    <row r="159" spans="1:2" x14ac:dyDescent="0.25">
      <c r="A159">
        <v>14737</v>
      </c>
      <c r="B159">
        <v>26</v>
      </c>
    </row>
    <row r="160" spans="1:2" x14ac:dyDescent="0.25">
      <c r="A160">
        <v>14754</v>
      </c>
      <c r="B160">
        <v>60</v>
      </c>
    </row>
    <row r="161" spans="1:2" x14ac:dyDescent="0.25">
      <c r="A161">
        <v>14784</v>
      </c>
      <c r="B161">
        <v>26</v>
      </c>
    </row>
    <row r="162" spans="1:2" x14ac:dyDescent="0.25">
      <c r="A162">
        <v>14831</v>
      </c>
      <c r="B162">
        <v>318</v>
      </c>
    </row>
    <row r="163" spans="1:2" x14ac:dyDescent="0.25">
      <c r="A163">
        <v>14885</v>
      </c>
      <c r="B163">
        <v>24</v>
      </c>
    </row>
    <row r="164" spans="1:2" x14ac:dyDescent="0.25">
      <c r="A164">
        <v>14887</v>
      </c>
      <c r="B164">
        <v>388</v>
      </c>
    </row>
    <row r="165" spans="1:2" x14ac:dyDescent="0.25">
      <c r="A165">
        <v>14895</v>
      </c>
      <c r="B165">
        <v>50</v>
      </c>
    </row>
    <row r="166" spans="1:2" x14ac:dyDescent="0.25">
      <c r="A166">
        <v>14921</v>
      </c>
      <c r="B166">
        <v>1137</v>
      </c>
    </row>
    <row r="167" spans="1:2" x14ac:dyDescent="0.25">
      <c r="A167">
        <v>14977</v>
      </c>
      <c r="B167">
        <v>150</v>
      </c>
    </row>
    <row r="168" spans="1:2" x14ac:dyDescent="0.25">
      <c r="A168">
        <v>15029</v>
      </c>
      <c r="B168">
        <v>519</v>
      </c>
    </row>
    <row r="169" spans="1:2" x14ac:dyDescent="0.25">
      <c r="A169">
        <v>15051</v>
      </c>
      <c r="B169">
        <v>24</v>
      </c>
    </row>
    <row r="170" spans="1:2" x14ac:dyDescent="0.25">
      <c r="A170">
        <v>15066</v>
      </c>
      <c r="B170">
        <v>149</v>
      </c>
    </row>
    <row r="171" spans="1:2" x14ac:dyDescent="0.25">
      <c r="A171">
        <v>15085</v>
      </c>
      <c r="B171">
        <v>81</v>
      </c>
    </row>
    <row r="172" spans="1:2" x14ac:dyDescent="0.25">
      <c r="A172">
        <v>15167</v>
      </c>
      <c r="B172">
        <v>645</v>
      </c>
    </row>
    <row r="173" spans="1:2" x14ac:dyDescent="0.25">
      <c r="A173">
        <v>15267</v>
      </c>
      <c r="B173">
        <v>16</v>
      </c>
    </row>
    <row r="174" spans="1:2" x14ac:dyDescent="0.25">
      <c r="A174">
        <v>15271</v>
      </c>
      <c r="B174">
        <v>0</v>
      </c>
    </row>
    <row r="175" spans="1:2" x14ac:dyDescent="0.25">
      <c r="A175">
        <v>15272</v>
      </c>
      <c r="B175">
        <v>0</v>
      </c>
    </row>
    <row r="176" spans="1:2" x14ac:dyDescent="0.25">
      <c r="A176">
        <v>15299</v>
      </c>
      <c r="B176">
        <v>395</v>
      </c>
    </row>
    <row r="177" spans="1:2" x14ac:dyDescent="0.25">
      <c r="A177">
        <v>15436</v>
      </c>
      <c r="B177">
        <v>631</v>
      </c>
    </row>
    <row r="178" spans="1:2" x14ac:dyDescent="0.25">
      <c r="A178">
        <v>15438</v>
      </c>
      <c r="B178">
        <v>64</v>
      </c>
    </row>
    <row r="179" spans="1:2" x14ac:dyDescent="0.25">
      <c r="A179">
        <v>15464</v>
      </c>
      <c r="B179">
        <v>0</v>
      </c>
    </row>
    <row r="180" spans="1:2" x14ac:dyDescent="0.25">
      <c r="A180">
        <v>15465</v>
      </c>
      <c r="B180">
        <v>0</v>
      </c>
    </row>
    <row r="181" spans="1:2" x14ac:dyDescent="0.25">
      <c r="A181">
        <v>15466</v>
      </c>
      <c r="B181">
        <v>5</v>
      </c>
    </row>
    <row r="182" spans="1:2" x14ac:dyDescent="0.25">
      <c r="A182">
        <v>15467</v>
      </c>
      <c r="B182">
        <v>19</v>
      </c>
    </row>
    <row r="183" spans="1:2" x14ac:dyDescent="0.25">
      <c r="A183">
        <v>15469</v>
      </c>
      <c r="B183">
        <v>40</v>
      </c>
    </row>
    <row r="184" spans="1:2" x14ac:dyDescent="0.25">
      <c r="A184">
        <v>15473</v>
      </c>
      <c r="B184">
        <v>10</v>
      </c>
    </row>
    <row r="185" spans="1:2" x14ac:dyDescent="0.25">
      <c r="A185">
        <v>15475</v>
      </c>
      <c r="B185">
        <v>16</v>
      </c>
    </row>
    <row r="186" spans="1:2" x14ac:dyDescent="0.25">
      <c r="A186">
        <v>15530</v>
      </c>
      <c r="B186">
        <v>30849</v>
      </c>
    </row>
    <row r="187" spans="1:2" x14ac:dyDescent="0.25">
      <c r="A187">
        <v>15648</v>
      </c>
      <c r="B187">
        <v>16</v>
      </c>
    </row>
    <row r="188" spans="1:2" x14ac:dyDescent="0.25">
      <c r="A188">
        <v>15656</v>
      </c>
      <c r="B188">
        <v>0</v>
      </c>
    </row>
    <row r="189" spans="1:2" x14ac:dyDescent="0.25">
      <c r="A189">
        <v>15664</v>
      </c>
      <c r="B189">
        <v>18</v>
      </c>
    </row>
    <row r="190" spans="1:2" x14ac:dyDescent="0.25">
      <c r="A190">
        <v>15668</v>
      </c>
      <c r="B190">
        <v>0</v>
      </c>
    </row>
    <row r="191" spans="1:2" x14ac:dyDescent="0.25">
      <c r="A191">
        <v>15672</v>
      </c>
      <c r="B191">
        <v>0</v>
      </c>
    </row>
    <row r="192" spans="1:2" x14ac:dyDescent="0.25">
      <c r="A192">
        <v>15673</v>
      </c>
      <c r="B192">
        <v>4</v>
      </c>
    </row>
    <row r="193" spans="1:2" x14ac:dyDescent="0.25">
      <c r="A193">
        <v>15680</v>
      </c>
      <c r="B193">
        <v>0</v>
      </c>
    </row>
    <row r="194" spans="1:2" x14ac:dyDescent="0.25">
      <c r="A194">
        <v>15761</v>
      </c>
      <c r="B194">
        <v>107</v>
      </c>
    </row>
    <row r="195" spans="1:2" x14ac:dyDescent="0.25">
      <c r="A195">
        <v>15813</v>
      </c>
      <c r="B195">
        <v>5366</v>
      </c>
    </row>
    <row r="196" spans="1:2" x14ac:dyDescent="0.25">
      <c r="A196">
        <v>16053</v>
      </c>
      <c r="B196">
        <v>73</v>
      </c>
    </row>
    <row r="197" spans="1:2" x14ac:dyDescent="0.25">
      <c r="A197">
        <v>16300</v>
      </c>
      <c r="B197">
        <v>3</v>
      </c>
    </row>
    <row r="198" spans="1:2" x14ac:dyDescent="0.25">
      <c r="A198">
        <v>16363</v>
      </c>
      <c r="B198">
        <v>184</v>
      </c>
    </row>
    <row r="199" spans="1:2" x14ac:dyDescent="0.25">
      <c r="A199">
        <v>16365</v>
      </c>
      <c r="B199">
        <v>132</v>
      </c>
    </row>
    <row r="200" spans="1:2" x14ac:dyDescent="0.25">
      <c r="A200">
        <v>16427</v>
      </c>
      <c r="B200">
        <v>4</v>
      </c>
    </row>
    <row r="201" spans="1:2" x14ac:dyDescent="0.25">
      <c r="A201">
        <v>16512</v>
      </c>
      <c r="B201">
        <v>981</v>
      </c>
    </row>
    <row r="202" spans="1:2" x14ac:dyDescent="0.25">
      <c r="A202">
        <v>16528</v>
      </c>
      <c r="B202">
        <v>891</v>
      </c>
    </row>
    <row r="203" spans="1:2" x14ac:dyDescent="0.25">
      <c r="A203">
        <v>16532</v>
      </c>
      <c r="B203">
        <v>49</v>
      </c>
    </row>
    <row r="204" spans="1:2" x14ac:dyDescent="0.25">
      <c r="A204">
        <v>16571</v>
      </c>
      <c r="B204">
        <v>1976</v>
      </c>
    </row>
    <row r="205" spans="1:2" x14ac:dyDescent="0.25">
      <c r="A205">
        <v>16688</v>
      </c>
      <c r="B205">
        <v>2</v>
      </c>
    </row>
    <row r="206" spans="1:2" x14ac:dyDescent="0.25">
      <c r="A206">
        <v>16692</v>
      </c>
      <c r="B206">
        <v>19</v>
      </c>
    </row>
    <row r="207" spans="1:2" x14ac:dyDescent="0.25">
      <c r="A207">
        <v>16729</v>
      </c>
      <c r="B207">
        <v>2234</v>
      </c>
    </row>
    <row r="208" spans="1:2" x14ac:dyDescent="0.25">
      <c r="A208">
        <v>16736</v>
      </c>
      <c r="B208">
        <v>13</v>
      </c>
    </row>
    <row r="209" spans="1:2" x14ac:dyDescent="0.25">
      <c r="A209">
        <v>16737</v>
      </c>
      <c r="B209">
        <v>13</v>
      </c>
    </row>
    <row r="210" spans="1:2" x14ac:dyDescent="0.25">
      <c r="A210">
        <v>16757</v>
      </c>
      <c r="B210">
        <v>197</v>
      </c>
    </row>
    <row r="211" spans="1:2" x14ac:dyDescent="0.25">
      <c r="A211">
        <v>16763</v>
      </c>
      <c r="B211">
        <v>2</v>
      </c>
    </row>
    <row r="212" spans="1:2" x14ac:dyDescent="0.25">
      <c r="A212">
        <v>16808</v>
      </c>
      <c r="B212">
        <v>1279</v>
      </c>
    </row>
    <row r="213" spans="1:2" x14ac:dyDescent="0.25">
      <c r="A213">
        <v>16813</v>
      </c>
      <c r="B213">
        <v>815</v>
      </c>
    </row>
    <row r="214" spans="1:2" x14ac:dyDescent="0.25">
      <c r="A214">
        <v>16827</v>
      </c>
      <c r="B214">
        <v>49</v>
      </c>
    </row>
    <row r="215" spans="1:2" x14ac:dyDescent="0.25">
      <c r="A215">
        <v>16835</v>
      </c>
      <c r="B215">
        <v>1</v>
      </c>
    </row>
    <row r="216" spans="1:2" x14ac:dyDescent="0.25">
      <c r="A216">
        <v>16846</v>
      </c>
      <c r="B216">
        <v>1097</v>
      </c>
    </row>
    <row r="217" spans="1:2" x14ac:dyDescent="0.25">
      <c r="A217">
        <v>16956</v>
      </c>
      <c r="B217">
        <v>115</v>
      </c>
    </row>
    <row r="218" spans="1:2" x14ac:dyDescent="0.25">
      <c r="A218">
        <v>16978</v>
      </c>
      <c r="B218">
        <v>96</v>
      </c>
    </row>
    <row r="219" spans="1:2" x14ac:dyDescent="0.25">
      <c r="A219">
        <v>17026</v>
      </c>
      <c r="B219">
        <v>9</v>
      </c>
    </row>
    <row r="220" spans="1:2" x14ac:dyDescent="0.25">
      <c r="A220">
        <v>17033</v>
      </c>
      <c r="B220">
        <v>1414</v>
      </c>
    </row>
    <row r="221" spans="1:2" x14ac:dyDescent="0.25">
      <c r="A221">
        <v>17064</v>
      </c>
      <c r="B221">
        <v>3</v>
      </c>
    </row>
    <row r="222" spans="1:2" x14ac:dyDescent="0.25">
      <c r="A222">
        <v>17105</v>
      </c>
      <c r="B222">
        <v>60</v>
      </c>
    </row>
    <row r="223" spans="1:2" x14ac:dyDescent="0.25">
      <c r="A223">
        <v>17115</v>
      </c>
      <c r="B223">
        <v>7952</v>
      </c>
    </row>
    <row r="224" spans="1:2" x14ac:dyDescent="0.25">
      <c r="A224">
        <v>17132</v>
      </c>
      <c r="B224">
        <v>547</v>
      </c>
    </row>
    <row r="225" spans="1:2" x14ac:dyDescent="0.25">
      <c r="A225">
        <v>17135</v>
      </c>
      <c r="B225">
        <v>1863</v>
      </c>
    </row>
    <row r="226" spans="1:2" x14ac:dyDescent="0.25">
      <c r="A226">
        <v>17136</v>
      </c>
      <c r="B226">
        <v>1216</v>
      </c>
    </row>
    <row r="227" spans="1:2" x14ac:dyDescent="0.25">
      <c r="A227">
        <v>17299</v>
      </c>
      <c r="B227">
        <v>30</v>
      </c>
    </row>
    <row r="228" spans="1:2" x14ac:dyDescent="0.25">
      <c r="A228">
        <v>17362</v>
      </c>
      <c r="B228">
        <v>8599</v>
      </c>
    </row>
    <row r="229" spans="1:2" x14ac:dyDescent="0.25">
      <c r="A229">
        <v>17370</v>
      </c>
      <c r="B229">
        <v>9554</v>
      </c>
    </row>
    <row r="230" spans="1:2" x14ac:dyDescent="0.25">
      <c r="A230">
        <v>17371</v>
      </c>
      <c r="B230">
        <v>10108</v>
      </c>
    </row>
    <row r="231" spans="1:2" x14ac:dyDescent="0.25">
      <c r="A231">
        <v>17422</v>
      </c>
      <c r="B231">
        <v>22</v>
      </c>
    </row>
    <row r="232" spans="1:2" x14ac:dyDescent="0.25">
      <c r="A232">
        <v>17426</v>
      </c>
      <c r="B232">
        <v>8</v>
      </c>
    </row>
    <row r="233" spans="1:2" x14ac:dyDescent="0.25">
      <c r="A233">
        <v>17454</v>
      </c>
      <c r="B233">
        <v>10900</v>
      </c>
    </row>
    <row r="234" spans="1:2" x14ac:dyDescent="0.25">
      <c r="A234">
        <v>17562</v>
      </c>
      <c r="B234">
        <v>0</v>
      </c>
    </row>
    <row r="235" spans="1:2" x14ac:dyDescent="0.25">
      <c r="A235">
        <v>17659</v>
      </c>
      <c r="B235">
        <v>0</v>
      </c>
    </row>
    <row r="236" spans="1:2" x14ac:dyDescent="0.25">
      <c r="A236">
        <v>17662</v>
      </c>
      <c r="B236">
        <v>278</v>
      </c>
    </row>
    <row r="237" spans="1:2" x14ac:dyDescent="0.25">
      <c r="A237">
        <v>17663</v>
      </c>
      <c r="B237">
        <v>45</v>
      </c>
    </row>
    <row r="238" spans="1:2" x14ac:dyDescent="0.25">
      <c r="A238">
        <v>17670</v>
      </c>
      <c r="B238">
        <v>3</v>
      </c>
    </row>
    <row r="239" spans="1:2" x14ac:dyDescent="0.25">
      <c r="A239">
        <v>17696</v>
      </c>
      <c r="B239">
        <v>50</v>
      </c>
    </row>
    <row r="240" spans="1:2" x14ac:dyDescent="0.25">
      <c r="A240">
        <v>17698</v>
      </c>
      <c r="B240">
        <v>202</v>
      </c>
    </row>
    <row r="241" spans="1:2" x14ac:dyDescent="0.25">
      <c r="A241">
        <v>17704</v>
      </c>
      <c r="B241">
        <v>270</v>
      </c>
    </row>
    <row r="242" spans="1:2" x14ac:dyDescent="0.25">
      <c r="A242">
        <v>17946</v>
      </c>
      <c r="B242">
        <v>61</v>
      </c>
    </row>
    <row r="243" spans="1:2" x14ac:dyDescent="0.25">
      <c r="A243">
        <v>18337</v>
      </c>
      <c r="B243">
        <v>0</v>
      </c>
    </row>
    <row r="244" spans="1:2" x14ac:dyDescent="0.25">
      <c r="A244">
        <v>18342</v>
      </c>
      <c r="B244">
        <v>1</v>
      </c>
    </row>
    <row r="245" spans="1:2" x14ac:dyDescent="0.25">
      <c r="A245">
        <v>18346</v>
      </c>
      <c r="B245">
        <v>14</v>
      </c>
    </row>
    <row r="246" spans="1:2" x14ac:dyDescent="0.25">
      <c r="A246">
        <v>18351</v>
      </c>
      <c r="B246">
        <v>1</v>
      </c>
    </row>
    <row r="247" spans="1:2" x14ac:dyDescent="0.25">
      <c r="A247">
        <v>18353</v>
      </c>
      <c r="B247">
        <v>128</v>
      </c>
    </row>
    <row r="248" spans="1:2" x14ac:dyDescent="0.25">
      <c r="A248">
        <v>18357</v>
      </c>
      <c r="B248">
        <v>138</v>
      </c>
    </row>
    <row r="249" spans="1:2" x14ac:dyDescent="0.25">
      <c r="A249">
        <v>18358</v>
      </c>
      <c r="B249">
        <v>66</v>
      </c>
    </row>
    <row r="250" spans="1:2" x14ac:dyDescent="0.25">
      <c r="A250">
        <v>19842</v>
      </c>
      <c r="B250">
        <v>5312</v>
      </c>
    </row>
    <row r="251" spans="1:2" x14ac:dyDescent="0.25">
      <c r="A251">
        <v>19871</v>
      </c>
      <c r="B251">
        <v>73</v>
      </c>
    </row>
    <row r="252" spans="1:2" x14ac:dyDescent="0.25">
      <c r="A252">
        <v>19882</v>
      </c>
      <c r="B252">
        <v>35</v>
      </c>
    </row>
    <row r="253" spans="1:2" x14ac:dyDescent="0.25">
      <c r="A253">
        <v>19883</v>
      </c>
      <c r="B253">
        <v>79</v>
      </c>
    </row>
    <row r="254" spans="1:2" x14ac:dyDescent="0.25">
      <c r="A254">
        <v>19884</v>
      </c>
      <c r="B254">
        <v>9</v>
      </c>
    </row>
    <row r="255" spans="1:2" x14ac:dyDescent="0.25">
      <c r="A255">
        <v>19998</v>
      </c>
      <c r="B255">
        <v>43</v>
      </c>
    </row>
    <row r="256" spans="1:2" x14ac:dyDescent="0.25">
      <c r="A256">
        <v>20001</v>
      </c>
      <c r="B256">
        <v>227</v>
      </c>
    </row>
    <row r="257" spans="1:2" x14ac:dyDescent="0.25">
      <c r="A257">
        <v>20034</v>
      </c>
      <c r="B257">
        <v>340</v>
      </c>
    </row>
    <row r="258" spans="1:2" x14ac:dyDescent="0.25">
      <c r="A258">
        <v>20035</v>
      </c>
      <c r="B258">
        <v>39</v>
      </c>
    </row>
    <row r="259" spans="1:2" x14ac:dyDescent="0.25">
      <c r="A259">
        <v>20037</v>
      </c>
      <c r="B259">
        <v>51</v>
      </c>
    </row>
    <row r="260" spans="1:2" x14ac:dyDescent="0.25">
      <c r="A260">
        <v>20104</v>
      </c>
      <c r="B260">
        <v>120</v>
      </c>
    </row>
    <row r="261" spans="1:2" x14ac:dyDescent="0.25">
      <c r="A261">
        <v>20106</v>
      </c>
      <c r="B261">
        <v>152</v>
      </c>
    </row>
    <row r="262" spans="1:2" x14ac:dyDescent="0.25">
      <c r="A262">
        <v>20135</v>
      </c>
      <c r="B262">
        <v>173</v>
      </c>
    </row>
    <row r="263" spans="1:2" x14ac:dyDescent="0.25">
      <c r="A263">
        <v>20144</v>
      </c>
      <c r="B263">
        <v>229</v>
      </c>
    </row>
    <row r="264" spans="1:2" x14ac:dyDescent="0.25">
      <c r="A264">
        <v>20167</v>
      </c>
      <c r="B264">
        <v>10</v>
      </c>
    </row>
    <row r="265" spans="1:2" x14ac:dyDescent="0.25">
      <c r="A265">
        <v>20537</v>
      </c>
      <c r="B265">
        <v>4</v>
      </c>
    </row>
    <row r="266" spans="1:2" x14ac:dyDescent="0.25">
      <c r="A266">
        <v>20540</v>
      </c>
      <c r="B266">
        <v>8</v>
      </c>
    </row>
    <row r="267" spans="1:2" x14ac:dyDescent="0.25">
      <c r="A267">
        <v>20554</v>
      </c>
      <c r="B267">
        <v>11000</v>
      </c>
    </row>
    <row r="268" spans="1:2" x14ac:dyDescent="0.25">
      <c r="A268">
        <v>20558</v>
      </c>
      <c r="B268">
        <v>7900</v>
      </c>
    </row>
    <row r="269" spans="1:2" x14ac:dyDescent="0.25">
      <c r="A269">
        <v>20576</v>
      </c>
      <c r="B269">
        <v>2400</v>
      </c>
    </row>
    <row r="270" spans="1:2" x14ac:dyDescent="0.25">
      <c r="A270">
        <v>20583</v>
      </c>
      <c r="B270">
        <v>6420</v>
      </c>
    </row>
    <row r="271" spans="1:2" x14ac:dyDescent="0.25">
      <c r="A271">
        <v>20584</v>
      </c>
      <c r="B271">
        <v>6150</v>
      </c>
    </row>
    <row r="272" spans="1:2" x14ac:dyDescent="0.25">
      <c r="A272">
        <v>20760</v>
      </c>
      <c r="B272">
        <v>155</v>
      </c>
    </row>
    <row r="273" spans="1:2" x14ac:dyDescent="0.25">
      <c r="A273">
        <v>20763</v>
      </c>
      <c r="B273">
        <v>106</v>
      </c>
    </row>
    <row r="274" spans="1:2" x14ac:dyDescent="0.25">
      <c r="A274">
        <v>23581</v>
      </c>
      <c r="B274">
        <v>11049</v>
      </c>
    </row>
    <row r="275" spans="1:2" x14ac:dyDescent="0.25">
      <c r="A275">
        <v>23607</v>
      </c>
      <c r="B275">
        <v>0</v>
      </c>
    </row>
    <row r="276" spans="1:2" x14ac:dyDescent="0.25">
      <c r="A276">
        <v>23676</v>
      </c>
      <c r="B276">
        <v>1854</v>
      </c>
    </row>
    <row r="277" spans="1:2" x14ac:dyDescent="0.25">
      <c r="A277">
        <v>23687</v>
      </c>
      <c r="B277">
        <v>15803</v>
      </c>
    </row>
    <row r="278" spans="1:2" x14ac:dyDescent="0.25">
      <c r="A278">
        <v>23692</v>
      </c>
      <c r="B278">
        <v>15327</v>
      </c>
    </row>
    <row r="279" spans="1:2" x14ac:dyDescent="0.25">
      <c r="A279">
        <v>23778</v>
      </c>
      <c r="B279">
        <v>154</v>
      </c>
    </row>
    <row r="280" spans="1:2" x14ac:dyDescent="0.25">
      <c r="A280">
        <v>23846</v>
      </c>
      <c r="B280">
        <v>19445</v>
      </c>
    </row>
    <row r="281" spans="1:2" x14ac:dyDescent="0.25">
      <c r="A281">
        <v>23862</v>
      </c>
      <c r="B281">
        <v>19026</v>
      </c>
    </row>
    <row r="282" spans="1:2" x14ac:dyDescent="0.25">
      <c r="A282">
        <v>23875</v>
      </c>
      <c r="B282">
        <v>19658</v>
      </c>
    </row>
    <row r="283" spans="1:2" x14ac:dyDescent="0.25">
      <c r="A283">
        <v>23986</v>
      </c>
      <c r="B283">
        <v>8702</v>
      </c>
    </row>
    <row r="284" spans="1:2" x14ac:dyDescent="0.25">
      <c r="A284">
        <v>23989</v>
      </c>
      <c r="B284">
        <v>7969</v>
      </c>
    </row>
    <row r="285" spans="1:2" x14ac:dyDescent="0.25">
      <c r="A285">
        <v>23992</v>
      </c>
      <c r="B285">
        <v>1972</v>
      </c>
    </row>
    <row r="286" spans="1:2" x14ac:dyDescent="0.25">
      <c r="A286">
        <v>23993</v>
      </c>
      <c r="B286">
        <v>6824</v>
      </c>
    </row>
    <row r="287" spans="1:2" x14ac:dyDescent="0.25">
      <c r="A287">
        <v>23996</v>
      </c>
      <c r="B287">
        <v>8355</v>
      </c>
    </row>
    <row r="288" spans="1:2" x14ac:dyDescent="0.25">
      <c r="A288">
        <v>24204</v>
      </c>
      <c r="B288">
        <v>345</v>
      </c>
    </row>
    <row r="289" spans="1:2" x14ac:dyDescent="0.25">
      <c r="A289">
        <v>24205</v>
      </c>
      <c r="B289">
        <v>523</v>
      </c>
    </row>
    <row r="290" spans="1:2" x14ac:dyDescent="0.25">
      <c r="A290">
        <v>24219</v>
      </c>
      <c r="B290">
        <v>340</v>
      </c>
    </row>
    <row r="291" spans="1:2" x14ac:dyDescent="0.25">
      <c r="A291">
        <v>24371</v>
      </c>
      <c r="B291">
        <v>17159</v>
      </c>
    </row>
    <row r="292" spans="1:2" x14ac:dyDescent="0.25">
      <c r="A292">
        <v>24476</v>
      </c>
      <c r="B292">
        <v>8534</v>
      </c>
    </row>
    <row r="293" spans="1:2" x14ac:dyDescent="0.25">
      <c r="A293">
        <v>24477</v>
      </c>
      <c r="B293">
        <v>8683</v>
      </c>
    </row>
    <row r="294" spans="1:2" x14ac:dyDescent="0.25">
      <c r="A294">
        <v>24500</v>
      </c>
      <c r="B294">
        <v>274</v>
      </c>
    </row>
    <row r="295" spans="1:2" x14ac:dyDescent="0.25">
      <c r="A295">
        <v>24542</v>
      </c>
      <c r="B295">
        <v>6</v>
      </c>
    </row>
    <row r="296" spans="1:2" x14ac:dyDescent="0.25">
      <c r="A296">
        <v>24551</v>
      </c>
      <c r="B296">
        <v>0</v>
      </c>
    </row>
    <row r="297" spans="1:2" x14ac:dyDescent="0.25">
      <c r="A297">
        <v>24888</v>
      </c>
      <c r="B297">
        <v>9</v>
      </c>
    </row>
    <row r="298" spans="1:2" x14ac:dyDescent="0.25">
      <c r="A298">
        <v>24890</v>
      </c>
      <c r="B298">
        <v>0</v>
      </c>
    </row>
    <row r="299" spans="1:2" x14ac:dyDescent="0.25">
      <c r="A299">
        <v>25489</v>
      </c>
      <c r="B299">
        <v>2</v>
      </c>
    </row>
    <row r="300" spans="1:2" x14ac:dyDescent="0.25">
      <c r="A300">
        <v>25519</v>
      </c>
      <c r="B300">
        <v>21</v>
      </c>
    </row>
    <row r="301" spans="1:2" x14ac:dyDescent="0.25">
      <c r="A301">
        <v>25523</v>
      </c>
      <c r="B301">
        <v>151</v>
      </c>
    </row>
    <row r="302" spans="1:2" x14ac:dyDescent="0.25">
      <c r="A302">
        <v>25536</v>
      </c>
      <c r="B302">
        <v>3</v>
      </c>
    </row>
    <row r="303" spans="1:2" x14ac:dyDescent="0.25">
      <c r="A303">
        <v>25559</v>
      </c>
      <c r="B303">
        <v>10493</v>
      </c>
    </row>
    <row r="304" spans="1:2" x14ac:dyDescent="0.25">
      <c r="A304">
        <v>25630</v>
      </c>
      <c r="B304">
        <v>75</v>
      </c>
    </row>
    <row r="305" spans="1:2" x14ac:dyDescent="0.25">
      <c r="A305">
        <v>25756</v>
      </c>
      <c r="B305">
        <v>59</v>
      </c>
    </row>
    <row r="306" spans="1:2" x14ac:dyDescent="0.25">
      <c r="A306">
        <v>26215</v>
      </c>
      <c r="B306">
        <v>84</v>
      </c>
    </row>
    <row r="307" spans="1:2" x14ac:dyDescent="0.25">
      <c r="A307">
        <v>26282</v>
      </c>
      <c r="B307">
        <v>2</v>
      </c>
    </row>
    <row r="308" spans="1:2" x14ac:dyDescent="0.25">
      <c r="A308">
        <v>26368</v>
      </c>
      <c r="B308">
        <v>2</v>
      </c>
    </row>
    <row r="309" spans="1:2" x14ac:dyDescent="0.25">
      <c r="A309">
        <v>26503</v>
      </c>
      <c r="B309">
        <v>1500</v>
      </c>
    </row>
    <row r="310" spans="1:2" x14ac:dyDescent="0.25">
      <c r="A310">
        <v>26504</v>
      </c>
      <c r="B310">
        <v>550</v>
      </c>
    </row>
    <row r="311" spans="1:2" x14ac:dyDescent="0.25">
      <c r="A311">
        <v>26506</v>
      </c>
      <c r="B311">
        <v>550</v>
      </c>
    </row>
    <row r="312" spans="1:2" x14ac:dyDescent="0.25">
      <c r="A312">
        <v>26508</v>
      </c>
      <c r="B312">
        <v>1530</v>
      </c>
    </row>
    <row r="313" spans="1:2" x14ac:dyDescent="0.25">
      <c r="A313">
        <v>27136</v>
      </c>
      <c r="B313">
        <v>35569</v>
      </c>
    </row>
    <row r="314" spans="1:2" x14ac:dyDescent="0.25">
      <c r="A314">
        <v>27137</v>
      </c>
      <c r="B314">
        <v>9216</v>
      </c>
    </row>
    <row r="315" spans="1:2" x14ac:dyDescent="0.25">
      <c r="A315">
        <v>27138</v>
      </c>
      <c r="B315">
        <v>9194</v>
      </c>
    </row>
    <row r="316" spans="1:2" x14ac:dyDescent="0.25">
      <c r="A316">
        <v>27139</v>
      </c>
      <c r="B316">
        <v>9120</v>
      </c>
    </row>
    <row r="317" spans="1:2" x14ac:dyDescent="0.25">
      <c r="A317">
        <v>27140</v>
      </c>
      <c r="B317">
        <v>10644</v>
      </c>
    </row>
    <row r="318" spans="1:2" x14ac:dyDescent="0.25">
      <c r="A318">
        <v>27287</v>
      </c>
      <c r="B318">
        <v>207</v>
      </c>
    </row>
    <row r="319" spans="1:2" x14ac:dyDescent="0.25">
      <c r="A319">
        <v>27353</v>
      </c>
      <c r="B319">
        <v>155</v>
      </c>
    </row>
    <row r="320" spans="1:2" x14ac:dyDescent="0.25">
      <c r="A320">
        <v>27479</v>
      </c>
      <c r="B320">
        <v>133</v>
      </c>
    </row>
    <row r="321" spans="1:2" x14ac:dyDescent="0.25">
      <c r="A321">
        <v>27759</v>
      </c>
      <c r="B321">
        <v>0</v>
      </c>
    </row>
    <row r="322" spans="1:2" x14ac:dyDescent="0.25">
      <c r="A322">
        <v>27760</v>
      </c>
      <c r="B322">
        <v>10</v>
      </c>
    </row>
    <row r="323" spans="1:2" x14ac:dyDescent="0.25">
      <c r="A323">
        <v>27761</v>
      </c>
      <c r="B323">
        <v>18</v>
      </c>
    </row>
    <row r="324" spans="1:2" x14ac:dyDescent="0.25">
      <c r="A324">
        <v>27764</v>
      </c>
      <c r="B324">
        <v>20</v>
      </c>
    </row>
    <row r="325" spans="1:2" x14ac:dyDescent="0.25">
      <c r="A325">
        <v>28040</v>
      </c>
      <c r="B325">
        <v>0</v>
      </c>
    </row>
    <row r="326" spans="1:2" x14ac:dyDescent="0.25">
      <c r="A326">
        <v>28093</v>
      </c>
      <c r="B326">
        <v>37</v>
      </c>
    </row>
    <row r="327" spans="1:2" x14ac:dyDescent="0.25">
      <c r="A327">
        <v>28181</v>
      </c>
      <c r="B327">
        <v>1</v>
      </c>
    </row>
    <row r="328" spans="1:2" x14ac:dyDescent="0.25">
      <c r="A328">
        <v>28184</v>
      </c>
      <c r="B328">
        <v>97</v>
      </c>
    </row>
    <row r="329" spans="1:2" x14ac:dyDescent="0.25">
      <c r="A329">
        <v>28306</v>
      </c>
      <c r="B329">
        <v>22</v>
      </c>
    </row>
    <row r="330" spans="1:2" x14ac:dyDescent="0.25">
      <c r="A330">
        <v>28307</v>
      </c>
      <c r="B330">
        <v>2</v>
      </c>
    </row>
    <row r="331" spans="1:2" x14ac:dyDescent="0.25">
      <c r="A331">
        <v>28308</v>
      </c>
      <c r="B331">
        <v>47</v>
      </c>
    </row>
    <row r="332" spans="1:2" x14ac:dyDescent="0.25">
      <c r="A332">
        <v>28512</v>
      </c>
      <c r="B332">
        <v>50</v>
      </c>
    </row>
    <row r="333" spans="1:2" x14ac:dyDescent="0.25">
      <c r="A333">
        <v>28781</v>
      </c>
      <c r="B333">
        <v>0</v>
      </c>
    </row>
    <row r="334" spans="1:2" x14ac:dyDescent="0.25">
      <c r="A334">
        <v>28782</v>
      </c>
      <c r="B334">
        <v>0</v>
      </c>
    </row>
    <row r="335" spans="1:2" x14ac:dyDescent="0.25">
      <c r="A335">
        <v>29288</v>
      </c>
      <c r="B335">
        <v>0</v>
      </c>
    </row>
    <row r="336" spans="1:2" x14ac:dyDescent="0.25">
      <c r="A336">
        <v>29293</v>
      </c>
      <c r="B336">
        <v>770</v>
      </c>
    </row>
    <row r="337" spans="1:2" x14ac:dyDescent="0.25">
      <c r="A337">
        <v>29294</v>
      </c>
      <c r="B337">
        <v>60</v>
      </c>
    </row>
    <row r="338" spans="1:2" x14ac:dyDescent="0.25">
      <c r="A338">
        <v>29296</v>
      </c>
      <c r="B338">
        <v>2225</v>
      </c>
    </row>
    <row r="339" spans="1:2" x14ac:dyDescent="0.25">
      <c r="A339">
        <v>29435</v>
      </c>
      <c r="B339">
        <v>29</v>
      </c>
    </row>
    <row r="340" spans="1:2" x14ac:dyDescent="0.25">
      <c r="A340">
        <v>29437</v>
      </c>
      <c r="B340">
        <v>0</v>
      </c>
    </row>
    <row r="341" spans="1:2" x14ac:dyDescent="0.25">
      <c r="A341">
        <v>29524</v>
      </c>
      <c r="B341">
        <v>219</v>
      </c>
    </row>
    <row r="342" spans="1:2" x14ac:dyDescent="0.25">
      <c r="A342">
        <v>29537</v>
      </c>
      <c r="B342">
        <v>8</v>
      </c>
    </row>
    <row r="343" spans="1:2" x14ac:dyDescent="0.25">
      <c r="A343">
        <v>29829</v>
      </c>
      <c r="B343">
        <v>0</v>
      </c>
    </row>
    <row r="344" spans="1:2" x14ac:dyDescent="0.25">
      <c r="A344">
        <v>29935</v>
      </c>
      <c r="B344">
        <v>64</v>
      </c>
    </row>
    <row r="345" spans="1:2" x14ac:dyDescent="0.25">
      <c r="A345">
        <v>29952</v>
      </c>
      <c r="B345">
        <v>3970</v>
      </c>
    </row>
    <row r="346" spans="1:2" x14ac:dyDescent="0.25">
      <c r="A346">
        <v>29956</v>
      </c>
      <c r="B346">
        <v>9343</v>
      </c>
    </row>
    <row r="347" spans="1:2" x14ac:dyDescent="0.25">
      <c r="A347">
        <v>29959</v>
      </c>
      <c r="B347">
        <v>9673</v>
      </c>
    </row>
    <row r="348" spans="1:2" x14ac:dyDescent="0.25">
      <c r="A348">
        <v>29960</v>
      </c>
      <c r="B348">
        <v>4862</v>
      </c>
    </row>
    <row r="349" spans="1:2" x14ac:dyDescent="0.25">
      <c r="A349">
        <v>29961</v>
      </c>
      <c r="B349">
        <v>9979</v>
      </c>
    </row>
    <row r="350" spans="1:2" x14ac:dyDescent="0.25">
      <c r="A350">
        <v>29962</v>
      </c>
      <c r="B350">
        <v>8682</v>
      </c>
    </row>
    <row r="351" spans="1:2" x14ac:dyDescent="0.25">
      <c r="A351">
        <v>29964</v>
      </c>
      <c r="B351">
        <v>9283</v>
      </c>
    </row>
    <row r="352" spans="1:2" x14ac:dyDescent="0.25">
      <c r="A352">
        <v>30165</v>
      </c>
      <c r="B352">
        <v>19244</v>
      </c>
    </row>
    <row r="353" spans="1:2" x14ac:dyDescent="0.25">
      <c r="A353">
        <v>30171</v>
      </c>
      <c r="B353">
        <v>26</v>
      </c>
    </row>
    <row r="354" spans="1:2" x14ac:dyDescent="0.25">
      <c r="A354">
        <v>30658</v>
      </c>
      <c r="B354">
        <v>18</v>
      </c>
    </row>
    <row r="355" spans="1:2" x14ac:dyDescent="0.25">
      <c r="A355">
        <v>30772</v>
      </c>
      <c r="B355">
        <v>60</v>
      </c>
    </row>
    <row r="356" spans="1:2" x14ac:dyDescent="0.25">
      <c r="A356">
        <v>31321</v>
      </c>
      <c r="B356">
        <v>17511</v>
      </c>
    </row>
    <row r="357" spans="1:2" x14ac:dyDescent="0.25">
      <c r="A357">
        <v>31427</v>
      </c>
      <c r="B357">
        <v>26</v>
      </c>
    </row>
    <row r="358" spans="1:2" x14ac:dyDescent="0.25">
      <c r="A358">
        <v>31428</v>
      </c>
      <c r="B358">
        <v>18</v>
      </c>
    </row>
    <row r="359" spans="1:2" x14ac:dyDescent="0.25">
      <c r="A359">
        <v>31555</v>
      </c>
      <c r="B359">
        <v>0</v>
      </c>
    </row>
    <row r="360" spans="1:2" x14ac:dyDescent="0.25">
      <c r="A360">
        <v>31580</v>
      </c>
      <c r="B360">
        <v>5</v>
      </c>
    </row>
    <row r="361" spans="1:2" x14ac:dyDescent="0.25">
      <c r="A361">
        <v>32487</v>
      </c>
      <c r="B361">
        <v>48</v>
      </c>
    </row>
    <row r="362" spans="1:2" x14ac:dyDescent="0.25">
      <c r="A362">
        <v>32534</v>
      </c>
      <c r="B362">
        <v>9530</v>
      </c>
    </row>
    <row r="363" spans="1:2" x14ac:dyDescent="0.25">
      <c r="A363">
        <v>32648</v>
      </c>
      <c r="B363">
        <v>2</v>
      </c>
    </row>
    <row r="364" spans="1:2" x14ac:dyDescent="0.25">
      <c r="A364">
        <v>32752</v>
      </c>
      <c r="B364">
        <v>2</v>
      </c>
    </row>
    <row r="365" spans="1:2" x14ac:dyDescent="0.25">
      <c r="A365">
        <v>32759</v>
      </c>
      <c r="B365">
        <v>0</v>
      </c>
    </row>
    <row r="366" spans="1:2" x14ac:dyDescent="0.25">
      <c r="A366">
        <v>32761</v>
      </c>
      <c r="B366">
        <v>5</v>
      </c>
    </row>
    <row r="367" spans="1:2" x14ac:dyDescent="0.25">
      <c r="A367">
        <v>32927</v>
      </c>
      <c r="B367">
        <v>8615</v>
      </c>
    </row>
    <row r="368" spans="1:2" x14ac:dyDescent="0.25">
      <c r="A368">
        <v>32933</v>
      </c>
      <c r="B368">
        <v>19384</v>
      </c>
    </row>
    <row r="369" spans="1:2" x14ac:dyDescent="0.25">
      <c r="A369">
        <v>33609</v>
      </c>
      <c r="B369">
        <v>44</v>
      </c>
    </row>
    <row r="370" spans="1:2" x14ac:dyDescent="0.25">
      <c r="A370">
        <v>33612</v>
      </c>
      <c r="B370">
        <v>138</v>
      </c>
    </row>
    <row r="371" spans="1:2" x14ac:dyDescent="0.25">
      <c r="A371">
        <v>33623</v>
      </c>
      <c r="B371">
        <v>166</v>
      </c>
    </row>
    <row r="372" spans="1:2" x14ac:dyDescent="0.25">
      <c r="A372">
        <v>34214</v>
      </c>
      <c r="B372">
        <v>3</v>
      </c>
    </row>
    <row r="373" spans="1:2" x14ac:dyDescent="0.25">
      <c r="A373">
        <v>34801</v>
      </c>
      <c r="B373">
        <v>4933</v>
      </c>
    </row>
    <row r="374" spans="1:2" x14ac:dyDescent="0.25">
      <c r="A374">
        <v>35224</v>
      </c>
      <c r="B374">
        <v>21</v>
      </c>
    </row>
    <row r="375" spans="1:2" x14ac:dyDescent="0.25">
      <c r="A375">
        <v>35227</v>
      </c>
      <c r="B375">
        <v>93</v>
      </c>
    </row>
    <row r="376" spans="1:2" x14ac:dyDescent="0.25">
      <c r="A376">
        <v>35238</v>
      </c>
      <c r="B376">
        <v>0</v>
      </c>
    </row>
    <row r="377" spans="1:2" x14ac:dyDescent="0.25">
      <c r="A377">
        <v>35256</v>
      </c>
      <c r="B377">
        <v>369</v>
      </c>
    </row>
    <row r="378" spans="1:2" x14ac:dyDescent="0.25">
      <c r="A378">
        <v>35331</v>
      </c>
      <c r="B378">
        <v>10</v>
      </c>
    </row>
    <row r="379" spans="1:2" x14ac:dyDescent="0.25">
      <c r="A379">
        <v>35359</v>
      </c>
      <c r="B379">
        <v>0</v>
      </c>
    </row>
    <row r="380" spans="1:2" x14ac:dyDescent="0.25">
      <c r="A380">
        <v>35550</v>
      </c>
      <c r="B380">
        <v>90</v>
      </c>
    </row>
    <row r="381" spans="1:2" x14ac:dyDescent="0.25">
      <c r="A381">
        <v>35554</v>
      </c>
      <c r="B381">
        <v>18</v>
      </c>
    </row>
    <row r="382" spans="1:2" x14ac:dyDescent="0.25">
      <c r="A382">
        <v>35555</v>
      </c>
      <c r="B382">
        <v>25</v>
      </c>
    </row>
    <row r="383" spans="1:2" x14ac:dyDescent="0.25">
      <c r="A383">
        <v>36011</v>
      </c>
      <c r="B383">
        <v>19</v>
      </c>
    </row>
    <row r="384" spans="1:2" x14ac:dyDescent="0.25">
      <c r="A384">
        <v>36031</v>
      </c>
      <c r="B384">
        <v>190</v>
      </c>
    </row>
    <row r="385" spans="1:2" x14ac:dyDescent="0.25">
      <c r="A385">
        <v>36107</v>
      </c>
      <c r="B385">
        <v>2</v>
      </c>
    </row>
    <row r="386" spans="1:2" x14ac:dyDescent="0.25">
      <c r="A386">
        <v>36399</v>
      </c>
      <c r="B386">
        <v>16</v>
      </c>
    </row>
    <row r="387" spans="1:2" x14ac:dyDescent="0.25">
      <c r="A387">
        <v>36400</v>
      </c>
      <c r="B387">
        <v>0</v>
      </c>
    </row>
    <row r="388" spans="1:2" x14ac:dyDescent="0.25">
      <c r="A388">
        <v>37518</v>
      </c>
      <c r="B388">
        <v>30</v>
      </c>
    </row>
    <row r="389" spans="1:2" x14ac:dyDescent="0.25">
      <c r="A389">
        <v>37519</v>
      </c>
      <c r="B389">
        <v>30</v>
      </c>
    </row>
    <row r="390" spans="1:2" x14ac:dyDescent="0.25">
      <c r="A390">
        <v>37528</v>
      </c>
      <c r="B390">
        <v>564</v>
      </c>
    </row>
    <row r="391" spans="1:2" x14ac:dyDescent="0.25">
      <c r="A391">
        <v>37847</v>
      </c>
      <c r="B391">
        <v>0</v>
      </c>
    </row>
    <row r="392" spans="1:2" x14ac:dyDescent="0.25">
      <c r="A392">
        <v>38079</v>
      </c>
      <c r="B392">
        <v>11</v>
      </c>
    </row>
    <row r="393" spans="1:2" x14ac:dyDescent="0.25">
      <c r="A393">
        <v>38534</v>
      </c>
      <c r="B393">
        <v>10</v>
      </c>
    </row>
    <row r="394" spans="1:2" x14ac:dyDescent="0.25">
      <c r="A394">
        <v>38648</v>
      </c>
      <c r="B394">
        <v>0</v>
      </c>
    </row>
    <row r="395" spans="1:2" x14ac:dyDescent="0.25">
      <c r="A395">
        <v>38930</v>
      </c>
      <c r="B395">
        <v>22</v>
      </c>
    </row>
    <row r="396" spans="1:2" x14ac:dyDescent="0.25">
      <c r="A396">
        <v>39378</v>
      </c>
      <c r="B396">
        <v>315</v>
      </c>
    </row>
    <row r="397" spans="1:2" x14ac:dyDescent="0.25">
      <c r="A397">
        <v>40086</v>
      </c>
      <c r="B397">
        <v>202</v>
      </c>
    </row>
    <row r="398" spans="1:2" x14ac:dyDescent="0.25">
      <c r="A398">
        <v>40251</v>
      </c>
      <c r="B398">
        <v>186</v>
      </c>
    </row>
    <row r="399" spans="1:2" x14ac:dyDescent="0.25">
      <c r="A399">
        <v>40685</v>
      </c>
      <c r="B399">
        <v>915</v>
      </c>
    </row>
    <row r="400" spans="1:2" x14ac:dyDescent="0.25">
      <c r="A400">
        <v>40688</v>
      </c>
      <c r="B400">
        <v>776</v>
      </c>
    </row>
    <row r="401" spans="1:2" x14ac:dyDescent="0.25">
      <c r="A401">
        <v>40772</v>
      </c>
      <c r="B401">
        <v>14</v>
      </c>
    </row>
    <row r="402" spans="1:2" x14ac:dyDescent="0.25">
      <c r="A402">
        <v>42566</v>
      </c>
      <c r="B402">
        <v>41</v>
      </c>
    </row>
    <row r="403" spans="1:2" x14ac:dyDescent="0.25">
      <c r="A403">
        <v>42681</v>
      </c>
      <c r="B403">
        <v>0</v>
      </c>
    </row>
    <row r="404" spans="1:2" x14ac:dyDescent="0.25">
      <c r="A404">
        <v>42854</v>
      </c>
      <c r="B404">
        <v>976</v>
      </c>
    </row>
    <row r="405" spans="1:2" x14ac:dyDescent="0.25">
      <c r="A405">
        <v>43648</v>
      </c>
      <c r="B405">
        <v>116</v>
      </c>
    </row>
    <row r="406" spans="1:2" x14ac:dyDescent="0.25">
      <c r="A406">
        <v>44398</v>
      </c>
      <c r="B406">
        <v>744</v>
      </c>
    </row>
    <row r="407" spans="1:2" x14ac:dyDescent="0.25">
      <c r="A407">
        <v>44789</v>
      </c>
      <c r="B407">
        <v>8</v>
      </c>
    </row>
    <row r="408" spans="1:2" x14ac:dyDescent="0.25">
      <c r="A408">
        <v>45067</v>
      </c>
      <c r="B408">
        <v>110</v>
      </c>
    </row>
    <row r="409" spans="1:2" x14ac:dyDescent="0.25">
      <c r="A409">
        <v>45195</v>
      </c>
      <c r="B409">
        <v>0</v>
      </c>
    </row>
    <row r="410" spans="1:2" x14ac:dyDescent="0.25">
      <c r="A410">
        <v>45607</v>
      </c>
      <c r="B410">
        <v>21</v>
      </c>
    </row>
    <row r="411" spans="1:2" x14ac:dyDescent="0.25">
      <c r="A411">
        <v>45637</v>
      </c>
      <c r="B411">
        <v>80</v>
      </c>
    </row>
    <row r="412" spans="1:2" x14ac:dyDescent="0.25">
      <c r="A412">
        <v>45651</v>
      </c>
      <c r="B412">
        <v>94</v>
      </c>
    </row>
    <row r="413" spans="1:2" x14ac:dyDescent="0.25">
      <c r="A413">
        <v>46420</v>
      </c>
      <c r="B413">
        <v>1857</v>
      </c>
    </row>
    <row r="414" spans="1:2" x14ac:dyDescent="0.25">
      <c r="A414">
        <v>47447</v>
      </c>
      <c r="B414">
        <v>15702</v>
      </c>
    </row>
    <row r="415" spans="1:2" x14ac:dyDescent="0.25">
      <c r="A415">
        <v>48178</v>
      </c>
      <c r="B415">
        <v>5</v>
      </c>
    </row>
    <row r="416" spans="1:2" x14ac:dyDescent="0.25">
      <c r="A416">
        <v>48714</v>
      </c>
      <c r="B416">
        <v>0</v>
      </c>
    </row>
    <row r="417" spans="1:2" x14ac:dyDescent="0.25">
      <c r="A417">
        <v>48901</v>
      </c>
      <c r="B417">
        <v>67</v>
      </c>
    </row>
    <row r="418" spans="1:2" x14ac:dyDescent="0.25">
      <c r="A418">
        <v>49033</v>
      </c>
      <c r="B418">
        <v>61</v>
      </c>
    </row>
    <row r="419" spans="1:2" x14ac:dyDescent="0.25">
      <c r="A419">
        <v>49099</v>
      </c>
      <c r="B419">
        <v>0</v>
      </c>
    </row>
    <row r="420" spans="1:2" x14ac:dyDescent="0.25">
      <c r="A420">
        <v>49184</v>
      </c>
      <c r="B420">
        <v>12</v>
      </c>
    </row>
    <row r="421" spans="1:2" x14ac:dyDescent="0.25">
      <c r="A421">
        <v>49188</v>
      </c>
      <c r="B421">
        <v>7</v>
      </c>
    </row>
    <row r="422" spans="1:2" x14ac:dyDescent="0.25">
      <c r="A422">
        <v>49254</v>
      </c>
      <c r="B422">
        <v>1077</v>
      </c>
    </row>
    <row r="423" spans="1:2" x14ac:dyDescent="0.25">
      <c r="A423">
        <v>49695</v>
      </c>
      <c r="B423">
        <v>235</v>
      </c>
    </row>
    <row r="424" spans="1:2" x14ac:dyDescent="0.25">
      <c r="A424">
        <v>49858</v>
      </c>
      <c r="B424">
        <v>37</v>
      </c>
    </row>
    <row r="425" spans="1:2" x14ac:dyDescent="0.25">
      <c r="A425">
        <v>49866</v>
      </c>
      <c r="B425">
        <v>192</v>
      </c>
    </row>
    <row r="426" spans="1:2" x14ac:dyDescent="0.25">
      <c r="A426">
        <v>49867</v>
      </c>
      <c r="B426">
        <v>12</v>
      </c>
    </row>
    <row r="427" spans="1:2" x14ac:dyDescent="0.25">
      <c r="A427">
        <v>49984</v>
      </c>
      <c r="B427">
        <v>3</v>
      </c>
    </row>
    <row r="428" spans="1:2" x14ac:dyDescent="0.25">
      <c r="A428">
        <v>49988</v>
      </c>
      <c r="B428">
        <v>21</v>
      </c>
    </row>
    <row r="429" spans="1:2" x14ac:dyDescent="0.25">
      <c r="A429">
        <v>50294</v>
      </c>
      <c r="B429">
        <v>21</v>
      </c>
    </row>
    <row r="430" spans="1:2" x14ac:dyDescent="0.25">
      <c r="A430">
        <v>50475</v>
      </c>
      <c r="B430">
        <v>223</v>
      </c>
    </row>
    <row r="431" spans="1:2" x14ac:dyDescent="0.25">
      <c r="A431">
        <v>50476</v>
      </c>
      <c r="B431">
        <v>89</v>
      </c>
    </row>
    <row r="432" spans="1:2" x14ac:dyDescent="0.25">
      <c r="A432">
        <v>50591</v>
      </c>
      <c r="B432">
        <v>33</v>
      </c>
    </row>
    <row r="433" spans="1:2" x14ac:dyDescent="0.25">
      <c r="A433">
        <v>50797</v>
      </c>
      <c r="B433">
        <v>202</v>
      </c>
    </row>
    <row r="434" spans="1:2" x14ac:dyDescent="0.25">
      <c r="A434">
        <v>51013</v>
      </c>
      <c r="B434">
        <v>1</v>
      </c>
    </row>
    <row r="435" spans="1:2" x14ac:dyDescent="0.25">
      <c r="A435">
        <v>51222</v>
      </c>
      <c r="B435">
        <v>43</v>
      </c>
    </row>
    <row r="436" spans="1:2" x14ac:dyDescent="0.25">
      <c r="A436">
        <v>51223</v>
      </c>
      <c r="B436">
        <v>0</v>
      </c>
    </row>
    <row r="437" spans="1:2" x14ac:dyDescent="0.25">
      <c r="A437">
        <v>51579</v>
      </c>
      <c r="B437">
        <v>903</v>
      </c>
    </row>
    <row r="438" spans="1:2" x14ac:dyDescent="0.25">
      <c r="A438">
        <v>52129</v>
      </c>
      <c r="B438">
        <v>120</v>
      </c>
    </row>
    <row r="439" spans="1:2" x14ac:dyDescent="0.25">
      <c r="A439">
        <v>52994</v>
      </c>
      <c r="B439">
        <v>22</v>
      </c>
    </row>
    <row r="440" spans="1:2" x14ac:dyDescent="0.25">
      <c r="A440">
        <v>52995</v>
      </c>
      <c r="B440">
        <v>12</v>
      </c>
    </row>
    <row r="441" spans="1:2" x14ac:dyDescent="0.25">
      <c r="A441">
        <v>53446</v>
      </c>
      <c r="B441">
        <v>903</v>
      </c>
    </row>
    <row r="442" spans="1:2" x14ac:dyDescent="0.25">
      <c r="A442">
        <v>53810</v>
      </c>
      <c r="B442">
        <v>3</v>
      </c>
    </row>
    <row r="443" spans="1:2" x14ac:dyDescent="0.25">
      <c r="A443">
        <v>53813</v>
      </c>
      <c r="B443">
        <v>57</v>
      </c>
    </row>
    <row r="444" spans="1:2" x14ac:dyDescent="0.25">
      <c r="A444">
        <v>53814</v>
      </c>
      <c r="B444">
        <v>70</v>
      </c>
    </row>
    <row r="445" spans="1:2" x14ac:dyDescent="0.25">
      <c r="A445">
        <v>53849</v>
      </c>
      <c r="B445">
        <v>31</v>
      </c>
    </row>
    <row r="446" spans="1:2" x14ac:dyDescent="0.25">
      <c r="A446">
        <v>54017</v>
      </c>
      <c r="B446">
        <v>6</v>
      </c>
    </row>
    <row r="447" spans="1:2" x14ac:dyDescent="0.25">
      <c r="A447">
        <v>54018</v>
      </c>
      <c r="B447">
        <v>0</v>
      </c>
    </row>
    <row r="448" spans="1:2" x14ac:dyDescent="0.25">
      <c r="A448">
        <v>54019</v>
      </c>
      <c r="B448">
        <v>8</v>
      </c>
    </row>
    <row r="449" spans="1:2" x14ac:dyDescent="0.25">
      <c r="A449">
        <v>54026</v>
      </c>
      <c r="B449">
        <v>7</v>
      </c>
    </row>
    <row r="450" spans="1:2" x14ac:dyDescent="0.25">
      <c r="A450">
        <v>54029</v>
      </c>
      <c r="B450">
        <v>220</v>
      </c>
    </row>
    <row r="451" spans="1:2" x14ac:dyDescent="0.25">
      <c r="A451">
        <v>54032</v>
      </c>
      <c r="B451">
        <v>1370</v>
      </c>
    </row>
    <row r="452" spans="1:2" x14ac:dyDescent="0.25">
      <c r="A452">
        <v>54144</v>
      </c>
      <c r="B452">
        <v>14</v>
      </c>
    </row>
    <row r="453" spans="1:2" x14ac:dyDescent="0.25">
      <c r="A453">
        <v>54550</v>
      </c>
      <c r="B453">
        <v>48</v>
      </c>
    </row>
    <row r="454" spans="1:2" x14ac:dyDescent="0.25">
      <c r="A454">
        <v>54552</v>
      </c>
      <c r="B454">
        <v>149</v>
      </c>
    </row>
    <row r="455" spans="1:2" x14ac:dyDescent="0.25">
      <c r="A455">
        <v>54586</v>
      </c>
      <c r="B455">
        <v>8</v>
      </c>
    </row>
    <row r="456" spans="1:2" x14ac:dyDescent="0.25">
      <c r="A456">
        <v>54587</v>
      </c>
      <c r="B456">
        <v>20</v>
      </c>
    </row>
    <row r="457" spans="1:2" x14ac:dyDescent="0.25">
      <c r="A457">
        <v>54668</v>
      </c>
      <c r="B457">
        <v>122</v>
      </c>
    </row>
    <row r="458" spans="1:2" x14ac:dyDescent="0.25">
      <c r="A458">
        <v>54682</v>
      </c>
      <c r="B458">
        <v>2637</v>
      </c>
    </row>
    <row r="459" spans="1:2" x14ac:dyDescent="0.25">
      <c r="A459">
        <v>54969</v>
      </c>
      <c r="B459">
        <v>11</v>
      </c>
    </row>
    <row r="460" spans="1:2" x14ac:dyDescent="0.25">
      <c r="A460">
        <v>55836</v>
      </c>
      <c r="B460">
        <v>0</v>
      </c>
    </row>
    <row r="461" spans="1:2" x14ac:dyDescent="0.25">
      <c r="A461">
        <v>56519</v>
      </c>
      <c r="B461">
        <v>17</v>
      </c>
    </row>
    <row r="462" spans="1:2" x14ac:dyDescent="0.25">
      <c r="A462">
        <v>56520</v>
      </c>
      <c r="B462">
        <v>28</v>
      </c>
    </row>
    <row r="463" spans="1:2" x14ac:dyDescent="0.25">
      <c r="A463">
        <v>57444</v>
      </c>
      <c r="B463">
        <v>120</v>
      </c>
    </row>
    <row r="464" spans="1:2" x14ac:dyDescent="0.25">
      <c r="A464">
        <v>57598</v>
      </c>
      <c r="B464">
        <v>1219</v>
      </c>
    </row>
    <row r="465" spans="1:2" x14ac:dyDescent="0.25">
      <c r="A465">
        <v>57900</v>
      </c>
      <c r="B465">
        <v>9</v>
      </c>
    </row>
    <row r="466" spans="1:2" x14ac:dyDescent="0.25">
      <c r="A466">
        <v>58116</v>
      </c>
      <c r="B466">
        <v>0</v>
      </c>
    </row>
    <row r="467" spans="1:2" x14ac:dyDescent="0.25">
      <c r="A467">
        <v>58117</v>
      </c>
      <c r="B467">
        <v>20</v>
      </c>
    </row>
    <row r="468" spans="1:2" x14ac:dyDescent="0.25">
      <c r="A468">
        <v>58436</v>
      </c>
      <c r="B468">
        <v>30</v>
      </c>
    </row>
    <row r="469" spans="1:2" x14ac:dyDescent="0.25">
      <c r="A469">
        <v>58647</v>
      </c>
      <c r="B469">
        <v>90</v>
      </c>
    </row>
    <row r="470" spans="1:2" x14ac:dyDescent="0.25">
      <c r="A470">
        <v>58706</v>
      </c>
      <c r="B470">
        <v>96</v>
      </c>
    </row>
    <row r="471" spans="1:2" x14ac:dyDescent="0.25">
      <c r="A471">
        <v>58792</v>
      </c>
      <c r="B471">
        <v>0</v>
      </c>
    </row>
    <row r="472" spans="1:2" x14ac:dyDescent="0.25">
      <c r="A472">
        <v>58977</v>
      </c>
      <c r="B472">
        <v>56</v>
      </c>
    </row>
    <row r="473" spans="1:2" x14ac:dyDescent="0.25">
      <c r="A473">
        <v>59018</v>
      </c>
      <c r="B473">
        <v>92</v>
      </c>
    </row>
    <row r="474" spans="1:2" x14ac:dyDescent="0.25">
      <c r="A474">
        <v>59069</v>
      </c>
      <c r="B474">
        <v>8</v>
      </c>
    </row>
    <row r="475" spans="1:2" x14ac:dyDescent="0.25">
      <c r="A475">
        <v>59074</v>
      </c>
      <c r="B475">
        <v>1508</v>
      </c>
    </row>
    <row r="476" spans="1:2" x14ac:dyDescent="0.25">
      <c r="A476">
        <v>59097</v>
      </c>
      <c r="B476">
        <v>51</v>
      </c>
    </row>
    <row r="477" spans="1:2" x14ac:dyDescent="0.25">
      <c r="A477">
        <v>59882</v>
      </c>
      <c r="B477">
        <v>469</v>
      </c>
    </row>
    <row r="478" spans="1:2" x14ac:dyDescent="0.25">
      <c r="A478">
        <v>59942</v>
      </c>
      <c r="B478">
        <v>111</v>
      </c>
    </row>
    <row r="479" spans="1:2" x14ac:dyDescent="0.25">
      <c r="A479">
        <v>60108</v>
      </c>
      <c r="B479">
        <v>85</v>
      </c>
    </row>
    <row r="480" spans="1:2" x14ac:dyDescent="0.25">
      <c r="A480">
        <v>60110</v>
      </c>
      <c r="B480">
        <v>28</v>
      </c>
    </row>
    <row r="481" spans="1:2" x14ac:dyDescent="0.25">
      <c r="A481">
        <v>60116</v>
      </c>
      <c r="B481">
        <v>133</v>
      </c>
    </row>
    <row r="482" spans="1:2" x14ac:dyDescent="0.25">
      <c r="A482">
        <v>60517</v>
      </c>
      <c r="B482">
        <v>640</v>
      </c>
    </row>
    <row r="483" spans="1:2" x14ac:dyDescent="0.25">
      <c r="A483">
        <v>60830</v>
      </c>
      <c r="B483">
        <v>2</v>
      </c>
    </row>
    <row r="484" spans="1:2" x14ac:dyDescent="0.25">
      <c r="A484">
        <v>60854</v>
      </c>
      <c r="B484">
        <v>3</v>
      </c>
    </row>
    <row r="485" spans="1:2" x14ac:dyDescent="0.25">
      <c r="A485">
        <v>60889</v>
      </c>
      <c r="B485">
        <v>494</v>
      </c>
    </row>
    <row r="486" spans="1:2" x14ac:dyDescent="0.25">
      <c r="A486">
        <v>60973</v>
      </c>
      <c r="B486">
        <v>0</v>
      </c>
    </row>
    <row r="487" spans="1:2" x14ac:dyDescent="0.25">
      <c r="A487">
        <v>61046</v>
      </c>
      <c r="B487">
        <v>22</v>
      </c>
    </row>
    <row r="488" spans="1:2" x14ac:dyDescent="0.25">
      <c r="A488">
        <v>61167</v>
      </c>
      <c r="B488">
        <v>53</v>
      </c>
    </row>
    <row r="489" spans="1:2" x14ac:dyDescent="0.25">
      <c r="A489">
        <v>61200</v>
      </c>
      <c r="B489">
        <v>68</v>
      </c>
    </row>
    <row r="490" spans="1:2" x14ac:dyDescent="0.25">
      <c r="A490">
        <v>61201</v>
      </c>
      <c r="B490">
        <v>83</v>
      </c>
    </row>
    <row r="491" spans="1:2" x14ac:dyDescent="0.25">
      <c r="A491">
        <v>62625</v>
      </c>
      <c r="B491">
        <v>4735</v>
      </c>
    </row>
    <row r="492" spans="1:2" x14ac:dyDescent="0.25">
      <c r="A492">
        <v>63031</v>
      </c>
      <c r="B492">
        <v>737</v>
      </c>
    </row>
    <row r="493" spans="1:2" x14ac:dyDescent="0.25">
      <c r="A493">
        <v>63252</v>
      </c>
      <c r="B493">
        <v>89</v>
      </c>
    </row>
    <row r="494" spans="1:2" x14ac:dyDescent="0.25">
      <c r="A494">
        <v>63382</v>
      </c>
      <c r="B494">
        <v>20</v>
      </c>
    </row>
    <row r="495" spans="1:2" x14ac:dyDescent="0.25">
      <c r="A495">
        <v>63385</v>
      </c>
      <c r="B495">
        <v>25717</v>
      </c>
    </row>
    <row r="496" spans="1:2" x14ac:dyDescent="0.25">
      <c r="A496">
        <v>63591</v>
      </c>
      <c r="B496">
        <v>12294</v>
      </c>
    </row>
    <row r="497" spans="1:2" x14ac:dyDescent="0.25">
      <c r="A497">
        <v>63839</v>
      </c>
      <c r="B497">
        <v>246</v>
      </c>
    </row>
    <row r="498" spans="1:2" x14ac:dyDescent="0.25">
      <c r="A498">
        <v>63991</v>
      </c>
      <c r="B498">
        <v>3264</v>
      </c>
    </row>
    <row r="499" spans="1:2" x14ac:dyDescent="0.25">
      <c r="A499">
        <v>64253</v>
      </c>
      <c r="B499">
        <v>1098</v>
      </c>
    </row>
    <row r="500" spans="1:2" x14ac:dyDescent="0.25">
      <c r="A500">
        <v>64302</v>
      </c>
      <c r="B500">
        <v>4885</v>
      </c>
    </row>
    <row r="501" spans="1:2" x14ac:dyDescent="0.25">
      <c r="A501">
        <v>64460</v>
      </c>
      <c r="B501">
        <v>20</v>
      </c>
    </row>
    <row r="502" spans="1:2" x14ac:dyDescent="0.25">
      <c r="A502">
        <v>64461</v>
      </c>
      <c r="B502">
        <v>30</v>
      </c>
    </row>
    <row r="503" spans="1:2" x14ac:dyDescent="0.25">
      <c r="A503">
        <v>64462</v>
      </c>
      <c r="B503">
        <v>604</v>
      </c>
    </row>
    <row r="504" spans="1:2" x14ac:dyDescent="0.25">
      <c r="A504">
        <v>64463</v>
      </c>
      <c r="B504">
        <v>96</v>
      </c>
    </row>
    <row r="505" spans="1:2" x14ac:dyDescent="0.25">
      <c r="A505">
        <v>64466</v>
      </c>
      <c r="B505">
        <v>73</v>
      </c>
    </row>
    <row r="506" spans="1:2" x14ac:dyDescent="0.25">
      <c r="A506">
        <v>64604</v>
      </c>
      <c r="B506">
        <v>143</v>
      </c>
    </row>
    <row r="507" spans="1:2" x14ac:dyDescent="0.25">
      <c r="A507">
        <v>64605</v>
      </c>
      <c r="B507">
        <v>178</v>
      </c>
    </row>
    <row r="508" spans="1:2" x14ac:dyDescent="0.25">
      <c r="A508">
        <v>64607</v>
      </c>
      <c r="B508">
        <v>187</v>
      </c>
    </row>
    <row r="509" spans="1:2" x14ac:dyDescent="0.25">
      <c r="A509">
        <v>64608</v>
      </c>
      <c r="B509">
        <v>1</v>
      </c>
    </row>
    <row r="510" spans="1:2" x14ac:dyDescent="0.25">
      <c r="A510">
        <v>64609</v>
      </c>
      <c r="B510">
        <v>7</v>
      </c>
    </row>
    <row r="511" spans="1:2" x14ac:dyDescent="0.25">
      <c r="A511">
        <v>64610</v>
      </c>
      <c r="B511">
        <v>321</v>
      </c>
    </row>
    <row r="512" spans="1:2" x14ac:dyDescent="0.25">
      <c r="A512">
        <v>64625</v>
      </c>
      <c r="B512">
        <v>106</v>
      </c>
    </row>
    <row r="513" spans="1:2" x14ac:dyDescent="0.25">
      <c r="A513">
        <v>64626</v>
      </c>
      <c r="B513">
        <v>1500</v>
      </c>
    </row>
    <row r="514" spans="1:2" x14ac:dyDescent="0.25">
      <c r="A514">
        <v>64627</v>
      </c>
      <c r="B514">
        <v>379</v>
      </c>
    </row>
    <row r="515" spans="1:2" x14ac:dyDescent="0.25">
      <c r="A515">
        <v>64630</v>
      </c>
      <c r="B515">
        <v>20</v>
      </c>
    </row>
    <row r="516" spans="1:2" x14ac:dyDescent="0.25">
      <c r="A516">
        <v>64631</v>
      </c>
      <c r="B516">
        <v>20</v>
      </c>
    </row>
    <row r="517" spans="1:2" x14ac:dyDescent="0.25">
      <c r="A517">
        <v>64634</v>
      </c>
      <c r="B517">
        <v>50</v>
      </c>
    </row>
    <row r="518" spans="1:2" x14ac:dyDescent="0.25">
      <c r="A518">
        <v>64635</v>
      </c>
      <c r="B518">
        <v>2</v>
      </c>
    </row>
    <row r="519" spans="1:2" x14ac:dyDescent="0.25">
      <c r="A519">
        <v>64636</v>
      </c>
      <c r="B519">
        <v>45</v>
      </c>
    </row>
    <row r="520" spans="1:2" x14ac:dyDescent="0.25">
      <c r="A520">
        <v>64646</v>
      </c>
      <c r="B520">
        <v>0</v>
      </c>
    </row>
    <row r="521" spans="1:2" x14ac:dyDescent="0.25">
      <c r="A521">
        <v>64647</v>
      </c>
      <c r="B521">
        <v>0</v>
      </c>
    </row>
    <row r="522" spans="1:2" x14ac:dyDescent="0.25">
      <c r="A522">
        <v>64648</v>
      </c>
      <c r="B522">
        <v>0</v>
      </c>
    </row>
    <row r="523" spans="1:2" x14ac:dyDescent="0.25">
      <c r="A523">
        <v>64817</v>
      </c>
      <c r="B523">
        <v>5</v>
      </c>
    </row>
    <row r="524" spans="1:2" x14ac:dyDescent="0.25">
      <c r="A524">
        <v>64818</v>
      </c>
      <c r="B524">
        <v>5</v>
      </c>
    </row>
    <row r="525" spans="1:2" x14ac:dyDescent="0.25">
      <c r="A525">
        <v>64819</v>
      </c>
      <c r="B525">
        <v>560</v>
      </c>
    </row>
    <row r="526" spans="1:2" x14ac:dyDescent="0.25">
      <c r="A526">
        <v>64821</v>
      </c>
      <c r="B526">
        <v>22</v>
      </c>
    </row>
    <row r="527" spans="1:2" x14ac:dyDescent="0.25">
      <c r="A527">
        <v>64822</v>
      </c>
      <c r="B527">
        <v>41</v>
      </c>
    </row>
    <row r="528" spans="1:2" x14ac:dyDescent="0.25">
      <c r="A528">
        <v>64860</v>
      </c>
      <c r="B528">
        <v>75</v>
      </c>
    </row>
    <row r="529" spans="1:2" x14ac:dyDescent="0.25">
      <c r="A529">
        <v>64861</v>
      </c>
      <c r="B529">
        <v>70</v>
      </c>
    </row>
    <row r="530" spans="1:2" x14ac:dyDescent="0.25">
      <c r="A530">
        <v>65173</v>
      </c>
      <c r="B530">
        <v>32</v>
      </c>
    </row>
    <row r="531" spans="1:2" x14ac:dyDescent="0.25">
      <c r="A531">
        <v>65609</v>
      </c>
      <c r="B531">
        <v>5</v>
      </c>
    </row>
    <row r="532" spans="1:2" x14ac:dyDescent="0.25">
      <c r="A532">
        <v>65610</v>
      </c>
      <c r="B532">
        <v>15</v>
      </c>
    </row>
    <row r="533" spans="1:2" x14ac:dyDescent="0.25">
      <c r="A533">
        <v>65748</v>
      </c>
      <c r="B533">
        <v>5400</v>
      </c>
    </row>
    <row r="534" spans="1:2" x14ac:dyDescent="0.25">
      <c r="A534">
        <v>66168</v>
      </c>
      <c r="B534">
        <v>325</v>
      </c>
    </row>
    <row r="535" spans="1:2" x14ac:dyDescent="0.25">
      <c r="A535">
        <v>66308</v>
      </c>
      <c r="B535">
        <v>15</v>
      </c>
    </row>
    <row r="536" spans="1:2" x14ac:dyDescent="0.25">
      <c r="A536">
        <v>66786</v>
      </c>
      <c r="B536">
        <v>1354</v>
      </c>
    </row>
    <row r="537" spans="1:2" x14ac:dyDescent="0.25">
      <c r="A537">
        <v>67375</v>
      </c>
      <c r="B537">
        <v>28</v>
      </c>
    </row>
    <row r="538" spans="1:2" x14ac:dyDescent="0.25">
      <c r="A538">
        <v>67376</v>
      </c>
      <c r="B538">
        <v>78</v>
      </c>
    </row>
    <row r="539" spans="1:2" x14ac:dyDescent="0.25">
      <c r="A539">
        <v>67862</v>
      </c>
      <c r="B539">
        <v>26</v>
      </c>
    </row>
    <row r="540" spans="1:2" x14ac:dyDescent="0.25">
      <c r="A540">
        <v>67892</v>
      </c>
      <c r="B540">
        <v>50</v>
      </c>
    </row>
    <row r="541" spans="1:2" x14ac:dyDescent="0.25">
      <c r="A541">
        <v>68351</v>
      </c>
      <c r="B541">
        <v>15</v>
      </c>
    </row>
    <row r="542" spans="1:2" x14ac:dyDescent="0.25">
      <c r="A542">
        <v>69222</v>
      </c>
      <c r="B542">
        <v>2635</v>
      </c>
    </row>
    <row r="543" spans="1:2" x14ac:dyDescent="0.25">
      <c r="A543">
        <v>69229</v>
      </c>
      <c r="B543">
        <v>128</v>
      </c>
    </row>
    <row r="544" spans="1:2" x14ac:dyDescent="0.25">
      <c r="A544">
        <v>69339</v>
      </c>
      <c r="B544">
        <v>2</v>
      </c>
    </row>
    <row r="545" spans="1:2" x14ac:dyDescent="0.25">
      <c r="A545">
        <v>70379</v>
      </c>
      <c r="B545">
        <v>2887</v>
      </c>
    </row>
    <row r="546" spans="1:2" x14ac:dyDescent="0.25">
      <c r="A546">
        <v>70967</v>
      </c>
      <c r="B546">
        <v>59</v>
      </c>
    </row>
    <row r="547" spans="1:2" x14ac:dyDescent="0.25">
      <c r="A547">
        <v>71053</v>
      </c>
      <c r="B547">
        <v>0</v>
      </c>
    </row>
    <row r="548" spans="1:2" x14ac:dyDescent="0.25">
      <c r="A548">
        <v>71189</v>
      </c>
      <c r="B548">
        <v>501</v>
      </c>
    </row>
    <row r="549" spans="1:2" x14ac:dyDescent="0.25">
      <c r="A549">
        <v>71190</v>
      </c>
      <c r="B549">
        <v>3460</v>
      </c>
    </row>
    <row r="550" spans="1:2" x14ac:dyDescent="0.25">
      <c r="A550">
        <v>71697</v>
      </c>
      <c r="B550">
        <v>656</v>
      </c>
    </row>
    <row r="551" spans="1:2" x14ac:dyDescent="0.25">
      <c r="A551">
        <v>71874</v>
      </c>
      <c r="B551">
        <v>55</v>
      </c>
    </row>
    <row r="552" spans="1:2" x14ac:dyDescent="0.25">
      <c r="A552">
        <v>72052</v>
      </c>
      <c r="B552">
        <v>33</v>
      </c>
    </row>
    <row r="553" spans="1:2" x14ac:dyDescent="0.25">
      <c r="A553">
        <v>72174</v>
      </c>
      <c r="B553">
        <v>0</v>
      </c>
    </row>
    <row r="554" spans="1:2" x14ac:dyDescent="0.25">
      <c r="A554">
        <v>72184</v>
      </c>
      <c r="B554">
        <v>630</v>
      </c>
    </row>
    <row r="555" spans="1:2" x14ac:dyDescent="0.25">
      <c r="A555">
        <v>72222</v>
      </c>
      <c r="B555">
        <v>326</v>
      </c>
    </row>
    <row r="556" spans="1:2" x14ac:dyDescent="0.25">
      <c r="A556">
        <v>74081</v>
      </c>
      <c r="B556">
        <v>0</v>
      </c>
    </row>
    <row r="557" spans="1:2" x14ac:dyDescent="0.25">
      <c r="A557">
        <v>74124</v>
      </c>
      <c r="B557">
        <v>2910</v>
      </c>
    </row>
    <row r="558" spans="1:2" x14ac:dyDescent="0.25">
      <c r="A558">
        <v>74907</v>
      </c>
      <c r="B558">
        <v>13</v>
      </c>
    </row>
    <row r="559" spans="1:2" x14ac:dyDescent="0.25">
      <c r="A559">
        <v>74908</v>
      </c>
      <c r="B559">
        <v>13</v>
      </c>
    </row>
    <row r="560" spans="1:2" x14ac:dyDescent="0.25">
      <c r="A560">
        <v>74909</v>
      </c>
      <c r="B560">
        <v>21</v>
      </c>
    </row>
    <row r="561" spans="1:2" x14ac:dyDescent="0.25">
      <c r="A561">
        <v>74911</v>
      </c>
      <c r="B561">
        <v>67</v>
      </c>
    </row>
    <row r="562" spans="1:2" x14ac:dyDescent="0.25">
      <c r="A562">
        <v>74976</v>
      </c>
      <c r="B562">
        <v>125</v>
      </c>
    </row>
    <row r="563" spans="1:2" x14ac:dyDescent="0.25">
      <c r="A563">
        <v>74979</v>
      </c>
      <c r="B563">
        <v>86</v>
      </c>
    </row>
    <row r="564" spans="1:2" x14ac:dyDescent="0.25">
      <c r="A564">
        <v>75324</v>
      </c>
      <c r="B564">
        <v>557</v>
      </c>
    </row>
    <row r="565" spans="1:2" x14ac:dyDescent="0.25">
      <c r="A565">
        <v>75334</v>
      </c>
      <c r="B565">
        <v>613</v>
      </c>
    </row>
    <row r="566" spans="1:2" x14ac:dyDescent="0.25">
      <c r="A566">
        <v>75915</v>
      </c>
      <c r="B566">
        <v>93</v>
      </c>
    </row>
    <row r="567" spans="1:2" x14ac:dyDescent="0.25">
      <c r="A567">
        <v>75938</v>
      </c>
      <c r="B567">
        <v>5858</v>
      </c>
    </row>
    <row r="568" spans="1:2" x14ac:dyDescent="0.25">
      <c r="A568">
        <v>76218</v>
      </c>
      <c r="B568">
        <v>2</v>
      </c>
    </row>
    <row r="569" spans="1:2" x14ac:dyDescent="0.25">
      <c r="A569">
        <v>76430</v>
      </c>
      <c r="B569">
        <v>5</v>
      </c>
    </row>
    <row r="570" spans="1:2" x14ac:dyDescent="0.25">
      <c r="A570">
        <v>76583</v>
      </c>
      <c r="B570">
        <v>96</v>
      </c>
    </row>
    <row r="571" spans="1:2" x14ac:dyDescent="0.25">
      <c r="A571">
        <v>76776</v>
      </c>
      <c r="B571">
        <v>8815</v>
      </c>
    </row>
    <row r="572" spans="1:2" x14ac:dyDescent="0.25">
      <c r="A572">
        <v>76777</v>
      </c>
      <c r="B572">
        <v>2056</v>
      </c>
    </row>
    <row r="573" spans="1:2" x14ac:dyDescent="0.25">
      <c r="A573">
        <v>76780</v>
      </c>
      <c r="B573">
        <v>1800</v>
      </c>
    </row>
    <row r="574" spans="1:2" x14ac:dyDescent="0.25">
      <c r="A574">
        <v>76781</v>
      </c>
      <c r="B574">
        <v>452</v>
      </c>
    </row>
    <row r="575" spans="1:2" x14ac:dyDescent="0.25">
      <c r="A575">
        <v>76806</v>
      </c>
      <c r="B575">
        <v>0</v>
      </c>
    </row>
    <row r="576" spans="1:2" x14ac:dyDescent="0.25">
      <c r="A576">
        <v>77109</v>
      </c>
      <c r="B576">
        <v>63</v>
      </c>
    </row>
    <row r="577" spans="1:2" x14ac:dyDescent="0.25">
      <c r="A577">
        <v>77110</v>
      </c>
      <c r="B577">
        <v>3</v>
      </c>
    </row>
    <row r="578" spans="1:2" x14ac:dyDescent="0.25">
      <c r="A578">
        <v>77380</v>
      </c>
      <c r="B578">
        <v>0</v>
      </c>
    </row>
    <row r="579" spans="1:2" x14ac:dyDescent="0.25">
      <c r="A579">
        <v>77493</v>
      </c>
      <c r="B579">
        <v>24</v>
      </c>
    </row>
    <row r="580" spans="1:2" x14ac:dyDescent="0.25">
      <c r="A580">
        <v>77554</v>
      </c>
      <c r="B580">
        <v>3</v>
      </c>
    </row>
    <row r="581" spans="1:2" x14ac:dyDescent="0.25">
      <c r="A581">
        <v>77556</v>
      </c>
      <c r="B581">
        <v>0</v>
      </c>
    </row>
    <row r="582" spans="1:2" x14ac:dyDescent="0.25">
      <c r="A582">
        <v>77557</v>
      </c>
      <c r="B582">
        <v>30</v>
      </c>
    </row>
    <row r="583" spans="1:2" x14ac:dyDescent="0.25">
      <c r="A583">
        <v>77562</v>
      </c>
      <c r="B583">
        <v>2171</v>
      </c>
    </row>
    <row r="584" spans="1:2" x14ac:dyDescent="0.25">
      <c r="A584">
        <v>77755</v>
      </c>
      <c r="B584">
        <v>2698</v>
      </c>
    </row>
    <row r="585" spans="1:2" x14ac:dyDescent="0.25">
      <c r="A585">
        <v>77786</v>
      </c>
      <c r="B585">
        <v>12</v>
      </c>
    </row>
    <row r="586" spans="1:2" x14ac:dyDescent="0.25">
      <c r="A586">
        <v>77788</v>
      </c>
      <c r="B586">
        <v>570</v>
      </c>
    </row>
    <row r="587" spans="1:2" x14ac:dyDescent="0.25">
      <c r="A587">
        <v>77819</v>
      </c>
      <c r="B587">
        <v>1298</v>
      </c>
    </row>
    <row r="588" spans="1:2" x14ac:dyDescent="0.25">
      <c r="A588">
        <v>77822</v>
      </c>
      <c r="B588">
        <v>125</v>
      </c>
    </row>
    <row r="589" spans="1:2" x14ac:dyDescent="0.25">
      <c r="A589">
        <v>77823</v>
      </c>
      <c r="B589">
        <v>98</v>
      </c>
    </row>
    <row r="590" spans="1:2" x14ac:dyDescent="0.25">
      <c r="A590">
        <v>77992</v>
      </c>
      <c r="B590">
        <v>1892</v>
      </c>
    </row>
    <row r="591" spans="1:2" x14ac:dyDescent="0.25">
      <c r="A591">
        <v>78025</v>
      </c>
      <c r="B591">
        <v>179</v>
      </c>
    </row>
    <row r="592" spans="1:2" x14ac:dyDescent="0.25">
      <c r="A592">
        <v>78027</v>
      </c>
      <c r="B592">
        <v>17</v>
      </c>
    </row>
    <row r="593" spans="1:2" x14ac:dyDescent="0.25">
      <c r="A593">
        <v>78043</v>
      </c>
      <c r="B593">
        <v>0</v>
      </c>
    </row>
    <row r="594" spans="1:2" x14ac:dyDescent="0.25">
      <c r="A594">
        <v>78055</v>
      </c>
      <c r="B594">
        <v>60</v>
      </c>
    </row>
    <row r="595" spans="1:2" x14ac:dyDescent="0.25">
      <c r="A595">
        <v>78057</v>
      </c>
      <c r="B595">
        <v>18</v>
      </c>
    </row>
    <row r="596" spans="1:2" x14ac:dyDescent="0.25">
      <c r="A596">
        <v>78181</v>
      </c>
      <c r="B596">
        <v>445</v>
      </c>
    </row>
    <row r="597" spans="1:2" x14ac:dyDescent="0.25">
      <c r="A597">
        <v>78303</v>
      </c>
      <c r="B597">
        <v>15</v>
      </c>
    </row>
    <row r="598" spans="1:2" x14ac:dyDescent="0.25">
      <c r="A598">
        <v>78304</v>
      </c>
      <c r="B598">
        <v>52</v>
      </c>
    </row>
    <row r="599" spans="1:2" x14ac:dyDescent="0.25">
      <c r="A599">
        <v>78306</v>
      </c>
      <c r="B599">
        <v>4</v>
      </c>
    </row>
    <row r="600" spans="1:2" x14ac:dyDescent="0.25">
      <c r="A600">
        <v>78307</v>
      </c>
      <c r="B600">
        <v>9</v>
      </c>
    </row>
    <row r="601" spans="1:2" x14ac:dyDescent="0.25">
      <c r="A601">
        <v>78398</v>
      </c>
      <c r="B601">
        <v>0</v>
      </c>
    </row>
    <row r="602" spans="1:2" x14ac:dyDescent="0.25">
      <c r="A602">
        <v>78399</v>
      </c>
      <c r="B602">
        <v>21</v>
      </c>
    </row>
    <row r="603" spans="1:2" x14ac:dyDescent="0.25">
      <c r="A603">
        <v>78416</v>
      </c>
      <c r="B603">
        <v>144</v>
      </c>
    </row>
    <row r="604" spans="1:2" x14ac:dyDescent="0.25">
      <c r="A604">
        <v>78418</v>
      </c>
      <c r="B604">
        <v>88</v>
      </c>
    </row>
    <row r="605" spans="1:2" x14ac:dyDescent="0.25">
      <c r="A605">
        <v>78509</v>
      </c>
      <c r="B605">
        <v>5</v>
      </c>
    </row>
    <row r="606" spans="1:2" x14ac:dyDescent="0.25">
      <c r="A606">
        <v>78641</v>
      </c>
      <c r="B606">
        <v>4086</v>
      </c>
    </row>
    <row r="607" spans="1:2" x14ac:dyDescent="0.25">
      <c r="A607">
        <v>78642</v>
      </c>
      <c r="B607">
        <v>3115</v>
      </c>
    </row>
    <row r="608" spans="1:2" x14ac:dyDescent="0.25">
      <c r="A608">
        <v>78643</v>
      </c>
      <c r="B608">
        <v>4319</v>
      </c>
    </row>
    <row r="609" spans="1:2" x14ac:dyDescent="0.25">
      <c r="A609">
        <v>78646</v>
      </c>
      <c r="B609">
        <v>4246</v>
      </c>
    </row>
    <row r="610" spans="1:2" x14ac:dyDescent="0.25">
      <c r="A610">
        <v>79635</v>
      </c>
      <c r="B610">
        <v>0</v>
      </c>
    </row>
    <row r="611" spans="1:2" x14ac:dyDescent="0.25">
      <c r="A611">
        <v>79687</v>
      </c>
      <c r="B611">
        <v>4411</v>
      </c>
    </row>
    <row r="612" spans="1:2" x14ac:dyDescent="0.25">
      <c r="A612">
        <v>79688</v>
      </c>
      <c r="B612">
        <v>4913</v>
      </c>
    </row>
    <row r="613" spans="1:2" x14ac:dyDescent="0.25">
      <c r="A613">
        <v>80297</v>
      </c>
      <c r="B613">
        <v>0</v>
      </c>
    </row>
    <row r="614" spans="1:2" x14ac:dyDescent="0.25">
      <c r="A614">
        <v>80298</v>
      </c>
      <c r="B614">
        <v>9</v>
      </c>
    </row>
    <row r="615" spans="1:2" x14ac:dyDescent="0.25">
      <c r="A615">
        <v>80300</v>
      </c>
      <c r="B615">
        <v>63</v>
      </c>
    </row>
    <row r="616" spans="1:2" x14ac:dyDescent="0.25">
      <c r="A616">
        <v>80384</v>
      </c>
      <c r="B616">
        <v>25</v>
      </c>
    </row>
    <row r="617" spans="1:2" x14ac:dyDescent="0.25">
      <c r="A617">
        <v>80385</v>
      </c>
      <c r="B617">
        <v>1</v>
      </c>
    </row>
    <row r="618" spans="1:2" x14ac:dyDescent="0.25">
      <c r="A618">
        <v>80387</v>
      </c>
      <c r="B618">
        <v>361</v>
      </c>
    </row>
    <row r="619" spans="1:2" x14ac:dyDescent="0.25">
      <c r="A619">
        <v>80390</v>
      </c>
      <c r="B619">
        <v>42</v>
      </c>
    </row>
    <row r="620" spans="1:2" x14ac:dyDescent="0.25">
      <c r="A620">
        <v>80391</v>
      </c>
      <c r="B620">
        <v>18</v>
      </c>
    </row>
    <row r="621" spans="1:2" x14ac:dyDescent="0.25">
      <c r="A621">
        <v>80575</v>
      </c>
      <c r="B621">
        <v>31</v>
      </c>
    </row>
    <row r="622" spans="1:2" x14ac:dyDescent="0.25">
      <c r="A622">
        <v>80650</v>
      </c>
      <c r="B622">
        <v>0</v>
      </c>
    </row>
    <row r="623" spans="1:2" x14ac:dyDescent="0.25">
      <c r="A623">
        <v>80749</v>
      </c>
      <c r="B623">
        <v>0</v>
      </c>
    </row>
    <row r="624" spans="1:2" x14ac:dyDescent="0.25">
      <c r="A624">
        <v>80872</v>
      </c>
      <c r="B624">
        <v>4342</v>
      </c>
    </row>
    <row r="625" spans="1:2" x14ac:dyDescent="0.25">
      <c r="A625">
        <v>80874</v>
      </c>
      <c r="B625">
        <v>4411</v>
      </c>
    </row>
    <row r="626" spans="1:2" x14ac:dyDescent="0.25">
      <c r="A626">
        <v>81131</v>
      </c>
      <c r="B626">
        <v>327</v>
      </c>
    </row>
    <row r="627" spans="1:2" x14ac:dyDescent="0.25">
      <c r="A627">
        <v>81152</v>
      </c>
      <c r="B627">
        <v>1174</v>
      </c>
    </row>
    <row r="628" spans="1:2" x14ac:dyDescent="0.25">
      <c r="A628">
        <v>81370</v>
      </c>
      <c r="B628">
        <v>1097</v>
      </c>
    </row>
    <row r="629" spans="1:2" x14ac:dyDescent="0.25">
      <c r="A629">
        <v>81371</v>
      </c>
      <c r="B629">
        <v>1139</v>
      </c>
    </row>
    <row r="630" spans="1:2" x14ac:dyDescent="0.25">
      <c r="A630">
        <v>81455</v>
      </c>
      <c r="B630">
        <v>430</v>
      </c>
    </row>
    <row r="631" spans="1:2" x14ac:dyDescent="0.25">
      <c r="A631">
        <v>81493</v>
      </c>
      <c r="B631">
        <v>51</v>
      </c>
    </row>
    <row r="632" spans="1:2" x14ac:dyDescent="0.25">
      <c r="A632">
        <v>81514</v>
      </c>
      <c r="B632">
        <v>69200</v>
      </c>
    </row>
    <row r="633" spans="1:2" x14ac:dyDescent="0.25">
      <c r="A633">
        <v>81563</v>
      </c>
      <c r="B633">
        <v>3</v>
      </c>
    </row>
    <row r="634" spans="1:2" x14ac:dyDescent="0.25">
      <c r="A634">
        <v>81564</v>
      </c>
      <c r="B634">
        <v>3</v>
      </c>
    </row>
    <row r="635" spans="1:2" x14ac:dyDescent="0.25">
      <c r="A635">
        <v>81565</v>
      </c>
      <c r="B635">
        <v>3</v>
      </c>
    </row>
    <row r="636" spans="1:2" x14ac:dyDescent="0.25">
      <c r="A636">
        <v>81566</v>
      </c>
      <c r="B636">
        <v>343</v>
      </c>
    </row>
    <row r="637" spans="1:2" x14ac:dyDescent="0.25">
      <c r="A637">
        <v>81807</v>
      </c>
      <c r="B637">
        <v>12</v>
      </c>
    </row>
    <row r="638" spans="1:2" x14ac:dyDescent="0.25">
      <c r="A638">
        <v>81808</v>
      </c>
      <c r="B638">
        <v>17</v>
      </c>
    </row>
    <row r="639" spans="1:2" x14ac:dyDescent="0.25">
      <c r="A639">
        <v>82185</v>
      </c>
      <c r="B639">
        <v>27</v>
      </c>
    </row>
    <row r="640" spans="1:2" x14ac:dyDescent="0.25">
      <c r="A640">
        <v>82452</v>
      </c>
      <c r="B640">
        <v>149</v>
      </c>
    </row>
    <row r="641" spans="1:2" x14ac:dyDescent="0.25">
      <c r="A641">
        <v>82732</v>
      </c>
      <c r="B641">
        <v>312</v>
      </c>
    </row>
    <row r="642" spans="1:2" x14ac:dyDescent="0.25">
      <c r="A642">
        <v>82829</v>
      </c>
      <c r="B642">
        <v>15</v>
      </c>
    </row>
    <row r="643" spans="1:2" x14ac:dyDescent="0.25">
      <c r="A643">
        <v>82916</v>
      </c>
      <c r="B643">
        <v>14</v>
      </c>
    </row>
    <row r="644" spans="1:2" x14ac:dyDescent="0.25">
      <c r="A644">
        <v>82995</v>
      </c>
      <c r="B644">
        <v>378</v>
      </c>
    </row>
    <row r="645" spans="1:2" x14ac:dyDescent="0.25">
      <c r="A645">
        <v>82996</v>
      </c>
      <c r="B645">
        <v>160</v>
      </c>
    </row>
    <row r="646" spans="1:2" x14ac:dyDescent="0.25">
      <c r="A646">
        <v>83627</v>
      </c>
      <c r="B646">
        <v>27709</v>
      </c>
    </row>
    <row r="647" spans="1:2" x14ac:dyDescent="0.25">
      <c r="A647">
        <v>83788</v>
      </c>
      <c r="B647">
        <v>0</v>
      </c>
    </row>
    <row r="648" spans="1:2" x14ac:dyDescent="0.25">
      <c r="A648">
        <v>83838</v>
      </c>
      <c r="B648">
        <v>10783</v>
      </c>
    </row>
    <row r="649" spans="1:2" x14ac:dyDescent="0.25">
      <c r="A649">
        <v>83839</v>
      </c>
      <c r="B649">
        <v>3263</v>
      </c>
    </row>
    <row r="650" spans="1:2" x14ac:dyDescent="0.25">
      <c r="A650">
        <v>84878</v>
      </c>
      <c r="B650">
        <v>20207</v>
      </c>
    </row>
    <row r="651" spans="1:2" x14ac:dyDescent="0.25">
      <c r="A651">
        <v>86030</v>
      </c>
      <c r="B651">
        <v>58</v>
      </c>
    </row>
    <row r="652" spans="1:2" x14ac:dyDescent="0.25">
      <c r="A652">
        <v>86118</v>
      </c>
      <c r="B652">
        <v>137</v>
      </c>
    </row>
    <row r="653" spans="1:2" x14ac:dyDescent="0.25">
      <c r="A653">
        <v>86891</v>
      </c>
      <c r="B653">
        <v>0</v>
      </c>
    </row>
    <row r="654" spans="1:2" x14ac:dyDescent="0.25">
      <c r="A654">
        <v>87157</v>
      </c>
      <c r="B654">
        <v>294</v>
      </c>
    </row>
    <row r="655" spans="1:2" x14ac:dyDescent="0.25">
      <c r="A655">
        <v>87160</v>
      </c>
      <c r="B655">
        <v>30</v>
      </c>
    </row>
    <row r="656" spans="1:2" x14ac:dyDescent="0.25">
      <c r="A656">
        <v>87247</v>
      </c>
      <c r="B656">
        <v>0</v>
      </c>
    </row>
    <row r="657" spans="1:2" x14ac:dyDescent="0.25">
      <c r="A657">
        <v>87348</v>
      </c>
      <c r="B657">
        <v>95</v>
      </c>
    </row>
    <row r="658" spans="1:2" x14ac:dyDescent="0.25">
      <c r="A658">
        <v>87465</v>
      </c>
      <c r="B658">
        <v>1810</v>
      </c>
    </row>
    <row r="659" spans="1:2" x14ac:dyDescent="0.25">
      <c r="A659">
        <v>87586</v>
      </c>
      <c r="B659">
        <v>16</v>
      </c>
    </row>
    <row r="660" spans="1:2" x14ac:dyDescent="0.25">
      <c r="A660">
        <v>87698</v>
      </c>
      <c r="B660">
        <v>95</v>
      </c>
    </row>
    <row r="661" spans="1:2" x14ac:dyDescent="0.25">
      <c r="A661">
        <v>87699</v>
      </c>
      <c r="B661">
        <v>126</v>
      </c>
    </row>
    <row r="662" spans="1:2" x14ac:dyDescent="0.25">
      <c r="A662">
        <v>88718</v>
      </c>
      <c r="B662">
        <v>40</v>
      </c>
    </row>
    <row r="663" spans="1:2" x14ac:dyDescent="0.25">
      <c r="A663">
        <v>88719</v>
      </c>
      <c r="B663">
        <v>98</v>
      </c>
    </row>
    <row r="664" spans="1:2" x14ac:dyDescent="0.25">
      <c r="A664">
        <v>88726</v>
      </c>
      <c r="B664">
        <v>29</v>
      </c>
    </row>
    <row r="665" spans="1:2" x14ac:dyDescent="0.25">
      <c r="A665">
        <v>88727</v>
      </c>
      <c r="B665">
        <v>90</v>
      </c>
    </row>
    <row r="666" spans="1:2" x14ac:dyDescent="0.25">
      <c r="A666">
        <v>88728</v>
      </c>
      <c r="B666">
        <v>113</v>
      </c>
    </row>
    <row r="667" spans="1:2" x14ac:dyDescent="0.25">
      <c r="A667">
        <v>88729</v>
      </c>
      <c r="B667">
        <v>26</v>
      </c>
    </row>
    <row r="668" spans="1:2" x14ac:dyDescent="0.25">
      <c r="A668">
        <v>88730</v>
      </c>
      <c r="B668">
        <v>24</v>
      </c>
    </row>
    <row r="669" spans="1:2" x14ac:dyDescent="0.25">
      <c r="A669">
        <v>88731</v>
      </c>
      <c r="B669">
        <v>2</v>
      </c>
    </row>
    <row r="670" spans="1:2" x14ac:dyDescent="0.25">
      <c r="A670">
        <v>88732</v>
      </c>
      <c r="B670">
        <v>11</v>
      </c>
    </row>
    <row r="671" spans="1:2" x14ac:dyDescent="0.25">
      <c r="A671">
        <v>88733</v>
      </c>
      <c r="B671">
        <v>7</v>
      </c>
    </row>
    <row r="672" spans="1:2" x14ac:dyDescent="0.25">
      <c r="A672">
        <v>88734</v>
      </c>
      <c r="B672">
        <v>8</v>
      </c>
    </row>
    <row r="673" spans="1:2" x14ac:dyDescent="0.25">
      <c r="A673">
        <v>88735</v>
      </c>
      <c r="B673">
        <v>14</v>
      </c>
    </row>
    <row r="674" spans="1:2" x14ac:dyDescent="0.25">
      <c r="A674">
        <v>88740</v>
      </c>
      <c r="B674">
        <v>13</v>
      </c>
    </row>
    <row r="675" spans="1:2" x14ac:dyDescent="0.25">
      <c r="A675">
        <v>88741</v>
      </c>
      <c r="B675">
        <v>0</v>
      </c>
    </row>
    <row r="676" spans="1:2" x14ac:dyDescent="0.25">
      <c r="A676">
        <v>88742</v>
      </c>
      <c r="B676">
        <v>0</v>
      </c>
    </row>
    <row r="677" spans="1:2" x14ac:dyDescent="0.25">
      <c r="A677">
        <v>88744</v>
      </c>
      <c r="B677">
        <v>10</v>
      </c>
    </row>
    <row r="678" spans="1:2" x14ac:dyDescent="0.25">
      <c r="A678">
        <v>88745</v>
      </c>
      <c r="B678">
        <v>10</v>
      </c>
    </row>
    <row r="679" spans="1:2" x14ac:dyDescent="0.25">
      <c r="A679">
        <v>88746</v>
      </c>
      <c r="B679">
        <v>3</v>
      </c>
    </row>
    <row r="680" spans="1:2" x14ac:dyDescent="0.25">
      <c r="A680">
        <v>88747</v>
      </c>
      <c r="B680">
        <v>2</v>
      </c>
    </row>
    <row r="681" spans="1:2" x14ac:dyDescent="0.25">
      <c r="A681">
        <v>88838</v>
      </c>
      <c r="B681">
        <v>1229</v>
      </c>
    </row>
    <row r="682" spans="1:2" x14ac:dyDescent="0.25">
      <c r="A682">
        <v>88839</v>
      </c>
      <c r="B682">
        <v>24</v>
      </c>
    </row>
    <row r="683" spans="1:2" x14ac:dyDescent="0.25">
      <c r="A683">
        <v>88849</v>
      </c>
      <c r="B683">
        <v>223</v>
      </c>
    </row>
    <row r="684" spans="1:2" x14ac:dyDescent="0.25">
      <c r="A684">
        <v>88856</v>
      </c>
      <c r="B684">
        <v>57</v>
      </c>
    </row>
    <row r="685" spans="1:2" x14ac:dyDescent="0.25">
      <c r="A685">
        <v>88876</v>
      </c>
      <c r="B685">
        <v>0</v>
      </c>
    </row>
    <row r="686" spans="1:2" x14ac:dyDescent="0.25">
      <c r="A686">
        <v>88989</v>
      </c>
      <c r="B686">
        <v>3</v>
      </c>
    </row>
    <row r="687" spans="1:2" x14ac:dyDescent="0.25">
      <c r="A687">
        <v>88992</v>
      </c>
      <c r="B687">
        <v>1</v>
      </c>
    </row>
    <row r="688" spans="1:2" x14ac:dyDescent="0.25">
      <c r="A688">
        <v>88993</v>
      </c>
      <c r="B688">
        <v>1</v>
      </c>
    </row>
    <row r="689" spans="1:2" x14ac:dyDescent="0.25">
      <c r="A689">
        <v>89818</v>
      </c>
      <c r="B689">
        <v>15</v>
      </c>
    </row>
    <row r="690" spans="1:2" x14ac:dyDescent="0.25">
      <c r="A690">
        <v>89855</v>
      </c>
      <c r="B690">
        <v>0</v>
      </c>
    </row>
    <row r="691" spans="1:2" x14ac:dyDescent="0.25">
      <c r="A691">
        <v>89863</v>
      </c>
      <c r="B691">
        <v>211</v>
      </c>
    </row>
    <row r="692" spans="1:2" x14ac:dyDescent="0.25">
      <c r="A692">
        <v>89864</v>
      </c>
      <c r="B692">
        <v>33</v>
      </c>
    </row>
    <row r="693" spans="1:2" x14ac:dyDescent="0.25">
      <c r="A693">
        <v>89865</v>
      </c>
      <c r="B693">
        <v>73</v>
      </c>
    </row>
    <row r="694" spans="1:2" x14ac:dyDescent="0.25">
      <c r="A694">
        <v>89866</v>
      </c>
      <c r="B694">
        <v>114</v>
      </c>
    </row>
    <row r="695" spans="1:2" x14ac:dyDescent="0.25">
      <c r="A695">
        <v>90500</v>
      </c>
      <c r="B695">
        <v>994</v>
      </c>
    </row>
    <row r="696" spans="1:2" x14ac:dyDescent="0.25">
      <c r="A696">
        <v>90502</v>
      </c>
      <c r="B696">
        <v>1920</v>
      </c>
    </row>
    <row r="697" spans="1:2" x14ac:dyDescent="0.25">
      <c r="A697">
        <v>90884</v>
      </c>
      <c r="B697">
        <v>15</v>
      </c>
    </row>
    <row r="698" spans="1:2" x14ac:dyDescent="0.25">
      <c r="A698">
        <v>91250</v>
      </c>
      <c r="B698">
        <v>67</v>
      </c>
    </row>
    <row r="699" spans="1:2" x14ac:dyDescent="0.25">
      <c r="A699">
        <v>91669</v>
      </c>
      <c r="B699">
        <v>2264</v>
      </c>
    </row>
    <row r="700" spans="1:2" x14ac:dyDescent="0.25">
      <c r="A700">
        <v>91811</v>
      </c>
      <c r="B700">
        <v>418</v>
      </c>
    </row>
    <row r="701" spans="1:2" x14ac:dyDescent="0.25">
      <c r="A701">
        <v>91868</v>
      </c>
      <c r="B701">
        <v>93</v>
      </c>
    </row>
    <row r="702" spans="1:2" x14ac:dyDescent="0.25">
      <c r="A702">
        <v>92111</v>
      </c>
      <c r="B702">
        <v>800</v>
      </c>
    </row>
    <row r="703" spans="1:2" x14ac:dyDescent="0.25">
      <c r="A703">
        <v>92842</v>
      </c>
      <c r="B703">
        <v>39</v>
      </c>
    </row>
    <row r="704" spans="1:2" x14ac:dyDescent="0.25">
      <c r="A704">
        <v>92906</v>
      </c>
      <c r="B704">
        <v>3193</v>
      </c>
    </row>
    <row r="705" spans="1:2" x14ac:dyDescent="0.25">
      <c r="A705">
        <v>92907</v>
      </c>
      <c r="B705">
        <v>3163</v>
      </c>
    </row>
    <row r="706" spans="1:2" x14ac:dyDescent="0.25">
      <c r="A706">
        <v>92908</v>
      </c>
      <c r="B706">
        <v>3230</v>
      </c>
    </row>
    <row r="707" spans="1:2" x14ac:dyDescent="0.25">
      <c r="A707">
        <v>93139</v>
      </c>
      <c r="B707">
        <v>41</v>
      </c>
    </row>
    <row r="708" spans="1:2" x14ac:dyDescent="0.25">
      <c r="A708">
        <v>93325</v>
      </c>
      <c r="B708">
        <v>9574</v>
      </c>
    </row>
    <row r="709" spans="1:2" x14ac:dyDescent="0.25">
      <c r="A709">
        <v>93327</v>
      </c>
      <c r="B709">
        <v>4987</v>
      </c>
    </row>
    <row r="710" spans="1:2" x14ac:dyDescent="0.25">
      <c r="A710">
        <v>93329</v>
      </c>
      <c r="B710">
        <v>6512</v>
      </c>
    </row>
    <row r="711" spans="1:2" x14ac:dyDescent="0.25">
      <c r="A711">
        <v>93332</v>
      </c>
      <c r="B711">
        <v>8685</v>
      </c>
    </row>
    <row r="712" spans="1:2" x14ac:dyDescent="0.25">
      <c r="A712">
        <v>93334</v>
      </c>
      <c r="B712">
        <v>6099</v>
      </c>
    </row>
    <row r="713" spans="1:2" x14ac:dyDescent="0.25">
      <c r="A713">
        <v>93335</v>
      </c>
      <c r="B713">
        <v>8035</v>
      </c>
    </row>
    <row r="714" spans="1:2" x14ac:dyDescent="0.25">
      <c r="A714">
        <v>93344</v>
      </c>
      <c r="B714">
        <v>5</v>
      </c>
    </row>
    <row r="715" spans="1:2" x14ac:dyDescent="0.25">
      <c r="A715">
        <v>93346</v>
      </c>
      <c r="B715">
        <v>0</v>
      </c>
    </row>
    <row r="716" spans="1:2" x14ac:dyDescent="0.25">
      <c r="A716">
        <v>93453</v>
      </c>
      <c r="B716">
        <v>11089</v>
      </c>
    </row>
    <row r="717" spans="1:2" x14ac:dyDescent="0.25">
      <c r="A717">
        <v>93454</v>
      </c>
      <c r="B717">
        <v>11819</v>
      </c>
    </row>
    <row r="718" spans="1:2" x14ac:dyDescent="0.25">
      <c r="A718">
        <v>93456</v>
      </c>
      <c r="B718">
        <v>10626</v>
      </c>
    </row>
    <row r="719" spans="1:2" x14ac:dyDescent="0.25">
      <c r="A719">
        <v>93461</v>
      </c>
      <c r="B719">
        <v>11105</v>
      </c>
    </row>
    <row r="720" spans="1:2" x14ac:dyDescent="0.25">
      <c r="A720">
        <v>93462</v>
      </c>
      <c r="B720">
        <v>10536</v>
      </c>
    </row>
    <row r="721" spans="1:2" x14ac:dyDescent="0.25">
      <c r="A721">
        <v>93486</v>
      </c>
      <c r="B721">
        <v>12</v>
      </c>
    </row>
    <row r="722" spans="1:2" x14ac:dyDescent="0.25">
      <c r="A722">
        <v>93487</v>
      </c>
      <c r="B722">
        <v>6</v>
      </c>
    </row>
    <row r="723" spans="1:2" x14ac:dyDescent="0.25">
      <c r="A723">
        <v>93488</v>
      </c>
      <c r="B723">
        <v>5</v>
      </c>
    </row>
    <row r="724" spans="1:2" x14ac:dyDescent="0.25">
      <c r="A724">
        <v>94013</v>
      </c>
      <c r="B724">
        <v>17</v>
      </c>
    </row>
    <row r="725" spans="1:2" x14ac:dyDescent="0.25">
      <c r="A725">
        <v>94615</v>
      </c>
      <c r="B725">
        <v>5</v>
      </c>
    </row>
    <row r="726" spans="1:2" x14ac:dyDescent="0.25">
      <c r="A726">
        <v>94616</v>
      </c>
      <c r="B726">
        <v>3</v>
      </c>
    </row>
    <row r="727" spans="1:2" x14ac:dyDescent="0.25">
      <c r="A727">
        <v>94617</v>
      </c>
      <c r="B727">
        <v>4</v>
      </c>
    </row>
    <row r="728" spans="1:2" x14ac:dyDescent="0.25">
      <c r="A728">
        <v>94618</v>
      </c>
      <c r="B728">
        <v>5</v>
      </c>
    </row>
    <row r="729" spans="1:2" x14ac:dyDescent="0.25">
      <c r="A729">
        <v>94627</v>
      </c>
      <c r="B729">
        <v>231</v>
      </c>
    </row>
    <row r="730" spans="1:2" x14ac:dyDescent="0.25">
      <c r="A730">
        <v>94787</v>
      </c>
      <c r="B730">
        <v>0</v>
      </c>
    </row>
    <row r="731" spans="1:2" x14ac:dyDescent="0.25">
      <c r="A731">
        <v>95121</v>
      </c>
      <c r="B731">
        <v>54</v>
      </c>
    </row>
    <row r="732" spans="1:2" x14ac:dyDescent="0.25">
      <c r="A732">
        <v>95209</v>
      </c>
      <c r="B732">
        <v>138</v>
      </c>
    </row>
    <row r="733" spans="1:2" x14ac:dyDescent="0.25">
      <c r="A733">
        <v>95513</v>
      </c>
      <c r="B733">
        <v>787</v>
      </c>
    </row>
    <row r="734" spans="1:2" x14ac:dyDescent="0.25">
      <c r="A734">
        <v>95970</v>
      </c>
      <c r="B734">
        <v>0</v>
      </c>
    </row>
    <row r="735" spans="1:2" x14ac:dyDescent="0.25">
      <c r="A735">
        <v>96516</v>
      </c>
      <c r="B735">
        <v>723</v>
      </c>
    </row>
    <row r="736" spans="1:2" x14ac:dyDescent="0.25">
      <c r="A736">
        <v>97965</v>
      </c>
      <c r="B736">
        <v>0</v>
      </c>
    </row>
    <row r="737" spans="1:2" x14ac:dyDescent="0.25">
      <c r="A737">
        <v>98080</v>
      </c>
      <c r="B737">
        <v>540</v>
      </c>
    </row>
    <row r="738" spans="1:2" x14ac:dyDescent="0.25">
      <c r="A738">
        <v>98359</v>
      </c>
      <c r="B738">
        <v>50</v>
      </c>
    </row>
    <row r="739" spans="1:2" x14ac:dyDescent="0.25">
      <c r="A739">
        <v>98360</v>
      </c>
      <c r="B739">
        <v>1</v>
      </c>
    </row>
    <row r="740" spans="1:2" x14ac:dyDescent="0.25">
      <c r="A740">
        <v>98702</v>
      </c>
      <c r="B740">
        <v>2366</v>
      </c>
    </row>
    <row r="741" spans="1:2" x14ac:dyDescent="0.25">
      <c r="A741">
        <v>98703</v>
      </c>
      <c r="B741">
        <v>542</v>
      </c>
    </row>
    <row r="742" spans="1:2" x14ac:dyDescent="0.25">
      <c r="A742">
        <v>98704</v>
      </c>
      <c r="B742">
        <v>63</v>
      </c>
    </row>
    <row r="743" spans="1:2" x14ac:dyDescent="0.25">
      <c r="A743">
        <v>98732</v>
      </c>
      <c r="B743">
        <v>0</v>
      </c>
    </row>
    <row r="744" spans="1:2" x14ac:dyDescent="0.25">
      <c r="A744">
        <v>98733</v>
      </c>
      <c r="B744">
        <v>0</v>
      </c>
    </row>
    <row r="745" spans="1:2" x14ac:dyDescent="0.25">
      <c r="A745">
        <v>98734</v>
      </c>
      <c r="B745">
        <v>1</v>
      </c>
    </row>
    <row r="746" spans="1:2" x14ac:dyDescent="0.25">
      <c r="A746">
        <v>98747</v>
      </c>
      <c r="B746">
        <v>0</v>
      </c>
    </row>
    <row r="747" spans="1:2" x14ac:dyDescent="0.25">
      <c r="A747">
        <v>98748</v>
      </c>
      <c r="B747">
        <v>0</v>
      </c>
    </row>
    <row r="748" spans="1:2" x14ac:dyDescent="0.25">
      <c r="A748">
        <v>98749</v>
      </c>
      <c r="B748">
        <v>0</v>
      </c>
    </row>
    <row r="749" spans="1:2" x14ac:dyDescent="0.25">
      <c r="A749">
        <v>98750</v>
      </c>
      <c r="B749">
        <v>0</v>
      </c>
    </row>
    <row r="750" spans="1:2" x14ac:dyDescent="0.25">
      <c r="A750">
        <v>98751</v>
      </c>
      <c r="B750">
        <v>0</v>
      </c>
    </row>
    <row r="751" spans="1:2" x14ac:dyDescent="0.25">
      <c r="A751">
        <v>98819</v>
      </c>
      <c r="B751">
        <v>32</v>
      </c>
    </row>
    <row r="752" spans="1:2" x14ac:dyDescent="0.25">
      <c r="A752">
        <v>99787</v>
      </c>
      <c r="B752">
        <v>27</v>
      </c>
    </row>
    <row r="753" spans="1:2" x14ac:dyDescent="0.25">
      <c r="A753">
        <v>99788</v>
      </c>
      <c r="B753">
        <v>1</v>
      </c>
    </row>
    <row r="754" spans="1:2" x14ac:dyDescent="0.25">
      <c r="A754">
        <v>99790</v>
      </c>
      <c r="B754">
        <v>0</v>
      </c>
    </row>
    <row r="755" spans="1:2" x14ac:dyDescent="0.25">
      <c r="A755">
        <v>99796</v>
      </c>
      <c r="B755">
        <v>3</v>
      </c>
    </row>
    <row r="756" spans="1:2" x14ac:dyDescent="0.25">
      <c r="A756">
        <v>99810</v>
      </c>
      <c r="B756">
        <v>3310</v>
      </c>
    </row>
    <row r="757" spans="1:2" x14ac:dyDescent="0.25">
      <c r="A757">
        <v>100383</v>
      </c>
      <c r="B757">
        <v>20</v>
      </c>
    </row>
    <row r="758" spans="1:2" x14ac:dyDescent="0.25">
      <c r="A758">
        <v>100802</v>
      </c>
      <c r="B758">
        <v>621</v>
      </c>
    </row>
    <row r="759" spans="1:2" x14ac:dyDescent="0.25">
      <c r="A759">
        <v>100907</v>
      </c>
      <c r="B759">
        <v>124</v>
      </c>
    </row>
    <row r="760" spans="1:2" x14ac:dyDescent="0.25">
      <c r="A760">
        <v>101867</v>
      </c>
      <c r="B760">
        <v>201</v>
      </c>
    </row>
    <row r="761" spans="1:2" x14ac:dyDescent="0.25">
      <c r="A761">
        <v>101868</v>
      </c>
      <c r="B761">
        <v>168</v>
      </c>
    </row>
    <row r="762" spans="1:2" x14ac:dyDescent="0.25">
      <c r="A762">
        <v>101891</v>
      </c>
      <c r="B762">
        <v>3</v>
      </c>
    </row>
    <row r="763" spans="1:2" x14ac:dyDescent="0.25">
      <c r="A763">
        <v>101917</v>
      </c>
      <c r="B763">
        <v>600</v>
      </c>
    </row>
    <row r="764" spans="1:2" x14ac:dyDescent="0.25">
      <c r="A764">
        <v>101938</v>
      </c>
      <c r="B764">
        <v>53</v>
      </c>
    </row>
    <row r="765" spans="1:2" x14ac:dyDescent="0.25">
      <c r="A765">
        <v>102000</v>
      </c>
      <c r="B765">
        <v>1025</v>
      </c>
    </row>
    <row r="766" spans="1:2" x14ac:dyDescent="0.25">
      <c r="A766">
        <v>102234</v>
      </c>
      <c r="B766">
        <v>15</v>
      </c>
    </row>
    <row r="767" spans="1:2" x14ac:dyDescent="0.25">
      <c r="A767">
        <v>102276</v>
      </c>
      <c r="B767">
        <v>100</v>
      </c>
    </row>
    <row r="768" spans="1:2" x14ac:dyDescent="0.25">
      <c r="A768">
        <v>102277</v>
      </c>
      <c r="B768">
        <v>130</v>
      </c>
    </row>
    <row r="769" spans="1:2" x14ac:dyDescent="0.25">
      <c r="A769">
        <v>102278</v>
      </c>
      <c r="B769">
        <v>1</v>
      </c>
    </row>
    <row r="770" spans="1:2" x14ac:dyDescent="0.25">
      <c r="A770">
        <v>102279</v>
      </c>
      <c r="B770">
        <v>113</v>
      </c>
    </row>
    <row r="771" spans="1:2" x14ac:dyDescent="0.25">
      <c r="A771">
        <v>102443</v>
      </c>
      <c r="B771">
        <v>154</v>
      </c>
    </row>
    <row r="772" spans="1:2" x14ac:dyDescent="0.25">
      <c r="A772">
        <v>102588</v>
      </c>
      <c r="B772">
        <v>10</v>
      </c>
    </row>
    <row r="773" spans="1:2" x14ac:dyDescent="0.25">
      <c r="A773">
        <v>102634</v>
      </c>
      <c r="B773">
        <v>0</v>
      </c>
    </row>
    <row r="774" spans="1:2" x14ac:dyDescent="0.25">
      <c r="A774">
        <v>102684</v>
      </c>
      <c r="B774">
        <v>0</v>
      </c>
    </row>
    <row r="775" spans="1:2" x14ac:dyDescent="0.25">
      <c r="A775">
        <v>102685</v>
      </c>
      <c r="B775">
        <v>0</v>
      </c>
    </row>
    <row r="776" spans="1:2" x14ac:dyDescent="0.25">
      <c r="A776">
        <v>102686</v>
      </c>
      <c r="B776">
        <v>0</v>
      </c>
    </row>
    <row r="777" spans="1:2" x14ac:dyDescent="0.25">
      <c r="A777">
        <v>102687</v>
      </c>
      <c r="B777">
        <v>0</v>
      </c>
    </row>
    <row r="778" spans="1:2" x14ac:dyDescent="0.25">
      <c r="A778">
        <v>102688</v>
      </c>
      <c r="B778">
        <v>0</v>
      </c>
    </row>
    <row r="779" spans="1:2" x14ac:dyDescent="0.25">
      <c r="A779">
        <v>102690</v>
      </c>
      <c r="B779">
        <v>3</v>
      </c>
    </row>
    <row r="780" spans="1:2" x14ac:dyDescent="0.25">
      <c r="A780">
        <v>102691</v>
      </c>
      <c r="B780">
        <v>0</v>
      </c>
    </row>
    <row r="781" spans="1:2" x14ac:dyDescent="0.25">
      <c r="A781">
        <v>102692</v>
      </c>
      <c r="B781">
        <v>0</v>
      </c>
    </row>
    <row r="782" spans="1:2" x14ac:dyDescent="0.25">
      <c r="A782">
        <v>102693</v>
      </c>
      <c r="B782">
        <v>0</v>
      </c>
    </row>
    <row r="783" spans="1:2" x14ac:dyDescent="0.25">
      <c r="A783">
        <v>102694</v>
      </c>
      <c r="B783">
        <v>2</v>
      </c>
    </row>
    <row r="784" spans="1:2" x14ac:dyDescent="0.25">
      <c r="A784">
        <v>102695</v>
      </c>
      <c r="B784">
        <v>0</v>
      </c>
    </row>
    <row r="785" spans="1:2" x14ac:dyDescent="0.25">
      <c r="A785">
        <v>102696</v>
      </c>
      <c r="B785">
        <v>0</v>
      </c>
    </row>
    <row r="786" spans="1:2" x14ac:dyDescent="0.25">
      <c r="A786">
        <v>102697</v>
      </c>
      <c r="B786">
        <v>0</v>
      </c>
    </row>
    <row r="787" spans="1:2" x14ac:dyDescent="0.25">
      <c r="A787">
        <v>102698</v>
      </c>
      <c r="B787">
        <v>0</v>
      </c>
    </row>
    <row r="788" spans="1:2" x14ac:dyDescent="0.25">
      <c r="A788">
        <v>102699</v>
      </c>
      <c r="B788">
        <v>0</v>
      </c>
    </row>
    <row r="789" spans="1:2" x14ac:dyDescent="0.25">
      <c r="A789">
        <v>102702</v>
      </c>
      <c r="B789">
        <v>7675</v>
      </c>
    </row>
    <row r="790" spans="1:2" x14ac:dyDescent="0.25">
      <c r="A790">
        <v>102723</v>
      </c>
      <c r="B790">
        <v>2</v>
      </c>
    </row>
    <row r="791" spans="1:2" x14ac:dyDescent="0.25">
      <c r="A791">
        <v>102726</v>
      </c>
      <c r="B791">
        <v>0</v>
      </c>
    </row>
    <row r="792" spans="1:2" x14ac:dyDescent="0.25">
      <c r="A792">
        <v>102728</v>
      </c>
      <c r="B792">
        <v>30</v>
      </c>
    </row>
    <row r="793" spans="1:2" x14ac:dyDescent="0.25">
      <c r="A793">
        <v>102775</v>
      </c>
      <c r="B793">
        <v>0</v>
      </c>
    </row>
    <row r="794" spans="1:2" x14ac:dyDescent="0.25">
      <c r="A794">
        <v>102776</v>
      </c>
      <c r="B794">
        <v>0</v>
      </c>
    </row>
    <row r="795" spans="1:2" x14ac:dyDescent="0.25">
      <c r="A795">
        <v>102777</v>
      </c>
      <c r="B795">
        <v>2</v>
      </c>
    </row>
    <row r="796" spans="1:2" x14ac:dyDescent="0.25">
      <c r="A796">
        <v>102782</v>
      </c>
      <c r="B796">
        <v>0</v>
      </c>
    </row>
    <row r="797" spans="1:2" x14ac:dyDescent="0.25">
      <c r="A797">
        <v>102791</v>
      </c>
      <c r="B797">
        <v>0</v>
      </c>
    </row>
    <row r="798" spans="1:2" x14ac:dyDescent="0.25">
      <c r="A798">
        <v>102814</v>
      </c>
      <c r="B798">
        <v>42</v>
      </c>
    </row>
    <row r="799" spans="1:2" x14ac:dyDescent="0.25">
      <c r="A799">
        <v>102819</v>
      </c>
      <c r="B799">
        <v>0</v>
      </c>
    </row>
    <row r="800" spans="1:2" x14ac:dyDescent="0.25">
      <c r="A800">
        <v>102820</v>
      </c>
      <c r="B800">
        <v>5</v>
      </c>
    </row>
    <row r="801" spans="1:2" x14ac:dyDescent="0.25">
      <c r="A801">
        <v>102822</v>
      </c>
      <c r="B801">
        <v>13</v>
      </c>
    </row>
    <row r="802" spans="1:2" x14ac:dyDescent="0.25">
      <c r="A802">
        <v>102832</v>
      </c>
      <c r="B802">
        <v>0</v>
      </c>
    </row>
    <row r="803" spans="1:2" x14ac:dyDescent="0.25">
      <c r="A803">
        <v>102922</v>
      </c>
      <c r="B803">
        <v>21871</v>
      </c>
    </row>
    <row r="804" spans="1:2" x14ac:dyDescent="0.25">
      <c r="A804">
        <v>103142</v>
      </c>
      <c r="B804">
        <v>10</v>
      </c>
    </row>
    <row r="805" spans="1:2" x14ac:dyDescent="0.25">
      <c r="A805">
        <v>103251</v>
      </c>
      <c r="B805">
        <v>320</v>
      </c>
    </row>
    <row r="806" spans="1:2" x14ac:dyDescent="0.25">
      <c r="A806">
        <v>103298</v>
      </c>
      <c r="B806">
        <v>0</v>
      </c>
    </row>
    <row r="807" spans="1:2" x14ac:dyDescent="0.25">
      <c r="A807">
        <v>103299</v>
      </c>
      <c r="B807">
        <v>20</v>
      </c>
    </row>
    <row r="808" spans="1:2" x14ac:dyDescent="0.25">
      <c r="A808">
        <v>103344</v>
      </c>
      <c r="B808">
        <v>26</v>
      </c>
    </row>
    <row r="809" spans="1:2" x14ac:dyDescent="0.25">
      <c r="A809">
        <v>103405</v>
      </c>
      <c r="B809">
        <v>110</v>
      </c>
    </row>
    <row r="810" spans="1:2" x14ac:dyDescent="0.25">
      <c r="A810">
        <v>103444</v>
      </c>
      <c r="B810">
        <v>0</v>
      </c>
    </row>
    <row r="811" spans="1:2" x14ac:dyDescent="0.25">
      <c r="A811">
        <v>103490</v>
      </c>
      <c r="B811">
        <v>1</v>
      </c>
    </row>
    <row r="812" spans="1:2" x14ac:dyDescent="0.25">
      <c r="A812">
        <v>104625</v>
      </c>
      <c r="B812">
        <v>7</v>
      </c>
    </row>
    <row r="813" spans="1:2" x14ac:dyDescent="0.25">
      <c r="A813">
        <v>104626</v>
      </c>
      <c r="B813">
        <v>2</v>
      </c>
    </row>
    <row r="814" spans="1:2" x14ac:dyDescent="0.25">
      <c r="A814">
        <v>104627</v>
      </c>
      <c r="B814">
        <v>3</v>
      </c>
    </row>
    <row r="815" spans="1:2" x14ac:dyDescent="0.25">
      <c r="A815">
        <v>104639</v>
      </c>
      <c r="B815">
        <v>6</v>
      </c>
    </row>
    <row r="816" spans="1:2" x14ac:dyDescent="0.25">
      <c r="A816">
        <v>104640</v>
      </c>
      <c r="B816">
        <v>4</v>
      </c>
    </row>
    <row r="817" spans="1:2" x14ac:dyDescent="0.25">
      <c r="A817">
        <v>104641</v>
      </c>
      <c r="B817">
        <v>1</v>
      </c>
    </row>
    <row r="818" spans="1:2" x14ac:dyDescent="0.25">
      <c r="A818">
        <v>104642</v>
      </c>
      <c r="B818">
        <v>1</v>
      </c>
    </row>
    <row r="819" spans="1:2" x14ac:dyDescent="0.25">
      <c r="A819">
        <v>104655</v>
      </c>
      <c r="B819">
        <v>400</v>
      </c>
    </row>
    <row r="820" spans="1:2" x14ac:dyDescent="0.25">
      <c r="A820">
        <v>104665</v>
      </c>
      <c r="B820">
        <v>4</v>
      </c>
    </row>
    <row r="821" spans="1:2" x14ac:dyDescent="0.25">
      <c r="A821">
        <v>104667</v>
      </c>
      <c r="B821">
        <v>117</v>
      </c>
    </row>
    <row r="822" spans="1:2" x14ac:dyDescent="0.25">
      <c r="A822">
        <v>104755</v>
      </c>
      <c r="B822">
        <v>1303</v>
      </c>
    </row>
    <row r="823" spans="1:2" x14ac:dyDescent="0.25">
      <c r="A823">
        <v>104832</v>
      </c>
      <c r="B823">
        <v>107</v>
      </c>
    </row>
    <row r="824" spans="1:2" x14ac:dyDescent="0.25">
      <c r="A824">
        <v>104911</v>
      </c>
      <c r="B824">
        <v>15</v>
      </c>
    </row>
    <row r="825" spans="1:2" x14ac:dyDescent="0.25">
      <c r="A825">
        <v>105106</v>
      </c>
      <c r="B825">
        <v>12</v>
      </c>
    </row>
    <row r="826" spans="1:2" x14ac:dyDescent="0.25">
      <c r="A826">
        <v>105107</v>
      </c>
      <c r="B826">
        <v>9</v>
      </c>
    </row>
    <row r="827" spans="1:2" x14ac:dyDescent="0.25">
      <c r="A827">
        <v>105108</v>
      </c>
      <c r="B827">
        <v>0</v>
      </c>
    </row>
    <row r="828" spans="1:2" x14ac:dyDescent="0.25">
      <c r="A828">
        <v>105109</v>
      </c>
      <c r="B828">
        <v>6</v>
      </c>
    </row>
    <row r="829" spans="1:2" x14ac:dyDescent="0.25">
      <c r="A829">
        <v>105110</v>
      </c>
      <c r="B829">
        <v>7</v>
      </c>
    </row>
    <row r="830" spans="1:2" x14ac:dyDescent="0.25">
      <c r="A830">
        <v>105112</v>
      </c>
      <c r="B830">
        <v>0</v>
      </c>
    </row>
    <row r="831" spans="1:2" x14ac:dyDescent="0.25">
      <c r="A831">
        <v>105113</v>
      </c>
      <c r="B831">
        <v>0</v>
      </c>
    </row>
    <row r="832" spans="1:2" x14ac:dyDescent="0.25">
      <c r="A832">
        <v>105114</v>
      </c>
      <c r="B832">
        <v>10</v>
      </c>
    </row>
    <row r="833" spans="1:2" x14ac:dyDescent="0.25">
      <c r="A833">
        <v>105115</v>
      </c>
      <c r="B833">
        <v>8</v>
      </c>
    </row>
    <row r="834" spans="1:2" x14ac:dyDescent="0.25">
      <c r="A834">
        <v>105116</v>
      </c>
      <c r="B834">
        <v>10</v>
      </c>
    </row>
    <row r="835" spans="1:2" x14ac:dyDescent="0.25">
      <c r="A835">
        <v>105117</v>
      </c>
      <c r="B835">
        <v>3</v>
      </c>
    </row>
    <row r="836" spans="1:2" x14ac:dyDescent="0.25">
      <c r="A836">
        <v>105118</v>
      </c>
      <c r="B836">
        <v>6</v>
      </c>
    </row>
    <row r="837" spans="1:2" x14ac:dyDescent="0.25">
      <c r="A837">
        <v>105128</v>
      </c>
      <c r="B837">
        <v>218</v>
      </c>
    </row>
    <row r="838" spans="1:2" x14ac:dyDescent="0.25">
      <c r="A838">
        <v>105259</v>
      </c>
      <c r="B838">
        <v>2111</v>
      </c>
    </row>
    <row r="839" spans="1:2" x14ac:dyDescent="0.25">
      <c r="A839">
        <v>105293</v>
      </c>
      <c r="B839">
        <v>1100</v>
      </c>
    </row>
    <row r="840" spans="1:2" x14ac:dyDescent="0.25">
      <c r="A840">
        <v>105294</v>
      </c>
      <c r="B840">
        <v>18</v>
      </c>
    </row>
    <row r="841" spans="1:2" x14ac:dyDescent="0.25">
      <c r="A841">
        <v>105348</v>
      </c>
      <c r="B841">
        <v>1</v>
      </c>
    </row>
    <row r="842" spans="1:2" x14ac:dyDescent="0.25">
      <c r="A842">
        <v>105419</v>
      </c>
      <c r="B842">
        <v>0</v>
      </c>
    </row>
    <row r="843" spans="1:2" x14ac:dyDescent="0.25">
      <c r="A843">
        <v>105489</v>
      </c>
      <c r="B843">
        <v>141</v>
      </c>
    </row>
    <row r="844" spans="1:2" x14ac:dyDescent="0.25">
      <c r="A844">
        <v>105491</v>
      </c>
      <c r="B844">
        <v>35</v>
      </c>
    </row>
    <row r="845" spans="1:2" x14ac:dyDescent="0.25">
      <c r="A845">
        <v>105492</v>
      </c>
      <c r="B845">
        <v>13</v>
      </c>
    </row>
    <row r="846" spans="1:2" x14ac:dyDescent="0.25">
      <c r="A846">
        <v>105493</v>
      </c>
      <c r="B846">
        <v>154</v>
      </c>
    </row>
    <row r="847" spans="1:2" x14ac:dyDescent="0.25">
      <c r="A847">
        <v>105704</v>
      </c>
      <c r="B847">
        <v>10</v>
      </c>
    </row>
    <row r="848" spans="1:2" x14ac:dyDescent="0.25">
      <c r="A848">
        <v>105709</v>
      </c>
      <c r="B848">
        <v>2</v>
      </c>
    </row>
    <row r="849" spans="1:2" x14ac:dyDescent="0.25">
      <c r="A849">
        <v>105810</v>
      </c>
      <c r="B849">
        <v>0</v>
      </c>
    </row>
    <row r="850" spans="1:2" x14ac:dyDescent="0.25">
      <c r="A850">
        <v>105889</v>
      </c>
      <c r="B850">
        <v>344</v>
      </c>
    </row>
    <row r="851" spans="1:2" x14ac:dyDescent="0.25">
      <c r="A851">
        <v>105993</v>
      </c>
      <c r="B851">
        <v>34</v>
      </c>
    </row>
    <row r="852" spans="1:2" x14ac:dyDescent="0.25">
      <c r="A852">
        <v>105994</v>
      </c>
      <c r="B852">
        <v>50</v>
      </c>
    </row>
    <row r="853" spans="1:2" x14ac:dyDescent="0.25">
      <c r="A853">
        <v>106027</v>
      </c>
      <c r="B853">
        <v>10</v>
      </c>
    </row>
    <row r="854" spans="1:2" x14ac:dyDescent="0.25">
      <c r="A854">
        <v>106038</v>
      </c>
      <c r="B854">
        <v>0</v>
      </c>
    </row>
    <row r="855" spans="1:2" x14ac:dyDescent="0.25">
      <c r="A855">
        <v>106039</v>
      </c>
      <c r="B855">
        <v>6</v>
      </c>
    </row>
    <row r="856" spans="1:2" x14ac:dyDescent="0.25">
      <c r="A856">
        <v>106128</v>
      </c>
      <c r="B856">
        <v>53</v>
      </c>
    </row>
    <row r="857" spans="1:2" x14ac:dyDescent="0.25">
      <c r="A857">
        <v>106129</v>
      </c>
      <c r="B857">
        <v>16</v>
      </c>
    </row>
    <row r="858" spans="1:2" x14ac:dyDescent="0.25">
      <c r="A858">
        <v>106130</v>
      </c>
      <c r="B858">
        <v>9</v>
      </c>
    </row>
    <row r="859" spans="1:2" x14ac:dyDescent="0.25">
      <c r="A859">
        <v>106131</v>
      </c>
      <c r="B859">
        <v>13</v>
      </c>
    </row>
    <row r="860" spans="1:2" x14ac:dyDescent="0.25">
      <c r="A860">
        <v>106375</v>
      </c>
      <c r="B860">
        <v>511</v>
      </c>
    </row>
    <row r="861" spans="1:2" x14ac:dyDescent="0.25">
      <c r="A861">
        <v>106376</v>
      </c>
      <c r="B861">
        <v>773</v>
      </c>
    </row>
    <row r="862" spans="1:2" x14ac:dyDescent="0.25">
      <c r="A862">
        <v>106408</v>
      </c>
      <c r="B862">
        <v>18</v>
      </c>
    </row>
    <row r="863" spans="1:2" x14ac:dyDescent="0.25">
      <c r="A863">
        <v>106414</v>
      </c>
      <c r="B863">
        <v>953</v>
      </c>
    </row>
    <row r="864" spans="1:2" x14ac:dyDescent="0.25">
      <c r="A864">
        <v>106544</v>
      </c>
      <c r="B864">
        <v>890</v>
      </c>
    </row>
    <row r="865" spans="1:2" x14ac:dyDescent="0.25">
      <c r="A865">
        <v>106546</v>
      </c>
      <c r="B865">
        <v>725</v>
      </c>
    </row>
    <row r="866" spans="1:2" x14ac:dyDescent="0.25">
      <c r="A866">
        <v>106631</v>
      </c>
      <c r="B866">
        <v>117</v>
      </c>
    </row>
    <row r="867" spans="1:2" x14ac:dyDescent="0.25">
      <c r="A867">
        <v>106697</v>
      </c>
      <c r="B867">
        <v>4369</v>
      </c>
    </row>
    <row r="868" spans="1:2" x14ac:dyDescent="0.25">
      <c r="A868">
        <v>107401</v>
      </c>
      <c r="B868">
        <v>39</v>
      </c>
    </row>
    <row r="869" spans="1:2" x14ac:dyDescent="0.25">
      <c r="A869">
        <v>107483</v>
      </c>
      <c r="B869">
        <v>181</v>
      </c>
    </row>
    <row r="870" spans="1:2" x14ac:dyDescent="0.25">
      <c r="A870">
        <v>107790</v>
      </c>
      <c r="B870">
        <v>172</v>
      </c>
    </row>
    <row r="871" spans="1:2" x14ac:dyDescent="0.25">
      <c r="A871">
        <v>107889</v>
      </c>
      <c r="B871">
        <v>166</v>
      </c>
    </row>
    <row r="872" spans="1:2" x14ac:dyDescent="0.25">
      <c r="A872">
        <v>107909</v>
      </c>
      <c r="B872">
        <v>23</v>
      </c>
    </row>
    <row r="873" spans="1:2" x14ac:dyDescent="0.25">
      <c r="A873">
        <v>107925</v>
      </c>
      <c r="B873">
        <v>700</v>
      </c>
    </row>
    <row r="874" spans="1:2" x14ac:dyDescent="0.25">
      <c r="A874">
        <v>107926</v>
      </c>
      <c r="B874">
        <v>2700</v>
      </c>
    </row>
    <row r="875" spans="1:2" x14ac:dyDescent="0.25">
      <c r="A875">
        <v>108393</v>
      </c>
      <c r="B875">
        <v>53</v>
      </c>
    </row>
    <row r="876" spans="1:2" x14ac:dyDescent="0.25">
      <c r="A876">
        <v>108398</v>
      </c>
      <c r="B876">
        <v>0</v>
      </c>
    </row>
    <row r="877" spans="1:2" x14ac:dyDescent="0.25">
      <c r="A877">
        <v>108440</v>
      </c>
      <c r="B877">
        <v>116</v>
      </c>
    </row>
    <row r="878" spans="1:2" x14ac:dyDescent="0.25">
      <c r="A878">
        <v>108441</v>
      </c>
      <c r="B878">
        <v>79</v>
      </c>
    </row>
    <row r="879" spans="1:2" x14ac:dyDescent="0.25">
      <c r="A879">
        <v>108463</v>
      </c>
      <c r="B879">
        <v>611</v>
      </c>
    </row>
    <row r="880" spans="1:2" x14ac:dyDescent="0.25">
      <c r="A880">
        <v>108697</v>
      </c>
      <c r="B880">
        <v>1</v>
      </c>
    </row>
    <row r="881" spans="1:2" x14ac:dyDescent="0.25">
      <c r="A881">
        <v>108711</v>
      </c>
      <c r="B881">
        <v>1</v>
      </c>
    </row>
    <row r="882" spans="1:2" x14ac:dyDescent="0.25">
      <c r="A882">
        <v>108732</v>
      </c>
      <c r="B882">
        <v>1</v>
      </c>
    </row>
    <row r="883" spans="1:2" x14ac:dyDescent="0.25">
      <c r="A883">
        <v>108734</v>
      </c>
      <c r="B883">
        <v>4</v>
      </c>
    </row>
    <row r="884" spans="1:2" x14ac:dyDescent="0.25">
      <c r="A884">
        <v>108735</v>
      </c>
      <c r="B884">
        <v>1</v>
      </c>
    </row>
    <row r="885" spans="1:2" x14ac:dyDescent="0.25">
      <c r="A885">
        <v>108736</v>
      </c>
      <c r="B885">
        <v>3</v>
      </c>
    </row>
    <row r="886" spans="1:2" x14ac:dyDescent="0.25">
      <c r="A886">
        <v>109163</v>
      </c>
      <c r="B886">
        <v>1528</v>
      </c>
    </row>
    <row r="887" spans="1:2" x14ac:dyDescent="0.25">
      <c r="A887">
        <v>109848</v>
      </c>
      <c r="B887">
        <v>55</v>
      </c>
    </row>
    <row r="888" spans="1:2" x14ac:dyDescent="0.25">
      <c r="A888">
        <v>109944</v>
      </c>
      <c r="B888">
        <v>328</v>
      </c>
    </row>
    <row r="889" spans="1:2" x14ac:dyDescent="0.25">
      <c r="A889">
        <v>110216</v>
      </c>
      <c r="B889">
        <v>64</v>
      </c>
    </row>
    <row r="890" spans="1:2" x14ac:dyDescent="0.25">
      <c r="A890">
        <v>110503</v>
      </c>
      <c r="B890">
        <v>2840</v>
      </c>
    </row>
    <row r="891" spans="1:2" x14ac:dyDescent="0.25">
      <c r="A891">
        <v>110578</v>
      </c>
      <c r="B891">
        <v>2360</v>
      </c>
    </row>
    <row r="892" spans="1:2" x14ac:dyDescent="0.25">
      <c r="A892">
        <v>110702</v>
      </c>
      <c r="B892">
        <v>11</v>
      </c>
    </row>
    <row r="893" spans="1:2" x14ac:dyDescent="0.25">
      <c r="A893">
        <v>110771</v>
      </c>
      <c r="B893">
        <v>68</v>
      </c>
    </row>
    <row r="894" spans="1:2" x14ac:dyDescent="0.25">
      <c r="A894">
        <v>110888</v>
      </c>
      <c r="B894">
        <v>2</v>
      </c>
    </row>
    <row r="895" spans="1:2" x14ac:dyDescent="0.25">
      <c r="A895">
        <v>110889</v>
      </c>
      <c r="B895">
        <v>0</v>
      </c>
    </row>
    <row r="896" spans="1:2" x14ac:dyDescent="0.25">
      <c r="A896">
        <v>110890</v>
      </c>
      <c r="B896">
        <v>0</v>
      </c>
    </row>
    <row r="897" spans="1:2" x14ac:dyDescent="0.25">
      <c r="A897">
        <v>110891</v>
      </c>
      <c r="B897">
        <v>150</v>
      </c>
    </row>
    <row r="898" spans="1:2" x14ac:dyDescent="0.25">
      <c r="A898">
        <v>110892</v>
      </c>
      <c r="B898">
        <v>0</v>
      </c>
    </row>
    <row r="899" spans="1:2" x14ac:dyDescent="0.25">
      <c r="A899">
        <v>110893</v>
      </c>
      <c r="B899">
        <v>0</v>
      </c>
    </row>
    <row r="900" spans="1:2" x14ac:dyDescent="0.25">
      <c r="A900">
        <v>110895</v>
      </c>
      <c r="B900">
        <v>241</v>
      </c>
    </row>
    <row r="901" spans="1:2" x14ac:dyDescent="0.25">
      <c r="A901">
        <v>110896</v>
      </c>
      <c r="B901">
        <v>20</v>
      </c>
    </row>
    <row r="902" spans="1:2" x14ac:dyDescent="0.25">
      <c r="A902">
        <v>111336</v>
      </c>
      <c r="B902">
        <v>290</v>
      </c>
    </row>
    <row r="903" spans="1:2" x14ac:dyDescent="0.25">
      <c r="A903">
        <v>111524</v>
      </c>
      <c r="B903">
        <v>324</v>
      </c>
    </row>
    <row r="904" spans="1:2" x14ac:dyDescent="0.25">
      <c r="A904">
        <v>111756</v>
      </c>
      <c r="B904">
        <v>570</v>
      </c>
    </row>
    <row r="905" spans="1:2" x14ac:dyDescent="0.25">
      <c r="A905">
        <v>111806</v>
      </c>
      <c r="B905">
        <v>104</v>
      </c>
    </row>
    <row r="906" spans="1:2" x14ac:dyDescent="0.25">
      <c r="A906">
        <v>111841</v>
      </c>
      <c r="B906">
        <v>0</v>
      </c>
    </row>
    <row r="907" spans="1:2" x14ac:dyDescent="0.25">
      <c r="A907">
        <v>112064</v>
      </c>
      <c r="B907">
        <v>3</v>
      </c>
    </row>
    <row r="908" spans="1:2" x14ac:dyDescent="0.25">
      <c r="A908">
        <v>112109</v>
      </c>
      <c r="B908">
        <v>14992</v>
      </c>
    </row>
    <row r="909" spans="1:2" x14ac:dyDescent="0.25">
      <c r="A909">
        <v>112154</v>
      </c>
      <c r="B909">
        <v>191</v>
      </c>
    </row>
    <row r="910" spans="1:2" x14ac:dyDescent="0.25">
      <c r="A910">
        <v>112155</v>
      </c>
      <c r="B910">
        <v>76</v>
      </c>
    </row>
    <row r="911" spans="1:2" x14ac:dyDescent="0.25">
      <c r="A911">
        <v>112156</v>
      </c>
      <c r="B911">
        <v>255</v>
      </c>
    </row>
    <row r="912" spans="1:2" x14ac:dyDescent="0.25">
      <c r="A912">
        <v>112157</v>
      </c>
      <c r="B912">
        <v>1</v>
      </c>
    </row>
    <row r="913" spans="1:2" x14ac:dyDescent="0.25">
      <c r="A913">
        <v>112158</v>
      </c>
      <c r="B913">
        <v>119</v>
      </c>
    </row>
    <row r="914" spans="1:2" x14ac:dyDescent="0.25">
      <c r="A914">
        <v>112159</v>
      </c>
      <c r="B914">
        <v>24</v>
      </c>
    </row>
    <row r="915" spans="1:2" x14ac:dyDescent="0.25">
      <c r="A915">
        <v>112160</v>
      </c>
      <c r="B915">
        <v>0</v>
      </c>
    </row>
    <row r="916" spans="1:2" x14ac:dyDescent="0.25">
      <c r="A916">
        <v>112162</v>
      </c>
      <c r="B916">
        <v>173</v>
      </c>
    </row>
    <row r="917" spans="1:2" x14ac:dyDescent="0.25">
      <c r="A917">
        <v>112163</v>
      </c>
      <c r="B917">
        <v>286</v>
      </c>
    </row>
    <row r="918" spans="1:2" x14ac:dyDescent="0.25">
      <c r="A918">
        <v>112164</v>
      </c>
      <c r="B918">
        <v>36</v>
      </c>
    </row>
    <row r="919" spans="1:2" x14ac:dyDescent="0.25">
      <c r="A919">
        <v>112494</v>
      </c>
      <c r="B919">
        <v>20</v>
      </c>
    </row>
    <row r="920" spans="1:2" x14ac:dyDescent="0.25">
      <c r="A920">
        <v>112965</v>
      </c>
      <c r="B920">
        <v>250</v>
      </c>
    </row>
    <row r="921" spans="1:2" x14ac:dyDescent="0.25">
      <c r="A921">
        <v>113180</v>
      </c>
      <c r="B921">
        <v>253</v>
      </c>
    </row>
    <row r="922" spans="1:2" x14ac:dyDescent="0.25">
      <c r="A922">
        <v>113207</v>
      </c>
      <c r="B922">
        <v>667</v>
      </c>
    </row>
    <row r="923" spans="1:2" x14ac:dyDescent="0.25">
      <c r="A923">
        <v>113238</v>
      </c>
      <c r="B923">
        <v>2</v>
      </c>
    </row>
    <row r="924" spans="1:2" x14ac:dyDescent="0.25">
      <c r="A924">
        <v>113242</v>
      </c>
      <c r="B924">
        <v>12</v>
      </c>
    </row>
    <row r="925" spans="1:2" x14ac:dyDescent="0.25">
      <c r="A925">
        <v>113581</v>
      </c>
      <c r="B925">
        <v>57</v>
      </c>
    </row>
    <row r="926" spans="1:2" x14ac:dyDescent="0.25">
      <c r="A926">
        <v>113611</v>
      </c>
      <c r="B926">
        <v>272</v>
      </c>
    </row>
    <row r="927" spans="1:2" x14ac:dyDescent="0.25">
      <c r="A927">
        <v>113634</v>
      </c>
      <c r="B927">
        <v>3</v>
      </c>
    </row>
    <row r="928" spans="1:2" x14ac:dyDescent="0.25">
      <c r="A928">
        <v>113846</v>
      </c>
      <c r="B928">
        <v>853</v>
      </c>
    </row>
    <row r="929" spans="1:2" x14ac:dyDescent="0.25">
      <c r="A929">
        <v>114255</v>
      </c>
      <c r="B929">
        <v>314</v>
      </c>
    </row>
    <row r="930" spans="1:2" x14ac:dyDescent="0.25">
      <c r="A930">
        <v>114297</v>
      </c>
      <c r="B930">
        <v>60</v>
      </c>
    </row>
    <row r="931" spans="1:2" x14ac:dyDescent="0.25">
      <c r="A931">
        <v>114299</v>
      </c>
      <c r="B931">
        <v>0</v>
      </c>
    </row>
    <row r="932" spans="1:2" x14ac:dyDescent="0.25">
      <c r="A932">
        <v>114430</v>
      </c>
      <c r="B932">
        <v>259</v>
      </c>
    </row>
    <row r="933" spans="1:2" x14ac:dyDescent="0.25">
      <c r="A933">
        <v>114771</v>
      </c>
      <c r="B933">
        <v>0</v>
      </c>
    </row>
    <row r="934" spans="1:2" x14ac:dyDescent="0.25">
      <c r="A934">
        <v>114772</v>
      </c>
      <c r="B934">
        <v>2</v>
      </c>
    </row>
    <row r="935" spans="1:2" x14ac:dyDescent="0.25">
      <c r="A935">
        <v>114773</v>
      </c>
      <c r="B935">
        <v>2</v>
      </c>
    </row>
    <row r="936" spans="1:2" x14ac:dyDescent="0.25">
      <c r="A936">
        <v>114822</v>
      </c>
      <c r="B936">
        <v>11</v>
      </c>
    </row>
    <row r="937" spans="1:2" x14ac:dyDescent="0.25">
      <c r="A937">
        <v>114852</v>
      </c>
      <c r="B937">
        <v>2</v>
      </c>
    </row>
    <row r="938" spans="1:2" x14ac:dyDescent="0.25">
      <c r="A938">
        <v>114853</v>
      </c>
      <c r="B938">
        <v>16</v>
      </c>
    </row>
    <row r="939" spans="1:2" x14ac:dyDescent="0.25">
      <c r="A939">
        <v>114923</v>
      </c>
      <c r="B939">
        <v>1630</v>
      </c>
    </row>
    <row r="940" spans="1:2" x14ac:dyDescent="0.25">
      <c r="A940">
        <v>114928</v>
      </c>
      <c r="B940">
        <v>200</v>
      </c>
    </row>
    <row r="941" spans="1:2" x14ac:dyDescent="0.25">
      <c r="A941">
        <v>114976</v>
      </c>
      <c r="B941">
        <v>40</v>
      </c>
    </row>
    <row r="942" spans="1:2" x14ac:dyDescent="0.25">
      <c r="A942">
        <v>115060</v>
      </c>
      <c r="B942">
        <v>10</v>
      </c>
    </row>
    <row r="943" spans="1:2" x14ac:dyDescent="0.25">
      <c r="A943">
        <v>115135</v>
      </c>
      <c r="B943">
        <v>0</v>
      </c>
    </row>
    <row r="944" spans="1:2" x14ac:dyDescent="0.25">
      <c r="A944">
        <v>115146</v>
      </c>
      <c r="B944">
        <v>0</v>
      </c>
    </row>
    <row r="945" spans="1:2" x14ac:dyDescent="0.25">
      <c r="A945">
        <v>115149</v>
      </c>
      <c r="B945">
        <v>45</v>
      </c>
    </row>
    <row r="946" spans="1:2" x14ac:dyDescent="0.25">
      <c r="A946">
        <v>115151</v>
      </c>
      <c r="B946">
        <v>0</v>
      </c>
    </row>
    <row r="947" spans="1:2" x14ac:dyDescent="0.25">
      <c r="A947">
        <v>115154</v>
      </c>
      <c r="B947">
        <v>10</v>
      </c>
    </row>
    <row r="948" spans="1:2" x14ac:dyDescent="0.25">
      <c r="A948">
        <v>115282</v>
      </c>
      <c r="B948">
        <v>262</v>
      </c>
    </row>
    <row r="949" spans="1:2" x14ac:dyDescent="0.25">
      <c r="A949">
        <v>115781</v>
      </c>
      <c r="B949">
        <v>26</v>
      </c>
    </row>
    <row r="950" spans="1:2" x14ac:dyDescent="0.25">
      <c r="A950">
        <v>115807</v>
      </c>
      <c r="B950">
        <v>197</v>
      </c>
    </row>
    <row r="951" spans="1:2" x14ac:dyDescent="0.25">
      <c r="A951">
        <v>115840</v>
      </c>
      <c r="B951">
        <v>14</v>
      </c>
    </row>
    <row r="952" spans="1:2" x14ac:dyDescent="0.25">
      <c r="A952">
        <v>115841</v>
      </c>
      <c r="B952">
        <v>10</v>
      </c>
    </row>
    <row r="953" spans="1:2" x14ac:dyDescent="0.25">
      <c r="A953">
        <v>116466</v>
      </c>
      <c r="B953">
        <v>4255</v>
      </c>
    </row>
    <row r="954" spans="1:2" x14ac:dyDescent="0.25">
      <c r="A954">
        <v>116751</v>
      </c>
      <c r="B954">
        <v>188</v>
      </c>
    </row>
    <row r="955" spans="1:2" x14ac:dyDescent="0.25">
      <c r="A955">
        <v>116754</v>
      </c>
      <c r="B955">
        <v>0</v>
      </c>
    </row>
    <row r="956" spans="1:2" x14ac:dyDescent="0.25">
      <c r="A956">
        <v>116771</v>
      </c>
      <c r="B956">
        <v>52</v>
      </c>
    </row>
    <row r="957" spans="1:2" x14ac:dyDescent="0.25">
      <c r="A957">
        <v>116874</v>
      </c>
      <c r="B957">
        <v>1169</v>
      </c>
    </row>
    <row r="958" spans="1:2" x14ac:dyDescent="0.25">
      <c r="A958">
        <v>117734</v>
      </c>
      <c r="B958">
        <v>8</v>
      </c>
    </row>
    <row r="959" spans="1:2" x14ac:dyDescent="0.25">
      <c r="A959">
        <v>118243</v>
      </c>
      <c r="B959">
        <v>0</v>
      </c>
    </row>
    <row r="960" spans="1:2" x14ac:dyDescent="0.25">
      <c r="A960">
        <v>118244</v>
      </c>
      <c r="B960">
        <v>2</v>
      </c>
    </row>
    <row r="961" spans="1:2" x14ac:dyDescent="0.25">
      <c r="A961">
        <v>118245</v>
      </c>
      <c r="B961">
        <v>30</v>
      </c>
    </row>
    <row r="962" spans="1:2" x14ac:dyDescent="0.25">
      <c r="A962">
        <v>118246</v>
      </c>
      <c r="B962">
        <v>0</v>
      </c>
    </row>
    <row r="963" spans="1:2" x14ac:dyDescent="0.25">
      <c r="A963">
        <v>118248</v>
      </c>
      <c r="B963">
        <v>979</v>
      </c>
    </row>
    <row r="964" spans="1:2" x14ac:dyDescent="0.25">
      <c r="A964">
        <v>118427</v>
      </c>
      <c r="B964">
        <v>2402</v>
      </c>
    </row>
    <row r="965" spans="1:2" x14ac:dyDescent="0.25">
      <c r="A965">
        <v>118515</v>
      </c>
      <c r="B965">
        <v>153</v>
      </c>
    </row>
    <row r="966" spans="1:2" x14ac:dyDescent="0.25">
      <c r="A966">
        <v>118577</v>
      </c>
      <c r="B966">
        <v>421</v>
      </c>
    </row>
    <row r="967" spans="1:2" x14ac:dyDescent="0.25">
      <c r="A967">
        <v>118578</v>
      </c>
      <c r="B967">
        <v>39</v>
      </c>
    </row>
    <row r="968" spans="1:2" x14ac:dyDescent="0.25">
      <c r="A968">
        <v>118580</v>
      </c>
      <c r="B968">
        <v>16</v>
      </c>
    </row>
    <row r="969" spans="1:2" x14ac:dyDescent="0.25">
      <c r="A969">
        <v>118660</v>
      </c>
      <c r="B969">
        <v>938</v>
      </c>
    </row>
    <row r="970" spans="1:2" x14ac:dyDescent="0.25">
      <c r="A970">
        <v>118779</v>
      </c>
      <c r="B970">
        <v>0</v>
      </c>
    </row>
    <row r="971" spans="1:2" x14ac:dyDescent="0.25">
      <c r="A971">
        <v>118843</v>
      </c>
      <c r="B971">
        <v>242</v>
      </c>
    </row>
    <row r="972" spans="1:2" x14ac:dyDescent="0.25">
      <c r="A972">
        <v>118864</v>
      </c>
      <c r="B972">
        <v>610</v>
      </c>
    </row>
    <row r="973" spans="1:2" x14ac:dyDescent="0.25">
      <c r="A973">
        <v>118865</v>
      </c>
      <c r="B973">
        <v>710</v>
      </c>
    </row>
    <row r="974" spans="1:2" x14ac:dyDescent="0.25">
      <c r="A974">
        <v>118993</v>
      </c>
      <c r="B974">
        <v>38</v>
      </c>
    </row>
    <row r="975" spans="1:2" x14ac:dyDescent="0.25">
      <c r="A975">
        <v>118994</v>
      </c>
      <c r="B975">
        <v>199</v>
      </c>
    </row>
    <row r="976" spans="1:2" x14ac:dyDescent="0.25">
      <c r="A976">
        <v>119008</v>
      </c>
      <c r="B976">
        <v>0</v>
      </c>
    </row>
    <row r="977" spans="1:2" x14ac:dyDescent="0.25">
      <c r="A977">
        <v>119087</v>
      </c>
      <c r="B977">
        <v>7</v>
      </c>
    </row>
    <row r="978" spans="1:2" x14ac:dyDescent="0.25">
      <c r="A978">
        <v>119180</v>
      </c>
      <c r="B978">
        <v>5</v>
      </c>
    </row>
    <row r="979" spans="1:2" x14ac:dyDescent="0.25">
      <c r="A979">
        <v>119181</v>
      </c>
      <c r="B979">
        <v>151</v>
      </c>
    </row>
    <row r="980" spans="1:2" x14ac:dyDescent="0.25">
      <c r="A980">
        <v>119183</v>
      </c>
      <c r="B980">
        <v>32</v>
      </c>
    </row>
    <row r="981" spans="1:2" x14ac:dyDescent="0.25">
      <c r="A981">
        <v>119318</v>
      </c>
      <c r="B981">
        <v>53</v>
      </c>
    </row>
    <row r="982" spans="1:2" x14ac:dyDescent="0.25">
      <c r="A982">
        <v>119407</v>
      </c>
      <c r="B982">
        <v>2828</v>
      </c>
    </row>
    <row r="983" spans="1:2" x14ac:dyDescent="0.25">
      <c r="A983">
        <v>119514</v>
      </c>
      <c r="B983">
        <v>110</v>
      </c>
    </row>
    <row r="984" spans="1:2" x14ac:dyDescent="0.25">
      <c r="A984">
        <v>119554</v>
      </c>
      <c r="B984">
        <v>70</v>
      </c>
    </row>
    <row r="985" spans="1:2" x14ac:dyDescent="0.25">
      <c r="A985">
        <v>119595</v>
      </c>
      <c r="B985">
        <v>1554</v>
      </c>
    </row>
    <row r="986" spans="1:2" x14ac:dyDescent="0.25">
      <c r="A986">
        <v>119621</v>
      </c>
      <c r="B986">
        <v>760</v>
      </c>
    </row>
    <row r="987" spans="1:2" x14ac:dyDescent="0.25">
      <c r="A987">
        <v>119626</v>
      </c>
      <c r="B987">
        <v>132</v>
      </c>
    </row>
    <row r="988" spans="1:2" x14ac:dyDescent="0.25">
      <c r="A988">
        <v>119627</v>
      </c>
      <c r="B988">
        <v>925</v>
      </c>
    </row>
    <row r="989" spans="1:2" x14ac:dyDescent="0.25">
      <c r="A989">
        <v>119628</v>
      </c>
      <c r="B989">
        <v>231</v>
      </c>
    </row>
    <row r="990" spans="1:2" x14ac:dyDescent="0.25">
      <c r="A990">
        <v>119794</v>
      </c>
      <c r="B990">
        <v>294</v>
      </c>
    </row>
    <row r="991" spans="1:2" x14ac:dyDescent="0.25">
      <c r="A991">
        <v>119795</v>
      </c>
      <c r="B991">
        <v>253</v>
      </c>
    </row>
    <row r="992" spans="1:2" x14ac:dyDescent="0.25">
      <c r="A992">
        <v>119796</v>
      </c>
      <c r="B992">
        <v>199.8</v>
      </c>
    </row>
    <row r="993" spans="1:2" x14ac:dyDescent="0.25">
      <c r="A993">
        <v>119798</v>
      </c>
      <c r="B993">
        <v>30</v>
      </c>
    </row>
    <row r="994" spans="1:2" x14ac:dyDescent="0.25">
      <c r="A994">
        <v>119810</v>
      </c>
      <c r="B994">
        <v>121</v>
      </c>
    </row>
    <row r="995" spans="1:2" x14ac:dyDescent="0.25">
      <c r="A995">
        <v>119811</v>
      </c>
      <c r="B995">
        <v>490</v>
      </c>
    </row>
    <row r="996" spans="1:2" x14ac:dyDescent="0.25">
      <c r="A996">
        <v>120477</v>
      </c>
      <c r="B996">
        <v>74</v>
      </c>
    </row>
    <row r="997" spans="1:2" x14ac:dyDescent="0.25">
      <c r="A997">
        <v>120615</v>
      </c>
      <c r="B997">
        <v>50</v>
      </c>
    </row>
    <row r="998" spans="1:2" x14ac:dyDescent="0.25">
      <c r="A998">
        <v>120995</v>
      </c>
      <c r="B998">
        <v>35</v>
      </c>
    </row>
    <row r="999" spans="1:2" x14ac:dyDescent="0.25">
      <c r="A999">
        <v>121054</v>
      </c>
      <c r="B999">
        <v>132</v>
      </c>
    </row>
    <row r="1000" spans="1:2" x14ac:dyDescent="0.25">
      <c r="A1000">
        <v>121086</v>
      </c>
      <c r="B1000">
        <v>5</v>
      </c>
    </row>
    <row r="1001" spans="1:2" x14ac:dyDescent="0.25">
      <c r="A1001">
        <v>121126</v>
      </c>
      <c r="B1001">
        <v>21697</v>
      </c>
    </row>
    <row r="1002" spans="1:2" x14ac:dyDescent="0.25">
      <c r="A1002">
        <v>121214</v>
      </c>
      <c r="B1002">
        <v>135</v>
      </c>
    </row>
    <row r="1003" spans="1:2" x14ac:dyDescent="0.25">
      <c r="A1003">
        <v>121292</v>
      </c>
      <c r="B1003">
        <v>64</v>
      </c>
    </row>
    <row r="1004" spans="1:2" x14ac:dyDescent="0.25">
      <c r="A1004">
        <v>122153</v>
      </c>
      <c r="B1004">
        <v>0</v>
      </c>
    </row>
    <row r="1005" spans="1:2" x14ac:dyDescent="0.25">
      <c r="A1005">
        <v>122154</v>
      </c>
      <c r="B1005">
        <v>42</v>
      </c>
    </row>
    <row r="1006" spans="1:2" x14ac:dyDescent="0.25">
      <c r="A1006">
        <v>122304</v>
      </c>
      <c r="B1006">
        <v>525</v>
      </c>
    </row>
    <row r="1007" spans="1:2" x14ac:dyDescent="0.25">
      <c r="A1007">
        <v>122305</v>
      </c>
      <c r="B1007">
        <v>707</v>
      </c>
    </row>
    <row r="1008" spans="1:2" x14ac:dyDescent="0.25">
      <c r="A1008">
        <v>122818</v>
      </c>
      <c r="B1008">
        <v>294</v>
      </c>
    </row>
    <row r="1009" spans="1:2" x14ac:dyDescent="0.25">
      <c r="A1009">
        <v>123131</v>
      </c>
      <c r="B1009">
        <v>30</v>
      </c>
    </row>
    <row r="1010" spans="1:2" x14ac:dyDescent="0.25">
      <c r="A1010">
        <v>123132</v>
      </c>
      <c r="B1010">
        <v>102</v>
      </c>
    </row>
    <row r="1011" spans="1:2" x14ac:dyDescent="0.25">
      <c r="A1011">
        <v>123133</v>
      </c>
      <c r="B1011">
        <v>56</v>
      </c>
    </row>
    <row r="1012" spans="1:2" x14ac:dyDescent="0.25">
      <c r="A1012">
        <v>123146</v>
      </c>
      <c r="B1012">
        <v>2453</v>
      </c>
    </row>
    <row r="1013" spans="1:2" x14ac:dyDescent="0.25">
      <c r="A1013">
        <v>123241</v>
      </c>
      <c r="B1013">
        <v>0</v>
      </c>
    </row>
    <row r="1014" spans="1:2" x14ac:dyDescent="0.25">
      <c r="A1014">
        <v>123347</v>
      </c>
      <c r="B1014">
        <v>0</v>
      </c>
    </row>
    <row r="1015" spans="1:2" x14ac:dyDescent="0.25">
      <c r="A1015">
        <v>123348</v>
      </c>
      <c r="B1015">
        <v>0</v>
      </c>
    </row>
    <row r="1016" spans="1:2" x14ac:dyDescent="0.25">
      <c r="A1016">
        <v>123350</v>
      </c>
      <c r="B1016">
        <v>0</v>
      </c>
    </row>
    <row r="1017" spans="1:2" x14ac:dyDescent="0.25">
      <c r="A1017">
        <v>123351</v>
      </c>
      <c r="B1017">
        <v>0</v>
      </c>
    </row>
    <row r="1018" spans="1:2" x14ac:dyDescent="0.25">
      <c r="A1018">
        <v>123352</v>
      </c>
      <c r="B1018">
        <v>0</v>
      </c>
    </row>
    <row r="1019" spans="1:2" x14ac:dyDescent="0.25">
      <c r="A1019">
        <v>123353</v>
      </c>
      <c r="B1019">
        <v>0</v>
      </c>
    </row>
    <row r="1020" spans="1:2" x14ac:dyDescent="0.25">
      <c r="A1020">
        <v>123370</v>
      </c>
      <c r="B1020">
        <v>0</v>
      </c>
    </row>
    <row r="1021" spans="1:2" x14ac:dyDescent="0.25">
      <c r="A1021">
        <v>123371</v>
      </c>
      <c r="B1021">
        <v>420</v>
      </c>
    </row>
    <row r="1022" spans="1:2" x14ac:dyDescent="0.25">
      <c r="A1022">
        <v>123372</v>
      </c>
      <c r="B1022">
        <v>118</v>
      </c>
    </row>
    <row r="1023" spans="1:2" x14ac:dyDescent="0.25">
      <c r="A1023">
        <v>123373</v>
      </c>
      <c r="B1023">
        <v>667</v>
      </c>
    </row>
    <row r="1024" spans="1:2" x14ac:dyDescent="0.25">
      <c r="A1024">
        <v>123618</v>
      </c>
      <c r="B1024">
        <v>0</v>
      </c>
    </row>
    <row r="1025" spans="1:2" x14ac:dyDescent="0.25">
      <c r="A1025">
        <v>123710</v>
      </c>
      <c r="B1025">
        <v>46</v>
      </c>
    </row>
    <row r="1026" spans="1:2" x14ac:dyDescent="0.25">
      <c r="A1026">
        <v>124241</v>
      </c>
      <c r="B1026">
        <v>107</v>
      </c>
    </row>
    <row r="1027" spans="1:2" x14ac:dyDescent="0.25">
      <c r="A1027">
        <v>124261</v>
      </c>
      <c r="B1027">
        <v>9554</v>
      </c>
    </row>
    <row r="1028" spans="1:2" x14ac:dyDescent="0.25">
      <c r="A1028">
        <v>124335</v>
      </c>
      <c r="B1028">
        <v>83</v>
      </c>
    </row>
    <row r="1029" spans="1:2" x14ac:dyDescent="0.25">
      <c r="A1029">
        <v>124963</v>
      </c>
      <c r="B1029">
        <v>44</v>
      </c>
    </row>
    <row r="1030" spans="1:2" x14ac:dyDescent="0.25">
      <c r="A1030">
        <v>124980</v>
      </c>
      <c r="B1030">
        <v>100</v>
      </c>
    </row>
    <row r="1031" spans="1:2" x14ac:dyDescent="0.25">
      <c r="A1031">
        <v>125173</v>
      </c>
      <c r="B1031">
        <v>79</v>
      </c>
    </row>
    <row r="1032" spans="1:2" x14ac:dyDescent="0.25">
      <c r="A1032">
        <v>125201</v>
      </c>
      <c r="B1032">
        <v>75</v>
      </c>
    </row>
    <row r="1033" spans="1:2" x14ac:dyDescent="0.25">
      <c r="A1033">
        <v>125260</v>
      </c>
      <c r="B1033">
        <v>316</v>
      </c>
    </row>
    <row r="1034" spans="1:2" x14ac:dyDescent="0.25">
      <c r="A1034">
        <v>125262</v>
      </c>
      <c r="B1034">
        <v>404</v>
      </c>
    </row>
    <row r="1035" spans="1:2" x14ac:dyDescent="0.25">
      <c r="A1035">
        <v>125269</v>
      </c>
      <c r="B1035">
        <v>300</v>
      </c>
    </row>
    <row r="1036" spans="1:2" x14ac:dyDescent="0.25">
      <c r="A1036">
        <v>125443</v>
      </c>
      <c r="B1036">
        <v>66</v>
      </c>
    </row>
    <row r="1037" spans="1:2" x14ac:dyDescent="0.25">
      <c r="A1037">
        <v>125576</v>
      </c>
      <c r="B1037">
        <v>0</v>
      </c>
    </row>
    <row r="1038" spans="1:2" x14ac:dyDescent="0.25">
      <c r="A1038">
        <v>125641</v>
      </c>
      <c r="B1038">
        <v>75730</v>
      </c>
    </row>
    <row r="1039" spans="1:2" x14ac:dyDescent="0.25">
      <c r="A1039">
        <v>126044</v>
      </c>
      <c r="B1039">
        <v>58</v>
      </c>
    </row>
    <row r="1040" spans="1:2" x14ac:dyDescent="0.25">
      <c r="A1040">
        <v>126059</v>
      </c>
      <c r="B1040">
        <v>516</v>
      </c>
    </row>
    <row r="1041" spans="1:2" x14ac:dyDescent="0.25">
      <c r="A1041">
        <v>126060</v>
      </c>
      <c r="B1041">
        <v>43</v>
      </c>
    </row>
    <row r="1042" spans="1:2" x14ac:dyDescent="0.25">
      <c r="A1042">
        <v>126076</v>
      </c>
      <c r="B1042">
        <v>212</v>
      </c>
    </row>
    <row r="1043" spans="1:2" x14ac:dyDescent="0.25">
      <c r="A1043">
        <v>126078</v>
      </c>
      <c r="B1043">
        <v>70</v>
      </c>
    </row>
    <row r="1044" spans="1:2" x14ac:dyDescent="0.25">
      <c r="A1044">
        <v>126080</v>
      </c>
      <c r="B1044">
        <v>33</v>
      </c>
    </row>
    <row r="1045" spans="1:2" x14ac:dyDescent="0.25">
      <c r="A1045">
        <v>126127</v>
      </c>
      <c r="B1045">
        <v>26</v>
      </c>
    </row>
    <row r="1046" spans="1:2" x14ac:dyDescent="0.25">
      <c r="A1046">
        <v>126344</v>
      </c>
      <c r="B1046">
        <v>459</v>
      </c>
    </row>
    <row r="1047" spans="1:2" x14ac:dyDescent="0.25">
      <c r="A1047">
        <v>126345</v>
      </c>
      <c r="B1047">
        <v>15</v>
      </c>
    </row>
    <row r="1048" spans="1:2" x14ac:dyDescent="0.25">
      <c r="A1048">
        <v>126837</v>
      </c>
      <c r="B1048">
        <v>2200</v>
      </c>
    </row>
    <row r="1049" spans="1:2" x14ac:dyDescent="0.25">
      <c r="A1049">
        <v>126838</v>
      </c>
      <c r="B1049">
        <v>80</v>
      </c>
    </row>
    <row r="1050" spans="1:2" x14ac:dyDescent="0.25">
      <c r="A1050">
        <v>127106</v>
      </c>
      <c r="B1050">
        <v>0</v>
      </c>
    </row>
    <row r="1051" spans="1:2" x14ac:dyDescent="0.25">
      <c r="A1051">
        <v>127107</v>
      </c>
      <c r="B1051">
        <v>0</v>
      </c>
    </row>
    <row r="1052" spans="1:2" x14ac:dyDescent="0.25">
      <c r="A1052">
        <v>127331</v>
      </c>
      <c r="B1052">
        <v>4505</v>
      </c>
    </row>
    <row r="1053" spans="1:2" x14ac:dyDescent="0.25">
      <c r="A1053">
        <v>127384</v>
      </c>
      <c r="B1053">
        <v>55</v>
      </c>
    </row>
    <row r="1054" spans="1:2" x14ac:dyDescent="0.25">
      <c r="A1054">
        <v>127664</v>
      </c>
      <c r="B1054">
        <v>291</v>
      </c>
    </row>
    <row r="1055" spans="1:2" x14ac:dyDescent="0.25">
      <c r="A1055">
        <v>127963</v>
      </c>
      <c r="B1055">
        <v>0</v>
      </c>
    </row>
    <row r="1056" spans="1:2" x14ac:dyDescent="0.25">
      <c r="A1056">
        <v>128229</v>
      </c>
      <c r="B1056">
        <v>5</v>
      </c>
    </row>
    <row r="1057" spans="1:2" x14ac:dyDescent="0.25">
      <c r="A1057">
        <v>128287</v>
      </c>
      <c r="B1057">
        <v>540</v>
      </c>
    </row>
    <row r="1058" spans="1:2" x14ac:dyDescent="0.25">
      <c r="A1058">
        <v>128288</v>
      </c>
      <c r="B1058">
        <v>26</v>
      </c>
    </row>
    <row r="1059" spans="1:2" x14ac:dyDescent="0.25">
      <c r="A1059">
        <v>128301</v>
      </c>
      <c r="B1059">
        <v>3</v>
      </c>
    </row>
    <row r="1060" spans="1:2" x14ac:dyDescent="0.25">
      <c r="A1060">
        <v>128302</v>
      </c>
      <c r="B1060">
        <v>3</v>
      </c>
    </row>
    <row r="1061" spans="1:2" x14ac:dyDescent="0.25">
      <c r="A1061">
        <v>128304</v>
      </c>
      <c r="B1061">
        <v>5</v>
      </c>
    </row>
    <row r="1062" spans="1:2" x14ac:dyDescent="0.25">
      <c r="A1062">
        <v>128305</v>
      </c>
      <c r="B1062">
        <v>2</v>
      </c>
    </row>
    <row r="1063" spans="1:2" x14ac:dyDescent="0.25">
      <c r="A1063">
        <v>128306</v>
      </c>
      <c r="B1063">
        <v>6</v>
      </c>
    </row>
    <row r="1064" spans="1:2" x14ac:dyDescent="0.25">
      <c r="A1064">
        <v>128307</v>
      </c>
      <c r="B1064">
        <v>3</v>
      </c>
    </row>
    <row r="1065" spans="1:2" x14ac:dyDescent="0.25">
      <c r="A1065">
        <v>128308</v>
      </c>
      <c r="B1065">
        <v>0</v>
      </c>
    </row>
    <row r="1066" spans="1:2" x14ac:dyDescent="0.25">
      <c r="A1066">
        <v>128309</v>
      </c>
      <c r="B1066">
        <v>2</v>
      </c>
    </row>
    <row r="1067" spans="1:2" x14ac:dyDescent="0.25">
      <c r="A1067">
        <v>128389</v>
      </c>
      <c r="B1067">
        <v>2</v>
      </c>
    </row>
    <row r="1068" spans="1:2" x14ac:dyDescent="0.25">
      <c r="A1068">
        <v>128392</v>
      </c>
      <c r="B1068">
        <v>68</v>
      </c>
    </row>
    <row r="1069" spans="1:2" x14ac:dyDescent="0.25">
      <c r="A1069">
        <v>128458</v>
      </c>
      <c r="B1069">
        <v>0</v>
      </c>
    </row>
    <row r="1070" spans="1:2" x14ac:dyDescent="0.25">
      <c r="A1070">
        <v>128782</v>
      </c>
      <c r="B1070">
        <v>64</v>
      </c>
    </row>
    <row r="1071" spans="1:2" x14ac:dyDescent="0.25">
      <c r="A1071">
        <v>128815</v>
      </c>
      <c r="B1071">
        <v>1768</v>
      </c>
    </row>
    <row r="1072" spans="1:2" x14ac:dyDescent="0.25">
      <c r="A1072">
        <v>128816</v>
      </c>
      <c r="B1072">
        <v>22</v>
      </c>
    </row>
    <row r="1073" spans="1:2" x14ac:dyDescent="0.25">
      <c r="A1073">
        <v>128817</v>
      </c>
      <c r="B1073">
        <v>6</v>
      </c>
    </row>
    <row r="1074" spans="1:2" x14ac:dyDescent="0.25">
      <c r="A1074">
        <v>128818</v>
      </c>
      <c r="B1074">
        <v>1222</v>
      </c>
    </row>
    <row r="1075" spans="1:2" x14ac:dyDescent="0.25">
      <c r="A1075">
        <v>128819</v>
      </c>
      <c r="B1075">
        <v>40</v>
      </c>
    </row>
    <row r="1076" spans="1:2" x14ac:dyDescent="0.25">
      <c r="A1076">
        <v>128832</v>
      </c>
      <c r="B1076">
        <v>0</v>
      </c>
    </row>
    <row r="1077" spans="1:2" x14ac:dyDescent="0.25">
      <c r="A1077">
        <v>129959</v>
      </c>
      <c r="B1077">
        <v>90</v>
      </c>
    </row>
    <row r="1078" spans="1:2" x14ac:dyDescent="0.25">
      <c r="A1078">
        <v>129960</v>
      </c>
      <c r="B1078">
        <v>0</v>
      </c>
    </row>
    <row r="1079" spans="1:2" x14ac:dyDescent="0.25">
      <c r="A1079">
        <v>129961</v>
      </c>
      <c r="B1079">
        <v>0</v>
      </c>
    </row>
    <row r="1080" spans="1:2" x14ac:dyDescent="0.25">
      <c r="A1080">
        <v>129962</v>
      </c>
      <c r="B1080">
        <v>0</v>
      </c>
    </row>
    <row r="1081" spans="1:2" x14ac:dyDescent="0.25">
      <c r="A1081">
        <v>129979</v>
      </c>
      <c r="B1081">
        <v>2</v>
      </c>
    </row>
    <row r="1082" spans="1:2" x14ac:dyDescent="0.25">
      <c r="A1082">
        <v>129991</v>
      </c>
      <c r="B1082">
        <v>1548</v>
      </c>
    </row>
    <row r="1083" spans="1:2" x14ac:dyDescent="0.25">
      <c r="A1083">
        <v>130024</v>
      </c>
      <c r="B1083">
        <v>2401</v>
      </c>
    </row>
    <row r="1084" spans="1:2" x14ac:dyDescent="0.25">
      <c r="A1084">
        <v>130157</v>
      </c>
      <c r="B1084">
        <v>300</v>
      </c>
    </row>
    <row r="1085" spans="1:2" x14ac:dyDescent="0.25">
      <c r="A1085">
        <v>130564</v>
      </c>
      <c r="B1085">
        <v>1</v>
      </c>
    </row>
    <row r="1086" spans="1:2" x14ac:dyDescent="0.25">
      <c r="A1086">
        <v>130614</v>
      </c>
      <c r="B1086">
        <v>461</v>
      </c>
    </row>
    <row r="1087" spans="1:2" x14ac:dyDescent="0.25">
      <c r="A1087">
        <v>130618</v>
      </c>
      <c r="B1087">
        <v>20</v>
      </c>
    </row>
    <row r="1088" spans="1:2" x14ac:dyDescent="0.25">
      <c r="A1088">
        <v>130624</v>
      </c>
      <c r="B1088">
        <v>9885</v>
      </c>
    </row>
    <row r="1089" spans="1:2" x14ac:dyDescent="0.25">
      <c r="A1089">
        <v>130632</v>
      </c>
      <c r="B1089">
        <v>16</v>
      </c>
    </row>
    <row r="1090" spans="1:2" x14ac:dyDescent="0.25">
      <c r="A1090">
        <v>130634</v>
      </c>
      <c r="B1090">
        <v>866</v>
      </c>
    </row>
    <row r="1091" spans="1:2" x14ac:dyDescent="0.25">
      <c r="A1091">
        <v>130695</v>
      </c>
      <c r="B1091">
        <v>7816</v>
      </c>
    </row>
    <row r="1092" spans="1:2" x14ac:dyDescent="0.25">
      <c r="A1092">
        <v>130740</v>
      </c>
      <c r="B1092">
        <v>24</v>
      </c>
    </row>
    <row r="1093" spans="1:2" x14ac:dyDescent="0.25">
      <c r="A1093">
        <v>131138</v>
      </c>
      <c r="B1093">
        <v>0</v>
      </c>
    </row>
    <row r="1094" spans="1:2" x14ac:dyDescent="0.25">
      <c r="A1094">
        <v>131221</v>
      </c>
      <c r="B1094">
        <v>1</v>
      </c>
    </row>
    <row r="1095" spans="1:2" x14ac:dyDescent="0.25">
      <c r="A1095">
        <v>131344</v>
      </c>
      <c r="B1095">
        <v>67</v>
      </c>
    </row>
    <row r="1096" spans="1:2" x14ac:dyDescent="0.25">
      <c r="A1096">
        <v>131482</v>
      </c>
      <c r="B1096">
        <v>198</v>
      </c>
    </row>
    <row r="1097" spans="1:2" x14ac:dyDescent="0.25">
      <c r="A1097">
        <v>131579</v>
      </c>
      <c r="B1097">
        <v>1</v>
      </c>
    </row>
    <row r="1098" spans="1:2" x14ac:dyDescent="0.25">
      <c r="A1098">
        <v>131917</v>
      </c>
      <c r="B1098">
        <v>7929</v>
      </c>
    </row>
    <row r="1099" spans="1:2" x14ac:dyDescent="0.25">
      <c r="A1099">
        <v>131926</v>
      </c>
      <c r="B1099">
        <v>3376</v>
      </c>
    </row>
    <row r="1100" spans="1:2" x14ac:dyDescent="0.25">
      <c r="A1100">
        <v>131927</v>
      </c>
      <c r="B1100">
        <v>2254</v>
      </c>
    </row>
    <row r="1101" spans="1:2" x14ac:dyDescent="0.25">
      <c r="A1101">
        <v>131930</v>
      </c>
      <c r="B1101">
        <v>4633</v>
      </c>
    </row>
    <row r="1102" spans="1:2" x14ac:dyDescent="0.25">
      <c r="A1102">
        <v>131931</v>
      </c>
      <c r="B1102">
        <v>965</v>
      </c>
    </row>
    <row r="1103" spans="1:2" x14ac:dyDescent="0.25">
      <c r="A1103">
        <v>131933</v>
      </c>
      <c r="B1103">
        <v>6131</v>
      </c>
    </row>
    <row r="1104" spans="1:2" x14ac:dyDescent="0.25">
      <c r="A1104">
        <v>131935</v>
      </c>
      <c r="B1104">
        <v>4743</v>
      </c>
    </row>
    <row r="1105" spans="1:2" x14ac:dyDescent="0.25">
      <c r="A1105">
        <v>131937</v>
      </c>
      <c r="B1105">
        <v>269</v>
      </c>
    </row>
    <row r="1106" spans="1:2" x14ac:dyDescent="0.25">
      <c r="A1106">
        <v>131938</v>
      </c>
      <c r="B1106">
        <v>794</v>
      </c>
    </row>
    <row r="1107" spans="1:2" x14ac:dyDescent="0.25">
      <c r="A1107">
        <v>131939</v>
      </c>
      <c r="B1107">
        <v>782</v>
      </c>
    </row>
    <row r="1108" spans="1:2" x14ac:dyDescent="0.25">
      <c r="A1108">
        <v>131940</v>
      </c>
      <c r="B1108">
        <v>459</v>
      </c>
    </row>
    <row r="1109" spans="1:2" x14ac:dyDescent="0.25">
      <c r="A1109">
        <v>132229</v>
      </c>
      <c r="B1109">
        <v>0</v>
      </c>
    </row>
    <row r="1110" spans="1:2" x14ac:dyDescent="0.25">
      <c r="A1110">
        <v>132230</v>
      </c>
      <c r="B1110">
        <v>0</v>
      </c>
    </row>
    <row r="1111" spans="1:2" x14ac:dyDescent="0.25">
      <c r="A1111">
        <v>132231</v>
      </c>
      <c r="B1111">
        <v>310</v>
      </c>
    </row>
    <row r="1112" spans="1:2" x14ac:dyDescent="0.25">
      <c r="A1112">
        <v>132232</v>
      </c>
      <c r="B1112">
        <v>22</v>
      </c>
    </row>
    <row r="1113" spans="1:2" x14ac:dyDescent="0.25">
      <c r="A1113">
        <v>132290</v>
      </c>
      <c r="B1113">
        <v>3421</v>
      </c>
    </row>
    <row r="1114" spans="1:2" x14ac:dyDescent="0.25">
      <c r="A1114">
        <v>132296</v>
      </c>
      <c r="B1114">
        <v>8903</v>
      </c>
    </row>
    <row r="1115" spans="1:2" x14ac:dyDescent="0.25">
      <c r="A1115">
        <v>132297</v>
      </c>
      <c r="B1115">
        <v>16346</v>
      </c>
    </row>
    <row r="1116" spans="1:2" x14ac:dyDescent="0.25">
      <c r="A1116">
        <v>132300</v>
      </c>
      <c r="B1116">
        <v>7143</v>
      </c>
    </row>
    <row r="1117" spans="1:2" x14ac:dyDescent="0.25">
      <c r="A1117">
        <v>132303</v>
      </c>
      <c r="B1117">
        <v>12380</v>
      </c>
    </row>
    <row r="1118" spans="1:2" x14ac:dyDescent="0.25">
      <c r="A1118">
        <v>132305</v>
      </c>
      <c r="B1118">
        <v>254</v>
      </c>
    </row>
    <row r="1119" spans="1:2" x14ac:dyDescent="0.25">
      <c r="A1119">
        <v>132394</v>
      </c>
      <c r="B1119">
        <v>3571</v>
      </c>
    </row>
    <row r="1120" spans="1:2" x14ac:dyDescent="0.25">
      <c r="A1120">
        <v>132395</v>
      </c>
      <c r="B1120">
        <v>3484</v>
      </c>
    </row>
    <row r="1121" spans="1:2" x14ac:dyDescent="0.25">
      <c r="A1121">
        <v>132400</v>
      </c>
      <c r="B1121">
        <v>1143</v>
      </c>
    </row>
    <row r="1122" spans="1:2" x14ac:dyDescent="0.25">
      <c r="A1122">
        <v>132405</v>
      </c>
      <c r="B1122">
        <v>368</v>
      </c>
    </row>
    <row r="1123" spans="1:2" x14ac:dyDescent="0.25">
      <c r="A1123">
        <v>132407</v>
      </c>
      <c r="B1123">
        <v>320</v>
      </c>
    </row>
    <row r="1124" spans="1:2" x14ac:dyDescent="0.25">
      <c r="A1124">
        <v>132465</v>
      </c>
      <c r="B1124">
        <v>60</v>
      </c>
    </row>
    <row r="1125" spans="1:2" x14ac:dyDescent="0.25">
      <c r="A1125">
        <v>132612</v>
      </c>
      <c r="B1125">
        <v>293</v>
      </c>
    </row>
    <row r="1126" spans="1:2" x14ac:dyDescent="0.25">
      <c r="A1126">
        <v>132613</v>
      </c>
      <c r="B1126">
        <v>691</v>
      </c>
    </row>
    <row r="1127" spans="1:2" x14ac:dyDescent="0.25">
      <c r="A1127">
        <v>132623</v>
      </c>
      <c r="B1127">
        <v>65</v>
      </c>
    </row>
    <row r="1128" spans="1:2" x14ac:dyDescent="0.25">
      <c r="A1128">
        <v>132624</v>
      </c>
      <c r="B1128">
        <v>34</v>
      </c>
    </row>
    <row r="1129" spans="1:2" x14ac:dyDescent="0.25">
      <c r="A1129">
        <v>132646</v>
      </c>
      <c r="B1129">
        <v>13812</v>
      </c>
    </row>
    <row r="1130" spans="1:2" x14ac:dyDescent="0.25">
      <c r="A1130">
        <v>132647</v>
      </c>
      <c r="B1130">
        <v>11234</v>
      </c>
    </row>
    <row r="1131" spans="1:2" x14ac:dyDescent="0.25">
      <c r="A1131">
        <v>132649</v>
      </c>
      <c r="B1131">
        <v>4862</v>
      </c>
    </row>
    <row r="1132" spans="1:2" x14ac:dyDescent="0.25">
      <c r="A1132">
        <v>132650</v>
      </c>
      <c r="B1132">
        <v>5188</v>
      </c>
    </row>
    <row r="1133" spans="1:2" x14ac:dyDescent="0.25">
      <c r="A1133">
        <v>132655</v>
      </c>
      <c r="B1133">
        <v>19556</v>
      </c>
    </row>
    <row r="1134" spans="1:2" x14ac:dyDescent="0.25">
      <c r="A1134">
        <v>132656</v>
      </c>
      <c r="B1134">
        <v>19263</v>
      </c>
    </row>
    <row r="1135" spans="1:2" x14ac:dyDescent="0.25">
      <c r="A1135">
        <v>132714</v>
      </c>
      <c r="B1135">
        <v>30</v>
      </c>
    </row>
    <row r="1136" spans="1:2" x14ac:dyDescent="0.25">
      <c r="A1136">
        <v>132715</v>
      </c>
      <c r="B1136">
        <v>15</v>
      </c>
    </row>
    <row r="1137" spans="1:2" x14ac:dyDescent="0.25">
      <c r="A1137">
        <v>132751</v>
      </c>
      <c r="B1137">
        <v>0</v>
      </c>
    </row>
    <row r="1138" spans="1:2" x14ac:dyDescent="0.25">
      <c r="A1138">
        <v>132769</v>
      </c>
      <c r="B1138">
        <v>74</v>
      </c>
    </row>
    <row r="1139" spans="1:2" x14ac:dyDescent="0.25">
      <c r="A1139">
        <v>133021</v>
      </c>
      <c r="B1139">
        <v>0</v>
      </c>
    </row>
    <row r="1140" spans="1:2" x14ac:dyDescent="0.25">
      <c r="A1140">
        <v>133042</v>
      </c>
      <c r="B1140">
        <v>4</v>
      </c>
    </row>
    <row r="1141" spans="1:2" x14ac:dyDescent="0.25">
      <c r="A1141">
        <v>133043</v>
      </c>
      <c r="B1141">
        <v>0</v>
      </c>
    </row>
    <row r="1142" spans="1:2" x14ac:dyDescent="0.25">
      <c r="A1142">
        <v>133191</v>
      </c>
      <c r="B1142">
        <v>17426</v>
      </c>
    </row>
    <row r="1143" spans="1:2" x14ac:dyDescent="0.25">
      <c r="A1143">
        <v>133301</v>
      </c>
      <c r="B1143">
        <v>6996</v>
      </c>
    </row>
    <row r="1144" spans="1:2" x14ac:dyDescent="0.25">
      <c r="A1144">
        <v>133366</v>
      </c>
      <c r="B1144">
        <v>3396</v>
      </c>
    </row>
    <row r="1145" spans="1:2" x14ac:dyDescent="0.25">
      <c r="A1145">
        <v>133371</v>
      </c>
      <c r="B1145">
        <v>500</v>
      </c>
    </row>
    <row r="1146" spans="1:2" x14ac:dyDescent="0.25">
      <c r="A1146">
        <v>133433</v>
      </c>
      <c r="B1146">
        <v>1</v>
      </c>
    </row>
    <row r="1147" spans="1:2" x14ac:dyDescent="0.25">
      <c r="A1147">
        <v>133450</v>
      </c>
      <c r="B1147">
        <v>1193</v>
      </c>
    </row>
    <row r="1148" spans="1:2" x14ac:dyDescent="0.25">
      <c r="A1148">
        <v>133451</v>
      </c>
      <c r="B1148">
        <v>1507</v>
      </c>
    </row>
    <row r="1149" spans="1:2" x14ac:dyDescent="0.25">
      <c r="A1149">
        <v>133452</v>
      </c>
      <c r="B1149">
        <v>512</v>
      </c>
    </row>
    <row r="1150" spans="1:2" x14ac:dyDescent="0.25">
      <c r="A1150">
        <v>133778</v>
      </c>
      <c r="B1150">
        <v>10417</v>
      </c>
    </row>
    <row r="1151" spans="1:2" x14ac:dyDescent="0.25">
      <c r="A1151">
        <v>133779</v>
      </c>
      <c r="B1151">
        <v>5805</v>
      </c>
    </row>
    <row r="1152" spans="1:2" x14ac:dyDescent="0.25">
      <c r="A1152">
        <v>133781</v>
      </c>
      <c r="B1152">
        <v>37000</v>
      </c>
    </row>
    <row r="1153" spans="1:2" x14ac:dyDescent="0.25">
      <c r="A1153">
        <v>133782</v>
      </c>
      <c r="B1153">
        <v>2</v>
      </c>
    </row>
    <row r="1154" spans="1:2" x14ac:dyDescent="0.25">
      <c r="A1154">
        <v>133783</v>
      </c>
      <c r="B1154">
        <v>5093</v>
      </c>
    </row>
    <row r="1155" spans="1:2" x14ac:dyDescent="0.25">
      <c r="A1155">
        <v>133788</v>
      </c>
      <c r="B1155">
        <v>264</v>
      </c>
    </row>
    <row r="1156" spans="1:2" x14ac:dyDescent="0.25">
      <c r="A1156">
        <v>133790</v>
      </c>
      <c r="B1156">
        <v>264</v>
      </c>
    </row>
    <row r="1157" spans="1:2" x14ac:dyDescent="0.25">
      <c r="A1157">
        <v>133791</v>
      </c>
      <c r="B1157">
        <v>313</v>
      </c>
    </row>
    <row r="1158" spans="1:2" x14ac:dyDescent="0.25">
      <c r="A1158">
        <v>133793</v>
      </c>
      <c r="B1158">
        <v>3820</v>
      </c>
    </row>
    <row r="1159" spans="1:2" x14ac:dyDescent="0.25">
      <c r="A1159">
        <v>133812</v>
      </c>
      <c r="B1159">
        <v>172</v>
      </c>
    </row>
    <row r="1160" spans="1:2" x14ac:dyDescent="0.25">
      <c r="A1160">
        <v>133813</v>
      </c>
      <c r="B1160">
        <v>23</v>
      </c>
    </row>
    <row r="1161" spans="1:2" x14ac:dyDescent="0.25">
      <c r="A1161">
        <v>133819</v>
      </c>
      <c r="B1161">
        <v>264</v>
      </c>
    </row>
    <row r="1162" spans="1:2" x14ac:dyDescent="0.25">
      <c r="A1162">
        <v>133843</v>
      </c>
      <c r="B1162">
        <v>13021</v>
      </c>
    </row>
    <row r="1163" spans="1:2" x14ac:dyDescent="0.25">
      <c r="A1163">
        <v>133844</v>
      </c>
      <c r="B1163">
        <v>12995</v>
      </c>
    </row>
    <row r="1164" spans="1:2" x14ac:dyDescent="0.25">
      <c r="A1164">
        <v>133845</v>
      </c>
      <c r="B1164">
        <v>12570</v>
      </c>
    </row>
    <row r="1165" spans="1:2" x14ac:dyDescent="0.25">
      <c r="A1165">
        <v>133846</v>
      </c>
      <c r="B1165">
        <v>11867</v>
      </c>
    </row>
    <row r="1166" spans="1:2" x14ac:dyDescent="0.25">
      <c r="A1166">
        <v>133847</v>
      </c>
      <c r="B1166">
        <v>12975</v>
      </c>
    </row>
    <row r="1167" spans="1:2" x14ac:dyDescent="0.25">
      <c r="A1167">
        <v>133848</v>
      </c>
      <c r="B1167">
        <v>12003</v>
      </c>
    </row>
    <row r="1168" spans="1:2" x14ac:dyDescent="0.25">
      <c r="A1168">
        <v>133849</v>
      </c>
      <c r="B1168">
        <v>12727</v>
      </c>
    </row>
    <row r="1169" spans="1:2" x14ac:dyDescent="0.25">
      <c r="A1169">
        <v>133850</v>
      </c>
      <c r="B1169">
        <v>12811</v>
      </c>
    </row>
    <row r="1170" spans="1:2" x14ac:dyDescent="0.25">
      <c r="A1170">
        <v>133851</v>
      </c>
      <c r="B1170">
        <v>735</v>
      </c>
    </row>
    <row r="1171" spans="1:2" x14ac:dyDescent="0.25">
      <c r="A1171">
        <v>133950</v>
      </c>
      <c r="B1171">
        <v>3728</v>
      </c>
    </row>
    <row r="1172" spans="1:2" x14ac:dyDescent="0.25">
      <c r="A1172">
        <v>133953</v>
      </c>
      <c r="B1172">
        <v>10874</v>
      </c>
    </row>
    <row r="1173" spans="1:2" x14ac:dyDescent="0.25">
      <c r="A1173">
        <v>133954</v>
      </c>
      <c r="B1173">
        <v>9093</v>
      </c>
    </row>
    <row r="1174" spans="1:2" x14ac:dyDescent="0.25">
      <c r="A1174">
        <v>133955</v>
      </c>
      <c r="B1174">
        <v>6871</v>
      </c>
    </row>
    <row r="1175" spans="1:2" x14ac:dyDescent="0.25">
      <c r="A1175">
        <v>133956</v>
      </c>
      <c r="B1175">
        <v>11466</v>
      </c>
    </row>
    <row r="1176" spans="1:2" x14ac:dyDescent="0.25">
      <c r="A1176">
        <v>133957</v>
      </c>
      <c r="B1176">
        <v>2680</v>
      </c>
    </row>
    <row r="1177" spans="1:2" x14ac:dyDescent="0.25">
      <c r="A1177">
        <v>134045</v>
      </c>
      <c r="B1177">
        <v>53</v>
      </c>
    </row>
    <row r="1178" spans="1:2" x14ac:dyDescent="0.25">
      <c r="A1178">
        <v>134246</v>
      </c>
      <c r="B1178">
        <v>103</v>
      </c>
    </row>
    <row r="1179" spans="1:2" x14ac:dyDescent="0.25">
      <c r="A1179">
        <v>134247</v>
      </c>
      <c r="B1179">
        <v>85</v>
      </c>
    </row>
    <row r="1180" spans="1:2" x14ac:dyDescent="0.25">
      <c r="A1180">
        <v>134373</v>
      </c>
      <c r="B1180">
        <v>18978</v>
      </c>
    </row>
    <row r="1181" spans="1:2" x14ac:dyDescent="0.25">
      <c r="A1181">
        <v>134542</v>
      </c>
      <c r="B1181">
        <v>0</v>
      </c>
    </row>
    <row r="1182" spans="1:2" x14ac:dyDescent="0.25">
      <c r="A1182">
        <v>134543</v>
      </c>
      <c r="B1182">
        <v>0</v>
      </c>
    </row>
    <row r="1183" spans="1:2" x14ac:dyDescent="0.25">
      <c r="A1183">
        <v>134544</v>
      </c>
      <c r="B1183">
        <v>402</v>
      </c>
    </row>
    <row r="1184" spans="1:2" x14ac:dyDescent="0.25">
      <c r="A1184">
        <v>134545</v>
      </c>
      <c r="B1184">
        <v>48</v>
      </c>
    </row>
    <row r="1185" spans="1:2" x14ac:dyDescent="0.25">
      <c r="A1185">
        <v>134546</v>
      </c>
      <c r="B1185">
        <v>108</v>
      </c>
    </row>
    <row r="1186" spans="1:2" x14ac:dyDescent="0.25">
      <c r="A1186">
        <v>134547</v>
      </c>
      <c r="B1186">
        <v>12</v>
      </c>
    </row>
    <row r="1187" spans="1:2" x14ac:dyDescent="0.25">
      <c r="A1187">
        <v>134548</v>
      </c>
      <c r="B1187">
        <v>392</v>
      </c>
    </row>
    <row r="1188" spans="1:2" x14ac:dyDescent="0.25">
      <c r="A1188">
        <v>134556</v>
      </c>
      <c r="B1188">
        <v>0</v>
      </c>
    </row>
    <row r="1189" spans="1:2" x14ac:dyDescent="0.25">
      <c r="A1189">
        <v>134558</v>
      </c>
      <c r="B1189">
        <v>0</v>
      </c>
    </row>
    <row r="1190" spans="1:2" x14ac:dyDescent="0.25">
      <c r="A1190">
        <v>134559</v>
      </c>
      <c r="B1190">
        <v>0</v>
      </c>
    </row>
    <row r="1191" spans="1:2" x14ac:dyDescent="0.25">
      <c r="A1191">
        <v>134560</v>
      </c>
      <c r="B1191">
        <v>46</v>
      </c>
    </row>
    <row r="1192" spans="1:2" x14ac:dyDescent="0.25">
      <c r="A1192">
        <v>134561</v>
      </c>
      <c r="B1192">
        <v>0</v>
      </c>
    </row>
    <row r="1193" spans="1:2" x14ac:dyDescent="0.25">
      <c r="A1193">
        <v>134562</v>
      </c>
      <c r="B1193">
        <v>0</v>
      </c>
    </row>
    <row r="1194" spans="1:2" x14ac:dyDescent="0.25">
      <c r="A1194">
        <v>134563</v>
      </c>
      <c r="B1194">
        <v>0</v>
      </c>
    </row>
    <row r="1195" spans="1:2" x14ac:dyDescent="0.25">
      <c r="A1195">
        <v>134564</v>
      </c>
      <c r="B1195">
        <v>0</v>
      </c>
    </row>
    <row r="1196" spans="1:2" x14ac:dyDescent="0.25">
      <c r="A1196">
        <v>134565</v>
      </c>
      <c r="B1196">
        <v>0</v>
      </c>
    </row>
    <row r="1197" spans="1:2" x14ac:dyDescent="0.25">
      <c r="A1197">
        <v>134566</v>
      </c>
      <c r="B1197">
        <v>120</v>
      </c>
    </row>
    <row r="1198" spans="1:2" x14ac:dyDescent="0.25">
      <c r="A1198">
        <v>134567</v>
      </c>
      <c r="B1198">
        <v>40</v>
      </c>
    </row>
    <row r="1199" spans="1:2" x14ac:dyDescent="0.25">
      <c r="A1199">
        <v>134568</v>
      </c>
      <c r="B1199">
        <v>0</v>
      </c>
    </row>
    <row r="1200" spans="1:2" x14ac:dyDescent="0.25">
      <c r="A1200">
        <v>134569</v>
      </c>
      <c r="B1200">
        <v>0</v>
      </c>
    </row>
    <row r="1201" spans="1:2" x14ac:dyDescent="0.25">
      <c r="A1201">
        <v>134581</v>
      </c>
      <c r="B1201">
        <v>2</v>
      </c>
    </row>
    <row r="1202" spans="1:2" x14ac:dyDescent="0.25">
      <c r="A1202">
        <v>134582</v>
      </c>
      <c r="B1202">
        <v>39</v>
      </c>
    </row>
    <row r="1203" spans="1:2" x14ac:dyDescent="0.25">
      <c r="A1203">
        <v>135012</v>
      </c>
      <c r="B1203">
        <v>0</v>
      </c>
    </row>
    <row r="1204" spans="1:2" x14ac:dyDescent="0.25">
      <c r="A1204">
        <v>135013</v>
      </c>
      <c r="B1204">
        <v>0</v>
      </c>
    </row>
    <row r="1205" spans="1:2" x14ac:dyDescent="0.25">
      <c r="A1205">
        <v>135016</v>
      </c>
      <c r="B1205">
        <v>0</v>
      </c>
    </row>
    <row r="1206" spans="1:2" x14ac:dyDescent="0.25">
      <c r="A1206">
        <v>135224</v>
      </c>
      <c r="B1206">
        <v>0</v>
      </c>
    </row>
    <row r="1207" spans="1:2" x14ac:dyDescent="0.25">
      <c r="A1207">
        <v>135225</v>
      </c>
      <c r="B1207">
        <v>0</v>
      </c>
    </row>
    <row r="1208" spans="1:2" x14ac:dyDescent="0.25">
      <c r="A1208">
        <v>135226</v>
      </c>
      <c r="B1208">
        <v>0</v>
      </c>
    </row>
    <row r="1209" spans="1:2" x14ac:dyDescent="0.25">
      <c r="A1209">
        <v>135227</v>
      </c>
      <c r="B1209">
        <v>0</v>
      </c>
    </row>
    <row r="1210" spans="1:2" x14ac:dyDescent="0.25">
      <c r="A1210">
        <v>135238</v>
      </c>
      <c r="B1210">
        <v>287</v>
      </c>
    </row>
    <row r="1211" spans="1:2" x14ac:dyDescent="0.25">
      <c r="A1211">
        <v>135239</v>
      </c>
      <c r="B1211">
        <v>0</v>
      </c>
    </row>
    <row r="1212" spans="1:2" x14ac:dyDescent="0.25">
      <c r="A1212">
        <v>135297</v>
      </c>
      <c r="B1212">
        <v>152</v>
      </c>
    </row>
    <row r="1213" spans="1:2" x14ac:dyDescent="0.25">
      <c r="A1213">
        <v>135299</v>
      </c>
      <c r="B1213">
        <v>4</v>
      </c>
    </row>
    <row r="1214" spans="1:2" x14ac:dyDescent="0.25">
      <c r="A1214">
        <v>135300</v>
      </c>
      <c r="B1214">
        <v>6</v>
      </c>
    </row>
    <row r="1215" spans="1:2" x14ac:dyDescent="0.25">
      <c r="A1215">
        <v>135301</v>
      </c>
      <c r="B1215">
        <v>72</v>
      </c>
    </row>
    <row r="1216" spans="1:2" x14ac:dyDescent="0.25">
      <c r="A1216">
        <v>135302</v>
      </c>
      <c r="B1216">
        <v>58</v>
      </c>
    </row>
    <row r="1217" spans="1:2" x14ac:dyDescent="0.25">
      <c r="A1217">
        <v>135303</v>
      </c>
      <c r="B1217">
        <v>21</v>
      </c>
    </row>
    <row r="1218" spans="1:2" x14ac:dyDescent="0.25">
      <c r="A1218">
        <v>135304</v>
      </c>
      <c r="B1218">
        <v>10</v>
      </c>
    </row>
    <row r="1219" spans="1:2" x14ac:dyDescent="0.25">
      <c r="A1219">
        <v>135414</v>
      </c>
      <c r="B1219">
        <v>0</v>
      </c>
    </row>
    <row r="1220" spans="1:2" x14ac:dyDescent="0.25">
      <c r="A1220">
        <v>135699</v>
      </c>
      <c r="B1220">
        <v>0</v>
      </c>
    </row>
    <row r="1221" spans="1:2" x14ac:dyDescent="0.25">
      <c r="A1221">
        <v>135700</v>
      </c>
      <c r="B1221">
        <v>9213</v>
      </c>
    </row>
    <row r="1222" spans="1:2" x14ac:dyDescent="0.25">
      <c r="A1222">
        <v>135701</v>
      </c>
      <c r="B1222">
        <v>0</v>
      </c>
    </row>
    <row r="1223" spans="1:2" x14ac:dyDescent="0.25">
      <c r="A1223">
        <v>135704</v>
      </c>
      <c r="B1223">
        <v>0</v>
      </c>
    </row>
    <row r="1224" spans="1:2" x14ac:dyDescent="0.25">
      <c r="A1224">
        <v>135734</v>
      </c>
      <c r="B1224">
        <v>0</v>
      </c>
    </row>
    <row r="1225" spans="1:2" x14ac:dyDescent="0.25">
      <c r="A1225">
        <v>136037</v>
      </c>
      <c r="B1225">
        <v>0</v>
      </c>
    </row>
    <row r="1226" spans="1:2" x14ac:dyDescent="0.25">
      <c r="A1226">
        <v>136038</v>
      </c>
      <c r="B1226">
        <v>0</v>
      </c>
    </row>
    <row r="1227" spans="1:2" x14ac:dyDescent="0.25">
      <c r="A1227">
        <v>136039</v>
      </c>
      <c r="B1227">
        <v>0</v>
      </c>
    </row>
    <row r="1228" spans="1:2" x14ac:dyDescent="0.25">
      <c r="A1228">
        <v>136040</v>
      </c>
      <c r="B1228">
        <v>0</v>
      </c>
    </row>
    <row r="1229" spans="1:2" x14ac:dyDescent="0.25">
      <c r="A1229">
        <v>136082</v>
      </c>
      <c r="B1229">
        <v>0</v>
      </c>
    </row>
    <row r="1230" spans="1:2" x14ac:dyDescent="0.25">
      <c r="A1230">
        <v>136083</v>
      </c>
      <c r="B1230">
        <v>0</v>
      </c>
    </row>
    <row r="1231" spans="1:2" x14ac:dyDescent="0.25">
      <c r="A1231">
        <v>136273</v>
      </c>
      <c r="B1231">
        <v>0</v>
      </c>
    </row>
    <row r="1232" spans="1:2" x14ac:dyDescent="0.25">
      <c r="A1232">
        <v>136408</v>
      </c>
      <c r="B1232">
        <v>0</v>
      </c>
    </row>
    <row r="1233" spans="1:2" x14ac:dyDescent="0.25">
      <c r="A1233">
        <v>136556</v>
      </c>
      <c r="B1233">
        <v>0</v>
      </c>
    </row>
    <row r="1234" spans="1:2" x14ac:dyDescent="0.25">
      <c r="A1234">
        <v>136674</v>
      </c>
      <c r="B1234">
        <v>0</v>
      </c>
    </row>
    <row r="1235" spans="1:2" x14ac:dyDescent="0.25">
      <c r="A1235">
        <v>136675</v>
      </c>
      <c r="B1235">
        <v>0</v>
      </c>
    </row>
    <row r="1236" spans="1:2" x14ac:dyDescent="0.25">
      <c r="A1236">
        <v>136676</v>
      </c>
      <c r="B1236">
        <v>0</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dimension ref="A1:Z38"/>
  <sheetViews>
    <sheetView showGridLines="0" workbookViewId="0">
      <selection sqref="A1:Z38"/>
    </sheetView>
  </sheetViews>
  <sheetFormatPr defaultRowHeight="15" x14ac:dyDescent="0.25"/>
  <cols>
    <col min="1" max="1" width="195.7109375" customWidth="1"/>
  </cols>
  <sheetData>
    <row r="1" spans="1:26" x14ac:dyDescent="0.25">
      <c r="A1" s="91"/>
      <c r="B1" s="91"/>
      <c r="C1" s="91"/>
      <c r="D1" s="91"/>
      <c r="E1" s="91"/>
      <c r="F1" s="91"/>
      <c r="G1" s="91"/>
      <c r="H1" s="91"/>
      <c r="I1" s="91"/>
      <c r="J1" s="91"/>
      <c r="K1" s="91"/>
      <c r="L1" s="91"/>
      <c r="M1" s="91"/>
      <c r="N1" s="91"/>
      <c r="O1" s="91"/>
      <c r="P1" s="91"/>
      <c r="Q1" s="91"/>
      <c r="R1" s="91"/>
      <c r="S1" s="91"/>
      <c r="T1" s="91"/>
      <c r="U1" s="91"/>
      <c r="V1" s="91"/>
      <c r="W1" s="91"/>
      <c r="X1" s="91"/>
      <c r="Y1" s="91"/>
      <c r="Z1" s="91"/>
    </row>
    <row r="2" spans="1:26" x14ac:dyDescent="0.25">
      <c r="A2" s="91"/>
      <c r="B2" s="91"/>
      <c r="C2" s="91"/>
      <c r="D2" s="91"/>
      <c r="E2" s="91"/>
      <c r="F2" s="91"/>
      <c r="G2" s="91"/>
      <c r="H2" s="91"/>
      <c r="I2" s="91"/>
      <c r="J2" s="91"/>
      <c r="K2" s="91"/>
      <c r="L2" s="91"/>
      <c r="M2" s="91"/>
      <c r="N2" s="91"/>
      <c r="O2" s="91"/>
      <c r="P2" s="91"/>
      <c r="Q2" s="91"/>
      <c r="R2" s="91"/>
      <c r="S2" s="91"/>
      <c r="T2" s="91"/>
      <c r="U2" s="91"/>
      <c r="V2" s="91"/>
      <c r="W2" s="91"/>
      <c r="X2" s="91"/>
      <c r="Y2" s="91"/>
      <c r="Z2" s="91"/>
    </row>
    <row r="3" spans="1:26" x14ac:dyDescent="0.25">
      <c r="A3" s="91"/>
      <c r="B3" s="91"/>
      <c r="C3" s="91"/>
      <c r="D3" s="91"/>
      <c r="E3" s="91"/>
      <c r="F3" s="91"/>
      <c r="G3" s="91"/>
      <c r="H3" s="91"/>
      <c r="I3" s="91"/>
      <c r="J3" s="91"/>
      <c r="K3" s="91"/>
      <c r="L3" s="91"/>
      <c r="M3" s="91"/>
      <c r="N3" s="91"/>
      <c r="O3" s="91"/>
      <c r="P3" s="91"/>
      <c r="Q3" s="91"/>
      <c r="R3" s="91"/>
      <c r="S3" s="91"/>
      <c r="T3" s="91"/>
      <c r="U3" s="91"/>
      <c r="V3" s="91"/>
      <c r="W3" s="91"/>
      <c r="X3" s="91"/>
      <c r="Y3" s="91"/>
      <c r="Z3" s="91"/>
    </row>
    <row r="4" spans="1:26" x14ac:dyDescent="0.25">
      <c r="A4" s="91"/>
      <c r="B4" s="91"/>
      <c r="C4" s="91"/>
      <c r="D4" s="91"/>
      <c r="E4" s="91"/>
      <c r="F4" s="91"/>
      <c r="G4" s="91"/>
      <c r="H4" s="91"/>
      <c r="I4" s="91"/>
      <c r="J4" s="91"/>
      <c r="K4" s="91"/>
      <c r="L4" s="91"/>
      <c r="M4" s="91"/>
      <c r="N4" s="91"/>
      <c r="O4" s="91"/>
      <c r="P4" s="91"/>
      <c r="Q4" s="91"/>
      <c r="R4" s="91"/>
      <c r="S4" s="91"/>
      <c r="T4" s="91"/>
      <c r="U4" s="91"/>
      <c r="V4" s="91"/>
      <c r="W4" s="91"/>
      <c r="X4" s="91"/>
      <c r="Y4" s="91"/>
      <c r="Z4" s="91"/>
    </row>
    <row r="5" spans="1:26" x14ac:dyDescent="0.25">
      <c r="A5" s="91"/>
      <c r="B5" s="91"/>
      <c r="C5" s="91"/>
      <c r="D5" s="91"/>
      <c r="E5" s="91"/>
      <c r="F5" s="91"/>
      <c r="G5" s="91"/>
      <c r="H5" s="91"/>
      <c r="I5" s="91"/>
      <c r="J5" s="91"/>
      <c r="K5" s="91"/>
      <c r="L5" s="91"/>
      <c r="M5" s="91"/>
      <c r="N5" s="91"/>
      <c r="O5" s="91"/>
      <c r="P5" s="91"/>
      <c r="Q5" s="91"/>
      <c r="R5" s="91"/>
      <c r="S5" s="91"/>
      <c r="T5" s="91"/>
      <c r="U5" s="91"/>
      <c r="V5" s="91"/>
      <c r="W5" s="91"/>
      <c r="X5" s="91"/>
      <c r="Y5" s="91"/>
      <c r="Z5" s="91"/>
    </row>
    <row r="6" spans="1:26" x14ac:dyDescent="0.25">
      <c r="A6" s="91"/>
      <c r="B6" s="91"/>
      <c r="C6" s="91"/>
      <c r="D6" s="91"/>
      <c r="E6" s="91"/>
      <c r="F6" s="91"/>
      <c r="G6" s="91"/>
      <c r="H6" s="91"/>
      <c r="I6" s="91"/>
      <c r="J6" s="91"/>
      <c r="K6" s="91"/>
      <c r="L6" s="91"/>
      <c r="M6" s="91"/>
      <c r="N6" s="91"/>
      <c r="O6" s="91"/>
      <c r="P6" s="91"/>
      <c r="Q6" s="91"/>
      <c r="R6" s="91"/>
      <c r="S6" s="91"/>
      <c r="T6" s="91"/>
      <c r="U6" s="91"/>
      <c r="V6" s="91"/>
      <c r="W6" s="91"/>
      <c r="X6" s="91"/>
      <c r="Y6" s="91"/>
      <c r="Z6" s="91"/>
    </row>
    <row r="7" spans="1:26" x14ac:dyDescent="0.25">
      <c r="A7" s="91"/>
      <c r="B7" s="91"/>
      <c r="C7" s="91"/>
      <c r="D7" s="91"/>
      <c r="E7" s="91"/>
      <c r="F7" s="91"/>
      <c r="G7" s="91"/>
      <c r="H7" s="91"/>
      <c r="I7" s="91"/>
      <c r="J7" s="91"/>
      <c r="K7" s="91"/>
      <c r="L7" s="91"/>
      <c r="M7" s="91"/>
      <c r="N7" s="91"/>
      <c r="O7" s="91"/>
      <c r="P7" s="91"/>
      <c r="Q7" s="91"/>
      <c r="R7" s="91"/>
      <c r="S7" s="91"/>
      <c r="T7" s="91"/>
      <c r="U7" s="91"/>
      <c r="V7" s="91"/>
      <c r="W7" s="91"/>
      <c r="X7" s="91"/>
      <c r="Y7" s="91"/>
      <c r="Z7" s="91"/>
    </row>
    <row r="8" spans="1:26" x14ac:dyDescent="0.25">
      <c r="A8" s="91"/>
      <c r="B8" s="91"/>
      <c r="C8" s="91"/>
      <c r="D8" s="91"/>
      <c r="E8" s="91"/>
      <c r="F8" s="91"/>
      <c r="G8" s="91"/>
      <c r="H8" s="91"/>
      <c r="I8" s="91"/>
      <c r="J8" s="91"/>
      <c r="K8" s="91"/>
      <c r="L8" s="91"/>
      <c r="M8" s="91"/>
      <c r="N8" s="91"/>
      <c r="O8" s="91"/>
      <c r="P8" s="91"/>
      <c r="Q8" s="91"/>
      <c r="R8" s="91"/>
      <c r="S8" s="91"/>
      <c r="T8" s="91"/>
      <c r="U8" s="91"/>
      <c r="V8" s="91"/>
      <c r="W8" s="91"/>
      <c r="X8" s="91"/>
      <c r="Y8" s="91"/>
      <c r="Z8" s="91"/>
    </row>
    <row r="9" spans="1:26" x14ac:dyDescent="0.25">
      <c r="A9" s="91"/>
      <c r="B9" s="91"/>
      <c r="C9" s="91"/>
      <c r="D9" s="91"/>
      <c r="E9" s="91"/>
      <c r="F9" s="91"/>
      <c r="G9" s="91"/>
      <c r="H9" s="91"/>
      <c r="I9" s="91"/>
      <c r="J9" s="91"/>
      <c r="K9" s="91"/>
      <c r="L9" s="91"/>
      <c r="M9" s="91"/>
      <c r="N9" s="91"/>
      <c r="O9" s="91"/>
      <c r="P9" s="91"/>
      <c r="Q9" s="91"/>
      <c r="R9" s="91"/>
      <c r="S9" s="91"/>
      <c r="T9" s="91"/>
      <c r="U9" s="91"/>
      <c r="V9" s="91"/>
      <c r="W9" s="91"/>
      <c r="X9" s="91"/>
      <c r="Y9" s="91"/>
      <c r="Z9" s="91"/>
    </row>
    <row r="10" spans="1:26" x14ac:dyDescent="0.25">
      <c r="A10" s="91"/>
      <c r="B10" s="91"/>
      <c r="C10" s="91"/>
      <c r="D10" s="91"/>
      <c r="E10" s="91"/>
      <c r="F10" s="91"/>
      <c r="G10" s="91"/>
      <c r="H10" s="91"/>
      <c r="I10" s="91"/>
      <c r="J10" s="91"/>
      <c r="K10" s="91"/>
      <c r="L10" s="91"/>
      <c r="M10" s="91"/>
      <c r="N10" s="91"/>
      <c r="O10" s="91"/>
      <c r="P10" s="91"/>
      <c r="Q10" s="91"/>
      <c r="R10" s="91"/>
      <c r="S10" s="91"/>
      <c r="T10" s="91"/>
      <c r="U10" s="91"/>
      <c r="V10" s="91"/>
      <c r="W10" s="91"/>
      <c r="X10" s="91"/>
      <c r="Y10" s="91"/>
      <c r="Z10" s="91"/>
    </row>
    <row r="11" spans="1:26" x14ac:dyDescent="0.25">
      <c r="A11" s="91"/>
      <c r="B11" s="91"/>
      <c r="C11" s="91"/>
      <c r="D11" s="91"/>
      <c r="E11" s="91"/>
      <c r="F11" s="91"/>
      <c r="G11" s="91"/>
      <c r="H11" s="91"/>
      <c r="I11" s="91"/>
      <c r="J11" s="91"/>
      <c r="K11" s="91"/>
      <c r="L11" s="91"/>
      <c r="M11" s="91"/>
      <c r="N11" s="91"/>
      <c r="O11" s="91"/>
      <c r="P11" s="91"/>
      <c r="Q11" s="91"/>
      <c r="R11" s="91"/>
      <c r="S11" s="91"/>
      <c r="T11" s="91"/>
      <c r="U11" s="91"/>
      <c r="V11" s="91"/>
      <c r="W11" s="91"/>
      <c r="X11" s="91"/>
      <c r="Y11" s="91"/>
      <c r="Z11" s="91"/>
    </row>
    <row r="12" spans="1:26" x14ac:dyDescent="0.25">
      <c r="A12" s="91"/>
      <c r="B12" s="91"/>
      <c r="C12" s="91"/>
      <c r="D12" s="91"/>
      <c r="E12" s="91"/>
      <c r="F12" s="91"/>
      <c r="G12" s="91"/>
      <c r="H12" s="91"/>
      <c r="I12" s="91"/>
      <c r="J12" s="91"/>
      <c r="K12" s="91"/>
      <c r="L12" s="91"/>
      <c r="M12" s="91"/>
      <c r="N12" s="91"/>
      <c r="O12" s="91"/>
      <c r="P12" s="91"/>
      <c r="Q12" s="91"/>
      <c r="R12" s="91"/>
      <c r="S12" s="91"/>
      <c r="T12" s="91"/>
      <c r="U12" s="91"/>
      <c r="V12" s="91"/>
      <c r="W12" s="91"/>
      <c r="X12" s="91"/>
      <c r="Y12" s="91"/>
      <c r="Z12" s="91"/>
    </row>
    <row r="13" spans="1:26" x14ac:dyDescent="0.25">
      <c r="A13" s="91"/>
      <c r="B13" s="91"/>
      <c r="C13" s="91"/>
      <c r="D13" s="91"/>
      <c r="E13" s="91"/>
      <c r="F13" s="91"/>
      <c r="G13" s="91"/>
      <c r="H13" s="91"/>
      <c r="I13" s="91"/>
      <c r="J13" s="91"/>
      <c r="K13" s="91"/>
      <c r="L13" s="91"/>
      <c r="M13" s="91"/>
      <c r="N13" s="91"/>
      <c r="O13" s="91"/>
      <c r="P13" s="91"/>
      <c r="Q13" s="91"/>
      <c r="R13" s="91"/>
      <c r="S13" s="91"/>
      <c r="T13" s="91"/>
      <c r="U13" s="91"/>
      <c r="V13" s="91"/>
      <c r="W13" s="91"/>
      <c r="X13" s="91"/>
      <c r="Y13" s="91"/>
      <c r="Z13" s="91"/>
    </row>
    <row r="14" spans="1:26" x14ac:dyDescent="0.25">
      <c r="A14" s="91"/>
      <c r="B14" s="91"/>
      <c r="C14" s="91"/>
      <c r="D14" s="91"/>
      <c r="E14" s="91"/>
      <c r="F14" s="91"/>
      <c r="G14" s="91"/>
      <c r="H14" s="91"/>
      <c r="I14" s="91"/>
      <c r="J14" s="91"/>
      <c r="K14" s="91"/>
      <c r="L14" s="91"/>
      <c r="M14" s="91"/>
      <c r="N14" s="91"/>
      <c r="O14" s="91"/>
      <c r="P14" s="91"/>
      <c r="Q14" s="91"/>
      <c r="R14" s="91"/>
      <c r="S14" s="91"/>
      <c r="T14" s="91"/>
      <c r="U14" s="91"/>
      <c r="V14" s="91"/>
      <c r="W14" s="91"/>
      <c r="X14" s="91"/>
      <c r="Y14" s="91"/>
      <c r="Z14" s="91"/>
    </row>
    <row r="15" spans="1:26" x14ac:dyDescent="0.25">
      <c r="A15" s="91"/>
      <c r="B15" s="91"/>
      <c r="C15" s="91"/>
      <c r="D15" s="91"/>
      <c r="E15" s="91"/>
      <c r="F15" s="91"/>
      <c r="G15" s="91"/>
      <c r="H15" s="91"/>
      <c r="I15" s="91"/>
      <c r="J15" s="91"/>
      <c r="K15" s="91"/>
      <c r="L15" s="91"/>
      <c r="M15" s="91"/>
      <c r="N15" s="91"/>
      <c r="O15" s="91"/>
      <c r="P15" s="91"/>
      <c r="Q15" s="91"/>
      <c r="R15" s="91"/>
      <c r="S15" s="91"/>
      <c r="T15" s="91"/>
      <c r="U15" s="91"/>
      <c r="V15" s="91"/>
      <c r="W15" s="91"/>
      <c r="X15" s="91"/>
      <c r="Y15" s="91"/>
      <c r="Z15" s="91"/>
    </row>
    <row r="16" spans="1:26" x14ac:dyDescent="0.25">
      <c r="A16" s="91"/>
      <c r="B16" s="91"/>
      <c r="C16" s="91"/>
      <c r="D16" s="91"/>
      <c r="E16" s="91"/>
      <c r="F16" s="91"/>
      <c r="G16" s="91"/>
      <c r="H16" s="91"/>
      <c r="I16" s="91"/>
      <c r="J16" s="91"/>
      <c r="K16" s="91"/>
      <c r="L16" s="91"/>
      <c r="M16" s="91"/>
      <c r="N16" s="91"/>
      <c r="O16" s="91"/>
      <c r="P16" s="91"/>
      <c r="Q16" s="91"/>
      <c r="R16" s="91"/>
      <c r="S16" s="91"/>
      <c r="T16" s="91"/>
      <c r="U16" s="91"/>
      <c r="V16" s="91"/>
      <c r="W16" s="91"/>
      <c r="X16" s="91"/>
      <c r="Y16" s="91"/>
      <c r="Z16" s="91"/>
    </row>
    <row r="17" spans="1:26" x14ac:dyDescent="0.25">
      <c r="A17" s="91"/>
      <c r="B17" s="91"/>
      <c r="C17" s="91"/>
      <c r="D17" s="91"/>
      <c r="E17" s="91"/>
      <c r="F17" s="91"/>
      <c r="G17" s="91"/>
      <c r="H17" s="91"/>
      <c r="I17" s="91"/>
      <c r="J17" s="91"/>
      <c r="K17" s="91"/>
      <c r="L17" s="91"/>
      <c r="M17" s="91"/>
      <c r="N17" s="91"/>
      <c r="O17" s="91"/>
      <c r="P17" s="91"/>
      <c r="Q17" s="91"/>
      <c r="R17" s="91"/>
      <c r="S17" s="91"/>
      <c r="T17" s="91"/>
      <c r="U17" s="91"/>
      <c r="V17" s="91"/>
      <c r="W17" s="91"/>
      <c r="X17" s="91"/>
      <c r="Y17" s="91"/>
      <c r="Z17" s="91"/>
    </row>
    <row r="18" spans="1:26" x14ac:dyDescent="0.25">
      <c r="A18" s="91"/>
      <c r="B18" s="91"/>
      <c r="C18" s="91"/>
      <c r="D18" s="91"/>
      <c r="E18" s="91"/>
      <c r="F18" s="91"/>
      <c r="G18" s="91"/>
      <c r="H18" s="91"/>
      <c r="I18" s="91"/>
      <c r="J18" s="91"/>
      <c r="K18" s="91"/>
      <c r="L18" s="91"/>
      <c r="M18" s="91"/>
      <c r="N18" s="91"/>
      <c r="O18" s="91"/>
      <c r="P18" s="91"/>
      <c r="Q18" s="91"/>
      <c r="R18" s="91"/>
      <c r="S18" s="91"/>
      <c r="T18" s="91"/>
      <c r="U18" s="91"/>
      <c r="V18" s="91"/>
      <c r="W18" s="91"/>
      <c r="X18" s="91"/>
      <c r="Y18" s="91"/>
      <c r="Z18" s="91"/>
    </row>
    <row r="19" spans="1:26" x14ac:dyDescent="0.25">
      <c r="A19" s="91"/>
      <c r="B19" s="91"/>
      <c r="C19" s="91"/>
      <c r="D19" s="91"/>
      <c r="E19" s="91"/>
      <c r="F19" s="91"/>
      <c r="G19" s="91"/>
      <c r="H19" s="91"/>
      <c r="I19" s="91"/>
      <c r="J19" s="91"/>
      <c r="K19" s="91"/>
      <c r="L19" s="91"/>
      <c r="M19" s="91"/>
      <c r="N19" s="91"/>
      <c r="O19" s="91"/>
      <c r="P19" s="91"/>
      <c r="Q19" s="91"/>
      <c r="R19" s="91"/>
      <c r="S19" s="91"/>
      <c r="T19" s="91"/>
      <c r="U19" s="91"/>
      <c r="V19" s="91"/>
      <c r="W19" s="91"/>
      <c r="X19" s="91"/>
      <c r="Y19" s="91"/>
      <c r="Z19" s="91"/>
    </row>
    <row r="20" spans="1:26" x14ac:dyDescent="0.25">
      <c r="A20" s="91"/>
      <c r="B20" s="91"/>
      <c r="C20" s="91"/>
      <c r="D20" s="91"/>
      <c r="E20" s="91"/>
      <c r="F20" s="91"/>
      <c r="G20" s="91"/>
      <c r="H20" s="91"/>
      <c r="I20" s="91"/>
      <c r="J20" s="91"/>
      <c r="K20" s="91"/>
      <c r="L20" s="91"/>
      <c r="M20" s="91"/>
      <c r="N20" s="91"/>
      <c r="O20" s="91"/>
      <c r="P20" s="91"/>
      <c r="Q20" s="91"/>
      <c r="R20" s="91"/>
      <c r="S20" s="91"/>
      <c r="T20" s="91"/>
      <c r="U20" s="91"/>
      <c r="V20" s="91"/>
      <c r="W20" s="91"/>
      <c r="X20" s="91"/>
      <c r="Y20" s="91"/>
      <c r="Z20" s="91"/>
    </row>
    <row r="21" spans="1:26" x14ac:dyDescent="0.25">
      <c r="A21" s="91"/>
      <c r="B21" s="91"/>
      <c r="C21" s="91"/>
      <c r="D21" s="91"/>
      <c r="E21" s="91"/>
      <c r="F21" s="91"/>
      <c r="G21" s="91"/>
      <c r="H21" s="91"/>
      <c r="I21" s="91"/>
      <c r="J21" s="91"/>
      <c r="K21" s="91"/>
      <c r="L21" s="91"/>
      <c r="M21" s="91"/>
      <c r="N21" s="91"/>
      <c r="O21" s="91"/>
      <c r="P21" s="91"/>
      <c r="Q21" s="91"/>
      <c r="R21" s="91"/>
      <c r="S21" s="91"/>
      <c r="T21" s="91"/>
      <c r="U21" s="91"/>
      <c r="V21" s="91"/>
      <c r="W21" s="91"/>
      <c r="X21" s="91"/>
      <c r="Y21" s="91"/>
      <c r="Z21" s="91"/>
    </row>
    <row r="22" spans="1:26" x14ac:dyDescent="0.25">
      <c r="A22" s="91"/>
      <c r="B22" s="91"/>
      <c r="C22" s="91"/>
      <c r="D22" s="91"/>
      <c r="E22" s="91"/>
      <c r="F22" s="91"/>
      <c r="G22" s="91"/>
      <c r="H22" s="91"/>
      <c r="I22" s="91"/>
      <c r="J22" s="91"/>
      <c r="K22" s="91"/>
      <c r="L22" s="91"/>
      <c r="M22" s="91"/>
      <c r="N22" s="91"/>
      <c r="O22" s="91"/>
      <c r="P22" s="91"/>
      <c r="Q22" s="91"/>
      <c r="R22" s="91"/>
      <c r="S22" s="91"/>
      <c r="T22" s="91"/>
      <c r="U22" s="91"/>
      <c r="V22" s="91"/>
      <c r="W22" s="91"/>
      <c r="X22" s="91"/>
      <c r="Y22" s="91"/>
      <c r="Z22" s="91"/>
    </row>
    <row r="23" spans="1:26" x14ac:dyDescent="0.25">
      <c r="A23" s="91"/>
      <c r="B23" s="91"/>
      <c r="C23" s="91"/>
      <c r="D23" s="91"/>
      <c r="E23" s="91"/>
      <c r="F23" s="91"/>
      <c r="G23" s="91"/>
      <c r="H23" s="91"/>
      <c r="I23" s="91"/>
      <c r="J23" s="91"/>
      <c r="K23" s="91"/>
      <c r="L23" s="91"/>
      <c r="M23" s="91"/>
      <c r="N23" s="91"/>
      <c r="O23" s="91"/>
      <c r="P23" s="91"/>
      <c r="Q23" s="91"/>
      <c r="R23" s="91"/>
      <c r="S23" s="91"/>
      <c r="T23" s="91"/>
      <c r="U23" s="91"/>
      <c r="V23" s="91"/>
      <c r="W23" s="91"/>
      <c r="X23" s="91"/>
      <c r="Y23" s="91"/>
      <c r="Z23" s="91"/>
    </row>
    <row r="24" spans="1:26" x14ac:dyDescent="0.25">
      <c r="A24" s="91"/>
      <c r="B24" s="91"/>
      <c r="C24" s="91"/>
      <c r="D24" s="91"/>
      <c r="E24" s="91"/>
      <c r="F24" s="91"/>
      <c r="G24" s="91"/>
      <c r="H24" s="91"/>
      <c r="I24" s="91"/>
      <c r="J24" s="91"/>
      <c r="K24" s="91"/>
      <c r="L24" s="91"/>
      <c r="M24" s="91"/>
      <c r="N24" s="91"/>
      <c r="O24" s="91"/>
      <c r="P24" s="91"/>
      <c r="Q24" s="91"/>
      <c r="R24" s="91"/>
      <c r="S24" s="91"/>
      <c r="T24" s="91"/>
      <c r="U24" s="91"/>
      <c r="V24" s="91"/>
      <c r="W24" s="91"/>
      <c r="X24" s="91"/>
      <c r="Y24" s="91"/>
      <c r="Z24" s="91"/>
    </row>
    <row r="25" spans="1:26" x14ac:dyDescent="0.25">
      <c r="A25" s="91"/>
      <c r="B25" s="91"/>
      <c r="C25" s="91"/>
      <c r="D25" s="91"/>
      <c r="E25" s="91"/>
      <c r="F25" s="91"/>
      <c r="G25" s="91"/>
      <c r="H25" s="91"/>
      <c r="I25" s="91"/>
      <c r="J25" s="91"/>
      <c r="K25" s="91"/>
      <c r="L25" s="91"/>
      <c r="M25" s="91"/>
      <c r="N25" s="91"/>
      <c r="O25" s="91"/>
      <c r="P25" s="91"/>
      <c r="Q25" s="91"/>
      <c r="R25" s="91"/>
      <c r="S25" s="91"/>
      <c r="T25" s="91"/>
      <c r="U25" s="91"/>
      <c r="V25" s="91"/>
      <c r="W25" s="91"/>
      <c r="X25" s="91"/>
      <c r="Y25" s="91"/>
      <c r="Z25" s="91"/>
    </row>
    <row r="26" spans="1:26" x14ac:dyDescent="0.25">
      <c r="A26" s="91"/>
      <c r="B26" s="91"/>
      <c r="C26" s="91"/>
      <c r="D26" s="91"/>
      <c r="E26" s="91"/>
      <c r="F26" s="91"/>
      <c r="G26" s="91"/>
      <c r="H26" s="91"/>
      <c r="I26" s="91"/>
      <c r="J26" s="91"/>
      <c r="K26" s="91"/>
      <c r="L26" s="91"/>
      <c r="M26" s="91"/>
      <c r="N26" s="91"/>
      <c r="O26" s="91"/>
      <c r="P26" s="91"/>
      <c r="Q26" s="91"/>
      <c r="R26" s="91"/>
      <c r="S26" s="91"/>
      <c r="T26" s="91"/>
      <c r="U26" s="91"/>
      <c r="V26" s="91"/>
      <c r="W26" s="91"/>
      <c r="X26" s="91"/>
      <c r="Y26" s="91"/>
      <c r="Z26" s="91"/>
    </row>
    <row r="27" spans="1:26" x14ac:dyDescent="0.25">
      <c r="A27" s="91"/>
      <c r="B27" s="91"/>
      <c r="C27" s="91"/>
      <c r="D27" s="91"/>
      <c r="E27" s="91"/>
      <c r="F27" s="91"/>
      <c r="G27" s="91"/>
      <c r="H27" s="91"/>
      <c r="I27" s="91"/>
      <c r="J27" s="91"/>
      <c r="K27" s="91"/>
      <c r="L27" s="91"/>
      <c r="M27" s="91"/>
      <c r="N27" s="91"/>
      <c r="O27" s="91"/>
      <c r="P27" s="91"/>
      <c r="Q27" s="91"/>
      <c r="R27" s="91"/>
      <c r="S27" s="91"/>
      <c r="T27" s="91"/>
      <c r="U27" s="91"/>
      <c r="V27" s="91"/>
      <c r="W27" s="91"/>
      <c r="X27" s="91"/>
      <c r="Y27" s="91"/>
      <c r="Z27" s="91"/>
    </row>
    <row r="28" spans="1:26" x14ac:dyDescent="0.25">
      <c r="A28" s="91"/>
      <c r="B28" s="91"/>
      <c r="C28" s="91"/>
      <c r="D28" s="91"/>
      <c r="E28" s="91"/>
      <c r="F28" s="91"/>
      <c r="G28" s="91"/>
      <c r="H28" s="91"/>
      <c r="I28" s="91"/>
      <c r="J28" s="91"/>
      <c r="K28" s="91"/>
      <c r="L28" s="91"/>
      <c r="M28" s="91"/>
      <c r="N28" s="91"/>
      <c r="O28" s="91"/>
      <c r="P28" s="91"/>
      <c r="Q28" s="91"/>
      <c r="R28" s="91"/>
      <c r="S28" s="91"/>
      <c r="T28" s="91"/>
      <c r="U28" s="91"/>
      <c r="V28" s="91"/>
      <c r="W28" s="91"/>
      <c r="X28" s="91"/>
      <c r="Y28" s="91"/>
      <c r="Z28" s="91"/>
    </row>
    <row r="29" spans="1:26" x14ac:dyDescent="0.25">
      <c r="A29" s="91"/>
      <c r="B29" s="91"/>
      <c r="C29" s="91"/>
      <c r="D29" s="91"/>
      <c r="E29" s="91"/>
      <c r="F29" s="91"/>
      <c r="G29" s="91"/>
      <c r="H29" s="91"/>
      <c r="I29" s="91"/>
      <c r="J29" s="91"/>
      <c r="K29" s="91"/>
      <c r="L29" s="91"/>
      <c r="M29" s="91"/>
      <c r="N29" s="91"/>
      <c r="O29" s="91"/>
      <c r="P29" s="91"/>
      <c r="Q29" s="91"/>
      <c r="R29" s="91"/>
      <c r="S29" s="91"/>
      <c r="T29" s="91"/>
      <c r="U29" s="91"/>
      <c r="V29" s="91"/>
      <c r="W29" s="91"/>
      <c r="X29" s="91"/>
      <c r="Y29" s="91"/>
      <c r="Z29" s="91"/>
    </row>
    <row r="30" spans="1:26" x14ac:dyDescent="0.25">
      <c r="A30" s="91"/>
      <c r="B30" s="91"/>
      <c r="C30" s="91"/>
      <c r="D30" s="91"/>
      <c r="E30" s="91"/>
      <c r="F30" s="91"/>
      <c r="G30" s="91"/>
      <c r="H30" s="91"/>
      <c r="I30" s="91"/>
      <c r="J30" s="91"/>
      <c r="K30" s="91"/>
      <c r="L30" s="91"/>
      <c r="M30" s="91"/>
      <c r="N30" s="91"/>
      <c r="O30" s="91"/>
      <c r="P30" s="91"/>
      <c r="Q30" s="91"/>
      <c r="R30" s="91"/>
      <c r="S30" s="91"/>
      <c r="T30" s="91"/>
      <c r="U30" s="91"/>
      <c r="V30" s="91"/>
      <c r="W30" s="91"/>
      <c r="X30" s="91"/>
      <c r="Y30" s="91"/>
      <c r="Z30" s="91"/>
    </row>
    <row r="31" spans="1:26" x14ac:dyDescent="0.25">
      <c r="A31" s="91"/>
      <c r="B31" s="91"/>
      <c r="C31" s="91"/>
      <c r="D31" s="91"/>
      <c r="E31" s="91"/>
      <c r="F31" s="91"/>
      <c r="G31" s="91"/>
      <c r="H31" s="91"/>
      <c r="I31" s="91"/>
      <c r="J31" s="91"/>
      <c r="K31" s="91"/>
      <c r="L31" s="91"/>
      <c r="M31" s="91"/>
      <c r="N31" s="91"/>
      <c r="O31" s="91"/>
      <c r="P31" s="91"/>
      <c r="Q31" s="91"/>
      <c r="R31" s="91"/>
      <c r="S31" s="91"/>
      <c r="T31" s="91"/>
      <c r="U31" s="91"/>
      <c r="V31" s="91"/>
      <c r="W31" s="91"/>
      <c r="X31" s="91"/>
      <c r="Y31" s="91"/>
      <c r="Z31" s="91"/>
    </row>
    <row r="32" spans="1:26" x14ac:dyDescent="0.25">
      <c r="A32" s="91"/>
      <c r="B32" s="91"/>
      <c r="C32" s="91"/>
      <c r="D32" s="91"/>
      <c r="E32" s="91"/>
      <c r="F32" s="91"/>
      <c r="G32" s="91"/>
      <c r="H32" s="91"/>
      <c r="I32" s="91"/>
      <c r="J32" s="91"/>
      <c r="K32" s="91"/>
      <c r="L32" s="91"/>
      <c r="M32" s="91"/>
      <c r="N32" s="91"/>
      <c r="O32" s="91"/>
      <c r="P32" s="91"/>
      <c r="Q32" s="91"/>
      <c r="R32" s="91"/>
      <c r="S32" s="91"/>
      <c r="T32" s="91"/>
      <c r="U32" s="91"/>
      <c r="V32" s="91"/>
      <c r="W32" s="91"/>
      <c r="X32" s="91"/>
      <c r="Y32" s="91"/>
      <c r="Z32" s="91"/>
    </row>
    <row r="33" spans="1:26" x14ac:dyDescent="0.25">
      <c r="A33" s="91"/>
      <c r="B33" s="91"/>
      <c r="C33" s="91"/>
      <c r="D33" s="91"/>
      <c r="E33" s="91"/>
      <c r="F33" s="91"/>
      <c r="G33" s="91"/>
      <c r="H33" s="91"/>
      <c r="I33" s="91"/>
      <c r="J33" s="91"/>
      <c r="K33" s="91"/>
      <c r="L33" s="91"/>
      <c r="M33" s="91"/>
      <c r="N33" s="91"/>
      <c r="O33" s="91"/>
      <c r="P33" s="91"/>
      <c r="Q33" s="91"/>
      <c r="R33" s="91"/>
      <c r="S33" s="91"/>
      <c r="T33" s="91"/>
      <c r="U33" s="91"/>
      <c r="V33" s="91"/>
      <c r="W33" s="91"/>
      <c r="X33" s="91"/>
      <c r="Y33" s="91"/>
      <c r="Z33" s="91"/>
    </row>
    <row r="34" spans="1:26" x14ac:dyDescent="0.25">
      <c r="A34" s="91"/>
      <c r="B34" s="91"/>
      <c r="C34" s="91"/>
      <c r="D34" s="91"/>
      <c r="E34" s="91"/>
      <c r="F34" s="91"/>
      <c r="G34" s="91"/>
      <c r="H34" s="91"/>
      <c r="I34" s="91"/>
      <c r="J34" s="91"/>
      <c r="K34" s="91"/>
      <c r="L34" s="91"/>
      <c r="M34" s="91"/>
      <c r="N34" s="91"/>
      <c r="O34" s="91"/>
      <c r="P34" s="91"/>
      <c r="Q34" s="91"/>
      <c r="R34" s="91"/>
      <c r="S34" s="91"/>
      <c r="T34" s="91"/>
      <c r="U34" s="91"/>
      <c r="V34" s="91"/>
      <c r="W34" s="91"/>
      <c r="X34" s="91"/>
      <c r="Y34" s="91"/>
      <c r="Z34" s="91"/>
    </row>
    <row r="35" spans="1:26" x14ac:dyDescent="0.25">
      <c r="A35" s="91"/>
      <c r="B35" s="91"/>
      <c r="C35" s="91"/>
      <c r="D35" s="91"/>
      <c r="E35" s="91"/>
      <c r="F35" s="91"/>
      <c r="G35" s="91"/>
      <c r="H35" s="91"/>
      <c r="I35" s="91"/>
      <c r="J35" s="91"/>
      <c r="K35" s="91"/>
      <c r="L35" s="91"/>
      <c r="M35" s="91"/>
      <c r="N35" s="91"/>
      <c r="O35" s="91"/>
      <c r="P35" s="91"/>
      <c r="Q35" s="91"/>
      <c r="R35" s="91"/>
      <c r="S35" s="91"/>
      <c r="T35" s="91"/>
      <c r="U35" s="91"/>
      <c r="V35" s="91"/>
      <c r="W35" s="91"/>
      <c r="X35" s="91"/>
      <c r="Y35" s="91"/>
      <c r="Z35" s="91"/>
    </row>
    <row r="36" spans="1:26" x14ac:dyDescent="0.25">
      <c r="A36" s="91"/>
      <c r="B36" s="91"/>
      <c r="C36" s="91"/>
      <c r="D36" s="91"/>
      <c r="E36" s="91"/>
      <c r="F36" s="91"/>
      <c r="G36" s="91"/>
      <c r="H36" s="91"/>
      <c r="I36" s="91"/>
      <c r="J36" s="91"/>
      <c r="K36" s="91"/>
      <c r="L36" s="91"/>
      <c r="M36" s="91"/>
      <c r="N36" s="91"/>
      <c r="O36" s="91"/>
      <c r="P36" s="91"/>
      <c r="Q36" s="91"/>
      <c r="R36" s="91"/>
      <c r="S36" s="91"/>
      <c r="T36" s="91"/>
      <c r="U36" s="91"/>
      <c r="V36" s="91"/>
      <c r="W36" s="91"/>
      <c r="X36" s="91"/>
      <c r="Y36" s="91"/>
      <c r="Z36" s="91"/>
    </row>
    <row r="37" spans="1:26" x14ac:dyDescent="0.25">
      <c r="A37" s="91"/>
      <c r="B37" s="91"/>
      <c r="C37" s="91"/>
      <c r="D37" s="91"/>
      <c r="E37" s="91"/>
      <c r="F37" s="91"/>
      <c r="G37" s="91"/>
      <c r="H37" s="91"/>
      <c r="I37" s="91"/>
      <c r="J37" s="91"/>
      <c r="K37" s="91"/>
      <c r="L37" s="91"/>
      <c r="M37" s="91"/>
      <c r="N37" s="91"/>
      <c r="O37" s="91"/>
      <c r="P37" s="91"/>
      <c r="Q37" s="91"/>
      <c r="R37" s="91"/>
      <c r="S37" s="91"/>
      <c r="T37" s="91"/>
      <c r="U37" s="91"/>
      <c r="V37" s="91"/>
      <c r="W37" s="91"/>
      <c r="X37" s="91"/>
      <c r="Y37" s="91"/>
      <c r="Z37" s="91"/>
    </row>
    <row r="38" spans="1:26" x14ac:dyDescent="0.25">
      <c r="A38" s="91"/>
      <c r="B38" s="91"/>
      <c r="C38" s="91"/>
      <c r="D38" s="91"/>
      <c r="E38" s="91"/>
      <c r="F38" s="91"/>
      <c r="G38" s="91"/>
      <c r="H38" s="91"/>
      <c r="I38" s="91"/>
      <c r="J38" s="91"/>
      <c r="K38" s="91"/>
      <c r="L38" s="91"/>
      <c r="M38" s="91"/>
      <c r="N38" s="91"/>
      <c r="O38" s="91"/>
      <c r="P38" s="91"/>
      <c r="Q38" s="91"/>
      <c r="R38" s="91"/>
      <c r="S38" s="91"/>
      <c r="T38" s="91"/>
      <c r="U38" s="91"/>
      <c r="V38" s="91"/>
      <c r="W38" s="91"/>
      <c r="X38" s="91"/>
      <c r="Y38" s="91"/>
      <c r="Z38" s="91"/>
    </row>
  </sheetData>
  <dataConsolidate/>
  <mergeCells count="1">
    <mergeCell ref="A1:Z38"/>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1517" r:id="rId4" name="btn_Filtros_PPIgualAta">
          <controlPr defaultSize="0" autoLine="0" r:id="rId5">
            <anchor moveWithCells="1">
              <from>
                <xdr:col>0</xdr:col>
                <xdr:colOff>6981825</xdr:colOff>
                <xdr:row>18</xdr:row>
                <xdr:rowOff>161925</xdr:rowOff>
              </from>
              <to>
                <xdr:col>0</xdr:col>
                <xdr:colOff>12620625</xdr:colOff>
                <xdr:row>21</xdr:row>
                <xdr:rowOff>38100</xdr:rowOff>
              </to>
            </anchor>
          </controlPr>
        </control>
      </mc:Choice>
      <mc:Fallback>
        <control shapeId="21517" r:id="rId4" name="btn_Filtros_PPIgualAta"/>
      </mc:Fallback>
    </mc:AlternateContent>
    <mc:AlternateContent xmlns:mc="http://schemas.openxmlformats.org/markup-compatibility/2006">
      <mc:Choice Requires="x14">
        <control shapeId="21515" r:id="rId6" name="btn_Filtros_SAtaXMensal">
          <controlPr defaultSize="0" autoLine="0" r:id="rId7">
            <anchor moveWithCells="1">
              <from>
                <xdr:col>0</xdr:col>
                <xdr:colOff>638175</xdr:colOff>
                <xdr:row>13</xdr:row>
                <xdr:rowOff>123825</xdr:rowOff>
              </from>
              <to>
                <xdr:col>0</xdr:col>
                <xdr:colOff>6276975</xdr:colOff>
                <xdr:row>16</xdr:row>
                <xdr:rowOff>0</xdr:rowOff>
              </to>
            </anchor>
          </controlPr>
        </control>
      </mc:Choice>
      <mc:Fallback>
        <control shapeId="21515" r:id="rId6" name="btn_Filtros_SAtaXMensal"/>
      </mc:Fallback>
    </mc:AlternateContent>
    <mc:AlternateContent xmlns:mc="http://schemas.openxmlformats.org/markup-compatibility/2006">
      <mc:Choice Requires="x14">
        <control shapeId="21514" r:id="rId8" name="btn_Filtros_ColsUS">
          <controlPr defaultSize="0" autoLine="0" r:id="rId9">
            <anchor moveWithCells="1">
              <from>
                <xdr:col>0</xdr:col>
                <xdr:colOff>6981825</xdr:colOff>
                <xdr:row>26</xdr:row>
                <xdr:rowOff>123825</xdr:rowOff>
              </from>
              <to>
                <xdr:col>0</xdr:col>
                <xdr:colOff>12620625</xdr:colOff>
                <xdr:row>29</xdr:row>
                <xdr:rowOff>0</xdr:rowOff>
              </to>
            </anchor>
          </controlPr>
        </control>
      </mc:Choice>
      <mc:Fallback>
        <control shapeId="21514" r:id="rId8" name="btn_Filtros_ColsUS"/>
      </mc:Fallback>
    </mc:AlternateContent>
    <mc:AlternateContent xmlns:mc="http://schemas.openxmlformats.org/markup-compatibility/2006">
      <mc:Choice Requires="x14">
        <control shapeId="21511" r:id="rId10" name="btn_Filtros_OcultCalc">
          <controlPr defaultSize="0" autoLine="0" r:id="rId11">
            <anchor moveWithCells="1">
              <from>
                <xdr:col>0</xdr:col>
                <xdr:colOff>6981825</xdr:colOff>
                <xdr:row>24</xdr:row>
                <xdr:rowOff>9525</xdr:rowOff>
              </from>
              <to>
                <xdr:col>0</xdr:col>
                <xdr:colOff>12620625</xdr:colOff>
                <xdr:row>26</xdr:row>
                <xdr:rowOff>76200</xdr:rowOff>
              </to>
            </anchor>
          </controlPr>
        </control>
      </mc:Choice>
      <mc:Fallback>
        <control shapeId="21511" r:id="rId10" name="btn_Filtros_OcultCalc"/>
      </mc:Fallback>
    </mc:AlternateContent>
    <mc:AlternateContent xmlns:mc="http://schemas.openxmlformats.org/markup-compatibility/2006">
      <mc:Choice Requires="x14">
        <control shapeId="21510" r:id="rId12" name="btn_Filtros_Setor">
          <controlPr defaultSize="0" autoLine="0" r:id="rId13">
            <anchor moveWithCells="1">
              <from>
                <xdr:col>0</xdr:col>
                <xdr:colOff>638175</xdr:colOff>
                <xdr:row>11</xdr:row>
                <xdr:rowOff>9525</xdr:rowOff>
              </from>
              <to>
                <xdr:col>0</xdr:col>
                <xdr:colOff>6276975</xdr:colOff>
                <xdr:row>13</xdr:row>
                <xdr:rowOff>76200</xdr:rowOff>
              </to>
            </anchor>
          </controlPr>
        </control>
      </mc:Choice>
      <mc:Fallback>
        <control shapeId="21510" r:id="rId12" name="btn_Filtros_Setor"/>
      </mc:Fallback>
    </mc:AlternateContent>
    <mc:AlternateContent xmlns:mc="http://schemas.openxmlformats.org/markup-compatibility/2006">
      <mc:Choice Requires="x14">
        <control shapeId="21508" r:id="rId14" name="btn_Filtros_Situacoes">
          <controlPr defaultSize="0" autoLine="0" r:id="rId15">
            <anchor moveWithCells="1">
              <from>
                <xdr:col>0</xdr:col>
                <xdr:colOff>638175</xdr:colOff>
                <xdr:row>8</xdr:row>
                <xdr:rowOff>85725</xdr:rowOff>
              </from>
              <to>
                <xdr:col>0</xdr:col>
                <xdr:colOff>6276975</xdr:colOff>
                <xdr:row>10</xdr:row>
                <xdr:rowOff>152400</xdr:rowOff>
              </to>
            </anchor>
          </controlPr>
        </control>
      </mc:Choice>
      <mc:Fallback>
        <control shapeId="21508" r:id="rId14" name="btn_Filtros_Situacoes"/>
      </mc:Fallback>
    </mc:AlternateContent>
    <mc:AlternateContent xmlns:mc="http://schemas.openxmlformats.org/markup-compatibility/2006">
      <mc:Choice Requires="x14">
        <control shapeId="21507" r:id="rId16" name="btn_Filtros_SohPadrao">
          <controlPr defaultSize="0" autoLine="0" r:id="rId17">
            <anchor moveWithCells="1">
              <from>
                <xdr:col>0</xdr:col>
                <xdr:colOff>638175</xdr:colOff>
                <xdr:row>3</xdr:row>
                <xdr:rowOff>47625</xdr:rowOff>
              </from>
              <to>
                <xdr:col>0</xdr:col>
                <xdr:colOff>6276975</xdr:colOff>
                <xdr:row>5</xdr:row>
                <xdr:rowOff>114300</xdr:rowOff>
              </to>
            </anchor>
          </controlPr>
        </control>
      </mc:Choice>
      <mc:Fallback>
        <control shapeId="21507" r:id="rId16" name="btn_Filtros_SohPadrao"/>
      </mc:Fallback>
    </mc:AlternateContent>
    <mc:AlternateContent xmlns:mc="http://schemas.openxmlformats.org/markup-compatibility/2006">
      <mc:Choice Requires="x14">
        <control shapeId="21506" r:id="rId18" name="btn_Filtros_SohPersonal">
          <controlPr defaultSize="0" autoLine="0" r:id="rId19">
            <anchor moveWithCells="1">
              <from>
                <xdr:col>0</xdr:col>
                <xdr:colOff>638175</xdr:colOff>
                <xdr:row>0</xdr:row>
                <xdr:rowOff>123825</xdr:rowOff>
              </from>
              <to>
                <xdr:col>0</xdr:col>
                <xdr:colOff>6276975</xdr:colOff>
                <xdr:row>3</xdr:row>
                <xdr:rowOff>0</xdr:rowOff>
              </to>
            </anchor>
          </controlPr>
        </control>
      </mc:Choice>
      <mc:Fallback>
        <control shapeId="21506" r:id="rId18" name="btn_Filtros_SohPersonal"/>
      </mc:Fallback>
    </mc:AlternateContent>
    <mc:AlternateContent xmlns:mc="http://schemas.openxmlformats.org/markup-compatibility/2006">
      <mc:Choice Requires="x14">
        <control shapeId="21505" r:id="rId20" name="btn_Filtros_Limpar">
          <controlPr defaultSize="0" autoLine="0" r:id="rId21">
            <anchor moveWithCells="1">
              <from>
                <xdr:col>0</xdr:col>
                <xdr:colOff>638175</xdr:colOff>
                <xdr:row>26</xdr:row>
                <xdr:rowOff>123825</xdr:rowOff>
              </from>
              <to>
                <xdr:col>0</xdr:col>
                <xdr:colOff>6276975</xdr:colOff>
                <xdr:row>29</xdr:row>
                <xdr:rowOff>0</xdr:rowOff>
              </to>
            </anchor>
          </controlPr>
        </control>
      </mc:Choice>
      <mc:Fallback>
        <control shapeId="21505" r:id="rId20" name="btn_Filtros_Limpar"/>
      </mc:Fallback>
    </mc:AlternateContent>
    <mc:AlternateContent xmlns:mc="http://schemas.openxmlformats.org/markup-compatibility/2006">
      <mc:Choice Requires="x14">
        <control shapeId="21509" r:id="rId22" name="btn_Filtros_SemEstimativa">
          <controlPr defaultSize="0" autoLine="0" r:id="rId23">
            <anchor moveWithCells="1">
              <from>
                <xdr:col>0</xdr:col>
                <xdr:colOff>6981825</xdr:colOff>
                <xdr:row>0</xdr:row>
                <xdr:rowOff>123825</xdr:rowOff>
              </from>
              <to>
                <xdr:col>0</xdr:col>
                <xdr:colOff>12620625</xdr:colOff>
                <xdr:row>3</xdr:row>
                <xdr:rowOff>0</xdr:rowOff>
              </to>
            </anchor>
          </controlPr>
        </control>
      </mc:Choice>
      <mc:Fallback>
        <control shapeId="21509" r:id="rId22" name="btn_Filtros_SemEstimativa"/>
      </mc:Fallback>
    </mc:AlternateContent>
    <mc:AlternateContent xmlns:mc="http://schemas.openxmlformats.org/markup-compatibility/2006">
      <mc:Choice Requires="x14">
        <control shapeId="21512" r:id="rId24" name="btn_Filtros_PPAbaixoC">
          <controlPr defaultSize="0" autoLine="0" r:id="rId25">
            <anchor moveWithCells="1">
              <from>
                <xdr:col>0</xdr:col>
                <xdr:colOff>6981825</xdr:colOff>
                <xdr:row>8</xdr:row>
                <xdr:rowOff>85725</xdr:rowOff>
              </from>
              <to>
                <xdr:col>0</xdr:col>
                <xdr:colOff>12620625</xdr:colOff>
                <xdr:row>10</xdr:row>
                <xdr:rowOff>152400</xdr:rowOff>
              </to>
            </anchor>
          </controlPr>
        </control>
      </mc:Choice>
      <mc:Fallback>
        <control shapeId="21512" r:id="rId24" name="btn_Filtros_PPAbaixoC"/>
      </mc:Fallback>
    </mc:AlternateContent>
    <mc:AlternateContent xmlns:mc="http://schemas.openxmlformats.org/markup-compatibility/2006">
      <mc:Choice Requires="x14">
        <control shapeId="21513" r:id="rId26" name="btn_Filtros_PPAcimaC">
          <controlPr defaultSize="0" autoLine="0" r:id="rId27">
            <anchor moveWithCells="1">
              <from>
                <xdr:col>0</xdr:col>
                <xdr:colOff>6981825</xdr:colOff>
                <xdr:row>11</xdr:row>
                <xdr:rowOff>9525</xdr:rowOff>
              </from>
              <to>
                <xdr:col>0</xdr:col>
                <xdr:colOff>12620625</xdr:colOff>
                <xdr:row>13</xdr:row>
                <xdr:rowOff>76200</xdr:rowOff>
              </to>
            </anchor>
          </controlPr>
        </control>
      </mc:Choice>
      <mc:Fallback>
        <control shapeId="21513" r:id="rId26" name="btn_Filtros_PPAcimaC"/>
      </mc:Fallback>
    </mc:AlternateContent>
    <mc:AlternateContent xmlns:mc="http://schemas.openxmlformats.org/markup-compatibility/2006">
      <mc:Choice Requires="x14">
        <control shapeId="21516" r:id="rId28" name="btn_Filtros_PPAciCDif">
          <controlPr defaultSize="0" autoLine="0" r:id="rId29">
            <anchor moveWithCells="1">
              <from>
                <xdr:col>0</xdr:col>
                <xdr:colOff>6981825</xdr:colOff>
                <xdr:row>13</xdr:row>
                <xdr:rowOff>123825</xdr:rowOff>
              </from>
              <to>
                <xdr:col>0</xdr:col>
                <xdr:colOff>12620625</xdr:colOff>
                <xdr:row>16</xdr:row>
                <xdr:rowOff>0</xdr:rowOff>
              </to>
            </anchor>
          </controlPr>
        </control>
      </mc:Choice>
      <mc:Fallback>
        <control shapeId="21516" r:id="rId28" name="btn_Filtros_PPAciCDif"/>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4"/>
  <dimension ref="A3:D1012"/>
  <sheetViews>
    <sheetView workbookViewId="0">
      <selection activeCell="B15" sqref="B15"/>
    </sheetView>
  </sheetViews>
  <sheetFormatPr defaultRowHeight="15.75" x14ac:dyDescent="0.25"/>
  <cols>
    <col min="1" max="1" width="16.7109375" style="1" customWidth="1"/>
    <col min="2" max="2" width="163.28515625" style="3" customWidth="1"/>
    <col min="3" max="3" width="24.28515625" style="6" bestFit="1" customWidth="1"/>
    <col min="4" max="4" width="9" style="9" bestFit="1" customWidth="1"/>
  </cols>
  <sheetData>
    <row r="3" spans="1:4" x14ac:dyDescent="0.25">
      <c r="A3" s="4" t="s">
        <v>0</v>
      </c>
      <c r="B3" s="2" t="s">
        <v>1</v>
      </c>
      <c r="C3" s="5" t="s">
        <v>1004</v>
      </c>
      <c r="D3" s="10" t="s">
        <v>1003</v>
      </c>
    </row>
    <row r="4" spans="1:4" x14ac:dyDescent="0.25">
      <c r="A4" s="1">
        <v>4680</v>
      </c>
      <c r="B4" s="3" t="s">
        <v>401</v>
      </c>
      <c r="C4" s="6">
        <v>12669</v>
      </c>
      <c r="D4" s="11" t="str">
        <f t="shared" ref="D4:D67" si="0">IF($D$3="FIM","*","")</f>
        <v>*</v>
      </c>
    </row>
    <row r="5" spans="1:4" x14ac:dyDescent="0.25">
      <c r="A5" s="1">
        <v>9413</v>
      </c>
      <c r="B5" s="3" t="s">
        <v>208</v>
      </c>
      <c r="C5" s="6">
        <v>66428</v>
      </c>
      <c r="D5" s="11" t="str">
        <f t="shared" si="0"/>
        <v>*</v>
      </c>
    </row>
    <row r="6" spans="1:4" x14ac:dyDescent="0.25">
      <c r="A6" s="1">
        <v>10302</v>
      </c>
      <c r="B6" s="3" t="s">
        <v>709</v>
      </c>
      <c r="C6" s="6">
        <v>2432</v>
      </c>
      <c r="D6" s="11" t="str">
        <f t="shared" si="0"/>
        <v>*</v>
      </c>
    </row>
    <row r="7" spans="1:4" x14ac:dyDescent="0.25">
      <c r="A7" s="1">
        <v>10359</v>
      </c>
      <c r="B7" s="3" t="s">
        <v>177</v>
      </c>
      <c r="C7" s="6">
        <v>1899</v>
      </c>
      <c r="D7" s="11" t="str">
        <f t="shared" si="0"/>
        <v>*</v>
      </c>
    </row>
    <row r="8" spans="1:4" x14ac:dyDescent="0.25">
      <c r="A8" s="1">
        <v>10392</v>
      </c>
      <c r="B8" s="3" t="s">
        <v>423</v>
      </c>
      <c r="C8" s="6">
        <v>4385</v>
      </c>
      <c r="D8" s="11" t="str">
        <f t="shared" si="0"/>
        <v>*</v>
      </c>
    </row>
    <row r="9" spans="1:4" x14ac:dyDescent="0.25">
      <c r="A9" s="1">
        <v>10412</v>
      </c>
      <c r="B9" s="3" t="s">
        <v>270</v>
      </c>
      <c r="C9" s="6">
        <v>978</v>
      </c>
      <c r="D9" s="11" t="str">
        <f t="shared" si="0"/>
        <v>*</v>
      </c>
    </row>
    <row r="10" spans="1:4" x14ac:dyDescent="0.25">
      <c r="A10" s="1">
        <v>10547</v>
      </c>
      <c r="B10" s="3" t="s">
        <v>463</v>
      </c>
      <c r="C10" s="6">
        <v>12882</v>
      </c>
      <c r="D10" s="11" t="str">
        <f t="shared" si="0"/>
        <v>*</v>
      </c>
    </row>
    <row r="11" spans="1:4" x14ac:dyDescent="0.25">
      <c r="A11" s="1">
        <v>10719</v>
      </c>
      <c r="B11" s="3" t="s">
        <v>922</v>
      </c>
      <c r="C11" s="6">
        <v>39795</v>
      </c>
      <c r="D11" s="11" t="str">
        <f t="shared" si="0"/>
        <v>*</v>
      </c>
    </row>
    <row r="12" spans="1:4" x14ac:dyDescent="0.25">
      <c r="A12" s="1">
        <v>10867</v>
      </c>
      <c r="B12" s="3" t="s">
        <v>334</v>
      </c>
      <c r="C12" s="6">
        <v>27544</v>
      </c>
      <c r="D12" s="11" t="str">
        <f t="shared" si="0"/>
        <v>*</v>
      </c>
    </row>
    <row r="13" spans="1:4" x14ac:dyDescent="0.25">
      <c r="A13" s="1">
        <v>11072</v>
      </c>
      <c r="B13" s="3" t="s">
        <v>456</v>
      </c>
      <c r="C13" s="6">
        <v>371</v>
      </c>
      <c r="D13" s="11" t="str">
        <f t="shared" si="0"/>
        <v>*</v>
      </c>
    </row>
    <row r="14" spans="1:4" x14ac:dyDescent="0.25">
      <c r="A14" s="1">
        <v>11109</v>
      </c>
      <c r="B14" s="3" t="s">
        <v>457</v>
      </c>
      <c r="C14" s="6">
        <v>4159</v>
      </c>
      <c r="D14" s="11" t="str">
        <f t="shared" si="0"/>
        <v>*</v>
      </c>
    </row>
    <row r="15" spans="1:4" x14ac:dyDescent="0.25">
      <c r="A15" s="1">
        <v>11116</v>
      </c>
      <c r="B15" s="3" t="s">
        <v>458</v>
      </c>
      <c r="C15" s="6">
        <v>594</v>
      </c>
      <c r="D15" s="11" t="str">
        <f t="shared" si="0"/>
        <v>*</v>
      </c>
    </row>
    <row r="16" spans="1:4" x14ac:dyDescent="0.25">
      <c r="A16" s="1">
        <v>11264</v>
      </c>
      <c r="B16" s="3" t="s">
        <v>459</v>
      </c>
      <c r="C16" s="6">
        <v>475</v>
      </c>
      <c r="D16" s="11" t="str">
        <f t="shared" si="0"/>
        <v>*</v>
      </c>
    </row>
    <row r="17" spans="1:4" x14ac:dyDescent="0.25">
      <c r="A17" s="1">
        <v>11287</v>
      </c>
      <c r="B17" s="3" t="s">
        <v>40</v>
      </c>
      <c r="C17" s="6">
        <v>492</v>
      </c>
      <c r="D17" s="11" t="str">
        <f t="shared" si="0"/>
        <v>*</v>
      </c>
    </row>
    <row r="18" spans="1:4" x14ac:dyDescent="0.25">
      <c r="A18" s="1">
        <v>11418</v>
      </c>
      <c r="B18" s="3" t="s">
        <v>424</v>
      </c>
      <c r="C18" s="6">
        <v>6284</v>
      </c>
      <c r="D18" s="11" t="str">
        <f t="shared" si="0"/>
        <v>*</v>
      </c>
    </row>
    <row r="19" spans="1:4" x14ac:dyDescent="0.25">
      <c r="A19" s="1">
        <v>11448</v>
      </c>
      <c r="B19" s="3" t="s">
        <v>38</v>
      </c>
      <c r="C19" s="6">
        <v>963</v>
      </c>
      <c r="D19" s="11" t="str">
        <f t="shared" si="0"/>
        <v>*</v>
      </c>
    </row>
    <row r="20" spans="1:4" x14ac:dyDescent="0.25">
      <c r="A20" s="1">
        <v>11509</v>
      </c>
      <c r="B20" s="3" t="s">
        <v>425</v>
      </c>
      <c r="C20" s="6">
        <v>5990</v>
      </c>
      <c r="D20" s="11" t="str">
        <f t="shared" si="0"/>
        <v>*</v>
      </c>
    </row>
    <row r="21" spans="1:4" x14ac:dyDescent="0.25">
      <c r="A21" s="1">
        <v>11590</v>
      </c>
      <c r="B21" s="3" t="s">
        <v>426</v>
      </c>
      <c r="C21" s="6">
        <v>2607</v>
      </c>
      <c r="D21" s="11" t="str">
        <f t="shared" si="0"/>
        <v>*</v>
      </c>
    </row>
    <row r="22" spans="1:4" x14ac:dyDescent="0.25">
      <c r="A22" s="1">
        <v>11857</v>
      </c>
      <c r="B22" s="3" t="s">
        <v>435</v>
      </c>
      <c r="C22" s="6">
        <v>25634</v>
      </c>
      <c r="D22" s="11" t="str">
        <f t="shared" si="0"/>
        <v>*</v>
      </c>
    </row>
    <row r="23" spans="1:4" x14ac:dyDescent="0.25">
      <c r="A23" s="1">
        <v>12018</v>
      </c>
      <c r="B23" s="3" t="s">
        <v>436</v>
      </c>
      <c r="C23" s="6">
        <v>265</v>
      </c>
      <c r="D23" s="11" t="str">
        <f t="shared" si="0"/>
        <v>*</v>
      </c>
    </row>
    <row r="24" spans="1:4" x14ac:dyDescent="0.25">
      <c r="A24" s="1">
        <v>12613</v>
      </c>
      <c r="B24" s="3" t="s">
        <v>437</v>
      </c>
      <c r="C24" s="6">
        <v>43051</v>
      </c>
      <c r="D24" s="11" t="str">
        <f t="shared" si="0"/>
        <v>*</v>
      </c>
    </row>
    <row r="25" spans="1:4" x14ac:dyDescent="0.25">
      <c r="A25" s="1">
        <v>12614</v>
      </c>
      <c r="B25" s="3" t="s">
        <v>438</v>
      </c>
      <c r="C25" s="6">
        <v>35033</v>
      </c>
      <c r="D25" s="11" t="str">
        <f t="shared" si="0"/>
        <v>*</v>
      </c>
    </row>
    <row r="26" spans="1:4" x14ac:dyDescent="0.25">
      <c r="A26" s="1">
        <v>12615</v>
      </c>
      <c r="B26" s="3" t="s">
        <v>381</v>
      </c>
      <c r="C26" s="6">
        <v>2530</v>
      </c>
      <c r="D26" s="11" t="str">
        <f t="shared" si="0"/>
        <v>*</v>
      </c>
    </row>
    <row r="27" spans="1:4" x14ac:dyDescent="0.25">
      <c r="A27" s="1">
        <v>12616</v>
      </c>
      <c r="B27" s="3" t="s">
        <v>269</v>
      </c>
      <c r="C27" s="6">
        <v>45601</v>
      </c>
      <c r="D27" s="11" t="str">
        <f t="shared" si="0"/>
        <v>*</v>
      </c>
    </row>
    <row r="28" spans="1:4" x14ac:dyDescent="0.25">
      <c r="A28" s="1">
        <v>12623</v>
      </c>
      <c r="B28" s="3" t="s">
        <v>85</v>
      </c>
      <c r="C28" s="6">
        <v>13650</v>
      </c>
      <c r="D28" s="11" t="str">
        <f t="shared" si="0"/>
        <v>*</v>
      </c>
    </row>
    <row r="29" spans="1:4" x14ac:dyDescent="0.25">
      <c r="A29" s="1">
        <v>12635</v>
      </c>
      <c r="B29" s="3" t="s">
        <v>86</v>
      </c>
      <c r="C29" s="6">
        <v>17163</v>
      </c>
      <c r="D29" s="11" t="str">
        <f t="shared" si="0"/>
        <v>*</v>
      </c>
    </row>
    <row r="30" spans="1:4" x14ac:dyDescent="0.25">
      <c r="A30" s="1">
        <v>12652</v>
      </c>
      <c r="B30" s="3" t="s">
        <v>209</v>
      </c>
      <c r="C30" s="6">
        <v>6994</v>
      </c>
      <c r="D30" s="11" t="str">
        <f t="shared" si="0"/>
        <v>*</v>
      </c>
    </row>
    <row r="31" spans="1:4" x14ac:dyDescent="0.25">
      <c r="A31" s="1">
        <v>12654</v>
      </c>
      <c r="B31" s="3" t="s">
        <v>210</v>
      </c>
      <c r="C31" s="6">
        <v>74689</v>
      </c>
      <c r="D31" s="11" t="str">
        <f t="shared" si="0"/>
        <v>*</v>
      </c>
    </row>
    <row r="32" spans="1:4" x14ac:dyDescent="0.25">
      <c r="A32" s="1">
        <v>12657</v>
      </c>
      <c r="B32" s="3" t="s">
        <v>198</v>
      </c>
      <c r="C32" s="6">
        <v>394</v>
      </c>
      <c r="D32" s="11" t="str">
        <f t="shared" si="0"/>
        <v>*</v>
      </c>
    </row>
    <row r="33" spans="1:4" x14ac:dyDescent="0.25">
      <c r="A33" s="1">
        <v>12659</v>
      </c>
      <c r="B33" s="3" t="s">
        <v>212</v>
      </c>
      <c r="C33" s="6">
        <v>1853</v>
      </c>
      <c r="D33" s="11" t="str">
        <f t="shared" si="0"/>
        <v>*</v>
      </c>
    </row>
    <row r="34" spans="1:4" x14ac:dyDescent="0.25">
      <c r="A34" s="1">
        <v>12673</v>
      </c>
      <c r="B34" s="3" t="s">
        <v>926</v>
      </c>
      <c r="C34" s="6">
        <v>178</v>
      </c>
      <c r="D34" s="11" t="str">
        <f t="shared" si="0"/>
        <v>*</v>
      </c>
    </row>
    <row r="35" spans="1:4" x14ac:dyDescent="0.25">
      <c r="A35" s="1">
        <v>12675</v>
      </c>
      <c r="B35" s="3" t="s">
        <v>188</v>
      </c>
      <c r="C35" s="6">
        <v>78</v>
      </c>
      <c r="D35" s="11" t="str">
        <f t="shared" si="0"/>
        <v>*</v>
      </c>
    </row>
    <row r="36" spans="1:4" x14ac:dyDescent="0.25">
      <c r="A36" s="1">
        <v>12685</v>
      </c>
      <c r="B36" s="3" t="s">
        <v>937</v>
      </c>
      <c r="C36" s="6">
        <v>34794</v>
      </c>
      <c r="D36" s="11" t="str">
        <f t="shared" si="0"/>
        <v>*</v>
      </c>
    </row>
    <row r="37" spans="1:4" x14ac:dyDescent="0.25">
      <c r="A37" s="1">
        <v>12712</v>
      </c>
      <c r="B37" s="3" t="s">
        <v>384</v>
      </c>
      <c r="C37" s="6">
        <v>291</v>
      </c>
      <c r="D37" s="11" t="str">
        <f t="shared" si="0"/>
        <v>*</v>
      </c>
    </row>
    <row r="38" spans="1:4" x14ac:dyDescent="0.25">
      <c r="A38" s="1">
        <v>12754</v>
      </c>
      <c r="B38" s="3" t="s">
        <v>191</v>
      </c>
      <c r="C38" s="6">
        <v>932</v>
      </c>
      <c r="D38" s="11" t="str">
        <f t="shared" si="0"/>
        <v>*</v>
      </c>
    </row>
    <row r="39" spans="1:4" x14ac:dyDescent="0.25">
      <c r="A39" s="1">
        <v>12763</v>
      </c>
      <c r="B39" s="3" t="s">
        <v>494</v>
      </c>
      <c r="C39" s="6">
        <v>801</v>
      </c>
      <c r="D39" s="11" t="str">
        <f t="shared" si="0"/>
        <v>*</v>
      </c>
    </row>
    <row r="40" spans="1:4" x14ac:dyDescent="0.25">
      <c r="A40" s="1">
        <v>12806</v>
      </c>
      <c r="B40" s="3" t="s">
        <v>12</v>
      </c>
      <c r="C40" s="6">
        <v>27</v>
      </c>
      <c r="D40" s="11" t="str">
        <f t="shared" si="0"/>
        <v>*</v>
      </c>
    </row>
    <row r="41" spans="1:4" x14ac:dyDescent="0.25">
      <c r="A41" s="1">
        <v>12812</v>
      </c>
      <c r="B41" s="3" t="s">
        <v>155</v>
      </c>
      <c r="C41" s="6">
        <v>25</v>
      </c>
      <c r="D41" s="11" t="str">
        <f t="shared" si="0"/>
        <v>*</v>
      </c>
    </row>
    <row r="42" spans="1:4" x14ac:dyDescent="0.25">
      <c r="A42" s="1">
        <v>12813</v>
      </c>
      <c r="B42" s="3" t="s">
        <v>282</v>
      </c>
      <c r="C42" s="6">
        <v>5</v>
      </c>
      <c r="D42" s="11" t="str">
        <f t="shared" si="0"/>
        <v>*</v>
      </c>
    </row>
    <row r="43" spans="1:4" x14ac:dyDescent="0.25">
      <c r="A43" s="1">
        <v>12818</v>
      </c>
      <c r="B43" s="3" t="s">
        <v>5</v>
      </c>
      <c r="C43" s="6">
        <v>195</v>
      </c>
      <c r="D43" s="11" t="str">
        <f t="shared" si="0"/>
        <v>*</v>
      </c>
    </row>
    <row r="44" spans="1:4" x14ac:dyDescent="0.25">
      <c r="A44" s="1">
        <v>12820</v>
      </c>
      <c r="B44" s="3" t="s">
        <v>231</v>
      </c>
      <c r="C44" s="6">
        <v>106</v>
      </c>
      <c r="D44" s="11" t="str">
        <f t="shared" si="0"/>
        <v>*</v>
      </c>
    </row>
    <row r="45" spans="1:4" x14ac:dyDescent="0.25">
      <c r="A45" s="1">
        <v>12821</v>
      </c>
      <c r="B45" s="3" t="s">
        <v>283</v>
      </c>
      <c r="C45" s="6">
        <v>20</v>
      </c>
      <c r="D45" s="11" t="str">
        <f t="shared" si="0"/>
        <v>*</v>
      </c>
    </row>
    <row r="46" spans="1:4" x14ac:dyDescent="0.25">
      <c r="A46" s="1">
        <v>12824</v>
      </c>
      <c r="B46" s="3" t="s">
        <v>284</v>
      </c>
      <c r="C46" s="6">
        <v>29</v>
      </c>
      <c r="D46" s="11" t="str">
        <f t="shared" si="0"/>
        <v>*</v>
      </c>
    </row>
    <row r="47" spans="1:4" x14ac:dyDescent="0.25">
      <c r="A47" s="1">
        <v>12829</v>
      </c>
      <c r="B47" s="3" t="s">
        <v>6</v>
      </c>
      <c r="C47" s="6">
        <v>175</v>
      </c>
      <c r="D47" s="11" t="str">
        <f t="shared" si="0"/>
        <v>*</v>
      </c>
    </row>
    <row r="48" spans="1:4" x14ac:dyDescent="0.25">
      <c r="A48" s="1">
        <v>12830</v>
      </c>
      <c r="B48" s="3" t="s">
        <v>730</v>
      </c>
      <c r="C48" s="6">
        <v>248</v>
      </c>
      <c r="D48" s="11" t="str">
        <f t="shared" si="0"/>
        <v>*</v>
      </c>
    </row>
    <row r="49" spans="1:4" x14ac:dyDescent="0.25">
      <c r="A49" s="1">
        <v>12831</v>
      </c>
      <c r="B49" s="3" t="s">
        <v>7</v>
      </c>
      <c r="C49" s="6">
        <v>82</v>
      </c>
      <c r="D49" s="11" t="str">
        <f t="shared" si="0"/>
        <v>*</v>
      </c>
    </row>
    <row r="50" spans="1:4" x14ac:dyDescent="0.25">
      <c r="A50" s="1">
        <v>12835</v>
      </c>
      <c r="B50" s="3" t="s">
        <v>731</v>
      </c>
      <c r="C50" s="6">
        <v>261</v>
      </c>
      <c r="D50" s="11" t="str">
        <f t="shared" si="0"/>
        <v>*</v>
      </c>
    </row>
    <row r="51" spans="1:4" x14ac:dyDescent="0.25">
      <c r="A51" s="1">
        <v>12838</v>
      </c>
      <c r="B51" s="3" t="s">
        <v>8</v>
      </c>
      <c r="C51" s="6">
        <v>108</v>
      </c>
      <c r="D51" s="11" t="str">
        <f t="shared" si="0"/>
        <v>*</v>
      </c>
    </row>
    <row r="52" spans="1:4" x14ac:dyDescent="0.25">
      <c r="A52" s="1">
        <v>12847</v>
      </c>
      <c r="B52" s="3" t="s">
        <v>238</v>
      </c>
      <c r="C52" s="6">
        <v>3093</v>
      </c>
      <c r="D52" s="11" t="str">
        <f t="shared" si="0"/>
        <v>*</v>
      </c>
    </row>
    <row r="53" spans="1:4" x14ac:dyDescent="0.25">
      <c r="A53" s="1">
        <v>12853</v>
      </c>
      <c r="B53" s="3" t="s">
        <v>961</v>
      </c>
      <c r="C53" s="6">
        <v>123</v>
      </c>
      <c r="D53" s="11" t="str">
        <f t="shared" si="0"/>
        <v>*</v>
      </c>
    </row>
    <row r="54" spans="1:4" x14ac:dyDescent="0.25">
      <c r="A54" s="1">
        <v>12856</v>
      </c>
      <c r="B54" s="3" t="s">
        <v>962</v>
      </c>
      <c r="C54" s="6">
        <v>3529</v>
      </c>
      <c r="D54" s="11" t="str">
        <f t="shared" si="0"/>
        <v>*</v>
      </c>
    </row>
    <row r="55" spans="1:4" x14ac:dyDescent="0.25">
      <c r="A55" s="1">
        <v>12857</v>
      </c>
      <c r="B55" s="3" t="s">
        <v>152</v>
      </c>
      <c r="C55" s="6">
        <v>357</v>
      </c>
      <c r="D55" s="11" t="str">
        <f t="shared" si="0"/>
        <v>*</v>
      </c>
    </row>
    <row r="56" spans="1:4" x14ac:dyDescent="0.25">
      <c r="A56" s="1">
        <v>12869</v>
      </c>
      <c r="B56" s="3" t="s">
        <v>732</v>
      </c>
      <c r="C56" s="6">
        <v>0</v>
      </c>
      <c r="D56" s="11" t="str">
        <f t="shared" si="0"/>
        <v>*</v>
      </c>
    </row>
    <row r="57" spans="1:4" x14ac:dyDescent="0.25">
      <c r="A57" s="1">
        <v>12877</v>
      </c>
      <c r="B57" s="3" t="s">
        <v>175</v>
      </c>
      <c r="C57" s="6">
        <v>371</v>
      </c>
      <c r="D57" s="11" t="str">
        <f t="shared" si="0"/>
        <v>*</v>
      </c>
    </row>
    <row r="58" spans="1:4" x14ac:dyDescent="0.25">
      <c r="A58" s="1">
        <v>12881</v>
      </c>
      <c r="B58" s="3" t="s">
        <v>733</v>
      </c>
      <c r="C58" s="6">
        <v>200</v>
      </c>
      <c r="D58" s="11" t="str">
        <f t="shared" si="0"/>
        <v>*</v>
      </c>
    </row>
    <row r="59" spans="1:4" x14ac:dyDescent="0.25">
      <c r="A59" s="1">
        <v>12884</v>
      </c>
      <c r="B59" s="3" t="s">
        <v>285</v>
      </c>
      <c r="C59" s="6">
        <v>241</v>
      </c>
      <c r="D59" s="11" t="str">
        <f t="shared" si="0"/>
        <v>*</v>
      </c>
    </row>
    <row r="60" spans="1:4" x14ac:dyDescent="0.25">
      <c r="A60" s="1">
        <v>12886</v>
      </c>
      <c r="B60" s="3" t="s">
        <v>734</v>
      </c>
      <c r="C60" s="6">
        <v>151</v>
      </c>
      <c r="D60" s="11" t="str">
        <f t="shared" si="0"/>
        <v>*</v>
      </c>
    </row>
    <row r="61" spans="1:4" x14ac:dyDescent="0.25">
      <c r="A61" s="1">
        <v>12891</v>
      </c>
      <c r="B61" s="3" t="s">
        <v>295</v>
      </c>
      <c r="C61" s="6">
        <v>75</v>
      </c>
      <c r="D61" s="11" t="str">
        <f t="shared" si="0"/>
        <v>*</v>
      </c>
    </row>
    <row r="62" spans="1:4" x14ac:dyDescent="0.25">
      <c r="A62" s="1">
        <v>12894</v>
      </c>
      <c r="B62" s="3" t="s">
        <v>735</v>
      </c>
      <c r="C62" s="6">
        <v>894</v>
      </c>
      <c r="D62" s="11" t="str">
        <f t="shared" si="0"/>
        <v>*</v>
      </c>
    </row>
    <row r="63" spans="1:4" x14ac:dyDescent="0.25">
      <c r="A63" s="1">
        <v>12922</v>
      </c>
      <c r="B63" s="3" t="s">
        <v>281</v>
      </c>
      <c r="C63" s="6">
        <v>24</v>
      </c>
      <c r="D63" s="11" t="str">
        <f t="shared" si="0"/>
        <v>*</v>
      </c>
    </row>
    <row r="64" spans="1:4" x14ac:dyDescent="0.25">
      <c r="A64" s="1">
        <v>12948</v>
      </c>
      <c r="B64" s="3" t="s">
        <v>736</v>
      </c>
      <c r="C64" s="6">
        <v>14</v>
      </c>
      <c r="D64" s="11" t="str">
        <f t="shared" si="0"/>
        <v>*</v>
      </c>
    </row>
    <row r="65" spans="1:4" x14ac:dyDescent="0.25">
      <c r="A65" s="1">
        <v>12950</v>
      </c>
      <c r="B65" s="3" t="s">
        <v>737</v>
      </c>
      <c r="C65" s="6">
        <v>91</v>
      </c>
      <c r="D65" s="11" t="str">
        <f t="shared" si="0"/>
        <v>*</v>
      </c>
    </row>
    <row r="66" spans="1:4" x14ac:dyDescent="0.25">
      <c r="A66" s="1">
        <v>12956</v>
      </c>
      <c r="B66" s="3" t="s">
        <v>738</v>
      </c>
      <c r="C66" s="6">
        <v>483</v>
      </c>
      <c r="D66" s="11" t="str">
        <f t="shared" si="0"/>
        <v>*</v>
      </c>
    </row>
    <row r="67" spans="1:4" x14ac:dyDescent="0.25">
      <c r="A67" s="1">
        <v>12971</v>
      </c>
      <c r="B67" s="3" t="s">
        <v>20</v>
      </c>
      <c r="C67" s="6">
        <v>151</v>
      </c>
      <c r="D67" s="11" t="str">
        <f t="shared" si="0"/>
        <v>*</v>
      </c>
    </row>
    <row r="68" spans="1:4" x14ac:dyDescent="0.25">
      <c r="A68" s="1">
        <v>12989</v>
      </c>
      <c r="B68" s="3" t="s">
        <v>617</v>
      </c>
      <c r="C68" s="6">
        <v>202</v>
      </c>
      <c r="D68" s="11" t="str">
        <f t="shared" ref="D68:D131" si="1">IF($D$3="FIM","*","")</f>
        <v>*</v>
      </c>
    </row>
    <row r="69" spans="1:4" x14ac:dyDescent="0.25">
      <c r="A69" s="1">
        <v>12992</v>
      </c>
      <c r="B69" s="3" t="s">
        <v>102</v>
      </c>
      <c r="C69" s="6">
        <v>59</v>
      </c>
      <c r="D69" s="11" t="str">
        <f t="shared" si="1"/>
        <v>*</v>
      </c>
    </row>
    <row r="70" spans="1:4" x14ac:dyDescent="0.25">
      <c r="A70" s="1">
        <v>13009</v>
      </c>
      <c r="B70" s="3" t="s">
        <v>646</v>
      </c>
      <c r="C70" s="6">
        <v>499</v>
      </c>
      <c r="D70" s="11" t="str">
        <f t="shared" si="1"/>
        <v>*</v>
      </c>
    </row>
    <row r="71" spans="1:4" x14ac:dyDescent="0.25">
      <c r="A71" s="1">
        <v>13021</v>
      </c>
      <c r="B71" s="3" t="s">
        <v>835</v>
      </c>
      <c r="C71" s="6">
        <v>1</v>
      </c>
      <c r="D71" s="11" t="str">
        <f t="shared" si="1"/>
        <v>*</v>
      </c>
    </row>
    <row r="72" spans="1:4" x14ac:dyDescent="0.25">
      <c r="A72" s="1">
        <v>13033</v>
      </c>
      <c r="B72" s="3" t="s">
        <v>537</v>
      </c>
      <c r="C72" s="6">
        <v>20</v>
      </c>
      <c r="D72" s="11" t="str">
        <f t="shared" si="1"/>
        <v>*</v>
      </c>
    </row>
    <row r="73" spans="1:4" x14ac:dyDescent="0.25">
      <c r="A73" s="1">
        <v>13053</v>
      </c>
      <c r="B73" s="3" t="s">
        <v>374</v>
      </c>
      <c r="C73" s="6">
        <v>828</v>
      </c>
      <c r="D73" s="11" t="str">
        <f t="shared" si="1"/>
        <v>*</v>
      </c>
    </row>
    <row r="74" spans="1:4" x14ac:dyDescent="0.25">
      <c r="A74" s="1">
        <v>13059</v>
      </c>
      <c r="B74" s="3" t="s">
        <v>367</v>
      </c>
      <c r="C74" s="6">
        <v>270</v>
      </c>
      <c r="D74" s="11" t="str">
        <f t="shared" si="1"/>
        <v>*</v>
      </c>
    </row>
    <row r="75" spans="1:4" x14ac:dyDescent="0.25">
      <c r="A75" s="1">
        <v>13060</v>
      </c>
      <c r="B75" s="3" t="s">
        <v>368</v>
      </c>
      <c r="C75" s="6">
        <v>265</v>
      </c>
      <c r="D75" s="11" t="str">
        <f t="shared" si="1"/>
        <v>*</v>
      </c>
    </row>
    <row r="76" spans="1:4" x14ac:dyDescent="0.25">
      <c r="A76" s="1">
        <v>13063</v>
      </c>
      <c r="B76" s="3" t="s">
        <v>774</v>
      </c>
      <c r="C76" s="6">
        <v>605</v>
      </c>
      <c r="D76" s="11" t="str">
        <f t="shared" si="1"/>
        <v>*</v>
      </c>
    </row>
    <row r="77" spans="1:4" x14ac:dyDescent="0.25">
      <c r="A77" s="1">
        <v>13064</v>
      </c>
      <c r="B77" s="3" t="s">
        <v>775</v>
      </c>
      <c r="C77" s="6">
        <v>1128</v>
      </c>
      <c r="D77" s="11" t="str">
        <f t="shared" si="1"/>
        <v>*</v>
      </c>
    </row>
    <row r="78" spans="1:4" x14ac:dyDescent="0.25">
      <c r="A78" s="1">
        <v>13066</v>
      </c>
      <c r="B78" s="3" t="s">
        <v>156</v>
      </c>
      <c r="C78" s="6">
        <v>345</v>
      </c>
      <c r="D78" s="11" t="str">
        <f t="shared" si="1"/>
        <v>*</v>
      </c>
    </row>
    <row r="79" spans="1:4" x14ac:dyDescent="0.25">
      <c r="A79" s="1">
        <v>13068</v>
      </c>
      <c r="B79" s="3" t="s">
        <v>739</v>
      </c>
      <c r="C79" s="6">
        <v>18</v>
      </c>
      <c r="D79" s="11" t="str">
        <f t="shared" si="1"/>
        <v>*</v>
      </c>
    </row>
    <row r="80" spans="1:4" x14ac:dyDescent="0.25">
      <c r="A80" s="1">
        <v>13072</v>
      </c>
      <c r="B80" s="3" t="s">
        <v>740</v>
      </c>
      <c r="C80" s="6">
        <v>200</v>
      </c>
      <c r="D80" s="11" t="str">
        <f t="shared" si="1"/>
        <v>*</v>
      </c>
    </row>
    <row r="81" spans="1:4" x14ac:dyDescent="0.25">
      <c r="A81" s="1">
        <v>13087</v>
      </c>
      <c r="B81" s="3" t="s">
        <v>159</v>
      </c>
      <c r="C81" s="6">
        <v>35</v>
      </c>
      <c r="D81" s="11" t="str">
        <f t="shared" si="1"/>
        <v>*</v>
      </c>
    </row>
    <row r="82" spans="1:4" x14ac:dyDescent="0.25">
      <c r="A82" s="1">
        <v>13088</v>
      </c>
      <c r="B82" s="3" t="s">
        <v>157</v>
      </c>
      <c r="C82" s="6">
        <v>28</v>
      </c>
      <c r="D82" s="11" t="str">
        <f t="shared" si="1"/>
        <v>*</v>
      </c>
    </row>
    <row r="83" spans="1:4" x14ac:dyDescent="0.25">
      <c r="A83" s="1">
        <v>13091</v>
      </c>
      <c r="B83" s="3" t="s">
        <v>464</v>
      </c>
      <c r="C83" s="6">
        <v>3839</v>
      </c>
      <c r="D83" s="11" t="str">
        <f t="shared" si="1"/>
        <v>*</v>
      </c>
    </row>
    <row r="84" spans="1:4" x14ac:dyDescent="0.25">
      <c r="A84" s="1">
        <v>13092</v>
      </c>
      <c r="B84" s="3" t="s">
        <v>311</v>
      </c>
      <c r="C84" s="6">
        <v>88</v>
      </c>
      <c r="D84" s="11" t="str">
        <f t="shared" si="1"/>
        <v>*</v>
      </c>
    </row>
    <row r="85" spans="1:4" x14ac:dyDescent="0.25">
      <c r="A85" s="1">
        <v>13094</v>
      </c>
      <c r="B85" s="3" t="s">
        <v>505</v>
      </c>
      <c r="C85" s="6">
        <v>989</v>
      </c>
      <c r="D85" s="11" t="str">
        <f t="shared" si="1"/>
        <v>*</v>
      </c>
    </row>
    <row r="86" spans="1:4" x14ac:dyDescent="0.25">
      <c r="A86" s="1">
        <v>13095</v>
      </c>
      <c r="B86" s="3" t="s">
        <v>741</v>
      </c>
      <c r="C86" s="6">
        <v>65</v>
      </c>
      <c r="D86" s="11" t="str">
        <f t="shared" si="1"/>
        <v>*</v>
      </c>
    </row>
    <row r="87" spans="1:4" x14ac:dyDescent="0.25">
      <c r="A87" s="1">
        <v>13101</v>
      </c>
      <c r="B87" s="3" t="s">
        <v>977</v>
      </c>
      <c r="C87" s="6">
        <v>22</v>
      </c>
      <c r="D87" s="11" t="str">
        <f t="shared" si="1"/>
        <v>*</v>
      </c>
    </row>
    <row r="88" spans="1:4" x14ac:dyDescent="0.25">
      <c r="A88" s="1">
        <v>13102</v>
      </c>
      <c r="B88" s="3" t="s">
        <v>742</v>
      </c>
      <c r="C88" s="6">
        <v>8</v>
      </c>
      <c r="D88" s="11" t="str">
        <f t="shared" si="1"/>
        <v>*</v>
      </c>
    </row>
    <row r="89" spans="1:4" x14ac:dyDescent="0.25">
      <c r="A89" s="1">
        <v>13109</v>
      </c>
      <c r="B89" s="3" t="s">
        <v>978</v>
      </c>
      <c r="C89" s="6">
        <v>109</v>
      </c>
      <c r="D89" s="11" t="str">
        <f t="shared" si="1"/>
        <v>*</v>
      </c>
    </row>
    <row r="90" spans="1:4" x14ac:dyDescent="0.25">
      <c r="A90" s="1">
        <v>13116</v>
      </c>
      <c r="B90" s="3" t="s">
        <v>785</v>
      </c>
      <c r="C90" s="6">
        <v>26</v>
      </c>
      <c r="D90" s="11" t="str">
        <f t="shared" si="1"/>
        <v>*</v>
      </c>
    </row>
    <row r="91" spans="1:4" x14ac:dyDescent="0.25">
      <c r="A91" s="1">
        <v>13117</v>
      </c>
      <c r="B91" s="3" t="s">
        <v>317</v>
      </c>
      <c r="C91" s="6">
        <v>65</v>
      </c>
      <c r="D91" s="11" t="str">
        <f t="shared" si="1"/>
        <v>*</v>
      </c>
    </row>
    <row r="92" spans="1:4" x14ac:dyDescent="0.25">
      <c r="A92" s="1">
        <v>13120</v>
      </c>
      <c r="B92" s="3" t="s">
        <v>786</v>
      </c>
      <c r="C92" s="6">
        <v>10</v>
      </c>
      <c r="D92" s="11" t="str">
        <f t="shared" si="1"/>
        <v>*</v>
      </c>
    </row>
    <row r="93" spans="1:4" x14ac:dyDescent="0.25">
      <c r="A93" s="1">
        <v>13161</v>
      </c>
      <c r="B93" s="3" t="s">
        <v>779</v>
      </c>
      <c r="C93" s="6">
        <v>428</v>
      </c>
      <c r="D93" s="11" t="str">
        <f t="shared" si="1"/>
        <v>*</v>
      </c>
    </row>
    <row r="94" spans="1:4" x14ac:dyDescent="0.25">
      <c r="A94" s="1">
        <v>13165</v>
      </c>
      <c r="B94" s="3" t="s">
        <v>780</v>
      </c>
      <c r="C94" s="6">
        <v>647</v>
      </c>
      <c r="D94" s="11" t="str">
        <f t="shared" si="1"/>
        <v>*</v>
      </c>
    </row>
    <row r="95" spans="1:4" x14ac:dyDescent="0.25">
      <c r="A95" s="1">
        <v>13175</v>
      </c>
      <c r="B95" s="3" t="s">
        <v>781</v>
      </c>
      <c r="C95" s="6">
        <v>352</v>
      </c>
      <c r="D95" s="11" t="str">
        <f t="shared" si="1"/>
        <v>*</v>
      </c>
    </row>
    <row r="96" spans="1:4" x14ac:dyDescent="0.25">
      <c r="A96" s="1">
        <v>13178</v>
      </c>
      <c r="B96" s="3" t="s">
        <v>851</v>
      </c>
      <c r="C96" s="6">
        <v>7511</v>
      </c>
      <c r="D96" s="11" t="str">
        <f t="shared" si="1"/>
        <v>*</v>
      </c>
    </row>
    <row r="97" spans="1:4" x14ac:dyDescent="0.25">
      <c r="A97" s="1">
        <v>13179</v>
      </c>
      <c r="B97" s="3" t="s">
        <v>852</v>
      </c>
      <c r="C97" s="6">
        <v>10076</v>
      </c>
      <c r="D97" s="11" t="str">
        <f t="shared" si="1"/>
        <v>*</v>
      </c>
    </row>
    <row r="98" spans="1:4" x14ac:dyDescent="0.25">
      <c r="A98" s="1">
        <v>13180</v>
      </c>
      <c r="B98" s="3" t="s">
        <v>511</v>
      </c>
      <c r="C98" s="6">
        <v>175</v>
      </c>
      <c r="D98" s="11" t="str">
        <f t="shared" si="1"/>
        <v>*</v>
      </c>
    </row>
    <row r="99" spans="1:4" x14ac:dyDescent="0.25">
      <c r="A99" s="1">
        <v>13181</v>
      </c>
      <c r="B99" s="3" t="s">
        <v>512</v>
      </c>
      <c r="C99" s="6">
        <v>45</v>
      </c>
      <c r="D99" s="11" t="str">
        <f t="shared" si="1"/>
        <v>*</v>
      </c>
    </row>
    <row r="100" spans="1:4" x14ac:dyDescent="0.25">
      <c r="A100" s="1">
        <v>13186</v>
      </c>
      <c r="B100" s="3" t="s">
        <v>947</v>
      </c>
      <c r="C100" s="6">
        <v>70</v>
      </c>
      <c r="D100" s="11" t="str">
        <f t="shared" si="1"/>
        <v>*</v>
      </c>
    </row>
    <row r="101" spans="1:4" x14ac:dyDescent="0.25">
      <c r="A101" s="1">
        <v>13192</v>
      </c>
      <c r="B101" s="3" t="s">
        <v>553</v>
      </c>
      <c r="C101" s="6">
        <v>41</v>
      </c>
      <c r="D101" s="11" t="str">
        <f t="shared" si="1"/>
        <v>*</v>
      </c>
    </row>
    <row r="102" spans="1:4" x14ac:dyDescent="0.25">
      <c r="A102" s="1">
        <v>13197</v>
      </c>
      <c r="B102" s="3" t="s">
        <v>502</v>
      </c>
      <c r="C102" s="6">
        <v>0</v>
      </c>
      <c r="D102" s="11" t="str">
        <f t="shared" si="1"/>
        <v>*</v>
      </c>
    </row>
    <row r="103" spans="1:4" x14ac:dyDescent="0.25">
      <c r="A103" s="1">
        <v>13199</v>
      </c>
      <c r="B103" s="3" t="s">
        <v>146</v>
      </c>
      <c r="C103" s="6">
        <v>260</v>
      </c>
      <c r="D103" s="11" t="str">
        <f t="shared" si="1"/>
        <v>*</v>
      </c>
    </row>
    <row r="104" spans="1:4" x14ac:dyDescent="0.25">
      <c r="A104" s="1">
        <v>13218</v>
      </c>
      <c r="B104" s="3" t="s">
        <v>160</v>
      </c>
      <c r="C104" s="6">
        <v>162</v>
      </c>
      <c r="D104" s="11" t="str">
        <f t="shared" si="1"/>
        <v>*</v>
      </c>
    </row>
    <row r="105" spans="1:4" x14ac:dyDescent="0.25">
      <c r="A105" s="1">
        <v>13221</v>
      </c>
      <c r="B105" s="3" t="s">
        <v>816</v>
      </c>
      <c r="C105" s="6">
        <v>1105</v>
      </c>
      <c r="D105" s="11" t="str">
        <f t="shared" si="1"/>
        <v>*</v>
      </c>
    </row>
    <row r="106" spans="1:4" x14ac:dyDescent="0.25">
      <c r="A106" s="1">
        <v>13222</v>
      </c>
      <c r="B106" s="3" t="s">
        <v>817</v>
      </c>
      <c r="C106" s="6">
        <v>285</v>
      </c>
      <c r="D106" s="11" t="str">
        <f t="shared" si="1"/>
        <v>*</v>
      </c>
    </row>
    <row r="107" spans="1:4" x14ac:dyDescent="0.25">
      <c r="A107" s="1">
        <v>13225</v>
      </c>
      <c r="B107" s="3" t="s">
        <v>506</v>
      </c>
      <c r="C107" s="6">
        <v>216</v>
      </c>
      <c r="D107" s="11" t="str">
        <f t="shared" si="1"/>
        <v>*</v>
      </c>
    </row>
    <row r="108" spans="1:4" x14ac:dyDescent="0.25">
      <c r="A108" s="1">
        <v>13517</v>
      </c>
      <c r="B108" s="3" t="s">
        <v>743</v>
      </c>
      <c r="C108" s="6">
        <v>32</v>
      </c>
      <c r="D108" s="11" t="str">
        <f t="shared" si="1"/>
        <v>*</v>
      </c>
    </row>
    <row r="109" spans="1:4" x14ac:dyDescent="0.25">
      <c r="A109" s="1">
        <v>13518</v>
      </c>
      <c r="B109" s="3" t="s">
        <v>744</v>
      </c>
      <c r="C109" s="6">
        <v>64</v>
      </c>
      <c r="D109" s="11" t="str">
        <f t="shared" si="1"/>
        <v>*</v>
      </c>
    </row>
    <row r="110" spans="1:4" x14ac:dyDescent="0.25">
      <c r="A110" s="1">
        <v>13539</v>
      </c>
      <c r="B110" s="3" t="s">
        <v>477</v>
      </c>
      <c r="C110" s="6">
        <v>2991</v>
      </c>
      <c r="D110" s="11" t="str">
        <f t="shared" si="1"/>
        <v>*</v>
      </c>
    </row>
    <row r="111" spans="1:4" x14ac:dyDescent="0.25">
      <c r="A111" s="1">
        <v>13556</v>
      </c>
      <c r="B111" s="3" t="s">
        <v>723</v>
      </c>
      <c r="C111" s="6">
        <v>30</v>
      </c>
      <c r="D111" s="11" t="str">
        <f t="shared" si="1"/>
        <v>*</v>
      </c>
    </row>
    <row r="112" spans="1:4" x14ac:dyDescent="0.25">
      <c r="A112" s="1">
        <v>13558</v>
      </c>
      <c r="B112" s="3" t="s">
        <v>250</v>
      </c>
      <c r="C112" s="6">
        <v>43</v>
      </c>
      <c r="D112" s="11" t="str">
        <f t="shared" si="1"/>
        <v>*</v>
      </c>
    </row>
    <row r="113" spans="1:4" x14ac:dyDescent="0.25">
      <c r="A113" s="1">
        <v>13559</v>
      </c>
      <c r="B113" s="3" t="s">
        <v>251</v>
      </c>
      <c r="C113" s="6">
        <v>149</v>
      </c>
      <c r="D113" s="11" t="str">
        <f t="shared" si="1"/>
        <v>*</v>
      </c>
    </row>
    <row r="114" spans="1:4" x14ac:dyDescent="0.25">
      <c r="A114" s="1">
        <v>13560</v>
      </c>
      <c r="B114" s="3" t="s">
        <v>252</v>
      </c>
      <c r="C114" s="6">
        <v>17</v>
      </c>
      <c r="D114" s="11" t="str">
        <f t="shared" si="1"/>
        <v>*</v>
      </c>
    </row>
    <row r="115" spans="1:4" x14ac:dyDescent="0.25">
      <c r="A115" s="1">
        <v>13561</v>
      </c>
      <c r="B115" s="3" t="s">
        <v>253</v>
      </c>
      <c r="C115" s="6">
        <v>74</v>
      </c>
      <c r="D115" s="11" t="str">
        <f t="shared" si="1"/>
        <v>*</v>
      </c>
    </row>
    <row r="116" spans="1:4" x14ac:dyDescent="0.25">
      <c r="A116" s="1">
        <v>13562</v>
      </c>
      <c r="B116" s="3" t="s">
        <v>254</v>
      </c>
      <c r="C116" s="6">
        <v>252</v>
      </c>
      <c r="D116" s="11" t="str">
        <f t="shared" si="1"/>
        <v>*</v>
      </c>
    </row>
    <row r="117" spans="1:4" x14ac:dyDescent="0.25">
      <c r="A117" s="1">
        <v>13563</v>
      </c>
      <c r="B117" s="3" t="s">
        <v>787</v>
      </c>
      <c r="C117" s="6">
        <v>381</v>
      </c>
      <c r="D117" s="11" t="str">
        <f t="shared" si="1"/>
        <v>*</v>
      </c>
    </row>
    <row r="118" spans="1:4" x14ac:dyDescent="0.25">
      <c r="A118" s="1">
        <v>13655</v>
      </c>
      <c r="B118" s="3" t="s">
        <v>439</v>
      </c>
      <c r="C118" s="6">
        <v>10836</v>
      </c>
      <c r="D118" s="11" t="str">
        <f t="shared" si="1"/>
        <v>*</v>
      </c>
    </row>
    <row r="119" spans="1:4" x14ac:dyDescent="0.25">
      <c r="A119" s="1">
        <v>13768</v>
      </c>
      <c r="B119" s="3" t="s">
        <v>440</v>
      </c>
      <c r="C119" s="6">
        <v>1858</v>
      </c>
      <c r="D119" s="11" t="str">
        <f t="shared" si="1"/>
        <v>*</v>
      </c>
    </row>
    <row r="120" spans="1:4" x14ac:dyDescent="0.25">
      <c r="A120" s="1">
        <v>13905</v>
      </c>
      <c r="B120" s="3" t="s">
        <v>386</v>
      </c>
      <c r="C120" s="6">
        <v>5721</v>
      </c>
      <c r="D120" s="11" t="str">
        <f t="shared" si="1"/>
        <v>*</v>
      </c>
    </row>
    <row r="121" spans="1:4" x14ac:dyDescent="0.25">
      <c r="A121" s="1">
        <v>13975</v>
      </c>
      <c r="B121" s="3" t="s">
        <v>195</v>
      </c>
      <c r="C121" s="6">
        <v>150</v>
      </c>
      <c r="D121" s="11" t="str">
        <f t="shared" si="1"/>
        <v>*</v>
      </c>
    </row>
    <row r="122" spans="1:4" x14ac:dyDescent="0.25">
      <c r="A122" s="1">
        <v>13991</v>
      </c>
      <c r="B122" s="3" t="s">
        <v>192</v>
      </c>
      <c r="C122" s="6">
        <v>382</v>
      </c>
      <c r="D122" s="11" t="str">
        <f t="shared" si="1"/>
        <v>*</v>
      </c>
    </row>
    <row r="123" spans="1:4" x14ac:dyDescent="0.25">
      <c r="A123" s="1">
        <v>14001</v>
      </c>
      <c r="B123" s="3" t="s">
        <v>495</v>
      </c>
      <c r="C123" s="6">
        <v>153</v>
      </c>
      <c r="D123" s="11" t="str">
        <f t="shared" si="1"/>
        <v>*</v>
      </c>
    </row>
    <row r="124" spans="1:4" x14ac:dyDescent="0.25">
      <c r="A124" s="1">
        <v>14012</v>
      </c>
      <c r="B124" s="3" t="s">
        <v>684</v>
      </c>
      <c r="C124" s="6">
        <v>445</v>
      </c>
      <c r="D124" s="11" t="str">
        <f t="shared" si="1"/>
        <v>*</v>
      </c>
    </row>
    <row r="125" spans="1:4" x14ac:dyDescent="0.25">
      <c r="A125" s="1">
        <v>14013</v>
      </c>
      <c r="B125" s="3" t="s">
        <v>34</v>
      </c>
      <c r="C125" s="6">
        <v>171</v>
      </c>
      <c r="D125" s="11" t="str">
        <f t="shared" si="1"/>
        <v>*</v>
      </c>
    </row>
    <row r="126" spans="1:4" x14ac:dyDescent="0.25">
      <c r="A126" s="1">
        <v>14014</v>
      </c>
      <c r="B126" s="3" t="s">
        <v>685</v>
      </c>
      <c r="C126" s="6">
        <v>3</v>
      </c>
      <c r="D126" s="11" t="str">
        <f t="shared" si="1"/>
        <v>*</v>
      </c>
    </row>
    <row r="127" spans="1:4" x14ac:dyDescent="0.25">
      <c r="A127" s="1">
        <v>14055</v>
      </c>
      <c r="B127" s="3" t="s">
        <v>836</v>
      </c>
      <c r="C127" s="6">
        <v>27</v>
      </c>
      <c r="D127" s="11" t="str">
        <f t="shared" si="1"/>
        <v>*</v>
      </c>
    </row>
    <row r="128" spans="1:4" x14ac:dyDescent="0.25">
      <c r="A128" s="1">
        <v>14056</v>
      </c>
      <c r="B128" s="3" t="s">
        <v>513</v>
      </c>
      <c r="C128" s="6">
        <v>1</v>
      </c>
      <c r="D128" s="11" t="str">
        <f t="shared" si="1"/>
        <v>*</v>
      </c>
    </row>
    <row r="129" spans="1:4" x14ac:dyDescent="0.25">
      <c r="A129" s="1">
        <v>14121</v>
      </c>
      <c r="B129" s="3" t="s">
        <v>932</v>
      </c>
      <c r="C129" s="6">
        <v>52456</v>
      </c>
      <c r="D129" s="11" t="str">
        <f t="shared" si="1"/>
        <v>*</v>
      </c>
    </row>
    <row r="130" spans="1:4" x14ac:dyDescent="0.25">
      <c r="A130" s="1">
        <v>14154</v>
      </c>
      <c r="B130" s="3" t="s">
        <v>193</v>
      </c>
      <c r="C130" s="6">
        <v>8083</v>
      </c>
      <c r="D130" s="11" t="str">
        <f t="shared" si="1"/>
        <v>*</v>
      </c>
    </row>
    <row r="131" spans="1:4" x14ac:dyDescent="0.25">
      <c r="A131" s="1">
        <v>14199</v>
      </c>
      <c r="B131" s="3" t="s">
        <v>383</v>
      </c>
      <c r="C131" s="6">
        <v>1460</v>
      </c>
      <c r="D131" s="11" t="str">
        <f t="shared" si="1"/>
        <v>*</v>
      </c>
    </row>
    <row r="132" spans="1:4" x14ac:dyDescent="0.25">
      <c r="A132" s="1">
        <v>14662</v>
      </c>
      <c r="B132" s="3" t="s">
        <v>496</v>
      </c>
      <c r="C132" s="6">
        <v>2336</v>
      </c>
      <c r="D132" s="11" t="str">
        <f t="shared" ref="D132:D195" si="2">IF($D$3="FIM","*","")</f>
        <v>*</v>
      </c>
    </row>
    <row r="133" spans="1:4" x14ac:dyDescent="0.25">
      <c r="A133" s="1">
        <v>14737</v>
      </c>
      <c r="B133" s="3" t="s">
        <v>178</v>
      </c>
      <c r="C133" s="6">
        <v>23</v>
      </c>
      <c r="D133" s="11" t="str">
        <f t="shared" si="2"/>
        <v>*</v>
      </c>
    </row>
    <row r="134" spans="1:4" x14ac:dyDescent="0.25">
      <c r="A134" s="1">
        <v>14754</v>
      </c>
      <c r="B134" s="3" t="s">
        <v>680</v>
      </c>
      <c r="C134" s="6">
        <v>65</v>
      </c>
      <c r="D134" s="11" t="str">
        <f t="shared" si="2"/>
        <v>*</v>
      </c>
    </row>
    <row r="135" spans="1:4" x14ac:dyDescent="0.25">
      <c r="A135" s="1">
        <v>14784</v>
      </c>
      <c r="B135" s="3" t="s">
        <v>647</v>
      </c>
      <c r="C135" s="6">
        <v>56</v>
      </c>
      <c r="D135" s="11" t="str">
        <f t="shared" si="2"/>
        <v>*</v>
      </c>
    </row>
    <row r="136" spans="1:4" x14ac:dyDescent="0.25">
      <c r="A136" s="1">
        <v>14831</v>
      </c>
      <c r="B136" s="3" t="s">
        <v>19</v>
      </c>
      <c r="C136" s="6">
        <v>283</v>
      </c>
      <c r="D136" s="11" t="str">
        <f t="shared" si="2"/>
        <v>*</v>
      </c>
    </row>
    <row r="137" spans="1:4" x14ac:dyDescent="0.25">
      <c r="A137" s="1">
        <v>14885</v>
      </c>
      <c r="B137" s="3" t="s">
        <v>136</v>
      </c>
      <c r="C137" s="6">
        <v>24</v>
      </c>
      <c r="D137" s="11" t="str">
        <f t="shared" si="2"/>
        <v>*</v>
      </c>
    </row>
    <row r="138" spans="1:4" x14ac:dyDescent="0.25">
      <c r="A138" s="1">
        <v>14887</v>
      </c>
      <c r="B138" s="3" t="s">
        <v>21</v>
      </c>
      <c r="C138" s="6">
        <v>388</v>
      </c>
      <c r="D138" s="11" t="str">
        <f t="shared" si="2"/>
        <v>*</v>
      </c>
    </row>
    <row r="139" spans="1:4" x14ac:dyDescent="0.25">
      <c r="A139" s="1">
        <v>14921</v>
      </c>
      <c r="B139" s="3" t="s">
        <v>681</v>
      </c>
      <c r="C139" s="6">
        <v>1234</v>
      </c>
      <c r="D139" s="11" t="str">
        <f t="shared" si="2"/>
        <v>*</v>
      </c>
    </row>
    <row r="140" spans="1:4" x14ac:dyDescent="0.25">
      <c r="A140" s="1">
        <v>14977</v>
      </c>
      <c r="B140" s="3" t="s">
        <v>560</v>
      </c>
      <c r="C140" s="6">
        <v>151</v>
      </c>
      <c r="D140" s="11" t="str">
        <f t="shared" si="2"/>
        <v>*</v>
      </c>
    </row>
    <row r="141" spans="1:4" x14ac:dyDescent="0.25">
      <c r="A141" s="1">
        <v>15029</v>
      </c>
      <c r="B141" s="3" t="s">
        <v>305</v>
      </c>
      <c r="C141" s="6">
        <v>540</v>
      </c>
      <c r="D141" s="11" t="str">
        <f t="shared" si="2"/>
        <v>*</v>
      </c>
    </row>
    <row r="142" spans="1:4" x14ac:dyDescent="0.25">
      <c r="A142" s="1">
        <v>15051</v>
      </c>
      <c r="B142" s="3" t="s">
        <v>777</v>
      </c>
      <c r="C142" s="6">
        <v>27</v>
      </c>
      <c r="D142" s="11" t="str">
        <f t="shared" si="2"/>
        <v>*</v>
      </c>
    </row>
    <row r="143" spans="1:4" x14ac:dyDescent="0.25">
      <c r="A143" s="1">
        <v>15066</v>
      </c>
      <c r="B143" s="3" t="s">
        <v>318</v>
      </c>
      <c r="C143" s="6">
        <v>151</v>
      </c>
      <c r="D143" s="11" t="str">
        <f t="shared" si="2"/>
        <v>*</v>
      </c>
    </row>
    <row r="144" spans="1:4" x14ac:dyDescent="0.25">
      <c r="A144" s="1">
        <v>15085</v>
      </c>
      <c r="B144" s="3" t="s">
        <v>788</v>
      </c>
      <c r="C144" s="6">
        <v>181</v>
      </c>
      <c r="D144" s="11" t="str">
        <f t="shared" si="2"/>
        <v>*</v>
      </c>
    </row>
    <row r="145" spans="1:4" x14ac:dyDescent="0.25">
      <c r="A145" s="1">
        <v>15167</v>
      </c>
      <c r="B145" s="3" t="s">
        <v>365</v>
      </c>
      <c r="C145" s="6">
        <v>591</v>
      </c>
      <c r="D145" s="11" t="str">
        <f t="shared" si="2"/>
        <v>*</v>
      </c>
    </row>
    <row r="146" spans="1:4" x14ac:dyDescent="0.25">
      <c r="A146" s="1">
        <v>15267</v>
      </c>
      <c r="B146" s="3" t="s">
        <v>657</v>
      </c>
      <c r="C146" s="6">
        <v>16</v>
      </c>
      <c r="D146" s="11" t="str">
        <f t="shared" si="2"/>
        <v>*</v>
      </c>
    </row>
    <row r="147" spans="1:4" x14ac:dyDescent="0.25">
      <c r="A147" s="1">
        <v>15271</v>
      </c>
      <c r="B147" s="3" t="s">
        <v>658</v>
      </c>
      <c r="C147" s="6">
        <v>0</v>
      </c>
      <c r="D147" s="11" t="str">
        <f t="shared" si="2"/>
        <v>*</v>
      </c>
    </row>
    <row r="148" spans="1:4" x14ac:dyDescent="0.25">
      <c r="A148" s="1">
        <v>15272</v>
      </c>
      <c r="B148" s="3" t="s">
        <v>659</v>
      </c>
      <c r="C148" s="6">
        <v>0</v>
      </c>
      <c r="D148" s="11" t="str">
        <f t="shared" si="2"/>
        <v>*</v>
      </c>
    </row>
    <row r="149" spans="1:4" x14ac:dyDescent="0.25">
      <c r="A149" s="1">
        <v>15299</v>
      </c>
      <c r="B149" s="3" t="s">
        <v>618</v>
      </c>
      <c r="C149" s="6">
        <v>296</v>
      </c>
      <c r="D149" s="11" t="str">
        <f t="shared" si="2"/>
        <v>*</v>
      </c>
    </row>
    <row r="150" spans="1:4" x14ac:dyDescent="0.25">
      <c r="A150" s="1">
        <v>15436</v>
      </c>
      <c r="B150" s="3" t="s">
        <v>148</v>
      </c>
      <c r="C150" s="6">
        <v>554</v>
      </c>
      <c r="D150" s="11" t="str">
        <f t="shared" si="2"/>
        <v>*</v>
      </c>
    </row>
    <row r="151" spans="1:4" x14ac:dyDescent="0.25">
      <c r="A151" s="1">
        <v>15464</v>
      </c>
      <c r="B151" s="3" t="s">
        <v>658</v>
      </c>
      <c r="C151" s="6">
        <v>0</v>
      </c>
      <c r="D151" s="11" t="str">
        <f t="shared" si="2"/>
        <v>*</v>
      </c>
    </row>
    <row r="152" spans="1:4" x14ac:dyDescent="0.25">
      <c r="A152" s="1">
        <v>15465</v>
      </c>
      <c r="B152" s="3" t="s">
        <v>660</v>
      </c>
      <c r="C152" s="6">
        <v>0</v>
      </c>
      <c r="D152" s="11" t="str">
        <f t="shared" si="2"/>
        <v>*</v>
      </c>
    </row>
    <row r="153" spans="1:4" x14ac:dyDescent="0.25">
      <c r="A153" s="1">
        <v>15466</v>
      </c>
      <c r="B153" s="3" t="s">
        <v>661</v>
      </c>
      <c r="C153" s="6">
        <v>10</v>
      </c>
      <c r="D153" s="11" t="str">
        <f t="shared" si="2"/>
        <v>*</v>
      </c>
    </row>
    <row r="154" spans="1:4" x14ac:dyDescent="0.25">
      <c r="A154" s="1">
        <v>15467</v>
      </c>
      <c r="B154" s="3" t="s">
        <v>662</v>
      </c>
      <c r="C154" s="6">
        <v>24</v>
      </c>
      <c r="D154" s="11" t="str">
        <f t="shared" si="2"/>
        <v>*</v>
      </c>
    </row>
    <row r="155" spans="1:4" x14ac:dyDescent="0.25">
      <c r="A155" s="1">
        <v>15469</v>
      </c>
      <c r="B155" s="3" t="s">
        <v>663</v>
      </c>
      <c r="C155" s="6">
        <v>30</v>
      </c>
      <c r="D155" s="11" t="str">
        <f t="shared" si="2"/>
        <v>*</v>
      </c>
    </row>
    <row r="156" spans="1:4" x14ac:dyDescent="0.25">
      <c r="A156" s="1">
        <v>15473</v>
      </c>
      <c r="B156" s="3" t="s">
        <v>664</v>
      </c>
      <c r="C156" s="6">
        <v>5</v>
      </c>
      <c r="D156" s="11" t="str">
        <f t="shared" si="2"/>
        <v>*</v>
      </c>
    </row>
    <row r="157" spans="1:4" x14ac:dyDescent="0.25">
      <c r="A157" s="1">
        <v>15475</v>
      </c>
      <c r="B157" s="3" t="s">
        <v>665</v>
      </c>
      <c r="C157" s="6">
        <v>16</v>
      </c>
      <c r="D157" s="11" t="str">
        <f t="shared" si="2"/>
        <v>*</v>
      </c>
    </row>
    <row r="158" spans="1:4" x14ac:dyDescent="0.25">
      <c r="A158" s="1">
        <v>15648</v>
      </c>
      <c r="B158" s="3" t="s">
        <v>668</v>
      </c>
      <c r="C158" s="6">
        <v>16</v>
      </c>
      <c r="D158" s="11" t="str">
        <f t="shared" si="2"/>
        <v>*</v>
      </c>
    </row>
    <row r="159" spans="1:4" x14ac:dyDescent="0.25">
      <c r="A159" s="1">
        <v>15656</v>
      </c>
      <c r="B159" s="3" t="s">
        <v>669</v>
      </c>
      <c r="C159" s="6">
        <v>0</v>
      </c>
      <c r="D159" s="11" t="str">
        <f t="shared" si="2"/>
        <v>*</v>
      </c>
    </row>
    <row r="160" spans="1:4" x14ac:dyDescent="0.25">
      <c r="A160" s="1">
        <v>15664</v>
      </c>
      <c r="B160" s="3" t="s">
        <v>29</v>
      </c>
      <c r="C160" s="6">
        <v>18</v>
      </c>
      <c r="D160" s="11" t="str">
        <f t="shared" si="2"/>
        <v>*</v>
      </c>
    </row>
    <row r="161" spans="1:4" x14ac:dyDescent="0.25">
      <c r="A161" s="1">
        <v>15668</v>
      </c>
      <c r="B161" s="3" t="s">
        <v>30</v>
      </c>
      <c r="C161" s="6">
        <v>0</v>
      </c>
      <c r="D161" s="11" t="str">
        <f t="shared" si="2"/>
        <v>*</v>
      </c>
    </row>
    <row r="162" spans="1:4" x14ac:dyDescent="0.25">
      <c r="A162" s="1">
        <v>15672</v>
      </c>
      <c r="B162" s="3" t="s">
        <v>31</v>
      </c>
      <c r="C162" s="6">
        <v>0</v>
      </c>
      <c r="D162" s="11" t="str">
        <f t="shared" si="2"/>
        <v>*</v>
      </c>
    </row>
    <row r="163" spans="1:4" x14ac:dyDescent="0.25">
      <c r="A163" s="1">
        <v>15673</v>
      </c>
      <c r="B163" s="3" t="s">
        <v>32</v>
      </c>
      <c r="C163" s="6">
        <v>4</v>
      </c>
      <c r="D163" s="11" t="str">
        <f t="shared" si="2"/>
        <v>*</v>
      </c>
    </row>
    <row r="164" spans="1:4" x14ac:dyDescent="0.25">
      <c r="A164" s="1">
        <v>15680</v>
      </c>
      <c r="B164" s="3" t="s">
        <v>33</v>
      </c>
      <c r="C164" s="6">
        <v>0</v>
      </c>
      <c r="D164" s="11" t="str">
        <f t="shared" si="2"/>
        <v>*</v>
      </c>
    </row>
    <row r="165" spans="1:4" x14ac:dyDescent="0.25">
      <c r="A165" s="1">
        <v>15761</v>
      </c>
      <c r="B165" s="3" t="s">
        <v>286</v>
      </c>
      <c r="C165" s="6">
        <v>122</v>
      </c>
      <c r="D165" s="11" t="str">
        <f t="shared" si="2"/>
        <v>*</v>
      </c>
    </row>
    <row r="166" spans="1:4" x14ac:dyDescent="0.25">
      <c r="A166" s="1">
        <v>15813</v>
      </c>
      <c r="B166" s="3" t="s">
        <v>500</v>
      </c>
      <c r="C166" s="6">
        <v>4216</v>
      </c>
      <c r="D166" s="11" t="str">
        <f t="shared" si="2"/>
        <v>*</v>
      </c>
    </row>
    <row r="167" spans="1:4" x14ac:dyDescent="0.25">
      <c r="A167" s="1">
        <v>16053</v>
      </c>
      <c r="B167" s="3" t="s">
        <v>549</v>
      </c>
      <c r="C167" s="6">
        <v>73</v>
      </c>
      <c r="D167" s="11" t="str">
        <f t="shared" si="2"/>
        <v>*</v>
      </c>
    </row>
    <row r="168" spans="1:4" x14ac:dyDescent="0.25">
      <c r="A168" s="1">
        <v>16363</v>
      </c>
      <c r="B168" s="3" t="s">
        <v>225</v>
      </c>
      <c r="C168" s="6">
        <v>187</v>
      </c>
      <c r="D168" s="11" t="str">
        <f t="shared" si="2"/>
        <v>*</v>
      </c>
    </row>
    <row r="169" spans="1:4" x14ac:dyDescent="0.25">
      <c r="A169" s="1">
        <v>16365</v>
      </c>
      <c r="B169" s="3" t="s">
        <v>226</v>
      </c>
      <c r="C169" s="6">
        <v>175</v>
      </c>
      <c r="D169" s="11" t="str">
        <f t="shared" si="2"/>
        <v>*</v>
      </c>
    </row>
    <row r="170" spans="1:4" x14ac:dyDescent="0.25">
      <c r="A170" s="1">
        <v>16512</v>
      </c>
      <c r="B170" s="3" t="s">
        <v>478</v>
      </c>
      <c r="C170" s="6">
        <v>414</v>
      </c>
      <c r="D170" s="11" t="str">
        <f t="shared" si="2"/>
        <v>*</v>
      </c>
    </row>
    <row r="171" spans="1:4" x14ac:dyDescent="0.25">
      <c r="A171" s="1">
        <v>16528</v>
      </c>
      <c r="B171" s="3" t="s">
        <v>400</v>
      </c>
      <c r="C171" s="6">
        <v>916</v>
      </c>
      <c r="D171" s="11" t="str">
        <f t="shared" si="2"/>
        <v>*</v>
      </c>
    </row>
    <row r="172" spans="1:4" x14ac:dyDescent="0.25">
      <c r="A172" s="1">
        <v>16571</v>
      </c>
      <c r="B172" s="3" t="s">
        <v>333</v>
      </c>
      <c r="C172" s="6">
        <v>2214</v>
      </c>
      <c r="D172" s="11" t="str">
        <f t="shared" si="2"/>
        <v>*</v>
      </c>
    </row>
    <row r="173" spans="1:4" x14ac:dyDescent="0.25">
      <c r="A173" s="1">
        <v>16956</v>
      </c>
      <c r="B173" s="3" t="s">
        <v>745</v>
      </c>
      <c r="C173" s="6">
        <v>122</v>
      </c>
      <c r="D173" s="11" t="str">
        <f t="shared" si="2"/>
        <v>*</v>
      </c>
    </row>
    <row r="174" spans="1:4" x14ac:dyDescent="0.25">
      <c r="A174" s="1">
        <v>16978</v>
      </c>
      <c r="B174" s="3" t="s">
        <v>746</v>
      </c>
      <c r="C174" s="6">
        <v>107</v>
      </c>
      <c r="D174" s="11" t="str">
        <f t="shared" si="2"/>
        <v>*</v>
      </c>
    </row>
    <row r="175" spans="1:4" x14ac:dyDescent="0.25">
      <c r="A175" s="1">
        <v>17115</v>
      </c>
      <c r="B175" s="3" t="s">
        <v>213</v>
      </c>
      <c r="C175" s="6">
        <v>7793</v>
      </c>
      <c r="D175" s="11" t="str">
        <f t="shared" si="2"/>
        <v>*</v>
      </c>
    </row>
    <row r="176" spans="1:4" x14ac:dyDescent="0.25">
      <c r="A176" s="1">
        <v>17132</v>
      </c>
      <c r="B176" s="3" t="s">
        <v>39</v>
      </c>
      <c r="C176" s="6">
        <v>661</v>
      </c>
      <c r="D176" s="11" t="str">
        <f t="shared" si="2"/>
        <v>*</v>
      </c>
    </row>
    <row r="177" spans="1:4" x14ac:dyDescent="0.25">
      <c r="A177" s="1">
        <v>17135</v>
      </c>
      <c r="B177" s="3" t="s">
        <v>460</v>
      </c>
      <c r="C177" s="6">
        <v>1893</v>
      </c>
      <c r="D177" s="11" t="str">
        <f t="shared" si="2"/>
        <v>*</v>
      </c>
    </row>
    <row r="178" spans="1:4" x14ac:dyDescent="0.25">
      <c r="A178" s="1">
        <v>17136</v>
      </c>
      <c r="B178" s="3" t="s">
        <v>41</v>
      </c>
      <c r="C178" s="6">
        <v>1222</v>
      </c>
      <c r="D178" s="11" t="str">
        <f t="shared" si="2"/>
        <v>*</v>
      </c>
    </row>
    <row r="179" spans="1:4" x14ac:dyDescent="0.25">
      <c r="A179" s="1">
        <v>17299</v>
      </c>
      <c r="B179" s="3" t="s">
        <v>98</v>
      </c>
      <c r="C179" s="6">
        <v>30</v>
      </c>
      <c r="D179" s="11" t="str">
        <f t="shared" si="2"/>
        <v>*</v>
      </c>
    </row>
    <row r="180" spans="1:4" x14ac:dyDescent="0.25">
      <c r="A180" s="1">
        <v>17362</v>
      </c>
      <c r="B180" s="3" t="s">
        <v>199</v>
      </c>
      <c r="C180" s="6">
        <v>8238</v>
      </c>
      <c r="D180" s="11" t="str">
        <f t="shared" si="2"/>
        <v>*</v>
      </c>
    </row>
    <row r="181" spans="1:4" x14ac:dyDescent="0.25">
      <c r="A181" s="1">
        <v>17370</v>
      </c>
      <c r="B181" s="3" t="s">
        <v>200</v>
      </c>
      <c r="C181" s="6">
        <v>9161</v>
      </c>
      <c r="D181" s="11" t="str">
        <f t="shared" si="2"/>
        <v>*</v>
      </c>
    </row>
    <row r="182" spans="1:4" x14ac:dyDescent="0.25">
      <c r="A182" s="1">
        <v>17371</v>
      </c>
      <c r="B182" s="3" t="s">
        <v>201</v>
      </c>
      <c r="C182" s="6">
        <v>9680</v>
      </c>
      <c r="D182" s="11" t="str">
        <f t="shared" si="2"/>
        <v>*</v>
      </c>
    </row>
    <row r="183" spans="1:4" x14ac:dyDescent="0.25">
      <c r="A183" s="1">
        <v>17422</v>
      </c>
      <c r="B183" s="3" t="s">
        <v>307</v>
      </c>
      <c r="C183" s="6">
        <v>19</v>
      </c>
      <c r="D183" s="11" t="str">
        <f t="shared" si="2"/>
        <v>*</v>
      </c>
    </row>
    <row r="184" spans="1:4" x14ac:dyDescent="0.25">
      <c r="A184" s="1">
        <v>17426</v>
      </c>
      <c r="B184" s="3" t="s">
        <v>308</v>
      </c>
      <c r="C184" s="6">
        <v>6</v>
      </c>
      <c r="D184" s="11" t="str">
        <f t="shared" si="2"/>
        <v>*</v>
      </c>
    </row>
    <row r="185" spans="1:4" x14ac:dyDescent="0.25">
      <c r="A185" s="1">
        <v>17454</v>
      </c>
      <c r="B185" s="3" t="s">
        <v>43</v>
      </c>
      <c r="C185" s="6">
        <v>10220</v>
      </c>
      <c r="D185" s="11" t="str">
        <f t="shared" si="2"/>
        <v>*</v>
      </c>
    </row>
    <row r="186" spans="1:4" x14ac:dyDescent="0.25">
      <c r="A186" s="1">
        <v>17562</v>
      </c>
      <c r="B186" s="3" t="s">
        <v>991</v>
      </c>
      <c r="C186" s="6">
        <v>0</v>
      </c>
      <c r="D186" s="11" t="str">
        <f t="shared" si="2"/>
        <v>*</v>
      </c>
    </row>
    <row r="187" spans="1:4" x14ac:dyDescent="0.25">
      <c r="A187" s="1">
        <v>17659</v>
      </c>
      <c r="B187" s="3" t="s">
        <v>981</v>
      </c>
      <c r="C187" s="6">
        <v>0</v>
      </c>
      <c r="D187" s="11" t="str">
        <f t="shared" si="2"/>
        <v>*</v>
      </c>
    </row>
    <row r="188" spans="1:4" x14ac:dyDescent="0.25">
      <c r="A188" s="1">
        <v>17662</v>
      </c>
      <c r="B188" s="3" t="s">
        <v>161</v>
      </c>
      <c r="C188" s="6">
        <v>160</v>
      </c>
      <c r="D188" s="11" t="str">
        <f t="shared" si="2"/>
        <v>*</v>
      </c>
    </row>
    <row r="189" spans="1:4" x14ac:dyDescent="0.25">
      <c r="A189" s="1">
        <v>17663</v>
      </c>
      <c r="B189" s="3" t="s">
        <v>979</v>
      </c>
      <c r="C189" s="6">
        <v>40</v>
      </c>
      <c r="D189" s="11" t="str">
        <f t="shared" si="2"/>
        <v>*</v>
      </c>
    </row>
    <row r="190" spans="1:4" x14ac:dyDescent="0.25">
      <c r="A190" s="1">
        <v>17696</v>
      </c>
      <c r="B190" s="3" t="s">
        <v>162</v>
      </c>
      <c r="C190" s="6">
        <v>18</v>
      </c>
      <c r="D190" s="11" t="str">
        <f t="shared" si="2"/>
        <v>*</v>
      </c>
    </row>
    <row r="191" spans="1:4" x14ac:dyDescent="0.25">
      <c r="A191" s="1">
        <v>17698</v>
      </c>
      <c r="B191" s="3" t="s">
        <v>163</v>
      </c>
      <c r="C191" s="6">
        <v>225</v>
      </c>
      <c r="D191" s="11" t="str">
        <f t="shared" si="2"/>
        <v>*</v>
      </c>
    </row>
    <row r="192" spans="1:4" x14ac:dyDescent="0.25">
      <c r="A192" s="1">
        <v>17704</v>
      </c>
      <c r="B192" s="3" t="s">
        <v>514</v>
      </c>
      <c r="C192" s="6">
        <v>205</v>
      </c>
      <c r="D192" s="11" t="str">
        <f t="shared" si="2"/>
        <v>*</v>
      </c>
    </row>
    <row r="193" spans="1:4" x14ac:dyDescent="0.25">
      <c r="A193" s="1">
        <v>17946</v>
      </c>
      <c r="B193" s="3" t="s">
        <v>901</v>
      </c>
      <c r="C193" s="6">
        <v>11</v>
      </c>
      <c r="D193" s="11" t="str">
        <f t="shared" si="2"/>
        <v>*</v>
      </c>
    </row>
    <row r="194" spans="1:4" x14ac:dyDescent="0.25">
      <c r="A194" s="1">
        <v>18346</v>
      </c>
      <c r="B194" s="3" t="s">
        <v>837</v>
      </c>
      <c r="C194" s="6">
        <v>14</v>
      </c>
      <c r="D194" s="11" t="str">
        <f t="shared" si="2"/>
        <v>*</v>
      </c>
    </row>
    <row r="195" spans="1:4" x14ac:dyDescent="0.25">
      <c r="A195" s="1">
        <v>18353</v>
      </c>
      <c r="B195" s="3" t="s">
        <v>838</v>
      </c>
      <c r="C195" s="6">
        <v>119</v>
      </c>
      <c r="D195" s="11" t="str">
        <f t="shared" si="2"/>
        <v>*</v>
      </c>
    </row>
    <row r="196" spans="1:4" x14ac:dyDescent="0.25">
      <c r="A196" s="1">
        <v>18357</v>
      </c>
      <c r="B196" s="3" t="s">
        <v>839</v>
      </c>
      <c r="C196" s="6">
        <v>138</v>
      </c>
      <c r="D196" s="11" t="str">
        <f t="shared" ref="D196:D259" si="3">IF($D$3="FIM","*","")</f>
        <v>*</v>
      </c>
    </row>
    <row r="197" spans="1:4" x14ac:dyDescent="0.25">
      <c r="A197" s="1">
        <v>18358</v>
      </c>
      <c r="B197" s="3" t="s">
        <v>840</v>
      </c>
      <c r="C197" s="6">
        <v>59</v>
      </c>
      <c r="D197" s="11" t="str">
        <f t="shared" si="3"/>
        <v>*</v>
      </c>
    </row>
    <row r="198" spans="1:4" x14ac:dyDescent="0.25">
      <c r="A198" s="1">
        <v>19842</v>
      </c>
      <c r="B198" s="3" t="s">
        <v>815</v>
      </c>
      <c r="C198" s="6">
        <v>4822</v>
      </c>
      <c r="D198" s="11" t="str">
        <f t="shared" si="3"/>
        <v>*</v>
      </c>
    </row>
    <row r="199" spans="1:4" x14ac:dyDescent="0.25">
      <c r="A199" s="1">
        <v>19871</v>
      </c>
      <c r="B199" s="3" t="s">
        <v>904</v>
      </c>
      <c r="C199" s="6">
        <v>51</v>
      </c>
      <c r="D199" s="11" t="str">
        <f t="shared" si="3"/>
        <v>*</v>
      </c>
    </row>
    <row r="200" spans="1:4" x14ac:dyDescent="0.25">
      <c r="A200" s="1">
        <v>19882</v>
      </c>
      <c r="B200" s="3" t="s">
        <v>905</v>
      </c>
      <c r="C200" s="6">
        <v>10</v>
      </c>
      <c r="D200" s="11" t="str">
        <f t="shared" si="3"/>
        <v>*</v>
      </c>
    </row>
    <row r="201" spans="1:4" x14ac:dyDescent="0.25">
      <c r="A201" s="1">
        <v>19883</v>
      </c>
      <c r="B201" s="3" t="s">
        <v>906</v>
      </c>
      <c r="C201" s="6">
        <v>74</v>
      </c>
      <c r="D201" s="11" t="str">
        <f t="shared" si="3"/>
        <v>*</v>
      </c>
    </row>
    <row r="202" spans="1:4" x14ac:dyDescent="0.25">
      <c r="A202" s="1">
        <v>19998</v>
      </c>
      <c r="B202" s="3" t="s">
        <v>907</v>
      </c>
      <c r="C202" s="6">
        <v>35</v>
      </c>
      <c r="D202" s="11" t="str">
        <f t="shared" si="3"/>
        <v>*</v>
      </c>
    </row>
    <row r="203" spans="1:4" x14ac:dyDescent="0.25">
      <c r="A203" s="1">
        <v>20001</v>
      </c>
      <c r="B203" s="3" t="s">
        <v>908</v>
      </c>
      <c r="C203" s="6">
        <v>223</v>
      </c>
      <c r="D203" s="11" t="str">
        <f t="shared" si="3"/>
        <v>*</v>
      </c>
    </row>
    <row r="204" spans="1:4" x14ac:dyDescent="0.25">
      <c r="A204" s="1">
        <v>20034</v>
      </c>
      <c r="B204" s="3" t="s">
        <v>909</v>
      </c>
      <c r="C204" s="6">
        <v>298</v>
      </c>
      <c r="D204" s="11" t="str">
        <f t="shared" si="3"/>
        <v>*</v>
      </c>
    </row>
    <row r="205" spans="1:4" x14ac:dyDescent="0.25">
      <c r="A205" s="1">
        <v>20035</v>
      </c>
      <c r="B205" s="3" t="s">
        <v>910</v>
      </c>
      <c r="C205" s="6">
        <v>56</v>
      </c>
      <c r="D205" s="11" t="str">
        <f t="shared" si="3"/>
        <v>*</v>
      </c>
    </row>
    <row r="206" spans="1:4" x14ac:dyDescent="0.25">
      <c r="A206" s="1">
        <v>20037</v>
      </c>
      <c r="B206" s="3" t="s">
        <v>911</v>
      </c>
      <c r="C206" s="6">
        <v>52</v>
      </c>
      <c r="D206" s="11" t="str">
        <f t="shared" si="3"/>
        <v>*</v>
      </c>
    </row>
    <row r="207" spans="1:4" x14ac:dyDescent="0.25">
      <c r="A207" s="1">
        <v>20104</v>
      </c>
      <c r="B207" s="3" t="s">
        <v>912</v>
      </c>
      <c r="C207" s="6">
        <v>120</v>
      </c>
      <c r="D207" s="11" t="str">
        <f t="shared" si="3"/>
        <v>*</v>
      </c>
    </row>
    <row r="208" spans="1:4" x14ac:dyDescent="0.25">
      <c r="A208" s="1">
        <v>20106</v>
      </c>
      <c r="B208" s="3" t="s">
        <v>913</v>
      </c>
      <c r="C208" s="6">
        <v>153</v>
      </c>
      <c r="D208" s="11" t="str">
        <f t="shared" si="3"/>
        <v>*</v>
      </c>
    </row>
    <row r="209" spans="1:4" x14ac:dyDescent="0.25">
      <c r="A209" s="1">
        <v>20135</v>
      </c>
      <c r="B209" s="3" t="s">
        <v>872</v>
      </c>
      <c r="C209" s="6">
        <v>187</v>
      </c>
      <c r="D209" s="11" t="str">
        <f t="shared" si="3"/>
        <v>*</v>
      </c>
    </row>
    <row r="210" spans="1:4" x14ac:dyDescent="0.25">
      <c r="A210" s="1">
        <v>20144</v>
      </c>
      <c r="B210" s="3" t="s">
        <v>914</v>
      </c>
      <c r="C210" s="6">
        <v>225</v>
      </c>
      <c r="D210" s="11" t="str">
        <f t="shared" si="3"/>
        <v>*</v>
      </c>
    </row>
    <row r="211" spans="1:4" x14ac:dyDescent="0.25">
      <c r="A211" s="1">
        <v>20167</v>
      </c>
      <c r="B211" s="3" t="s">
        <v>974</v>
      </c>
      <c r="C211" s="6">
        <v>9</v>
      </c>
      <c r="D211" s="11" t="str">
        <f t="shared" si="3"/>
        <v>*</v>
      </c>
    </row>
    <row r="212" spans="1:4" x14ac:dyDescent="0.25">
      <c r="A212" s="1">
        <v>20537</v>
      </c>
      <c r="B212" s="3" t="s">
        <v>841</v>
      </c>
      <c r="C212" s="6">
        <v>4</v>
      </c>
      <c r="D212" s="11" t="str">
        <f t="shared" si="3"/>
        <v>*</v>
      </c>
    </row>
    <row r="213" spans="1:4" x14ac:dyDescent="0.25">
      <c r="A213" s="1">
        <v>20554</v>
      </c>
      <c r="B213" s="3" t="s">
        <v>845</v>
      </c>
      <c r="C213" s="6">
        <v>10720</v>
      </c>
      <c r="D213" s="11" t="str">
        <f t="shared" si="3"/>
        <v>*</v>
      </c>
    </row>
    <row r="214" spans="1:4" x14ac:dyDescent="0.25">
      <c r="A214" s="1">
        <v>20558</v>
      </c>
      <c r="B214" s="3" t="s">
        <v>846</v>
      </c>
      <c r="C214" s="6">
        <v>7420</v>
      </c>
      <c r="D214" s="11" t="str">
        <f t="shared" si="3"/>
        <v>*</v>
      </c>
    </row>
    <row r="215" spans="1:4" x14ac:dyDescent="0.25">
      <c r="A215" s="1">
        <v>20576</v>
      </c>
      <c r="B215" s="3" t="s">
        <v>847</v>
      </c>
      <c r="C215" s="6">
        <v>1800</v>
      </c>
      <c r="D215" s="11" t="str">
        <f t="shared" si="3"/>
        <v>*</v>
      </c>
    </row>
    <row r="216" spans="1:4" x14ac:dyDescent="0.25">
      <c r="A216" s="1">
        <v>20583</v>
      </c>
      <c r="B216" s="3" t="s">
        <v>848</v>
      </c>
      <c r="C216" s="6">
        <v>4520</v>
      </c>
      <c r="D216" s="11" t="str">
        <f t="shared" si="3"/>
        <v>*</v>
      </c>
    </row>
    <row r="217" spans="1:4" x14ac:dyDescent="0.25">
      <c r="A217" s="1">
        <v>20584</v>
      </c>
      <c r="B217" s="3" t="s">
        <v>849</v>
      </c>
      <c r="C217" s="6">
        <v>9550</v>
      </c>
      <c r="D217" s="11" t="str">
        <f t="shared" si="3"/>
        <v>*</v>
      </c>
    </row>
    <row r="218" spans="1:4" x14ac:dyDescent="0.25">
      <c r="A218" s="1">
        <v>20760</v>
      </c>
      <c r="B218" s="3" t="s">
        <v>179</v>
      </c>
      <c r="C218" s="6">
        <v>153</v>
      </c>
      <c r="D218" s="11" t="str">
        <f t="shared" si="3"/>
        <v>*</v>
      </c>
    </row>
    <row r="219" spans="1:4" x14ac:dyDescent="0.25">
      <c r="A219" s="1">
        <v>20763</v>
      </c>
      <c r="B219" s="3" t="s">
        <v>180</v>
      </c>
      <c r="C219" s="6">
        <v>90</v>
      </c>
      <c r="D219" s="11" t="str">
        <f t="shared" si="3"/>
        <v>*</v>
      </c>
    </row>
    <row r="220" spans="1:4" x14ac:dyDescent="0.25">
      <c r="A220" s="1">
        <v>23581</v>
      </c>
      <c r="B220" s="3" t="s">
        <v>441</v>
      </c>
      <c r="C220" s="6">
        <v>9280</v>
      </c>
      <c r="D220" s="11" t="str">
        <f t="shared" si="3"/>
        <v>*</v>
      </c>
    </row>
    <row r="221" spans="1:4" x14ac:dyDescent="0.25">
      <c r="A221" s="1">
        <v>23607</v>
      </c>
      <c r="B221" s="3" t="s">
        <v>507</v>
      </c>
      <c r="C221" s="6">
        <v>200</v>
      </c>
      <c r="D221" s="11" t="str">
        <f t="shared" si="3"/>
        <v>*</v>
      </c>
    </row>
    <row r="222" spans="1:4" x14ac:dyDescent="0.25">
      <c r="A222" s="1">
        <v>23676</v>
      </c>
      <c r="B222" s="3" t="s">
        <v>831</v>
      </c>
      <c r="C222" s="6">
        <v>1419</v>
      </c>
      <c r="D222" s="11" t="str">
        <f t="shared" si="3"/>
        <v>*</v>
      </c>
    </row>
    <row r="223" spans="1:4" x14ac:dyDescent="0.25">
      <c r="A223" s="1">
        <v>23687</v>
      </c>
      <c r="B223" s="3" t="s">
        <v>87</v>
      </c>
      <c r="C223" s="6">
        <v>11225</v>
      </c>
      <c r="D223" s="11" t="str">
        <f t="shared" si="3"/>
        <v>*</v>
      </c>
    </row>
    <row r="224" spans="1:4" x14ac:dyDescent="0.25">
      <c r="A224" s="1">
        <v>23692</v>
      </c>
      <c r="B224" s="3" t="s">
        <v>88</v>
      </c>
      <c r="C224" s="6">
        <v>16065</v>
      </c>
      <c r="D224" s="11" t="str">
        <f t="shared" si="3"/>
        <v>*</v>
      </c>
    </row>
    <row r="225" spans="1:4" x14ac:dyDescent="0.25">
      <c r="A225" s="1">
        <v>23778</v>
      </c>
      <c r="B225" s="3" t="s">
        <v>182</v>
      </c>
      <c r="C225" s="6">
        <v>144</v>
      </c>
      <c r="D225" s="11" t="str">
        <f t="shared" si="3"/>
        <v>*</v>
      </c>
    </row>
    <row r="226" spans="1:4" x14ac:dyDescent="0.25">
      <c r="A226" s="1">
        <v>23846</v>
      </c>
      <c r="B226" s="3" t="s">
        <v>89</v>
      </c>
      <c r="C226" s="6">
        <v>19464</v>
      </c>
      <c r="D226" s="11" t="str">
        <f t="shared" si="3"/>
        <v>*</v>
      </c>
    </row>
    <row r="227" spans="1:4" x14ac:dyDescent="0.25">
      <c r="A227" s="1">
        <v>23862</v>
      </c>
      <c r="B227" s="3" t="s">
        <v>83</v>
      </c>
      <c r="C227" s="6">
        <v>19598</v>
      </c>
      <c r="D227" s="11" t="str">
        <f t="shared" si="3"/>
        <v>*</v>
      </c>
    </row>
    <row r="228" spans="1:4" x14ac:dyDescent="0.25">
      <c r="A228" s="1">
        <v>23875</v>
      </c>
      <c r="B228" s="3" t="s">
        <v>84</v>
      </c>
      <c r="C228" s="6">
        <v>19650</v>
      </c>
      <c r="D228" s="11" t="str">
        <f t="shared" si="3"/>
        <v>*</v>
      </c>
    </row>
    <row r="229" spans="1:4" x14ac:dyDescent="0.25">
      <c r="A229" s="1">
        <v>23986</v>
      </c>
      <c r="B229" s="3" t="s">
        <v>50</v>
      </c>
      <c r="C229" s="6">
        <v>8709</v>
      </c>
      <c r="D229" s="11" t="str">
        <f t="shared" si="3"/>
        <v>*</v>
      </c>
    </row>
    <row r="230" spans="1:4" x14ac:dyDescent="0.25">
      <c r="A230" s="1">
        <v>23989</v>
      </c>
      <c r="B230" s="3" t="s">
        <v>51</v>
      </c>
      <c r="C230" s="6">
        <v>7996</v>
      </c>
      <c r="D230" s="11" t="str">
        <f t="shared" si="3"/>
        <v>*</v>
      </c>
    </row>
    <row r="231" spans="1:4" x14ac:dyDescent="0.25">
      <c r="A231" s="1">
        <v>23993</v>
      </c>
      <c r="B231" s="3" t="s">
        <v>52</v>
      </c>
      <c r="C231" s="6">
        <v>6826</v>
      </c>
      <c r="D231" s="11" t="str">
        <f t="shared" si="3"/>
        <v>*</v>
      </c>
    </row>
    <row r="232" spans="1:4" x14ac:dyDescent="0.25">
      <c r="A232" s="1">
        <v>23996</v>
      </c>
      <c r="B232" s="3" t="s">
        <v>53</v>
      </c>
      <c r="C232" s="6">
        <v>8402</v>
      </c>
      <c r="D232" s="11" t="str">
        <f t="shared" si="3"/>
        <v>*</v>
      </c>
    </row>
    <row r="233" spans="1:4" x14ac:dyDescent="0.25">
      <c r="A233" s="1">
        <v>24204</v>
      </c>
      <c r="B233" s="3" t="s">
        <v>153</v>
      </c>
      <c r="C233" s="6">
        <v>350</v>
      </c>
      <c r="D233" s="11" t="str">
        <f t="shared" si="3"/>
        <v>*</v>
      </c>
    </row>
    <row r="234" spans="1:4" x14ac:dyDescent="0.25">
      <c r="A234" s="1">
        <v>24205</v>
      </c>
      <c r="B234" s="3" t="s">
        <v>963</v>
      </c>
      <c r="C234" s="6">
        <v>509</v>
      </c>
      <c r="D234" s="11" t="str">
        <f t="shared" si="3"/>
        <v>*</v>
      </c>
    </row>
    <row r="235" spans="1:4" x14ac:dyDescent="0.25">
      <c r="A235" s="1">
        <v>24219</v>
      </c>
      <c r="B235" s="3" t="s">
        <v>975</v>
      </c>
      <c r="C235" s="6">
        <v>333</v>
      </c>
      <c r="D235" s="11" t="str">
        <f t="shared" si="3"/>
        <v>*</v>
      </c>
    </row>
    <row r="236" spans="1:4" x14ac:dyDescent="0.25">
      <c r="A236" s="1">
        <v>24371</v>
      </c>
      <c r="B236" s="3" t="s">
        <v>248</v>
      </c>
      <c r="C236" s="6">
        <v>19824</v>
      </c>
      <c r="D236" s="11" t="str">
        <f t="shared" si="3"/>
        <v>*</v>
      </c>
    </row>
    <row r="237" spans="1:4" x14ac:dyDescent="0.25">
      <c r="A237" s="1">
        <v>24476</v>
      </c>
      <c r="B237" s="3" t="s">
        <v>54</v>
      </c>
      <c r="C237" s="6">
        <v>8546</v>
      </c>
      <c r="D237" s="11" t="str">
        <f t="shared" si="3"/>
        <v>*</v>
      </c>
    </row>
    <row r="238" spans="1:4" x14ac:dyDescent="0.25">
      <c r="A238" s="1">
        <v>24477</v>
      </c>
      <c r="B238" s="3" t="s">
        <v>55</v>
      </c>
      <c r="C238" s="6">
        <v>8735</v>
      </c>
      <c r="D238" s="11" t="str">
        <f t="shared" si="3"/>
        <v>*</v>
      </c>
    </row>
    <row r="239" spans="1:4" x14ac:dyDescent="0.25">
      <c r="A239" s="1">
        <v>24500</v>
      </c>
      <c r="B239" s="3" t="s">
        <v>313</v>
      </c>
      <c r="C239" s="6">
        <v>286</v>
      </c>
      <c r="D239" s="11" t="str">
        <f t="shared" si="3"/>
        <v>*</v>
      </c>
    </row>
    <row r="240" spans="1:4" x14ac:dyDescent="0.25">
      <c r="A240" s="1">
        <v>24551</v>
      </c>
      <c r="B240" s="3" t="s">
        <v>982</v>
      </c>
      <c r="C240" s="6">
        <v>20</v>
      </c>
      <c r="D240" s="11" t="str">
        <f t="shared" si="3"/>
        <v>*</v>
      </c>
    </row>
    <row r="241" spans="1:4" x14ac:dyDescent="0.25">
      <c r="A241" s="1">
        <v>24888</v>
      </c>
      <c r="B241" s="3" t="s">
        <v>842</v>
      </c>
      <c r="C241" s="6">
        <v>10</v>
      </c>
      <c r="D241" s="11" t="str">
        <f t="shared" si="3"/>
        <v>*</v>
      </c>
    </row>
    <row r="242" spans="1:4" x14ac:dyDescent="0.25">
      <c r="A242" s="1">
        <v>25523</v>
      </c>
      <c r="B242" s="3" t="s">
        <v>287</v>
      </c>
      <c r="C242" s="6">
        <v>166</v>
      </c>
      <c r="D242" s="11" t="str">
        <f t="shared" si="3"/>
        <v>*</v>
      </c>
    </row>
    <row r="243" spans="1:4" x14ac:dyDescent="0.25">
      <c r="A243" s="1">
        <v>25559</v>
      </c>
      <c r="B243" s="3" t="s">
        <v>56</v>
      </c>
      <c r="C243" s="6">
        <v>9845</v>
      </c>
      <c r="D243" s="11" t="str">
        <f t="shared" si="3"/>
        <v>*</v>
      </c>
    </row>
    <row r="244" spans="1:4" x14ac:dyDescent="0.25">
      <c r="A244" s="1">
        <v>25630</v>
      </c>
      <c r="B244" s="3" t="s">
        <v>325</v>
      </c>
      <c r="C244" s="6">
        <v>75</v>
      </c>
      <c r="D244" s="11" t="str">
        <f t="shared" si="3"/>
        <v>*</v>
      </c>
    </row>
    <row r="245" spans="1:4" x14ac:dyDescent="0.25">
      <c r="A245" s="1">
        <v>25756</v>
      </c>
      <c r="B245" s="3" t="s">
        <v>326</v>
      </c>
      <c r="C245" s="6">
        <v>58</v>
      </c>
      <c r="D245" s="11" t="str">
        <f t="shared" si="3"/>
        <v>*</v>
      </c>
    </row>
    <row r="246" spans="1:4" x14ac:dyDescent="0.25">
      <c r="A246" s="1">
        <v>26215</v>
      </c>
      <c r="B246" s="3" t="s">
        <v>394</v>
      </c>
      <c r="C246" s="6">
        <v>75</v>
      </c>
      <c r="D246" s="11" t="str">
        <f t="shared" si="3"/>
        <v>*</v>
      </c>
    </row>
    <row r="247" spans="1:4" x14ac:dyDescent="0.25">
      <c r="A247" s="1">
        <v>26282</v>
      </c>
      <c r="B247" s="3" t="s">
        <v>538</v>
      </c>
      <c r="C247" s="6">
        <v>2</v>
      </c>
      <c r="D247" s="11" t="str">
        <f t="shared" si="3"/>
        <v>*</v>
      </c>
    </row>
    <row r="248" spans="1:4" x14ac:dyDescent="0.25">
      <c r="A248" s="1">
        <v>26368</v>
      </c>
      <c r="B248" s="3" t="s">
        <v>539</v>
      </c>
      <c r="C248" s="6">
        <v>2</v>
      </c>
      <c r="D248" s="11" t="str">
        <f t="shared" si="3"/>
        <v>*</v>
      </c>
    </row>
    <row r="249" spans="1:4" x14ac:dyDescent="0.25">
      <c r="A249" s="1">
        <v>26503</v>
      </c>
      <c r="B249" s="3" t="s">
        <v>971</v>
      </c>
      <c r="C249" s="6">
        <v>1250</v>
      </c>
      <c r="D249" s="11" t="str">
        <f t="shared" si="3"/>
        <v>*</v>
      </c>
    </row>
    <row r="250" spans="1:4" x14ac:dyDescent="0.25">
      <c r="A250" s="1">
        <v>26504</v>
      </c>
      <c r="B250" s="3" t="s">
        <v>331</v>
      </c>
      <c r="C250" s="6">
        <v>750</v>
      </c>
      <c r="D250" s="11" t="str">
        <f t="shared" si="3"/>
        <v>*</v>
      </c>
    </row>
    <row r="251" spans="1:4" x14ac:dyDescent="0.25">
      <c r="A251" s="1">
        <v>26506</v>
      </c>
      <c r="B251" s="3" t="s">
        <v>332</v>
      </c>
      <c r="C251" s="6">
        <v>750</v>
      </c>
      <c r="D251" s="11" t="str">
        <f t="shared" si="3"/>
        <v>*</v>
      </c>
    </row>
    <row r="252" spans="1:4" x14ac:dyDescent="0.25">
      <c r="A252" s="1">
        <v>26508</v>
      </c>
      <c r="B252" s="3" t="s">
        <v>972</v>
      </c>
      <c r="C252" s="6">
        <v>1280</v>
      </c>
      <c r="D252" s="11" t="str">
        <f t="shared" si="3"/>
        <v>*</v>
      </c>
    </row>
    <row r="253" spans="1:4" x14ac:dyDescent="0.25">
      <c r="A253" s="1">
        <v>27136</v>
      </c>
      <c r="B253" s="3" t="s">
        <v>185</v>
      </c>
      <c r="C253" s="6">
        <v>39112</v>
      </c>
      <c r="D253" s="11" t="str">
        <f t="shared" si="3"/>
        <v>*</v>
      </c>
    </row>
    <row r="254" spans="1:4" x14ac:dyDescent="0.25">
      <c r="A254" s="1">
        <v>27137</v>
      </c>
      <c r="B254" s="3" t="s">
        <v>57</v>
      </c>
      <c r="C254" s="6">
        <v>9150</v>
      </c>
      <c r="D254" s="11" t="str">
        <f t="shared" si="3"/>
        <v>*</v>
      </c>
    </row>
    <row r="255" spans="1:4" x14ac:dyDescent="0.25">
      <c r="A255" s="1">
        <v>27138</v>
      </c>
      <c r="B255" s="3" t="s">
        <v>58</v>
      </c>
      <c r="C255" s="6">
        <v>9086</v>
      </c>
      <c r="D255" s="11" t="str">
        <f t="shared" si="3"/>
        <v>*</v>
      </c>
    </row>
    <row r="256" spans="1:4" x14ac:dyDescent="0.25">
      <c r="A256" s="1">
        <v>27139</v>
      </c>
      <c r="B256" s="3" t="s">
        <v>59</v>
      </c>
      <c r="C256" s="6">
        <v>9042</v>
      </c>
      <c r="D256" s="11" t="str">
        <f t="shared" si="3"/>
        <v>*</v>
      </c>
    </row>
    <row r="257" spans="1:4" x14ac:dyDescent="0.25">
      <c r="A257" s="1">
        <v>27140</v>
      </c>
      <c r="B257" s="3" t="s">
        <v>44</v>
      </c>
      <c r="C257" s="6">
        <v>10002</v>
      </c>
      <c r="D257" s="11" t="str">
        <f t="shared" si="3"/>
        <v>*</v>
      </c>
    </row>
    <row r="258" spans="1:4" x14ac:dyDescent="0.25">
      <c r="A258" s="1">
        <v>27287</v>
      </c>
      <c r="B258" s="3" t="s">
        <v>516</v>
      </c>
      <c r="C258" s="6">
        <v>247</v>
      </c>
      <c r="D258" s="11" t="str">
        <f t="shared" si="3"/>
        <v>*</v>
      </c>
    </row>
    <row r="259" spans="1:4" x14ac:dyDescent="0.25">
      <c r="A259" s="1">
        <v>27353</v>
      </c>
      <c r="B259" s="3" t="s">
        <v>497</v>
      </c>
      <c r="C259" s="6">
        <v>160</v>
      </c>
      <c r="D259" s="11" t="str">
        <f t="shared" si="3"/>
        <v>*</v>
      </c>
    </row>
    <row r="260" spans="1:4" x14ac:dyDescent="0.25">
      <c r="A260" s="1">
        <v>27479</v>
      </c>
      <c r="B260" s="3" t="s">
        <v>171</v>
      </c>
      <c r="C260" s="6">
        <v>161</v>
      </c>
      <c r="D260" s="11" t="str">
        <f t="shared" ref="D260:D323" si="4">IF($D$3="FIM","*","")</f>
        <v>*</v>
      </c>
    </row>
    <row r="261" spans="1:4" x14ac:dyDescent="0.25">
      <c r="A261" s="1">
        <v>27759</v>
      </c>
      <c r="B261" s="3" t="s">
        <v>789</v>
      </c>
      <c r="C261" s="6">
        <v>0</v>
      </c>
      <c r="D261" s="11" t="str">
        <f t="shared" si="4"/>
        <v>*</v>
      </c>
    </row>
    <row r="262" spans="1:4" x14ac:dyDescent="0.25">
      <c r="A262" s="1">
        <v>27760</v>
      </c>
      <c r="B262" s="3" t="s">
        <v>790</v>
      </c>
      <c r="C262" s="6">
        <v>10</v>
      </c>
      <c r="D262" s="11" t="str">
        <f t="shared" si="4"/>
        <v>*</v>
      </c>
    </row>
    <row r="263" spans="1:4" x14ac:dyDescent="0.25">
      <c r="A263" s="1">
        <v>27761</v>
      </c>
      <c r="B263" s="3" t="s">
        <v>720</v>
      </c>
      <c r="C263" s="6">
        <v>14</v>
      </c>
      <c r="D263" s="11" t="str">
        <f t="shared" si="4"/>
        <v>*</v>
      </c>
    </row>
    <row r="264" spans="1:4" x14ac:dyDescent="0.25">
      <c r="A264" s="1">
        <v>27764</v>
      </c>
      <c r="B264" s="3" t="s">
        <v>721</v>
      </c>
      <c r="C264" s="6">
        <v>20</v>
      </c>
      <c r="D264" s="11" t="str">
        <f t="shared" si="4"/>
        <v>*</v>
      </c>
    </row>
    <row r="265" spans="1:4" x14ac:dyDescent="0.25">
      <c r="A265" s="1">
        <v>28093</v>
      </c>
      <c r="B265" s="3" t="s">
        <v>151</v>
      </c>
      <c r="C265" s="6">
        <v>37</v>
      </c>
      <c r="D265" s="11" t="str">
        <f t="shared" si="4"/>
        <v>*</v>
      </c>
    </row>
    <row r="266" spans="1:4" x14ac:dyDescent="0.25">
      <c r="A266" s="1">
        <v>28181</v>
      </c>
      <c r="B266" s="3" t="s">
        <v>747</v>
      </c>
      <c r="C266" s="6">
        <v>7</v>
      </c>
      <c r="D266" s="11" t="str">
        <f t="shared" si="4"/>
        <v>*</v>
      </c>
    </row>
    <row r="267" spans="1:4" x14ac:dyDescent="0.25">
      <c r="A267" s="1">
        <v>28184</v>
      </c>
      <c r="B267" s="3" t="s">
        <v>296</v>
      </c>
      <c r="C267" s="6">
        <v>88</v>
      </c>
      <c r="D267" s="11" t="str">
        <f t="shared" si="4"/>
        <v>*</v>
      </c>
    </row>
    <row r="268" spans="1:4" x14ac:dyDescent="0.25">
      <c r="A268" s="1">
        <v>28306</v>
      </c>
      <c r="B268" s="3" t="s">
        <v>748</v>
      </c>
      <c r="C268" s="6">
        <v>22</v>
      </c>
      <c r="D268" s="11" t="str">
        <f t="shared" si="4"/>
        <v>*</v>
      </c>
    </row>
    <row r="269" spans="1:4" x14ac:dyDescent="0.25">
      <c r="A269" s="1">
        <v>28307</v>
      </c>
      <c r="B269" s="3" t="s">
        <v>749</v>
      </c>
      <c r="C269" s="6">
        <v>0</v>
      </c>
      <c r="D269" s="11" t="str">
        <f t="shared" si="4"/>
        <v>*</v>
      </c>
    </row>
    <row r="270" spans="1:4" x14ac:dyDescent="0.25">
      <c r="A270" s="1">
        <v>28308</v>
      </c>
      <c r="B270" s="3" t="s">
        <v>750</v>
      </c>
      <c r="C270" s="6">
        <v>40</v>
      </c>
      <c r="D270" s="11" t="str">
        <f t="shared" si="4"/>
        <v>*</v>
      </c>
    </row>
    <row r="271" spans="1:4" x14ac:dyDescent="0.25">
      <c r="A271" s="1">
        <v>28512</v>
      </c>
      <c r="B271" s="3" t="s">
        <v>722</v>
      </c>
      <c r="C271" s="6">
        <v>50</v>
      </c>
      <c r="D271" s="11" t="str">
        <f t="shared" si="4"/>
        <v>*</v>
      </c>
    </row>
    <row r="272" spans="1:4" x14ac:dyDescent="0.25">
      <c r="A272" s="1">
        <v>29293</v>
      </c>
      <c r="B272" s="3" t="s">
        <v>853</v>
      </c>
      <c r="C272" s="6">
        <v>520</v>
      </c>
      <c r="D272" s="11" t="str">
        <f t="shared" si="4"/>
        <v>*</v>
      </c>
    </row>
    <row r="273" spans="1:4" x14ac:dyDescent="0.25">
      <c r="A273" s="1">
        <v>29296</v>
      </c>
      <c r="B273" s="3" t="s">
        <v>197</v>
      </c>
      <c r="C273" s="6">
        <v>2212</v>
      </c>
      <c r="D273" s="11" t="str">
        <f t="shared" si="4"/>
        <v>*</v>
      </c>
    </row>
    <row r="274" spans="1:4" x14ac:dyDescent="0.25">
      <c r="A274" s="1">
        <v>29435</v>
      </c>
      <c r="B274" s="3" t="s">
        <v>276</v>
      </c>
      <c r="C274" s="6">
        <v>23</v>
      </c>
      <c r="D274" s="11" t="str">
        <f t="shared" si="4"/>
        <v>*</v>
      </c>
    </row>
    <row r="275" spans="1:4" x14ac:dyDescent="0.25">
      <c r="A275" s="1">
        <v>29437</v>
      </c>
      <c r="B275" s="3" t="s">
        <v>751</v>
      </c>
      <c r="C275" s="6">
        <v>0</v>
      </c>
      <c r="D275" s="11" t="str">
        <f t="shared" si="4"/>
        <v>*</v>
      </c>
    </row>
    <row r="276" spans="1:4" x14ac:dyDescent="0.25">
      <c r="A276" s="1">
        <v>29935</v>
      </c>
      <c r="B276" s="3" t="s">
        <v>154</v>
      </c>
      <c r="C276" s="6">
        <v>54</v>
      </c>
      <c r="D276" s="11" t="str">
        <f t="shared" si="4"/>
        <v>*</v>
      </c>
    </row>
    <row r="277" spans="1:4" x14ac:dyDescent="0.25">
      <c r="A277" s="1">
        <v>29952</v>
      </c>
      <c r="B277" s="3" t="s">
        <v>461</v>
      </c>
      <c r="C277" s="6">
        <v>3757</v>
      </c>
      <c r="D277" s="11" t="str">
        <f t="shared" si="4"/>
        <v>*</v>
      </c>
    </row>
    <row r="278" spans="1:4" x14ac:dyDescent="0.25">
      <c r="A278" s="1">
        <v>29956</v>
      </c>
      <c r="B278" s="3" t="s">
        <v>69</v>
      </c>
      <c r="C278" s="6">
        <v>8949</v>
      </c>
      <c r="D278" s="11" t="str">
        <f t="shared" si="4"/>
        <v>*</v>
      </c>
    </row>
    <row r="279" spans="1:4" x14ac:dyDescent="0.25">
      <c r="A279" s="1">
        <v>29959</v>
      </c>
      <c r="B279" s="3" t="s">
        <v>70</v>
      </c>
      <c r="C279" s="6">
        <v>9239</v>
      </c>
      <c r="D279" s="11" t="str">
        <f t="shared" si="4"/>
        <v>*</v>
      </c>
    </row>
    <row r="280" spans="1:4" x14ac:dyDescent="0.25">
      <c r="A280" s="1">
        <v>29961</v>
      </c>
      <c r="B280" s="3" t="s">
        <v>71</v>
      </c>
      <c r="C280" s="6">
        <v>9494</v>
      </c>
      <c r="D280" s="11" t="str">
        <f t="shared" si="4"/>
        <v>*</v>
      </c>
    </row>
    <row r="281" spans="1:4" x14ac:dyDescent="0.25">
      <c r="A281" s="1">
        <v>29962</v>
      </c>
      <c r="B281" s="3" t="s">
        <v>72</v>
      </c>
      <c r="C281" s="6">
        <v>8653</v>
      </c>
      <c r="D281" s="11" t="str">
        <f t="shared" si="4"/>
        <v>*</v>
      </c>
    </row>
    <row r="282" spans="1:4" x14ac:dyDescent="0.25">
      <c r="A282" s="1">
        <v>29964</v>
      </c>
      <c r="B282" s="3" t="s">
        <v>73</v>
      </c>
      <c r="C282" s="6">
        <v>8834</v>
      </c>
      <c r="D282" s="11" t="str">
        <f t="shared" si="4"/>
        <v>*</v>
      </c>
    </row>
    <row r="283" spans="1:4" x14ac:dyDescent="0.25">
      <c r="A283" s="1">
        <v>30165</v>
      </c>
      <c r="B283" s="3" t="s">
        <v>90</v>
      </c>
      <c r="C283" s="6">
        <v>19510</v>
      </c>
      <c r="D283" s="11" t="str">
        <f t="shared" si="4"/>
        <v>*</v>
      </c>
    </row>
    <row r="284" spans="1:4" x14ac:dyDescent="0.25">
      <c r="A284" s="1">
        <v>30171</v>
      </c>
      <c r="B284" s="3" t="s">
        <v>10</v>
      </c>
      <c r="C284" s="6">
        <v>24</v>
      </c>
      <c r="D284" s="11" t="str">
        <f t="shared" si="4"/>
        <v>*</v>
      </c>
    </row>
    <row r="285" spans="1:4" x14ac:dyDescent="0.25">
      <c r="A285" s="1">
        <v>30658</v>
      </c>
      <c r="B285" s="3" t="s">
        <v>319</v>
      </c>
      <c r="C285" s="6">
        <v>18</v>
      </c>
      <c r="D285" s="11" t="str">
        <f t="shared" si="4"/>
        <v>*</v>
      </c>
    </row>
    <row r="286" spans="1:4" x14ac:dyDescent="0.25">
      <c r="A286" s="1">
        <v>30772</v>
      </c>
      <c r="B286" s="3" t="s">
        <v>189</v>
      </c>
      <c r="C286" s="6">
        <v>58</v>
      </c>
      <c r="D286" s="11" t="str">
        <f t="shared" si="4"/>
        <v>*</v>
      </c>
    </row>
    <row r="287" spans="1:4" x14ac:dyDescent="0.25">
      <c r="A287" s="1">
        <v>31321</v>
      </c>
      <c r="B287" s="3" t="s">
        <v>119</v>
      </c>
      <c r="C287" s="6">
        <v>17211</v>
      </c>
      <c r="D287" s="11" t="str">
        <f t="shared" si="4"/>
        <v>*</v>
      </c>
    </row>
    <row r="288" spans="1:4" x14ac:dyDescent="0.25">
      <c r="A288" s="1">
        <v>31555</v>
      </c>
      <c r="B288" s="3" t="s">
        <v>682</v>
      </c>
      <c r="C288" s="6">
        <v>0</v>
      </c>
      <c r="D288" s="11" t="str">
        <f t="shared" si="4"/>
        <v>*</v>
      </c>
    </row>
    <row r="289" spans="1:4" x14ac:dyDescent="0.25">
      <c r="A289" s="1">
        <v>31580</v>
      </c>
      <c r="B289" s="3" t="s">
        <v>648</v>
      </c>
      <c r="C289" s="6">
        <v>9</v>
      </c>
      <c r="D289" s="11" t="str">
        <f t="shared" si="4"/>
        <v>*</v>
      </c>
    </row>
    <row r="290" spans="1:4" x14ac:dyDescent="0.25">
      <c r="A290" s="1">
        <v>32487</v>
      </c>
      <c r="B290" s="3" t="s">
        <v>233</v>
      </c>
      <c r="C290" s="6">
        <v>45</v>
      </c>
      <c r="D290" s="11" t="str">
        <f t="shared" si="4"/>
        <v>*</v>
      </c>
    </row>
    <row r="291" spans="1:4" x14ac:dyDescent="0.25">
      <c r="A291" s="1">
        <v>32534</v>
      </c>
      <c r="B291" s="3" t="s">
        <v>1107</v>
      </c>
      <c r="C291" s="6">
        <v>8240</v>
      </c>
      <c r="D291" s="11" t="str">
        <f t="shared" si="4"/>
        <v>*</v>
      </c>
    </row>
    <row r="292" spans="1:4" x14ac:dyDescent="0.25">
      <c r="A292" s="1">
        <v>32927</v>
      </c>
      <c r="B292" s="3" t="s">
        <v>202</v>
      </c>
      <c r="C292" s="6">
        <v>8257</v>
      </c>
      <c r="D292" s="11" t="str">
        <f t="shared" si="4"/>
        <v>*</v>
      </c>
    </row>
    <row r="293" spans="1:4" x14ac:dyDescent="0.25">
      <c r="A293" s="1">
        <v>32933</v>
      </c>
      <c r="B293" s="3" t="s">
        <v>91</v>
      </c>
      <c r="C293" s="6">
        <v>19446</v>
      </c>
      <c r="D293" s="11" t="str">
        <f t="shared" si="4"/>
        <v>*</v>
      </c>
    </row>
    <row r="294" spans="1:4" x14ac:dyDescent="0.25">
      <c r="A294" s="1">
        <v>33609</v>
      </c>
      <c r="B294" s="3" t="s">
        <v>860</v>
      </c>
      <c r="C294" s="6">
        <v>43</v>
      </c>
      <c r="D294" s="11" t="str">
        <f t="shared" si="4"/>
        <v>*</v>
      </c>
    </row>
    <row r="295" spans="1:4" x14ac:dyDescent="0.25">
      <c r="A295" s="1">
        <v>33612</v>
      </c>
      <c r="B295" s="3" t="s">
        <v>861</v>
      </c>
      <c r="C295" s="6">
        <v>131</v>
      </c>
      <c r="D295" s="11" t="str">
        <f t="shared" si="4"/>
        <v>*</v>
      </c>
    </row>
    <row r="296" spans="1:4" x14ac:dyDescent="0.25">
      <c r="A296" s="1">
        <v>33623</v>
      </c>
      <c r="B296" s="3" t="s">
        <v>862</v>
      </c>
      <c r="C296" s="6">
        <v>168</v>
      </c>
      <c r="D296" s="11" t="str">
        <f t="shared" si="4"/>
        <v>*</v>
      </c>
    </row>
    <row r="297" spans="1:4" x14ac:dyDescent="0.25">
      <c r="A297" s="1">
        <v>34214</v>
      </c>
      <c r="B297" s="3" t="s">
        <v>540</v>
      </c>
      <c r="C297" s="6">
        <v>3</v>
      </c>
      <c r="D297" s="11" t="str">
        <f t="shared" si="4"/>
        <v>*</v>
      </c>
    </row>
    <row r="298" spans="1:4" x14ac:dyDescent="0.25">
      <c r="A298" s="1">
        <v>34801</v>
      </c>
      <c r="B298" s="3" t="s">
        <v>249</v>
      </c>
      <c r="C298" s="6">
        <v>4667</v>
      </c>
      <c r="D298" s="11" t="str">
        <f t="shared" si="4"/>
        <v>*</v>
      </c>
    </row>
    <row r="299" spans="1:4" x14ac:dyDescent="0.25">
      <c r="A299" s="1">
        <v>35224</v>
      </c>
      <c r="B299" s="3" t="s">
        <v>791</v>
      </c>
      <c r="C299" s="6">
        <v>16</v>
      </c>
      <c r="D299" s="11" t="str">
        <f t="shared" si="4"/>
        <v>*</v>
      </c>
    </row>
    <row r="300" spans="1:4" x14ac:dyDescent="0.25">
      <c r="A300" s="1">
        <v>35227</v>
      </c>
      <c r="B300" s="3" t="s">
        <v>288</v>
      </c>
      <c r="C300" s="6">
        <v>99</v>
      </c>
      <c r="D300" s="11" t="str">
        <f t="shared" si="4"/>
        <v>*</v>
      </c>
    </row>
    <row r="301" spans="1:4" x14ac:dyDescent="0.25">
      <c r="A301" s="1">
        <v>35238</v>
      </c>
      <c r="B301" s="3" t="s">
        <v>569</v>
      </c>
      <c r="C301" s="6">
        <v>0</v>
      </c>
      <c r="D301" s="11" t="str">
        <f t="shared" si="4"/>
        <v>*</v>
      </c>
    </row>
    <row r="302" spans="1:4" x14ac:dyDescent="0.25">
      <c r="A302" s="1">
        <v>35256</v>
      </c>
      <c r="B302" s="3" t="s">
        <v>255</v>
      </c>
      <c r="C302" s="6">
        <v>327</v>
      </c>
      <c r="D302" s="11" t="str">
        <f t="shared" si="4"/>
        <v>*</v>
      </c>
    </row>
    <row r="303" spans="1:4" x14ac:dyDescent="0.25">
      <c r="A303" s="1">
        <v>35331</v>
      </c>
      <c r="B303" s="3" t="s">
        <v>570</v>
      </c>
      <c r="C303" s="6">
        <v>10</v>
      </c>
      <c r="D303" s="11" t="str">
        <f t="shared" si="4"/>
        <v>*</v>
      </c>
    </row>
    <row r="304" spans="1:4" x14ac:dyDescent="0.25">
      <c r="A304" s="1">
        <v>35359</v>
      </c>
      <c r="B304" s="3" t="s">
        <v>571</v>
      </c>
      <c r="C304" s="6">
        <v>0</v>
      </c>
      <c r="D304" s="11" t="str">
        <f t="shared" si="4"/>
        <v>*</v>
      </c>
    </row>
    <row r="305" spans="1:4" x14ac:dyDescent="0.25">
      <c r="A305" s="1">
        <v>35550</v>
      </c>
      <c r="B305" s="3" t="s">
        <v>158</v>
      </c>
      <c r="C305" s="6">
        <v>90</v>
      </c>
      <c r="D305" s="11" t="str">
        <f t="shared" si="4"/>
        <v>*</v>
      </c>
    </row>
    <row r="306" spans="1:4" x14ac:dyDescent="0.25">
      <c r="A306" s="1">
        <v>35554</v>
      </c>
      <c r="B306" s="3" t="s">
        <v>164</v>
      </c>
      <c r="C306" s="6">
        <v>28</v>
      </c>
      <c r="D306" s="11" t="str">
        <f t="shared" si="4"/>
        <v>*</v>
      </c>
    </row>
    <row r="307" spans="1:4" x14ac:dyDescent="0.25">
      <c r="A307" s="1">
        <v>35555</v>
      </c>
      <c r="B307" s="3" t="s">
        <v>165</v>
      </c>
      <c r="C307" s="6">
        <v>25</v>
      </c>
      <c r="D307" s="11" t="str">
        <f t="shared" si="4"/>
        <v>*</v>
      </c>
    </row>
    <row r="308" spans="1:4" x14ac:dyDescent="0.25">
      <c r="A308" s="1">
        <v>36011</v>
      </c>
      <c r="B308" s="3" t="s">
        <v>172</v>
      </c>
      <c r="C308" s="6">
        <v>19</v>
      </c>
      <c r="D308" s="11" t="str">
        <f t="shared" si="4"/>
        <v>*</v>
      </c>
    </row>
    <row r="309" spans="1:4" x14ac:dyDescent="0.25">
      <c r="A309" s="1">
        <v>36031</v>
      </c>
      <c r="B309" s="3" t="s">
        <v>843</v>
      </c>
      <c r="C309" s="6">
        <v>160</v>
      </c>
      <c r="D309" s="11" t="str">
        <f t="shared" si="4"/>
        <v>*</v>
      </c>
    </row>
    <row r="310" spans="1:4" x14ac:dyDescent="0.25">
      <c r="A310" s="1">
        <v>36399</v>
      </c>
      <c r="B310" s="3" t="s">
        <v>994</v>
      </c>
      <c r="C310" s="6">
        <v>14</v>
      </c>
      <c r="D310" s="11" t="str">
        <f t="shared" si="4"/>
        <v>*</v>
      </c>
    </row>
    <row r="311" spans="1:4" x14ac:dyDescent="0.25">
      <c r="A311" s="1">
        <v>36400</v>
      </c>
      <c r="B311" s="3" t="s">
        <v>995</v>
      </c>
      <c r="C311" s="6">
        <v>0</v>
      </c>
      <c r="D311" s="11" t="str">
        <f t="shared" si="4"/>
        <v>*</v>
      </c>
    </row>
    <row r="312" spans="1:4" x14ac:dyDescent="0.25">
      <c r="A312" s="1">
        <v>37518</v>
      </c>
      <c r="B312" s="3" t="s">
        <v>635</v>
      </c>
      <c r="C312" s="6">
        <v>30</v>
      </c>
      <c r="D312" s="11" t="str">
        <f t="shared" si="4"/>
        <v>*</v>
      </c>
    </row>
    <row r="313" spans="1:4" x14ac:dyDescent="0.25">
      <c r="A313" s="1">
        <v>37519</v>
      </c>
      <c r="B313" s="3" t="s">
        <v>636</v>
      </c>
      <c r="C313" s="6">
        <v>30</v>
      </c>
      <c r="D313" s="11" t="str">
        <f t="shared" si="4"/>
        <v>*</v>
      </c>
    </row>
    <row r="314" spans="1:4" x14ac:dyDescent="0.25">
      <c r="A314" s="1">
        <v>37528</v>
      </c>
      <c r="B314" s="3" t="s">
        <v>818</v>
      </c>
      <c r="C314" s="6">
        <v>662</v>
      </c>
      <c r="D314" s="11" t="str">
        <f t="shared" si="4"/>
        <v>*</v>
      </c>
    </row>
    <row r="315" spans="1:4" x14ac:dyDescent="0.25">
      <c r="A315" s="1">
        <v>38534</v>
      </c>
      <c r="B315" s="3" t="s">
        <v>752</v>
      </c>
      <c r="C315" s="6">
        <v>15</v>
      </c>
      <c r="D315" s="11" t="str">
        <f t="shared" si="4"/>
        <v>*</v>
      </c>
    </row>
    <row r="316" spans="1:4" x14ac:dyDescent="0.25">
      <c r="A316" s="1">
        <v>38648</v>
      </c>
      <c r="B316" s="3" t="s">
        <v>714</v>
      </c>
      <c r="C316" s="6">
        <v>0</v>
      </c>
      <c r="D316" s="11" t="str">
        <f t="shared" si="4"/>
        <v>*</v>
      </c>
    </row>
    <row r="317" spans="1:4" x14ac:dyDescent="0.25">
      <c r="A317" s="1">
        <v>38930</v>
      </c>
      <c r="B317" s="3" t="s">
        <v>915</v>
      </c>
      <c r="C317" s="6">
        <v>22</v>
      </c>
      <c r="D317" s="11" t="str">
        <f t="shared" si="4"/>
        <v>*</v>
      </c>
    </row>
    <row r="318" spans="1:4" x14ac:dyDescent="0.25">
      <c r="A318" s="1">
        <v>39378</v>
      </c>
      <c r="B318" s="3" t="s">
        <v>819</v>
      </c>
      <c r="C318" s="6">
        <v>260</v>
      </c>
      <c r="D318" s="11" t="str">
        <f t="shared" si="4"/>
        <v>*</v>
      </c>
    </row>
    <row r="319" spans="1:4" x14ac:dyDescent="0.25">
      <c r="A319" s="1">
        <v>40086</v>
      </c>
      <c r="B319" s="3" t="s">
        <v>522</v>
      </c>
      <c r="C319" s="6">
        <v>202</v>
      </c>
      <c r="D319" s="11" t="str">
        <f t="shared" si="4"/>
        <v>*</v>
      </c>
    </row>
    <row r="320" spans="1:4" x14ac:dyDescent="0.25">
      <c r="A320" s="1">
        <v>40251</v>
      </c>
      <c r="B320" s="3" t="s">
        <v>987</v>
      </c>
      <c r="C320" s="6">
        <v>203</v>
      </c>
      <c r="D320" s="11" t="str">
        <f t="shared" si="4"/>
        <v>*</v>
      </c>
    </row>
    <row r="321" spans="1:4" x14ac:dyDescent="0.25">
      <c r="A321" s="1">
        <v>40685</v>
      </c>
      <c r="B321" s="3" t="s">
        <v>120</v>
      </c>
      <c r="C321" s="6">
        <v>915</v>
      </c>
      <c r="D321" s="11" t="str">
        <f t="shared" si="4"/>
        <v>*</v>
      </c>
    </row>
    <row r="322" spans="1:4" x14ac:dyDescent="0.25">
      <c r="A322" s="1">
        <v>40772</v>
      </c>
      <c r="B322" s="3" t="s">
        <v>753</v>
      </c>
      <c r="C322" s="6">
        <v>14</v>
      </c>
      <c r="D322" s="11" t="str">
        <f t="shared" si="4"/>
        <v>*</v>
      </c>
    </row>
    <row r="323" spans="1:4" x14ac:dyDescent="0.25">
      <c r="A323" s="1">
        <v>42566</v>
      </c>
      <c r="B323" s="3" t="s">
        <v>544</v>
      </c>
      <c r="C323" s="6">
        <v>34</v>
      </c>
      <c r="D323" s="11" t="str">
        <f t="shared" si="4"/>
        <v>*</v>
      </c>
    </row>
    <row r="324" spans="1:4" x14ac:dyDescent="0.25">
      <c r="A324" s="1">
        <v>42681</v>
      </c>
      <c r="B324" s="3" t="s">
        <v>572</v>
      </c>
      <c r="C324" s="6">
        <v>0</v>
      </c>
      <c r="D324" s="11" t="str">
        <f t="shared" ref="D324:D387" si="5">IF($D$3="FIM","*","")</f>
        <v>*</v>
      </c>
    </row>
    <row r="325" spans="1:4" x14ac:dyDescent="0.25">
      <c r="A325" s="1">
        <v>42854</v>
      </c>
      <c r="B325" s="3" t="s">
        <v>489</v>
      </c>
      <c r="C325" s="6">
        <v>961</v>
      </c>
      <c r="D325" s="11" t="str">
        <f t="shared" si="5"/>
        <v>*</v>
      </c>
    </row>
    <row r="326" spans="1:4" x14ac:dyDescent="0.25">
      <c r="A326" s="1">
        <v>44398</v>
      </c>
      <c r="B326" s="3" t="s">
        <v>336</v>
      </c>
      <c r="C326" s="6">
        <v>921</v>
      </c>
      <c r="D326" s="11" t="str">
        <f t="shared" si="5"/>
        <v>*</v>
      </c>
    </row>
    <row r="327" spans="1:4" x14ac:dyDescent="0.25">
      <c r="A327" s="1">
        <v>44789</v>
      </c>
      <c r="B327" s="3" t="s">
        <v>754</v>
      </c>
      <c r="C327" s="6">
        <v>8</v>
      </c>
      <c r="D327" s="11" t="str">
        <f t="shared" si="5"/>
        <v>*</v>
      </c>
    </row>
    <row r="328" spans="1:4" x14ac:dyDescent="0.25">
      <c r="A328" s="1">
        <v>45637</v>
      </c>
      <c r="B328" s="3" t="s">
        <v>619</v>
      </c>
      <c r="C328" s="6">
        <v>54</v>
      </c>
      <c r="D328" s="11" t="str">
        <f t="shared" si="5"/>
        <v>*</v>
      </c>
    </row>
    <row r="329" spans="1:4" x14ac:dyDescent="0.25">
      <c r="A329" s="1">
        <v>46420</v>
      </c>
      <c r="B329" s="3" t="s">
        <v>471</v>
      </c>
      <c r="C329" s="6">
        <v>1805</v>
      </c>
      <c r="D329" s="11" t="str">
        <f t="shared" si="5"/>
        <v>*</v>
      </c>
    </row>
    <row r="330" spans="1:4" x14ac:dyDescent="0.25">
      <c r="A330" s="1">
        <v>47447</v>
      </c>
      <c r="B330" s="3" t="s">
        <v>92</v>
      </c>
      <c r="C330" s="6">
        <v>15674</v>
      </c>
      <c r="D330" s="11" t="str">
        <f t="shared" si="5"/>
        <v>*</v>
      </c>
    </row>
    <row r="331" spans="1:4" x14ac:dyDescent="0.25">
      <c r="A331" s="1">
        <v>48901</v>
      </c>
      <c r="B331" s="3" t="s">
        <v>403</v>
      </c>
      <c r="C331" s="6">
        <v>26</v>
      </c>
      <c r="D331" s="11" t="str">
        <f t="shared" si="5"/>
        <v>*</v>
      </c>
    </row>
    <row r="332" spans="1:4" x14ac:dyDescent="0.25">
      <c r="A332" s="1">
        <v>49033</v>
      </c>
      <c r="B332" s="3" t="s">
        <v>396</v>
      </c>
      <c r="C332" s="6">
        <v>63</v>
      </c>
      <c r="D332" s="11" t="str">
        <f t="shared" si="5"/>
        <v>*</v>
      </c>
    </row>
    <row r="333" spans="1:4" x14ac:dyDescent="0.25">
      <c r="A333" s="1">
        <v>49254</v>
      </c>
      <c r="B333" s="3" t="s">
        <v>183</v>
      </c>
      <c r="C333" s="6">
        <v>858</v>
      </c>
      <c r="D333" s="11" t="str">
        <f t="shared" si="5"/>
        <v>*</v>
      </c>
    </row>
    <row r="334" spans="1:4" x14ac:dyDescent="0.25">
      <c r="A334" s="1">
        <v>49695</v>
      </c>
      <c r="B334" s="3" t="s">
        <v>503</v>
      </c>
      <c r="C334" s="6">
        <v>235</v>
      </c>
      <c r="D334" s="11" t="str">
        <f t="shared" si="5"/>
        <v>*</v>
      </c>
    </row>
    <row r="335" spans="1:4" x14ac:dyDescent="0.25">
      <c r="A335" s="1">
        <v>49858</v>
      </c>
      <c r="B335" s="3" t="s">
        <v>844</v>
      </c>
      <c r="C335" s="6">
        <v>39</v>
      </c>
      <c r="D335" s="11" t="str">
        <f t="shared" si="5"/>
        <v>*</v>
      </c>
    </row>
    <row r="336" spans="1:4" x14ac:dyDescent="0.25">
      <c r="A336" s="1">
        <v>50475</v>
      </c>
      <c r="B336" s="3" t="s">
        <v>523</v>
      </c>
      <c r="C336" s="6">
        <v>192</v>
      </c>
      <c r="D336" s="11" t="str">
        <f t="shared" si="5"/>
        <v>*</v>
      </c>
    </row>
    <row r="337" spans="1:4" x14ac:dyDescent="0.25">
      <c r="A337" s="1">
        <v>50591</v>
      </c>
      <c r="B337" s="3" t="s">
        <v>389</v>
      </c>
      <c r="C337" s="6">
        <v>26</v>
      </c>
      <c r="D337" s="11" t="str">
        <f t="shared" si="5"/>
        <v>*</v>
      </c>
    </row>
    <row r="338" spans="1:4" x14ac:dyDescent="0.25">
      <c r="A338" s="1">
        <v>50797</v>
      </c>
      <c r="B338" s="3" t="s">
        <v>37</v>
      </c>
      <c r="C338" s="6">
        <v>200</v>
      </c>
      <c r="D338" s="11" t="str">
        <f t="shared" si="5"/>
        <v>*</v>
      </c>
    </row>
    <row r="339" spans="1:4" x14ac:dyDescent="0.25">
      <c r="A339" s="1">
        <v>51222</v>
      </c>
      <c r="B339" s="3" t="s">
        <v>687</v>
      </c>
      <c r="C339" s="6">
        <v>57</v>
      </c>
      <c r="D339" s="11" t="str">
        <f t="shared" si="5"/>
        <v>*</v>
      </c>
    </row>
    <row r="340" spans="1:4" x14ac:dyDescent="0.25">
      <c r="A340" s="1">
        <v>51579</v>
      </c>
      <c r="B340" s="3" t="s">
        <v>42</v>
      </c>
      <c r="C340" s="6">
        <v>900</v>
      </c>
      <c r="D340" s="11" t="str">
        <f t="shared" si="5"/>
        <v>*</v>
      </c>
    </row>
    <row r="341" spans="1:4" x14ac:dyDescent="0.25">
      <c r="A341" s="1">
        <v>52129</v>
      </c>
      <c r="B341" s="3" t="s">
        <v>902</v>
      </c>
      <c r="C341" s="6">
        <v>170</v>
      </c>
      <c r="D341" s="11" t="str">
        <f t="shared" si="5"/>
        <v>*</v>
      </c>
    </row>
    <row r="342" spans="1:4" x14ac:dyDescent="0.25">
      <c r="A342" s="1">
        <v>52994</v>
      </c>
      <c r="B342" s="3" t="s">
        <v>755</v>
      </c>
      <c r="C342" s="6">
        <v>20</v>
      </c>
      <c r="D342" s="11" t="str">
        <f t="shared" si="5"/>
        <v>*</v>
      </c>
    </row>
    <row r="343" spans="1:4" x14ac:dyDescent="0.25">
      <c r="A343" s="1">
        <v>53446</v>
      </c>
      <c r="B343" s="3" t="s">
        <v>273</v>
      </c>
      <c r="C343" s="6">
        <v>839</v>
      </c>
      <c r="D343" s="11" t="str">
        <f t="shared" si="5"/>
        <v>*</v>
      </c>
    </row>
    <row r="344" spans="1:4" x14ac:dyDescent="0.25">
      <c r="A344" s="1">
        <v>53813</v>
      </c>
      <c r="B344" s="3" t="s">
        <v>517</v>
      </c>
      <c r="C344" s="6">
        <v>56</v>
      </c>
      <c r="D344" s="11" t="str">
        <f t="shared" si="5"/>
        <v>*</v>
      </c>
    </row>
    <row r="345" spans="1:4" x14ac:dyDescent="0.25">
      <c r="A345" s="1">
        <v>53814</v>
      </c>
      <c r="B345" s="3" t="s">
        <v>518</v>
      </c>
      <c r="C345" s="6">
        <v>62</v>
      </c>
      <c r="D345" s="11" t="str">
        <f t="shared" si="5"/>
        <v>*</v>
      </c>
    </row>
    <row r="346" spans="1:4" x14ac:dyDescent="0.25">
      <c r="A346" s="1">
        <v>53849</v>
      </c>
      <c r="B346" s="3" t="s">
        <v>320</v>
      </c>
      <c r="C346" s="6">
        <v>31</v>
      </c>
      <c r="D346" s="11" t="str">
        <f t="shared" si="5"/>
        <v>*</v>
      </c>
    </row>
    <row r="347" spans="1:4" x14ac:dyDescent="0.25">
      <c r="A347" s="1">
        <v>54017</v>
      </c>
      <c r="B347" s="3" t="s">
        <v>756</v>
      </c>
      <c r="C347" s="6">
        <v>6</v>
      </c>
      <c r="D347" s="11" t="str">
        <f t="shared" si="5"/>
        <v>*</v>
      </c>
    </row>
    <row r="348" spans="1:4" x14ac:dyDescent="0.25">
      <c r="A348" s="1">
        <v>54018</v>
      </c>
      <c r="B348" s="3" t="s">
        <v>757</v>
      </c>
      <c r="C348" s="6">
        <v>0</v>
      </c>
      <c r="D348" s="11" t="str">
        <f t="shared" si="5"/>
        <v>*</v>
      </c>
    </row>
    <row r="349" spans="1:4" x14ac:dyDescent="0.25">
      <c r="A349" s="1">
        <v>54019</v>
      </c>
      <c r="B349" s="3" t="s">
        <v>144</v>
      </c>
      <c r="C349" s="6">
        <v>8</v>
      </c>
      <c r="D349" s="11" t="str">
        <f t="shared" si="5"/>
        <v>*</v>
      </c>
    </row>
    <row r="350" spans="1:4" x14ac:dyDescent="0.25">
      <c r="A350" s="1">
        <v>54026</v>
      </c>
      <c r="B350" s="3" t="s">
        <v>649</v>
      </c>
      <c r="C350" s="6">
        <v>8</v>
      </c>
      <c r="D350" s="11" t="str">
        <f t="shared" si="5"/>
        <v>*</v>
      </c>
    </row>
    <row r="351" spans="1:4" x14ac:dyDescent="0.25">
      <c r="A351" s="1">
        <v>54029</v>
      </c>
      <c r="B351" s="3" t="s">
        <v>650</v>
      </c>
      <c r="C351" s="6">
        <v>220</v>
      </c>
      <c r="D351" s="11" t="str">
        <f t="shared" si="5"/>
        <v>*</v>
      </c>
    </row>
    <row r="352" spans="1:4" x14ac:dyDescent="0.25">
      <c r="A352" s="1">
        <v>54032</v>
      </c>
      <c r="B352" s="3" t="s">
        <v>651</v>
      </c>
      <c r="C352" s="6">
        <v>1200</v>
      </c>
      <c r="D352" s="11" t="str">
        <f t="shared" si="5"/>
        <v>*</v>
      </c>
    </row>
    <row r="353" spans="1:4" x14ac:dyDescent="0.25">
      <c r="A353" s="1">
        <v>54144</v>
      </c>
      <c r="B353" s="3" t="s">
        <v>758</v>
      </c>
      <c r="C353" s="6">
        <v>14</v>
      </c>
      <c r="D353" s="11" t="str">
        <f t="shared" si="5"/>
        <v>*</v>
      </c>
    </row>
    <row r="354" spans="1:4" x14ac:dyDescent="0.25">
      <c r="A354" s="1">
        <v>54550</v>
      </c>
      <c r="B354" s="3" t="s">
        <v>724</v>
      </c>
      <c r="C354" s="6">
        <v>48</v>
      </c>
      <c r="D354" s="11" t="str">
        <f t="shared" si="5"/>
        <v>*</v>
      </c>
    </row>
    <row r="355" spans="1:4" x14ac:dyDescent="0.25">
      <c r="A355" s="1">
        <v>54552</v>
      </c>
      <c r="B355" s="3" t="s">
        <v>337</v>
      </c>
      <c r="C355" s="6">
        <v>171</v>
      </c>
      <c r="D355" s="11" t="str">
        <f t="shared" si="5"/>
        <v>*</v>
      </c>
    </row>
    <row r="356" spans="1:4" x14ac:dyDescent="0.25">
      <c r="A356" s="1">
        <v>54586</v>
      </c>
      <c r="B356" s="3" t="s">
        <v>278</v>
      </c>
      <c r="C356" s="6">
        <v>6</v>
      </c>
      <c r="D356" s="11" t="str">
        <f t="shared" si="5"/>
        <v>*</v>
      </c>
    </row>
    <row r="357" spans="1:4" x14ac:dyDescent="0.25">
      <c r="A357" s="1">
        <v>54587</v>
      </c>
      <c r="B357" s="3" t="s">
        <v>277</v>
      </c>
      <c r="C357" s="6">
        <v>24</v>
      </c>
      <c r="D357" s="11" t="str">
        <f t="shared" si="5"/>
        <v>*</v>
      </c>
    </row>
    <row r="358" spans="1:4" x14ac:dyDescent="0.25">
      <c r="A358" s="1">
        <v>54668</v>
      </c>
      <c r="B358" s="3" t="s">
        <v>11</v>
      </c>
      <c r="C358" s="6">
        <v>137</v>
      </c>
      <c r="D358" s="11" t="str">
        <f t="shared" si="5"/>
        <v>*</v>
      </c>
    </row>
    <row r="359" spans="1:4" x14ac:dyDescent="0.25">
      <c r="A359" s="1">
        <v>54682</v>
      </c>
      <c r="B359" s="3" t="s">
        <v>462</v>
      </c>
      <c r="C359" s="6">
        <v>2697</v>
      </c>
      <c r="D359" s="11" t="str">
        <f t="shared" si="5"/>
        <v>*</v>
      </c>
    </row>
    <row r="360" spans="1:4" x14ac:dyDescent="0.25">
      <c r="A360" s="1">
        <v>55836</v>
      </c>
      <c r="B360" s="3" t="s">
        <v>965</v>
      </c>
      <c r="C360" s="6">
        <v>500</v>
      </c>
      <c r="D360" s="11" t="str">
        <f t="shared" si="5"/>
        <v>*</v>
      </c>
    </row>
    <row r="361" spans="1:4" x14ac:dyDescent="0.25">
      <c r="A361" s="1">
        <v>56519</v>
      </c>
      <c r="B361" s="3" t="s">
        <v>390</v>
      </c>
      <c r="C361" s="6">
        <v>13</v>
      </c>
      <c r="D361" s="11" t="str">
        <f t="shared" si="5"/>
        <v>*</v>
      </c>
    </row>
    <row r="362" spans="1:4" x14ac:dyDescent="0.25">
      <c r="A362" s="1">
        <v>56520</v>
      </c>
      <c r="B362" s="3" t="s">
        <v>397</v>
      </c>
      <c r="C362" s="6">
        <v>18</v>
      </c>
      <c r="D362" s="11" t="str">
        <f t="shared" si="5"/>
        <v>*</v>
      </c>
    </row>
    <row r="363" spans="1:4" x14ac:dyDescent="0.25">
      <c r="A363" s="1">
        <v>57444</v>
      </c>
      <c r="B363" s="3" t="s">
        <v>9</v>
      </c>
      <c r="C363" s="6">
        <v>127</v>
      </c>
      <c r="D363" s="11" t="str">
        <f t="shared" si="5"/>
        <v>*</v>
      </c>
    </row>
    <row r="364" spans="1:4" x14ac:dyDescent="0.25">
      <c r="A364" s="1">
        <v>57598</v>
      </c>
      <c r="B364" s="3" t="s">
        <v>274</v>
      </c>
      <c r="C364" s="6">
        <v>1514</v>
      </c>
      <c r="D364" s="11" t="str">
        <f t="shared" si="5"/>
        <v>*</v>
      </c>
    </row>
    <row r="365" spans="1:4" x14ac:dyDescent="0.25">
      <c r="A365" s="1">
        <v>57900</v>
      </c>
      <c r="B365" s="3" t="s">
        <v>959</v>
      </c>
      <c r="C365" s="6">
        <v>14</v>
      </c>
      <c r="D365" s="11" t="str">
        <f t="shared" si="5"/>
        <v>*</v>
      </c>
    </row>
    <row r="366" spans="1:4" x14ac:dyDescent="0.25">
      <c r="A366" s="1">
        <v>58116</v>
      </c>
      <c r="B366" s="3" t="s">
        <v>917</v>
      </c>
      <c r="C366" s="6">
        <v>0</v>
      </c>
      <c r="D366" s="11" t="str">
        <f t="shared" si="5"/>
        <v>*</v>
      </c>
    </row>
    <row r="367" spans="1:4" x14ac:dyDescent="0.25">
      <c r="A367" s="1">
        <v>58117</v>
      </c>
      <c r="B367" s="3" t="s">
        <v>918</v>
      </c>
      <c r="C367" s="6">
        <v>25</v>
      </c>
      <c r="D367" s="11" t="str">
        <f t="shared" si="5"/>
        <v>*</v>
      </c>
    </row>
    <row r="368" spans="1:4" x14ac:dyDescent="0.25">
      <c r="A368" s="1">
        <v>58436</v>
      </c>
      <c r="B368" s="3" t="s">
        <v>878</v>
      </c>
      <c r="C368" s="6">
        <v>30</v>
      </c>
      <c r="D368" s="11" t="str">
        <f t="shared" si="5"/>
        <v>*</v>
      </c>
    </row>
    <row r="369" spans="1:4" x14ac:dyDescent="0.25">
      <c r="A369" s="1">
        <v>58647</v>
      </c>
      <c r="B369" s="3" t="s">
        <v>547</v>
      </c>
      <c r="C369" s="6">
        <v>80</v>
      </c>
      <c r="D369" s="11" t="str">
        <f t="shared" si="5"/>
        <v>*</v>
      </c>
    </row>
    <row r="370" spans="1:4" x14ac:dyDescent="0.25">
      <c r="A370" s="1">
        <v>58706</v>
      </c>
      <c r="B370" s="3" t="s">
        <v>224</v>
      </c>
      <c r="C370" s="6">
        <v>159</v>
      </c>
      <c r="D370" s="11" t="str">
        <f t="shared" si="5"/>
        <v>*</v>
      </c>
    </row>
    <row r="371" spans="1:4" x14ac:dyDescent="0.25">
      <c r="A371" s="1">
        <v>58792</v>
      </c>
      <c r="B371" s="3" t="s">
        <v>1300</v>
      </c>
      <c r="C371" s="6">
        <v>0</v>
      </c>
      <c r="D371" s="11" t="str">
        <f t="shared" si="5"/>
        <v>*</v>
      </c>
    </row>
    <row r="372" spans="1:4" x14ac:dyDescent="0.25">
      <c r="A372" s="1">
        <v>58977</v>
      </c>
      <c r="B372" s="3" t="s">
        <v>203</v>
      </c>
      <c r="C372" s="6">
        <v>66</v>
      </c>
      <c r="D372" s="11" t="str">
        <f t="shared" si="5"/>
        <v>*</v>
      </c>
    </row>
    <row r="373" spans="1:4" x14ac:dyDescent="0.25">
      <c r="A373" s="1">
        <v>59018</v>
      </c>
      <c r="B373" s="3" t="s">
        <v>256</v>
      </c>
      <c r="C373" s="6">
        <v>101</v>
      </c>
      <c r="D373" s="11" t="str">
        <f t="shared" si="5"/>
        <v>*</v>
      </c>
    </row>
    <row r="374" spans="1:4" x14ac:dyDescent="0.25">
      <c r="A374" s="1">
        <v>59069</v>
      </c>
      <c r="B374" s="3" t="s">
        <v>289</v>
      </c>
      <c r="C374" s="6">
        <v>27</v>
      </c>
      <c r="D374" s="11" t="str">
        <f t="shared" si="5"/>
        <v>*</v>
      </c>
    </row>
    <row r="375" spans="1:4" x14ac:dyDescent="0.25">
      <c r="A375" s="1">
        <v>59074</v>
      </c>
      <c r="B375" s="3" t="s">
        <v>442</v>
      </c>
      <c r="C375" s="6">
        <v>1567</v>
      </c>
      <c r="D375" s="11" t="str">
        <f t="shared" si="5"/>
        <v>*</v>
      </c>
    </row>
    <row r="376" spans="1:4" x14ac:dyDescent="0.25">
      <c r="A376" s="1">
        <v>59097</v>
      </c>
      <c r="B376" s="3" t="s">
        <v>290</v>
      </c>
      <c r="C376" s="6">
        <v>50</v>
      </c>
      <c r="D376" s="11" t="str">
        <f t="shared" si="5"/>
        <v>*</v>
      </c>
    </row>
    <row r="377" spans="1:4" x14ac:dyDescent="0.25">
      <c r="A377" s="1">
        <v>59882</v>
      </c>
      <c r="B377" s="3" t="s">
        <v>892</v>
      </c>
      <c r="C377" s="6">
        <v>478</v>
      </c>
      <c r="D377" s="11" t="str">
        <f t="shared" si="5"/>
        <v>*</v>
      </c>
    </row>
    <row r="378" spans="1:4" x14ac:dyDescent="0.25">
      <c r="A378" s="1">
        <v>59942</v>
      </c>
      <c r="B378" s="3" t="s">
        <v>261</v>
      </c>
      <c r="C378" s="6">
        <v>132</v>
      </c>
      <c r="D378" s="11" t="str">
        <f t="shared" si="5"/>
        <v>*</v>
      </c>
    </row>
    <row r="379" spans="1:4" x14ac:dyDescent="0.25">
      <c r="A379" s="1">
        <v>60116</v>
      </c>
      <c r="B379" s="3" t="s">
        <v>279</v>
      </c>
      <c r="C379" s="6">
        <v>134</v>
      </c>
      <c r="D379" s="11" t="str">
        <f t="shared" si="5"/>
        <v>*</v>
      </c>
    </row>
    <row r="380" spans="1:4" x14ac:dyDescent="0.25">
      <c r="A380" s="1">
        <v>60517</v>
      </c>
      <c r="B380" s="3" t="s">
        <v>519</v>
      </c>
      <c r="C380" s="6">
        <v>652</v>
      </c>
      <c r="D380" s="11" t="str">
        <f t="shared" si="5"/>
        <v>*</v>
      </c>
    </row>
    <row r="381" spans="1:4" x14ac:dyDescent="0.25">
      <c r="A381" s="1">
        <v>60830</v>
      </c>
      <c r="B381" s="3" t="s">
        <v>759</v>
      </c>
      <c r="C381" s="6">
        <v>12</v>
      </c>
      <c r="D381" s="11" t="str">
        <f t="shared" si="5"/>
        <v>*</v>
      </c>
    </row>
    <row r="382" spans="1:4" x14ac:dyDescent="0.25">
      <c r="A382" s="1">
        <v>60889</v>
      </c>
      <c r="B382" s="3" t="s">
        <v>652</v>
      </c>
      <c r="C382" s="6">
        <v>546</v>
      </c>
      <c r="D382" s="11" t="str">
        <f t="shared" si="5"/>
        <v>*</v>
      </c>
    </row>
    <row r="383" spans="1:4" x14ac:dyDescent="0.25">
      <c r="A383" s="1">
        <v>60973</v>
      </c>
      <c r="B383" s="3" t="s">
        <v>983</v>
      </c>
      <c r="C383" s="6">
        <v>20</v>
      </c>
      <c r="D383" s="11" t="str">
        <f t="shared" si="5"/>
        <v>*</v>
      </c>
    </row>
    <row r="384" spans="1:4" x14ac:dyDescent="0.25">
      <c r="A384" s="1">
        <v>61046</v>
      </c>
      <c r="B384" s="3" t="s">
        <v>257</v>
      </c>
      <c r="C384" s="6">
        <v>17</v>
      </c>
      <c r="D384" s="11" t="str">
        <f t="shared" si="5"/>
        <v>*</v>
      </c>
    </row>
    <row r="385" spans="1:4" x14ac:dyDescent="0.25">
      <c r="A385" s="1">
        <v>61200</v>
      </c>
      <c r="B385" s="3" t="s">
        <v>291</v>
      </c>
      <c r="C385" s="6">
        <v>60</v>
      </c>
      <c r="D385" s="11" t="str">
        <f t="shared" si="5"/>
        <v>*</v>
      </c>
    </row>
    <row r="386" spans="1:4" x14ac:dyDescent="0.25">
      <c r="A386" s="1">
        <v>61201</v>
      </c>
      <c r="B386" s="3" t="s">
        <v>760</v>
      </c>
      <c r="C386" s="6">
        <v>200</v>
      </c>
      <c r="D386" s="11" t="str">
        <f t="shared" si="5"/>
        <v>*</v>
      </c>
    </row>
    <row r="387" spans="1:4" x14ac:dyDescent="0.25">
      <c r="A387" s="1">
        <v>63031</v>
      </c>
      <c r="B387" s="3" t="s">
        <v>778</v>
      </c>
      <c r="C387" s="6">
        <v>815</v>
      </c>
      <c r="D387" s="11" t="str">
        <f t="shared" si="5"/>
        <v>*</v>
      </c>
    </row>
    <row r="388" spans="1:4" x14ac:dyDescent="0.25">
      <c r="A388" s="1">
        <v>63252</v>
      </c>
      <c r="B388" s="3" t="s">
        <v>939</v>
      </c>
      <c r="C388" s="6">
        <v>101</v>
      </c>
      <c r="D388" s="11" t="str">
        <f t="shared" ref="D388:D451" si="6">IF($D$3="FIM","*","")</f>
        <v>*</v>
      </c>
    </row>
    <row r="389" spans="1:4" x14ac:dyDescent="0.25">
      <c r="A389" s="1">
        <v>63382</v>
      </c>
      <c r="B389" s="3" t="s">
        <v>550</v>
      </c>
      <c r="C389" s="6">
        <v>18</v>
      </c>
      <c r="D389" s="11" t="str">
        <f t="shared" si="6"/>
        <v>*</v>
      </c>
    </row>
    <row r="390" spans="1:4" x14ac:dyDescent="0.25">
      <c r="A390" s="1">
        <v>63385</v>
      </c>
      <c r="B390" s="3" t="s">
        <v>95</v>
      </c>
      <c r="C390" s="6">
        <v>20594</v>
      </c>
      <c r="D390" s="11" t="str">
        <f t="shared" si="6"/>
        <v>*</v>
      </c>
    </row>
    <row r="391" spans="1:4" x14ac:dyDescent="0.25">
      <c r="A391" s="1">
        <v>63591</v>
      </c>
      <c r="B391" s="3" t="s">
        <v>60</v>
      </c>
      <c r="C391" s="6">
        <v>12240</v>
      </c>
      <c r="D391" s="11" t="str">
        <f t="shared" si="6"/>
        <v>*</v>
      </c>
    </row>
    <row r="392" spans="1:4" x14ac:dyDescent="0.25">
      <c r="A392" s="1">
        <v>63839</v>
      </c>
      <c r="B392" s="3" t="s">
        <v>948</v>
      </c>
      <c r="C392" s="6">
        <v>245</v>
      </c>
      <c r="D392" s="11" t="str">
        <f t="shared" si="6"/>
        <v>*</v>
      </c>
    </row>
    <row r="393" spans="1:4" x14ac:dyDescent="0.25">
      <c r="A393" s="1">
        <v>63991</v>
      </c>
      <c r="B393" s="3" t="s">
        <v>710</v>
      </c>
      <c r="C393" s="6">
        <v>3107</v>
      </c>
      <c r="D393" s="11" t="str">
        <f t="shared" si="6"/>
        <v>*</v>
      </c>
    </row>
    <row r="394" spans="1:4" x14ac:dyDescent="0.25">
      <c r="A394" s="1">
        <v>64253</v>
      </c>
      <c r="B394" s="3" t="s">
        <v>898</v>
      </c>
      <c r="C394" s="6">
        <v>1086</v>
      </c>
      <c r="D394" s="11" t="str">
        <f t="shared" si="6"/>
        <v>*</v>
      </c>
    </row>
    <row r="395" spans="1:4" x14ac:dyDescent="0.25">
      <c r="A395" s="1">
        <v>64302</v>
      </c>
      <c r="B395" s="3" t="s">
        <v>107</v>
      </c>
      <c r="C395" s="6">
        <v>5185</v>
      </c>
      <c r="D395" s="11" t="str">
        <f t="shared" si="6"/>
        <v>*</v>
      </c>
    </row>
    <row r="396" spans="1:4" x14ac:dyDescent="0.25">
      <c r="A396" s="1">
        <v>64466</v>
      </c>
      <c r="B396" s="3" t="s">
        <v>832</v>
      </c>
      <c r="C396" s="6">
        <v>73</v>
      </c>
      <c r="D396" s="11" t="str">
        <f t="shared" si="6"/>
        <v>*</v>
      </c>
    </row>
    <row r="397" spans="1:4" x14ac:dyDescent="0.25">
      <c r="A397" s="1">
        <v>64604</v>
      </c>
      <c r="B397" s="3" t="s">
        <v>262</v>
      </c>
      <c r="C397" s="6">
        <v>151</v>
      </c>
      <c r="D397" s="11" t="str">
        <f t="shared" si="6"/>
        <v>*</v>
      </c>
    </row>
    <row r="398" spans="1:4" x14ac:dyDescent="0.25">
      <c r="A398" s="1">
        <v>64605</v>
      </c>
      <c r="B398" s="3" t="s">
        <v>263</v>
      </c>
      <c r="C398" s="6">
        <v>188</v>
      </c>
      <c r="D398" s="11" t="str">
        <f t="shared" si="6"/>
        <v>*</v>
      </c>
    </row>
    <row r="399" spans="1:4" x14ac:dyDescent="0.25">
      <c r="A399" s="1">
        <v>64607</v>
      </c>
      <c r="B399" s="3" t="s">
        <v>258</v>
      </c>
      <c r="C399" s="6">
        <v>112</v>
      </c>
      <c r="D399" s="11" t="str">
        <f t="shared" si="6"/>
        <v>*</v>
      </c>
    </row>
    <row r="400" spans="1:4" x14ac:dyDescent="0.25">
      <c r="A400" s="1">
        <v>64609</v>
      </c>
      <c r="B400" s="3" t="s">
        <v>259</v>
      </c>
      <c r="C400" s="6">
        <v>7</v>
      </c>
      <c r="D400" s="11" t="str">
        <f t="shared" si="6"/>
        <v>*</v>
      </c>
    </row>
    <row r="401" spans="1:4" x14ac:dyDescent="0.25">
      <c r="A401" s="1">
        <v>64610</v>
      </c>
      <c r="B401" s="3" t="s">
        <v>873</v>
      </c>
      <c r="C401" s="6">
        <v>309</v>
      </c>
      <c r="D401" s="11" t="str">
        <f t="shared" si="6"/>
        <v>*</v>
      </c>
    </row>
    <row r="402" spans="1:4" x14ac:dyDescent="0.25">
      <c r="A402" s="1">
        <v>64625</v>
      </c>
      <c r="B402" s="3" t="s">
        <v>264</v>
      </c>
      <c r="C402" s="6">
        <v>106</v>
      </c>
      <c r="D402" s="11" t="str">
        <f t="shared" si="6"/>
        <v>*</v>
      </c>
    </row>
    <row r="403" spans="1:4" x14ac:dyDescent="0.25">
      <c r="A403" s="1">
        <v>64626</v>
      </c>
      <c r="B403" s="3" t="s">
        <v>893</v>
      </c>
      <c r="C403" s="6">
        <v>1602</v>
      </c>
      <c r="D403" s="11" t="str">
        <f t="shared" si="6"/>
        <v>*</v>
      </c>
    </row>
    <row r="404" spans="1:4" x14ac:dyDescent="0.25">
      <c r="A404" s="1">
        <v>64627</v>
      </c>
      <c r="B404" s="3" t="s">
        <v>265</v>
      </c>
      <c r="C404" s="6">
        <v>214</v>
      </c>
      <c r="D404" s="11" t="str">
        <f t="shared" si="6"/>
        <v>*</v>
      </c>
    </row>
    <row r="405" spans="1:4" x14ac:dyDescent="0.25">
      <c r="A405" s="1">
        <v>64630</v>
      </c>
      <c r="B405" s="3" t="s">
        <v>990</v>
      </c>
      <c r="C405" s="6">
        <v>20</v>
      </c>
      <c r="D405" s="11" t="str">
        <f t="shared" si="6"/>
        <v>*</v>
      </c>
    </row>
    <row r="406" spans="1:4" x14ac:dyDescent="0.25">
      <c r="A406" s="1">
        <v>64634</v>
      </c>
      <c r="B406" s="3" t="s">
        <v>992</v>
      </c>
      <c r="C406" s="6">
        <v>50</v>
      </c>
      <c r="D406" s="11" t="str">
        <f t="shared" si="6"/>
        <v>*</v>
      </c>
    </row>
    <row r="407" spans="1:4" x14ac:dyDescent="0.25">
      <c r="A407" s="1">
        <v>64635</v>
      </c>
      <c r="B407" s="3" t="s">
        <v>761</v>
      </c>
      <c r="C407" s="6">
        <v>3</v>
      </c>
      <c r="D407" s="11" t="str">
        <f t="shared" si="6"/>
        <v>*</v>
      </c>
    </row>
    <row r="408" spans="1:4" x14ac:dyDescent="0.25">
      <c r="A408" s="1">
        <v>64636</v>
      </c>
      <c r="B408" s="3" t="s">
        <v>297</v>
      </c>
      <c r="C408" s="6">
        <v>45</v>
      </c>
      <c r="D408" s="11" t="str">
        <f t="shared" si="6"/>
        <v>*</v>
      </c>
    </row>
    <row r="409" spans="1:4" x14ac:dyDescent="0.25">
      <c r="A409" s="1">
        <v>64647</v>
      </c>
      <c r="B409" s="3" t="s">
        <v>292</v>
      </c>
      <c r="C409" s="6">
        <v>0</v>
      </c>
      <c r="D409" s="11" t="str">
        <f t="shared" si="6"/>
        <v>*</v>
      </c>
    </row>
    <row r="410" spans="1:4" x14ac:dyDescent="0.25">
      <c r="A410" s="1">
        <v>64648</v>
      </c>
      <c r="B410" s="3" t="s">
        <v>762</v>
      </c>
      <c r="C410" s="6">
        <v>2</v>
      </c>
      <c r="D410" s="11" t="str">
        <f t="shared" si="6"/>
        <v>*</v>
      </c>
    </row>
    <row r="411" spans="1:4" x14ac:dyDescent="0.25">
      <c r="A411" s="1">
        <v>64817</v>
      </c>
      <c r="B411" s="3" t="s">
        <v>266</v>
      </c>
      <c r="C411" s="6">
        <v>6</v>
      </c>
      <c r="D411" s="11" t="str">
        <f t="shared" si="6"/>
        <v>*</v>
      </c>
    </row>
    <row r="412" spans="1:4" x14ac:dyDescent="0.25">
      <c r="A412" s="1">
        <v>64819</v>
      </c>
      <c r="B412" s="3" t="s">
        <v>214</v>
      </c>
      <c r="C412" s="6">
        <v>570</v>
      </c>
      <c r="D412" s="11" t="str">
        <f t="shared" si="6"/>
        <v>*</v>
      </c>
    </row>
    <row r="413" spans="1:4" x14ac:dyDescent="0.25">
      <c r="A413" s="1">
        <v>64821</v>
      </c>
      <c r="B413" s="3" t="s">
        <v>234</v>
      </c>
      <c r="C413" s="6">
        <v>20</v>
      </c>
      <c r="D413" s="11" t="str">
        <f t="shared" si="6"/>
        <v>*</v>
      </c>
    </row>
    <row r="414" spans="1:4" x14ac:dyDescent="0.25">
      <c r="A414" s="1">
        <v>64822</v>
      </c>
      <c r="B414" s="3" t="s">
        <v>173</v>
      </c>
      <c r="C414" s="6">
        <v>38</v>
      </c>
      <c r="D414" s="11" t="str">
        <f t="shared" si="6"/>
        <v>*</v>
      </c>
    </row>
    <row r="415" spans="1:4" x14ac:dyDescent="0.25">
      <c r="A415" s="1">
        <v>64860</v>
      </c>
      <c r="B415" s="3" t="s">
        <v>267</v>
      </c>
      <c r="C415" s="6">
        <v>55</v>
      </c>
      <c r="D415" s="11" t="str">
        <f t="shared" si="6"/>
        <v>*</v>
      </c>
    </row>
    <row r="416" spans="1:4" x14ac:dyDescent="0.25">
      <c r="A416" s="1">
        <v>64861</v>
      </c>
      <c r="B416" s="3" t="s">
        <v>268</v>
      </c>
      <c r="C416" s="6">
        <v>50</v>
      </c>
      <c r="D416" s="11" t="str">
        <f t="shared" si="6"/>
        <v>*</v>
      </c>
    </row>
    <row r="417" spans="1:4" x14ac:dyDescent="0.25">
      <c r="A417" s="1">
        <v>65173</v>
      </c>
      <c r="B417" s="3" t="s">
        <v>792</v>
      </c>
      <c r="C417" s="6">
        <v>37</v>
      </c>
      <c r="D417" s="11" t="str">
        <f t="shared" si="6"/>
        <v>*</v>
      </c>
    </row>
    <row r="418" spans="1:4" x14ac:dyDescent="0.25">
      <c r="A418" s="1">
        <v>65748</v>
      </c>
      <c r="B418" s="3" t="s">
        <v>121</v>
      </c>
      <c r="C418" s="6">
        <v>4800</v>
      </c>
      <c r="D418" s="11" t="str">
        <f t="shared" si="6"/>
        <v>*</v>
      </c>
    </row>
    <row r="419" spans="1:4" x14ac:dyDescent="0.25">
      <c r="A419" s="1">
        <v>66168</v>
      </c>
      <c r="B419" s="3" t="s">
        <v>341</v>
      </c>
      <c r="C419" s="6">
        <v>525</v>
      </c>
      <c r="D419" s="11" t="str">
        <f t="shared" si="6"/>
        <v>*</v>
      </c>
    </row>
    <row r="420" spans="1:4" x14ac:dyDescent="0.25">
      <c r="A420" s="1">
        <v>66308</v>
      </c>
      <c r="B420" s="3" t="s">
        <v>596</v>
      </c>
      <c r="C420" s="6">
        <v>5</v>
      </c>
      <c r="D420" s="11" t="str">
        <f t="shared" si="6"/>
        <v>*</v>
      </c>
    </row>
    <row r="421" spans="1:4" x14ac:dyDescent="0.25">
      <c r="A421" s="1">
        <v>66786</v>
      </c>
      <c r="B421" s="3" t="s">
        <v>382</v>
      </c>
      <c r="C421" s="6">
        <v>1188</v>
      </c>
      <c r="D421" s="11" t="str">
        <f t="shared" si="6"/>
        <v>*</v>
      </c>
    </row>
    <row r="422" spans="1:4" x14ac:dyDescent="0.25">
      <c r="A422" s="1">
        <v>68351</v>
      </c>
      <c r="B422" s="3" t="s">
        <v>615</v>
      </c>
      <c r="C422" s="6">
        <v>5</v>
      </c>
      <c r="D422" s="11" t="str">
        <f t="shared" si="6"/>
        <v>*</v>
      </c>
    </row>
    <row r="423" spans="1:4" x14ac:dyDescent="0.25">
      <c r="A423" s="1">
        <v>69222</v>
      </c>
      <c r="B423" s="3" t="s">
        <v>443</v>
      </c>
      <c r="C423" s="6">
        <v>2894</v>
      </c>
      <c r="D423" s="11" t="str">
        <f t="shared" si="6"/>
        <v>*</v>
      </c>
    </row>
    <row r="424" spans="1:4" x14ac:dyDescent="0.25">
      <c r="A424" s="1">
        <v>69229</v>
      </c>
      <c r="B424" s="3" t="s">
        <v>179</v>
      </c>
      <c r="C424" s="6">
        <v>106</v>
      </c>
      <c r="D424" s="11" t="str">
        <f t="shared" si="6"/>
        <v>*</v>
      </c>
    </row>
    <row r="425" spans="1:4" x14ac:dyDescent="0.25">
      <c r="A425" s="1">
        <v>69339</v>
      </c>
      <c r="B425" s="3" t="s">
        <v>597</v>
      </c>
      <c r="C425" s="6">
        <v>1</v>
      </c>
      <c r="D425" s="11" t="str">
        <f t="shared" si="6"/>
        <v>*</v>
      </c>
    </row>
    <row r="426" spans="1:4" x14ac:dyDescent="0.25">
      <c r="A426" s="1">
        <v>70379</v>
      </c>
      <c r="B426" s="3" t="s">
        <v>705</v>
      </c>
      <c r="C426" s="6">
        <v>3699</v>
      </c>
      <c r="D426" s="11" t="str">
        <f t="shared" si="6"/>
        <v>*</v>
      </c>
    </row>
    <row r="427" spans="1:4" x14ac:dyDescent="0.25">
      <c r="A427" s="1">
        <v>70967</v>
      </c>
      <c r="B427" s="3" t="s">
        <v>280</v>
      </c>
      <c r="C427" s="6">
        <v>59</v>
      </c>
      <c r="D427" s="11" t="str">
        <f t="shared" si="6"/>
        <v>*</v>
      </c>
    </row>
    <row r="428" spans="1:4" x14ac:dyDescent="0.25">
      <c r="A428" s="1">
        <v>71053</v>
      </c>
      <c r="B428" s="3" t="s">
        <v>573</v>
      </c>
      <c r="C428" s="6">
        <v>0</v>
      </c>
      <c r="D428" s="11" t="str">
        <f t="shared" si="6"/>
        <v>*</v>
      </c>
    </row>
    <row r="429" spans="1:4" x14ac:dyDescent="0.25">
      <c r="A429" s="1">
        <v>71189</v>
      </c>
      <c r="B429" s="3" t="s">
        <v>150</v>
      </c>
      <c r="C429" s="6">
        <v>501</v>
      </c>
      <c r="D429" s="11" t="str">
        <f t="shared" si="6"/>
        <v>*</v>
      </c>
    </row>
    <row r="430" spans="1:4" x14ac:dyDescent="0.25">
      <c r="A430" s="1">
        <v>71190</v>
      </c>
      <c r="B430" s="3" t="s">
        <v>150</v>
      </c>
      <c r="C430" s="6">
        <v>3360</v>
      </c>
      <c r="D430" s="11" t="str">
        <f t="shared" si="6"/>
        <v>*</v>
      </c>
    </row>
    <row r="431" spans="1:4" x14ac:dyDescent="0.25">
      <c r="A431" s="1">
        <v>71697</v>
      </c>
      <c r="B431" s="3" t="s">
        <v>980</v>
      </c>
      <c r="C431" s="6">
        <v>497</v>
      </c>
      <c r="D431" s="11" t="str">
        <f t="shared" si="6"/>
        <v>*</v>
      </c>
    </row>
    <row r="432" spans="1:4" x14ac:dyDescent="0.25">
      <c r="A432" s="1">
        <v>71874</v>
      </c>
      <c r="B432" s="3" t="s">
        <v>996</v>
      </c>
      <c r="C432" s="6">
        <v>1</v>
      </c>
      <c r="D432" s="11" t="str">
        <f t="shared" si="6"/>
        <v>*</v>
      </c>
    </row>
    <row r="433" spans="1:4" x14ac:dyDescent="0.25">
      <c r="A433" s="1">
        <v>72052</v>
      </c>
      <c r="B433" s="3" t="s">
        <v>3</v>
      </c>
      <c r="C433" s="6">
        <v>36</v>
      </c>
      <c r="D433" s="11" t="str">
        <f t="shared" si="6"/>
        <v>*</v>
      </c>
    </row>
    <row r="434" spans="1:4" x14ac:dyDescent="0.25">
      <c r="A434" s="1">
        <v>72174</v>
      </c>
      <c r="B434" s="3" t="s">
        <v>1301</v>
      </c>
      <c r="C434" s="6">
        <v>0</v>
      </c>
      <c r="D434" s="11" t="str">
        <f t="shared" si="6"/>
        <v>*</v>
      </c>
    </row>
    <row r="435" spans="1:4" x14ac:dyDescent="0.25">
      <c r="A435" s="1">
        <v>72184</v>
      </c>
      <c r="B435" s="3" t="s">
        <v>620</v>
      </c>
      <c r="C435" s="6">
        <v>700</v>
      </c>
      <c r="D435" s="11" t="str">
        <f t="shared" si="6"/>
        <v>*</v>
      </c>
    </row>
    <row r="436" spans="1:4" x14ac:dyDescent="0.25">
      <c r="A436" s="1">
        <v>72222</v>
      </c>
      <c r="B436" s="3" t="s">
        <v>702</v>
      </c>
      <c r="C436" s="6">
        <v>322</v>
      </c>
      <c r="D436" s="11" t="str">
        <f t="shared" si="6"/>
        <v>*</v>
      </c>
    </row>
    <row r="437" spans="1:4" x14ac:dyDescent="0.25">
      <c r="A437" s="1">
        <v>74081</v>
      </c>
      <c r="B437" s="3" t="s">
        <v>1302</v>
      </c>
      <c r="C437" s="6">
        <v>0</v>
      </c>
      <c r="D437" s="11" t="str">
        <f t="shared" si="6"/>
        <v>*</v>
      </c>
    </row>
    <row r="438" spans="1:4" x14ac:dyDescent="0.25">
      <c r="A438" s="1">
        <v>74124</v>
      </c>
      <c r="B438" s="3" t="s">
        <v>122</v>
      </c>
      <c r="C438" s="6">
        <v>3910</v>
      </c>
      <c r="D438" s="11" t="str">
        <f t="shared" si="6"/>
        <v>*</v>
      </c>
    </row>
    <row r="439" spans="1:4" x14ac:dyDescent="0.25">
      <c r="A439" s="1">
        <v>74907</v>
      </c>
      <c r="B439" s="3" t="s">
        <v>944</v>
      </c>
      <c r="C439" s="6">
        <v>15</v>
      </c>
      <c r="D439" s="11" t="str">
        <f t="shared" si="6"/>
        <v>*</v>
      </c>
    </row>
    <row r="440" spans="1:4" x14ac:dyDescent="0.25">
      <c r="A440" s="1">
        <v>74908</v>
      </c>
      <c r="B440" s="3" t="s">
        <v>945</v>
      </c>
      <c r="C440" s="6">
        <v>15</v>
      </c>
      <c r="D440" s="11" t="str">
        <f t="shared" si="6"/>
        <v>*</v>
      </c>
    </row>
    <row r="441" spans="1:4" x14ac:dyDescent="0.25">
      <c r="A441" s="1">
        <v>74909</v>
      </c>
      <c r="B441" s="3" t="s">
        <v>217</v>
      </c>
      <c r="C441" s="6">
        <v>13</v>
      </c>
      <c r="D441" s="11" t="str">
        <f t="shared" si="6"/>
        <v>*</v>
      </c>
    </row>
    <row r="442" spans="1:4" x14ac:dyDescent="0.25">
      <c r="A442" s="1">
        <v>74911</v>
      </c>
      <c r="B442" s="3" t="s">
        <v>218</v>
      </c>
      <c r="C442" s="6">
        <v>35</v>
      </c>
      <c r="D442" s="11" t="str">
        <f t="shared" si="6"/>
        <v>*</v>
      </c>
    </row>
    <row r="443" spans="1:4" x14ac:dyDescent="0.25">
      <c r="A443" s="1">
        <v>74976</v>
      </c>
      <c r="B443" s="3" t="s">
        <v>763</v>
      </c>
      <c r="C443" s="6">
        <v>138</v>
      </c>
      <c r="D443" s="11" t="str">
        <f t="shared" si="6"/>
        <v>*</v>
      </c>
    </row>
    <row r="444" spans="1:4" x14ac:dyDescent="0.25">
      <c r="A444" s="1">
        <v>74979</v>
      </c>
      <c r="B444" s="3" t="s">
        <v>298</v>
      </c>
      <c r="C444" s="6">
        <v>88</v>
      </c>
      <c r="D444" s="11" t="str">
        <f t="shared" si="6"/>
        <v>*</v>
      </c>
    </row>
    <row r="445" spans="1:4" x14ac:dyDescent="0.25">
      <c r="A445" s="1">
        <v>75324</v>
      </c>
      <c r="B445" s="3" t="s">
        <v>874</v>
      </c>
      <c r="C445" s="6">
        <v>525</v>
      </c>
      <c r="D445" s="11" t="str">
        <f t="shared" si="6"/>
        <v>*</v>
      </c>
    </row>
    <row r="446" spans="1:4" x14ac:dyDescent="0.25">
      <c r="A446" s="1">
        <v>75334</v>
      </c>
      <c r="B446" s="3" t="s">
        <v>875</v>
      </c>
      <c r="C446" s="6">
        <v>613</v>
      </c>
      <c r="D446" s="11" t="str">
        <f t="shared" si="6"/>
        <v>*</v>
      </c>
    </row>
    <row r="447" spans="1:4" x14ac:dyDescent="0.25">
      <c r="A447" s="1">
        <v>75915</v>
      </c>
      <c r="B447" s="3" t="s">
        <v>561</v>
      </c>
      <c r="C447" s="6">
        <v>113</v>
      </c>
      <c r="D447" s="11" t="str">
        <f t="shared" si="6"/>
        <v>*</v>
      </c>
    </row>
    <row r="448" spans="1:4" x14ac:dyDescent="0.25">
      <c r="A448" s="1">
        <v>75938</v>
      </c>
      <c r="B448" s="3" t="s">
        <v>74</v>
      </c>
      <c r="C448" s="6">
        <v>6645</v>
      </c>
      <c r="D448" s="11" t="str">
        <f t="shared" si="6"/>
        <v>*</v>
      </c>
    </row>
    <row r="449" spans="1:4" x14ac:dyDescent="0.25">
      <c r="A449" s="1">
        <v>76218</v>
      </c>
      <c r="B449" s="3" t="s">
        <v>524</v>
      </c>
      <c r="C449" s="6">
        <v>2</v>
      </c>
      <c r="D449" s="11" t="str">
        <f t="shared" si="6"/>
        <v>*</v>
      </c>
    </row>
    <row r="450" spans="1:4" x14ac:dyDescent="0.25">
      <c r="A450" s="1">
        <v>76430</v>
      </c>
      <c r="B450" s="3" t="s">
        <v>555</v>
      </c>
      <c r="C450" s="6">
        <v>5</v>
      </c>
      <c r="D450" s="11" t="str">
        <f t="shared" si="6"/>
        <v>*</v>
      </c>
    </row>
    <row r="451" spans="1:4" x14ac:dyDescent="0.25">
      <c r="A451" s="1">
        <v>76583</v>
      </c>
      <c r="B451" s="3" t="s">
        <v>395</v>
      </c>
      <c r="C451" s="6">
        <v>93</v>
      </c>
      <c r="D451" s="11" t="str">
        <f t="shared" si="6"/>
        <v>*</v>
      </c>
    </row>
    <row r="452" spans="1:4" x14ac:dyDescent="0.25">
      <c r="A452" s="1">
        <v>76776</v>
      </c>
      <c r="B452" s="3" t="s">
        <v>123</v>
      </c>
      <c r="C452" s="6">
        <v>9100</v>
      </c>
      <c r="D452" s="11" t="str">
        <f t="shared" ref="D452:D515" si="7">IF($D$3="FIM","*","")</f>
        <v>*</v>
      </c>
    </row>
    <row r="453" spans="1:4" x14ac:dyDescent="0.25">
      <c r="A453" s="1">
        <v>76777</v>
      </c>
      <c r="B453" s="3" t="s">
        <v>108</v>
      </c>
      <c r="C453" s="6">
        <v>2856</v>
      </c>
      <c r="D453" s="11" t="str">
        <f t="shared" si="7"/>
        <v>*</v>
      </c>
    </row>
    <row r="454" spans="1:4" x14ac:dyDescent="0.25">
      <c r="A454" s="1">
        <v>76780</v>
      </c>
      <c r="B454" s="3" t="s">
        <v>109</v>
      </c>
      <c r="C454" s="6">
        <v>2300</v>
      </c>
      <c r="D454" s="11" t="str">
        <f t="shared" si="7"/>
        <v>*</v>
      </c>
    </row>
    <row r="455" spans="1:4" x14ac:dyDescent="0.25">
      <c r="A455" s="1">
        <v>76781</v>
      </c>
      <c r="B455" s="3" t="s">
        <v>124</v>
      </c>
      <c r="C455" s="6">
        <v>1052</v>
      </c>
      <c r="D455" s="11" t="str">
        <f t="shared" si="7"/>
        <v>*</v>
      </c>
    </row>
    <row r="456" spans="1:4" x14ac:dyDescent="0.25">
      <c r="A456" s="1">
        <v>76806</v>
      </c>
      <c r="B456" s="3" t="s">
        <v>879</v>
      </c>
      <c r="C456" s="6">
        <v>0</v>
      </c>
      <c r="D456" s="11" t="str">
        <f t="shared" si="7"/>
        <v>*</v>
      </c>
    </row>
    <row r="457" spans="1:4" x14ac:dyDescent="0.25">
      <c r="A457" s="1">
        <v>77109</v>
      </c>
      <c r="B457" s="3" t="s">
        <v>764</v>
      </c>
      <c r="C457" s="6">
        <v>74</v>
      </c>
      <c r="D457" s="11" t="str">
        <f t="shared" si="7"/>
        <v>*</v>
      </c>
    </row>
    <row r="458" spans="1:4" x14ac:dyDescent="0.25">
      <c r="A458" s="1">
        <v>77110</v>
      </c>
      <c r="B458" s="3" t="s">
        <v>765</v>
      </c>
      <c r="C458" s="6">
        <v>3</v>
      </c>
      <c r="D458" s="11" t="str">
        <f t="shared" si="7"/>
        <v>*</v>
      </c>
    </row>
    <row r="459" spans="1:4" x14ac:dyDescent="0.25">
      <c r="A459" s="1">
        <v>77380</v>
      </c>
      <c r="B459" s="3" t="s">
        <v>1303</v>
      </c>
      <c r="C459" s="6">
        <v>0</v>
      </c>
      <c r="D459" s="11" t="str">
        <f t="shared" si="7"/>
        <v>*</v>
      </c>
    </row>
    <row r="460" spans="1:4" x14ac:dyDescent="0.25">
      <c r="A460" s="1">
        <v>77493</v>
      </c>
      <c r="B460" s="3" t="s">
        <v>666</v>
      </c>
      <c r="C460" s="6">
        <v>24</v>
      </c>
      <c r="D460" s="11" t="str">
        <f t="shared" si="7"/>
        <v>*</v>
      </c>
    </row>
    <row r="461" spans="1:4" x14ac:dyDescent="0.25">
      <c r="A461" s="1">
        <v>77554</v>
      </c>
      <c r="B461" s="3" t="s">
        <v>219</v>
      </c>
      <c r="C461" s="6">
        <v>7</v>
      </c>
      <c r="D461" s="11" t="str">
        <f t="shared" si="7"/>
        <v>*</v>
      </c>
    </row>
    <row r="462" spans="1:4" x14ac:dyDescent="0.25">
      <c r="A462" s="1">
        <v>77556</v>
      </c>
      <c r="B462" s="3" t="s">
        <v>946</v>
      </c>
      <c r="C462" s="6">
        <v>2</v>
      </c>
      <c r="D462" s="11" t="str">
        <f t="shared" si="7"/>
        <v>*</v>
      </c>
    </row>
    <row r="463" spans="1:4" x14ac:dyDescent="0.25">
      <c r="A463" s="1">
        <v>77557</v>
      </c>
      <c r="B463" s="3" t="s">
        <v>220</v>
      </c>
      <c r="C463" s="6">
        <v>30</v>
      </c>
      <c r="D463" s="11" t="str">
        <f t="shared" si="7"/>
        <v>*</v>
      </c>
    </row>
    <row r="464" spans="1:4" x14ac:dyDescent="0.25">
      <c r="A464" s="1">
        <v>77562</v>
      </c>
      <c r="B464" s="3" t="s">
        <v>392</v>
      </c>
      <c r="C464" s="6">
        <v>2472</v>
      </c>
      <c r="D464" s="11" t="str">
        <f t="shared" si="7"/>
        <v>*</v>
      </c>
    </row>
    <row r="465" spans="1:4" x14ac:dyDescent="0.25">
      <c r="A465" s="1">
        <v>77755</v>
      </c>
      <c r="B465" s="3" t="s">
        <v>427</v>
      </c>
      <c r="C465" s="6">
        <v>2756</v>
      </c>
      <c r="D465" s="11" t="str">
        <f t="shared" si="7"/>
        <v>*</v>
      </c>
    </row>
    <row r="466" spans="1:4" x14ac:dyDescent="0.25">
      <c r="A466" s="1">
        <v>77786</v>
      </c>
      <c r="B466" s="3" t="s">
        <v>894</v>
      </c>
      <c r="C466" s="6">
        <v>12</v>
      </c>
      <c r="D466" s="11" t="str">
        <f t="shared" si="7"/>
        <v>*</v>
      </c>
    </row>
    <row r="467" spans="1:4" x14ac:dyDescent="0.25">
      <c r="A467" s="1">
        <v>77788</v>
      </c>
      <c r="B467" s="3" t="s">
        <v>859</v>
      </c>
      <c r="C467" s="6">
        <v>670</v>
      </c>
      <c r="D467" s="11" t="str">
        <f t="shared" si="7"/>
        <v>*</v>
      </c>
    </row>
    <row r="468" spans="1:4" x14ac:dyDescent="0.25">
      <c r="A468" s="1">
        <v>77819</v>
      </c>
      <c r="B468" s="3" t="s">
        <v>567</v>
      </c>
      <c r="C468" s="6">
        <v>1353</v>
      </c>
      <c r="D468" s="11" t="str">
        <f t="shared" si="7"/>
        <v>*</v>
      </c>
    </row>
    <row r="469" spans="1:4" x14ac:dyDescent="0.25">
      <c r="A469" s="1">
        <v>77822</v>
      </c>
      <c r="B469" s="3" t="s">
        <v>927</v>
      </c>
      <c r="C469" s="6">
        <v>114</v>
      </c>
      <c r="D469" s="11" t="str">
        <f t="shared" si="7"/>
        <v>*</v>
      </c>
    </row>
    <row r="470" spans="1:4" x14ac:dyDescent="0.25">
      <c r="A470" s="1">
        <v>77823</v>
      </c>
      <c r="B470" s="3" t="s">
        <v>928</v>
      </c>
      <c r="C470" s="6">
        <v>94</v>
      </c>
      <c r="D470" s="11" t="str">
        <f t="shared" si="7"/>
        <v>*</v>
      </c>
    </row>
    <row r="471" spans="1:4" x14ac:dyDescent="0.25">
      <c r="A471" s="1">
        <v>77992</v>
      </c>
      <c r="B471" s="3" t="s">
        <v>568</v>
      </c>
      <c r="C471" s="6">
        <v>1661</v>
      </c>
      <c r="D471" s="11" t="str">
        <f t="shared" si="7"/>
        <v>*</v>
      </c>
    </row>
    <row r="472" spans="1:4" x14ac:dyDescent="0.25">
      <c r="A472" s="1">
        <v>78025</v>
      </c>
      <c r="B472" s="3" t="s">
        <v>196</v>
      </c>
      <c r="C472" s="6">
        <v>227</v>
      </c>
      <c r="D472" s="11" t="str">
        <f t="shared" si="7"/>
        <v>*</v>
      </c>
    </row>
    <row r="473" spans="1:4" x14ac:dyDescent="0.25">
      <c r="A473" s="1">
        <v>78055</v>
      </c>
      <c r="B473" s="3" t="s">
        <v>966</v>
      </c>
      <c r="C473" s="6">
        <v>80</v>
      </c>
      <c r="D473" s="11" t="str">
        <f t="shared" si="7"/>
        <v>*</v>
      </c>
    </row>
    <row r="474" spans="1:4" x14ac:dyDescent="0.25">
      <c r="A474" s="1">
        <v>78057</v>
      </c>
      <c r="B474" s="3" t="s">
        <v>967</v>
      </c>
      <c r="C474" s="6">
        <v>13</v>
      </c>
      <c r="D474" s="11" t="str">
        <f t="shared" si="7"/>
        <v>*</v>
      </c>
    </row>
    <row r="475" spans="1:4" x14ac:dyDescent="0.25">
      <c r="A475" s="1">
        <v>78181</v>
      </c>
      <c r="B475" s="3" t="s">
        <v>379</v>
      </c>
      <c r="C475" s="6">
        <v>374</v>
      </c>
      <c r="D475" s="11" t="str">
        <f t="shared" si="7"/>
        <v>*</v>
      </c>
    </row>
    <row r="476" spans="1:4" x14ac:dyDescent="0.25">
      <c r="A476" s="1">
        <v>78303</v>
      </c>
      <c r="B476" s="3" t="s">
        <v>556</v>
      </c>
      <c r="C476" s="6">
        <v>15</v>
      </c>
      <c r="D476" s="11" t="str">
        <f t="shared" si="7"/>
        <v>*</v>
      </c>
    </row>
    <row r="477" spans="1:4" x14ac:dyDescent="0.25">
      <c r="A477" s="1">
        <v>78306</v>
      </c>
      <c r="B477" s="3" t="s">
        <v>557</v>
      </c>
      <c r="C477" s="6">
        <v>4</v>
      </c>
      <c r="D477" s="11" t="str">
        <f t="shared" si="7"/>
        <v>*</v>
      </c>
    </row>
    <row r="478" spans="1:4" x14ac:dyDescent="0.25">
      <c r="A478" s="1">
        <v>78307</v>
      </c>
      <c r="B478" s="3" t="s">
        <v>545</v>
      </c>
      <c r="C478" s="6">
        <v>4</v>
      </c>
      <c r="D478" s="11" t="str">
        <f t="shared" si="7"/>
        <v>*</v>
      </c>
    </row>
    <row r="479" spans="1:4" x14ac:dyDescent="0.25">
      <c r="A479" s="1">
        <v>78398</v>
      </c>
      <c r="B479" s="3" t="s">
        <v>595</v>
      </c>
      <c r="C479" s="6">
        <v>0</v>
      </c>
      <c r="D479" s="11" t="str">
        <f t="shared" si="7"/>
        <v>*</v>
      </c>
    </row>
    <row r="480" spans="1:4" x14ac:dyDescent="0.25">
      <c r="A480" s="1">
        <v>78399</v>
      </c>
      <c r="B480" s="3" t="s">
        <v>35</v>
      </c>
      <c r="C480" s="6">
        <v>19</v>
      </c>
      <c r="D480" s="11" t="str">
        <f t="shared" si="7"/>
        <v>*</v>
      </c>
    </row>
    <row r="481" spans="1:4" x14ac:dyDescent="0.25">
      <c r="A481" s="1">
        <v>78416</v>
      </c>
      <c r="B481" s="3" t="s">
        <v>867</v>
      </c>
      <c r="C481" s="6">
        <v>144</v>
      </c>
      <c r="D481" s="11" t="str">
        <f t="shared" si="7"/>
        <v>*</v>
      </c>
    </row>
    <row r="482" spans="1:4" x14ac:dyDescent="0.25">
      <c r="A482" s="1">
        <v>78418</v>
      </c>
      <c r="B482" s="3" t="s">
        <v>864</v>
      </c>
      <c r="C482" s="6">
        <v>88</v>
      </c>
      <c r="D482" s="11" t="str">
        <f t="shared" si="7"/>
        <v>*</v>
      </c>
    </row>
    <row r="483" spans="1:4" x14ac:dyDescent="0.25">
      <c r="A483" s="1">
        <v>78509</v>
      </c>
      <c r="B483" s="3" t="s">
        <v>558</v>
      </c>
      <c r="C483" s="6">
        <v>4</v>
      </c>
      <c r="D483" s="11" t="str">
        <f t="shared" si="7"/>
        <v>*</v>
      </c>
    </row>
    <row r="484" spans="1:4" x14ac:dyDescent="0.25">
      <c r="A484" s="1">
        <v>78641</v>
      </c>
      <c r="B484" s="3" t="s">
        <v>481</v>
      </c>
      <c r="C484" s="6">
        <v>4121</v>
      </c>
      <c r="D484" s="11" t="str">
        <f t="shared" si="7"/>
        <v>*</v>
      </c>
    </row>
    <row r="485" spans="1:4" x14ac:dyDescent="0.25">
      <c r="A485" s="1">
        <v>78642</v>
      </c>
      <c r="B485" s="3" t="s">
        <v>482</v>
      </c>
      <c r="C485" s="6">
        <v>3100</v>
      </c>
      <c r="D485" s="11" t="str">
        <f t="shared" si="7"/>
        <v>*</v>
      </c>
    </row>
    <row r="486" spans="1:4" x14ac:dyDescent="0.25">
      <c r="A486" s="1">
        <v>78643</v>
      </c>
      <c r="B486" s="3" t="s">
        <v>483</v>
      </c>
      <c r="C486" s="6">
        <v>4324</v>
      </c>
      <c r="D486" s="11" t="str">
        <f t="shared" si="7"/>
        <v>*</v>
      </c>
    </row>
    <row r="487" spans="1:4" x14ac:dyDescent="0.25">
      <c r="A487" s="1">
        <v>78646</v>
      </c>
      <c r="B487" s="3" t="s">
        <v>484</v>
      </c>
      <c r="C487" s="6">
        <v>4232</v>
      </c>
      <c r="D487" s="11" t="str">
        <f t="shared" si="7"/>
        <v>*</v>
      </c>
    </row>
    <row r="488" spans="1:4" x14ac:dyDescent="0.25">
      <c r="A488" s="1">
        <v>79635</v>
      </c>
      <c r="B488" s="3" t="s">
        <v>693</v>
      </c>
      <c r="C488" s="6">
        <v>0</v>
      </c>
      <c r="D488" s="11" t="str">
        <f t="shared" si="7"/>
        <v>*</v>
      </c>
    </row>
    <row r="489" spans="1:4" x14ac:dyDescent="0.25">
      <c r="A489" s="1">
        <v>79687</v>
      </c>
      <c r="B489" s="3" t="s">
        <v>444</v>
      </c>
      <c r="C489" s="6">
        <v>4661</v>
      </c>
      <c r="D489" s="11" t="str">
        <f t="shared" si="7"/>
        <v>*</v>
      </c>
    </row>
    <row r="490" spans="1:4" x14ac:dyDescent="0.25">
      <c r="A490" s="1">
        <v>79688</v>
      </c>
      <c r="B490" s="3" t="s">
        <v>445</v>
      </c>
      <c r="C490" s="6">
        <v>5148</v>
      </c>
      <c r="D490" s="11" t="str">
        <f t="shared" si="7"/>
        <v>*</v>
      </c>
    </row>
    <row r="491" spans="1:4" x14ac:dyDescent="0.25">
      <c r="A491" s="1">
        <v>80298</v>
      </c>
      <c r="B491" s="3" t="s">
        <v>215</v>
      </c>
      <c r="C491" s="6">
        <v>7</v>
      </c>
      <c r="D491" s="11" t="str">
        <f t="shared" si="7"/>
        <v>*</v>
      </c>
    </row>
    <row r="492" spans="1:4" x14ac:dyDescent="0.25">
      <c r="A492" s="1">
        <v>80300</v>
      </c>
      <c r="B492" s="3" t="s">
        <v>227</v>
      </c>
      <c r="C492" s="6">
        <v>62</v>
      </c>
      <c r="D492" s="11" t="str">
        <f t="shared" si="7"/>
        <v>*</v>
      </c>
    </row>
    <row r="493" spans="1:4" x14ac:dyDescent="0.25">
      <c r="A493" s="1">
        <v>80384</v>
      </c>
      <c r="B493" s="3" t="s">
        <v>565</v>
      </c>
      <c r="C493" s="6">
        <v>22</v>
      </c>
      <c r="D493" s="11" t="str">
        <f t="shared" si="7"/>
        <v>*</v>
      </c>
    </row>
    <row r="494" spans="1:4" x14ac:dyDescent="0.25">
      <c r="A494" s="1">
        <v>80385</v>
      </c>
      <c r="B494" s="3" t="s">
        <v>321</v>
      </c>
      <c r="C494" s="6">
        <v>6</v>
      </c>
      <c r="D494" s="11" t="str">
        <f t="shared" si="7"/>
        <v>*</v>
      </c>
    </row>
    <row r="495" spans="1:4" x14ac:dyDescent="0.25">
      <c r="A495" s="1">
        <v>80387</v>
      </c>
      <c r="B495" s="3" t="s">
        <v>169</v>
      </c>
      <c r="C495" s="6">
        <v>411</v>
      </c>
      <c r="D495" s="11" t="str">
        <f t="shared" si="7"/>
        <v>*</v>
      </c>
    </row>
    <row r="496" spans="1:4" x14ac:dyDescent="0.25">
      <c r="A496" s="1">
        <v>80390</v>
      </c>
      <c r="B496" s="3" t="s">
        <v>327</v>
      </c>
      <c r="C496" s="6">
        <v>48</v>
      </c>
      <c r="D496" s="11" t="str">
        <f t="shared" si="7"/>
        <v>*</v>
      </c>
    </row>
    <row r="497" spans="1:4" x14ac:dyDescent="0.25">
      <c r="A497" s="1">
        <v>80650</v>
      </c>
      <c r="B497" s="3" t="s">
        <v>36</v>
      </c>
      <c r="C497" s="6">
        <v>0</v>
      </c>
      <c r="D497" s="11" t="str">
        <f t="shared" si="7"/>
        <v>*</v>
      </c>
    </row>
    <row r="498" spans="1:4" x14ac:dyDescent="0.25">
      <c r="A498" s="1">
        <v>80872</v>
      </c>
      <c r="B498" s="3" t="s">
        <v>485</v>
      </c>
      <c r="C498" s="6">
        <v>4355</v>
      </c>
      <c r="D498" s="11" t="str">
        <f t="shared" si="7"/>
        <v>*</v>
      </c>
    </row>
    <row r="499" spans="1:4" x14ac:dyDescent="0.25">
      <c r="A499" s="1">
        <v>80874</v>
      </c>
      <c r="B499" s="3" t="s">
        <v>486</v>
      </c>
      <c r="C499" s="6">
        <v>4332</v>
      </c>
      <c r="D499" s="11" t="str">
        <f t="shared" si="7"/>
        <v>*</v>
      </c>
    </row>
    <row r="500" spans="1:4" x14ac:dyDescent="0.25">
      <c r="A500" s="1">
        <v>81131</v>
      </c>
      <c r="B500" s="3" t="s">
        <v>194</v>
      </c>
      <c r="C500" s="6">
        <v>337</v>
      </c>
      <c r="D500" s="11" t="str">
        <f t="shared" si="7"/>
        <v>*</v>
      </c>
    </row>
    <row r="501" spans="1:4" x14ac:dyDescent="0.25">
      <c r="A501" s="1">
        <v>81152</v>
      </c>
      <c r="B501" s="3" t="s">
        <v>940</v>
      </c>
      <c r="C501" s="6">
        <v>1169</v>
      </c>
      <c r="D501" s="11" t="str">
        <f t="shared" si="7"/>
        <v>*</v>
      </c>
    </row>
    <row r="502" spans="1:4" x14ac:dyDescent="0.25">
      <c r="A502" s="1">
        <v>81370</v>
      </c>
      <c r="B502" s="3" t="s">
        <v>923</v>
      </c>
      <c r="C502" s="6">
        <v>2568</v>
      </c>
      <c r="D502" s="11" t="str">
        <f t="shared" si="7"/>
        <v>*</v>
      </c>
    </row>
    <row r="503" spans="1:4" x14ac:dyDescent="0.25">
      <c r="A503" s="1">
        <v>81371</v>
      </c>
      <c r="B503" s="3" t="s">
        <v>924</v>
      </c>
      <c r="C503" s="6">
        <v>2613</v>
      </c>
      <c r="D503" s="11" t="str">
        <f t="shared" si="7"/>
        <v>*</v>
      </c>
    </row>
    <row r="504" spans="1:4" x14ac:dyDescent="0.25">
      <c r="A504" s="1">
        <v>81455</v>
      </c>
      <c r="B504" s="3" t="s">
        <v>988</v>
      </c>
      <c r="C504" s="6">
        <v>470</v>
      </c>
      <c r="D504" s="11" t="str">
        <f t="shared" si="7"/>
        <v>*</v>
      </c>
    </row>
    <row r="505" spans="1:4" x14ac:dyDescent="0.25">
      <c r="A505" s="1">
        <v>81493</v>
      </c>
      <c r="B505" s="3" t="s">
        <v>958</v>
      </c>
      <c r="C505" s="6">
        <v>63</v>
      </c>
      <c r="D505" s="11" t="str">
        <f t="shared" si="7"/>
        <v>*</v>
      </c>
    </row>
    <row r="506" spans="1:4" x14ac:dyDescent="0.25">
      <c r="A506" s="1">
        <v>81514</v>
      </c>
      <c r="B506" s="3" t="s">
        <v>863</v>
      </c>
      <c r="C506" s="6">
        <v>81201</v>
      </c>
      <c r="D506" s="11" t="str">
        <f t="shared" si="7"/>
        <v>*</v>
      </c>
    </row>
    <row r="507" spans="1:4" x14ac:dyDescent="0.25">
      <c r="A507" s="1">
        <v>81563</v>
      </c>
      <c r="B507" s="3" t="s">
        <v>793</v>
      </c>
      <c r="C507" s="6">
        <v>3</v>
      </c>
      <c r="D507" s="11" t="str">
        <f t="shared" si="7"/>
        <v>*</v>
      </c>
    </row>
    <row r="508" spans="1:4" x14ac:dyDescent="0.25">
      <c r="A508" s="1">
        <v>81564</v>
      </c>
      <c r="B508" s="3" t="s">
        <v>794</v>
      </c>
      <c r="C508" s="6">
        <v>3</v>
      </c>
      <c r="D508" s="11" t="str">
        <f t="shared" si="7"/>
        <v>*</v>
      </c>
    </row>
    <row r="509" spans="1:4" x14ac:dyDescent="0.25">
      <c r="A509" s="1">
        <v>81565</v>
      </c>
      <c r="B509" s="3" t="s">
        <v>795</v>
      </c>
      <c r="C509" s="6">
        <v>3</v>
      </c>
      <c r="D509" s="11" t="str">
        <f t="shared" si="7"/>
        <v>*</v>
      </c>
    </row>
    <row r="510" spans="1:4" x14ac:dyDescent="0.25">
      <c r="A510" s="1">
        <v>81566</v>
      </c>
      <c r="B510" s="3" t="s">
        <v>322</v>
      </c>
      <c r="C510" s="6">
        <v>356</v>
      </c>
      <c r="D510" s="11" t="str">
        <f t="shared" si="7"/>
        <v>*</v>
      </c>
    </row>
    <row r="511" spans="1:4" x14ac:dyDescent="0.25">
      <c r="A511" s="1">
        <v>81807</v>
      </c>
      <c r="B511" s="3" t="s">
        <v>328</v>
      </c>
      <c r="C511" s="6">
        <v>12</v>
      </c>
      <c r="D511" s="11" t="str">
        <f t="shared" si="7"/>
        <v>*</v>
      </c>
    </row>
    <row r="512" spans="1:4" x14ac:dyDescent="0.25">
      <c r="A512" s="1">
        <v>81808</v>
      </c>
      <c r="B512" s="3" t="s">
        <v>323</v>
      </c>
      <c r="C512" s="6">
        <v>21</v>
      </c>
      <c r="D512" s="11" t="str">
        <f t="shared" si="7"/>
        <v>*</v>
      </c>
    </row>
    <row r="513" spans="1:4" x14ac:dyDescent="0.25">
      <c r="A513" s="1">
        <v>82185</v>
      </c>
      <c r="B513" s="3" t="s">
        <v>221</v>
      </c>
      <c r="C513" s="6">
        <v>27</v>
      </c>
      <c r="D513" s="11" t="str">
        <f t="shared" si="7"/>
        <v>*</v>
      </c>
    </row>
    <row r="514" spans="1:4" x14ac:dyDescent="0.25">
      <c r="A514" s="1">
        <v>82452</v>
      </c>
      <c r="B514" s="3" t="s">
        <v>766</v>
      </c>
      <c r="C514" s="6">
        <v>212</v>
      </c>
      <c r="D514" s="11" t="str">
        <f t="shared" si="7"/>
        <v>*</v>
      </c>
    </row>
    <row r="515" spans="1:4" x14ac:dyDescent="0.25">
      <c r="A515" s="1">
        <v>82732</v>
      </c>
      <c r="B515" s="3" t="s">
        <v>371</v>
      </c>
      <c r="C515" s="6">
        <v>325</v>
      </c>
      <c r="D515" s="11" t="str">
        <f t="shared" si="7"/>
        <v>*</v>
      </c>
    </row>
    <row r="516" spans="1:4" x14ac:dyDescent="0.25">
      <c r="A516" s="1">
        <v>82916</v>
      </c>
      <c r="B516" s="3" t="s">
        <v>4</v>
      </c>
      <c r="C516" s="6">
        <v>10</v>
      </c>
      <c r="D516" s="11" t="str">
        <f t="shared" ref="D516:D579" si="8">IF($D$3="FIM","*","")</f>
        <v>*</v>
      </c>
    </row>
    <row r="517" spans="1:4" x14ac:dyDescent="0.25">
      <c r="A517" s="1">
        <v>82995</v>
      </c>
      <c r="B517" s="3" t="s">
        <v>147</v>
      </c>
      <c r="C517" s="6">
        <v>428</v>
      </c>
      <c r="D517" s="11" t="str">
        <f t="shared" si="8"/>
        <v>*</v>
      </c>
    </row>
    <row r="518" spans="1:4" x14ac:dyDescent="0.25">
      <c r="A518" s="1">
        <v>82996</v>
      </c>
      <c r="B518" s="3" t="s">
        <v>504</v>
      </c>
      <c r="C518" s="6">
        <v>210</v>
      </c>
      <c r="D518" s="11" t="str">
        <f t="shared" si="8"/>
        <v>*</v>
      </c>
    </row>
    <row r="519" spans="1:4" x14ac:dyDescent="0.25">
      <c r="A519" s="1">
        <v>83627</v>
      </c>
      <c r="B519" s="3" t="s">
        <v>446</v>
      </c>
      <c r="C519" s="6">
        <v>15828</v>
      </c>
      <c r="D519" s="11" t="str">
        <f t="shared" si="8"/>
        <v>*</v>
      </c>
    </row>
    <row r="520" spans="1:4" x14ac:dyDescent="0.25">
      <c r="A520" s="1">
        <v>83838</v>
      </c>
      <c r="B520" s="3" t="s">
        <v>574</v>
      </c>
      <c r="C520" s="6">
        <v>11624</v>
      </c>
      <c r="D520" s="11" t="str">
        <f t="shared" si="8"/>
        <v>*</v>
      </c>
    </row>
    <row r="521" spans="1:4" x14ac:dyDescent="0.25">
      <c r="A521" s="1">
        <v>83839</v>
      </c>
      <c r="B521" s="3" t="s">
        <v>575</v>
      </c>
      <c r="C521" s="6">
        <v>3394</v>
      </c>
      <c r="D521" s="11" t="str">
        <f t="shared" si="8"/>
        <v>*</v>
      </c>
    </row>
    <row r="522" spans="1:4" x14ac:dyDescent="0.25">
      <c r="A522" s="1">
        <v>84878</v>
      </c>
      <c r="B522" s="3" t="s">
        <v>447</v>
      </c>
      <c r="C522" s="6">
        <v>22227</v>
      </c>
      <c r="D522" s="11" t="str">
        <f t="shared" si="8"/>
        <v>*</v>
      </c>
    </row>
    <row r="523" spans="1:4" x14ac:dyDescent="0.25">
      <c r="A523" s="1">
        <v>86030</v>
      </c>
      <c r="B523" s="3" t="s">
        <v>688</v>
      </c>
      <c r="C523" s="6">
        <v>28</v>
      </c>
      <c r="D523" s="11" t="str">
        <f t="shared" si="8"/>
        <v>*</v>
      </c>
    </row>
    <row r="524" spans="1:4" x14ac:dyDescent="0.25">
      <c r="A524" s="1">
        <v>86118</v>
      </c>
      <c r="B524" s="3" t="s">
        <v>372</v>
      </c>
      <c r="C524" s="6">
        <v>155</v>
      </c>
      <c r="D524" s="11" t="str">
        <f t="shared" si="8"/>
        <v>*</v>
      </c>
    </row>
    <row r="525" spans="1:4" x14ac:dyDescent="0.25">
      <c r="A525" s="1">
        <v>87247</v>
      </c>
      <c r="B525" s="3" t="s">
        <v>515</v>
      </c>
      <c r="C525" s="6">
        <v>0</v>
      </c>
      <c r="D525" s="11" t="str">
        <f t="shared" si="8"/>
        <v>*</v>
      </c>
    </row>
    <row r="526" spans="1:4" x14ac:dyDescent="0.25">
      <c r="A526" s="1">
        <v>87348</v>
      </c>
      <c r="B526" s="3" t="s">
        <v>520</v>
      </c>
      <c r="C526" s="6">
        <v>105</v>
      </c>
      <c r="D526" s="11" t="str">
        <f t="shared" si="8"/>
        <v>*</v>
      </c>
    </row>
    <row r="527" spans="1:4" x14ac:dyDescent="0.25">
      <c r="A527" s="1">
        <v>87465</v>
      </c>
      <c r="B527" s="3" t="s">
        <v>934</v>
      </c>
      <c r="C527" s="6">
        <v>1867</v>
      </c>
      <c r="D527" s="11" t="str">
        <f t="shared" si="8"/>
        <v>*</v>
      </c>
    </row>
    <row r="528" spans="1:4" x14ac:dyDescent="0.25">
      <c r="A528" s="1">
        <v>87586</v>
      </c>
      <c r="B528" s="3" t="s">
        <v>181</v>
      </c>
      <c r="C528" s="6">
        <v>14</v>
      </c>
      <c r="D528" s="11" t="str">
        <f t="shared" si="8"/>
        <v>*</v>
      </c>
    </row>
    <row r="529" spans="1:4" x14ac:dyDescent="0.25">
      <c r="A529" s="1">
        <v>87698</v>
      </c>
      <c r="B529" s="3" t="s">
        <v>929</v>
      </c>
      <c r="C529" s="6">
        <v>65</v>
      </c>
      <c r="D529" s="11" t="str">
        <f t="shared" si="8"/>
        <v>*</v>
      </c>
    </row>
    <row r="530" spans="1:4" x14ac:dyDescent="0.25">
      <c r="A530" s="1">
        <v>87699</v>
      </c>
      <c r="B530" s="3" t="s">
        <v>930</v>
      </c>
      <c r="C530" s="6">
        <v>118</v>
      </c>
      <c r="D530" s="11" t="str">
        <f t="shared" si="8"/>
        <v>*</v>
      </c>
    </row>
    <row r="531" spans="1:4" x14ac:dyDescent="0.25">
      <c r="A531" s="1">
        <v>88718</v>
      </c>
      <c r="B531" s="3" t="s">
        <v>343</v>
      </c>
      <c r="C531" s="6">
        <v>20</v>
      </c>
      <c r="D531" s="11" t="str">
        <f t="shared" si="8"/>
        <v>*</v>
      </c>
    </row>
    <row r="532" spans="1:4" x14ac:dyDescent="0.25">
      <c r="A532" s="1">
        <v>88719</v>
      </c>
      <c r="B532" s="3" t="s">
        <v>344</v>
      </c>
      <c r="C532" s="6">
        <v>25</v>
      </c>
      <c r="D532" s="11" t="str">
        <f t="shared" si="8"/>
        <v>*</v>
      </c>
    </row>
    <row r="533" spans="1:4" x14ac:dyDescent="0.25">
      <c r="A533" s="1">
        <v>88726</v>
      </c>
      <c r="B533" s="3" t="s">
        <v>357</v>
      </c>
      <c r="C533" s="6">
        <v>16</v>
      </c>
      <c r="D533" s="11" t="str">
        <f t="shared" si="8"/>
        <v>*</v>
      </c>
    </row>
    <row r="534" spans="1:4" x14ac:dyDescent="0.25">
      <c r="A534" s="1">
        <v>88727</v>
      </c>
      <c r="B534" s="3" t="s">
        <v>358</v>
      </c>
      <c r="C534" s="6">
        <v>85</v>
      </c>
      <c r="D534" s="11" t="str">
        <f t="shared" si="8"/>
        <v>*</v>
      </c>
    </row>
    <row r="535" spans="1:4" x14ac:dyDescent="0.25">
      <c r="A535" s="1">
        <v>88728</v>
      </c>
      <c r="B535" s="3" t="s">
        <v>346</v>
      </c>
      <c r="C535" s="6">
        <v>101</v>
      </c>
      <c r="D535" s="11" t="str">
        <f t="shared" si="8"/>
        <v>*</v>
      </c>
    </row>
    <row r="536" spans="1:4" x14ac:dyDescent="0.25">
      <c r="A536" s="1">
        <v>88729</v>
      </c>
      <c r="B536" s="3" t="s">
        <v>359</v>
      </c>
      <c r="C536" s="6">
        <v>14</v>
      </c>
      <c r="D536" s="11" t="str">
        <f t="shared" si="8"/>
        <v>*</v>
      </c>
    </row>
    <row r="537" spans="1:4" x14ac:dyDescent="0.25">
      <c r="A537" s="1">
        <v>88730</v>
      </c>
      <c r="B537" s="3" t="s">
        <v>347</v>
      </c>
      <c r="C537" s="6">
        <v>16</v>
      </c>
      <c r="D537" s="11" t="str">
        <f t="shared" si="8"/>
        <v>*</v>
      </c>
    </row>
    <row r="538" spans="1:4" x14ac:dyDescent="0.25">
      <c r="A538" s="1">
        <v>88731</v>
      </c>
      <c r="B538" s="3" t="s">
        <v>628</v>
      </c>
      <c r="C538" s="6">
        <v>2</v>
      </c>
      <c r="D538" s="11" t="str">
        <f t="shared" si="8"/>
        <v>*</v>
      </c>
    </row>
    <row r="539" spans="1:4" x14ac:dyDescent="0.25">
      <c r="A539" s="1">
        <v>88732</v>
      </c>
      <c r="B539" s="3" t="s">
        <v>360</v>
      </c>
      <c r="C539" s="6">
        <v>6</v>
      </c>
      <c r="D539" s="11" t="str">
        <f t="shared" si="8"/>
        <v>*</v>
      </c>
    </row>
    <row r="540" spans="1:4" x14ac:dyDescent="0.25">
      <c r="A540" s="1">
        <v>88733</v>
      </c>
      <c r="B540" s="3" t="s">
        <v>361</v>
      </c>
      <c r="C540" s="6">
        <v>4</v>
      </c>
      <c r="D540" s="11" t="str">
        <f t="shared" si="8"/>
        <v>*</v>
      </c>
    </row>
    <row r="541" spans="1:4" x14ac:dyDescent="0.25">
      <c r="A541" s="1">
        <v>88734</v>
      </c>
      <c r="B541" s="3" t="s">
        <v>362</v>
      </c>
      <c r="C541" s="6">
        <v>1</v>
      </c>
      <c r="D541" s="11" t="str">
        <f t="shared" si="8"/>
        <v>*</v>
      </c>
    </row>
    <row r="542" spans="1:4" x14ac:dyDescent="0.25">
      <c r="A542" s="1">
        <v>88735</v>
      </c>
      <c r="B542" s="3" t="s">
        <v>348</v>
      </c>
      <c r="C542" s="6">
        <v>5</v>
      </c>
      <c r="D542" s="11" t="str">
        <f t="shared" si="8"/>
        <v>*</v>
      </c>
    </row>
    <row r="543" spans="1:4" x14ac:dyDescent="0.25">
      <c r="A543" s="1">
        <v>88740</v>
      </c>
      <c r="B543" s="3" t="s">
        <v>345</v>
      </c>
      <c r="C543" s="6">
        <v>13</v>
      </c>
      <c r="D543" s="11" t="str">
        <f t="shared" si="8"/>
        <v>*</v>
      </c>
    </row>
    <row r="544" spans="1:4" x14ac:dyDescent="0.25">
      <c r="A544" s="1">
        <v>88744</v>
      </c>
      <c r="B544" s="3" t="s">
        <v>349</v>
      </c>
      <c r="C544" s="6">
        <v>13</v>
      </c>
      <c r="D544" s="11" t="str">
        <f t="shared" si="8"/>
        <v>*</v>
      </c>
    </row>
    <row r="545" spans="1:4" x14ac:dyDescent="0.25">
      <c r="A545" s="1">
        <v>88745</v>
      </c>
      <c r="B545" s="3" t="s">
        <v>350</v>
      </c>
      <c r="C545" s="6">
        <v>13</v>
      </c>
      <c r="D545" s="11" t="str">
        <f t="shared" si="8"/>
        <v>*</v>
      </c>
    </row>
    <row r="546" spans="1:4" x14ac:dyDescent="0.25">
      <c r="A546" s="1">
        <v>88746</v>
      </c>
      <c r="B546" s="3" t="s">
        <v>351</v>
      </c>
      <c r="C546" s="6">
        <v>2</v>
      </c>
      <c r="D546" s="11" t="str">
        <f t="shared" si="8"/>
        <v>*</v>
      </c>
    </row>
    <row r="547" spans="1:4" x14ac:dyDescent="0.25">
      <c r="A547" s="1">
        <v>88747</v>
      </c>
      <c r="B547" s="3" t="s">
        <v>352</v>
      </c>
      <c r="C547" s="6">
        <v>2</v>
      </c>
      <c r="D547" s="11" t="str">
        <f t="shared" si="8"/>
        <v>*</v>
      </c>
    </row>
    <row r="548" spans="1:4" x14ac:dyDescent="0.25">
      <c r="A548" s="1">
        <v>88838</v>
      </c>
      <c r="B548" s="3" t="s">
        <v>166</v>
      </c>
      <c r="C548" s="6">
        <v>1155</v>
      </c>
      <c r="D548" s="11" t="str">
        <f t="shared" si="8"/>
        <v>*</v>
      </c>
    </row>
    <row r="549" spans="1:4" x14ac:dyDescent="0.25">
      <c r="A549" s="1">
        <v>88839</v>
      </c>
      <c r="B549" s="3" t="s">
        <v>176</v>
      </c>
      <c r="C549" s="6">
        <v>24</v>
      </c>
      <c r="D549" s="11" t="str">
        <f t="shared" si="8"/>
        <v>*</v>
      </c>
    </row>
    <row r="550" spans="1:4" x14ac:dyDescent="0.25">
      <c r="A550" s="1">
        <v>88849</v>
      </c>
      <c r="B550" s="3" t="s">
        <v>833</v>
      </c>
      <c r="C550" s="6">
        <v>225</v>
      </c>
      <c r="D550" s="11" t="str">
        <f t="shared" si="8"/>
        <v>*</v>
      </c>
    </row>
    <row r="551" spans="1:4" x14ac:dyDescent="0.25">
      <c r="A551" s="1">
        <v>88856</v>
      </c>
      <c r="B551" s="3" t="s">
        <v>880</v>
      </c>
      <c r="C551" s="6">
        <v>57</v>
      </c>
      <c r="D551" s="11" t="str">
        <f t="shared" si="8"/>
        <v>*</v>
      </c>
    </row>
    <row r="552" spans="1:4" x14ac:dyDescent="0.25">
      <c r="A552" s="1">
        <v>88876</v>
      </c>
      <c r="B552" s="3" t="s">
        <v>541</v>
      </c>
      <c r="C552" s="6">
        <v>0</v>
      </c>
      <c r="D552" s="11" t="str">
        <f t="shared" si="8"/>
        <v>*</v>
      </c>
    </row>
    <row r="553" spans="1:4" x14ac:dyDescent="0.25">
      <c r="A553" s="1">
        <v>88989</v>
      </c>
      <c r="B553" s="3" t="s">
        <v>576</v>
      </c>
      <c r="C553" s="6">
        <v>3</v>
      </c>
      <c r="D553" s="11" t="str">
        <f t="shared" si="8"/>
        <v>*</v>
      </c>
    </row>
    <row r="554" spans="1:4" x14ac:dyDescent="0.25">
      <c r="A554" s="1">
        <v>88992</v>
      </c>
      <c r="B554" s="3" t="s">
        <v>577</v>
      </c>
      <c r="C554" s="6">
        <v>1</v>
      </c>
      <c r="D554" s="11" t="str">
        <f t="shared" si="8"/>
        <v>*</v>
      </c>
    </row>
    <row r="555" spans="1:4" x14ac:dyDescent="0.25">
      <c r="A555" s="1">
        <v>88993</v>
      </c>
      <c r="B555" s="3" t="s">
        <v>578</v>
      </c>
      <c r="C555" s="6">
        <v>2</v>
      </c>
      <c r="D555" s="11" t="str">
        <f t="shared" si="8"/>
        <v>*</v>
      </c>
    </row>
    <row r="556" spans="1:4" x14ac:dyDescent="0.25">
      <c r="A556" s="1">
        <v>89818</v>
      </c>
      <c r="B556" s="3" t="s">
        <v>579</v>
      </c>
      <c r="C556" s="6">
        <v>16</v>
      </c>
      <c r="D556" s="11" t="str">
        <f t="shared" si="8"/>
        <v>*</v>
      </c>
    </row>
    <row r="557" spans="1:4" x14ac:dyDescent="0.25">
      <c r="A557" s="1">
        <v>89855</v>
      </c>
      <c r="B557" s="3" t="s">
        <v>984</v>
      </c>
      <c r="C557" s="6">
        <v>0</v>
      </c>
      <c r="D557" s="11" t="str">
        <f t="shared" si="8"/>
        <v>*</v>
      </c>
    </row>
    <row r="558" spans="1:4" x14ac:dyDescent="0.25">
      <c r="A558" s="1">
        <v>89863</v>
      </c>
      <c r="B558" s="3" t="s">
        <v>821</v>
      </c>
      <c r="C558" s="6">
        <v>210</v>
      </c>
      <c r="D558" s="11" t="str">
        <f t="shared" si="8"/>
        <v>*</v>
      </c>
    </row>
    <row r="559" spans="1:4" x14ac:dyDescent="0.25">
      <c r="A559" s="1">
        <v>89864</v>
      </c>
      <c r="B559" s="3" t="s">
        <v>822</v>
      </c>
      <c r="C559" s="6">
        <v>38</v>
      </c>
      <c r="D559" s="11" t="str">
        <f t="shared" si="8"/>
        <v>*</v>
      </c>
    </row>
    <row r="560" spans="1:4" x14ac:dyDescent="0.25">
      <c r="A560" s="1">
        <v>89865</v>
      </c>
      <c r="B560" s="3" t="s">
        <v>823</v>
      </c>
      <c r="C560" s="6">
        <v>71</v>
      </c>
      <c r="D560" s="11" t="str">
        <f t="shared" si="8"/>
        <v>*</v>
      </c>
    </row>
    <row r="561" spans="1:4" x14ac:dyDescent="0.25">
      <c r="A561" s="1">
        <v>90500</v>
      </c>
      <c r="B561" s="3" t="s">
        <v>621</v>
      </c>
      <c r="C561" s="6">
        <v>1794</v>
      </c>
      <c r="D561" s="11" t="str">
        <f t="shared" si="8"/>
        <v>*</v>
      </c>
    </row>
    <row r="562" spans="1:4" x14ac:dyDescent="0.25">
      <c r="A562" s="1">
        <v>90502</v>
      </c>
      <c r="B562" s="3" t="s">
        <v>125</v>
      </c>
      <c r="C562" s="6">
        <v>2420</v>
      </c>
      <c r="D562" s="11" t="str">
        <f t="shared" si="8"/>
        <v>*</v>
      </c>
    </row>
    <row r="563" spans="1:4" x14ac:dyDescent="0.25">
      <c r="A563" s="1">
        <v>91250</v>
      </c>
      <c r="B563" s="3" t="s">
        <v>479</v>
      </c>
      <c r="C563" s="6">
        <v>490</v>
      </c>
      <c r="D563" s="11" t="str">
        <f t="shared" si="8"/>
        <v>*</v>
      </c>
    </row>
    <row r="564" spans="1:4" x14ac:dyDescent="0.25">
      <c r="A564" s="1">
        <v>91669</v>
      </c>
      <c r="B564" s="3" t="s">
        <v>385</v>
      </c>
      <c r="C564" s="6">
        <v>2491</v>
      </c>
      <c r="D564" s="11" t="str">
        <f t="shared" si="8"/>
        <v>*</v>
      </c>
    </row>
    <row r="565" spans="1:4" x14ac:dyDescent="0.25">
      <c r="A565" s="1">
        <v>91811</v>
      </c>
      <c r="B565" s="3" t="s">
        <v>190</v>
      </c>
      <c r="C565" s="6">
        <v>386</v>
      </c>
      <c r="D565" s="11" t="str">
        <f t="shared" si="8"/>
        <v>*</v>
      </c>
    </row>
    <row r="566" spans="1:4" x14ac:dyDescent="0.25">
      <c r="A566" s="1">
        <v>91868</v>
      </c>
      <c r="B566" s="3" t="s">
        <v>931</v>
      </c>
      <c r="C566" s="6">
        <v>96</v>
      </c>
      <c r="D566" s="11" t="str">
        <f t="shared" si="8"/>
        <v>*</v>
      </c>
    </row>
    <row r="567" spans="1:4" x14ac:dyDescent="0.25">
      <c r="A567" s="1">
        <v>92111</v>
      </c>
      <c r="B567" s="3" t="s">
        <v>126</v>
      </c>
      <c r="C567" s="6">
        <v>1131</v>
      </c>
      <c r="D567" s="11" t="str">
        <f t="shared" si="8"/>
        <v>*</v>
      </c>
    </row>
    <row r="568" spans="1:4" x14ac:dyDescent="0.25">
      <c r="A568" s="1">
        <v>92842</v>
      </c>
      <c r="B568" s="3" t="s">
        <v>68</v>
      </c>
      <c r="C568" s="6">
        <v>39</v>
      </c>
      <c r="D568" s="11" t="str">
        <f t="shared" si="8"/>
        <v>*</v>
      </c>
    </row>
    <row r="569" spans="1:4" x14ac:dyDescent="0.25">
      <c r="A569" s="1">
        <v>92906</v>
      </c>
      <c r="B569" s="3" t="s">
        <v>706</v>
      </c>
      <c r="C569" s="6">
        <v>2945</v>
      </c>
      <c r="D569" s="11" t="str">
        <f t="shared" si="8"/>
        <v>*</v>
      </c>
    </row>
    <row r="570" spans="1:4" x14ac:dyDescent="0.25">
      <c r="A570" s="1">
        <v>92907</v>
      </c>
      <c r="B570" s="3" t="s">
        <v>707</v>
      </c>
      <c r="C570" s="6">
        <v>2831</v>
      </c>
      <c r="D570" s="11" t="str">
        <f t="shared" si="8"/>
        <v>*</v>
      </c>
    </row>
    <row r="571" spans="1:4" x14ac:dyDescent="0.25">
      <c r="A571" s="1">
        <v>92908</v>
      </c>
      <c r="B571" s="3" t="s">
        <v>708</v>
      </c>
      <c r="C571" s="6">
        <v>2886</v>
      </c>
      <c r="D571" s="11" t="str">
        <f t="shared" si="8"/>
        <v>*</v>
      </c>
    </row>
    <row r="572" spans="1:4" x14ac:dyDescent="0.25">
      <c r="A572" s="1">
        <v>93139</v>
      </c>
      <c r="B572" s="3" t="s">
        <v>594</v>
      </c>
      <c r="C572" s="6">
        <v>37</v>
      </c>
      <c r="D572" s="11" t="str">
        <f t="shared" si="8"/>
        <v>*</v>
      </c>
    </row>
    <row r="573" spans="1:4" x14ac:dyDescent="0.25">
      <c r="A573" s="1">
        <v>93325</v>
      </c>
      <c r="B573" s="3" t="s">
        <v>61</v>
      </c>
      <c r="C573" s="6">
        <v>9261</v>
      </c>
      <c r="D573" s="11" t="str">
        <f t="shared" si="8"/>
        <v>*</v>
      </c>
    </row>
    <row r="574" spans="1:4" x14ac:dyDescent="0.25">
      <c r="A574" s="1">
        <v>93327</v>
      </c>
      <c r="B574" s="3" t="s">
        <v>62</v>
      </c>
      <c r="C574" s="6">
        <v>5314</v>
      </c>
      <c r="D574" s="11" t="str">
        <f t="shared" si="8"/>
        <v>*</v>
      </c>
    </row>
    <row r="575" spans="1:4" x14ac:dyDescent="0.25">
      <c r="A575" s="1">
        <v>93329</v>
      </c>
      <c r="B575" s="3" t="s">
        <v>63</v>
      </c>
      <c r="C575" s="6">
        <v>6384</v>
      </c>
      <c r="D575" s="11" t="str">
        <f t="shared" si="8"/>
        <v>*</v>
      </c>
    </row>
    <row r="576" spans="1:4" x14ac:dyDescent="0.25">
      <c r="A576" s="1">
        <v>93332</v>
      </c>
      <c r="B576" s="3" t="s">
        <v>64</v>
      </c>
      <c r="C576" s="6">
        <v>8597</v>
      </c>
      <c r="D576" s="11" t="str">
        <f t="shared" si="8"/>
        <v>*</v>
      </c>
    </row>
    <row r="577" spans="1:4" x14ac:dyDescent="0.25">
      <c r="A577" s="1">
        <v>93334</v>
      </c>
      <c r="B577" s="3" t="s">
        <v>65</v>
      </c>
      <c r="C577" s="6">
        <v>5626</v>
      </c>
      <c r="D577" s="11" t="str">
        <f t="shared" si="8"/>
        <v>*</v>
      </c>
    </row>
    <row r="578" spans="1:4" x14ac:dyDescent="0.25">
      <c r="A578" s="1">
        <v>93335</v>
      </c>
      <c r="B578" s="3" t="s">
        <v>66</v>
      </c>
      <c r="C578" s="6">
        <v>7872</v>
      </c>
      <c r="D578" s="11" t="str">
        <f t="shared" si="8"/>
        <v>*</v>
      </c>
    </row>
    <row r="579" spans="1:4" x14ac:dyDescent="0.25">
      <c r="A579" s="1">
        <v>93344</v>
      </c>
      <c r="B579" s="3" t="s">
        <v>580</v>
      </c>
      <c r="C579" s="6">
        <v>4</v>
      </c>
      <c r="D579" s="11" t="str">
        <f t="shared" si="8"/>
        <v>*</v>
      </c>
    </row>
    <row r="580" spans="1:4" x14ac:dyDescent="0.25">
      <c r="A580" s="1">
        <v>93453</v>
      </c>
      <c r="B580" s="3" t="s">
        <v>45</v>
      </c>
      <c r="C580" s="6">
        <v>11060</v>
      </c>
      <c r="D580" s="11" t="str">
        <f t="shared" ref="D580:D643" si="9">IF($D$3="FIM","*","")</f>
        <v>*</v>
      </c>
    </row>
    <row r="581" spans="1:4" x14ac:dyDescent="0.25">
      <c r="A581" s="1">
        <v>93454</v>
      </c>
      <c r="B581" s="3" t="s">
        <v>46</v>
      </c>
      <c r="C581" s="6">
        <v>11123</v>
      </c>
      <c r="D581" s="11" t="str">
        <f t="shared" si="9"/>
        <v>*</v>
      </c>
    </row>
    <row r="582" spans="1:4" x14ac:dyDescent="0.25">
      <c r="A582" s="1">
        <v>93456</v>
      </c>
      <c r="B582" s="3" t="s">
        <v>47</v>
      </c>
      <c r="C582" s="6">
        <v>10046</v>
      </c>
      <c r="D582" s="11" t="str">
        <f t="shared" si="9"/>
        <v>*</v>
      </c>
    </row>
    <row r="583" spans="1:4" x14ac:dyDescent="0.25">
      <c r="A583" s="1">
        <v>93461</v>
      </c>
      <c r="B583" s="3" t="s">
        <v>48</v>
      </c>
      <c r="C583" s="6">
        <v>11010</v>
      </c>
      <c r="D583" s="11" t="str">
        <f t="shared" si="9"/>
        <v>*</v>
      </c>
    </row>
    <row r="584" spans="1:4" x14ac:dyDescent="0.25">
      <c r="A584" s="1">
        <v>93462</v>
      </c>
      <c r="B584" s="3" t="s">
        <v>49</v>
      </c>
      <c r="C584" s="6">
        <v>10708</v>
      </c>
      <c r="D584" s="11" t="str">
        <f t="shared" si="9"/>
        <v>*</v>
      </c>
    </row>
    <row r="585" spans="1:4" x14ac:dyDescent="0.25">
      <c r="A585" s="1">
        <v>93486</v>
      </c>
      <c r="B585" s="3" t="s">
        <v>629</v>
      </c>
      <c r="C585" s="6">
        <v>2</v>
      </c>
      <c r="D585" s="11" t="str">
        <f t="shared" si="9"/>
        <v>*</v>
      </c>
    </row>
    <row r="586" spans="1:4" x14ac:dyDescent="0.25">
      <c r="A586" s="1">
        <v>93487</v>
      </c>
      <c r="B586" s="3" t="s">
        <v>630</v>
      </c>
      <c r="C586" s="6">
        <v>6</v>
      </c>
      <c r="D586" s="11" t="str">
        <f t="shared" si="9"/>
        <v>*</v>
      </c>
    </row>
    <row r="587" spans="1:4" x14ac:dyDescent="0.25">
      <c r="A587" s="1">
        <v>93488</v>
      </c>
      <c r="B587" s="3" t="s">
        <v>631</v>
      </c>
      <c r="C587" s="6">
        <v>3</v>
      </c>
      <c r="D587" s="11" t="str">
        <f t="shared" si="9"/>
        <v>*</v>
      </c>
    </row>
    <row r="588" spans="1:4" x14ac:dyDescent="0.25">
      <c r="A588" s="1">
        <v>94013</v>
      </c>
      <c r="B588" s="3" t="s">
        <v>604</v>
      </c>
      <c r="C588" s="6">
        <v>16</v>
      </c>
      <c r="D588" s="11" t="str">
        <f t="shared" si="9"/>
        <v>*</v>
      </c>
    </row>
    <row r="589" spans="1:4" x14ac:dyDescent="0.25">
      <c r="A589" s="1">
        <v>94615</v>
      </c>
      <c r="B589" s="3" t="s">
        <v>802</v>
      </c>
      <c r="C589" s="6">
        <v>5</v>
      </c>
      <c r="D589" s="11" t="str">
        <f t="shared" si="9"/>
        <v>*</v>
      </c>
    </row>
    <row r="590" spans="1:4" x14ac:dyDescent="0.25">
      <c r="A590" s="1">
        <v>94616</v>
      </c>
      <c r="B590" s="3" t="s">
        <v>803</v>
      </c>
      <c r="C590" s="6">
        <v>2</v>
      </c>
      <c r="D590" s="11" t="str">
        <f t="shared" si="9"/>
        <v>*</v>
      </c>
    </row>
    <row r="591" spans="1:4" x14ac:dyDescent="0.25">
      <c r="A591" s="1">
        <v>94617</v>
      </c>
      <c r="B591" s="3" t="s">
        <v>804</v>
      </c>
      <c r="C591" s="6">
        <v>4</v>
      </c>
      <c r="D591" s="11" t="str">
        <f t="shared" si="9"/>
        <v>*</v>
      </c>
    </row>
    <row r="592" spans="1:4" x14ac:dyDescent="0.25">
      <c r="A592" s="1">
        <v>94618</v>
      </c>
      <c r="B592" s="3" t="s">
        <v>805</v>
      </c>
      <c r="C592" s="6">
        <v>4</v>
      </c>
      <c r="D592" s="11" t="str">
        <f t="shared" si="9"/>
        <v>*</v>
      </c>
    </row>
    <row r="593" spans="1:4" x14ac:dyDescent="0.25">
      <c r="A593" s="1">
        <v>94627</v>
      </c>
      <c r="B593" s="3" t="s">
        <v>167</v>
      </c>
      <c r="C593" s="6">
        <v>221</v>
      </c>
      <c r="D593" s="11" t="str">
        <f t="shared" si="9"/>
        <v>*</v>
      </c>
    </row>
    <row r="594" spans="1:4" x14ac:dyDescent="0.25">
      <c r="A594" s="1">
        <v>95121</v>
      </c>
      <c r="B594" s="3" t="s">
        <v>767</v>
      </c>
      <c r="C594" s="6">
        <v>66</v>
      </c>
      <c r="D594" s="11" t="str">
        <f t="shared" si="9"/>
        <v>*</v>
      </c>
    </row>
    <row r="595" spans="1:4" x14ac:dyDescent="0.25">
      <c r="A595" s="1">
        <v>95209</v>
      </c>
      <c r="B595" s="3" t="s">
        <v>316</v>
      </c>
      <c r="C595" s="6">
        <v>165</v>
      </c>
      <c r="D595" s="11" t="str">
        <f t="shared" si="9"/>
        <v>*</v>
      </c>
    </row>
    <row r="596" spans="1:4" x14ac:dyDescent="0.25">
      <c r="A596" s="1">
        <v>95513</v>
      </c>
      <c r="B596" s="3" t="s">
        <v>127</v>
      </c>
      <c r="C596" s="6">
        <v>987</v>
      </c>
      <c r="D596" s="11" t="str">
        <f t="shared" si="9"/>
        <v>*</v>
      </c>
    </row>
    <row r="597" spans="1:4" x14ac:dyDescent="0.25">
      <c r="A597" s="1">
        <v>96516</v>
      </c>
      <c r="B597" s="3" t="s">
        <v>581</v>
      </c>
      <c r="C597" s="6">
        <v>739</v>
      </c>
      <c r="D597" s="11" t="str">
        <f t="shared" si="9"/>
        <v>*</v>
      </c>
    </row>
    <row r="598" spans="1:4" x14ac:dyDescent="0.25">
      <c r="A598" s="1">
        <v>97965</v>
      </c>
      <c r="B598" s="3" t="s">
        <v>949</v>
      </c>
      <c r="C598" s="6">
        <v>0</v>
      </c>
      <c r="D598" s="11" t="str">
        <f t="shared" si="9"/>
        <v>*</v>
      </c>
    </row>
    <row r="599" spans="1:4" x14ac:dyDescent="0.25">
      <c r="A599" s="1">
        <v>98080</v>
      </c>
      <c r="B599" s="3" t="s">
        <v>605</v>
      </c>
      <c r="C599" s="6">
        <v>581</v>
      </c>
      <c r="D599" s="11" t="str">
        <f t="shared" si="9"/>
        <v>*</v>
      </c>
    </row>
    <row r="600" spans="1:4" x14ac:dyDescent="0.25">
      <c r="A600" s="1">
        <v>98359</v>
      </c>
      <c r="B600" s="3" t="s">
        <v>398</v>
      </c>
      <c r="C600" s="6">
        <v>50</v>
      </c>
      <c r="D600" s="11" t="str">
        <f t="shared" si="9"/>
        <v>*</v>
      </c>
    </row>
    <row r="601" spans="1:4" x14ac:dyDescent="0.25">
      <c r="A601" s="1">
        <v>98702</v>
      </c>
      <c r="B601" s="3" t="s">
        <v>535</v>
      </c>
      <c r="C601" s="6">
        <v>2426</v>
      </c>
      <c r="D601" s="11" t="str">
        <f t="shared" si="9"/>
        <v>*</v>
      </c>
    </row>
    <row r="602" spans="1:4" x14ac:dyDescent="0.25">
      <c r="A602" s="1">
        <v>98703</v>
      </c>
      <c r="B602" s="3" t="s">
        <v>99</v>
      </c>
      <c r="C602" s="6">
        <v>567</v>
      </c>
      <c r="D602" s="11" t="str">
        <f t="shared" si="9"/>
        <v>*</v>
      </c>
    </row>
    <row r="603" spans="1:4" x14ac:dyDescent="0.25">
      <c r="A603" s="1">
        <v>98704</v>
      </c>
      <c r="B603" s="3" t="s">
        <v>100</v>
      </c>
      <c r="C603" s="6">
        <v>65</v>
      </c>
      <c r="D603" s="11" t="str">
        <f t="shared" si="9"/>
        <v>*</v>
      </c>
    </row>
    <row r="604" spans="1:4" x14ac:dyDescent="0.25">
      <c r="A604" s="1">
        <v>98732</v>
      </c>
      <c r="B604" s="3" t="s">
        <v>711</v>
      </c>
      <c r="C604" s="6">
        <v>0</v>
      </c>
      <c r="D604" s="11" t="str">
        <f t="shared" si="9"/>
        <v>*</v>
      </c>
    </row>
    <row r="605" spans="1:4" x14ac:dyDescent="0.25">
      <c r="A605" s="1">
        <v>98733</v>
      </c>
      <c r="B605" s="3" t="s">
        <v>712</v>
      </c>
      <c r="C605" s="6">
        <v>0</v>
      </c>
      <c r="D605" s="11" t="str">
        <f t="shared" si="9"/>
        <v>*</v>
      </c>
    </row>
    <row r="606" spans="1:4" x14ac:dyDescent="0.25">
      <c r="A606" s="1">
        <v>98734</v>
      </c>
      <c r="B606" s="3" t="s">
        <v>713</v>
      </c>
      <c r="C606" s="6">
        <v>1</v>
      </c>
      <c r="D606" s="11" t="str">
        <f t="shared" si="9"/>
        <v>*</v>
      </c>
    </row>
    <row r="607" spans="1:4" x14ac:dyDescent="0.25">
      <c r="A607" s="1">
        <v>99787</v>
      </c>
      <c r="B607" s="3" t="s">
        <v>834</v>
      </c>
      <c r="C607" s="6">
        <v>18</v>
      </c>
      <c r="D607" s="11" t="str">
        <f t="shared" si="9"/>
        <v>*</v>
      </c>
    </row>
    <row r="608" spans="1:4" x14ac:dyDescent="0.25">
      <c r="A608" s="1">
        <v>99788</v>
      </c>
      <c r="B608" s="3" t="s">
        <v>653</v>
      </c>
      <c r="C608" s="6">
        <v>0</v>
      </c>
      <c r="D608" s="11" t="str">
        <f t="shared" si="9"/>
        <v>*</v>
      </c>
    </row>
    <row r="609" spans="1:4" x14ac:dyDescent="0.25">
      <c r="A609" s="1">
        <v>99796</v>
      </c>
      <c r="B609" s="3" t="s">
        <v>768</v>
      </c>
      <c r="C609" s="6">
        <v>3</v>
      </c>
      <c r="D609" s="11" t="str">
        <f t="shared" si="9"/>
        <v>*</v>
      </c>
    </row>
    <row r="610" spans="1:4" x14ac:dyDescent="0.25">
      <c r="A610" s="1">
        <v>99810</v>
      </c>
      <c r="B610" s="3" t="s">
        <v>117</v>
      </c>
      <c r="C610" s="6">
        <v>3400</v>
      </c>
      <c r="D610" s="11" t="str">
        <f t="shared" si="9"/>
        <v>*</v>
      </c>
    </row>
    <row r="611" spans="1:4" x14ac:dyDescent="0.25">
      <c r="A611" s="1">
        <v>100383</v>
      </c>
      <c r="B611" s="3" t="s">
        <v>330</v>
      </c>
      <c r="C611" s="6">
        <v>27</v>
      </c>
      <c r="D611" s="11" t="str">
        <f t="shared" si="9"/>
        <v>*</v>
      </c>
    </row>
    <row r="612" spans="1:4" x14ac:dyDescent="0.25">
      <c r="A612" s="1">
        <v>100802</v>
      </c>
      <c r="B612" s="3" t="s">
        <v>776</v>
      </c>
      <c r="C612" s="6">
        <v>620</v>
      </c>
      <c r="D612" s="11" t="str">
        <f t="shared" si="9"/>
        <v>*</v>
      </c>
    </row>
    <row r="613" spans="1:4" x14ac:dyDescent="0.25">
      <c r="A613" s="1">
        <v>100907</v>
      </c>
      <c r="B613" s="3" t="s">
        <v>941</v>
      </c>
      <c r="C613" s="6">
        <v>124</v>
      </c>
      <c r="D613" s="11" t="str">
        <f t="shared" si="9"/>
        <v>*</v>
      </c>
    </row>
    <row r="614" spans="1:4" x14ac:dyDescent="0.25">
      <c r="A614" s="1">
        <v>101867</v>
      </c>
      <c r="B614" s="3" t="s">
        <v>338</v>
      </c>
      <c r="C614" s="6">
        <v>199</v>
      </c>
      <c r="D614" s="11" t="str">
        <f t="shared" si="9"/>
        <v>*</v>
      </c>
    </row>
    <row r="615" spans="1:4" x14ac:dyDescent="0.25">
      <c r="A615" s="1">
        <v>101868</v>
      </c>
      <c r="B615" s="3" t="s">
        <v>335</v>
      </c>
      <c r="C615" s="6">
        <v>157</v>
      </c>
      <c r="D615" s="11" t="str">
        <f t="shared" si="9"/>
        <v>*</v>
      </c>
    </row>
    <row r="616" spans="1:4" x14ac:dyDescent="0.25">
      <c r="A616" s="1">
        <v>101891</v>
      </c>
      <c r="B616" s="3" t="s">
        <v>603</v>
      </c>
      <c r="C616" s="6">
        <v>3</v>
      </c>
      <c r="D616" s="11" t="str">
        <f t="shared" si="9"/>
        <v>*</v>
      </c>
    </row>
    <row r="617" spans="1:4" x14ac:dyDescent="0.25">
      <c r="A617" s="1">
        <v>101917</v>
      </c>
      <c r="B617" s="3" t="s">
        <v>128</v>
      </c>
      <c r="C617" s="6">
        <v>1100</v>
      </c>
      <c r="D617" s="11" t="str">
        <f t="shared" si="9"/>
        <v>*</v>
      </c>
    </row>
    <row r="618" spans="1:4" x14ac:dyDescent="0.25">
      <c r="A618" s="1">
        <v>101938</v>
      </c>
      <c r="B618" s="3" t="s">
        <v>582</v>
      </c>
      <c r="C618" s="6">
        <v>43</v>
      </c>
      <c r="D618" s="11" t="str">
        <f t="shared" si="9"/>
        <v>*</v>
      </c>
    </row>
    <row r="619" spans="1:4" x14ac:dyDescent="0.25">
      <c r="A619" s="1">
        <v>102000</v>
      </c>
      <c r="B619" s="3" t="s">
        <v>501</v>
      </c>
      <c r="C619" s="6">
        <v>690</v>
      </c>
      <c r="D619" s="11" t="str">
        <f t="shared" si="9"/>
        <v>*</v>
      </c>
    </row>
    <row r="620" spans="1:4" x14ac:dyDescent="0.25">
      <c r="A620" s="1">
        <v>102234</v>
      </c>
      <c r="B620" s="3" t="s">
        <v>769</v>
      </c>
      <c r="C620" s="6">
        <v>158</v>
      </c>
      <c r="D620" s="11" t="str">
        <f t="shared" si="9"/>
        <v>*</v>
      </c>
    </row>
    <row r="621" spans="1:4" x14ac:dyDescent="0.25">
      <c r="A621" s="1">
        <v>102276</v>
      </c>
      <c r="B621" s="3" t="s">
        <v>339</v>
      </c>
      <c r="C621" s="6">
        <v>87</v>
      </c>
      <c r="D621" s="11" t="str">
        <f t="shared" si="9"/>
        <v>*</v>
      </c>
    </row>
    <row r="622" spans="1:4" x14ac:dyDescent="0.25">
      <c r="A622" s="1">
        <v>102277</v>
      </c>
      <c r="B622" s="3" t="s">
        <v>725</v>
      </c>
      <c r="C622" s="6">
        <v>85</v>
      </c>
      <c r="D622" s="11" t="str">
        <f t="shared" si="9"/>
        <v>*</v>
      </c>
    </row>
    <row r="623" spans="1:4" x14ac:dyDescent="0.25">
      <c r="A623" s="1">
        <v>102278</v>
      </c>
      <c r="B623" s="3" t="s">
        <v>726</v>
      </c>
      <c r="C623" s="6">
        <v>1</v>
      </c>
      <c r="D623" s="11" t="str">
        <f t="shared" si="9"/>
        <v>*</v>
      </c>
    </row>
    <row r="624" spans="1:4" x14ac:dyDescent="0.25">
      <c r="A624" s="1">
        <v>102279</v>
      </c>
      <c r="B624" s="3" t="s">
        <v>340</v>
      </c>
      <c r="C624" s="6">
        <v>80</v>
      </c>
      <c r="D624" s="11" t="str">
        <f t="shared" si="9"/>
        <v>*</v>
      </c>
    </row>
    <row r="625" spans="1:4" x14ac:dyDescent="0.25">
      <c r="A625" s="1">
        <v>102588</v>
      </c>
      <c r="B625" s="3" t="s">
        <v>309</v>
      </c>
      <c r="C625" s="6">
        <v>30</v>
      </c>
      <c r="D625" s="11" t="str">
        <f t="shared" si="9"/>
        <v>*</v>
      </c>
    </row>
    <row r="626" spans="1:4" x14ac:dyDescent="0.25">
      <c r="A626" s="1">
        <v>102690</v>
      </c>
      <c r="B626" s="3" t="s">
        <v>888</v>
      </c>
      <c r="C626" s="6">
        <v>3</v>
      </c>
      <c r="D626" s="11" t="str">
        <f t="shared" si="9"/>
        <v>*</v>
      </c>
    </row>
    <row r="627" spans="1:4" x14ac:dyDescent="0.25">
      <c r="A627" s="1">
        <v>102691</v>
      </c>
      <c r="B627" s="3" t="s">
        <v>889</v>
      </c>
      <c r="C627" s="6">
        <v>0</v>
      </c>
      <c r="D627" s="11" t="str">
        <f t="shared" si="9"/>
        <v>*</v>
      </c>
    </row>
    <row r="628" spans="1:4" x14ac:dyDescent="0.25">
      <c r="A628" s="1">
        <v>102694</v>
      </c>
      <c r="B628" s="3" t="s">
        <v>890</v>
      </c>
      <c r="C628" s="6">
        <v>2</v>
      </c>
      <c r="D628" s="11" t="str">
        <f t="shared" si="9"/>
        <v>*</v>
      </c>
    </row>
    <row r="629" spans="1:4" x14ac:dyDescent="0.25">
      <c r="A629" s="1">
        <v>102702</v>
      </c>
      <c r="B629" s="3" t="s">
        <v>718</v>
      </c>
      <c r="C629" s="6">
        <v>8590</v>
      </c>
      <c r="D629" s="11" t="str">
        <f t="shared" si="9"/>
        <v>*</v>
      </c>
    </row>
    <row r="630" spans="1:4" x14ac:dyDescent="0.25">
      <c r="A630" s="1">
        <v>102723</v>
      </c>
      <c r="B630" s="3" t="s">
        <v>891</v>
      </c>
      <c r="C630" s="6">
        <v>2</v>
      </c>
      <c r="D630" s="11" t="str">
        <f t="shared" si="9"/>
        <v>*</v>
      </c>
    </row>
    <row r="631" spans="1:4" x14ac:dyDescent="0.25">
      <c r="A631" s="1">
        <v>102728</v>
      </c>
      <c r="B631" s="3" t="s">
        <v>895</v>
      </c>
      <c r="C631" s="6">
        <v>30</v>
      </c>
      <c r="D631" s="11" t="str">
        <f t="shared" si="9"/>
        <v>*</v>
      </c>
    </row>
    <row r="632" spans="1:4" x14ac:dyDescent="0.25">
      <c r="A632" s="1">
        <v>102775</v>
      </c>
      <c r="B632" s="3" t="s">
        <v>896</v>
      </c>
      <c r="C632" s="6">
        <v>0</v>
      </c>
      <c r="D632" s="11" t="str">
        <f t="shared" si="9"/>
        <v>*</v>
      </c>
    </row>
    <row r="633" spans="1:4" x14ac:dyDescent="0.25">
      <c r="A633" s="1">
        <v>102776</v>
      </c>
      <c r="B633" s="3" t="s">
        <v>770</v>
      </c>
      <c r="C633" s="6">
        <v>3</v>
      </c>
      <c r="D633" s="11" t="str">
        <f t="shared" si="9"/>
        <v>*</v>
      </c>
    </row>
    <row r="634" spans="1:4" x14ac:dyDescent="0.25">
      <c r="A634" s="1">
        <v>102791</v>
      </c>
      <c r="B634" s="3" t="s">
        <v>129</v>
      </c>
      <c r="C634" s="6">
        <v>100</v>
      </c>
      <c r="D634" s="11" t="str">
        <f t="shared" si="9"/>
        <v>*</v>
      </c>
    </row>
    <row r="635" spans="1:4" x14ac:dyDescent="0.25">
      <c r="A635" s="1">
        <v>102814</v>
      </c>
      <c r="B635" s="3" t="s">
        <v>606</v>
      </c>
      <c r="C635" s="6">
        <v>48</v>
      </c>
      <c r="D635" s="11" t="str">
        <f t="shared" si="9"/>
        <v>*</v>
      </c>
    </row>
    <row r="636" spans="1:4" x14ac:dyDescent="0.25">
      <c r="A636" s="1">
        <v>102819</v>
      </c>
      <c r="B636" s="3" t="s">
        <v>353</v>
      </c>
      <c r="C636" s="6">
        <v>0</v>
      </c>
      <c r="D636" s="11" t="str">
        <f t="shared" si="9"/>
        <v>*</v>
      </c>
    </row>
    <row r="637" spans="1:4" x14ac:dyDescent="0.25">
      <c r="A637" s="1">
        <v>102820</v>
      </c>
      <c r="B637" s="3" t="s">
        <v>354</v>
      </c>
      <c r="C637" s="6">
        <v>5</v>
      </c>
      <c r="D637" s="11" t="str">
        <f t="shared" si="9"/>
        <v>*</v>
      </c>
    </row>
    <row r="638" spans="1:4" x14ac:dyDescent="0.25">
      <c r="A638" s="1">
        <v>102822</v>
      </c>
      <c r="B638" s="3" t="s">
        <v>632</v>
      </c>
      <c r="C638" s="6">
        <v>9</v>
      </c>
      <c r="D638" s="11" t="str">
        <f t="shared" si="9"/>
        <v>*</v>
      </c>
    </row>
    <row r="639" spans="1:4" x14ac:dyDescent="0.25">
      <c r="A639" s="1">
        <v>102922</v>
      </c>
      <c r="B639" s="3" t="s">
        <v>387</v>
      </c>
      <c r="C639" s="6">
        <v>21570</v>
      </c>
      <c r="D639" s="11" t="str">
        <f t="shared" si="9"/>
        <v>*</v>
      </c>
    </row>
    <row r="640" spans="1:4" x14ac:dyDescent="0.25">
      <c r="A640" s="1">
        <v>103142</v>
      </c>
      <c r="B640" s="3" t="s">
        <v>312</v>
      </c>
      <c r="C640" s="6">
        <v>9</v>
      </c>
      <c r="D640" s="11" t="str">
        <f t="shared" si="9"/>
        <v>*</v>
      </c>
    </row>
    <row r="641" spans="1:4" x14ac:dyDescent="0.25">
      <c r="A641" s="1">
        <v>103251</v>
      </c>
      <c r="B641" s="3" t="s">
        <v>110</v>
      </c>
      <c r="C641" s="6">
        <v>717</v>
      </c>
      <c r="D641" s="11" t="str">
        <f t="shared" si="9"/>
        <v>*</v>
      </c>
    </row>
    <row r="642" spans="1:4" x14ac:dyDescent="0.25">
      <c r="A642" s="1">
        <v>103344</v>
      </c>
      <c r="B642" s="3" t="s">
        <v>670</v>
      </c>
      <c r="C642" s="6">
        <v>26</v>
      </c>
      <c r="D642" s="11" t="str">
        <f t="shared" si="9"/>
        <v>*</v>
      </c>
    </row>
    <row r="643" spans="1:4" x14ac:dyDescent="0.25">
      <c r="A643" s="1">
        <v>103405</v>
      </c>
      <c r="B643" s="3" t="s">
        <v>935</v>
      </c>
      <c r="C643" s="6">
        <v>96</v>
      </c>
      <c r="D643" s="11" t="str">
        <f t="shared" si="9"/>
        <v>*</v>
      </c>
    </row>
    <row r="644" spans="1:4" x14ac:dyDescent="0.25">
      <c r="A644" s="1">
        <v>103490</v>
      </c>
      <c r="B644" s="3" t="s">
        <v>715</v>
      </c>
      <c r="C644" s="6">
        <v>1</v>
      </c>
      <c r="D644" s="11" t="str">
        <f t="shared" ref="D644:D707" si="10">IF($D$3="FIM","*","")</f>
        <v>*</v>
      </c>
    </row>
    <row r="645" spans="1:4" x14ac:dyDescent="0.25">
      <c r="A645" s="1">
        <v>104625</v>
      </c>
      <c r="B645" s="3" t="s">
        <v>607</v>
      </c>
      <c r="C645" s="6">
        <v>7</v>
      </c>
      <c r="D645" s="11" t="str">
        <f t="shared" si="10"/>
        <v>*</v>
      </c>
    </row>
    <row r="646" spans="1:4" x14ac:dyDescent="0.25">
      <c r="A646" s="1">
        <v>104639</v>
      </c>
      <c r="B646" s="3" t="s">
        <v>608</v>
      </c>
      <c r="C646" s="6">
        <v>10</v>
      </c>
      <c r="D646" s="11" t="str">
        <f t="shared" si="10"/>
        <v>*</v>
      </c>
    </row>
    <row r="647" spans="1:4" x14ac:dyDescent="0.25">
      <c r="A647" s="1">
        <v>104640</v>
      </c>
      <c r="B647" s="3" t="s">
        <v>609</v>
      </c>
      <c r="C647" s="6">
        <v>6</v>
      </c>
      <c r="D647" s="11" t="str">
        <f t="shared" si="10"/>
        <v>*</v>
      </c>
    </row>
    <row r="648" spans="1:4" x14ac:dyDescent="0.25">
      <c r="A648" s="1">
        <v>104641</v>
      </c>
      <c r="B648" s="3" t="s">
        <v>610</v>
      </c>
      <c r="C648" s="6">
        <v>1</v>
      </c>
      <c r="D648" s="11" t="str">
        <f t="shared" si="10"/>
        <v>*</v>
      </c>
    </row>
    <row r="649" spans="1:4" x14ac:dyDescent="0.25">
      <c r="A649" s="1">
        <v>104642</v>
      </c>
      <c r="B649" s="3" t="s">
        <v>611</v>
      </c>
      <c r="C649" s="6">
        <v>2</v>
      </c>
      <c r="D649" s="11" t="str">
        <f t="shared" si="10"/>
        <v>*</v>
      </c>
    </row>
    <row r="650" spans="1:4" x14ac:dyDescent="0.25">
      <c r="A650" s="1">
        <v>104655</v>
      </c>
      <c r="B650" s="3" t="s">
        <v>866</v>
      </c>
      <c r="C650" s="6">
        <v>750</v>
      </c>
      <c r="D650" s="11" t="str">
        <f t="shared" si="10"/>
        <v>*</v>
      </c>
    </row>
    <row r="651" spans="1:4" x14ac:dyDescent="0.25">
      <c r="A651" s="1">
        <v>104665</v>
      </c>
      <c r="B651" s="3" t="s">
        <v>637</v>
      </c>
      <c r="C651" s="6">
        <v>3</v>
      </c>
      <c r="D651" s="11" t="str">
        <f t="shared" si="10"/>
        <v>*</v>
      </c>
    </row>
    <row r="652" spans="1:4" x14ac:dyDescent="0.25">
      <c r="A652" s="1">
        <v>104667</v>
      </c>
      <c r="B652" s="3" t="s">
        <v>796</v>
      </c>
      <c r="C652" s="6">
        <v>117</v>
      </c>
      <c r="D652" s="11" t="str">
        <f t="shared" si="10"/>
        <v>*</v>
      </c>
    </row>
    <row r="653" spans="1:4" x14ac:dyDescent="0.25">
      <c r="A653" s="1">
        <v>104755</v>
      </c>
      <c r="B653" s="3" t="s">
        <v>973</v>
      </c>
      <c r="C653" s="6">
        <v>1053</v>
      </c>
      <c r="D653" s="11" t="str">
        <f t="shared" si="10"/>
        <v>*</v>
      </c>
    </row>
    <row r="654" spans="1:4" x14ac:dyDescent="0.25">
      <c r="A654" s="1">
        <v>104832</v>
      </c>
      <c r="B654" s="3" t="s">
        <v>204</v>
      </c>
      <c r="C654" s="6">
        <v>121</v>
      </c>
      <c r="D654" s="11" t="str">
        <f t="shared" si="10"/>
        <v>*</v>
      </c>
    </row>
    <row r="655" spans="1:4" x14ac:dyDescent="0.25">
      <c r="A655" s="1">
        <v>104911</v>
      </c>
      <c r="B655" s="3" t="s">
        <v>920</v>
      </c>
      <c r="C655" s="6">
        <v>13</v>
      </c>
      <c r="D655" s="11" t="str">
        <f t="shared" si="10"/>
        <v>*</v>
      </c>
    </row>
    <row r="656" spans="1:4" x14ac:dyDescent="0.25">
      <c r="A656" s="1">
        <v>105106</v>
      </c>
      <c r="B656" s="3" t="s">
        <v>806</v>
      </c>
      <c r="C656" s="6">
        <v>12</v>
      </c>
      <c r="D656" s="11" t="str">
        <f t="shared" si="10"/>
        <v>*</v>
      </c>
    </row>
    <row r="657" spans="1:4" x14ac:dyDescent="0.25">
      <c r="A657" s="1">
        <v>105107</v>
      </c>
      <c r="B657" s="3" t="s">
        <v>807</v>
      </c>
      <c r="C657" s="6">
        <v>4</v>
      </c>
      <c r="D657" s="11" t="str">
        <f t="shared" si="10"/>
        <v>*</v>
      </c>
    </row>
    <row r="658" spans="1:4" x14ac:dyDescent="0.25">
      <c r="A658" s="1">
        <v>105108</v>
      </c>
      <c r="B658" s="3" t="s">
        <v>808</v>
      </c>
      <c r="C658" s="6">
        <v>0</v>
      </c>
      <c r="D658" s="11" t="str">
        <f t="shared" si="10"/>
        <v>*</v>
      </c>
    </row>
    <row r="659" spans="1:4" x14ac:dyDescent="0.25">
      <c r="A659" s="1">
        <v>105109</v>
      </c>
      <c r="B659" s="3" t="s">
        <v>614</v>
      </c>
      <c r="C659" s="6">
        <v>6</v>
      </c>
      <c r="D659" s="11" t="str">
        <f t="shared" si="10"/>
        <v>*</v>
      </c>
    </row>
    <row r="660" spans="1:4" x14ac:dyDescent="0.25">
      <c r="A660" s="1">
        <v>105110</v>
      </c>
      <c r="B660" s="3" t="s">
        <v>809</v>
      </c>
      <c r="C660" s="6">
        <v>5</v>
      </c>
      <c r="D660" s="11" t="str">
        <f t="shared" si="10"/>
        <v>*</v>
      </c>
    </row>
    <row r="661" spans="1:4" x14ac:dyDescent="0.25">
      <c r="A661" s="1">
        <v>105112</v>
      </c>
      <c r="B661" s="3" t="s">
        <v>810</v>
      </c>
      <c r="C661" s="6">
        <v>0</v>
      </c>
      <c r="D661" s="11" t="str">
        <f t="shared" si="10"/>
        <v>*</v>
      </c>
    </row>
    <row r="662" spans="1:4" x14ac:dyDescent="0.25">
      <c r="A662" s="1">
        <v>105113</v>
      </c>
      <c r="B662" s="3" t="s">
        <v>612</v>
      </c>
      <c r="C662" s="6">
        <v>0</v>
      </c>
      <c r="D662" s="11" t="str">
        <f t="shared" si="10"/>
        <v>*</v>
      </c>
    </row>
    <row r="663" spans="1:4" x14ac:dyDescent="0.25">
      <c r="A663" s="1">
        <v>105114</v>
      </c>
      <c r="B663" s="3" t="s">
        <v>797</v>
      </c>
      <c r="C663" s="6">
        <v>8</v>
      </c>
      <c r="D663" s="11" t="str">
        <f t="shared" si="10"/>
        <v>*</v>
      </c>
    </row>
    <row r="664" spans="1:4" x14ac:dyDescent="0.25">
      <c r="A664" s="1">
        <v>105115</v>
      </c>
      <c r="B664" s="3" t="s">
        <v>798</v>
      </c>
      <c r="C664" s="6">
        <v>8</v>
      </c>
      <c r="D664" s="11" t="str">
        <f t="shared" si="10"/>
        <v>*</v>
      </c>
    </row>
    <row r="665" spans="1:4" x14ac:dyDescent="0.25">
      <c r="A665" s="1">
        <v>105116</v>
      </c>
      <c r="B665" s="3" t="s">
        <v>799</v>
      </c>
      <c r="C665" s="6">
        <v>6</v>
      </c>
      <c r="D665" s="11" t="str">
        <f t="shared" si="10"/>
        <v>*</v>
      </c>
    </row>
    <row r="666" spans="1:4" x14ac:dyDescent="0.25">
      <c r="A666" s="1">
        <v>105117</v>
      </c>
      <c r="B666" s="3" t="s">
        <v>800</v>
      </c>
      <c r="C666" s="6">
        <v>3</v>
      </c>
      <c r="D666" s="11" t="str">
        <f t="shared" si="10"/>
        <v>*</v>
      </c>
    </row>
    <row r="667" spans="1:4" x14ac:dyDescent="0.25">
      <c r="A667" s="1">
        <v>105118</v>
      </c>
      <c r="B667" s="3" t="s">
        <v>801</v>
      </c>
      <c r="C667" s="6">
        <v>6</v>
      </c>
      <c r="D667" s="11" t="str">
        <f t="shared" si="10"/>
        <v>*</v>
      </c>
    </row>
    <row r="668" spans="1:4" x14ac:dyDescent="0.25">
      <c r="A668" s="1">
        <v>105259</v>
      </c>
      <c r="B668" s="3" t="s">
        <v>701</v>
      </c>
      <c r="C668" s="6">
        <v>1999</v>
      </c>
      <c r="D668" s="11" t="str">
        <f t="shared" si="10"/>
        <v>*</v>
      </c>
    </row>
    <row r="669" spans="1:4" x14ac:dyDescent="0.25">
      <c r="A669" s="1">
        <v>105293</v>
      </c>
      <c r="B669" s="3" t="s">
        <v>508</v>
      </c>
      <c r="C669" s="6">
        <v>900</v>
      </c>
      <c r="D669" s="11" t="str">
        <f t="shared" si="10"/>
        <v>*</v>
      </c>
    </row>
    <row r="670" spans="1:4" x14ac:dyDescent="0.25">
      <c r="A670" s="1">
        <v>105294</v>
      </c>
      <c r="B670" s="3" t="s">
        <v>566</v>
      </c>
      <c r="C670" s="6">
        <v>27</v>
      </c>
      <c r="D670" s="11" t="str">
        <f t="shared" si="10"/>
        <v>*</v>
      </c>
    </row>
    <row r="671" spans="1:4" x14ac:dyDescent="0.25">
      <c r="A671" s="1">
        <v>105348</v>
      </c>
      <c r="B671" s="3" t="s">
        <v>583</v>
      </c>
      <c r="C671" s="6">
        <v>0</v>
      </c>
      <c r="D671" s="11" t="str">
        <f t="shared" si="10"/>
        <v>*</v>
      </c>
    </row>
    <row r="672" spans="1:4" x14ac:dyDescent="0.25">
      <c r="A672" s="1">
        <v>105489</v>
      </c>
      <c r="B672" s="3" t="s">
        <v>174</v>
      </c>
      <c r="C672" s="6">
        <v>166</v>
      </c>
      <c r="D672" s="11" t="str">
        <f t="shared" si="10"/>
        <v>*</v>
      </c>
    </row>
    <row r="673" spans="1:4" x14ac:dyDescent="0.25">
      <c r="A673" s="1">
        <v>105491</v>
      </c>
      <c r="B673" s="3" t="s">
        <v>232</v>
      </c>
      <c r="C673" s="6">
        <v>26</v>
      </c>
      <c r="D673" s="11" t="str">
        <f t="shared" si="10"/>
        <v>*</v>
      </c>
    </row>
    <row r="674" spans="1:4" x14ac:dyDescent="0.25">
      <c r="A674" s="1">
        <v>105704</v>
      </c>
      <c r="B674" s="3" t="s">
        <v>811</v>
      </c>
      <c r="C674" s="6">
        <v>10</v>
      </c>
      <c r="D674" s="11" t="str">
        <f t="shared" si="10"/>
        <v>*</v>
      </c>
    </row>
    <row r="675" spans="1:4" x14ac:dyDescent="0.25">
      <c r="A675" s="1">
        <v>105709</v>
      </c>
      <c r="B675" s="3" t="s">
        <v>613</v>
      </c>
      <c r="C675" s="6">
        <v>2</v>
      </c>
      <c r="D675" s="11" t="str">
        <f t="shared" si="10"/>
        <v>*</v>
      </c>
    </row>
    <row r="676" spans="1:4" x14ac:dyDescent="0.25">
      <c r="A676" s="1">
        <v>105889</v>
      </c>
      <c r="B676" s="3" t="s">
        <v>881</v>
      </c>
      <c r="C676" s="6">
        <v>334</v>
      </c>
      <c r="D676" s="11" t="str">
        <f t="shared" si="10"/>
        <v>*</v>
      </c>
    </row>
    <row r="677" spans="1:4" x14ac:dyDescent="0.25">
      <c r="A677" s="1">
        <v>105993</v>
      </c>
      <c r="B677" s="3" t="s">
        <v>584</v>
      </c>
      <c r="C677" s="6">
        <v>34</v>
      </c>
      <c r="D677" s="11" t="str">
        <f t="shared" si="10"/>
        <v>*</v>
      </c>
    </row>
    <row r="678" spans="1:4" x14ac:dyDescent="0.25">
      <c r="A678" s="1">
        <v>105994</v>
      </c>
      <c r="B678" s="3" t="s">
        <v>585</v>
      </c>
      <c r="C678" s="6">
        <v>49</v>
      </c>
      <c r="D678" s="11" t="str">
        <f t="shared" si="10"/>
        <v>*</v>
      </c>
    </row>
    <row r="679" spans="1:4" x14ac:dyDescent="0.25">
      <c r="A679" s="1">
        <v>106027</v>
      </c>
      <c r="B679" s="3" t="s">
        <v>586</v>
      </c>
      <c r="C679" s="6">
        <v>9</v>
      </c>
      <c r="D679" s="11" t="str">
        <f t="shared" si="10"/>
        <v>*</v>
      </c>
    </row>
    <row r="680" spans="1:4" x14ac:dyDescent="0.25">
      <c r="A680" s="1">
        <v>106038</v>
      </c>
      <c r="B680" s="3" t="s">
        <v>719</v>
      </c>
      <c r="C680" s="6">
        <v>10</v>
      </c>
      <c r="D680" s="11" t="str">
        <f t="shared" si="10"/>
        <v>*</v>
      </c>
    </row>
    <row r="681" spans="1:4" x14ac:dyDescent="0.25">
      <c r="A681" s="1">
        <v>106128</v>
      </c>
      <c r="B681" s="3" t="s">
        <v>342</v>
      </c>
      <c r="C681" s="6">
        <v>56</v>
      </c>
      <c r="D681" s="11" t="str">
        <f t="shared" si="10"/>
        <v>*</v>
      </c>
    </row>
    <row r="682" spans="1:4" x14ac:dyDescent="0.25">
      <c r="A682" s="1">
        <v>106129</v>
      </c>
      <c r="B682" s="3" t="s">
        <v>490</v>
      </c>
      <c r="C682" s="6">
        <v>10</v>
      </c>
      <c r="D682" s="11" t="str">
        <f t="shared" si="10"/>
        <v>*</v>
      </c>
    </row>
    <row r="683" spans="1:4" x14ac:dyDescent="0.25">
      <c r="A683" s="1">
        <v>106130</v>
      </c>
      <c r="B683" s="3" t="s">
        <v>491</v>
      </c>
      <c r="C683" s="6">
        <v>5</v>
      </c>
      <c r="D683" s="11" t="str">
        <f t="shared" si="10"/>
        <v>*</v>
      </c>
    </row>
    <row r="684" spans="1:4" x14ac:dyDescent="0.25">
      <c r="A684" s="1">
        <v>106131</v>
      </c>
      <c r="B684" s="3" t="s">
        <v>492</v>
      </c>
      <c r="C684" s="6">
        <v>2</v>
      </c>
      <c r="D684" s="11" t="str">
        <f t="shared" si="10"/>
        <v>*</v>
      </c>
    </row>
    <row r="685" spans="1:4" x14ac:dyDescent="0.25">
      <c r="A685" s="1">
        <v>106375</v>
      </c>
      <c r="B685" s="3" t="s">
        <v>525</v>
      </c>
      <c r="C685" s="6">
        <v>505</v>
      </c>
      <c r="D685" s="11" t="str">
        <f t="shared" si="10"/>
        <v>*</v>
      </c>
    </row>
    <row r="686" spans="1:4" x14ac:dyDescent="0.25">
      <c r="A686" s="1">
        <v>106376</v>
      </c>
      <c r="B686" s="3" t="s">
        <v>526</v>
      </c>
      <c r="C686" s="6">
        <v>686</v>
      </c>
      <c r="D686" s="11" t="str">
        <f t="shared" si="10"/>
        <v>*</v>
      </c>
    </row>
    <row r="687" spans="1:4" x14ac:dyDescent="0.25">
      <c r="A687" s="1">
        <v>106408</v>
      </c>
      <c r="B687" s="3" t="s">
        <v>25</v>
      </c>
      <c r="C687" s="6">
        <v>19</v>
      </c>
      <c r="D687" s="11" t="str">
        <f t="shared" si="10"/>
        <v>*</v>
      </c>
    </row>
    <row r="688" spans="1:4" x14ac:dyDescent="0.25">
      <c r="A688" s="1">
        <v>106414</v>
      </c>
      <c r="B688" s="3" t="s">
        <v>26</v>
      </c>
      <c r="C688" s="6">
        <v>1036</v>
      </c>
      <c r="D688" s="11" t="str">
        <f t="shared" si="10"/>
        <v>*</v>
      </c>
    </row>
    <row r="689" spans="1:4" x14ac:dyDescent="0.25">
      <c r="A689" s="1">
        <v>106544</v>
      </c>
      <c r="B689" s="3" t="s">
        <v>854</v>
      </c>
      <c r="C689" s="6">
        <v>785</v>
      </c>
      <c r="D689" s="11" t="str">
        <f t="shared" si="10"/>
        <v>*</v>
      </c>
    </row>
    <row r="690" spans="1:4" x14ac:dyDescent="0.25">
      <c r="A690" s="1">
        <v>106546</v>
      </c>
      <c r="B690" s="3" t="s">
        <v>855</v>
      </c>
      <c r="C690" s="6">
        <v>740</v>
      </c>
      <c r="D690" s="11" t="str">
        <f t="shared" si="10"/>
        <v>*</v>
      </c>
    </row>
    <row r="691" spans="1:4" x14ac:dyDescent="0.25">
      <c r="A691" s="1">
        <v>106631</v>
      </c>
      <c r="B691" s="3" t="s">
        <v>562</v>
      </c>
      <c r="C691" s="6">
        <v>118</v>
      </c>
      <c r="D691" s="11" t="str">
        <f t="shared" si="10"/>
        <v>*</v>
      </c>
    </row>
    <row r="692" spans="1:4" x14ac:dyDescent="0.25">
      <c r="A692" s="1">
        <v>106697</v>
      </c>
      <c r="B692" s="3" t="s">
        <v>487</v>
      </c>
      <c r="C692" s="6">
        <v>4393</v>
      </c>
      <c r="D692" s="11" t="str">
        <f t="shared" si="10"/>
        <v>*</v>
      </c>
    </row>
    <row r="693" spans="1:4" x14ac:dyDescent="0.25">
      <c r="A693" s="1">
        <v>107401</v>
      </c>
      <c r="B693" s="3" t="s">
        <v>299</v>
      </c>
      <c r="C693" s="6">
        <v>37</v>
      </c>
      <c r="D693" s="11" t="str">
        <f t="shared" si="10"/>
        <v>*</v>
      </c>
    </row>
    <row r="694" spans="1:4" x14ac:dyDescent="0.25">
      <c r="A694" s="1">
        <v>107483</v>
      </c>
      <c r="B694" s="3" t="s">
        <v>14</v>
      </c>
      <c r="C694" s="6">
        <v>177</v>
      </c>
      <c r="D694" s="11" t="str">
        <f t="shared" si="10"/>
        <v>*</v>
      </c>
    </row>
    <row r="695" spans="1:4" x14ac:dyDescent="0.25">
      <c r="A695" s="1">
        <v>107790</v>
      </c>
      <c r="B695" s="3" t="s">
        <v>493</v>
      </c>
      <c r="C695" s="6">
        <v>126</v>
      </c>
      <c r="D695" s="11" t="str">
        <f t="shared" si="10"/>
        <v>*</v>
      </c>
    </row>
    <row r="696" spans="1:4" x14ac:dyDescent="0.25">
      <c r="A696" s="1">
        <v>107889</v>
      </c>
      <c r="B696" s="3" t="s">
        <v>18</v>
      </c>
      <c r="C696" s="6">
        <v>161</v>
      </c>
      <c r="D696" s="11" t="str">
        <f t="shared" si="10"/>
        <v>*</v>
      </c>
    </row>
    <row r="697" spans="1:4" x14ac:dyDescent="0.25">
      <c r="A697" s="1">
        <v>107926</v>
      </c>
      <c r="B697" s="3" t="s">
        <v>968</v>
      </c>
      <c r="C697" s="6">
        <v>2700</v>
      </c>
      <c r="D697" s="11" t="str">
        <f t="shared" si="10"/>
        <v>*</v>
      </c>
    </row>
    <row r="698" spans="1:4" x14ac:dyDescent="0.25">
      <c r="A698" s="1">
        <v>108393</v>
      </c>
      <c r="B698" s="3" t="s">
        <v>633</v>
      </c>
      <c r="C698" s="6">
        <v>46</v>
      </c>
      <c r="D698" s="11" t="str">
        <f t="shared" si="10"/>
        <v>*</v>
      </c>
    </row>
    <row r="699" spans="1:4" x14ac:dyDescent="0.25">
      <c r="A699" s="1">
        <v>108398</v>
      </c>
      <c r="B699" s="3" t="s">
        <v>640</v>
      </c>
      <c r="C699" s="6">
        <v>0</v>
      </c>
      <c r="D699" s="11" t="str">
        <f t="shared" si="10"/>
        <v>*</v>
      </c>
    </row>
    <row r="700" spans="1:4" x14ac:dyDescent="0.25">
      <c r="A700" s="1">
        <v>108440</v>
      </c>
      <c r="B700" s="3" t="s">
        <v>689</v>
      </c>
      <c r="C700" s="6">
        <v>104</v>
      </c>
      <c r="D700" s="11" t="str">
        <f t="shared" si="10"/>
        <v>*</v>
      </c>
    </row>
    <row r="701" spans="1:4" x14ac:dyDescent="0.25">
      <c r="A701" s="1">
        <v>108441</v>
      </c>
      <c r="B701" s="3" t="s">
        <v>378</v>
      </c>
      <c r="C701" s="6">
        <v>85</v>
      </c>
      <c r="D701" s="11" t="str">
        <f t="shared" si="10"/>
        <v>*</v>
      </c>
    </row>
    <row r="702" spans="1:4" x14ac:dyDescent="0.25">
      <c r="A702" s="1">
        <v>108463</v>
      </c>
      <c r="B702" s="3" t="s">
        <v>111</v>
      </c>
      <c r="C702" s="6">
        <v>1011</v>
      </c>
      <c r="D702" s="11" t="str">
        <f t="shared" si="10"/>
        <v>*</v>
      </c>
    </row>
    <row r="703" spans="1:4" x14ac:dyDescent="0.25">
      <c r="A703" s="1">
        <v>108697</v>
      </c>
      <c r="B703" s="3" t="s">
        <v>686</v>
      </c>
      <c r="C703" s="6">
        <v>1</v>
      </c>
      <c r="D703" s="11" t="str">
        <f t="shared" si="10"/>
        <v>*</v>
      </c>
    </row>
    <row r="704" spans="1:4" x14ac:dyDescent="0.25">
      <c r="A704" s="1">
        <v>108711</v>
      </c>
      <c r="B704" s="3" t="s">
        <v>304</v>
      </c>
      <c r="C704" s="6">
        <v>1</v>
      </c>
      <c r="D704" s="11" t="str">
        <f t="shared" si="10"/>
        <v>*</v>
      </c>
    </row>
    <row r="705" spans="1:4" x14ac:dyDescent="0.25">
      <c r="A705" s="1">
        <v>108732</v>
      </c>
      <c r="B705" s="3" t="s">
        <v>587</v>
      </c>
      <c r="C705" s="6">
        <v>2</v>
      </c>
      <c r="D705" s="11" t="str">
        <f t="shared" si="10"/>
        <v>*</v>
      </c>
    </row>
    <row r="706" spans="1:4" x14ac:dyDescent="0.25">
      <c r="A706" s="1">
        <v>108734</v>
      </c>
      <c r="B706" s="3" t="s">
        <v>588</v>
      </c>
      <c r="C706" s="6">
        <v>4</v>
      </c>
      <c r="D706" s="11" t="str">
        <f t="shared" si="10"/>
        <v>*</v>
      </c>
    </row>
    <row r="707" spans="1:4" x14ac:dyDescent="0.25">
      <c r="A707" s="1">
        <v>108735</v>
      </c>
      <c r="B707" s="3" t="s">
        <v>589</v>
      </c>
      <c r="C707" s="6">
        <v>1</v>
      </c>
      <c r="D707" s="11" t="str">
        <f t="shared" si="10"/>
        <v>*</v>
      </c>
    </row>
    <row r="708" spans="1:4" x14ac:dyDescent="0.25">
      <c r="A708" s="1">
        <v>108736</v>
      </c>
      <c r="B708" s="3" t="s">
        <v>590</v>
      </c>
      <c r="C708" s="6">
        <v>3</v>
      </c>
      <c r="D708" s="11" t="str">
        <f t="shared" ref="D708:D771" si="11">IF($D$3="FIM","*","")</f>
        <v>*</v>
      </c>
    </row>
    <row r="709" spans="1:4" x14ac:dyDescent="0.25">
      <c r="A709" s="1">
        <v>109163</v>
      </c>
      <c r="B709" s="3" t="s">
        <v>448</v>
      </c>
      <c r="C709" s="6">
        <v>1129</v>
      </c>
      <c r="D709" s="11" t="str">
        <f t="shared" si="11"/>
        <v>*</v>
      </c>
    </row>
    <row r="710" spans="1:4" x14ac:dyDescent="0.25">
      <c r="A710" s="1">
        <v>109848</v>
      </c>
      <c r="B710" s="3" t="s">
        <v>960</v>
      </c>
      <c r="C710" s="6">
        <v>61</v>
      </c>
      <c r="D710" s="11" t="str">
        <f t="shared" si="11"/>
        <v>*</v>
      </c>
    </row>
    <row r="711" spans="1:4" x14ac:dyDescent="0.25">
      <c r="A711" s="1">
        <v>109944</v>
      </c>
      <c r="B711" s="3" t="s">
        <v>399</v>
      </c>
      <c r="C711" s="6">
        <v>258</v>
      </c>
      <c r="D711" s="11" t="str">
        <f t="shared" si="11"/>
        <v>*</v>
      </c>
    </row>
    <row r="712" spans="1:4" x14ac:dyDescent="0.25">
      <c r="A712" s="1">
        <v>110503</v>
      </c>
      <c r="B712" s="3" t="s">
        <v>216</v>
      </c>
      <c r="C712" s="6">
        <v>2140</v>
      </c>
      <c r="D712" s="11" t="str">
        <f t="shared" si="11"/>
        <v>*</v>
      </c>
    </row>
    <row r="713" spans="1:4" x14ac:dyDescent="0.25">
      <c r="A713" s="1">
        <v>110578</v>
      </c>
      <c r="B713" s="3" t="s">
        <v>936</v>
      </c>
      <c r="C713" s="6">
        <v>2503</v>
      </c>
      <c r="D713" s="11" t="str">
        <f t="shared" si="11"/>
        <v>*</v>
      </c>
    </row>
    <row r="714" spans="1:4" x14ac:dyDescent="0.25">
      <c r="A714" s="1">
        <v>110702</v>
      </c>
      <c r="B714" s="3" t="s">
        <v>654</v>
      </c>
      <c r="C714" s="6">
        <v>19</v>
      </c>
      <c r="D714" s="11" t="str">
        <f t="shared" si="11"/>
        <v>*</v>
      </c>
    </row>
    <row r="715" spans="1:4" x14ac:dyDescent="0.25">
      <c r="A715" s="1">
        <v>110771</v>
      </c>
      <c r="B715" s="3" t="s">
        <v>363</v>
      </c>
      <c r="C715" s="6">
        <v>66</v>
      </c>
      <c r="D715" s="11" t="str">
        <f t="shared" si="11"/>
        <v>*</v>
      </c>
    </row>
    <row r="716" spans="1:4" x14ac:dyDescent="0.25">
      <c r="A716" s="1">
        <v>110888</v>
      </c>
      <c r="B716" s="3" t="s">
        <v>355</v>
      </c>
      <c r="C716" s="6">
        <v>2</v>
      </c>
      <c r="D716" s="11" t="str">
        <f t="shared" si="11"/>
        <v>*</v>
      </c>
    </row>
    <row r="717" spans="1:4" x14ac:dyDescent="0.25">
      <c r="A717" s="1">
        <v>110889</v>
      </c>
      <c r="B717" s="3" t="s">
        <v>622</v>
      </c>
      <c r="C717" s="6">
        <v>0</v>
      </c>
      <c r="D717" s="11" t="str">
        <f t="shared" si="11"/>
        <v>*</v>
      </c>
    </row>
    <row r="718" spans="1:4" x14ac:dyDescent="0.25">
      <c r="A718" s="1">
        <v>110890</v>
      </c>
      <c r="B718" s="3" t="s">
        <v>623</v>
      </c>
      <c r="C718" s="6">
        <v>0</v>
      </c>
      <c r="D718" s="11" t="str">
        <f t="shared" si="11"/>
        <v>*</v>
      </c>
    </row>
    <row r="719" spans="1:4" x14ac:dyDescent="0.25">
      <c r="A719" s="1">
        <v>110891</v>
      </c>
      <c r="B719" s="3" t="s">
        <v>624</v>
      </c>
      <c r="C719" s="6">
        <v>200</v>
      </c>
      <c r="D719" s="11" t="str">
        <f t="shared" si="11"/>
        <v>*</v>
      </c>
    </row>
    <row r="720" spans="1:4" x14ac:dyDescent="0.25">
      <c r="A720" s="1">
        <v>110892</v>
      </c>
      <c r="B720" s="3" t="s">
        <v>671</v>
      </c>
      <c r="C720" s="6">
        <v>0</v>
      </c>
      <c r="D720" s="11" t="str">
        <f t="shared" si="11"/>
        <v>*</v>
      </c>
    </row>
    <row r="721" spans="1:4" x14ac:dyDescent="0.25">
      <c r="A721" s="1">
        <v>110893</v>
      </c>
      <c r="B721" s="3" t="s">
        <v>672</v>
      </c>
      <c r="C721" s="6">
        <v>0</v>
      </c>
      <c r="D721" s="11" t="str">
        <f t="shared" si="11"/>
        <v>*</v>
      </c>
    </row>
    <row r="722" spans="1:4" x14ac:dyDescent="0.25">
      <c r="A722" s="1">
        <v>110895</v>
      </c>
      <c r="B722" s="3" t="s">
        <v>103</v>
      </c>
      <c r="C722" s="6">
        <v>217</v>
      </c>
      <c r="D722" s="11" t="str">
        <f t="shared" si="11"/>
        <v>*</v>
      </c>
    </row>
    <row r="723" spans="1:4" x14ac:dyDescent="0.25">
      <c r="A723" s="1">
        <v>110896</v>
      </c>
      <c r="B723" s="3" t="s">
        <v>104</v>
      </c>
      <c r="C723" s="6">
        <v>20</v>
      </c>
      <c r="D723" s="11" t="str">
        <f t="shared" si="11"/>
        <v>*</v>
      </c>
    </row>
    <row r="724" spans="1:4" x14ac:dyDescent="0.25">
      <c r="A724" s="1">
        <v>111336</v>
      </c>
      <c r="B724" s="3" t="s">
        <v>727</v>
      </c>
      <c r="C724" s="6">
        <v>281</v>
      </c>
      <c r="D724" s="11" t="str">
        <f t="shared" si="11"/>
        <v>*</v>
      </c>
    </row>
    <row r="725" spans="1:4" x14ac:dyDescent="0.25">
      <c r="A725" s="1">
        <v>111524</v>
      </c>
      <c r="B725" s="3" t="s">
        <v>782</v>
      </c>
      <c r="C725" s="6">
        <v>341</v>
      </c>
      <c r="D725" s="11" t="str">
        <f t="shared" si="11"/>
        <v>*</v>
      </c>
    </row>
    <row r="726" spans="1:4" x14ac:dyDescent="0.25">
      <c r="A726" s="1">
        <v>111806</v>
      </c>
      <c r="B726" s="3" t="s">
        <v>22</v>
      </c>
      <c r="C726" s="6">
        <v>199</v>
      </c>
      <c r="D726" s="11" t="str">
        <f t="shared" si="11"/>
        <v>*</v>
      </c>
    </row>
    <row r="727" spans="1:4" x14ac:dyDescent="0.25">
      <c r="A727" s="1">
        <v>111841</v>
      </c>
      <c r="B727" s="3" t="s">
        <v>641</v>
      </c>
      <c r="C727" s="6">
        <v>0</v>
      </c>
      <c r="D727" s="11" t="str">
        <f t="shared" si="11"/>
        <v>*</v>
      </c>
    </row>
    <row r="728" spans="1:4" x14ac:dyDescent="0.25">
      <c r="A728" s="1">
        <v>112064</v>
      </c>
      <c r="B728" s="3" t="s">
        <v>919</v>
      </c>
      <c r="C728" s="6">
        <v>3</v>
      </c>
      <c r="D728" s="11" t="str">
        <f t="shared" si="11"/>
        <v>*</v>
      </c>
    </row>
    <row r="729" spans="1:4" x14ac:dyDescent="0.25">
      <c r="A729" s="1">
        <v>112109</v>
      </c>
      <c r="B729" s="3" t="s">
        <v>101</v>
      </c>
      <c r="C729" s="6">
        <v>15603</v>
      </c>
      <c r="D729" s="11" t="str">
        <f t="shared" si="11"/>
        <v>*</v>
      </c>
    </row>
    <row r="730" spans="1:4" x14ac:dyDescent="0.25">
      <c r="A730" s="1">
        <v>112154</v>
      </c>
      <c r="B730" s="3" t="s">
        <v>138</v>
      </c>
      <c r="C730" s="6">
        <v>171</v>
      </c>
      <c r="D730" s="11" t="str">
        <f t="shared" si="11"/>
        <v>*</v>
      </c>
    </row>
    <row r="731" spans="1:4" x14ac:dyDescent="0.25">
      <c r="A731" s="1">
        <v>112155</v>
      </c>
      <c r="B731" s="3" t="s">
        <v>139</v>
      </c>
      <c r="C731" s="6">
        <v>88</v>
      </c>
      <c r="D731" s="11" t="str">
        <f t="shared" si="11"/>
        <v>*</v>
      </c>
    </row>
    <row r="732" spans="1:4" x14ac:dyDescent="0.25">
      <c r="A732" s="1">
        <v>112156</v>
      </c>
      <c r="B732" s="3" t="s">
        <v>675</v>
      </c>
      <c r="C732" s="6">
        <v>267</v>
      </c>
      <c r="D732" s="11" t="str">
        <f t="shared" si="11"/>
        <v>*</v>
      </c>
    </row>
    <row r="733" spans="1:4" x14ac:dyDescent="0.25">
      <c r="A733" s="1">
        <v>112157</v>
      </c>
      <c r="B733" s="3" t="s">
        <v>140</v>
      </c>
      <c r="C733" s="6">
        <v>75</v>
      </c>
      <c r="D733" s="11" t="str">
        <f t="shared" si="11"/>
        <v>*</v>
      </c>
    </row>
    <row r="734" spans="1:4" x14ac:dyDescent="0.25">
      <c r="A734" s="1">
        <v>112158</v>
      </c>
      <c r="B734" s="3" t="s">
        <v>105</v>
      </c>
      <c r="C734" s="6">
        <v>115</v>
      </c>
      <c r="D734" s="11" t="str">
        <f t="shared" si="11"/>
        <v>*</v>
      </c>
    </row>
    <row r="735" spans="1:4" x14ac:dyDescent="0.25">
      <c r="A735" s="1">
        <v>112159</v>
      </c>
      <c r="B735" s="3" t="s">
        <v>106</v>
      </c>
      <c r="C735" s="6">
        <v>44</v>
      </c>
      <c r="D735" s="11" t="str">
        <f t="shared" si="11"/>
        <v>*</v>
      </c>
    </row>
    <row r="736" spans="1:4" x14ac:dyDescent="0.25">
      <c r="A736" s="1">
        <v>112160</v>
      </c>
      <c r="B736" s="3" t="s">
        <v>15</v>
      </c>
      <c r="C736" s="6">
        <v>0</v>
      </c>
      <c r="D736" s="11" t="str">
        <f t="shared" si="11"/>
        <v>*</v>
      </c>
    </row>
    <row r="737" spans="1:4" x14ac:dyDescent="0.25">
      <c r="A737" s="1">
        <v>112162</v>
      </c>
      <c r="B737" s="3" t="s">
        <v>16</v>
      </c>
      <c r="C737" s="6">
        <v>186</v>
      </c>
      <c r="D737" s="11" t="str">
        <f t="shared" si="11"/>
        <v>*</v>
      </c>
    </row>
    <row r="738" spans="1:4" x14ac:dyDescent="0.25">
      <c r="A738" s="1">
        <v>112163</v>
      </c>
      <c r="B738" s="3" t="s">
        <v>17</v>
      </c>
      <c r="C738" s="6">
        <v>394</v>
      </c>
      <c r="D738" s="11" t="str">
        <f t="shared" si="11"/>
        <v>*</v>
      </c>
    </row>
    <row r="739" spans="1:4" x14ac:dyDescent="0.25">
      <c r="A739" s="1">
        <v>112494</v>
      </c>
      <c r="B739" s="3" t="s">
        <v>673</v>
      </c>
      <c r="C739" s="6">
        <v>10</v>
      </c>
      <c r="D739" s="11" t="str">
        <f t="shared" si="11"/>
        <v>*</v>
      </c>
    </row>
    <row r="740" spans="1:4" x14ac:dyDescent="0.25">
      <c r="A740" s="1">
        <v>112965</v>
      </c>
      <c r="B740" s="3" t="s">
        <v>112</v>
      </c>
      <c r="C740" s="6">
        <v>400</v>
      </c>
      <c r="D740" s="11" t="str">
        <f t="shared" si="11"/>
        <v>*</v>
      </c>
    </row>
    <row r="741" spans="1:4" x14ac:dyDescent="0.25">
      <c r="A741" s="1">
        <v>113238</v>
      </c>
      <c r="B741" s="3" t="s">
        <v>638</v>
      </c>
      <c r="C741" s="6">
        <v>1</v>
      </c>
      <c r="D741" s="11" t="str">
        <f t="shared" si="11"/>
        <v>*</v>
      </c>
    </row>
    <row r="742" spans="1:4" x14ac:dyDescent="0.25">
      <c r="A742" s="1">
        <v>113242</v>
      </c>
      <c r="B742" s="3" t="s">
        <v>674</v>
      </c>
      <c r="C742" s="6">
        <v>12</v>
      </c>
      <c r="D742" s="11" t="str">
        <f t="shared" si="11"/>
        <v>*</v>
      </c>
    </row>
    <row r="743" spans="1:4" x14ac:dyDescent="0.25">
      <c r="A743" s="1">
        <v>113581</v>
      </c>
      <c r="B743" s="3" t="s">
        <v>324</v>
      </c>
      <c r="C743" s="6">
        <v>173</v>
      </c>
      <c r="D743" s="11" t="str">
        <f t="shared" si="11"/>
        <v>*</v>
      </c>
    </row>
    <row r="744" spans="1:4" x14ac:dyDescent="0.25">
      <c r="A744" s="1">
        <v>113611</v>
      </c>
      <c r="B744" s="3" t="s">
        <v>563</v>
      </c>
      <c r="C744" s="6">
        <v>345</v>
      </c>
      <c r="D744" s="11" t="str">
        <f t="shared" si="11"/>
        <v>*</v>
      </c>
    </row>
    <row r="745" spans="1:4" x14ac:dyDescent="0.25">
      <c r="A745" s="1">
        <v>113634</v>
      </c>
      <c r="B745" s="3" t="s">
        <v>643</v>
      </c>
      <c r="C745" s="6">
        <v>2</v>
      </c>
      <c r="D745" s="11" t="str">
        <f t="shared" si="11"/>
        <v>*</v>
      </c>
    </row>
    <row r="746" spans="1:4" x14ac:dyDescent="0.25">
      <c r="A746" s="1">
        <v>113846</v>
      </c>
      <c r="B746" s="3" t="s">
        <v>275</v>
      </c>
      <c r="C746" s="6">
        <v>751</v>
      </c>
      <c r="D746" s="11" t="str">
        <f t="shared" si="11"/>
        <v>*</v>
      </c>
    </row>
    <row r="747" spans="1:4" x14ac:dyDescent="0.25">
      <c r="A747" s="1">
        <v>114255</v>
      </c>
      <c r="B747" s="3" t="s">
        <v>531</v>
      </c>
      <c r="C747" s="6">
        <v>412</v>
      </c>
      <c r="D747" s="11" t="str">
        <f t="shared" si="11"/>
        <v>*</v>
      </c>
    </row>
    <row r="748" spans="1:4" x14ac:dyDescent="0.25">
      <c r="A748" s="1">
        <v>114297</v>
      </c>
      <c r="B748" s="3" t="s">
        <v>527</v>
      </c>
      <c r="C748" s="6">
        <v>55</v>
      </c>
      <c r="D748" s="11" t="str">
        <f t="shared" si="11"/>
        <v>*</v>
      </c>
    </row>
    <row r="749" spans="1:4" x14ac:dyDescent="0.25">
      <c r="A749" s="1">
        <v>114299</v>
      </c>
      <c r="B749" s="3" t="s">
        <v>528</v>
      </c>
      <c r="C749" s="6">
        <v>0</v>
      </c>
      <c r="D749" s="11" t="str">
        <f t="shared" si="11"/>
        <v>*</v>
      </c>
    </row>
    <row r="750" spans="1:4" x14ac:dyDescent="0.25">
      <c r="A750" s="1">
        <v>114430</v>
      </c>
      <c r="B750" s="3" t="s">
        <v>184</v>
      </c>
      <c r="C750" s="6">
        <v>251</v>
      </c>
      <c r="D750" s="11" t="str">
        <f t="shared" si="11"/>
        <v>*</v>
      </c>
    </row>
    <row r="751" spans="1:4" x14ac:dyDescent="0.25">
      <c r="A751" s="1">
        <v>114771</v>
      </c>
      <c r="B751" s="3" t="s">
        <v>644</v>
      </c>
      <c r="C751" s="6">
        <v>0</v>
      </c>
      <c r="D751" s="11" t="str">
        <f t="shared" si="11"/>
        <v>*</v>
      </c>
    </row>
    <row r="752" spans="1:4" x14ac:dyDescent="0.25">
      <c r="A752" s="1">
        <v>114772</v>
      </c>
      <c r="B752" s="3" t="s">
        <v>364</v>
      </c>
      <c r="C752" s="6">
        <v>2</v>
      </c>
      <c r="D752" s="11" t="str">
        <f t="shared" si="11"/>
        <v>*</v>
      </c>
    </row>
    <row r="753" spans="1:4" x14ac:dyDescent="0.25">
      <c r="A753" s="1">
        <v>114773</v>
      </c>
      <c r="B753" s="3" t="s">
        <v>642</v>
      </c>
      <c r="C753" s="6">
        <v>2</v>
      </c>
      <c r="D753" s="11" t="str">
        <f t="shared" si="11"/>
        <v>*</v>
      </c>
    </row>
    <row r="754" spans="1:4" x14ac:dyDescent="0.25">
      <c r="A754" s="1">
        <v>114822</v>
      </c>
      <c r="B754" s="3" t="s">
        <v>771</v>
      </c>
      <c r="C754" s="6">
        <v>11</v>
      </c>
      <c r="D754" s="11" t="str">
        <f t="shared" si="11"/>
        <v>*</v>
      </c>
    </row>
    <row r="755" spans="1:4" x14ac:dyDescent="0.25">
      <c r="A755" s="1">
        <v>114852</v>
      </c>
      <c r="B755" s="3" t="s">
        <v>222</v>
      </c>
      <c r="C755" s="6">
        <v>2</v>
      </c>
      <c r="D755" s="11" t="str">
        <f t="shared" si="11"/>
        <v>*</v>
      </c>
    </row>
    <row r="756" spans="1:4" x14ac:dyDescent="0.25">
      <c r="A756" s="1">
        <v>114853</v>
      </c>
      <c r="B756" s="3" t="s">
        <v>223</v>
      </c>
      <c r="C756" s="6">
        <v>16</v>
      </c>
      <c r="D756" s="11" t="str">
        <f t="shared" si="11"/>
        <v>*</v>
      </c>
    </row>
    <row r="757" spans="1:4" x14ac:dyDescent="0.25">
      <c r="A757" s="1">
        <v>114923</v>
      </c>
      <c r="B757" s="3" t="s">
        <v>868</v>
      </c>
      <c r="C757" s="6">
        <v>1630</v>
      </c>
      <c r="D757" s="11" t="str">
        <f t="shared" si="11"/>
        <v>*</v>
      </c>
    </row>
    <row r="758" spans="1:4" x14ac:dyDescent="0.25">
      <c r="A758" s="1">
        <v>114928</v>
      </c>
      <c r="B758" s="3" t="s">
        <v>625</v>
      </c>
      <c r="C758" s="6">
        <v>200</v>
      </c>
      <c r="D758" s="11" t="str">
        <f t="shared" si="11"/>
        <v>*</v>
      </c>
    </row>
    <row r="759" spans="1:4" x14ac:dyDescent="0.25">
      <c r="A759" s="1">
        <v>114976</v>
      </c>
      <c r="B759" s="3" t="s">
        <v>130</v>
      </c>
      <c r="C759" s="6">
        <v>40</v>
      </c>
      <c r="D759" s="11" t="str">
        <f t="shared" si="11"/>
        <v>*</v>
      </c>
    </row>
    <row r="760" spans="1:4" x14ac:dyDescent="0.25">
      <c r="A760" s="1">
        <v>115060</v>
      </c>
      <c r="B760" s="3" t="s">
        <v>897</v>
      </c>
      <c r="C760" s="6">
        <v>10</v>
      </c>
      <c r="D760" s="11" t="str">
        <f t="shared" si="11"/>
        <v>*</v>
      </c>
    </row>
    <row r="761" spans="1:4" x14ac:dyDescent="0.25">
      <c r="A761" s="1">
        <v>115282</v>
      </c>
      <c r="B761" s="3" t="s">
        <v>942</v>
      </c>
      <c r="C761" s="6">
        <v>367</v>
      </c>
      <c r="D761" s="11" t="str">
        <f t="shared" si="11"/>
        <v>*</v>
      </c>
    </row>
    <row r="762" spans="1:4" x14ac:dyDescent="0.25">
      <c r="A762" s="1">
        <v>115781</v>
      </c>
      <c r="B762" s="3" t="s">
        <v>377</v>
      </c>
      <c r="C762" s="6">
        <v>26</v>
      </c>
      <c r="D762" s="11" t="str">
        <f t="shared" si="11"/>
        <v>*</v>
      </c>
    </row>
    <row r="763" spans="1:4" x14ac:dyDescent="0.25">
      <c r="A763" s="1">
        <v>115807</v>
      </c>
      <c r="B763" s="3" t="s">
        <v>876</v>
      </c>
      <c r="C763" s="6">
        <v>214</v>
      </c>
      <c r="D763" s="11" t="str">
        <f t="shared" si="11"/>
        <v>*</v>
      </c>
    </row>
    <row r="764" spans="1:4" x14ac:dyDescent="0.25">
      <c r="A764" s="1">
        <v>115840</v>
      </c>
      <c r="B764" s="3" t="s">
        <v>542</v>
      </c>
      <c r="C764" s="6">
        <v>12</v>
      </c>
      <c r="D764" s="11" t="str">
        <f t="shared" si="11"/>
        <v>*</v>
      </c>
    </row>
    <row r="765" spans="1:4" x14ac:dyDescent="0.25">
      <c r="A765" s="1">
        <v>115841</v>
      </c>
      <c r="B765" s="3" t="s">
        <v>543</v>
      </c>
      <c r="C765" s="6">
        <v>7</v>
      </c>
      <c r="D765" s="11" t="str">
        <f t="shared" si="11"/>
        <v>*</v>
      </c>
    </row>
    <row r="766" spans="1:4" x14ac:dyDescent="0.25">
      <c r="A766" s="1">
        <v>116466</v>
      </c>
      <c r="B766" s="3" t="s">
        <v>260</v>
      </c>
      <c r="C766" s="6">
        <v>4555</v>
      </c>
      <c r="D766" s="11" t="str">
        <f t="shared" si="11"/>
        <v>*</v>
      </c>
    </row>
    <row r="767" spans="1:4" x14ac:dyDescent="0.25">
      <c r="A767" s="1">
        <v>116751</v>
      </c>
      <c r="B767" s="3" t="s">
        <v>882</v>
      </c>
      <c r="C767" s="6">
        <v>188</v>
      </c>
      <c r="D767" s="11" t="str">
        <f t="shared" si="11"/>
        <v>*</v>
      </c>
    </row>
    <row r="768" spans="1:4" x14ac:dyDescent="0.25">
      <c r="A768" s="1">
        <v>116754</v>
      </c>
      <c r="B768" s="3" t="s">
        <v>883</v>
      </c>
      <c r="C768" s="6">
        <v>0</v>
      </c>
      <c r="D768" s="11" t="str">
        <f t="shared" si="11"/>
        <v>*</v>
      </c>
    </row>
    <row r="769" spans="1:4" x14ac:dyDescent="0.25">
      <c r="A769" s="1">
        <v>116874</v>
      </c>
      <c r="B769" s="3" t="s">
        <v>141</v>
      </c>
      <c r="C769" s="6">
        <v>1088</v>
      </c>
      <c r="D769" s="11" t="str">
        <f t="shared" si="11"/>
        <v>*</v>
      </c>
    </row>
    <row r="770" spans="1:4" x14ac:dyDescent="0.25">
      <c r="A770" s="1">
        <v>117734</v>
      </c>
      <c r="B770" s="3" t="s">
        <v>645</v>
      </c>
      <c r="C770" s="6">
        <v>8</v>
      </c>
      <c r="D770" s="11" t="str">
        <f t="shared" si="11"/>
        <v>*</v>
      </c>
    </row>
    <row r="771" spans="1:4" x14ac:dyDescent="0.25">
      <c r="A771" s="1">
        <v>118243</v>
      </c>
      <c r="B771" s="3" t="s">
        <v>997</v>
      </c>
      <c r="C771" s="6">
        <v>0</v>
      </c>
      <c r="D771" s="11" t="str">
        <f t="shared" si="11"/>
        <v>*</v>
      </c>
    </row>
    <row r="772" spans="1:4" x14ac:dyDescent="0.25">
      <c r="A772" s="1">
        <v>118244</v>
      </c>
      <c r="B772" s="3" t="s">
        <v>998</v>
      </c>
      <c r="C772" s="6">
        <v>2</v>
      </c>
      <c r="D772" s="11" t="str">
        <f t="shared" ref="D772:D835" si="12">IF($D$3="FIM","*","")</f>
        <v>*</v>
      </c>
    </row>
    <row r="773" spans="1:4" x14ac:dyDescent="0.25">
      <c r="A773" s="1">
        <v>118245</v>
      </c>
      <c r="B773" s="3" t="s">
        <v>999</v>
      </c>
      <c r="C773" s="6">
        <v>0</v>
      </c>
      <c r="D773" s="11" t="str">
        <f t="shared" si="12"/>
        <v>*</v>
      </c>
    </row>
    <row r="774" spans="1:4" x14ac:dyDescent="0.25">
      <c r="A774" s="1">
        <v>118246</v>
      </c>
      <c r="B774" s="3" t="s">
        <v>1000</v>
      </c>
      <c r="C774" s="6">
        <v>1</v>
      </c>
      <c r="D774" s="11" t="str">
        <f t="shared" si="12"/>
        <v>*</v>
      </c>
    </row>
    <row r="775" spans="1:4" x14ac:dyDescent="0.25">
      <c r="A775" s="1">
        <v>118427</v>
      </c>
      <c r="B775" s="3" t="s">
        <v>393</v>
      </c>
      <c r="C775" s="6">
        <v>2654</v>
      </c>
      <c r="D775" s="11" t="str">
        <f t="shared" si="12"/>
        <v>*</v>
      </c>
    </row>
    <row r="776" spans="1:4" x14ac:dyDescent="0.25">
      <c r="A776" s="1">
        <v>118515</v>
      </c>
      <c r="B776" s="3" t="s">
        <v>246</v>
      </c>
      <c r="C776" s="6">
        <v>44</v>
      </c>
      <c r="D776" s="11" t="str">
        <f t="shared" si="12"/>
        <v>*</v>
      </c>
    </row>
    <row r="777" spans="1:4" x14ac:dyDescent="0.25">
      <c r="A777" s="1">
        <v>118577</v>
      </c>
      <c r="B777" s="3" t="s">
        <v>247</v>
      </c>
      <c r="C777" s="6">
        <v>278</v>
      </c>
      <c r="D777" s="11" t="str">
        <f t="shared" si="12"/>
        <v>*</v>
      </c>
    </row>
    <row r="778" spans="1:4" x14ac:dyDescent="0.25">
      <c r="A778" s="1">
        <v>118660</v>
      </c>
      <c r="B778" s="3" t="s">
        <v>480</v>
      </c>
      <c r="C778" s="6">
        <v>1239</v>
      </c>
      <c r="D778" s="11" t="str">
        <f t="shared" si="12"/>
        <v>*</v>
      </c>
    </row>
    <row r="779" spans="1:4" x14ac:dyDescent="0.25">
      <c r="A779" s="1">
        <v>118864</v>
      </c>
      <c r="B779" s="3" t="s">
        <v>1256</v>
      </c>
      <c r="C779" s="6">
        <v>360</v>
      </c>
      <c r="D779" s="11" t="str">
        <f t="shared" si="12"/>
        <v>*</v>
      </c>
    </row>
    <row r="780" spans="1:4" x14ac:dyDescent="0.25">
      <c r="A780" s="1">
        <v>118865</v>
      </c>
      <c r="B780" s="3" t="s">
        <v>149</v>
      </c>
      <c r="C780" s="6">
        <v>960</v>
      </c>
      <c r="D780" s="11" t="str">
        <f t="shared" si="12"/>
        <v>*</v>
      </c>
    </row>
    <row r="781" spans="1:4" x14ac:dyDescent="0.25">
      <c r="A781" s="1">
        <v>119008</v>
      </c>
      <c r="B781" s="3" t="s">
        <v>694</v>
      </c>
      <c r="C781" s="6">
        <v>0</v>
      </c>
      <c r="D781" s="11" t="str">
        <f t="shared" si="12"/>
        <v>*</v>
      </c>
    </row>
    <row r="782" spans="1:4" x14ac:dyDescent="0.25">
      <c r="A782" s="1">
        <v>119087</v>
      </c>
      <c r="B782" s="3" t="s">
        <v>716</v>
      </c>
      <c r="C782" s="6">
        <v>7</v>
      </c>
      <c r="D782" s="11" t="str">
        <f t="shared" si="12"/>
        <v>*</v>
      </c>
    </row>
    <row r="783" spans="1:4" x14ac:dyDescent="0.25">
      <c r="A783" s="1">
        <v>119180</v>
      </c>
      <c r="B783" s="3" t="s">
        <v>142</v>
      </c>
      <c r="C783" s="6">
        <v>5</v>
      </c>
      <c r="D783" s="11" t="str">
        <f t="shared" si="12"/>
        <v>*</v>
      </c>
    </row>
    <row r="784" spans="1:4" x14ac:dyDescent="0.25">
      <c r="A784" s="1">
        <v>119181</v>
      </c>
      <c r="B784" s="3" t="s">
        <v>676</v>
      </c>
      <c r="C784" s="6">
        <v>326</v>
      </c>
      <c r="D784" s="11" t="str">
        <f t="shared" si="12"/>
        <v>*</v>
      </c>
    </row>
    <row r="785" spans="1:4" x14ac:dyDescent="0.25">
      <c r="A785" s="1">
        <v>119182</v>
      </c>
      <c r="B785" s="3" t="s">
        <v>143</v>
      </c>
      <c r="C785" s="6">
        <v>50</v>
      </c>
      <c r="D785" s="11" t="str">
        <f t="shared" si="12"/>
        <v>*</v>
      </c>
    </row>
    <row r="786" spans="1:4" x14ac:dyDescent="0.25">
      <c r="A786" s="1">
        <v>119318</v>
      </c>
      <c r="B786" s="3" t="s">
        <v>402</v>
      </c>
      <c r="C786" s="6">
        <v>75</v>
      </c>
      <c r="D786" s="11" t="str">
        <f t="shared" si="12"/>
        <v>*</v>
      </c>
    </row>
    <row r="787" spans="1:4" x14ac:dyDescent="0.25">
      <c r="A787" s="1">
        <v>119407</v>
      </c>
      <c r="B787" s="3" t="s">
        <v>938</v>
      </c>
      <c r="C787" s="6">
        <v>3006</v>
      </c>
      <c r="D787" s="11" t="str">
        <f t="shared" si="12"/>
        <v>*</v>
      </c>
    </row>
    <row r="788" spans="1:4" x14ac:dyDescent="0.25">
      <c r="A788" s="1">
        <v>119514</v>
      </c>
      <c r="B788" s="3" t="s">
        <v>546</v>
      </c>
      <c r="C788" s="6">
        <v>110</v>
      </c>
      <c r="D788" s="11" t="str">
        <f t="shared" si="12"/>
        <v>*</v>
      </c>
    </row>
    <row r="789" spans="1:4" x14ac:dyDescent="0.25">
      <c r="A789" s="1">
        <v>119554</v>
      </c>
      <c r="B789" s="3" t="s">
        <v>950</v>
      </c>
      <c r="C789" s="6">
        <v>94</v>
      </c>
      <c r="D789" s="11" t="str">
        <f t="shared" si="12"/>
        <v>*</v>
      </c>
    </row>
    <row r="790" spans="1:4" x14ac:dyDescent="0.25">
      <c r="A790" s="1">
        <v>119595</v>
      </c>
      <c r="B790" s="3" t="s">
        <v>186</v>
      </c>
      <c r="C790" s="6">
        <v>1175</v>
      </c>
      <c r="D790" s="11" t="str">
        <f t="shared" si="12"/>
        <v>*</v>
      </c>
    </row>
    <row r="791" spans="1:4" x14ac:dyDescent="0.25">
      <c r="A791" s="1">
        <v>119621</v>
      </c>
      <c r="B791" s="3" t="s">
        <v>951</v>
      </c>
      <c r="C791" s="6">
        <v>720</v>
      </c>
      <c r="D791" s="11" t="str">
        <f t="shared" si="12"/>
        <v>*</v>
      </c>
    </row>
    <row r="792" spans="1:4" x14ac:dyDescent="0.25">
      <c r="A792" s="1">
        <v>119627</v>
      </c>
      <c r="B792" s="3" t="s">
        <v>118</v>
      </c>
      <c r="C792" s="6">
        <v>525</v>
      </c>
      <c r="D792" s="11" t="str">
        <f t="shared" si="12"/>
        <v>*</v>
      </c>
    </row>
    <row r="793" spans="1:4" x14ac:dyDescent="0.25">
      <c r="A793" s="1">
        <v>119628</v>
      </c>
      <c r="B793" s="3" t="s">
        <v>131</v>
      </c>
      <c r="C793" s="6">
        <v>518</v>
      </c>
      <c r="D793" s="11" t="str">
        <f t="shared" si="12"/>
        <v>*</v>
      </c>
    </row>
    <row r="794" spans="1:4" x14ac:dyDescent="0.25">
      <c r="A794" s="1">
        <v>119810</v>
      </c>
      <c r="B794" s="3" t="s">
        <v>369</v>
      </c>
      <c r="C794" s="6">
        <v>121</v>
      </c>
      <c r="D794" s="11" t="str">
        <f t="shared" si="12"/>
        <v>*</v>
      </c>
    </row>
    <row r="795" spans="1:4" x14ac:dyDescent="0.25">
      <c r="A795" s="1">
        <v>119811</v>
      </c>
      <c r="B795" s="3" t="s">
        <v>370</v>
      </c>
      <c r="C795" s="6">
        <v>464</v>
      </c>
      <c r="D795" s="11" t="str">
        <f t="shared" si="12"/>
        <v>*</v>
      </c>
    </row>
    <row r="796" spans="1:4" x14ac:dyDescent="0.25">
      <c r="A796" s="1">
        <v>120477</v>
      </c>
      <c r="B796" s="3" t="s">
        <v>376</v>
      </c>
      <c r="C796" s="6">
        <v>80</v>
      </c>
      <c r="D796" s="11" t="str">
        <f t="shared" si="12"/>
        <v>*</v>
      </c>
    </row>
    <row r="797" spans="1:4" x14ac:dyDescent="0.25">
      <c r="A797" s="1">
        <v>120615</v>
      </c>
      <c r="B797" s="3" t="s">
        <v>976</v>
      </c>
      <c r="C797" s="6">
        <v>50</v>
      </c>
      <c r="D797" s="11" t="str">
        <f t="shared" si="12"/>
        <v>*</v>
      </c>
    </row>
    <row r="798" spans="1:4" x14ac:dyDescent="0.25">
      <c r="A798" s="1">
        <v>120995</v>
      </c>
      <c r="B798" s="3" t="s">
        <v>655</v>
      </c>
      <c r="C798" s="6">
        <v>45</v>
      </c>
      <c r="D798" s="11" t="str">
        <f t="shared" si="12"/>
        <v>*</v>
      </c>
    </row>
    <row r="799" spans="1:4" x14ac:dyDescent="0.25">
      <c r="A799" s="1">
        <v>121054</v>
      </c>
      <c r="B799" s="3" t="s">
        <v>728</v>
      </c>
      <c r="C799" s="6">
        <v>130</v>
      </c>
      <c r="D799" s="11" t="str">
        <f t="shared" si="12"/>
        <v>*</v>
      </c>
    </row>
    <row r="800" spans="1:4" x14ac:dyDescent="0.25">
      <c r="A800" s="1">
        <v>121086</v>
      </c>
      <c r="B800" s="3" t="s">
        <v>952</v>
      </c>
      <c r="C800" s="6">
        <v>7</v>
      </c>
      <c r="D800" s="11" t="str">
        <f t="shared" si="12"/>
        <v>*</v>
      </c>
    </row>
    <row r="801" spans="1:4" x14ac:dyDescent="0.25">
      <c r="A801" s="1">
        <v>121126</v>
      </c>
      <c r="B801" s="3" t="s">
        <v>814</v>
      </c>
      <c r="C801" s="6">
        <v>24196</v>
      </c>
      <c r="D801" s="11" t="str">
        <f t="shared" si="12"/>
        <v>*</v>
      </c>
    </row>
    <row r="802" spans="1:4" x14ac:dyDescent="0.25">
      <c r="A802" s="1">
        <v>121214</v>
      </c>
      <c r="B802" s="3" t="s">
        <v>170</v>
      </c>
      <c r="C802" s="6">
        <v>95</v>
      </c>
      <c r="D802" s="11" t="str">
        <f t="shared" si="12"/>
        <v>*</v>
      </c>
    </row>
    <row r="803" spans="1:4" x14ac:dyDescent="0.25">
      <c r="A803" s="1">
        <v>121292</v>
      </c>
      <c r="B803" s="3" t="s">
        <v>366</v>
      </c>
      <c r="C803" s="6">
        <v>64</v>
      </c>
      <c r="D803" s="11" t="str">
        <f t="shared" si="12"/>
        <v>*</v>
      </c>
    </row>
    <row r="804" spans="1:4" x14ac:dyDescent="0.25">
      <c r="A804" s="1">
        <v>122304</v>
      </c>
      <c r="B804" s="3" t="s">
        <v>168</v>
      </c>
      <c r="C804" s="6">
        <v>717</v>
      </c>
      <c r="D804" s="11" t="str">
        <f t="shared" si="12"/>
        <v>*</v>
      </c>
    </row>
    <row r="805" spans="1:4" x14ac:dyDescent="0.25">
      <c r="A805" s="1">
        <v>122305</v>
      </c>
      <c r="B805" s="3" t="s">
        <v>989</v>
      </c>
      <c r="C805" s="6">
        <v>673</v>
      </c>
      <c r="D805" s="11" t="str">
        <f t="shared" si="12"/>
        <v>*</v>
      </c>
    </row>
    <row r="806" spans="1:4" x14ac:dyDescent="0.25">
      <c r="A806" s="1">
        <v>122818</v>
      </c>
      <c r="B806" s="3" t="s">
        <v>532</v>
      </c>
      <c r="C806" s="6">
        <v>325</v>
      </c>
      <c r="D806" s="11" t="str">
        <f t="shared" si="12"/>
        <v>*</v>
      </c>
    </row>
    <row r="807" spans="1:4" x14ac:dyDescent="0.25">
      <c r="A807" s="1">
        <v>123131</v>
      </c>
      <c r="B807" s="3" t="s">
        <v>884</v>
      </c>
      <c r="C807" s="6">
        <v>30</v>
      </c>
      <c r="D807" s="11" t="str">
        <f t="shared" si="12"/>
        <v>*</v>
      </c>
    </row>
    <row r="808" spans="1:4" x14ac:dyDescent="0.25">
      <c r="A808" s="1">
        <v>123132</v>
      </c>
      <c r="B808" s="3" t="s">
        <v>885</v>
      </c>
      <c r="C808" s="6">
        <v>102</v>
      </c>
      <c r="D808" s="11" t="str">
        <f t="shared" si="12"/>
        <v>*</v>
      </c>
    </row>
    <row r="809" spans="1:4" x14ac:dyDescent="0.25">
      <c r="A809" s="1">
        <v>123133</v>
      </c>
      <c r="B809" s="3" t="s">
        <v>886</v>
      </c>
      <c r="C809" s="6">
        <v>59</v>
      </c>
      <c r="D809" s="11" t="str">
        <f t="shared" si="12"/>
        <v>*</v>
      </c>
    </row>
    <row r="810" spans="1:4" x14ac:dyDescent="0.25">
      <c r="A810" s="1">
        <v>123146</v>
      </c>
      <c r="B810" s="3" t="s">
        <v>499</v>
      </c>
      <c r="C810" s="6">
        <v>2399</v>
      </c>
      <c r="D810" s="11" t="str">
        <f t="shared" si="12"/>
        <v>*</v>
      </c>
    </row>
    <row r="811" spans="1:4" x14ac:dyDescent="0.25">
      <c r="A811" s="1">
        <v>123350</v>
      </c>
      <c r="B811" s="3" t="s">
        <v>850</v>
      </c>
      <c r="C811" s="6">
        <v>0</v>
      </c>
      <c r="D811" s="11" t="str">
        <f t="shared" si="12"/>
        <v>*</v>
      </c>
    </row>
    <row r="812" spans="1:4" x14ac:dyDescent="0.25">
      <c r="A812" s="1">
        <v>123370</v>
      </c>
      <c r="B812" s="3" t="s">
        <v>626</v>
      </c>
      <c r="C812" s="6">
        <v>0</v>
      </c>
      <c r="D812" s="11" t="str">
        <f t="shared" si="12"/>
        <v>*</v>
      </c>
    </row>
    <row r="813" spans="1:4" x14ac:dyDescent="0.25">
      <c r="A813" s="1">
        <v>123371</v>
      </c>
      <c r="B813" s="3" t="s">
        <v>132</v>
      </c>
      <c r="C813" s="6">
        <v>420</v>
      </c>
      <c r="D813" s="11" t="str">
        <f t="shared" si="12"/>
        <v>*</v>
      </c>
    </row>
    <row r="814" spans="1:4" x14ac:dyDescent="0.25">
      <c r="A814" s="1">
        <v>123372</v>
      </c>
      <c r="B814" s="3" t="s">
        <v>113</v>
      </c>
      <c r="C814" s="6">
        <v>168</v>
      </c>
      <c r="D814" s="11" t="str">
        <f t="shared" si="12"/>
        <v>*</v>
      </c>
    </row>
    <row r="815" spans="1:4" x14ac:dyDescent="0.25">
      <c r="A815" s="1">
        <v>123373</v>
      </c>
      <c r="B815" s="3" t="s">
        <v>133</v>
      </c>
      <c r="C815" s="6">
        <v>767</v>
      </c>
      <c r="D815" s="11" t="str">
        <f t="shared" si="12"/>
        <v>*</v>
      </c>
    </row>
    <row r="816" spans="1:4" x14ac:dyDescent="0.25">
      <c r="A816" s="1">
        <v>123618</v>
      </c>
      <c r="B816" s="3" t="s">
        <v>887</v>
      </c>
      <c r="C816" s="6">
        <v>0</v>
      </c>
      <c r="D816" s="11" t="str">
        <f t="shared" si="12"/>
        <v>*</v>
      </c>
    </row>
    <row r="817" spans="1:4" x14ac:dyDescent="0.25">
      <c r="A817" s="1">
        <v>123710</v>
      </c>
      <c r="B817" s="3" t="s">
        <v>729</v>
      </c>
      <c r="C817" s="6">
        <v>52</v>
      </c>
      <c r="D817" s="11" t="str">
        <f t="shared" si="12"/>
        <v>*</v>
      </c>
    </row>
    <row r="818" spans="1:4" x14ac:dyDescent="0.25">
      <c r="A818" s="1">
        <v>124241</v>
      </c>
      <c r="B818" s="3" t="s">
        <v>306</v>
      </c>
      <c r="C818" s="6">
        <v>112</v>
      </c>
      <c r="D818" s="11" t="str">
        <f t="shared" si="12"/>
        <v>*</v>
      </c>
    </row>
    <row r="819" spans="1:4" x14ac:dyDescent="0.25">
      <c r="A819" s="1">
        <v>124261</v>
      </c>
      <c r="B819" s="3" t="s">
        <v>75</v>
      </c>
      <c r="C819" s="6">
        <v>9213</v>
      </c>
      <c r="D819" s="11" t="str">
        <f t="shared" si="12"/>
        <v>*</v>
      </c>
    </row>
    <row r="820" spans="1:4" x14ac:dyDescent="0.25">
      <c r="A820" s="1">
        <v>124335</v>
      </c>
      <c r="B820" s="3" t="s">
        <v>690</v>
      </c>
      <c r="C820" s="6">
        <v>95</v>
      </c>
      <c r="D820" s="11" t="str">
        <f t="shared" si="12"/>
        <v>*</v>
      </c>
    </row>
    <row r="821" spans="1:4" x14ac:dyDescent="0.25">
      <c r="A821" s="1">
        <v>124963</v>
      </c>
      <c r="B821" s="3" t="s">
        <v>824</v>
      </c>
      <c r="C821" s="6">
        <v>39</v>
      </c>
      <c r="D821" s="11" t="str">
        <f t="shared" si="12"/>
        <v>*</v>
      </c>
    </row>
    <row r="822" spans="1:4" x14ac:dyDescent="0.25">
      <c r="A822" s="1">
        <v>124980</v>
      </c>
      <c r="B822" s="3" t="s">
        <v>114</v>
      </c>
      <c r="C822" s="6">
        <v>300</v>
      </c>
      <c r="D822" s="11" t="str">
        <f t="shared" si="12"/>
        <v>*</v>
      </c>
    </row>
    <row r="823" spans="1:4" x14ac:dyDescent="0.25">
      <c r="A823" s="1">
        <v>125173</v>
      </c>
      <c r="B823" s="3" t="s">
        <v>300</v>
      </c>
      <c r="C823" s="6">
        <v>85</v>
      </c>
      <c r="D823" s="11" t="str">
        <f t="shared" si="12"/>
        <v>*</v>
      </c>
    </row>
    <row r="824" spans="1:4" x14ac:dyDescent="0.25">
      <c r="A824" s="1">
        <v>125201</v>
      </c>
      <c r="B824" s="3" t="s">
        <v>825</v>
      </c>
      <c r="C824" s="6">
        <v>68</v>
      </c>
      <c r="D824" s="11" t="str">
        <f t="shared" si="12"/>
        <v>*</v>
      </c>
    </row>
    <row r="825" spans="1:4" x14ac:dyDescent="0.25">
      <c r="A825" s="1">
        <v>125260</v>
      </c>
      <c r="B825" s="3" t="s">
        <v>533</v>
      </c>
      <c r="C825" s="6">
        <v>574</v>
      </c>
      <c r="D825" s="11" t="str">
        <f t="shared" si="12"/>
        <v>*</v>
      </c>
    </row>
    <row r="826" spans="1:4" x14ac:dyDescent="0.25">
      <c r="A826" s="1">
        <v>125262</v>
      </c>
      <c r="B826" s="3" t="s">
        <v>534</v>
      </c>
      <c r="C826" s="6">
        <v>402</v>
      </c>
      <c r="D826" s="11" t="str">
        <f t="shared" si="12"/>
        <v>*</v>
      </c>
    </row>
    <row r="827" spans="1:4" x14ac:dyDescent="0.25">
      <c r="A827" s="1">
        <v>125269</v>
      </c>
      <c r="B827" s="3" t="s">
        <v>207</v>
      </c>
      <c r="C827" s="6">
        <v>550</v>
      </c>
      <c r="D827" s="11" t="str">
        <f t="shared" si="12"/>
        <v>*</v>
      </c>
    </row>
    <row r="828" spans="1:4" x14ac:dyDescent="0.25">
      <c r="A828" s="1">
        <v>125641</v>
      </c>
      <c r="B828" s="3" t="s">
        <v>205</v>
      </c>
      <c r="C828" s="6">
        <v>79501</v>
      </c>
      <c r="D828" s="11" t="str">
        <f t="shared" si="12"/>
        <v>*</v>
      </c>
    </row>
    <row r="829" spans="1:4" x14ac:dyDescent="0.25">
      <c r="A829" s="1">
        <v>126044</v>
      </c>
      <c r="B829" s="3" t="s">
        <v>877</v>
      </c>
      <c r="C829" s="6">
        <v>71</v>
      </c>
      <c r="D829" s="11" t="str">
        <f t="shared" si="12"/>
        <v>*</v>
      </c>
    </row>
    <row r="830" spans="1:4" x14ac:dyDescent="0.25">
      <c r="A830" s="1">
        <v>126059</v>
      </c>
      <c r="B830" s="3" t="s">
        <v>869</v>
      </c>
      <c r="C830" s="6">
        <v>517</v>
      </c>
      <c r="D830" s="11" t="str">
        <f t="shared" si="12"/>
        <v>*</v>
      </c>
    </row>
    <row r="831" spans="1:4" x14ac:dyDescent="0.25">
      <c r="A831" s="1">
        <v>126060</v>
      </c>
      <c r="B831" s="3" t="s">
        <v>870</v>
      </c>
      <c r="C831" s="6">
        <v>44</v>
      </c>
      <c r="D831" s="11" t="str">
        <f t="shared" si="12"/>
        <v>*</v>
      </c>
    </row>
    <row r="832" spans="1:4" x14ac:dyDescent="0.25">
      <c r="A832" s="1">
        <v>126076</v>
      </c>
      <c r="B832" s="3" t="s">
        <v>375</v>
      </c>
      <c r="C832" s="6">
        <v>282</v>
      </c>
      <c r="D832" s="11" t="str">
        <f t="shared" si="12"/>
        <v>*</v>
      </c>
    </row>
    <row r="833" spans="1:4" x14ac:dyDescent="0.25">
      <c r="A833" s="1">
        <v>126345</v>
      </c>
      <c r="B833" s="3" t="s">
        <v>993</v>
      </c>
      <c r="C833" s="6">
        <v>12</v>
      </c>
      <c r="D833" s="11" t="str">
        <f t="shared" si="12"/>
        <v>*</v>
      </c>
    </row>
    <row r="834" spans="1:4" x14ac:dyDescent="0.25">
      <c r="A834" s="1">
        <v>126837</v>
      </c>
      <c r="B834" s="3" t="s">
        <v>969</v>
      </c>
      <c r="C834" s="6">
        <v>1700</v>
      </c>
      <c r="D834" s="11" t="str">
        <f t="shared" si="12"/>
        <v>*</v>
      </c>
    </row>
    <row r="835" spans="1:4" x14ac:dyDescent="0.25">
      <c r="A835" s="1">
        <v>126838</v>
      </c>
      <c r="B835" s="3" t="s">
        <v>820</v>
      </c>
      <c r="C835" s="6">
        <v>80</v>
      </c>
      <c r="D835" s="11" t="str">
        <f t="shared" si="12"/>
        <v>*</v>
      </c>
    </row>
    <row r="836" spans="1:4" x14ac:dyDescent="0.25">
      <c r="A836" s="1">
        <v>127106</v>
      </c>
      <c r="B836" s="3" t="s">
        <v>812</v>
      </c>
      <c r="C836" s="6">
        <v>0</v>
      </c>
      <c r="D836" s="11" t="str">
        <f t="shared" ref="D836:D899" si="13">IF($D$3="FIM","*","")</f>
        <v>*</v>
      </c>
    </row>
    <row r="837" spans="1:4" x14ac:dyDescent="0.25">
      <c r="A837" s="1">
        <v>127107</v>
      </c>
      <c r="B837" s="3" t="s">
        <v>813</v>
      </c>
      <c r="C837" s="6">
        <v>0</v>
      </c>
      <c r="D837" s="11" t="str">
        <f t="shared" si="13"/>
        <v>*</v>
      </c>
    </row>
    <row r="838" spans="1:4" x14ac:dyDescent="0.25">
      <c r="A838" s="1">
        <v>127331</v>
      </c>
      <c r="B838" s="3" t="s">
        <v>380</v>
      </c>
      <c r="C838" s="6">
        <v>4577</v>
      </c>
      <c r="D838" s="11" t="str">
        <f t="shared" si="13"/>
        <v>*</v>
      </c>
    </row>
    <row r="839" spans="1:4" x14ac:dyDescent="0.25">
      <c r="A839" s="1">
        <v>127384</v>
      </c>
      <c r="B839" s="3" t="s">
        <v>551</v>
      </c>
      <c r="C839" s="6">
        <v>82</v>
      </c>
      <c r="D839" s="11" t="str">
        <f t="shared" si="13"/>
        <v>*</v>
      </c>
    </row>
    <row r="840" spans="1:4" x14ac:dyDescent="0.25">
      <c r="A840" s="1">
        <v>127664</v>
      </c>
      <c r="B840" s="3" t="s">
        <v>271</v>
      </c>
      <c r="C840" s="6">
        <v>832</v>
      </c>
      <c r="D840" s="11" t="str">
        <f t="shared" si="13"/>
        <v>*</v>
      </c>
    </row>
    <row r="841" spans="1:4" x14ac:dyDescent="0.25">
      <c r="A841" s="1">
        <v>127963</v>
      </c>
      <c r="B841" s="3" t="s">
        <v>667</v>
      </c>
      <c r="C841" s="6">
        <v>0</v>
      </c>
      <c r="D841" s="11" t="str">
        <f t="shared" si="13"/>
        <v>*</v>
      </c>
    </row>
    <row r="842" spans="1:4" x14ac:dyDescent="0.25">
      <c r="A842" s="1">
        <v>128229</v>
      </c>
      <c r="B842" s="3" t="s">
        <v>772</v>
      </c>
      <c r="C842" s="6">
        <v>7</v>
      </c>
      <c r="D842" s="11" t="str">
        <f t="shared" si="13"/>
        <v>*</v>
      </c>
    </row>
    <row r="843" spans="1:4" x14ac:dyDescent="0.25">
      <c r="A843" s="1">
        <v>128287</v>
      </c>
      <c r="B843" s="3" t="s">
        <v>13</v>
      </c>
      <c r="C843" s="6">
        <v>516</v>
      </c>
      <c r="D843" s="11" t="str">
        <f t="shared" si="13"/>
        <v>*</v>
      </c>
    </row>
    <row r="844" spans="1:4" x14ac:dyDescent="0.25">
      <c r="A844" s="1">
        <v>128288</v>
      </c>
      <c r="B844" s="3" t="s">
        <v>964</v>
      </c>
      <c r="C844" s="6">
        <v>26</v>
      </c>
      <c r="D844" s="11" t="str">
        <f t="shared" si="13"/>
        <v>*</v>
      </c>
    </row>
    <row r="845" spans="1:4" x14ac:dyDescent="0.25">
      <c r="A845" s="1">
        <v>128301</v>
      </c>
      <c r="B845" s="3" t="s">
        <v>695</v>
      </c>
      <c r="C845" s="6">
        <v>1</v>
      </c>
      <c r="D845" s="11" t="str">
        <f t="shared" si="13"/>
        <v>*</v>
      </c>
    </row>
    <row r="846" spans="1:4" x14ac:dyDescent="0.25">
      <c r="A846" s="1">
        <v>128302</v>
      </c>
      <c r="B846" s="3" t="s">
        <v>598</v>
      </c>
      <c r="C846" s="6">
        <v>2</v>
      </c>
      <c r="D846" s="11" t="str">
        <f t="shared" si="13"/>
        <v>*</v>
      </c>
    </row>
    <row r="847" spans="1:4" x14ac:dyDescent="0.25">
      <c r="A847" s="1">
        <v>128304</v>
      </c>
      <c r="B847" s="3" t="s">
        <v>679</v>
      </c>
      <c r="C847" s="6">
        <v>4</v>
      </c>
      <c r="D847" s="11" t="str">
        <f t="shared" si="13"/>
        <v>*</v>
      </c>
    </row>
    <row r="848" spans="1:4" x14ac:dyDescent="0.25">
      <c r="A848" s="1">
        <v>128305</v>
      </c>
      <c r="B848" s="3" t="s">
        <v>599</v>
      </c>
      <c r="C848" s="6">
        <v>1</v>
      </c>
      <c r="D848" s="11" t="str">
        <f t="shared" si="13"/>
        <v>*</v>
      </c>
    </row>
    <row r="849" spans="1:4" x14ac:dyDescent="0.25">
      <c r="A849" s="1">
        <v>128306</v>
      </c>
      <c r="B849" s="3" t="s">
        <v>600</v>
      </c>
      <c r="C849" s="6">
        <v>5</v>
      </c>
      <c r="D849" s="11" t="str">
        <f t="shared" si="13"/>
        <v>*</v>
      </c>
    </row>
    <row r="850" spans="1:4" x14ac:dyDescent="0.25">
      <c r="A850" s="1">
        <v>128307</v>
      </c>
      <c r="B850" s="3" t="s">
        <v>601</v>
      </c>
      <c r="C850" s="6">
        <v>3</v>
      </c>
      <c r="D850" s="11" t="str">
        <f t="shared" si="13"/>
        <v>*</v>
      </c>
    </row>
    <row r="851" spans="1:4" x14ac:dyDescent="0.25">
      <c r="A851" s="1">
        <v>128308</v>
      </c>
      <c r="B851" s="3" t="s">
        <v>698</v>
      </c>
      <c r="C851" s="6">
        <v>5</v>
      </c>
      <c r="D851" s="11" t="str">
        <f t="shared" si="13"/>
        <v>*</v>
      </c>
    </row>
    <row r="852" spans="1:4" x14ac:dyDescent="0.25">
      <c r="A852" s="1">
        <v>128309</v>
      </c>
      <c r="B852" s="3" t="s">
        <v>699</v>
      </c>
      <c r="C852" s="6">
        <v>2</v>
      </c>
      <c r="D852" s="11" t="str">
        <f t="shared" si="13"/>
        <v>*</v>
      </c>
    </row>
    <row r="853" spans="1:4" x14ac:dyDescent="0.25">
      <c r="A853" s="1">
        <v>128389</v>
      </c>
      <c r="B853" s="3" t="s">
        <v>616</v>
      </c>
      <c r="C853" s="6">
        <v>1</v>
      </c>
      <c r="D853" s="11" t="str">
        <f t="shared" si="13"/>
        <v>*</v>
      </c>
    </row>
    <row r="854" spans="1:4" x14ac:dyDescent="0.25">
      <c r="A854" s="1">
        <v>128458</v>
      </c>
      <c r="B854" s="3" t="s">
        <v>602</v>
      </c>
      <c r="C854" s="6">
        <v>0</v>
      </c>
      <c r="D854" s="11" t="str">
        <f t="shared" si="13"/>
        <v>*</v>
      </c>
    </row>
    <row r="855" spans="1:4" x14ac:dyDescent="0.25">
      <c r="A855" s="1">
        <v>128782</v>
      </c>
      <c r="B855" s="3" t="s">
        <v>921</v>
      </c>
      <c r="C855" s="6">
        <v>64</v>
      </c>
      <c r="D855" s="11" t="str">
        <f t="shared" si="13"/>
        <v>*</v>
      </c>
    </row>
    <row r="856" spans="1:4" x14ac:dyDescent="0.25">
      <c r="A856" s="1">
        <v>128815</v>
      </c>
      <c r="B856" s="3" t="s">
        <v>23</v>
      </c>
      <c r="C856" s="6">
        <v>1698</v>
      </c>
      <c r="D856" s="11" t="str">
        <f t="shared" si="13"/>
        <v>*</v>
      </c>
    </row>
    <row r="857" spans="1:4" x14ac:dyDescent="0.25">
      <c r="A857" s="1">
        <v>128816</v>
      </c>
      <c r="B857" s="3" t="s">
        <v>24</v>
      </c>
      <c r="C857" s="6">
        <v>27</v>
      </c>
      <c r="D857" s="11" t="str">
        <f t="shared" si="13"/>
        <v>*</v>
      </c>
    </row>
    <row r="858" spans="1:4" x14ac:dyDescent="0.25">
      <c r="A858" s="1">
        <v>128817</v>
      </c>
      <c r="B858" s="3" t="s">
        <v>656</v>
      </c>
      <c r="C858" s="6">
        <v>6</v>
      </c>
      <c r="D858" s="11" t="str">
        <f t="shared" si="13"/>
        <v>*</v>
      </c>
    </row>
    <row r="859" spans="1:4" x14ac:dyDescent="0.25">
      <c r="A859" s="1">
        <v>128818</v>
      </c>
      <c r="B859" s="3" t="s">
        <v>27</v>
      </c>
      <c r="C859" s="6">
        <v>1480</v>
      </c>
      <c r="D859" s="11" t="str">
        <f t="shared" si="13"/>
        <v>*</v>
      </c>
    </row>
    <row r="860" spans="1:4" x14ac:dyDescent="0.25">
      <c r="A860" s="1">
        <v>128819</v>
      </c>
      <c r="B860" s="3" t="s">
        <v>28</v>
      </c>
      <c r="C860" s="6">
        <v>47</v>
      </c>
      <c r="D860" s="11" t="str">
        <f t="shared" si="13"/>
        <v>*</v>
      </c>
    </row>
    <row r="861" spans="1:4" x14ac:dyDescent="0.25">
      <c r="A861" s="1">
        <v>129959</v>
      </c>
      <c r="B861" s="3" t="s">
        <v>115</v>
      </c>
      <c r="C861" s="6">
        <v>90</v>
      </c>
      <c r="D861" s="11" t="str">
        <f t="shared" si="13"/>
        <v>*</v>
      </c>
    </row>
    <row r="862" spans="1:4" x14ac:dyDescent="0.25">
      <c r="A862" s="1">
        <v>129960</v>
      </c>
      <c r="B862" s="3" t="s">
        <v>134</v>
      </c>
      <c r="C862" s="6">
        <v>0</v>
      </c>
      <c r="D862" s="11" t="str">
        <f t="shared" si="13"/>
        <v>*</v>
      </c>
    </row>
    <row r="863" spans="1:4" x14ac:dyDescent="0.25">
      <c r="A863" s="1">
        <v>129961</v>
      </c>
      <c r="B863" s="3" t="s">
        <v>356</v>
      </c>
      <c r="C863" s="6">
        <v>0</v>
      </c>
      <c r="D863" s="11" t="str">
        <f t="shared" si="13"/>
        <v>*</v>
      </c>
    </row>
    <row r="864" spans="1:4" x14ac:dyDescent="0.25">
      <c r="A864" s="1">
        <v>129962</v>
      </c>
      <c r="B864" s="3" t="s">
        <v>634</v>
      </c>
      <c r="C864" s="6">
        <v>0</v>
      </c>
      <c r="D864" s="11" t="str">
        <f t="shared" si="13"/>
        <v>*</v>
      </c>
    </row>
    <row r="865" spans="1:4" x14ac:dyDescent="0.25">
      <c r="A865" s="1">
        <v>129979</v>
      </c>
      <c r="B865" s="3" t="s">
        <v>773</v>
      </c>
      <c r="C865" s="6">
        <v>0</v>
      </c>
      <c r="D865" s="11" t="str">
        <f t="shared" si="13"/>
        <v>*</v>
      </c>
    </row>
    <row r="866" spans="1:4" x14ac:dyDescent="0.25">
      <c r="A866" s="1">
        <v>129991</v>
      </c>
      <c r="B866" s="3" t="s">
        <v>137</v>
      </c>
      <c r="C866" s="6">
        <v>1548</v>
      </c>
      <c r="D866" s="11" t="str">
        <f t="shared" si="13"/>
        <v>*</v>
      </c>
    </row>
    <row r="867" spans="1:4" x14ac:dyDescent="0.25">
      <c r="A867" s="1">
        <v>130024</v>
      </c>
      <c r="B867" s="3" t="s">
        <v>211</v>
      </c>
      <c r="C867" s="6">
        <v>2474</v>
      </c>
      <c r="D867" s="11" t="str">
        <f t="shared" si="13"/>
        <v>*</v>
      </c>
    </row>
    <row r="868" spans="1:4" x14ac:dyDescent="0.25">
      <c r="A868" s="1">
        <v>130157</v>
      </c>
      <c r="B868" s="3" t="s">
        <v>700</v>
      </c>
      <c r="C868" s="6">
        <v>0</v>
      </c>
      <c r="D868" s="11" t="str">
        <f t="shared" si="13"/>
        <v>*</v>
      </c>
    </row>
    <row r="869" spans="1:4" x14ac:dyDescent="0.25">
      <c r="A869" s="1">
        <v>130564</v>
      </c>
      <c r="B869" s="3" t="s">
        <v>591</v>
      </c>
      <c r="C869" s="6">
        <v>1</v>
      </c>
      <c r="D869" s="11" t="str">
        <f t="shared" si="13"/>
        <v>*</v>
      </c>
    </row>
    <row r="870" spans="1:4" x14ac:dyDescent="0.25">
      <c r="A870" s="1">
        <v>130614</v>
      </c>
      <c r="B870" s="3" t="s">
        <v>953</v>
      </c>
      <c r="C870" s="6">
        <v>420</v>
      </c>
      <c r="D870" s="11" t="str">
        <f t="shared" si="13"/>
        <v>*</v>
      </c>
    </row>
    <row r="871" spans="1:4" x14ac:dyDescent="0.25">
      <c r="A871" s="1">
        <v>130618</v>
      </c>
      <c r="B871" s="3" t="s">
        <v>943</v>
      </c>
      <c r="C871" s="6">
        <v>20</v>
      </c>
      <c r="D871" s="11" t="str">
        <f t="shared" si="13"/>
        <v>*</v>
      </c>
    </row>
    <row r="872" spans="1:4" x14ac:dyDescent="0.25">
      <c r="A872" s="1">
        <v>130624</v>
      </c>
      <c r="B872" s="3" t="s">
        <v>96</v>
      </c>
      <c r="C872" s="6">
        <v>14796</v>
      </c>
      <c r="D872" s="11" t="str">
        <f t="shared" si="13"/>
        <v>*</v>
      </c>
    </row>
    <row r="873" spans="1:4" x14ac:dyDescent="0.25">
      <c r="A873" s="1">
        <v>130632</v>
      </c>
      <c r="B873" s="3" t="s">
        <v>498</v>
      </c>
      <c r="C873" s="6">
        <v>11</v>
      </c>
      <c r="D873" s="11" t="str">
        <f t="shared" si="13"/>
        <v>*</v>
      </c>
    </row>
    <row r="874" spans="1:4" x14ac:dyDescent="0.25">
      <c r="A874" s="1">
        <v>130634</v>
      </c>
      <c r="B874" s="3" t="s">
        <v>536</v>
      </c>
      <c r="C874" s="6">
        <v>648</v>
      </c>
      <c r="D874" s="11" t="str">
        <f t="shared" si="13"/>
        <v>*</v>
      </c>
    </row>
    <row r="875" spans="1:4" x14ac:dyDescent="0.25">
      <c r="A875" s="1">
        <v>130695</v>
      </c>
      <c r="B875" s="3" t="s">
        <v>145</v>
      </c>
      <c r="C875" s="6">
        <v>8227</v>
      </c>
      <c r="D875" s="11" t="str">
        <f t="shared" si="13"/>
        <v>*</v>
      </c>
    </row>
    <row r="876" spans="1:4" x14ac:dyDescent="0.25">
      <c r="A876" s="1">
        <v>130740</v>
      </c>
      <c r="B876" s="3" t="s">
        <v>592</v>
      </c>
      <c r="C876" s="6">
        <v>22</v>
      </c>
      <c r="D876" s="11" t="str">
        <f t="shared" si="13"/>
        <v>*</v>
      </c>
    </row>
    <row r="877" spans="1:4" x14ac:dyDescent="0.25">
      <c r="A877" s="1">
        <v>131138</v>
      </c>
      <c r="B877" s="3" t="s">
        <v>865</v>
      </c>
      <c r="C877" s="6">
        <v>0</v>
      </c>
      <c r="D877" s="11" t="str">
        <f t="shared" si="13"/>
        <v>*</v>
      </c>
    </row>
    <row r="878" spans="1:4" x14ac:dyDescent="0.25">
      <c r="A878" s="1">
        <v>131221</v>
      </c>
      <c r="B878" s="3" t="s">
        <v>717</v>
      </c>
      <c r="C878" s="6">
        <v>1</v>
      </c>
      <c r="D878" s="11" t="str">
        <f t="shared" si="13"/>
        <v>*</v>
      </c>
    </row>
    <row r="879" spans="1:4" x14ac:dyDescent="0.25">
      <c r="A879" s="1">
        <v>131344</v>
      </c>
      <c r="B879" s="3" t="s">
        <v>564</v>
      </c>
      <c r="C879" s="6">
        <v>47</v>
      </c>
      <c r="D879" s="11" t="str">
        <f t="shared" si="13"/>
        <v>*</v>
      </c>
    </row>
    <row r="880" spans="1:4" x14ac:dyDescent="0.25">
      <c r="A880" s="1">
        <v>131482</v>
      </c>
      <c r="B880" s="3" t="s">
        <v>187</v>
      </c>
      <c r="C880" s="6">
        <v>193</v>
      </c>
      <c r="D880" s="11" t="str">
        <f t="shared" si="13"/>
        <v>*</v>
      </c>
    </row>
    <row r="881" spans="1:4" x14ac:dyDescent="0.25">
      <c r="A881" s="1">
        <v>131579</v>
      </c>
      <c r="B881" s="3" t="s">
        <v>593</v>
      </c>
      <c r="C881" s="6">
        <v>1</v>
      </c>
      <c r="D881" s="11" t="str">
        <f t="shared" si="13"/>
        <v>*</v>
      </c>
    </row>
    <row r="882" spans="1:4" x14ac:dyDescent="0.25">
      <c r="A882" s="1">
        <v>131917</v>
      </c>
      <c r="B882" s="3" t="s">
        <v>404</v>
      </c>
      <c r="C882" s="6">
        <v>9947</v>
      </c>
      <c r="D882" s="11" t="str">
        <f t="shared" si="13"/>
        <v>*</v>
      </c>
    </row>
    <row r="883" spans="1:4" x14ac:dyDescent="0.25">
      <c r="A883" s="1">
        <v>131926</v>
      </c>
      <c r="B883" s="3" t="s">
        <v>405</v>
      </c>
      <c r="C883" s="6">
        <v>5359</v>
      </c>
      <c r="D883" s="11" t="str">
        <f t="shared" si="13"/>
        <v>*</v>
      </c>
    </row>
    <row r="884" spans="1:4" x14ac:dyDescent="0.25">
      <c r="A884" s="1">
        <v>131927</v>
      </c>
      <c r="B884" s="3" t="s">
        <v>406</v>
      </c>
      <c r="C884" s="6">
        <v>4351</v>
      </c>
      <c r="D884" s="11" t="str">
        <f t="shared" si="13"/>
        <v>*</v>
      </c>
    </row>
    <row r="885" spans="1:4" x14ac:dyDescent="0.25">
      <c r="A885" s="1">
        <v>131930</v>
      </c>
      <c r="B885" s="3" t="s">
        <v>407</v>
      </c>
      <c r="C885" s="6">
        <v>7194</v>
      </c>
      <c r="D885" s="11" t="str">
        <f t="shared" si="13"/>
        <v>*</v>
      </c>
    </row>
    <row r="886" spans="1:4" x14ac:dyDescent="0.25">
      <c r="A886" s="1">
        <v>131931</v>
      </c>
      <c r="B886" s="3" t="s">
        <v>408</v>
      </c>
      <c r="C886" s="6">
        <v>864</v>
      </c>
      <c r="D886" s="11" t="str">
        <f t="shared" si="13"/>
        <v>*</v>
      </c>
    </row>
    <row r="887" spans="1:4" x14ac:dyDescent="0.25">
      <c r="A887" s="1">
        <v>131933</v>
      </c>
      <c r="B887" s="3" t="s">
        <v>409</v>
      </c>
      <c r="C887" s="6">
        <v>6049</v>
      </c>
      <c r="D887" s="11" t="str">
        <f t="shared" si="13"/>
        <v>*</v>
      </c>
    </row>
    <row r="888" spans="1:4" x14ac:dyDescent="0.25">
      <c r="A888" s="1">
        <v>131935</v>
      </c>
      <c r="B888" s="3" t="s">
        <v>410</v>
      </c>
      <c r="C888" s="6">
        <v>5560</v>
      </c>
      <c r="D888" s="11" t="str">
        <f t="shared" si="13"/>
        <v>*</v>
      </c>
    </row>
    <row r="889" spans="1:4" x14ac:dyDescent="0.25">
      <c r="A889" s="1">
        <v>131937</v>
      </c>
      <c r="B889" s="3" t="s">
        <v>411</v>
      </c>
      <c r="C889" s="6">
        <v>2394</v>
      </c>
      <c r="D889" s="11" t="str">
        <f t="shared" si="13"/>
        <v>*</v>
      </c>
    </row>
    <row r="890" spans="1:4" x14ac:dyDescent="0.25">
      <c r="A890" s="1">
        <v>131938</v>
      </c>
      <c r="B890" s="3" t="s">
        <v>412</v>
      </c>
      <c r="C890" s="6">
        <v>3065</v>
      </c>
      <c r="D890" s="11" t="str">
        <f t="shared" si="13"/>
        <v>*</v>
      </c>
    </row>
    <row r="891" spans="1:4" x14ac:dyDescent="0.25">
      <c r="A891" s="1">
        <v>131939</v>
      </c>
      <c r="B891" s="3" t="s">
        <v>413</v>
      </c>
      <c r="C891" s="6">
        <v>3040</v>
      </c>
      <c r="D891" s="11" t="str">
        <f t="shared" si="13"/>
        <v>*</v>
      </c>
    </row>
    <row r="892" spans="1:4" x14ac:dyDescent="0.25">
      <c r="A892" s="1">
        <v>131940</v>
      </c>
      <c r="B892" s="3" t="s">
        <v>414</v>
      </c>
      <c r="C892" s="6">
        <v>390</v>
      </c>
      <c r="D892" s="11" t="str">
        <f t="shared" si="13"/>
        <v>*</v>
      </c>
    </row>
    <row r="893" spans="1:4" x14ac:dyDescent="0.25">
      <c r="A893" s="1">
        <v>132229</v>
      </c>
      <c r="B893" s="3" t="s">
        <v>627</v>
      </c>
      <c r="C893" s="6">
        <v>0</v>
      </c>
      <c r="D893" s="11" t="str">
        <f t="shared" si="13"/>
        <v>*</v>
      </c>
    </row>
    <row r="894" spans="1:4" x14ac:dyDescent="0.25">
      <c r="A894" s="1">
        <v>132230</v>
      </c>
      <c r="B894" s="3" t="s">
        <v>135</v>
      </c>
      <c r="C894" s="6">
        <v>0</v>
      </c>
      <c r="D894" s="11" t="str">
        <f t="shared" si="13"/>
        <v>*</v>
      </c>
    </row>
    <row r="895" spans="1:4" x14ac:dyDescent="0.25">
      <c r="A895" s="1">
        <v>132231</v>
      </c>
      <c r="B895" s="3" t="s">
        <v>116</v>
      </c>
      <c r="C895" s="6">
        <v>610</v>
      </c>
      <c r="D895" s="11" t="str">
        <f t="shared" si="13"/>
        <v>*</v>
      </c>
    </row>
    <row r="896" spans="1:4" x14ac:dyDescent="0.25">
      <c r="A896" s="1">
        <v>132232</v>
      </c>
      <c r="B896" s="3" t="s">
        <v>521</v>
      </c>
      <c r="C896" s="6">
        <v>22</v>
      </c>
      <c r="D896" s="11" t="str">
        <f t="shared" si="13"/>
        <v>*</v>
      </c>
    </row>
    <row r="897" spans="1:4" x14ac:dyDescent="0.25">
      <c r="A897" s="1">
        <v>132290</v>
      </c>
      <c r="B897" s="3" t="s">
        <v>465</v>
      </c>
      <c r="C897" s="6">
        <v>4959</v>
      </c>
      <c r="D897" s="11" t="str">
        <f t="shared" si="13"/>
        <v>*</v>
      </c>
    </row>
    <row r="898" spans="1:4" x14ac:dyDescent="0.25">
      <c r="A898" s="1">
        <v>132296</v>
      </c>
      <c r="B898" s="3" t="s">
        <v>466</v>
      </c>
      <c r="C898" s="6">
        <v>11067</v>
      </c>
      <c r="D898" s="11" t="str">
        <f t="shared" si="13"/>
        <v>*</v>
      </c>
    </row>
    <row r="899" spans="1:4" x14ac:dyDescent="0.25">
      <c r="A899" s="1">
        <v>132297</v>
      </c>
      <c r="B899" s="3" t="s">
        <v>467</v>
      </c>
      <c r="C899" s="6">
        <v>21295</v>
      </c>
      <c r="D899" s="11" t="str">
        <f t="shared" si="13"/>
        <v>*</v>
      </c>
    </row>
    <row r="900" spans="1:4" x14ac:dyDescent="0.25">
      <c r="A900" s="1">
        <v>132300</v>
      </c>
      <c r="B900" s="3" t="s">
        <v>472</v>
      </c>
      <c r="C900" s="6">
        <v>7721</v>
      </c>
      <c r="D900" s="11" t="str">
        <f t="shared" ref="D900:D963" si="14">IF($D$3="FIM","*","")</f>
        <v>*</v>
      </c>
    </row>
    <row r="901" spans="1:4" x14ac:dyDescent="0.25">
      <c r="A901" s="1">
        <v>132303</v>
      </c>
      <c r="B901" s="3" t="s">
        <v>97</v>
      </c>
      <c r="C901" s="6">
        <v>15591</v>
      </c>
      <c r="D901" s="11" t="str">
        <f t="shared" si="14"/>
        <v>*</v>
      </c>
    </row>
    <row r="902" spans="1:4" x14ac:dyDescent="0.25">
      <c r="A902" s="1">
        <v>132305</v>
      </c>
      <c r="B902" s="3" t="s">
        <v>415</v>
      </c>
      <c r="C902" s="6">
        <v>2386</v>
      </c>
      <c r="D902" s="11" t="str">
        <f t="shared" si="14"/>
        <v>*</v>
      </c>
    </row>
    <row r="903" spans="1:4" x14ac:dyDescent="0.25">
      <c r="A903" s="1">
        <v>132394</v>
      </c>
      <c r="B903" s="3" t="s">
        <v>468</v>
      </c>
      <c r="C903" s="6">
        <v>5085</v>
      </c>
      <c r="D903" s="11" t="str">
        <f t="shared" si="14"/>
        <v>*</v>
      </c>
    </row>
    <row r="904" spans="1:4" x14ac:dyDescent="0.25">
      <c r="A904" s="1">
        <v>132395</v>
      </c>
      <c r="B904" s="3" t="s">
        <v>469</v>
      </c>
      <c r="C904" s="6">
        <v>5017</v>
      </c>
      <c r="D904" s="11" t="str">
        <f t="shared" si="14"/>
        <v>*</v>
      </c>
    </row>
    <row r="905" spans="1:4" x14ac:dyDescent="0.25">
      <c r="A905" s="1">
        <v>132400</v>
      </c>
      <c r="B905" s="3" t="s">
        <v>925</v>
      </c>
      <c r="C905" s="6">
        <v>2617</v>
      </c>
      <c r="D905" s="11" t="str">
        <f t="shared" si="14"/>
        <v>*</v>
      </c>
    </row>
    <row r="906" spans="1:4" x14ac:dyDescent="0.25">
      <c r="A906" s="1">
        <v>132405</v>
      </c>
      <c r="B906" s="3" t="s">
        <v>703</v>
      </c>
      <c r="C906" s="6">
        <v>397</v>
      </c>
      <c r="D906" s="11" t="str">
        <f t="shared" si="14"/>
        <v>*</v>
      </c>
    </row>
    <row r="907" spans="1:4" x14ac:dyDescent="0.25">
      <c r="A907" s="1">
        <v>132407</v>
      </c>
      <c r="B907" s="3" t="s">
        <v>704</v>
      </c>
      <c r="C907" s="6">
        <v>326</v>
      </c>
      <c r="D907" s="11" t="str">
        <f t="shared" si="14"/>
        <v>*</v>
      </c>
    </row>
    <row r="908" spans="1:4" x14ac:dyDescent="0.25">
      <c r="A908" s="1">
        <v>132465</v>
      </c>
      <c r="B908" s="3" t="s">
        <v>509</v>
      </c>
      <c r="C908" s="6">
        <v>60</v>
      </c>
      <c r="D908" s="11" t="str">
        <f t="shared" si="14"/>
        <v>*</v>
      </c>
    </row>
    <row r="909" spans="1:4" x14ac:dyDescent="0.25">
      <c r="A909" s="1">
        <v>132612</v>
      </c>
      <c r="B909" s="3" t="s">
        <v>696</v>
      </c>
      <c r="C909" s="6">
        <v>262</v>
      </c>
      <c r="D909" s="11" t="str">
        <f t="shared" si="14"/>
        <v>*</v>
      </c>
    </row>
    <row r="910" spans="1:4" x14ac:dyDescent="0.25">
      <c r="A910" s="1">
        <v>132613</v>
      </c>
      <c r="B910" s="3" t="s">
        <v>697</v>
      </c>
      <c r="C910" s="6">
        <v>673</v>
      </c>
      <c r="D910" s="11" t="str">
        <f t="shared" si="14"/>
        <v>*</v>
      </c>
    </row>
    <row r="911" spans="1:4" x14ac:dyDescent="0.25">
      <c r="A911" s="1">
        <v>132623</v>
      </c>
      <c r="B911" s="3" t="s">
        <v>554</v>
      </c>
      <c r="C911" s="6">
        <v>57</v>
      </c>
      <c r="D911" s="11" t="str">
        <f t="shared" si="14"/>
        <v>*</v>
      </c>
    </row>
    <row r="912" spans="1:4" x14ac:dyDescent="0.25">
      <c r="A912" s="1">
        <v>132624</v>
      </c>
      <c r="B912" s="3" t="s">
        <v>559</v>
      </c>
      <c r="C912" s="6">
        <v>27</v>
      </c>
      <c r="D912" s="11" t="str">
        <f t="shared" si="14"/>
        <v>*</v>
      </c>
    </row>
    <row r="913" spans="1:4" x14ac:dyDescent="0.25">
      <c r="A913" s="1">
        <v>132646</v>
      </c>
      <c r="B913" s="3" t="s">
        <v>428</v>
      </c>
      <c r="C913" s="6">
        <v>15658</v>
      </c>
      <c r="D913" s="11" t="str">
        <f t="shared" si="14"/>
        <v>*</v>
      </c>
    </row>
    <row r="914" spans="1:4" x14ac:dyDescent="0.25">
      <c r="A914" s="1">
        <v>132647</v>
      </c>
      <c r="B914" s="3" t="s">
        <v>429</v>
      </c>
      <c r="C914" s="6">
        <v>14211</v>
      </c>
      <c r="D914" s="11" t="str">
        <f t="shared" si="14"/>
        <v>*</v>
      </c>
    </row>
    <row r="915" spans="1:4" x14ac:dyDescent="0.25">
      <c r="A915" s="1">
        <v>132649</v>
      </c>
      <c r="B915" s="3" t="s">
        <v>430</v>
      </c>
      <c r="C915" s="6">
        <v>6608</v>
      </c>
      <c r="D915" s="11" t="str">
        <f t="shared" si="14"/>
        <v>*</v>
      </c>
    </row>
    <row r="916" spans="1:4" x14ac:dyDescent="0.25">
      <c r="A916" s="1">
        <v>132650</v>
      </c>
      <c r="B916" s="3" t="s">
        <v>470</v>
      </c>
      <c r="C916" s="6">
        <v>6480</v>
      </c>
      <c r="D916" s="11" t="str">
        <f t="shared" si="14"/>
        <v>*</v>
      </c>
    </row>
    <row r="917" spans="1:4" x14ac:dyDescent="0.25">
      <c r="A917" s="1">
        <v>132655</v>
      </c>
      <c r="B917" s="3" t="s">
        <v>431</v>
      </c>
      <c r="C917" s="6">
        <v>24143</v>
      </c>
      <c r="D917" s="11" t="str">
        <f t="shared" si="14"/>
        <v>*</v>
      </c>
    </row>
    <row r="918" spans="1:4" x14ac:dyDescent="0.25">
      <c r="A918" s="1">
        <v>132656</v>
      </c>
      <c r="B918" s="3" t="s">
        <v>432</v>
      </c>
      <c r="C918" s="6">
        <v>23790</v>
      </c>
      <c r="D918" s="11" t="str">
        <f t="shared" si="14"/>
        <v>*</v>
      </c>
    </row>
    <row r="919" spans="1:4" x14ac:dyDescent="0.25">
      <c r="A919" s="1">
        <v>132714</v>
      </c>
      <c r="B919" s="3" t="s">
        <v>529</v>
      </c>
      <c r="C919" s="6">
        <v>30</v>
      </c>
      <c r="D919" s="11" t="str">
        <f t="shared" si="14"/>
        <v>*</v>
      </c>
    </row>
    <row r="920" spans="1:4" x14ac:dyDescent="0.25">
      <c r="A920" s="1">
        <v>132715</v>
      </c>
      <c r="B920" s="3" t="s">
        <v>530</v>
      </c>
      <c r="C920" s="6">
        <v>15</v>
      </c>
      <c r="D920" s="11" t="str">
        <f t="shared" si="14"/>
        <v>*</v>
      </c>
    </row>
    <row r="921" spans="1:4" x14ac:dyDescent="0.25">
      <c r="A921" s="1">
        <v>132751</v>
      </c>
      <c r="B921" s="3" t="s">
        <v>683</v>
      </c>
      <c r="C921" s="6">
        <v>0</v>
      </c>
      <c r="D921" s="11" t="str">
        <f t="shared" si="14"/>
        <v>*</v>
      </c>
    </row>
    <row r="922" spans="1:4" x14ac:dyDescent="0.25">
      <c r="A922" s="1">
        <v>132769</v>
      </c>
      <c r="B922" s="3" t="s">
        <v>552</v>
      </c>
      <c r="C922" s="6">
        <v>59</v>
      </c>
      <c r="D922" s="11" t="str">
        <f t="shared" si="14"/>
        <v>*</v>
      </c>
    </row>
    <row r="923" spans="1:4" x14ac:dyDescent="0.25">
      <c r="A923" s="1">
        <v>133021</v>
      </c>
      <c r="B923" s="3" t="s">
        <v>1293</v>
      </c>
      <c r="C923" s="6">
        <v>0</v>
      </c>
      <c r="D923" s="11" t="str">
        <f t="shared" si="14"/>
        <v>*</v>
      </c>
    </row>
    <row r="924" spans="1:4" x14ac:dyDescent="0.25">
      <c r="A924" s="1">
        <v>133191</v>
      </c>
      <c r="B924" s="3" t="s">
        <v>933</v>
      </c>
      <c r="C924" s="6">
        <v>19816</v>
      </c>
      <c r="D924" s="11" t="str">
        <f t="shared" si="14"/>
        <v>*</v>
      </c>
    </row>
    <row r="925" spans="1:4" x14ac:dyDescent="0.25">
      <c r="A925" s="1">
        <v>133301</v>
      </c>
      <c r="B925" s="3" t="s">
        <v>639</v>
      </c>
      <c r="C925" s="6">
        <v>6966</v>
      </c>
      <c r="D925" s="11" t="str">
        <f t="shared" si="14"/>
        <v>*</v>
      </c>
    </row>
    <row r="926" spans="1:4" x14ac:dyDescent="0.25">
      <c r="A926" s="1">
        <v>133366</v>
      </c>
      <c r="B926" s="3" t="s">
        <v>856</v>
      </c>
      <c r="C926" s="6">
        <v>3438</v>
      </c>
      <c r="D926" s="11" t="str">
        <f t="shared" si="14"/>
        <v>*</v>
      </c>
    </row>
    <row r="927" spans="1:4" x14ac:dyDescent="0.25">
      <c r="A927" s="1">
        <v>133371</v>
      </c>
      <c r="B927" s="3" t="s">
        <v>916</v>
      </c>
      <c r="C927" s="6">
        <v>500</v>
      </c>
      <c r="D927" s="11" t="str">
        <f t="shared" si="14"/>
        <v>*</v>
      </c>
    </row>
    <row r="928" spans="1:4" x14ac:dyDescent="0.25">
      <c r="A928" s="1">
        <v>133433</v>
      </c>
      <c r="B928" s="3" t="s">
        <v>548</v>
      </c>
      <c r="C928" s="6">
        <v>1</v>
      </c>
      <c r="D928" s="11" t="str">
        <f t="shared" si="14"/>
        <v>*</v>
      </c>
    </row>
    <row r="929" spans="1:4" x14ac:dyDescent="0.25">
      <c r="A929" s="1">
        <v>133450</v>
      </c>
      <c r="B929" s="3" t="s">
        <v>449</v>
      </c>
      <c r="C929" s="6">
        <v>1213</v>
      </c>
      <c r="D929" s="11" t="str">
        <f t="shared" si="14"/>
        <v>*</v>
      </c>
    </row>
    <row r="930" spans="1:4" x14ac:dyDescent="0.25">
      <c r="A930" s="1">
        <v>133451</v>
      </c>
      <c r="B930" s="3" t="s">
        <v>450</v>
      </c>
      <c r="C930" s="6">
        <v>1486</v>
      </c>
      <c r="D930" s="11" t="str">
        <f t="shared" si="14"/>
        <v>*</v>
      </c>
    </row>
    <row r="931" spans="1:4" x14ac:dyDescent="0.25">
      <c r="A931" s="1">
        <v>133452</v>
      </c>
      <c r="B931" s="3" t="s">
        <v>76</v>
      </c>
      <c r="C931" s="6">
        <v>542</v>
      </c>
      <c r="D931" s="11" t="str">
        <f t="shared" si="14"/>
        <v>*</v>
      </c>
    </row>
    <row r="932" spans="1:4" x14ac:dyDescent="0.25">
      <c r="A932" s="1">
        <v>133778</v>
      </c>
      <c r="B932" s="3" t="s">
        <v>417</v>
      </c>
      <c r="C932" s="6">
        <v>16398</v>
      </c>
      <c r="D932" s="11" t="str">
        <f t="shared" si="14"/>
        <v>*</v>
      </c>
    </row>
    <row r="933" spans="1:4" x14ac:dyDescent="0.25">
      <c r="A933" s="1">
        <v>133779</v>
      </c>
      <c r="B933" s="3" t="s">
        <v>451</v>
      </c>
      <c r="C933" s="6">
        <v>6237</v>
      </c>
      <c r="D933" s="11" t="str">
        <f t="shared" si="14"/>
        <v>*</v>
      </c>
    </row>
    <row r="934" spans="1:4" x14ac:dyDescent="0.25">
      <c r="A934" s="1">
        <v>133781</v>
      </c>
      <c r="B934" s="3" t="s">
        <v>452</v>
      </c>
      <c r="C934" s="6">
        <v>18603</v>
      </c>
      <c r="D934" s="11" t="str">
        <f t="shared" si="14"/>
        <v>*</v>
      </c>
    </row>
    <row r="935" spans="1:4" x14ac:dyDescent="0.25">
      <c r="A935" s="1">
        <v>133782</v>
      </c>
      <c r="B935" s="3" t="s">
        <v>453</v>
      </c>
      <c r="C935" s="6">
        <v>2</v>
      </c>
      <c r="D935" s="11" t="str">
        <f t="shared" si="14"/>
        <v>*</v>
      </c>
    </row>
    <row r="936" spans="1:4" x14ac:dyDescent="0.25">
      <c r="A936" s="1">
        <v>133783</v>
      </c>
      <c r="B936" s="3" t="s">
        <v>454</v>
      </c>
      <c r="C936" s="6">
        <v>5721</v>
      </c>
      <c r="D936" s="11" t="str">
        <f t="shared" si="14"/>
        <v>*</v>
      </c>
    </row>
    <row r="937" spans="1:4" x14ac:dyDescent="0.25">
      <c r="A937" s="1">
        <v>133788</v>
      </c>
      <c r="B937" s="3" t="s">
        <v>473</v>
      </c>
      <c r="C937" s="6">
        <v>382</v>
      </c>
      <c r="D937" s="11" t="str">
        <f t="shared" si="14"/>
        <v>*</v>
      </c>
    </row>
    <row r="938" spans="1:4" x14ac:dyDescent="0.25">
      <c r="A938" s="1">
        <v>133790</v>
      </c>
      <c r="B938" s="3" t="s">
        <v>474</v>
      </c>
      <c r="C938" s="6">
        <v>405</v>
      </c>
      <c r="D938" s="11" t="str">
        <f t="shared" si="14"/>
        <v>*</v>
      </c>
    </row>
    <row r="939" spans="1:4" x14ac:dyDescent="0.25">
      <c r="A939" s="1">
        <v>133791</v>
      </c>
      <c r="B939" s="3" t="s">
        <v>475</v>
      </c>
      <c r="C939" s="6">
        <v>576</v>
      </c>
      <c r="D939" s="11" t="str">
        <f t="shared" si="14"/>
        <v>*</v>
      </c>
    </row>
    <row r="940" spans="1:4" x14ac:dyDescent="0.25">
      <c r="A940" s="1">
        <v>133793</v>
      </c>
      <c r="B940" s="3" t="s">
        <v>418</v>
      </c>
      <c r="C940" s="6">
        <v>4097</v>
      </c>
      <c r="D940" s="11" t="str">
        <f t="shared" si="14"/>
        <v>*</v>
      </c>
    </row>
    <row r="941" spans="1:4" x14ac:dyDescent="0.25">
      <c r="A941" s="1">
        <v>133812</v>
      </c>
      <c r="B941" s="3" t="s">
        <v>373</v>
      </c>
      <c r="C941" s="6">
        <v>170</v>
      </c>
      <c r="D941" s="11" t="str">
        <f t="shared" si="14"/>
        <v>*</v>
      </c>
    </row>
    <row r="942" spans="1:4" x14ac:dyDescent="0.25">
      <c r="A942" s="1">
        <v>133813</v>
      </c>
      <c r="B942" s="3" t="s">
        <v>692</v>
      </c>
      <c r="C942" s="6">
        <v>23</v>
      </c>
      <c r="D942" s="11" t="str">
        <f t="shared" si="14"/>
        <v>*</v>
      </c>
    </row>
    <row r="943" spans="1:4" x14ac:dyDescent="0.25">
      <c r="A943" s="1">
        <v>133819</v>
      </c>
      <c r="B943" s="3" t="s">
        <v>310</v>
      </c>
      <c r="C943" s="6">
        <v>257</v>
      </c>
      <c r="D943" s="11" t="str">
        <f t="shared" si="14"/>
        <v>*</v>
      </c>
    </row>
    <row r="944" spans="1:4" x14ac:dyDescent="0.25">
      <c r="A944" s="1">
        <v>133843</v>
      </c>
      <c r="B944" s="3" t="s">
        <v>77</v>
      </c>
      <c r="C944" s="6">
        <v>14903</v>
      </c>
      <c r="D944" s="11" t="str">
        <f t="shared" si="14"/>
        <v>*</v>
      </c>
    </row>
    <row r="945" spans="1:4" x14ac:dyDescent="0.25">
      <c r="A945" s="1">
        <v>133844</v>
      </c>
      <c r="B945" s="3" t="s">
        <v>93</v>
      </c>
      <c r="C945" s="6">
        <v>14802</v>
      </c>
      <c r="D945" s="11" t="str">
        <f t="shared" si="14"/>
        <v>*</v>
      </c>
    </row>
    <row r="946" spans="1:4" x14ac:dyDescent="0.25">
      <c r="A946" s="1">
        <v>133845</v>
      </c>
      <c r="B946" s="3" t="s">
        <v>78</v>
      </c>
      <c r="C946" s="6">
        <v>14327</v>
      </c>
      <c r="D946" s="11" t="str">
        <f t="shared" si="14"/>
        <v>*</v>
      </c>
    </row>
    <row r="947" spans="1:4" x14ac:dyDescent="0.25">
      <c r="A947" s="1">
        <v>133846</v>
      </c>
      <c r="B947" s="3" t="s">
        <v>79</v>
      </c>
      <c r="C947" s="6">
        <v>13534</v>
      </c>
      <c r="D947" s="11" t="str">
        <f t="shared" si="14"/>
        <v>*</v>
      </c>
    </row>
    <row r="948" spans="1:4" x14ac:dyDescent="0.25">
      <c r="A948" s="1">
        <v>133847</v>
      </c>
      <c r="B948" s="3" t="s">
        <v>80</v>
      </c>
      <c r="C948" s="6">
        <v>14726</v>
      </c>
      <c r="D948" s="11" t="str">
        <f t="shared" si="14"/>
        <v>*</v>
      </c>
    </row>
    <row r="949" spans="1:4" x14ac:dyDescent="0.25">
      <c r="A949" s="1">
        <v>133848</v>
      </c>
      <c r="B949" s="3" t="s">
        <v>81</v>
      </c>
      <c r="C949" s="6">
        <v>13776</v>
      </c>
      <c r="D949" s="11" t="str">
        <f t="shared" si="14"/>
        <v>*</v>
      </c>
    </row>
    <row r="950" spans="1:4" x14ac:dyDescent="0.25">
      <c r="A950" s="1">
        <v>133849</v>
      </c>
      <c r="B950" s="3" t="s">
        <v>94</v>
      </c>
      <c r="C950" s="6">
        <v>14529</v>
      </c>
      <c r="D950" s="11" t="str">
        <f t="shared" si="14"/>
        <v>*</v>
      </c>
    </row>
    <row r="951" spans="1:4" x14ac:dyDescent="0.25">
      <c r="A951" s="1">
        <v>133850</v>
      </c>
      <c r="B951" s="3" t="s">
        <v>82</v>
      </c>
      <c r="C951" s="6">
        <v>14596</v>
      </c>
      <c r="D951" s="11" t="str">
        <f t="shared" si="14"/>
        <v>*</v>
      </c>
    </row>
    <row r="952" spans="1:4" x14ac:dyDescent="0.25">
      <c r="A952" s="1">
        <v>133851</v>
      </c>
      <c r="B952" s="3" t="s">
        <v>67</v>
      </c>
      <c r="C952" s="6">
        <v>765</v>
      </c>
      <c r="D952" s="11" t="str">
        <f t="shared" si="14"/>
        <v>*</v>
      </c>
    </row>
    <row r="953" spans="1:4" x14ac:dyDescent="0.25">
      <c r="A953" s="1">
        <v>133950</v>
      </c>
      <c r="B953" s="3" t="s">
        <v>455</v>
      </c>
      <c r="C953" s="6">
        <v>12275</v>
      </c>
      <c r="D953" s="11" t="str">
        <f t="shared" si="14"/>
        <v>*</v>
      </c>
    </row>
    <row r="954" spans="1:4" x14ac:dyDescent="0.25">
      <c r="A954" s="1">
        <v>133953</v>
      </c>
      <c r="B954" s="3" t="s">
        <v>419</v>
      </c>
      <c r="C954" s="6">
        <v>16127</v>
      </c>
      <c r="D954" s="11" t="str">
        <f t="shared" si="14"/>
        <v>*</v>
      </c>
    </row>
    <row r="955" spans="1:4" x14ac:dyDescent="0.25">
      <c r="A955" s="1">
        <v>133954</v>
      </c>
      <c r="B955" s="3" t="s">
        <v>476</v>
      </c>
      <c r="C955" s="6">
        <v>13857</v>
      </c>
      <c r="D955" s="11" t="str">
        <f t="shared" si="14"/>
        <v>*</v>
      </c>
    </row>
    <row r="956" spans="1:4" x14ac:dyDescent="0.25">
      <c r="A956" s="1">
        <v>133955</v>
      </c>
      <c r="B956" s="3" t="s">
        <v>420</v>
      </c>
      <c r="C956" s="6">
        <v>9510</v>
      </c>
      <c r="D956" s="11" t="str">
        <f t="shared" si="14"/>
        <v>*</v>
      </c>
    </row>
    <row r="957" spans="1:4" x14ac:dyDescent="0.25">
      <c r="A957" s="1">
        <v>133956</v>
      </c>
      <c r="B957" s="3" t="s">
        <v>433</v>
      </c>
      <c r="C957" s="6">
        <v>14199</v>
      </c>
      <c r="D957" s="11" t="str">
        <f t="shared" si="14"/>
        <v>*</v>
      </c>
    </row>
    <row r="958" spans="1:4" x14ac:dyDescent="0.25">
      <c r="A958" s="1">
        <v>133957</v>
      </c>
      <c r="B958" s="3" t="s">
        <v>434</v>
      </c>
      <c r="C958" s="6">
        <v>3329</v>
      </c>
      <c r="D958" s="11" t="str">
        <f t="shared" si="14"/>
        <v>*</v>
      </c>
    </row>
    <row r="959" spans="1:4" x14ac:dyDescent="0.25">
      <c r="A959" s="1">
        <v>134045</v>
      </c>
      <c r="B959" s="3" t="s">
        <v>329</v>
      </c>
      <c r="C959" s="6">
        <v>49</v>
      </c>
      <c r="D959" s="11" t="str">
        <f t="shared" si="14"/>
        <v>*</v>
      </c>
    </row>
    <row r="960" spans="1:4" x14ac:dyDescent="0.25">
      <c r="A960" s="1">
        <v>134246</v>
      </c>
      <c r="B960" s="3" t="s">
        <v>388</v>
      </c>
      <c r="C960" s="6">
        <v>185</v>
      </c>
      <c r="D960" s="11" t="str">
        <f t="shared" si="14"/>
        <v>*</v>
      </c>
    </row>
    <row r="961" spans="1:4" x14ac:dyDescent="0.25">
      <c r="A961" s="1">
        <v>134247</v>
      </c>
      <c r="B961" s="3" t="s">
        <v>272</v>
      </c>
      <c r="C961" s="6">
        <v>115</v>
      </c>
      <c r="D961" s="11" t="str">
        <f t="shared" si="14"/>
        <v>*</v>
      </c>
    </row>
    <row r="962" spans="1:4" x14ac:dyDescent="0.25">
      <c r="A962" s="1">
        <v>134373</v>
      </c>
      <c r="B962" s="3" t="s">
        <v>206</v>
      </c>
      <c r="C962" s="6">
        <v>26288</v>
      </c>
      <c r="D962" s="11" t="str">
        <f t="shared" si="14"/>
        <v>*</v>
      </c>
    </row>
    <row r="963" spans="1:4" x14ac:dyDescent="0.25">
      <c r="A963" s="1">
        <v>134542</v>
      </c>
      <c r="B963" s="3" t="s">
        <v>243</v>
      </c>
      <c r="C963" s="6">
        <v>0</v>
      </c>
      <c r="D963" s="11" t="str">
        <f t="shared" si="14"/>
        <v>*</v>
      </c>
    </row>
    <row r="964" spans="1:4" x14ac:dyDescent="0.25">
      <c r="A964" s="1">
        <v>134543</v>
      </c>
      <c r="B964" s="3" t="s">
        <v>244</v>
      </c>
      <c r="C964" s="6">
        <v>32</v>
      </c>
      <c r="D964" s="11" t="str">
        <f t="shared" ref="D964:D1012" si="15">IF($D$3="FIM","*","")</f>
        <v>*</v>
      </c>
    </row>
    <row r="965" spans="1:4" x14ac:dyDescent="0.25">
      <c r="A965" s="1">
        <v>134544</v>
      </c>
      <c r="B965" s="3" t="s">
        <v>245</v>
      </c>
      <c r="C965" s="6">
        <v>496</v>
      </c>
      <c r="D965" s="11" t="str">
        <f t="shared" si="15"/>
        <v>*</v>
      </c>
    </row>
    <row r="966" spans="1:4" x14ac:dyDescent="0.25">
      <c r="A966" s="1">
        <v>134545</v>
      </c>
      <c r="B966" s="3" t="s">
        <v>239</v>
      </c>
      <c r="C966" s="6">
        <v>49</v>
      </c>
      <c r="D966" s="11" t="str">
        <f t="shared" si="15"/>
        <v>*</v>
      </c>
    </row>
    <row r="967" spans="1:4" x14ac:dyDescent="0.25">
      <c r="A967" s="1">
        <v>134546</v>
      </c>
      <c r="B967" s="3" t="s">
        <v>240</v>
      </c>
      <c r="C967" s="6">
        <v>300</v>
      </c>
      <c r="D967" s="11" t="str">
        <f t="shared" si="15"/>
        <v>*</v>
      </c>
    </row>
    <row r="968" spans="1:4" x14ac:dyDescent="0.25">
      <c r="A968" s="1">
        <v>134547</v>
      </c>
      <c r="B968" s="3" t="s">
        <v>241</v>
      </c>
      <c r="C968" s="6">
        <v>130</v>
      </c>
      <c r="D968" s="11" t="str">
        <f t="shared" si="15"/>
        <v>*</v>
      </c>
    </row>
    <row r="969" spans="1:4" x14ac:dyDescent="0.25">
      <c r="A969" s="1">
        <v>134548</v>
      </c>
      <c r="B969" s="3" t="s">
        <v>242</v>
      </c>
      <c r="C969" s="6">
        <v>515</v>
      </c>
      <c r="D969" s="11" t="str">
        <f t="shared" si="15"/>
        <v>*</v>
      </c>
    </row>
    <row r="970" spans="1:4" x14ac:dyDescent="0.25">
      <c r="A970" s="1">
        <v>134556</v>
      </c>
      <c r="B970" s="3" t="s">
        <v>391</v>
      </c>
      <c r="C970" s="6">
        <v>0</v>
      </c>
      <c r="D970" s="11" t="str">
        <f t="shared" si="15"/>
        <v>*</v>
      </c>
    </row>
    <row r="971" spans="1:4" x14ac:dyDescent="0.25">
      <c r="A971" s="1">
        <v>134558</v>
      </c>
      <c r="B971" s="3" t="s">
        <v>899</v>
      </c>
      <c r="C971" s="6">
        <v>0</v>
      </c>
      <c r="D971" s="11" t="str">
        <f t="shared" si="15"/>
        <v>*</v>
      </c>
    </row>
    <row r="972" spans="1:4" x14ac:dyDescent="0.25">
      <c r="A972" s="1">
        <v>134559</v>
      </c>
      <c r="B972" s="3" t="s">
        <v>900</v>
      </c>
      <c r="C972" s="6">
        <v>0</v>
      </c>
      <c r="D972" s="11" t="str">
        <f t="shared" si="15"/>
        <v>*</v>
      </c>
    </row>
    <row r="973" spans="1:4" x14ac:dyDescent="0.25">
      <c r="A973" s="1">
        <v>134560</v>
      </c>
      <c r="B973" s="3" t="s">
        <v>903</v>
      </c>
      <c r="C973" s="6">
        <v>120</v>
      </c>
      <c r="D973" s="11" t="str">
        <f t="shared" si="15"/>
        <v>*</v>
      </c>
    </row>
    <row r="974" spans="1:4" x14ac:dyDescent="0.25">
      <c r="A974" s="1">
        <v>134561</v>
      </c>
      <c r="B974" s="3" t="s">
        <v>826</v>
      </c>
      <c r="C974" s="6">
        <v>0</v>
      </c>
      <c r="D974" s="11" t="str">
        <f t="shared" si="15"/>
        <v>*</v>
      </c>
    </row>
    <row r="975" spans="1:4" x14ac:dyDescent="0.25">
      <c r="A975" s="1">
        <v>134562</v>
      </c>
      <c r="B975" s="3" t="s">
        <v>827</v>
      </c>
      <c r="C975" s="6">
        <v>0</v>
      </c>
      <c r="D975" s="11" t="str">
        <f t="shared" si="15"/>
        <v>*</v>
      </c>
    </row>
    <row r="976" spans="1:4" x14ac:dyDescent="0.25">
      <c r="A976" s="1">
        <v>134563</v>
      </c>
      <c r="B976" s="3" t="s">
        <v>828</v>
      </c>
      <c r="C976" s="6">
        <v>0</v>
      </c>
      <c r="D976" s="11" t="str">
        <f t="shared" si="15"/>
        <v>*</v>
      </c>
    </row>
    <row r="977" spans="1:4" x14ac:dyDescent="0.25">
      <c r="A977" s="1">
        <v>134564</v>
      </c>
      <c r="B977" s="3" t="s">
        <v>829</v>
      </c>
      <c r="C977" s="6">
        <v>0</v>
      </c>
      <c r="D977" s="11" t="str">
        <f t="shared" si="15"/>
        <v>*</v>
      </c>
    </row>
    <row r="978" spans="1:4" x14ac:dyDescent="0.25">
      <c r="A978" s="1">
        <v>134565</v>
      </c>
      <c r="B978" s="3" t="s">
        <v>830</v>
      </c>
      <c r="C978" s="6">
        <v>1</v>
      </c>
      <c r="D978" s="11" t="str">
        <f t="shared" si="15"/>
        <v>*</v>
      </c>
    </row>
    <row r="979" spans="1:4" x14ac:dyDescent="0.25">
      <c r="A979" s="1">
        <v>134566</v>
      </c>
      <c r="B979" s="3" t="s">
        <v>871</v>
      </c>
      <c r="C979" s="6">
        <v>120</v>
      </c>
      <c r="D979" s="11" t="str">
        <f t="shared" si="15"/>
        <v>*</v>
      </c>
    </row>
    <row r="980" spans="1:4" x14ac:dyDescent="0.25">
      <c r="A980" s="1">
        <v>134567</v>
      </c>
      <c r="B980" s="3" t="s">
        <v>857</v>
      </c>
      <c r="C980" s="6">
        <v>40</v>
      </c>
      <c r="D980" s="11" t="str">
        <f t="shared" si="15"/>
        <v>*</v>
      </c>
    </row>
    <row r="981" spans="1:4" x14ac:dyDescent="0.25">
      <c r="A981" s="1">
        <v>134568</v>
      </c>
      <c r="B981" s="3" t="s">
        <v>858</v>
      </c>
      <c r="C981" s="6">
        <v>0</v>
      </c>
      <c r="D981" s="11" t="str">
        <f t="shared" si="15"/>
        <v>*</v>
      </c>
    </row>
    <row r="982" spans="1:4" x14ac:dyDescent="0.25">
      <c r="A982" s="1">
        <v>134569</v>
      </c>
      <c r="B982" s="3" t="s">
        <v>970</v>
      </c>
      <c r="C982" s="6">
        <v>0</v>
      </c>
      <c r="D982" s="11" t="str">
        <f t="shared" si="15"/>
        <v>*</v>
      </c>
    </row>
    <row r="983" spans="1:4" x14ac:dyDescent="0.25">
      <c r="A983" s="1">
        <v>134581</v>
      </c>
      <c r="B983" s="3" t="s">
        <v>314</v>
      </c>
      <c r="C983" s="6">
        <v>7</v>
      </c>
      <c r="D983" s="11" t="str">
        <f t="shared" si="15"/>
        <v>*</v>
      </c>
    </row>
    <row r="984" spans="1:4" x14ac:dyDescent="0.25">
      <c r="A984" s="1">
        <v>134582</v>
      </c>
      <c r="B984" s="3" t="s">
        <v>315</v>
      </c>
      <c r="C984" s="6">
        <v>70</v>
      </c>
      <c r="D984" s="11" t="str">
        <f t="shared" si="15"/>
        <v>*</v>
      </c>
    </row>
    <row r="985" spans="1:4" x14ac:dyDescent="0.25">
      <c r="A985" s="1">
        <v>135224</v>
      </c>
      <c r="B985" s="3" t="s">
        <v>228</v>
      </c>
      <c r="C985" s="6">
        <v>33</v>
      </c>
      <c r="D985" s="11" t="str">
        <f t="shared" si="15"/>
        <v>*</v>
      </c>
    </row>
    <row r="986" spans="1:4" x14ac:dyDescent="0.25">
      <c r="A986" s="1">
        <v>135225</v>
      </c>
      <c r="B986" s="3" t="s">
        <v>236</v>
      </c>
      <c r="C986" s="6">
        <v>6</v>
      </c>
      <c r="D986" s="11" t="str">
        <f t="shared" si="15"/>
        <v>*</v>
      </c>
    </row>
    <row r="987" spans="1:4" x14ac:dyDescent="0.25">
      <c r="A987" s="1">
        <v>135226</v>
      </c>
      <c r="B987" s="3" t="s">
        <v>235</v>
      </c>
      <c r="C987" s="6">
        <v>13</v>
      </c>
      <c r="D987" s="11" t="str">
        <f t="shared" si="15"/>
        <v>*</v>
      </c>
    </row>
    <row r="988" spans="1:4" x14ac:dyDescent="0.25">
      <c r="A988" s="1">
        <v>135227</v>
      </c>
      <c r="B988" s="3" t="s">
        <v>237</v>
      </c>
      <c r="C988" s="6">
        <v>215</v>
      </c>
      <c r="D988" s="11" t="str">
        <f t="shared" si="15"/>
        <v>*</v>
      </c>
    </row>
    <row r="989" spans="1:4" x14ac:dyDescent="0.25">
      <c r="A989" s="1">
        <v>135238</v>
      </c>
      <c r="B989" s="3" t="s">
        <v>229</v>
      </c>
      <c r="C989" s="6">
        <v>572</v>
      </c>
      <c r="D989" s="11" t="str">
        <f t="shared" si="15"/>
        <v>*</v>
      </c>
    </row>
    <row r="990" spans="1:4" x14ac:dyDescent="0.25">
      <c r="A990" s="1">
        <v>135239</v>
      </c>
      <c r="B990" s="3" t="s">
        <v>230</v>
      </c>
      <c r="C990" s="6">
        <v>312</v>
      </c>
      <c r="D990" s="11" t="str">
        <f t="shared" si="15"/>
        <v>*</v>
      </c>
    </row>
    <row r="991" spans="1:4" x14ac:dyDescent="0.25">
      <c r="A991" s="1">
        <v>135297</v>
      </c>
      <c r="B991" s="3" t="s">
        <v>421</v>
      </c>
      <c r="C991" s="6">
        <v>2475</v>
      </c>
      <c r="D991" s="11" t="str">
        <f t="shared" si="15"/>
        <v>*</v>
      </c>
    </row>
    <row r="992" spans="1:4" x14ac:dyDescent="0.25">
      <c r="A992" s="1">
        <v>135299</v>
      </c>
      <c r="B992" s="3" t="s">
        <v>301</v>
      </c>
      <c r="C992" s="6">
        <v>4</v>
      </c>
      <c r="D992" s="11" t="str">
        <f t="shared" si="15"/>
        <v>*</v>
      </c>
    </row>
    <row r="993" spans="1:4" x14ac:dyDescent="0.25">
      <c r="A993" s="1">
        <v>135300</v>
      </c>
      <c r="B993" s="3" t="s">
        <v>293</v>
      </c>
      <c r="C993" s="6">
        <v>10</v>
      </c>
      <c r="D993" s="11" t="str">
        <f t="shared" si="15"/>
        <v>*</v>
      </c>
    </row>
    <row r="994" spans="1:4" x14ac:dyDescent="0.25">
      <c r="A994" s="1">
        <v>135301</v>
      </c>
      <c r="B994" s="3" t="s">
        <v>302</v>
      </c>
      <c r="C994" s="6">
        <v>88</v>
      </c>
      <c r="D994" s="11" t="str">
        <f t="shared" si="15"/>
        <v>*</v>
      </c>
    </row>
    <row r="995" spans="1:4" x14ac:dyDescent="0.25">
      <c r="A995" s="1">
        <v>135302</v>
      </c>
      <c r="B995" s="3" t="s">
        <v>303</v>
      </c>
      <c r="C995" s="6">
        <v>113</v>
      </c>
      <c r="D995" s="11" t="str">
        <f t="shared" si="15"/>
        <v>*</v>
      </c>
    </row>
    <row r="996" spans="1:4" x14ac:dyDescent="0.25">
      <c r="A996" s="1">
        <v>135303</v>
      </c>
      <c r="B996" s="3" t="s">
        <v>488</v>
      </c>
      <c r="C996" s="6">
        <v>30</v>
      </c>
      <c r="D996" s="11" t="str">
        <f t="shared" si="15"/>
        <v>*</v>
      </c>
    </row>
    <row r="997" spans="1:4" x14ac:dyDescent="0.25">
      <c r="A997" s="1">
        <v>135304</v>
      </c>
      <c r="B997" s="3" t="s">
        <v>294</v>
      </c>
      <c r="C997" s="6">
        <v>26</v>
      </c>
      <c r="D997" s="11" t="str">
        <f t="shared" si="15"/>
        <v>*</v>
      </c>
    </row>
    <row r="998" spans="1:4" x14ac:dyDescent="0.25">
      <c r="A998" s="1">
        <v>135414</v>
      </c>
      <c r="B998" s="3" t="s">
        <v>784</v>
      </c>
      <c r="C998" s="6">
        <v>9</v>
      </c>
      <c r="D998" s="11" t="str">
        <f t="shared" si="15"/>
        <v>*</v>
      </c>
    </row>
    <row r="999" spans="1:4" x14ac:dyDescent="0.25">
      <c r="A999" s="1">
        <v>135699</v>
      </c>
      <c r="B999" s="3" t="s">
        <v>416</v>
      </c>
      <c r="C999" s="6">
        <v>1</v>
      </c>
      <c r="D999" s="11" t="str">
        <f t="shared" si="15"/>
        <v>*</v>
      </c>
    </row>
    <row r="1000" spans="1:4" x14ac:dyDescent="0.25">
      <c r="A1000" s="1">
        <v>135700</v>
      </c>
      <c r="B1000" s="3" t="s">
        <v>422</v>
      </c>
      <c r="C1000" s="6">
        <v>16442</v>
      </c>
      <c r="D1000" s="11" t="str">
        <f t="shared" si="15"/>
        <v>*</v>
      </c>
    </row>
    <row r="1001" spans="1:4" x14ac:dyDescent="0.25">
      <c r="A1001" s="1">
        <v>135701</v>
      </c>
      <c r="B1001" s="3" t="s">
        <v>1294</v>
      </c>
      <c r="C1001" s="6">
        <v>0</v>
      </c>
      <c r="D1001" s="11" t="str">
        <f t="shared" si="15"/>
        <v>*</v>
      </c>
    </row>
    <row r="1002" spans="1:4" x14ac:dyDescent="0.25">
      <c r="A1002" s="1">
        <v>135704</v>
      </c>
      <c r="B1002" s="3" t="s">
        <v>1295</v>
      </c>
      <c r="C1002" s="6">
        <v>0</v>
      </c>
      <c r="D1002" s="11" t="str">
        <f t="shared" si="15"/>
        <v>*</v>
      </c>
    </row>
    <row r="1003" spans="1:4" x14ac:dyDescent="0.25">
      <c r="A1003" s="1">
        <v>135734</v>
      </c>
      <c r="B1003" s="3" t="s">
        <v>1299</v>
      </c>
      <c r="C1003" s="6">
        <v>200</v>
      </c>
      <c r="D1003" s="11" t="str">
        <f t="shared" si="15"/>
        <v>*</v>
      </c>
    </row>
    <row r="1004" spans="1:4" x14ac:dyDescent="0.25">
      <c r="A1004" s="1">
        <v>136037</v>
      </c>
      <c r="B1004" s="3" t="s">
        <v>954</v>
      </c>
      <c r="C1004" s="6">
        <v>10</v>
      </c>
      <c r="D1004" s="11" t="str">
        <f t="shared" si="15"/>
        <v>*</v>
      </c>
    </row>
    <row r="1005" spans="1:4" x14ac:dyDescent="0.25">
      <c r="A1005" s="1">
        <v>136038</v>
      </c>
      <c r="B1005" s="3" t="s">
        <v>955</v>
      </c>
      <c r="C1005" s="6">
        <v>20</v>
      </c>
      <c r="D1005" s="11" t="str">
        <f t="shared" si="15"/>
        <v>*</v>
      </c>
    </row>
    <row r="1006" spans="1:4" x14ac:dyDescent="0.25">
      <c r="A1006" s="1">
        <v>136039</v>
      </c>
      <c r="B1006" s="3" t="s">
        <v>956</v>
      </c>
      <c r="C1006" s="6">
        <v>1</v>
      </c>
      <c r="D1006" s="11" t="str">
        <f t="shared" si="15"/>
        <v>*</v>
      </c>
    </row>
    <row r="1007" spans="1:4" x14ac:dyDescent="0.25">
      <c r="A1007" s="1">
        <v>136040</v>
      </c>
      <c r="B1007" s="3" t="s">
        <v>957</v>
      </c>
      <c r="C1007" s="6">
        <v>1</v>
      </c>
      <c r="D1007" s="11" t="str">
        <f t="shared" si="15"/>
        <v>*</v>
      </c>
    </row>
    <row r="1008" spans="1:4" x14ac:dyDescent="0.25">
      <c r="A1008" s="1">
        <v>136082</v>
      </c>
      <c r="B1008" s="3" t="s">
        <v>677</v>
      </c>
      <c r="C1008" s="6">
        <v>41</v>
      </c>
      <c r="D1008" s="11" t="str">
        <f t="shared" si="15"/>
        <v>*</v>
      </c>
    </row>
    <row r="1009" spans="1:4" x14ac:dyDescent="0.25">
      <c r="A1009" s="1">
        <v>136083</v>
      </c>
      <c r="B1009" s="3" t="s">
        <v>678</v>
      </c>
      <c r="C1009" s="6">
        <v>40</v>
      </c>
      <c r="D1009" s="11" t="str">
        <f t="shared" si="15"/>
        <v>*</v>
      </c>
    </row>
    <row r="1010" spans="1:4" x14ac:dyDescent="0.25">
      <c r="A1010" s="1">
        <v>136273</v>
      </c>
      <c r="B1010" s="3" t="s">
        <v>1298</v>
      </c>
      <c r="C1010" s="6">
        <v>0</v>
      </c>
      <c r="D1010" s="11" t="str">
        <f t="shared" si="15"/>
        <v>*</v>
      </c>
    </row>
    <row r="1011" spans="1:4" x14ac:dyDescent="0.25">
      <c r="A1011" s="1">
        <v>136408</v>
      </c>
      <c r="B1011" s="3" t="s">
        <v>1296</v>
      </c>
      <c r="C1011" s="6">
        <v>0</v>
      </c>
      <c r="D1011" s="11" t="str">
        <f t="shared" si="15"/>
        <v>*</v>
      </c>
    </row>
    <row r="1012" spans="1:4" x14ac:dyDescent="0.25">
      <c r="A1012" s="1">
        <v>136556</v>
      </c>
      <c r="B1012" s="3" t="s">
        <v>1297</v>
      </c>
      <c r="C1012" s="6">
        <v>0</v>
      </c>
      <c r="D1012" s="11" t="str">
        <f t="shared" si="15"/>
        <v>*</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5">
    <tabColor rgb="FFFFC000"/>
  </sheetPr>
  <dimension ref="A1:H578"/>
  <sheetViews>
    <sheetView workbookViewId="0">
      <selection activeCell="A4" sqref="A4"/>
    </sheetView>
  </sheetViews>
  <sheetFormatPr defaultRowHeight="15" x14ac:dyDescent="0.25"/>
  <cols>
    <col min="1" max="1" width="9.5703125" style="1" bestFit="1" customWidth="1"/>
    <col min="2" max="2" width="150.7109375" style="12" customWidth="1"/>
    <col min="3" max="3" width="8.42578125" style="11" bestFit="1" customWidth="1"/>
    <col min="4" max="4" width="8.85546875" style="13" bestFit="1" customWidth="1"/>
    <col min="5" max="5" width="8.42578125" style="13" bestFit="1" customWidth="1"/>
    <col min="6" max="6" width="15.28515625" style="13" hidden="1" customWidth="1"/>
    <col min="7" max="7" width="18.7109375" style="13" hidden="1" customWidth="1"/>
    <col min="8" max="8" width="12.42578125" bestFit="1" customWidth="1"/>
    <col min="9" max="26" width="26.42578125" customWidth="1"/>
  </cols>
  <sheetData>
    <row r="1" spans="1:8" ht="30" customHeight="1" x14ac:dyDescent="0.25">
      <c r="A1" s="92" t="s">
        <v>1012</v>
      </c>
      <c r="B1" s="93"/>
      <c r="C1" s="93"/>
      <c r="D1" s="93"/>
      <c r="E1" s="93"/>
      <c r="F1" s="93"/>
      <c r="G1" s="93"/>
      <c r="H1" s="93"/>
    </row>
    <row r="2" spans="1:8" ht="33" customHeight="1" x14ac:dyDescent="0.25">
      <c r="A2" s="94"/>
      <c r="B2" s="94"/>
      <c r="C2" s="94"/>
      <c r="D2" s="94"/>
      <c r="E2" s="94"/>
      <c r="F2" s="94"/>
      <c r="G2" s="94"/>
      <c r="H2" s="94"/>
    </row>
    <row r="3" spans="1:8" x14ac:dyDescent="0.25">
      <c r="A3" s="22" t="s">
        <v>0</v>
      </c>
      <c r="B3" s="23" t="s">
        <v>1</v>
      </c>
      <c r="C3" s="24" t="s">
        <v>1013</v>
      </c>
      <c r="D3" s="25" t="s">
        <v>1014</v>
      </c>
      <c r="E3" s="25" t="s">
        <v>1015</v>
      </c>
      <c r="F3" s="31" t="s">
        <v>1447</v>
      </c>
      <c r="G3" s="31" t="s">
        <v>1448</v>
      </c>
      <c r="H3" s="26" t="s">
        <v>1308</v>
      </c>
    </row>
    <row r="4" spans="1:8" x14ac:dyDescent="0.25">
      <c r="A4" s="1">
        <v>2278</v>
      </c>
      <c r="B4" s="12" t="s">
        <v>1422</v>
      </c>
      <c r="C4" s="11" t="s">
        <v>1088</v>
      </c>
      <c r="D4" s="13">
        <v>70</v>
      </c>
      <c r="E4" s="13">
        <v>17</v>
      </c>
      <c r="F4" s="88" t="s">
        <v>1835</v>
      </c>
      <c r="G4" s="89">
        <v>44463.593159722222</v>
      </c>
    </row>
    <row r="5" spans="1:8" x14ac:dyDescent="0.25">
      <c r="A5" s="1">
        <v>4689</v>
      </c>
      <c r="B5" s="12" t="s">
        <v>1648</v>
      </c>
      <c r="C5" s="11" t="s">
        <v>1021</v>
      </c>
      <c r="D5" s="13">
        <v>20</v>
      </c>
      <c r="E5" s="13">
        <v>3</v>
      </c>
      <c r="F5" s="88" t="s">
        <v>1838</v>
      </c>
      <c r="G5" s="89">
        <v>45175.416446759256</v>
      </c>
    </row>
    <row r="6" spans="1:8" x14ac:dyDescent="0.25">
      <c r="A6" s="1">
        <v>4690</v>
      </c>
      <c r="B6" s="12" t="s">
        <v>1649</v>
      </c>
      <c r="C6" s="11" t="s">
        <v>1021</v>
      </c>
      <c r="D6" s="13">
        <v>20</v>
      </c>
      <c r="E6" s="13">
        <v>3</v>
      </c>
      <c r="F6" s="88" t="s">
        <v>1838</v>
      </c>
      <c r="G6" s="89">
        <v>45175.416446759256</v>
      </c>
    </row>
    <row r="7" spans="1:8" x14ac:dyDescent="0.25">
      <c r="A7" s="1">
        <v>10870</v>
      </c>
      <c r="B7" s="12" t="s">
        <v>1572</v>
      </c>
      <c r="C7" s="11" t="s">
        <v>1171</v>
      </c>
      <c r="F7" s="88" t="s">
        <v>1838</v>
      </c>
      <c r="G7" s="89">
        <v>45175.416446759256</v>
      </c>
    </row>
    <row r="8" spans="1:8" x14ac:dyDescent="0.25">
      <c r="A8" s="1">
        <v>11287</v>
      </c>
      <c r="B8" s="12" t="s">
        <v>40</v>
      </c>
      <c r="C8" s="11" t="s">
        <v>1197</v>
      </c>
      <c r="D8" s="13">
        <v>45</v>
      </c>
      <c r="E8" s="13">
        <v>12</v>
      </c>
      <c r="F8" s="88" t="s">
        <v>1838</v>
      </c>
      <c r="G8" s="89">
        <v>45175.416446759256</v>
      </c>
    </row>
    <row r="9" spans="1:8" x14ac:dyDescent="0.25">
      <c r="A9" s="1">
        <v>11882</v>
      </c>
      <c r="B9" s="12" t="s">
        <v>1017</v>
      </c>
      <c r="C9" s="11" t="s">
        <v>1018</v>
      </c>
      <c r="D9" s="13">
        <v>80</v>
      </c>
      <c r="E9" s="13">
        <v>1</v>
      </c>
      <c r="F9" s="88" t="s">
        <v>1838</v>
      </c>
      <c r="G9" s="89">
        <v>45175.416446759256</v>
      </c>
    </row>
    <row r="10" spans="1:8" x14ac:dyDescent="0.25">
      <c r="A10" s="1">
        <v>11956</v>
      </c>
      <c r="B10" s="12" t="s">
        <v>1019</v>
      </c>
      <c r="C10" s="11" t="s">
        <v>1018</v>
      </c>
      <c r="D10" s="13">
        <v>80</v>
      </c>
      <c r="E10" s="13">
        <v>1</v>
      </c>
      <c r="F10" s="88" t="s">
        <v>1838</v>
      </c>
      <c r="G10" s="89">
        <v>45175.416446759256</v>
      </c>
    </row>
    <row r="11" spans="1:8" x14ac:dyDescent="0.25">
      <c r="A11" s="1">
        <v>11980</v>
      </c>
      <c r="B11" s="12" t="s">
        <v>1606</v>
      </c>
      <c r="F11" s="88" t="s">
        <v>1838</v>
      </c>
      <c r="G11" s="89">
        <v>45175.416446759256</v>
      </c>
    </row>
    <row r="12" spans="1:8" x14ac:dyDescent="0.25">
      <c r="A12" s="1">
        <v>12020</v>
      </c>
      <c r="B12" s="12" t="s">
        <v>1020</v>
      </c>
      <c r="C12" s="11" t="s">
        <v>1021</v>
      </c>
      <c r="D12" s="13">
        <v>80</v>
      </c>
      <c r="E12" s="13">
        <v>1</v>
      </c>
      <c r="F12" s="88" t="s">
        <v>1838</v>
      </c>
      <c r="G12" s="89">
        <v>45175.416446759256</v>
      </c>
    </row>
    <row r="13" spans="1:8" x14ac:dyDescent="0.25">
      <c r="A13" s="1">
        <v>12610</v>
      </c>
      <c r="B13" s="12" t="s">
        <v>1605</v>
      </c>
      <c r="C13" s="11" t="s">
        <v>1013</v>
      </c>
      <c r="D13" s="13">
        <v>45</v>
      </c>
      <c r="E13" s="13">
        <v>11</v>
      </c>
      <c r="F13" s="88" t="s">
        <v>1838</v>
      </c>
      <c r="G13" s="89">
        <v>45175.416446759256</v>
      </c>
    </row>
    <row r="14" spans="1:8" x14ac:dyDescent="0.25">
      <c r="A14" s="1">
        <v>12615</v>
      </c>
      <c r="B14" s="12" t="s">
        <v>381</v>
      </c>
      <c r="C14" s="11" t="s">
        <v>1516</v>
      </c>
      <c r="D14" s="13">
        <v>72</v>
      </c>
      <c r="E14" s="13">
        <v>9</v>
      </c>
      <c r="F14" s="88" t="s">
        <v>1838</v>
      </c>
      <c r="G14" s="89">
        <v>45175.416446759256</v>
      </c>
    </row>
    <row r="15" spans="1:8" x14ac:dyDescent="0.25">
      <c r="A15" s="1">
        <v>12657</v>
      </c>
      <c r="B15" s="12" t="s">
        <v>198</v>
      </c>
      <c r="C15" s="11" t="s">
        <v>1171</v>
      </c>
      <c r="D15" s="13">
        <v>81</v>
      </c>
      <c r="E15" s="13">
        <v>9</v>
      </c>
      <c r="F15" s="88" t="s">
        <v>1838</v>
      </c>
      <c r="G15" s="89">
        <v>45175.416446759256</v>
      </c>
    </row>
    <row r="16" spans="1:8" x14ac:dyDescent="0.25">
      <c r="A16" s="1">
        <v>12673</v>
      </c>
      <c r="B16" s="12" t="s">
        <v>926</v>
      </c>
      <c r="C16" s="11" t="s">
        <v>1021</v>
      </c>
      <c r="D16" s="13">
        <v>72</v>
      </c>
      <c r="E16" s="13">
        <v>5</v>
      </c>
      <c r="F16" s="88" t="s">
        <v>1838</v>
      </c>
      <c r="G16" s="89">
        <v>45175.416446759256</v>
      </c>
    </row>
    <row r="17" spans="1:7" x14ac:dyDescent="0.25">
      <c r="A17" s="1">
        <v>12675</v>
      </c>
      <c r="B17" s="12" t="s">
        <v>188</v>
      </c>
      <c r="C17" s="11" t="s">
        <v>1021</v>
      </c>
      <c r="D17" s="13">
        <v>72</v>
      </c>
      <c r="E17" s="13">
        <v>5</v>
      </c>
      <c r="F17" s="88" t="s">
        <v>1838</v>
      </c>
      <c r="G17" s="89">
        <v>45175.416446759256</v>
      </c>
    </row>
    <row r="18" spans="1:7" x14ac:dyDescent="0.25">
      <c r="A18" s="1">
        <v>12708</v>
      </c>
      <c r="B18" s="12" t="s">
        <v>1291</v>
      </c>
      <c r="F18" s="88" t="s">
        <v>1838</v>
      </c>
      <c r="G18" s="89">
        <v>45175.416446759256</v>
      </c>
    </row>
    <row r="19" spans="1:7" x14ac:dyDescent="0.25">
      <c r="A19" s="1">
        <v>12712</v>
      </c>
      <c r="B19" s="12" t="s">
        <v>384</v>
      </c>
      <c r="C19" s="11" t="s">
        <v>1021</v>
      </c>
      <c r="D19" s="13">
        <v>72</v>
      </c>
      <c r="E19" s="13">
        <v>9</v>
      </c>
      <c r="F19" s="88" t="s">
        <v>1838</v>
      </c>
      <c r="G19" s="89">
        <v>45175.416446759256</v>
      </c>
    </row>
    <row r="20" spans="1:7" x14ac:dyDescent="0.25">
      <c r="A20" s="1">
        <v>12720</v>
      </c>
      <c r="B20" s="12" t="s">
        <v>1022</v>
      </c>
      <c r="C20" s="11" t="s">
        <v>1021</v>
      </c>
      <c r="D20" s="13">
        <v>72</v>
      </c>
      <c r="E20" s="13">
        <v>6</v>
      </c>
      <c r="F20" s="88" t="s">
        <v>1838</v>
      </c>
      <c r="G20" s="89">
        <v>45175.416446759256</v>
      </c>
    </row>
    <row r="21" spans="1:7" x14ac:dyDescent="0.25">
      <c r="A21" s="1">
        <v>12806</v>
      </c>
      <c r="B21" s="12" t="s">
        <v>12</v>
      </c>
      <c r="C21" s="11" t="s">
        <v>1136</v>
      </c>
      <c r="D21" s="13">
        <v>76</v>
      </c>
      <c r="E21" s="13">
        <v>16</v>
      </c>
      <c r="F21" s="88" t="s">
        <v>1838</v>
      </c>
      <c r="G21" s="89">
        <v>45175.416446759256</v>
      </c>
    </row>
    <row r="22" spans="1:7" x14ac:dyDescent="0.25">
      <c r="A22" s="1">
        <v>12812</v>
      </c>
      <c r="B22" s="12" t="s">
        <v>155</v>
      </c>
      <c r="C22" s="11" t="s">
        <v>1021</v>
      </c>
      <c r="D22" s="13">
        <v>76</v>
      </c>
      <c r="E22" s="13">
        <v>11</v>
      </c>
      <c r="F22" s="88" t="s">
        <v>1838</v>
      </c>
      <c r="G22" s="89">
        <v>45175.416446759256</v>
      </c>
    </row>
    <row r="23" spans="1:7" x14ac:dyDescent="0.25">
      <c r="A23" s="1">
        <v>12818</v>
      </c>
      <c r="B23" s="12" t="s">
        <v>5</v>
      </c>
      <c r="C23" s="11" t="s">
        <v>1490</v>
      </c>
      <c r="D23" s="13">
        <v>76</v>
      </c>
      <c r="E23" s="13">
        <v>6</v>
      </c>
      <c r="F23" s="88" t="s">
        <v>1838</v>
      </c>
      <c r="G23" s="89">
        <v>45175.416446759256</v>
      </c>
    </row>
    <row r="24" spans="1:7" x14ac:dyDescent="0.25">
      <c r="A24" s="1">
        <v>12820</v>
      </c>
      <c r="B24" s="12" t="s">
        <v>231</v>
      </c>
      <c r="C24" s="11" t="s">
        <v>1490</v>
      </c>
      <c r="D24" s="13">
        <v>76</v>
      </c>
      <c r="E24" s="13">
        <v>6</v>
      </c>
      <c r="F24" s="88" t="s">
        <v>1838</v>
      </c>
      <c r="G24" s="89">
        <v>45175.416446759256</v>
      </c>
    </row>
    <row r="25" spans="1:7" x14ac:dyDescent="0.25">
      <c r="A25" s="1">
        <v>12829</v>
      </c>
      <c r="B25" s="12" t="s">
        <v>6</v>
      </c>
      <c r="C25" s="11" t="s">
        <v>1490</v>
      </c>
      <c r="D25" s="13">
        <v>76</v>
      </c>
      <c r="E25" s="13">
        <v>6</v>
      </c>
      <c r="F25" s="88" t="s">
        <v>1838</v>
      </c>
      <c r="G25" s="89">
        <v>45175.416446759256</v>
      </c>
    </row>
    <row r="26" spans="1:7" x14ac:dyDescent="0.25">
      <c r="A26" s="1">
        <v>12831</v>
      </c>
      <c r="B26" s="12" t="s">
        <v>7</v>
      </c>
      <c r="C26" s="11" t="s">
        <v>1490</v>
      </c>
      <c r="D26" s="13">
        <v>76</v>
      </c>
      <c r="E26" s="13">
        <v>6</v>
      </c>
      <c r="F26" s="88" t="s">
        <v>1838</v>
      </c>
      <c r="G26" s="89">
        <v>45175.416446759256</v>
      </c>
    </row>
    <row r="27" spans="1:7" x14ac:dyDescent="0.25">
      <c r="A27" s="1">
        <v>12838</v>
      </c>
      <c r="B27" s="12" t="s">
        <v>8</v>
      </c>
      <c r="C27" s="11" t="s">
        <v>1490</v>
      </c>
      <c r="D27" s="13">
        <v>76</v>
      </c>
      <c r="E27" s="13">
        <v>6</v>
      </c>
      <c r="F27" s="88" t="s">
        <v>1838</v>
      </c>
      <c r="G27" s="89">
        <v>45175.416446759256</v>
      </c>
    </row>
    <row r="28" spans="1:7" x14ac:dyDescent="0.25">
      <c r="A28" s="1">
        <v>12851</v>
      </c>
      <c r="B28" s="12" t="s">
        <v>510</v>
      </c>
      <c r="C28" s="11" t="s">
        <v>1021</v>
      </c>
      <c r="D28" s="13">
        <v>51</v>
      </c>
      <c r="E28" s="13">
        <v>12</v>
      </c>
      <c r="F28" s="88" t="s">
        <v>1838</v>
      </c>
      <c r="G28" s="89">
        <v>45175.416446759256</v>
      </c>
    </row>
    <row r="29" spans="1:7" x14ac:dyDescent="0.25">
      <c r="A29" s="1">
        <v>12853</v>
      </c>
      <c r="B29" s="12" t="s">
        <v>961</v>
      </c>
      <c r="C29" s="11" t="s">
        <v>1021</v>
      </c>
      <c r="D29" s="13">
        <v>76</v>
      </c>
      <c r="E29" s="13">
        <v>11</v>
      </c>
      <c r="F29" s="88" t="s">
        <v>1838</v>
      </c>
      <c r="G29" s="89">
        <v>45175.416446759256</v>
      </c>
    </row>
    <row r="30" spans="1:7" x14ac:dyDescent="0.25">
      <c r="A30" s="1">
        <v>12857</v>
      </c>
      <c r="B30" s="12" t="s">
        <v>152</v>
      </c>
      <c r="C30" s="11" t="s">
        <v>1021</v>
      </c>
      <c r="D30" s="13">
        <v>76</v>
      </c>
      <c r="E30" s="13">
        <v>11</v>
      </c>
      <c r="F30" s="88" t="s">
        <v>1838</v>
      </c>
      <c r="G30" s="89">
        <v>45175.416446759256</v>
      </c>
    </row>
    <row r="31" spans="1:7" x14ac:dyDescent="0.25">
      <c r="A31" s="1">
        <v>12869</v>
      </c>
      <c r="B31" s="12" t="s">
        <v>732</v>
      </c>
      <c r="C31" s="11" t="s">
        <v>1021</v>
      </c>
      <c r="D31" s="13">
        <v>61</v>
      </c>
      <c r="E31" s="13">
        <v>8</v>
      </c>
      <c r="F31" s="88" t="s">
        <v>1838</v>
      </c>
      <c r="G31" s="89">
        <v>45175.416446759256</v>
      </c>
    </row>
    <row r="32" spans="1:7" x14ac:dyDescent="0.25">
      <c r="A32" s="1">
        <v>12888</v>
      </c>
      <c r="B32" s="12" t="s">
        <v>1023</v>
      </c>
      <c r="C32" s="11" t="s">
        <v>1021</v>
      </c>
      <c r="D32" s="13">
        <v>61</v>
      </c>
      <c r="E32" s="13">
        <v>8</v>
      </c>
      <c r="F32" s="88" t="s">
        <v>1838</v>
      </c>
      <c r="G32" s="89">
        <v>45175.416446759256</v>
      </c>
    </row>
    <row r="33" spans="1:7" x14ac:dyDescent="0.25">
      <c r="A33" s="1">
        <v>12915</v>
      </c>
      <c r="B33" s="12" t="s">
        <v>1024</v>
      </c>
      <c r="C33" s="11" t="s">
        <v>1025</v>
      </c>
      <c r="D33" s="13">
        <v>76</v>
      </c>
      <c r="E33" s="13">
        <v>5</v>
      </c>
      <c r="F33" s="88" t="s">
        <v>1838</v>
      </c>
      <c r="G33" s="89">
        <v>45175.416446759256</v>
      </c>
    </row>
    <row r="34" spans="1:7" x14ac:dyDescent="0.25">
      <c r="A34" s="1">
        <v>12925</v>
      </c>
      <c r="B34" s="12" t="s">
        <v>1452</v>
      </c>
      <c r="C34" s="11" t="s">
        <v>1021</v>
      </c>
      <c r="D34" s="13">
        <v>70</v>
      </c>
      <c r="E34" s="13">
        <v>17</v>
      </c>
      <c r="F34" s="88" t="s">
        <v>1838</v>
      </c>
      <c r="G34" s="89">
        <v>45175.416446759256</v>
      </c>
    </row>
    <row r="35" spans="1:7" x14ac:dyDescent="0.25">
      <c r="A35" s="1">
        <v>12934</v>
      </c>
      <c r="B35" s="12" t="s">
        <v>1026</v>
      </c>
      <c r="C35" s="11" t="s">
        <v>1021</v>
      </c>
      <c r="D35" s="13">
        <v>70</v>
      </c>
      <c r="E35" s="13">
        <v>30</v>
      </c>
      <c r="F35" s="88" t="s">
        <v>1838</v>
      </c>
      <c r="G35" s="89">
        <v>45175.416446759256</v>
      </c>
    </row>
    <row r="36" spans="1:7" x14ac:dyDescent="0.25">
      <c r="A36" s="1">
        <v>12937</v>
      </c>
      <c r="B36" s="12" t="s">
        <v>1027</v>
      </c>
      <c r="C36" s="11" t="s">
        <v>1021</v>
      </c>
      <c r="D36" s="13">
        <v>55</v>
      </c>
      <c r="E36" s="13">
        <v>26</v>
      </c>
      <c r="F36" s="88" t="s">
        <v>1838</v>
      </c>
      <c r="G36" s="89">
        <v>45175.416446759256</v>
      </c>
    </row>
    <row r="37" spans="1:7" x14ac:dyDescent="0.25">
      <c r="A37" s="1">
        <v>12944</v>
      </c>
      <c r="B37" s="12" t="s">
        <v>1028</v>
      </c>
      <c r="C37" s="11" t="s">
        <v>1021</v>
      </c>
      <c r="D37" s="13">
        <v>61</v>
      </c>
      <c r="E37" s="13">
        <v>8</v>
      </c>
      <c r="F37" s="88" t="s">
        <v>1838</v>
      </c>
      <c r="G37" s="89">
        <v>45175.416446759256</v>
      </c>
    </row>
    <row r="38" spans="1:7" x14ac:dyDescent="0.25">
      <c r="A38" s="1">
        <v>12953</v>
      </c>
      <c r="B38" s="12" t="s">
        <v>1029</v>
      </c>
      <c r="C38" s="11" t="s">
        <v>1021</v>
      </c>
      <c r="D38" s="13">
        <v>61</v>
      </c>
      <c r="E38" s="13">
        <v>8</v>
      </c>
      <c r="F38" s="88" t="s">
        <v>1838</v>
      </c>
      <c r="G38" s="89">
        <v>45175.416446759256</v>
      </c>
    </row>
    <row r="39" spans="1:7" x14ac:dyDescent="0.25">
      <c r="A39" s="1">
        <v>12961</v>
      </c>
      <c r="B39" s="12" t="s">
        <v>1030</v>
      </c>
      <c r="C39" s="11" t="s">
        <v>1021</v>
      </c>
      <c r="D39" s="13">
        <v>61</v>
      </c>
      <c r="E39" s="13">
        <v>8</v>
      </c>
      <c r="F39" s="88" t="s">
        <v>1838</v>
      </c>
      <c r="G39" s="89">
        <v>45175.416446759256</v>
      </c>
    </row>
    <row r="40" spans="1:7" x14ac:dyDescent="0.25">
      <c r="A40" s="1">
        <v>12964</v>
      </c>
      <c r="B40" s="12" t="s">
        <v>1031</v>
      </c>
      <c r="C40" s="11" t="s">
        <v>1021</v>
      </c>
      <c r="D40" s="13">
        <v>61</v>
      </c>
      <c r="E40" s="13">
        <v>8</v>
      </c>
      <c r="F40" s="88" t="s">
        <v>1838</v>
      </c>
      <c r="G40" s="89">
        <v>45175.416446759256</v>
      </c>
    </row>
    <row r="41" spans="1:7" x14ac:dyDescent="0.25">
      <c r="A41" s="1">
        <v>13007</v>
      </c>
      <c r="B41" s="12" t="s">
        <v>1032</v>
      </c>
      <c r="C41" s="11" t="s">
        <v>1018</v>
      </c>
      <c r="D41" s="13">
        <v>55</v>
      </c>
      <c r="E41" s="13">
        <v>32</v>
      </c>
      <c r="F41" s="88" t="s">
        <v>1838</v>
      </c>
      <c r="G41" s="89">
        <v>45175.416446759256</v>
      </c>
    </row>
    <row r="42" spans="1:7" x14ac:dyDescent="0.25">
      <c r="A42" s="1">
        <v>13013</v>
      </c>
      <c r="B42" s="12" t="s">
        <v>1033</v>
      </c>
      <c r="C42" s="11" t="s">
        <v>1021</v>
      </c>
      <c r="D42" s="13">
        <v>55</v>
      </c>
      <c r="E42" s="13">
        <v>49</v>
      </c>
      <c r="F42" s="88" t="s">
        <v>1838</v>
      </c>
      <c r="G42" s="89">
        <v>45175.416446759256</v>
      </c>
    </row>
    <row r="43" spans="1:7" x14ac:dyDescent="0.25">
      <c r="A43" s="1">
        <v>13019</v>
      </c>
      <c r="B43" s="12" t="s">
        <v>1309</v>
      </c>
      <c r="F43" s="88" t="s">
        <v>1838</v>
      </c>
      <c r="G43" s="89">
        <v>45175.416446759256</v>
      </c>
    </row>
    <row r="44" spans="1:7" x14ac:dyDescent="0.25">
      <c r="A44" s="1">
        <v>13021</v>
      </c>
      <c r="B44" s="12" t="s">
        <v>835</v>
      </c>
      <c r="C44" s="11" t="s">
        <v>1197</v>
      </c>
      <c r="D44" s="13">
        <v>67</v>
      </c>
      <c r="E44" s="13">
        <v>6</v>
      </c>
      <c r="F44" s="88" t="s">
        <v>1838</v>
      </c>
      <c r="G44" s="89">
        <v>45175.416446759256</v>
      </c>
    </row>
    <row r="45" spans="1:7" x14ac:dyDescent="0.25">
      <c r="A45" s="1">
        <v>13033</v>
      </c>
      <c r="B45" s="12" t="s">
        <v>537</v>
      </c>
      <c r="C45" s="11" t="s">
        <v>1021</v>
      </c>
      <c r="D45" s="13">
        <v>51</v>
      </c>
      <c r="E45" s="13">
        <v>26</v>
      </c>
      <c r="F45" s="88" t="s">
        <v>1838</v>
      </c>
      <c r="G45" s="89">
        <v>45175.416446759256</v>
      </c>
    </row>
    <row r="46" spans="1:7" x14ac:dyDescent="0.25">
      <c r="A46" s="1">
        <v>13053</v>
      </c>
      <c r="B46" s="12" t="s">
        <v>374</v>
      </c>
      <c r="C46" s="11" t="s">
        <v>1021</v>
      </c>
      <c r="D46" s="13">
        <v>55</v>
      </c>
      <c r="E46" s="13">
        <v>57</v>
      </c>
      <c r="F46" s="88" t="s">
        <v>1838</v>
      </c>
      <c r="G46" s="89">
        <v>45175.416446759256</v>
      </c>
    </row>
    <row r="47" spans="1:7" x14ac:dyDescent="0.25">
      <c r="A47" s="1">
        <v>13059</v>
      </c>
      <c r="B47" s="12" t="s">
        <v>367</v>
      </c>
      <c r="C47" s="11" t="s">
        <v>1021</v>
      </c>
      <c r="D47" s="13">
        <v>55</v>
      </c>
      <c r="E47" s="13">
        <v>52</v>
      </c>
      <c r="F47" s="88" t="s">
        <v>1838</v>
      </c>
      <c r="G47" s="89">
        <v>45175.416446759256</v>
      </c>
    </row>
    <row r="48" spans="1:7" x14ac:dyDescent="0.25">
      <c r="A48" s="1">
        <v>13060</v>
      </c>
      <c r="B48" s="12" t="s">
        <v>368</v>
      </c>
      <c r="C48" s="11" t="s">
        <v>1021</v>
      </c>
      <c r="D48" s="13">
        <v>55</v>
      </c>
      <c r="E48" s="13">
        <v>52</v>
      </c>
      <c r="F48" s="88" t="s">
        <v>1838</v>
      </c>
      <c r="G48" s="89">
        <v>45175.416446759256</v>
      </c>
    </row>
    <row r="49" spans="1:8" x14ac:dyDescent="0.25">
      <c r="A49" s="1">
        <v>13070</v>
      </c>
      <c r="B49" s="12" t="s">
        <v>1034</v>
      </c>
      <c r="C49" s="11" t="s">
        <v>1021</v>
      </c>
      <c r="D49" s="13">
        <v>61</v>
      </c>
      <c r="E49" s="13">
        <v>8</v>
      </c>
      <c r="F49" s="88" t="s">
        <v>1838</v>
      </c>
      <c r="G49" s="89">
        <v>45175.416446759256</v>
      </c>
    </row>
    <row r="50" spans="1:8" x14ac:dyDescent="0.25">
      <c r="A50" s="1">
        <v>13076</v>
      </c>
      <c r="B50" s="12" t="s">
        <v>1035</v>
      </c>
      <c r="C50" s="11" t="s">
        <v>1036</v>
      </c>
      <c r="D50" s="13">
        <v>67</v>
      </c>
      <c r="E50" s="13">
        <v>6</v>
      </c>
      <c r="F50" s="88" t="s">
        <v>1838</v>
      </c>
      <c r="G50" s="89">
        <v>45175.416446759256</v>
      </c>
    </row>
    <row r="51" spans="1:8" x14ac:dyDescent="0.25">
      <c r="A51" s="1">
        <v>13077</v>
      </c>
      <c r="B51" s="12" t="s">
        <v>1037</v>
      </c>
      <c r="C51" s="11" t="s">
        <v>1036</v>
      </c>
      <c r="D51" s="13">
        <v>67</v>
      </c>
      <c r="E51" s="13">
        <v>6</v>
      </c>
      <c r="F51" s="88" t="s">
        <v>1838</v>
      </c>
      <c r="G51" s="89">
        <v>45175.416446759256</v>
      </c>
    </row>
    <row r="52" spans="1:8" x14ac:dyDescent="0.25">
      <c r="A52" s="1">
        <v>13078</v>
      </c>
      <c r="B52" s="12" t="s">
        <v>1038</v>
      </c>
      <c r="C52" s="11" t="s">
        <v>1021</v>
      </c>
      <c r="D52" s="13">
        <v>61</v>
      </c>
      <c r="E52" s="13">
        <v>8</v>
      </c>
      <c r="F52" s="88" t="s">
        <v>1838</v>
      </c>
      <c r="G52" s="89">
        <v>45175.416446759256</v>
      </c>
    </row>
    <row r="53" spans="1:8" x14ac:dyDescent="0.25">
      <c r="A53" s="1">
        <v>13096</v>
      </c>
      <c r="B53" s="12" t="s">
        <v>1039</v>
      </c>
      <c r="C53" s="11" t="s">
        <v>1021</v>
      </c>
      <c r="D53" s="13">
        <v>51</v>
      </c>
      <c r="E53" s="13">
        <v>36</v>
      </c>
      <c r="F53" s="88" t="s">
        <v>1838</v>
      </c>
      <c r="G53" s="89">
        <v>45175.416446759256</v>
      </c>
    </row>
    <row r="54" spans="1:8" x14ac:dyDescent="0.25">
      <c r="A54" s="1">
        <v>13100</v>
      </c>
      <c r="B54" s="12" t="s">
        <v>1040</v>
      </c>
      <c r="C54" s="11" t="s">
        <v>1021</v>
      </c>
      <c r="D54" s="13">
        <v>61</v>
      </c>
      <c r="E54" s="13">
        <v>8</v>
      </c>
      <c r="F54" s="88" t="s">
        <v>1838</v>
      </c>
      <c r="G54" s="89">
        <v>45175.416446759256</v>
      </c>
    </row>
    <row r="55" spans="1:8" x14ac:dyDescent="0.25">
      <c r="A55" s="1">
        <v>13123</v>
      </c>
      <c r="B55" s="12" t="s">
        <v>1041</v>
      </c>
      <c r="C55" s="11" t="s">
        <v>1021</v>
      </c>
      <c r="D55" s="13">
        <v>61</v>
      </c>
      <c r="E55" s="13">
        <v>15</v>
      </c>
      <c r="F55" s="88" t="s">
        <v>1838</v>
      </c>
      <c r="G55" s="89">
        <v>45175.416446759256</v>
      </c>
    </row>
    <row r="56" spans="1:8" x14ac:dyDescent="0.25">
      <c r="A56" s="1">
        <v>13125</v>
      </c>
      <c r="B56" s="12" t="s">
        <v>1042</v>
      </c>
      <c r="C56" s="11" t="s">
        <v>1021</v>
      </c>
      <c r="D56" s="13">
        <v>61</v>
      </c>
      <c r="E56" s="13">
        <v>15</v>
      </c>
      <c r="F56" s="88" t="s">
        <v>1838</v>
      </c>
      <c r="G56" s="89">
        <v>45175.416446759256</v>
      </c>
    </row>
    <row r="57" spans="1:8" x14ac:dyDescent="0.25">
      <c r="A57" s="1">
        <v>13130</v>
      </c>
      <c r="B57" s="12" t="s">
        <v>1489</v>
      </c>
      <c r="F57" s="88" t="s">
        <v>1838</v>
      </c>
      <c r="G57" s="89">
        <v>45175.416446759256</v>
      </c>
    </row>
    <row r="58" spans="1:8" x14ac:dyDescent="0.25">
      <c r="A58" s="1">
        <v>13152</v>
      </c>
      <c r="B58" s="12" t="s">
        <v>1043</v>
      </c>
      <c r="C58" s="11" t="s">
        <v>1021</v>
      </c>
      <c r="D58" s="13">
        <v>61</v>
      </c>
      <c r="E58" s="13">
        <v>14</v>
      </c>
      <c r="F58" s="88" t="s">
        <v>1838</v>
      </c>
      <c r="G58" s="89">
        <v>45175.416446759256</v>
      </c>
    </row>
    <row r="59" spans="1:8" x14ac:dyDescent="0.25">
      <c r="A59" s="1">
        <v>13175</v>
      </c>
      <c r="B59" s="12" t="s">
        <v>781</v>
      </c>
      <c r="C59" s="11" t="s">
        <v>1021</v>
      </c>
      <c r="D59" s="13">
        <v>61</v>
      </c>
      <c r="E59" s="13">
        <v>14</v>
      </c>
      <c r="F59" s="88" t="s">
        <v>1838</v>
      </c>
      <c r="G59" s="89">
        <v>45175.416446759256</v>
      </c>
      <c r="H59">
        <v>141429</v>
      </c>
    </row>
    <row r="60" spans="1:8" x14ac:dyDescent="0.25">
      <c r="A60" s="1">
        <v>13202</v>
      </c>
      <c r="B60" s="12" t="s">
        <v>1542</v>
      </c>
      <c r="F60" s="88" t="s">
        <v>1838</v>
      </c>
      <c r="G60" s="89">
        <v>45175.416446759256</v>
      </c>
      <c r="H60">
        <v>136556</v>
      </c>
    </row>
    <row r="61" spans="1:8" x14ac:dyDescent="0.25">
      <c r="A61" s="1">
        <v>13225</v>
      </c>
      <c r="B61" s="12" t="s">
        <v>506</v>
      </c>
      <c r="C61" s="11" t="s">
        <v>1021</v>
      </c>
      <c r="D61" s="13">
        <v>51</v>
      </c>
      <c r="E61" s="13">
        <v>11</v>
      </c>
      <c r="F61" s="88" t="s">
        <v>1838</v>
      </c>
      <c r="G61" s="89">
        <v>45175.416446759256</v>
      </c>
    </row>
    <row r="62" spans="1:8" x14ac:dyDescent="0.25">
      <c r="A62" s="1">
        <v>13905</v>
      </c>
      <c r="B62" s="12" t="s">
        <v>386</v>
      </c>
      <c r="C62" s="11" t="s">
        <v>1647</v>
      </c>
      <c r="D62" s="13">
        <v>72</v>
      </c>
      <c r="E62" s="13">
        <v>10</v>
      </c>
      <c r="F62" s="88" t="s">
        <v>1838</v>
      </c>
      <c r="G62" s="89">
        <v>45175.416446759256</v>
      </c>
    </row>
    <row r="63" spans="1:8" x14ac:dyDescent="0.25">
      <c r="A63" s="1">
        <v>13975</v>
      </c>
      <c r="B63" s="12" t="s">
        <v>195</v>
      </c>
      <c r="C63" s="11" t="s">
        <v>1021</v>
      </c>
      <c r="D63" s="13">
        <v>72</v>
      </c>
      <c r="E63" s="13">
        <v>6</v>
      </c>
      <c r="F63" s="88" t="s">
        <v>1838</v>
      </c>
      <c r="G63" s="89">
        <v>45175.416446759256</v>
      </c>
    </row>
    <row r="64" spans="1:8" x14ac:dyDescent="0.25">
      <c r="A64" s="1">
        <v>14009</v>
      </c>
      <c r="B64" s="12" t="s">
        <v>1044</v>
      </c>
      <c r="C64" s="11" t="s">
        <v>1021</v>
      </c>
      <c r="D64" s="13">
        <v>55</v>
      </c>
      <c r="E64" s="13">
        <v>46</v>
      </c>
      <c r="F64" s="88" t="s">
        <v>1838</v>
      </c>
      <c r="G64" s="89">
        <v>45175.416446759256</v>
      </c>
    </row>
    <row r="65" spans="1:8" x14ac:dyDescent="0.25">
      <c r="A65" s="1">
        <v>14010</v>
      </c>
      <c r="B65" s="12" t="s">
        <v>1045</v>
      </c>
      <c r="C65" s="11" t="s">
        <v>1021</v>
      </c>
      <c r="D65" s="13">
        <v>55</v>
      </c>
      <c r="E65" s="13">
        <v>46</v>
      </c>
      <c r="F65" s="88" t="s">
        <v>1838</v>
      </c>
      <c r="G65" s="89">
        <v>45175.416446759256</v>
      </c>
    </row>
    <row r="66" spans="1:8" x14ac:dyDescent="0.25">
      <c r="A66" s="1">
        <v>14014</v>
      </c>
      <c r="B66" s="12" t="s">
        <v>685</v>
      </c>
      <c r="C66" s="11" t="s">
        <v>1021</v>
      </c>
      <c r="D66" s="13">
        <v>55</v>
      </c>
      <c r="E66" s="13">
        <v>46</v>
      </c>
      <c r="F66" s="88" t="s">
        <v>1838</v>
      </c>
      <c r="G66" s="89">
        <v>45175.416446759256</v>
      </c>
    </row>
    <row r="67" spans="1:8" x14ac:dyDescent="0.25">
      <c r="A67" s="1">
        <v>14199</v>
      </c>
      <c r="B67" s="12" t="s">
        <v>383</v>
      </c>
      <c r="C67" s="11" t="s">
        <v>1516</v>
      </c>
      <c r="D67" s="13">
        <v>72</v>
      </c>
      <c r="E67" s="13">
        <v>9</v>
      </c>
      <c r="F67" s="88" t="s">
        <v>1838</v>
      </c>
      <c r="G67" s="89">
        <v>45175.416446759256</v>
      </c>
    </row>
    <row r="68" spans="1:8" x14ac:dyDescent="0.25">
      <c r="A68" s="1">
        <v>14895</v>
      </c>
      <c r="B68" s="12" t="s">
        <v>1046</v>
      </c>
      <c r="C68" s="11" t="s">
        <v>1021</v>
      </c>
      <c r="D68" s="13">
        <v>55</v>
      </c>
      <c r="E68" s="13">
        <v>27</v>
      </c>
      <c r="F68" s="88" t="s">
        <v>1838</v>
      </c>
      <c r="G68" s="89">
        <v>45175.416446759256</v>
      </c>
    </row>
    <row r="69" spans="1:8" x14ac:dyDescent="0.25">
      <c r="A69" s="1">
        <v>15029</v>
      </c>
      <c r="B69" s="12" t="s">
        <v>1543</v>
      </c>
      <c r="C69" s="11" t="s">
        <v>1021</v>
      </c>
      <c r="D69" s="13">
        <v>61</v>
      </c>
      <c r="E69" s="13">
        <v>10</v>
      </c>
      <c r="F69" s="88" t="s">
        <v>1838</v>
      </c>
      <c r="G69" s="89">
        <v>45175.416446759256</v>
      </c>
      <c r="H69">
        <v>138055</v>
      </c>
    </row>
    <row r="70" spans="1:8" x14ac:dyDescent="0.25">
      <c r="A70" s="1">
        <v>15128</v>
      </c>
      <c r="B70" s="12" t="s">
        <v>1047</v>
      </c>
      <c r="C70" s="11" t="s">
        <v>1048</v>
      </c>
      <c r="D70" s="13">
        <v>61</v>
      </c>
      <c r="E70" s="13">
        <v>2</v>
      </c>
      <c r="F70" s="88" t="s">
        <v>1838</v>
      </c>
      <c r="G70" s="89">
        <v>45175.416446759256</v>
      </c>
    </row>
    <row r="71" spans="1:8" x14ac:dyDescent="0.25">
      <c r="A71" s="1">
        <v>15438</v>
      </c>
      <c r="B71" s="12" t="s">
        <v>1049</v>
      </c>
      <c r="C71" s="11" t="s">
        <v>1021</v>
      </c>
      <c r="D71" s="13">
        <v>51</v>
      </c>
      <c r="E71" s="13">
        <v>9</v>
      </c>
      <c r="F71" s="88" t="s">
        <v>1838</v>
      </c>
      <c r="G71" s="89">
        <v>45175.416446759256</v>
      </c>
    </row>
    <row r="72" spans="1:8" x14ac:dyDescent="0.25">
      <c r="A72" s="1">
        <v>15761</v>
      </c>
      <c r="B72" s="12" t="s">
        <v>286</v>
      </c>
      <c r="C72" s="11" t="s">
        <v>1021</v>
      </c>
      <c r="D72" s="13">
        <v>61</v>
      </c>
      <c r="E72" s="13">
        <v>8</v>
      </c>
      <c r="F72" s="88" t="s">
        <v>1838</v>
      </c>
      <c r="G72" s="89">
        <v>45175.416446759256</v>
      </c>
      <c r="H72">
        <v>63277</v>
      </c>
    </row>
    <row r="73" spans="1:8" x14ac:dyDescent="0.25">
      <c r="A73" s="1">
        <v>15804</v>
      </c>
      <c r="B73" s="12" t="s">
        <v>1051</v>
      </c>
      <c r="C73" s="11" t="s">
        <v>1021</v>
      </c>
      <c r="D73" s="13">
        <v>51</v>
      </c>
      <c r="E73" s="13">
        <v>17</v>
      </c>
      <c r="F73" s="88" t="s">
        <v>1838</v>
      </c>
      <c r="G73" s="89">
        <v>45175.416446759256</v>
      </c>
    </row>
    <row r="74" spans="1:8" x14ac:dyDescent="0.25">
      <c r="A74" s="1">
        <v>15840</v>
      </c>
      <c r="B74" s="12" t="s">
        <v>1544</v>
      </c>
      <c r="C74" s="11" t="s">
        <v>1025</v>
      </c>
      <c r="D74" s="13">
        <v>76</v>
      </c>
      <c r="E74" s="13">
        <v>3</v>
      </c>
      <c r="F74" s="88" t="s">
        <v>1838</v>
      </c>
      <c r="G74" s="89">
        <v>45175.416446759256</v>
      </c>
      <c r="H74">
        <v>136037</v>
      </c>
    </row>
    <row r="75" spans="1:8" x14ac:dyDescent="0.25">
      <c r="A75" s="1">
        <v>15843</v>
      </c>
      <c r="B75" s="12" t="s">
        <v>1545</v>
      </c>
      <c r="C75" s="11" t="s">
        <v>1025</v>
      </c>
      <c r="D75" s="13">
        <v>76</v>
      </c>
      <c r="E75" s="13">
        <v>3</v>
      </c>
      <c r="F75" s="88" t="s">
        <v>1838</v>
      </c>
      <c r="G75" s="89">
        <v>45175.416446759256</v>
      </c>
      <c r="H75">
        <v>135238</v>
      </c>
    </row>
    <row r="76" spans="1:8" x14ac:dyDescent="0.25">
      <c r="A76" s="1">
        <v>15845</v>
      </c>
      <c r="B76" s="12" t="s">
        <v>1546</v>
      </c>
      <c r="C76" s="11" t="s">
        <v>1025</v>
      </c>
      <c r="D76" s="13">
        <v>76</v>
      </c>
      <c r="E76" s="13">
        <v>3</v>
      </c>
      <c r="F76" s="88" t="s">
        <v>1838</v>
      </c>
      <c r="G76" s="89">
        <v>45175.416446759256</v>
      </c>
      <c r="H76">
        <v>136038</v>
      </c>
    </row>
    <row r="77" spans="1:8" x14ac:dyDescent="0.25">
      <c r="A77" s="1">
        <v>15847</v>
      </c>
      <c r="B77" s="12" t="s">
        <v>1547</v>
      </c>
      <c r="C77" s="11" t="s">
        <v>1025</v>
      </c>
      <c r="D77" s="13">
        <v>76</v>
      </c>
      <c r="E77" s="13">
        <v>3</v>
      </c>
      <c r="F77" s="88" t="s">
        <v>1838</v>
      </c>
      <c r="G77" s="89">
        <v>45175.416446759256</v>
      </c>
      <c r="H77">
        <v>136039</v>
      </c>
    </row>
    <row r="78" spans="1:8" x14ac:dyDescent="0.25">
      <c r="A78" s="1">
        <v>15900</v>
      </c>
      <c r="B78" s="12" t="s">
        <v>1548</v>
      </c>
      <c r="C78" s="11" t="s">
        <v>1025</v>
      </c>
      <c r="F78" s="88" t="s">
        <v>1838</v>
      </c>
      <c r="G78" s="89">
        <v>45175.416446759256</v>
      </c>
      <c r="H78">
        <v>135239</v>
      </c>
    </row>
    <row r="79" spans="1:8" x14ac:dyDescent="0.25">
      <c r="A79" s="1">
        <v>16300</v>
      </c>
      <c r="B79" s="12" t="s">
        <v>1052</v>
      </c>
      <c r="C79" s="11" t="s">
        <v>1021</v>
      </c>
      <c r="D79" s="13">
        <v>74</v>
      </c>
      <c r="E79" s="13">
        <v>9</v>
      </c>
      <c r="F79" s="88" t="s">
        <v>1838</v>
      </c>
      <c r="G79" s="89">
        <v>45175.416446759256</v>
      </c>
    </row>
    <row r="80" spans="1:8" x14ac:dyDescent="0.25">
      <c r="A80" s="1">
        <v>16427</v>
      </c>
      <c r="B80" s="12" t="s">
        <v>1053</v>
      </c>
      <c r="C80" s="11" t="s">
        <v>1021</v>
      </c>
      <c r="D80" s="13">
        <v>52</v>
      </c>
      <c r="E80" s="13">
        <v>7</v>
      </c>
      <c r="F80" s="88" t="s">
        <v>1838</v>
      </c>
      <c r="G80" s="89">
        <v>45175.416446759256</v>
      </c>
    </row>
    <row r="81" spans="1:8" x14ac:dyDescent="0.25">
      <c r="A81" s="1">
        <v>16528</v>
      </c>
      <c r="B81" s="12" t="s">
        <v>400</v>
      </c>
      <c r="C81" s="11" t="s">
        <v>1021</v>
      </c>
      <c r="D81" s="13">
        <v>73</v>
      </c>
      <c r="E81" s="13">
        <v>4</v>
      </c>
      <c r="F81" s="88" t="s">
        <v>1838</v>
      </c>
      <c r="G81" s="89">
        <v>45175.416446759256</v>
      </c>
      <c r="H81">
        <v>89194</v>
      </c>
    </row>
    <row r="82" spans="1:8" x14ac:dyDescent="0.25">
      <c r="A82" s="1">
        <v>16532</v>
      </c>
      <c r="B82" s="12" t="s">
        <v>1054</v>
      </c>
      <c r="C82" s="11" t="s">
        <v>1021</v>
      </c>
      <c r="D82" s="13">
        <v>73</v>
      </c>
      <c r="E82" s="13">
        <v>4</v>
      </c>
      <c r="F82" s="88" t="s">
        <v>1838</v>
      </c>
      <c r="G82" s="89">
        <v>45175.416446759256</v>
      </c>
    </row>
    <row r="83" spans="1:8" x14ac:dyDescent="0.25">
      <c r="A83" s="1">
        <v>16590</v>
      </c>
      <c r="B83" s="12" t="s">
        <v>1055</v>
      </c>
      <c r="C83" s="11" t="s">
        <v>1013</v>
      </c>
      <c r="D83" s="13">
        <v>51</v>
      </c>
      <c r="E83" s="13">
        <v>49</v>
      </c>
      <c r="F83" s="88" t="s">
        <v>1838</v>
      </c>
      <c r="G83" s="89">
        <v>45175.416446759256</v>
      </c>
    </row>
    <row r="84" spans="1:8" x14ac:dyDescent="0.25">
      <c r="A84" s="1">
        <v>16688</v>
      </c>
      <c r="B84" s="12" t="s">
        <v>1056</v>
      </c>
      <c r="C84" s="11" t="s">
        <v>1021</v>
      </c>
      <c r="D84" s="13">
        <v>52</v>
      </c>
      <c r="E84" s="13">
        <v>7</v>
      </c>
      <c r="F84" s="88" t="s">
        <v>1838</v>
      </c>
      <c r="G84" s="89">
        <v>45175.416446759256</v>
      </c>
    </row>
    <row r="85" spans="1:8" x14ac:dyDescent="0.25">
      <c r="A85" s="1">
        <v>16691</v>
      </c>
      <c r="B85" s="12" t="s">
        <v>1057</v>
      </c>
      <c r="C85" s="11" t="s">
        <v>1021</v>
      </c>
      <c r="D85" s="13">
        <v>52</v>
      </c>
      <c r="E85" s="13">
        <v>7</v>
      </c>
      <c r="F85" s="88" t="s">
        <v>1838</v>
      </c>
      <c r="G85" s="89">
        <v>45175.416446759256</v>
      </c>
    </row>
    <row r="86" spans="1:8" x14ac:dyDescent="0.25">
      <c r="A86" s="1">
        <v>16692</v>
      </c>
      <c r="B86" s="12" t="s">
        <v>1058</v>
      </c>
      <c r="C86" s="11" t="s">
        <v>1021</v>
      </c>
      <c r="D86" s="13">
        <v>52</v>
      </c>
      <c r="E86" s="13">
        <v>7</v>
      </c>
      <c r="F86" s="88" t="s">
        <v>1838</v>
      </c>
      <c r="G86" s="89">
        <v>45175.416446759256</v>
      </c>
    </row>
    <row r="87" spans="1:8" x14ac:dyDescent="0.25">
      <c r="A87" s="1">
        <v>16729</v>
      </c>
      <c r="B87" s="12" t="s">
        <v>1059</v>
      </c>
      <c r="C87" s="11" t="s">
        <v>1013</v>
      </c>
      <c r="D87" s="13">
        <v>52</v>
      </c>
      <c r="E87" s="13">
        <v>13</v>
      </c>
      <c r="F87" s="88" t="s">
        <v>1838</v>
      </c>
      <c r="G87" s="89">
        <v>45175.416446759256</v>
      </c>
    </row>
    <row r="88" spans="1:8" x14ac:dyDescent="0.25">
      <c r="A88" s="1">
        <v>16736</v>
      </c>
      <c r="B88" s="12" t="s">
        <v>1060</v>
      </c>
      <c r="C88" s="11" t="s">
        <v>1021</v>
      </c>
      <c r="D88" s="13">
        <v>52</v>
      </c>
      <c r="E88" s="13">
        <v>13</v>
      </c>
      <c r="F88" s="88" t="s">
        <v>1838</v>
      </c>
      <c r="G88" s="89">
        <v>45175.416446759256</v>
      </c>
    </row>
    <row r="89" spans="1:8" x14ac:dyDescent="0.25">
      <c r="A89" s="1">
        <v>16737</v>
      </c>
      <c r="B89" s="12" t="s">
        <v>1061</v>
      </c>
      <c r="C89" s="11" t="s">
        <v>1021</v>
      </c>
      <c r="D89" s="13">
        <v>52</v>
      </c>
      <c r="E89" s="13">
        <v>13</v>
      </c>
      <c r="F89" s="88" t="s">
        <v>1838</v>
      </c>
      <c r="G89" s="89">
        <v>45175.416446759256</v>
      </c>
    </row>
    <row r="90" spans="1:8" x14ac:dyDescent="0.25">
      <c r="A90" s="1">
        <v>16757</v>
      </c>
      <c r="B90" s="12" t="s">
        <v>1062</v>
      </c>
      <c r="C90" s="11" t="s">
        <v>1021</v>
      </c>
      <c r="D90" s="13">
        <v>52</v>
      </c>
      <c r="E90" s="13">
        <v>8</v>
      </c>
      <c r="F90" s="88" t="s">
        <v>1838</v>
      </c>
      <c r="G90" s="89">
        <v>45175.416446759256</v>
      </c>
    </row>
    <row r="91" spans="1:8" x14ac:dyDescent="0.25">
      <c r="A91" s="1">
        <v>16763</v>
      </c>
      <c r="B91" s="12" t="s">
        <v>1063</v>
      </c>
      <c r="C91" s="11" t="s">
        <v>1021</v>
      </c>
      <c r="D91" s="13">
        <v>52</v>
      </c>
      <c r="E91" s="13">
        <v>7</v>
      </c>
      <c r="F91" s="88" t="s">
        <v>1838</v>
      </c>
      <c r="G91" s="89">
        <v>45175.416446759256</v>
      </c>
    </row>
    <row r="92" spans="1:8" x14ac:dyDescent="0.25">
      <c r="A92" s="1">
        <v>16808</v>
      </c>
      <c r="B92" s="12" t="s">
        <v>1064</v>
      </c>
      <c r="C92" s="11" t="s">
        <v>1021</v>
      </c>
      <c r="D92" s="13">
        <v>52</v>
      </c>
      <c r="E92" s="13">
        <v>13</v>
      </c>
      <c r="F92" s="88" t="s">
        <v>1838</v>
      </c>
      <c r="G92" s="89">
        <v>45175.416446759256</v>
      </c>
    </row>
    <row r="93" spans="1:8" x14ac:dyDescent="0.25">
      <c r="A93" s="1">
        <v>16813</v>
      </c>
      <c r="B93" s="12" t="s">
        <v>1065</v>
      </c>
      <c r="C93" s="11" t="s">
        <v>1021</v>
      </c>
      <c r="D93" s="13">
        <v>52</v>
      </c>
      <c r="E93" s="13">
        <v>13</v>
      </c>
      <c r="F93" s="88" t="s">
        <v>1838</v>
      </c>
      <c r="G93" s="89">
        <v>45175.416446759256</v>
      </c>
    </row>
    <row r="94" spans="1:8" x14ac:dyDescent="0.25">
      <c r="A94" s="1">
        <v>16827</v>
      </c>
      <c r="B94" s="12" t="s">
        <v>1066</v>
      </c>
      <c r="C94" s="11" t="s">
        <v>1021</v>
      </c>
      <c r="D94" s="13">
        <v>52</v>
      </c>
      <c r="E94" s="13">
        <v>13</v>
      </c>
      <c r="F94" s="88" t="s">
        <v>1838</v>
      </c>
      <c r="G94" s="89">
        <v>45175.416446759256</v>
      </c>
    </row>
    <row r="95" spans="1:8" x14ac:dyDescent="0.25">
      <c r="A95" s="1">
        <v>16835</v>
      </c>
      <c r="B95" s="12" t="s">
        <v>1067</v>
      </c>
      <c r="C95" s="11" t="s">
        <v>1021</v>
      </c>
      <c r="D95" s="13">
        <v>52</v>
      </c>
      <c r="E95" s="13">
        <v>13</v>
      </c>
      <c r="F95" s="88" t="s">
        <v>1838</v>
      </c>
      <c r="G95" s="89">
        <v>45175.416446759256</v>
      </c>
    </row>
    <row r="96" spans="1:8" x14ac:dyDescent="0.25">
      <c r="A96" s="1">
        <v>16846</v>
      </c>
      <c r="B96" s="12" t="s">
        <v>1068</v>
      </c>
      <c r="C96" s="11" t="s">
        <v>1021</v>
      </c>
      <c r="D96" s="13">
        <v>52</v>
      </c>
      <c r="E96" s="13">
        <v>13</v>
      </c>
      <c r="F96" s="88" t="s">
        <v>1838</v>
      </c>
      <c r="G96" s="89">
        <v>45175.416446759256</v>
      </c>
    </row>
    <row r="97" spans="1:7" x14ac:dyDescent="0.25">
      <c r="A97" s="1">
        <v>17026</v>
      </c>
      <c r="B97" s="12" t="s">
        <v>1069</v>
      </c>
      <c r="C97" s="11" t="s">
        <v>1021</v>
      </c>
      <c r="D97" s="13">
        <v>52</v>
      </c>
      <c r="E97" s="13">
        <v>7</v>
      </c>
      <c r="F97" s="88" t="s">
        <v>1838</v>
      </c>
      <c r="G97" s="89">
        <v>45175.416446759256</v>
      </c>
    </row>
    <row r="98" spans="1:7" x14ac:dyDescent="0.25">
      <c r="A98" s="1">
        <v>17033</v>
      </c>
      <c r="B98" s="12" t="s">
        <v>1070</v>
      </c>
      <c r="C98" s="11" t="s">
        <v>1021</v>
      </c>
      <c r="D98" s="13">
        <v>52</v>
      </c>
      <c r="E98" s="13">
        <v>13</v>
      </c>
      <c r="F98" s="88" t="s">
        <v>1838</v>
      </c>
      <c r="G98" s="89">
        <v>45175.416446759256</v>
      </c>
    </row>
    <row r="99" spans="1:7" x14ac:dyDescent="0.25">
      <c r="A99" s="1">
        <v>17064</v>
      </c>
      <c r="B99" s="12" t="s">
        <v>1071</v>
      </c>
      <c r="C99" s="11" t="s">
        <v>1021</v>
      </c>
      <c r="D99" s="13">
        <v>52</v>
      </c>
      <c r="E99" s="13">
        <v>13</v>
      </c>
      <c r="F99" s="88" t="s">
        <v>1838</v>
      </c>
      <c r="G99" s="89">
        <v>45175.416446759256</v>
      </c>
    </row>
    <row r="100" spans="1:7" x14ac:dyDescent="0.25">
      <c r="A100" s="1">
        <v>17105</v>
      </c>
      <c r="B100" s="12" t="s">
        <v>1072</v>
      </c>
      <c r="C100" s="11" t="s">
        <v>1021</v>
      </c>
      <c r="D100" s="13">
        <v>52</v>
      </c>
      <c r="E100" s="13">
        <v>5</v>
      </c>
      <c r="F100" s="88" t="s">
        <v>1838</v>
      </c>
      <c r="G100" s="89">
        <v>45175.416446759256</v>
      </c>
    </row>
    <row r="101" spans="1:7" x14ac:dyDescent="0.25">
      <c r="A101" s="1">
        <v>17537</v>
      </c>
      <c r="B101" s="12" t="s">
        <v>1073</v>
      </c>
      <c r="C101" s="11" t="s">
        <v>1021</v>
      </c>
      <c r="D101" s="13">
        <v>70</v>
      </c>
      <c r="E101" s="13">
        <v>17</v>
      </c>
      <c r="F101" s="88" t="s">
        <v>1838</v>
      </c>
      <c r="G101" s="89">
        <v>45175.416446759256</v>
      </c>
    </row>
    <row r="102" spans="1:7" x14ac:dyDescent="0.25">
      <c r="A102" s="1">
        <v>17659</v>
      </c>
      <c r="B102" s="12" t="s">
        <v>981</v>
      </c>
      <c r="C102" s="11" t="s">
        <v>1021</v>
      </c>
      <c r="D102" s="13">
        <v>83</v>
      </c>
      <c r="E102" s="13">
        <v>3</v>
      </c>
      <c r="F102" s="88" t="s">
        <v>1838</v>
      </c>
      <c r="G102" s="89">
        <v>45175.416446759256</v>
      </c>
    </row>
    <row r="103" spans="1:7" x14ac:dyDescent="0.25">
      <c r="A103" s="1">
        <v>17663</v>
      </c>
      <c r="B103" s="12" t="s">
        <v>979</v>
      </c>
      <c r="C103" s="11" t="s">
        <v>1050</v>
      </c>
      <c r="D103" s="13">
        <v>83</v>
      </c>
      <c r="E103" s="13">
        <v>2</v>
      </c>
      <c r="F103" s="88" t="s">
        <v>1838</v>
      </c>
      <c r="G103" s="89">
        <v>45175.416446759256</v>
      </c>
    </row>
    <row r="104" spans="1:7" x14ac:dyDescent="0.25">
      <c r="A104" s="1">
        <v>17670</v>
      </c>
      <c r="B104" s="12" t="s">
        <v>1074</v>
      </c>
      <c r="C104" s="11" t="s">
        <v>1036</v>
      </c>
      <c r="D104" s="13">
        <v>67</v>
      </c>
      <c r="E104" s="13">
        <v>6</v>
      </c>
      <c r="F104" s="88" t="s">
        <v>1838</v>
      </c>
      <c r="G104" s="89">
        <v>45175.416446759256</v>
      </c>
    </row>
    <row r="105" spans="1:7" x14ac:dyDescent="0.25">
      <c r="A105" s="1">
        <v>18342</v>
      </c>
      <c r="B105" s="12" t="s">
        <v>1075</v>
      </c>
      <c r="C105" s="11" t="s">
        <v>1036</v>
      </c>
      <c r="D105" s="13">
        <v>67</v>
      </c>
      <c r="E105" s="13">
        <v>6</v>
      </c>
      <c r="F105" s="88" t="s">
        <v>1838</v>
      </c>
      <c r="G105" s="89">
        <v>45175.416446759256</v>
      </c>
    </row>
    <row r="106" spans="1:7" x14ac:dyDescent="0.25">
      <c r="A106" s="1">
        <v>18351</v>
      </c>
      <c r="B106" s="12" t="s">
        <v>1076</v>
      </c>
      <c r="C106" s="11" t="s">
        <v>1036</v>
      </c>
      <c r="D106" s="13">
        <v>67</v>
      </c>
      <c r="E106" s="13">
        <v>6</v>
      </c>
      <c r="F106" s="88" t="s">
        <v>1838</v>
      </c>
      <c r="G106" s="89">
        <v>45175.416446759256</v>
      </c>
    </row>
    <row r="107" spans="1:7" x14ac:dyDescent="0.25">
      <c r="A107" s="1">
        <v>19872</v>
      </c>
      <c r="B107" s="12" t="s">
        <v>1077</v>
      </c>
      <c r="C107" s="11" t="s">
        <v>1021</v>
      </c>
      <c r="D107" s="13">
        <v>70</v>
      </c>
      <c r="E107" s="13">
        <v>31</v>
      </c>
      <c r="F107" s="88" t="s">
        <v>1838</v>
      </c>
      <c r="G107" s="89">
        <v>45175.416446759256</v>
      </c>
    </row>
    <row r="108" spans="1:7" x14ac:dyDescent="0.25">
      <c r="A108" s="1">
        <v>19881</v>
      </c>
      <c r="B108" s="12" t="s">
        <v>1078</v>
      </c>
      <c r="C108" s="11" t="s">
        <v>1021</v>
      </c>
      <c r="D108" s="13">
        <v>70</v>
      </c>
      <c r="E108" s="13">
        <v>31</v>
      </c>
      <c r="F108" s="88" t="s">
        <v>1838</v>
      </c>
      <c r="G108" s="89">
        <v>45175.416446759256</v>
      </c>
    </row>
    <row r="109" spans="1:7" x14ac:dyDescent="0.25">
      <c r="A109" s="1">
        <v>19884</v>
      </c>
      <c r="B109" s="12" t="s">
        <v>1079</v>
      </c>
      <c r="C109" s="11" t="s">
        <v>1021</v>
      </c>
      <c r="D109" s="13">
        <v>70</v>
      </c>
      <c r="E109" s="13">
        <v>31</v>
      </c>
      <c r="F109" s="88" t="s">
        <v>1838</v>
      </c>
      <c r="G109" s="89">
        <v>45175.416446759256</v>
      </c>
    </row>
    <row r="110" spans="1:7" x14ac:dyDescent="0.25">
      <c r="A110" s="1">
        <v>20169</v>
      </c>
      <c r="B110" s="12" t="s">
        <v>1080</v>
      </c>
      <c r="C110" s="11" t="s">
        <v>1021</v>
      </c>
      <c r="D110" s="13">
        <v>52</v>
      </c>
      <c r="E110" s="13">
        <v>6</v>
      </c>
      <c r="F110" s="88" t="s">
        <v>1838</v>
      </c>
      <c r="G110" s="89">
        <v>45175.416446759256</v>
      </c>
    </row>
    <row r="111" spans="1:7" x14ac:dyDescent="0.25">
      <c r="A111" s="1">
        <v>20431</v>
      </c>
      <c r="B111" s="12" t="s">
        <v>1081</v>
      </c>
      <c r="C111" s="11" t="s">
        <v>1021</v>
      </c>
      <c r="D111" s="13">
        <v>70</v>
      </c>
      <c r="E111" s="13">
        <v>15</v>
      </c>
      <c r="F111" s="88" t="s">
        <v>1838</v>
      </c>
      <c r="G111" s="89">
        <v>45175.416446759256</v>
      </c>
    </row>
    <row r="112" spans="1:7" x14ac:dyDescent="0.25">
      <c r="A112" s="1">
        <v>20539</v>
      </c>
      <c r="B112" s="12" t="s">
        <v>1082</v>
      </c>
      <c r="C112" s="11" t="s">
        <v>1036</v>
      </c>
      <c r="D112" s="13">
        <v>67</v>
      </c>
      <c r="E112" s="13">
        <v>6</v>
      </c>
      <c r="F112" s="88" t="s">
        <v>1838</v>
      </c>
      <c r="G112" s="89">
        <v>45175.416446759256</v>
      </c>
    </row>
    <row r="113" spans="1:8" x14ac:dyDescent="0.25">
      <c r="A113" s="1">
        <v>20540</v>
      </c>
      <c r="B113" s="12" t="s">
        <v>1083</v>
      </c>
      <c r="C113" s="11" t="s">
        <v>1036</v>
      </c>
      <c r="D113" s="13">
        <v>67</v>
      </c>
      <c r="E113" s="13">
        <v>6</v>
      </c>
      <c r="F113" s="88" t="s">
        <v>1838</v>
      </c>
      <c r="G113" s="89">
        <v>45175.416446759256</v>
      </c>
    </row>
    <row r="114" spans="1:8" x14ac:dyDescent="0.25">
      <c r="A114" s="1">
        <v>20585</v>
      </c>
      <c r="B114" s="12" t="s">
        <v>1084</v>
      </c>
      <c r="C114" s="11" t="s">
        <v>1021</v>
      </c>
      <c r="D114" s="13">
        <v>67</v>
      </c>
      <c r="E114" s="13">
        <v>7</v>
      </c>
      <c r="F114" s="88" t="s">
        <v>1838</v>
      </c>
      <c r="G114" s="89">
        <v>45175.416446759256</v>
      </c>
    </row>
    <row r="115" spans="1:8" x14ac:dyDescent="0.25">
      <c r="A115" s="1">
        <v>23424</v>
      </c>
      <c r="B115" s="12" t="s">
        <v>1085</v>
      </c>
      <c r="C115" s="11" t="s">
        <v>1086</v>
      </c>
      <c r="D115" s="13">
        <v>57</v>
      </c>
      <c r="E115" s="13">
        <v>19</v>
      </c>
      <c r="F115" s="88" t="s">
        <v>1838</v>
      </c>
      <c r="G115" s="89">
        <v>45175.416446759256</v>
      </c>
    </row>
    <row r="116" spans="1:8" x14ac:dyDescent="0.25">
      <c r="A116" s="1">
        <v>23992</v>
      </c>
      <c r="B116" s="12" t="s">
        <v>1087</v>
      </c>
      <c r="C116" s="11" t="s">
        <v>1088</v>
      </c>
      <c r="D116" s="13">
        <v>57</v>
      </c>
      <c r="E116" s="13">
        <v>2</v>
      </c>
      <c r="F116" s="88" t="s">
        <v>1838</v>
      </c>
      <c r="G116" s="89">
        <v>45175.416446759256</v>
      </c>
    </row>
    <row r="117" spans="1:8" x14ac:dyDescent="0.25">
      <c r="A117" s="1">
        <v>24031</v>
      </c>
      <c r="B117" s="12" t="s">
        <v>1089</v>
      </c>
      <c r="C117" s="11" t="s">
        <v>1021</v>
      </c>
      <c r="D117" s="13">
        <v>70</v>
      </c>
      <c r="E117" s="13">
        <v>24</v>
      </c>
      <c r="F117" s="88" t="s">
        <v>1838</v>
      </c>
      <c r="G117" s="89">
        <v>45175.416446759256</v>
      </c>
    </row>
    <row r="118" spans="1:8" x14ac:dyDescent="0.25">
      <c r="A118" s="1">
        <v>24205</v>
      </c>
      <c r="B118" s="12" t="s">
        <v>963</v>
      </c>
      <c r="C118" s="11" t="s">
        <v>1021</v>
      </c>
      <c r="D118" s="13">
        <v>76</v>
      </c>
      <c r="E118" s="13">
        <v>11</v>
      </c>
      <c r="F118" s="88" t="s">
        <v>1838</v>
      </c>
      <c r="G118" s="89">
        <v>45175.416446759256</v>
      </c>
      <c r="H118">
        <v>140315</v>
      </c>
    </row>
    <row r="119" spans="1:8" x14ac:dyDescent="0.25">
      <c r="A119" s="1">
        <v>24542</v>
      </c>
      <c r="B119" s="12" t="s">
        <v>1090</v>
      </c>
      <c r="C119" s="11" t="s">
        <v>1021</v>
      </c>
      <c r="D119" s="13">
        <v>52</v>
      </c>
      <c r="E119" s="13">
        <v>13</v>
      </c>
      <c r="F119" s="88" t="s">
        <v>1838</v>
      </c>
      <c r="G119" s="89">
        <v>45175.416446759256</v>
      </c>
    </row>
    <row r="120" spans="1:8" x14ac:dyDescent="0.25">
      <c r="A120" s="1">
        <v>24890</v>
      </c>
      <c r="B120" s="12" t="s">
        <v>1091</v>
      </c>
      <c r="C120" s="11" t="s">
        <v>1036</v>
      </c>
      <c r="D120" s="13">
        <v>67</v>
      </c>
      <c r="E120" s="13">
        <v>6</v>
      </c>
      <c r="F120" s="88" t="s">
        <v>1838</v>
      </c>
      <c r="G120" s="89">
        <v>45175.416446759256</v>
      </c>
    </row>
    <row r="121" spans="1:8" x14ac:dyDescent="0.25">
      <c r="A121" s="1">
        <v>25489</v>
      </c>
      <c r="B121" s="12" t="s">
        <v>1092</v>
      </c>
      <c r="C121" s="11" t="s">
        <v>1036</v>
      </c>
      <c r="D121" s="13">
        <v>67</v>
      </c>
      <c r="E121" s="13">
        <v>6</v>
      </c>
      <c r="F121" s="88" t="s">
        <v>1838</v>
      </c>
      <c r="G121" s="89">
        <v>45175.416446759256</v>
      </c>
    </row>
    <row r="122" spans="1:8" x14ac:dyDescent="0.25">
      <c r="A122" s="1">
        <v>25519</v>
      </c>
      <c r="B122" s="12" t="s">
        <v>1093</v>
      </c>
      <c r="C122" s="11" t="s">
        <v>1021</v>
      </c>
      <c r="D122" s="13">
        <v>52</v>
      </c>
      <c r="E122" s="13">
        <v>13</v>
      </c>
      <c r="F122" s="88" t="s">
        <v>1838</v>
      </c>
      <c r="G122" s="89">
        <v>45175.416446759256</v>
      </c>
    </row>
    <row r="123" spans="1:8" x14ac:dyDescent="0.25">
      <c r="A123" s="1">
        <v>25536</v>
      </c>
      <c r="B123" s="12" t="s">
        <v>1094</v>
      </c>
      <c r="C123" s="11" t="s">
        <v>1021</v>
      </c>
      <c r="D123" s="13">
        <v>55</v>
      </c>
      <c r="E123" s="13">
        <v>46</v>
      </c>
      <c r="F123" s="88" t="s">
        <v>1838</v>
      </c>
      <c r="G123" s="89">
        <v>45175.416446759256</v>
      </c>
    </row>
    <row r="124" spans="1:8" x14ac:dyDescent="0.25">
      <c r="A124" s="1">
        <v>26368</v>
      </c>
      <c r="B124" s="12" t="s">
        <v>539</v>
      </c>
      <c r="C124" s="11" t="s">
        <v>1021</v>
      </c>
      <c r="D124" s="13">
        <v>51</v>
      </c>
      <c r="E124" s="13">
        <v>26</v>
      </c>
      <c r="F124" s="88" t="s">
        <v>1838</v>
      </c>
      <c r="G124" s="89">
        <v>45175.416446759256</v>
      </c>
    </row>
    <row r="125" spans="1:8" x14ac:dyDescent="0.25">
      <c r="A125" s="1">
        <v>26503</v>
      </c>
      <c r="B125" s="12" t="s">
        <v>971</v>
      </c>
      <c r="D125" s="13">
        <v>78</v>
      </c>
      <c r="E125" s="13">
        <v>6</v>
      </c>
      <c r="F125" s="88" t="s">
        <v>1838</v>
      </c>
      <c r="G125" s="89">
        <v>45175.416446759256</v>
      </c>
    </row>
    <row r="126" spans="1:8" x14ac:dyDescent="0.25">
      <c r="A126" s="1">
        <v>26508</v>
      </c>
      <c r="B126" s="12" t="s">
        <v>972</v>
      </c>
      <c r="D126" s="13">
        <v>78</v>
      </c>
      <c r="E126" s="13">
        <v>6</v>
      </c>
      <c r="F126" s="88" t="s">
        <v>1838</v>
      </c>
      <c r="G126" s="89">
        <v>45175.416446759256</v>
      </c>
    </row>
    <row r="127" spans="1:8" x14ac:dyDescent="0.25">
      <c r="A127" s="1">
        <v>27479</v>
      </c>
      <c r="B127" s="12" t="s">
        <v>171</v>
      </c>
      <c r="C127" s="11" t="s">
        <v>1025</v>
      </c>
      <c r="D127" s="13">
        <v>76</v>
      </c>
      <c r="E127" s="13">
        <v>5</v>
      </c>
      <c r="F127" s="88" t="s">
        <v>1838</v>
      </c>
      <c r="G127" s="89">
        <v>45175.416446759256</v>
      </c>
      <c r="H127">
        <v>141253</v>
      </c>
    </row>
    <row r="128" spans="1:8" x14ac:dyDescent="0.25">
      <c r="A128" s="1">
        <v>27759</v>
      </c>
      <c r="B128" s="12" t="s">
        <v>789</v>
      </c>
      <c r="C128" s="11" t="s">
        <v>1021</v>
      </c>
      <c r="D128" s="13">
        <v>61</v>
      </c>
      <c r="E128" s="13">
        <v>15</v>
      </c>
      <c r="F128" s="88" t="s">
        <v>1838</v>
      </c>
      <c r="G128" s="89">
        <v>45175.416446759256</v>
      </c>
    </row>
    <row r="129" spans="1:8" x14ac:dyDescent="0.25">
      <c r="A129" s="1">
        <v>28040</v>
      </c>
      <c r="B129" s="12" t="s">
        <v>1095</v>
      </c>
      <c r="C129" s="11" t="s">
        <v>1036</v>
      </c>
      <c r="D129" s="13">
        <v>67</v>
      </c>
      <c r="E129" s="13">
        <v>6</v>
      </c>
      <c r="F129" s="88" t="s">
        <v>1838</v>
      </c>
      <c r="G129" s="89">
        <v>45175.416446759256</v>
      </c>
    </row>
    <row r="130" spans="1:8" x14ac:dyDescent="0.25">
      <c r="A130" s="1">
        <v>28781</v>
      </c>
      <c r="B130" s="12" t="s">
        <v>1096</v>
      </c>
      <c r="C130" s="11" t="s">
        <v>1021</v>
      </c>
      <c r="D130" s="13">
        <v>55</v>
      </c>
      <c r="E130" s="13">
        <v>46</v>
      </c>
      <c r="F130" s="88" t="s">
        <v>1838</v>
      </c>
      <c r="G130" s="89">
        <v>45175.416446759256</v>
      </c>
    </row>
    <row r="131" spans="1:8" x14ac:dyDescent="0.25">
      <c r="A131" s="1">
        <v>28782</v>
      </c>
      <c r="B131" s="12" t="s">
        <v>1097</v>
      </c>
      <c r="C131" s="11" t="s">
        <v>1021</v>
      </c>
      <c r="D131" s="13">
        <v>55</v>
      </c>
      <c r="E131" s="13">
        <v>46</v>
      </c>
      <c r="F131" s="88" t="s">
        <v>1838</v>
      </c>
      <c r="G131" s="89">
        <v>45175.416446759256</v>
      </c>
    </row>
    <row r="132" spans="1:8" x14ac:dyDescent="0.25">
      <c r="A132" s="1">
        <v>29288</v>
      </c>
      <c r="B132" s="12" t="s">
        <v>985</v>
      </c>
      <c r="F132" s="88" t="s">
        <v>1838</v>
      </c>
      <c r="G132" s="89">
        <v>45175.416446759256</v>
      </c>
    </row>
    <row r="133" spans="1:8" x14ac:dyDescent="0.25">
      <c r="A133" s="1">
        <v>29294</v>
      </c>
      <c r="B133" s="12" t="s">
        <v>1098</v>
      </c>
      <c r="C133" s="11" t="s">
        <v>1021</v>
      </c>
      <c r="D133" s="13">
        <v>67</v>
      </c>
      <c r="E133" s="13">
        <v>9</v>
      </c>
      <c r="F133" s="88" t="s">
        <v>1838</v>
      </c>
      <c r="G133" s="89">
        <v>45175.416446759256</v>
      </c>
    </row>
    <row r="134" spans="1:8" x14ac:dyDescent="0.25">
      <c r="A134" s="1">
        <v>29435</v>
      </c>
      <c r="B134" s="12" t="s">
        <v>276</v>
      </c>
      <c r="C134" s="11" t="s">
        <v>1013</v>
      </c>
      <c r="D134" s="13">
        <v>51</v>
      </c>
      <c r="E134" s="13">
        <v>36</v>
      </c>
      <c r="F134" s="88" t="s">
        <v>1838</v>
      </c>
      <c r="G134" s="89">
        <v>45175.416446759256</v>
      </c>
      <c r="H134">
        <v>140283</v>
      </c>
    </row>
    <row r="135" spans="1:8" x14ac:dyDescent="0.25">
      <c r="A135" s="1">
        <v>29437</v>
      </c>
      <c r="B135" s="12" t="s">
        <v>751</v>
      </c>
      <c r="C135" s="11" t="s">
        <v>1021</v>
      </c>
      <c r="D135" s="13">
        <v>61</v>
      </c>
      <c r="E135" s="13">
        <v>8</v>
      </c>
      <c r="F135" s="88" t="s">
        <v>1838</v>
      </c>
      <c r="G135" s="89">
        <v>45175.416446759256</v>
      </c>
    </row>
    <row r="136" spans="1:8" x14ac:dyDescent="0.25">
      <c r="A136" s="1">
        <v>29524</v>
      </c>
      <c r="B136" s="12" t="s">
        <v>1099</v>
      </c>
      <c r="C136" s="11" t="s">
        <v>1025</v>
      </c>
      <c r="D136" s="13">
        <v>76</v>
      </c>
      <c r="E136" s="13">
        <v>9</v>
      </c>
      <c r="F136" s="88" t="s">
        <v>1838</v>
      </c>
      <c r="G136" s="89">
        <v>45175.416446759256</v>
      </c>
    </row>
    <row r="137" spans="1:8" x14ac:dyDescent="0.25">
      <c r="A137" s="1">
        <v>29526</v>
      </c>
      <c r="B137" s="12" t="s">
        <v>1100</v>
      </c>
      <c r="C137" s="11" t="s">
        <v>1025</v>
      </c>
      <c r="D137" s="13">
        <v>76</v>
      </c>
      <c r="E137" s="13">
        <v>9</v>
      </c>
      <c r="F137" s="88" t="s">
        <v>1838</v>
      </c>
      <c r="G137" s="89">
        <v>45175.416446759256</v>
      </c>
    </row>
    <row r="138" spans="1:8" x14ac:dyDescent="0.25">
      <c r="A138" s="1">
        <v>29537</v>
      </c>
      <c r="B138" s="12" t="s">
        <v>1101</v>
      </c>
      <c r="C138" s="11" t="s">
        <v>1021</v>
      </c>
      <c r="D138" s="13">
        <v>61</v>
      </c>
      <c r="E138" s="13">
        <v>8</v>
      </c>
      <c r="F138" s="88" t="s">
        <v>1838</v>
      </c>
      <c r="G138" s="89">
        <v>45175.416446759256</v>
      </c>
    </row>
    <row r="139" spans="1:8" x14ac:dyDescent="0.25">
      <c r="A139" s="1">
        <v>29829</v>
      </c>
      <c r="B139" s="12" t="s">
        <v>1102</v>
      </c>
      <c r="C139" s="11" t="s">
        <v>1021</v>
      </c>
      <c r="D139" s="13">
        <v>61</v>
      </c>
      <c r="E139" s="13">
        <v>15</v>
      </c>
      <c r="F139" s="88" t="s">
        <v>1838</v>
      </c>
      <c r="G139" s="89">
        <v>45175.416446759256</v>
      </c>
    </row>
    <row r="140" spans="1:8" x14ac:dyDescent="0.25">
      <c r="A140" s="1">
        <v>29935</v>
      </c>
      <c r="B140" s="12" t="s">
        <v>154</v>
      </c>
      <c r="C140" s="11" t="s">
        <v>1021</v>
      </c>
      <c r="D140" s="13">
        <v>76</v>
      </c>
      <c r="E140" s="13">
        <v>11</v>
      </c>
      <c r="F140" s="88" t="s">
        <v>1838</v>
      </c>
      <c r="G140" s="89">
        <v>45175.416446759256</v>
      </c>
    </row>
    <row r="141" spans="1:8" x14ac:dyDescent="0.25">
      <c r="A141" s="1">
        <v>29936</v>
      </c>
      <c r="B141" s="12" t="s">
        <v>1103</v>
      </c>
      <c r="C141" s="11" t="s">
        <v>1021</v>
      </c>
      <c r="D141" s="13">
        <v>76</v>
      </c>
      <c r="E141" s="13">
        <v>11</v>
      </c>
      <c r="F141" s="88" t="s">
        <v>1838</v>
      </c>
      <c r="G141" s="89">
        <v>45175.416446759256</v>
      </c>
    </row>
    <row r="142" spans="1:8" x14ac:dyDescent="0.25">
      <c r="A142" s="1">
        <v>29960</v>
      </c>
      <c r="B142" s="12" t="s">
        <v>1104</v>
      </c>
      <c r="C142" s="11" t="s">
        <v>1050</v>
      </c>
      <c r="D142" s="13">
        <v>57</v>
      </c>
      <c r="E142" s="13">
        <v>15</v>
      </c>
      <c r="F142" s="88" t="s">
        <v>1838</v>
      </c>
      <c r="G142" s="89">
        <v>45175.416446759256</v>
      </c>
    </row>
    <row r="143" spans="1:8" x14ac:dyDescent="0.25">
      <c r="A143" s="1">
        <v>30171</v>
      </c>
      <c r="B143" s="12" t="s">
        <v>10</v>
      </c>
      <c r="C143" s="11" t="s">
        <v>1136</v>
      </c>
      <c r="D143" s="13">
        <v>76</v>
      </c>
      <c r="E143" s="13">
        <v>9</v>
      </c>
      <c r="F143" s="88" t="s">
        <v>1838</v>
      </c>
      <c r="G143" s="89">
        <v>45175.416446759256</v>
      </c>
    </row>
    <row r="144" spans="1:8" x14ac:dyDescent="0.25">
      <c r="A144" s="1">
        <v>30658</v>
      </c>
      <c r="B144" s="12" t="s">
        <v>319</v>
      </c>
      <c r="C144" s="11" t="s">
        <v>1021</v>
      </c>
      <c r="D144" s="13">
        <v>61</v>
      </c>
      <c r="E144" s="13">
        <v>15</v>
      </c>
      <c r="F144" s="88" t="s">
        <v>1838</v>
      </c>
      <c r="G144" s="89">
        <v>45175.416446759256</v>
      </c>
    </row>
    <row r="145" spans="1:8" x14ac:dyDescent="0.25">
      <c r="A145" s="1">
        <v>30772</v>
      </c>
      <c r="B145" s="12" t="s">
        <v>189</v>
      </c>
      <c r="C145" s="11" t="s">
        <v>1021</v>
      </c>
      <c r="D145" s="13">
        <v>72</v>
      </c>
      <c r="E145" s="13">
        <v>5</v>
      </c>
      <c r="F145" s="88" t="s">
        <v>1838</v>
      </c>
      <c r="G145" s="89">
        <v>45175.416446759256</v>
      </c>
    </row>
    <row r="146" spans="1:8" x14ac:dyDescent="0.25">
      <c r="A146" s="1">
        <v>31321</v>
      </c>
      <c r="B146" s="12" t="s">
        <v>119</v>
      </c>
      <c r="C146" s="11" t="s">
        <v>1018</v>
      </c>
      <c r="D146" s="13">
        <v>55</v>
      </c>
      <c r="E146" s="13">
        <v>19</v>
      </c>
      <c r="F146" s="88" t="s">
        <v>1838</v>
      </c>
      <c r="G146" s="89">
        <v>45175.416446759256</v>
      </c>
      <c r="H146">
        <v>140032</v>
      </c>
    </row>
    <row r="147" spans="1:8" x14ac:dyDescent="0.25">
      <c r="A147" s="1">
        <v>31427</v>
      </c>
      <c r="B147" s="12" t="s">
        <v>1105</v>
      </c>
      <c r="C147" s="11" t="s">
        <v>1021</v>
      </c>
      <c r="D147" s="13">
        <v>52</v>
      </c>
      <c r="E147" s="13">
        <v>7</v>
      </c>
      <c r="F147" s="88" t="s">
        <v>1838</v>
      </c>
      <c r="G147" s="89">
        <v>45175.416446759256</v>
      </c>
    </row>
    <row r="148" spans="1:8" x14ac:dyDescent="0.25">
      <c r="A148" s="1">
        <v>31428</v>
      </c>
      <c r="B148" s="12" t="s">
        <v>1106</v>
      </c>
      <c r="C148" s="11" t="s">
        <v>1021</v>
      </c>
      <c r="D148" s="13">
        <v>52</v>
      </c>
      <c r="E148" s="13">
        <v>7</v>
      </c>
      <c r="F148" s="88" t="s">
        <v>1838</v>
      </c>
      <c r="G148" s="89">
        <v>45175.416446759256</v>
      </c>
    </row>
    <row r="149" spans="1:8" x14ac:dyDescent="0.25">
      <c r="A149" s="1">
        <v>32487</v>
      </c>
      <c r="B149" s="12" t="s">
        <v>233</v>
      </c>
      <c r="C149" s="11" t="s">
        <v>1025</v>
      </c>
      <c r="D149" s="13">
        <v>76</v>
      </c>
      <c r="E149" s="13">
        <v>9</v>
      </c>
      <c r="F149" s="88" t="s">
        <v>1838</v>
      </c>
      <c r="G149" s="89">
        <v>45175.416446759256</v>
      </c>
    </row>
    <row r="150" spans="1:8" x14ac:dyDescent="0.25">
      <c r="A150" s="1">
        <v>32648</v>
      </c>
      <c r="B150" s="12" t="s">
        <v>1108</v>
      </c>
      <c r="C150" s="11" t="s">
        <v>1088</v>
      </c>
      <c r="D150" s="13">
        <v>67</v>
      </c>
      <c r="E150" s="13">
        <v>14</v>
      </c>
      <c r="F150" s="88" t="s">
        <v>1838</v>
      </c>
      <c r="G150" s="89">
        <v>45175.416446759256</v>
      </c>
    </row>
    <row r="151" spans="1:8" x14ac:dyDescent="0.25">
      <c r="A151" s="1">
        <v>32752</v>
      </c>
      <c r="B151" s="12" t="s">
        <v>1109</v>
      </c>
      <c r="C151" s="11" t="s">
        <v>1036</v>
      </c>
      <c r="D151" s="13">
        <v>67</v>
      </c>
      <c r="E151" s="13">
        <v>6</v>
      </c>
      <c r="F151" s="88" t="s">
        <v>1838</v>
      </c>
      <c r="G151" s="89">
        <v>45175.416446759256</v>
      </c>
    </row>
    <row r="152" spans="1:8" x14ac:dyDescent="0.25">
      <c r="A152" s="1">
        <v>32759</v>
      </c>
      <c r="B152" s="12" t="s">
        <v>1110</v>
      </c>
      <c r="C152" s="11" t="s">
        <v>1036</v>
      </c>
      <c r="D152" s="13">
        <v>67</v>
      </c>
      <c r="E152" s="13">
        <v>6</v>
      </c>
      <c r="F152" s="88" t="s">
        <v>1838</v>
      </c>
      <c r="G152" s="89">
        <v>45175.416446759256</v>
      </c>
    </row>
    <row r="153" spans="1:8" x14ac:dyDescent="0.25">
      <c r="A153" s="1">
        <v>32761</v>
      </c>
      <c r="B153" s="12" t="s">
        <v>1111</v>
      </c>
      <c r="C153" s="11" t="s">
        <v>1036</v>
      </c>
      <c r="D153" s="13">
        <v>67</v>
      </c>
      <c r="E153" s="13">
        <v>6</v>
      </c>
      <c r="F153" s="88" t="s">
        <v>1838</v>
      </c>
      <c r="G153" s="89">
        <v>45175.416446759256</v>
      </c>
    </row>
    <row r="154" spans="1:8" x14ac:dyDescent="0.25">
      <c r="A154" s="1">
        <v>34405</v>
      </c>
      <c r="B154" s="12" t="s">
        <v>1112</v>
      </c>
      <c r="C154" s="11" t="s">
        <v>1021</v>
      </c>
      <c r="D154" s="13">
        <v>84</v>
      </c>
      <c r="E154" s="13">
        <v>1</v>
      </c>
      <c r="F154" s="88" t="s">
        <v>1838</v>
      </c>
      <c r="G154" s="89">
        <v>45175.416446759256</v>
      </c>
    </row>
    <row r="155" spans="1:8" x14ac:dyDescent="0.25">
      <c r="A155" s="1">
        <v>35227</v>
      </c>
      <c r="B155" s="12" t="s">
        <v>288</v>
      </c>
      <c r="C155" s="11" t="s">
        <v>1021</v>
      </c>
      <c r="D155" s="13">
        <v>61</v>
      </c>
      <c r="E155" s="13">
        <v>8</v>
      </c>
      <c r="F155" s="88" t="s">
        <v>1838</v>
      </c>
      <c r="G155" s="89">
        <v>45175.416446759256</v>
      </c>
      <c r="H155">
        <v>59400</v>
      </c>
    </row>
    <row r="156" spans="1:8" x14ac:dyDescent="0.25">
      <c r="A156" s="1">
        <v>35238</v>
      </c>
      <c r="B156" s="12" t="s">
        <v>569</v>
      </c>
      <c r="C156" s="11" t="s">
        <v>1021</v>
      </c>
      <c r="D156" s="13">
        <v>54</v>
      </c>
      <c r="E156" s="13">
        <v>4</v>
      </c>
      <c r="F156" s="88" t="s">
        <v>1838</v>
      </c>
      <c r="G156" s="89">
        <v>45175.416446759256</v>
      </c>
    </row>
    <row r="157" spans="1:8" x14ac:dyDescent="0.25">
      <c r="A157" s="1">
        <v>35331</v>
      </c>
      <c r="B157" s="12" t="s">
        <v>570</v>
      </c>
      <c r="C157" s="11" t="s">
        <v>1168</v>
      </c>
      <c r="D157" s="13">
        <v>54</v>
      </c>
      <c r="E157" s="13">
        <v>4</v>
      </c>
      <c r="F157" s="88" t="s">
        <v>1838</v>
      </c>
      <c r="G157" s="89">
        <v>45175.416446759256</v>
      </c>
    </row>
    <row r="158" spans="1:8" x14ac:dyDescent="0.25">
      <c r="A158" s="1">
        <v>35359</v>
      </c>
      <c r="B158" s="12" t="s">
        <v>1549</v>
      </c>
      <c r="C158" s="11" t="s">
        <v>1168</v>
      </c>
      <c r="D158" s="13">
        <v>54</v>
      </c>
      <c r="E158" s="13">
        <v>4</v>
      </c>
      <c r="F158" s="88" t="s">
        <v>1838</v>
      </c>
      <c r="G158" s="89">
        <v>45175.416446759256</v>
      </c>
      <c r="H158">
        <v>137799</v>
      </c>
    </row>
    <row r="159" spans="1:8" x14ac:dyDescent="0.25">
      <c r="A159" s="1">
        <v>36011</v>
      </c>
      <c r="B159" s="12" t="s">
        <v>172</v>
      </c>
      <c r="C159" s="11" t="s">
        <v>1136</v>
      </c>
      <c r="D159" s="13">
        <v>76</v>
      </c>
      <c r="E159" s="13">
        <v>9</v>
      </c>
      <c r="F159" s="88" t="s">
        <v>1838</v>
      </c>
      <c r="G159" s="89">
        <v>45175.416446759256</v>
      </c>
    </row>
    <row r="160" spans="1:8" x14ac:dyDescent="0.25">
      <c r="A160" s="1">
        <v>36033</v>
      </c>
      <c r="B160" s="12" t="s">
        <v>1113</v>
      </c>
      <c r="C160" s="11" t="s">
        <v>1018</v>
      </c>
      <c r="D160" s="13">
        <v>55</v>
      </c>
      <c r="E160" s="13">
        <v>19</v>
      </c>
      <c r="F160" s="88" t="s">
        <v>1838</v>
      </c>
      <c r="G160" s="89">
        <v>45175.416446759256</v>
      </c>
    </row>
    <row r="161" spans="1:8" x14ac:dyDescent="0.25">
      <c r="A161" s="1">
        <v>36107</v>
      </c>
      <c r="B161" s="12" t="s">
        <v>1114</v>
      </c>
      <c r="C161" s="11" t="s">
        <v>1021</v>
      </c>
      <c r="D161" s="13">
        <v>74</v>
      </c>
      <c r="E161" s="13">
        <v>9</v>
      </c>
      <c r="F161" s="88" t="s">
        <v>1838</v>
      </c>
      <c r="G161" s="89">
        <v>45175.416446759256</v>
      </c>
    </row>
    <row r="162" spans="1:8" x14ac:dyDescent="0.25">
      <c r="A162" s="1">
        <v>36400</v>
      </c>
      <c r="B162" s="12" t="s">
        <v>995</v>
      </c>
      <c r="C162" s="11" t="s">
        <v>1021</v>
      </c>
      <c r="D162" s="13">
        <v>89</v>
      </c>
      <c r="E162" s="13">
        <v>12</v>
      </c>
      <c r="F162" s="88" t="s">
        <v>1838</v>
      </c>
      <c r="G162" s="89">
        <v>45175.416446759256</v>
      </c>
    </row>
    <row r="163" spans="1:8" x14ac:dyDescent="0.25">
      <c r="A163" s="1">
        <v>37847</v>
      </c>
      <c r="B163" s="12" t="s">
        <v>986</v>
      </c>
      <c r="F163" s="88" t="s">
        <v>1838</v>
      </c>
      <c r="G163" s="89">
        <v>45175.416446759256</v>
      </c>
    </row>
    <row r="164" spans="1:8" x14ac:dyDescent="0.25">
      <c r="A164" s="1">
        <v>38079</v>
      </c>
      <c r="B164" s="12" t="s">
        <v>1115</v>
      </c>
      <c r="C164" s="11" t="s">
        <v>1021</v>
      </c>
      <c r="D164" s="13">
        <v>55</v>
      </c>
      <c r="E164" s="13">
        <v>46</v>
      </c>
      <c r="F164" s="88" t="s">
        <v>1838</v>
      </c>
      <c r="G164" s="89">
        <v>45175.416446759256</v>
      </c>
    </row>
    <row r="165" spans="1:8" x14ac:dyDescent="0.25">
      <c r="A165" s="1">
        <v>38648</v>
      </c>
      <c r="B165" s="12" t="s">
        <v>714</v>
      </c>
      <c r="C165" s="11" t="s">
        <v>1018</v>
      </c>
      <c r="D165" s="13">
        <v>59</v>
      </c>
      <c r="E165" s="13">
        <v>18</v>
      </c>
      <c r="F165" s="88" t="s">
        <v>1838</v>
      </c>
      <c r="G165" s="89">
        <v>45175.416446759256</v>
      </c>
    </row>
    <row r="166" spans="1:8" x14ac:dyDescent="0.25">
      <c r="A166" s="1">
        <v>39982</v>
      </c>
      <c r="B166" s="12" t="s">
        <v>1116</v>
      </c>
      <c r="C166" s="11" t="s">
        <v>1021</v>
      </c>
      <c r="D166" s="13">
        <v>84</v>
      </c>
      <c r="E166" s="13">
        <v>1</v>
      </c>
      <c r="F166" s="88" t="s">
        <v>1838</v>
      </c>
      <c r="G166" s="89">
        <v>45175.416446759256</v>
      </c>
    </row>
    <row r="167" spans="1:8" x14ac:dyDescent="0.25">
      <c r="A167" s="1">
        <v>40685</v>
      </c>
      <c r="B167" s="12" t="s">
        <v>120</v>
      </c>
      <c r="C167" s="11" t="s">
        <v>1018</v>
      </c>
      <c r="D167" s="13">
        <v>55</v>
      </c>
      <c r="E167" s="13">
        <v>19</v>
      </c>
      <c r="F167" s="88" t="s">
        <v>1838</v>
      </c>
      <c r="G167" s="89">
        <v>45175.416446759256</v>
      </c>
      <c r="H167">
        <v>140038</v>
      </c>
    </row>
    <row r="168" spans="1:8" x14ac:dyDescent="0.25">
      <c r="A168" s="1">
        <v>40688</v>
      </c>
      <c r="B168" s="12" t="s">
        <v>1117</v>
      </c>
      <c r="C168" s="11" t="s">
        <v>1021</v>
      </c>
      <c r="D168" s="13">
        <v>67</v>
      </c>
      <c r="E168" s="13">
        <v>18</v>
      </c>
      <c r="F168" s="88" t="s">
        <v>1838</v>
      </c>
      <c r="G168" s="89">
        <v>45175.416446759256</v>
      </c>
    </row>
    <row r="169" spans="1:8" x14ac:dyDescent="0.25">
      <c r="A169" s="1">
        <v>40689</v>
      </c>
      <c r="B169" s="12" t="s">
        <v>1118</v>
      </c>
      <c r="C169" s="11" t="s">
        <v>1021</v>
      </c>
      <c r="D169" s="13">
        <v>67</v>
      </c>
      <c r="E169" s="13">
        <v>18</v>
      </c>
      <c r="F169" s="88" t="s">
        <v>1838</v>
      </c>
      <c r="G169" s="89">
        <v>45175.416446759256</v>
      </c>
    </row>
    <row r="170" spans="1:8" x14ac:dyDescent="0.25">
      <c r="A170" s="1">
        <v>42681</v>
      </c>
      <c r="B170" s="12" t="s">
        <v>572</v>
      </c>
      <c r="C170" s="11" t="s">
        <v>1021</v>
      </c>
      <c r="D170" s="13">
        <v>54</v>
      </c>
      <c r="E170" s="13">
        <v>4</v>
      </c>
      <c r="F170" s="88" t="s">
        <v>1838</v>
      </c>
      <c r="G170" s="89">
        <v>45175.416446759256</v>
      </c>
    </row>
    <row r="171" spans="1:8" x14ac:dyDescent="0.25">
      <c r="A171" s="1">
        <v>43648</v>
      </c>
      <c r="B171" s="12" t="s">
        <v>1119</v>
      </c>
      <c r="C171" s="11" t="s">
        <v>1021</v>
      </c>
      <c r="D171" s="13">
        <v>55</v>
      </c>
      <c r="E171" s="13">
        <v>32</v>
      </c>
      <c r="F171" s="88" t="s">
        <v>1838</v>
      </c>
      <c r="G171" s="89">
        <v>45175.416446759256</v>
      </c>
    </row>
    <row r="172" spans="1:8" x14ac:dyDescent="0.25">
      <c r="A172" s="1">
        <v>43794</v>
      </c>
      <c r="B172" s="12" t="s">
        <v>1120</v>
      </c>
      <c r="C172" s="11" t="s">
        <v>1021</v>
      </c>
      <c r="D172" s="13">
        <v>74</v>
      </c>
      <c r="E172" s="13">
        <v>8</v>
      </c>
      <c r="F172" s="88" t="s">
        <v>1838</v>
      </c>
      <c r="G172" s="89">
        <v>45175.416446759256</v>
      </c>
    </row>
    <row r="173" spans="1:8" x14ac:dyDescent="0.25">
      <c r="A173" s="1">
        <v>45067</v>
      </c>
      <c r="B173" s="12" t="s">
        <v>1121</v>
      </c>
      <c r="C173" s="11" t="s">
        <v>1018</v>
      </c>
      <c r="D173" s="13">
        <v>55</v>
      </c>
      <c r="E173" s="13">
        <v>19</v>
      </c>
      <c r="F173" s="88" t="s">
        <v>1838</v>
      </c>
      <c r="G173" s="89">
        <v>45175.416446759256</v>
      </c>
    </row>
    <row r="174" spans="1:8" x14ac:dyDescent="0.25">
      <c r="A174" s="1">
        <v>45111</v>
      </c>
      <c r="B174" s="12" t="s">
        <v>1122</v>
      </c>
      <c r="C174" s="11" t="s">
        <v>1021</v>
      </c>
      <c r="D174" s="13">
        <v>84</v>
      </c>
      <c r="E174" s="13">
        <v>1</v>
      </c>
      <c r="F174" s="88" t="s">
        <v>1838</v>
      </c>
      <c r="G174" s="89">
        <v>45175.416446759256</v>
      </c>
    </row>
    <row r="175" spans="1:8" x14ac:dyDescent="0.25">
      <c r="A175" s="1">
        <v>45195</v>
      </c>
      <c r="B175" s="12" t="s">
        <v>1123</v>
      </c>
      <c r="C175" s="11" t="s">
        <v>1013</v>
      </c>
      <c r="D175" s="13">
        <v>51</v>
      </c>
      <c r="E175" s="13">
        <v>11</v>
      </c>
      <c r="F175" s="88" t="s">
        <v>1838</v>
      </c>
      <c r="G175" s="89">
        <v>45175.416446759256</v>
      </c>
    </row>
    <row r="176" spans="1:8" x14ac:dyDescent="0.25">
      <c r="A176" s="1">
        <v>45651</v>
      </c>
      <c r="B176" s="12" t="s">
        <v>1124</v>
      </c>
      <c r="C176" s="11" t="s">
        <v>1021</v>
      </c>
      <c r="D176" s="13">
        <v>67</v>
      </c>
      <c r="E176" s="13">
        <v>1</v>
      </c>
      <c r="F176" s="88" t="s">
        <v>1838</v>
      </c>
      <c r="G176" s="89">
        <v>45175.416446759256</v>
      </c>
    </row>
    <row r="177" spans="1:7" x14ac:dyDescent="0.25">
      <c r="A177" s="1">
        <v>48178</v>
      </c>
      <c r="B177" s="12" t="s">
        <v>1125</v>
      </c>
      <c r="C177" s="11" t="s">
        <v>1021</v>
      </c>
      <c r="D177" s="13">
        <v>74</v>
      </c>
      <c r="E177" s="13">
        <v>8</v>
      </c>
      <c r="F177" s="88" t="s">
        <v>1838</v>
      </c>
      <c r="G177" s="89">
        <v>45175.416446759256</v>
      </c>
    </row>
    <row r="178" spans="1:7" x14ac:dyDescent="0.25">
      <c r="A178" s="1">
        <v>48714</v>
      </c>
      <c r="B178" s="12" t="s">
        <v>1126</v>
      </c>
      <c r="C178" s="11" t="s">
        <v>1021</v>
      </c>
      <c r="D178" s="13">
        <v>83</v>
      </c>
      <c r="E178" s="13">
        <v>10</v>
      </c>
      <c r="F178" s="88" t="s">
        <v>1838</v>
      </c>
      <c r="G178" s="89">
        <v>45175.416446759256</v>
      </c>
    </row>
    <row r="179" spans="1:7" x14ac:dyDescent="0.25">
      <c r="A179" s="1">
        <v>49099</v>
      </c>
      <c r="B179" s="12" t="s">
        <v>1127</v>
      </c>
      <c r="C179" s="11" t="s">
        <v>1036</v>
      </c>
      <c r="D179" s="13">
        <v>67</v>
      </c>
      <c r="E179" s="13">
        <v>6</v>
      </c>
      <c r="F179" s="88" t="s">
        <v>1838</v>
      </c>
      <c r="G179" s="89">
        <v>45175.416446759256</v>
      </c>
    </row>
    <row r="180" spans="1:7" x14ac:dyDescent="0.25">
      <c r="A180" s="1">
        <v>49184</v>
      </c>
      <c r="B180" s="12" t="s">
        <v>1128</v>
      </c>
      <c r="C180" s="11" t="s">
        <v>1021</v>
      </c>
      <c r="D180" s="13">
        <v>52</v>
      </c>
      <c r="E180" s="13">
        <v>8</v>
      </c>
      <c r="F180" s="88" t="s">
        <v>1838</v>
      </c>
      <c r="G180" s="89">
        <v>45175.416446759256</v>
      </c>
    </row>
    <row r="181" spans="1:7" x14ac:dyDescent="0.25">
      <c r="A181" s="1">
        <v>49188</v>
      </c>
      <c r="B181" s="12" t="s">
        <v>1129</v>
      </c>
      <c r="C181" s="11" t="s">
        <v>1021</v>
      </c>
      <c r="D181" s="13">
        <v>52</v>
      </c>
      <c r="E181" s="13">
        <v>7</v>
      </c>
      <c r="F181" s="88" t="s">
        <v>1838</v>
      </c>
      <c r="G181" s="89">
        <v>45175.416446759256</v>
      </c>
    </row>
    <row r="182" spans="1:7" x14ac:dyDescent="0.25">
      <c r="A182" s="1">
        <v>49864</v>
      </c>
      <c r="B182" s="12" t="s">
        <v>1130</v>
      </c>
      <c r="C182" s="11" t="s">
        <v>1021</v>
      </c>
      <c r="D182" s="13">
        <v>73</v>
      </c>
      <c r="E182" s="13">
        <v>4</v>
      </c>
      <c r="F182" s="88" t="s">
        <v>1838</v>
      </c>
      <c r="G182" s="89">
        <v>45175.416446759256</v>
      </c>
    </row>
    <row r="183" spans="1:7" x14ac:dyDescent="0.25">
      <c r="A183" s="1">
        <v>49866</v>
      </c>
      <c r="B183" s="12" t="s">
        <v>1131</v>
      </c>
      <c r="C183" s="11" t="s">
        <v>1021</v>
      </c>
      <c r="D183" s="13">
        <v>55</v>
      </c>
      <c r="E183" s="13">
        <v>57</v>
      </c>
      <c r="F183" s="88" t="s">
        <v>1838</v>
      </c>
      <c r="G183" s="89">
        <v>45175.416446759256</v>
      </c>
    </row>
    <row r="184" spans="1:7" x14ac:dyDescent="0.25">
      <c r="A184" s="1">
        <v>49867</v>
      </c>
      <c r="B184" s="12" t="s">
        <v>1132</v>
      </c>
      <c r="C184" s="11" t="s">
        <v>1021</v>
      </c>
      <c r="D184" s="13">
        <v>55</v>
      </c>
      <c r="E184" s="13">
        <v>55</v>
      </c>
      <c r="F184" s="88" t="s">
        <v>1838</v>
      </c>
      <c r="G184" s="89">
        <v>45175.416446759256</v>
      </c>
    </row>
    <row r="185" spans="1:7" x14ac:dyDescent="0.25">
      <c r="A185" s="1">
        <v>49984</v>
      </c>
      <c r="B185" s="12" t="s">
        <v>1133</v>
      </c>
      <c r="C185" s="11" t="s">
        <v>1021</v>
      </c>
      <c r="D185" s="13">
        <v>52</v>
      </c>
      <c r="E185" s="13">
        <v>7</v>
      </c>
      <c r="F185" s="88" t="s">
        <v>1838</v>
      </c>
      <c r="G185" s="89">
        <v>45175.416446759256</v>
      </c>
    </row>
    <row r="186" spans="1:7" x14ac:dyDescent="0.25">
      <c r="A186" s="1">
        <v>49988</v>
      </c>
      <c r="B186" s="12" t="s">
        <v>1133</v>
      </c>
      <c r="C186" s="11" t="s">
        <v>1021</v>
      </c>
      <c r="D186" s="13">
        <v>52</v>
      </c>
      <c r="E186" s="13">
        <v>7</v>
      </c>
      <c r="F186" s="88" t="s">
        <v>1838</v>
      </c>
      <c r="G186" s="89">
        <v>45175.416446759256</v>
      </c>
    </row>
    <row r="187" spans="1:7" x14ac:dyDescent="0.25">
      <c r="A187" s="1">
        <v>50294</v>
      </c>
      <c r="B187" s="12" t="s">
        <v>1134</v>
      </c>
      <c r="C187" s="11" t="s">
        <v>1021</v>
      </c>
      <c r="D187" s="13">
        <v>61</v>
      </c>
      <c r="E187" s="13">
        <v>8</v>
      </c>
      <c r="F187" s="88" t="s">
        <v>1838</v>
      </c>
      <c r="G187" s="89">
        <v>45175.416446759256</v>
      </c>
    </row>
    <row r="188" spans="1:7" x14ac:dyDescent="0.25">
      <c r="A188" s="1">
        <v>50476</v>
      </c>
      <c r="B188" s="12" t="s">
        <v>1135</v>
      </c>
      <c r="C188" s="11" t="s">
        <v>1021</v>
      </c>
      <c r="D188" s="13">
        <v>51</v>
      </c>
      <c r="E188" s="13">
        <v>17</v>
      </c>
      <c r="F188" s="88" t="s">
        <v>1838</v>
      </c>
      <c r="G188" s="89">
        <v>45175.416446759256</v>
      </c>
    </row>
    <row r="189" spans="1:7" x14ac:dyDescent="0.25">
      <c r="A189" s="1">
        <v>51013</v>
      </c>
      <c r="B189" s="12" t="s">
        <v>1403</v>
      </c>
      <c r="C189" s="11" t="s">
        <v>1136</v>
      </c>
      <c r="D189" s="13">
        <v>76</v>
      </c>
      <c r="E189" s="13">
        <v>10</v>
      </c>
      <c r="F189" s="88" t="s">
        <v>1838</v>
      </c>
      <c r="G189" s="89">
        <v>45175.416446759256</v>
      </c>
    </row>
    <row r="190" spans="1:7" x14ac:dyDescent="0.25">
      <c r="A190" s="1">
        <v>51223</v>
      </c>
      <c r="B190" s="12" t="s">
        <v>1137</v>
      </c>
      <c r="C190" s="11" t="s">
        <v>1021</v>
      </c>
      <c r="D190" s="13">
        <v>55</v>
      </c>
      <c r="E190" s="13">
        <v>49</v>
      </c>
      <c r="F190" s="88" t="s">
        <v>1838</v>
      </c>
      <c r="G190" s="89">
        <v>45175.416446759256</v>
      </c>
    </row>
    <row r="191" spans="1:7" x14ac:dyDescent="0.25">
      <c r="A191" s="1">
        <v>51337</v>
      </c>
      <c r="B191" s="12" t="s">
        <v>1138</v>
      </c>
      <c r="C191" s="11" t="s">
        <v>1021</v>
      </c>
      <c r="D191" s="13">
        <v>74</v>
      </c>
      <c r="E191" s="13">
        <v>10</v>
      </c>
      <c r="F191" s="88" t="s">
        <v>1838</v>
      </c>
      <c r="G191" s="89">
        <v>45175.416446759256</v>
      </c>
    </row>
    <row r="192" spans="1:7" x14ac:dyDescent="0.25">
      <c r="A192" s="1">
        <v>52995</v>
      </c>
      <c r="B192" s="12" t="s">
        <v>1139</v>
      </c>
      <c r="C192" s="11" t="s">
        <v>1021</v>
      </c>
      <c r="D192" s="13">
        <v>61</v>
      </c>
      <c r="E192" s="13">
        <v>8</v>
      </c>
      <c r="F192" s="88" t="s">
        <v>1838</v>
      </c>
      <c r="G192" s="89">
        <v>45175.416446759256</v>
      </c>
    </row>
    <row r="193" spans="1:8" x14ac:dyDescent="0.25">
      <c r="A193" s="1">
        <v>53016</v>
      </c>
      <c r="B193" s="12" t="s">
        <v>1140</v>
      </c>
      <c r="C193" s="11" t="s">
        <v>1141</v>
      </c>
      <c r="D193" s="13">
        <v>74</v>
      </c>
      <c r="E193" s="13">
        <v>10</v>
      </c>
      <c r="F193" s="88" t="s">
        <v>1838</v>
      </c>
      <c r="G193" s="89">
        <v>45175.416446759256</v>
      </c>
    </row>
    <row r="194" spans="1:8" x14ac:dyDescent="0.25">
      <c r="A194" s="1">
        <v>53810</v>
      </c>
      <c r="B194" s="12" t="s">
        <v>1142</v>
      </c>
      <c r="C194" s="11" t="s">
        <v>1036</v>
      </c>
      <c r="D194" s="13">
        <v>67</v>
      </c>
      <c r="E194" s="13">
        <v>6</v>
      </c>
      <c r="F194" s="88" t="s">
        <v>1838</v>
      </c>
      <c r="G194" s="89">
        <v>45175.416446759256</v>
      </c>
    </row>
    <row r="195" spans="1:8" x14ac:dyDescent="0.25">
      <c r="A195" s="1">
        <v>53928</v>
      </c>
      <c r="B195" s="12" t="s">
        <v>1143</v>
      </c>
      <c r="C195" s="11" t="s">
        <v>1021</v>
      </c>
      <c r="D195" s="13">
        <v>51</v>
      </c>
      <c r="E195" s="13">
        <v>30</v>
      </c>
      <c r="F195" s="88" t="s">
        <v>1838</v>
      </c>
      <c r="G195" s="89">
        <v>45175.416446759256</v>
      </c>
    </row>
    <row r="196" spans="1:8" x14ac:dyDescent="0.25">
      <c r="A196" s="1">
        <v>54668</v>
      </c>
      <c r="B196" s="12" t="s">
        <v>11</v>
      </c>
      <c r="C196" s="11" t="s">
        <v>1136</v>
      </c>
      <c r="D196" s="13">
        <v>76</v>
      </c>
      <c r="E196" s="13">
        <v>9</v>
      </c>
      <c r="F196" s="88" t="s">
        <v>1838</v>
      </c>
      <c r="G196" s="89">
        <v>45175.416446759256</v>
      </c>
    </row>
    <row r="197" spans="1:8" x14ac:dyDescent="0.25">
      <c r="A197" s="1">
        <v>54969</v>
      </c>
      <c r="B197" s="12" t="s">
        <v>1144</v>
      </c>
      <c r="C197" s="11" t="s">
        <v>1021</v>
      </c>
      <c r="D197" s="13">
        <v>61</v>
      </c>
      <c r="E197" s="13">
        <v>8</v>
      </c>
      <c r="F197" s="88" t="s">
        <v>1838</v>
      </c>
      <c r="G197" s="89">
        <v>45175.416446759256</v>
      </c>
    </row>
    <row r="198" spans="1:8" x14ac:dyDescent="0.25">
      <c r="A198" s="1">
        <v>57444</v>
      </c>
      <c r="B198" s="12" t="s">
        <v>9</v>
      </c>
      <c r="C198" s="11" t="s">
        <v>1490</v>
      </c>
      <c r="D198" s="13">
        <v>76</v>
      </c>
      <c r="E198" s="13">
        <v>6</v>
      </c>
      <c r="F198" s="88" t="s">
        <v>1838</v>
      </c>
      <c r="G198" s="89">
        <v>45175.416446759256</v>
      </c>
    </row>
    <row r="199" spans="1:8" x14ac:dyDescent="0.25">
      <c r="A199" s="1">
        <v>57895</v>
      </c>
      <c r="B199" s="12" t="s">
        <v>1145</v>
      </c>
      <c r="C199" s="11" t="s">
        <v>1021</v>
      </c>
      <c r="D199" s="13">
        <v>51</v>
      </c>
      <c r="E199" s="13">
        <v>11</v>
      </c>
      <c r="F199" s="88" t="s">
        <v>1838</v>
      </c>
      <c r="G199" s="89">
        <v>45175.416446759256</v>
      </c>
    </row>
    <row r="200" spans="1:8" x14ac:dyDescent="0.25">
      <c r="A200" s="1">
        <v>58116</v>
      </c>
      <c r="B200" s="12" t="s">
        <v>917</v>
      </c>
      <c r="C200" s="11" t="s">
        <v>1021</v>
      </c>
      <c r="D200" s="13">
        <v>70</v>
      </c>
      <c r="E200" s="13">
        <v>38</v>
      </c>
      <c r="F200" s="88" t="s">
        <v>1838</v>
      </c>
      <c r="G200" s="89">
        <v>45175.416446759256</v>
      </c>
    </row>
    <row r="201" spans="1:8" x14ac:dyDescent="0.25">
      <c r="A201" s="1">
        <v>58117</v>
      </c>
      <c r="B201" s="12" t="s">
        <v>918</v>
      </c>
      <c r="C201" s="11" t="s">
        <v>1021</v>
      </c>
      <c r="D201" s="13">
        <v>70</v>
      </c>
      <c r="E201" s="13">
        <v>38</v>
      </c>
      <c r="F201" s="88" t="s">
        <v>1838</v>
      </c>
      <c r="G201" s="89">
        <v>45175.416446759256</v>
      </c>
    </row>
    <row r="202" spans="1:8" x14ac:dyDescent="0.25">
      <c r="A202" s="1">
        <v>58647</v>
      </c>
      <c r="B202" s="12" t="s">
        <v>547</v>
      </c>
      <c r="C202" s="11" t="s">
        <v>1018</v>
      </c>
      <c r="D202" s="13">
        <v>51</v>
      </c>
      <c r="E202" s="13">
        <v>30</v>
      </c>
      <c r="F202" s="88" t="s">
        <v>1838</v>
      </c>
      <c r="G202" s="89">
        <v>45175.416446759256</v>
      </c>
      <c r="H202">
        <v>64044</v>
      </c>
    </row>
    <row r="203" spans="1:8" x14ac:dyDescent="0.25">
      <c r="A203" s="1">
        <v>58792</v>
      </c>
      <c r="B203" s="12" t="s">
        <v>1300</v>
      </c>
      <c r="C203" s="11" t="s">
        <v>1013</v>
      </c>
      <c r="D203" s="13">
        <v>72</v>
      </c>
      <c r="E203" s="13">
        <v>6</v>
      </c>
      <c r="F203" s="88" t="s">
        <v>1838</v>
      </c>
      <c r="G203" s="89">
        <v>45175.416446759256</v>
      </c>
    </row>
    <row r="204" spans="1:8" x14ac:dyDescent="0.25">
      <c r="A204" s="1">
        <v>58977</v>
      </c>
      <c r="B204" s="12" t="s">
        <v>203</v>
      </c>
      <c r="C204" s="11" t="s">
        <v>1021</v>
      </c>
      <c r="D204" s="13">
        <v>51</v>
      </c>
      <c r="E204" s="13">
        <v>37</v>
      </c>
      <c r="F204" s="88" t="s">
        <v>1838</v>
      </c>
      <c r="G204" s="89">
        <v>45175.416446759256</v>
      </c>
    </row>
    <row r="205" spans="1:8" x14ac:dyDescent="0.25">
      <c r="A205" s="1">
        <v>58989</v>
      </c>
      <c r="B205" s="12" t="s">
        <v>1517</v>
      </c>
      <c r="F205" s="88" t="s">
        <v>1838</v>
      </c>
      <c r="G205" s="89">
        <v>45175.416446759256</v>
      </c>
    </row>
    <row r="206" spans="1:8" x14ac:dyDescent="0.25">
      <c r="A206" s="1">
        <v>60108</v>
      </c>
      <c r="B206" s="12" t="s">
        <v>1146</v>
      </c>
      <c r="C206" s="11" t="s">
        <v>1013</v>
      </c>
      <c r="D206" s="13">
        <v>52</v>
      </c>
      <c r="E206" s="13">
        <v>13</v>
      </c>
      <c r="F206" s="88" t="s">
        <v>1838</v>
      </c>
      <c r="G206" s="89">
        <v>45175.416446759256</v>
      </c>
    </row>
    <row r="207" spans="1:8" x14ac:dyDescent="0.25">
      <c r="A207" s="1">
        <v>60110</v>
      </c>
      <c r="B207" s="12" t="s">
        <v>1147</v>
      </c>
      <c r="C207" s="11" t="s">
        <v>1013</v>
      </c>
      <c r="D207" s="13">
        <v>52</v>
      </c>
      <c r="E207" s="13">
        <v>10</v>
      </c>
      <c r="F207" s="88" t="s">
        <v>1838</v>
      </c>
      <c r="G207" s="89">
        <v>45175.416446759256</v>
      </c>
    </row>
    <row r="208" spans="1:8" x14ac:dyDescent="0.25">
      <c r="A208" s="1">
        <v>60854</v>
      </c>
      <c r="B208" s="12" t="s">
        <v>1148</v>
      </c>
      <c r="C208" s="11" t="s">
        <v>1021</v>
      </c>
      <c r="D208" s="13">
        <v>55</v>
      </c>
      <c r="E208" s="13">
        <v>32</v>
      </c>
      <c r="F208" s="88" t="s">
        <v>1838</v>
      </c>
      <c r="G208" s="89">
        <v>45175.416446759256</v>
      </c>
    </row>
    <row r="209" spans="1:8" x14ac:dyDescent="0.25">
      <c r="A209" s="1">
        <v>61167</v>
      </c>
      <c r="B209" s="12" t="s">
        <v>1149</v>
      </c>
      <c r="C209" s="11" t="s">
        <v>1025</v>
      </c>
      <c r="D209" s="13">
        <v>76</v>
      </c>
      <c r="E209" s="13">
        <v>3</v>
      </c>
      <c r="F209" s="88" t="s">
        <v>1838</v>
      </c>
      <c r="G209" s="89">
        <v>45175.416446759256</v>
      </c>
    </row>
    <row r="210" spans="1:8" x14ac:dyDescent="0.25">
      <c r="A210" s="1">
        <v>62365</v>
      </c>
      <c r="B210" s="12" t="s">
        <v>1150</v>
      </c>
      <c r="C210" s="11" t="s">
        <v>1021</v>
      </c>
      <c r="D210" s="13">
        <v>52</v>
      </c>
      <c r="E210" s="13">
        <v>8</v>
      </c>
      <c r="F210" s="88" t="s">
        <v>1838</v>
      </c>
      <c r="G210" s="89">
        <v>45175.416446759256</v>
      </c>
    </row>
    <row r="211" spans="1:8" x14ac:dyDescent="0.25">
      <c r="A211" s="1">
        <v>62625</v>
      </c>
      <c r="B211" s="12" t="s">
        <v>691</v>
      </c>
      <c r="F211" s="88" t="s">
        <v>1838</v>
      </c>
      <c r="G211" s="89">
        <v>45175.416446759256</v>
      </c>
    </row>
    <row r="212" spans="1:8" x14ac:dyDescent="0.25">
      <c r="A212" s="1">
        <v>63383</v>
      </c>
      <c r="B212" s="12" t="s">
        <v>1151</v>
      </c>
      <c r="C212" s="11" t="s">
        <v>1013</v>
      </c>
      <c r="D212" s="13">
        <v>52</v>
      </c>
      <c r="E212" s="13">
        <v>9</v>
      </c>
      <c r="F212" s="88" t="s">
        <v>1838</v>
      </c>
      <c r="G212" s="89">
        <v>45175.416446759256</v>
      </c>
    </row>
    <row r="213" spans="1:8" x14ac:dyDescent="0.25">
      <c r="A213" s="1">
        <v>63384</v>
      </c>
      <c r="B213" s="12" t="s">
        <v>1152</v>
      </c>
      <c r="C213" s="11" t="s">
        <v>1021</v>
      </c>
      <c r="D213" s="13">
        <v>52</v>
      </c>
      <c r="E213" s="13">
        <v>5</v>
      </c>
      <c r="F213" s="88" t="s">
        <v>1838</v>
      </c>
      <c r="G213" s="89">
        <v>45175.416446759256</v>
      </c>
    </row>
    <row r="214" spans="1:8" x14ac:dyDescent="0.25">
      <c r="A214" s="1">
        <v>64302</v>
      </c>
      <c r="B214" s="12" t="s">
        <v>107</v>
      </c>
      <c r="C214" s="11" t="s">
        <v>1018</v>
      </c>
      <c r="D214" s="13">
        <v>55</v>
      </c>
      <c r="E214" s="13">
        <v>19</v>
      </c>
      <c r="F214" s="88" t="s">
        <v>1838</v>
      </c>
      <c r="G214" s="89">
        <v>45175.416446759256</v>
      </c>
      <c r="H214">
        <v>140036</v>
      </c>
    </row>
    <row r="215" spans="1:8" x14ac:dyDescent="0.25">
      <c r="A215" s="1">
        <v>64460</v>
      </c>
      <c r="B215" s="12" t="s">
        <v>1153</v>
      </c>
      <c r="C215" s="11" t="s">
        <v>1021</v>
      </c>
      <c r="D215" s="13">
        <v>67</v>
      </c>
      <c r="E215" s="13">
        <v>4</v>
      </c>
      <c r="F215" s="88" t="s">
        <v>1838</v>
      </c>
      <c r="G215" s="89">
        <v>45175.416446759256</v>
      </c>
    </row>
    <row r="216" spans="1:8" x14ac:dyDescent="0.25">
      <c r="A216" s="1">
        <v>64461</v>
      </c>
      <c r="B216" s="12" t="s">
        <v>1154</v>
      </c>
      <c r="C216" s="11" t="s">
        <v>1021</v>
      </c>
      <c r="D216" s="13">
        <v>67</v>
      </c>
      <c r="E216" s="13">
        <v>4</v>
      </c>
      <c r="F216" s="88" t="s">
        <v>1838</v>
      </c>
      <c r="G216" s="89">
        <v>45175.416446759256</v>
      </c>
    </row>
    <row r="217" spans="1:8" x14ac:dyDescent="0.25">
      <c r="A217" s="1">
        <v>64463</v>
      </c>
      <c r="B217" s="12" t="s">
        <v>1155</v>
      </c>
      <c r="C217" s="11" t="s">
        <v>1021</v>
      </c>
      <c r="D217" s="13">
        <v>67</v>
      </c>
      <c r="E217" s="13">
        <v>4</v>
      </c>
      <c r="F217" s="88" t="s">
        <v>1838</v>
      </c>
      <c r="G217" s="89">
        <v>45175.416446759256</v>
      </c>
    </row>
    <row r="218" spans="1:8" x14ac:dyDescent="0.25">
      <c r="A218" s="1">
        <v>64606</v>
      </c>
      <c r="B218" s="12" t="s">
        <v>1156</v>
      </c>
      <c r="C218" s="11" t="s">
        <v>1048</v>
      </c>
      <c r="D218" s="13">
        <v>69</v>
      </c>
      <c r="E218" s="13">
        <v>8</v>
      </c>
      <c r="F218" s="88" t="s">
        <v>1838</v>
      </c>
      <c r="G218" s="89">
        <v>45175.416446759256</v>
      </c>
    </row>
    <row r="219" spans="1:8" x14ac:dyDescent="0.25">
      <c r="A219" s="1">
        <v>64608</v>
      </c>
      <c r="B219" s="12" t="s">
        <v>1157</v>
      </c>
      <c r="C219" s="11" t="s">
        <v>1048</v>
      </c>
      <c r="D219" s="13">
        <v>69</v>
      </c>
      <c r="E219" s="13">
        <v>3</v>
      </c>
      <c r="F219" s="88" t="s">
        <v>1838</v>
      </c>
      <c r="G219" s="89">
        <v>45175.416446759256</v>
      </c>
    </row>
    <row r="220" spans="1:8" x14ac:dyDescent="0.25">
      <c r="A220" s="1">
        <v>64630</v>
      </c>
      <c r="B220" s="12" t="s">
        <v>1643</v>
      </c>
      <c r="C220" s="11" t="s">
        <v>1021</v>
      </c>
      <c r="D220" s="13">
        <v>83</v>
      </c>
      <c r="E220" s="13">
        <v>5</v>
      </c>
      <c r="F220" s="88" t="s">
        <v>1838</v>
      </c>
      <c r="G220" s="89">
        <v>45175.416446759256</v>
      </c>
    </row>
    <row r="221" spans="1:8" x14ac:dyDescent="0.25">
      <c r="A221" s="1">
        <v>64631</v>
      </c>
      <c r="B221" s="12" t="s">
        <v>1158</v>
      </c>
      <c r="C221" s="11" t="s">
        <v>1021</v>
      </c>
      <c r="D221" s="13">
        <v>83</v>
      </c>
      <c r="E221" s="13">
        <v>5</v>
      </c>
      <c r="F221" s="88" t="s">
        <v>1838</v>
      </c>
      <c r="G221" s="89">
        <v>45175.416446759256</v>
      </c>
    </row>
    <row r="222" spans="1:8" x14ac:dyDescent="0.25">
      <c r="A222" s="1">
        <v>64633</v>
      </c>
      <c r="B222" s="12" t="s">
        <v>1159</v>
      </c>
      <c r="C222" s="11" t="s">
        <v>1021</v>
      </c>
      <c r="D222" s="13">
        <v>83</v>
      </c>
      <c r="E222" s="13">
        <v>10</v>
      </c>
      <c r="F222" s="88" t="s">
        <v>1838</v>
      </c>
      <c r="G222" s="89">
        <v>45175.416446759256</v>
      </c>
    </row>
    <row r="223" spans="1:8" x14ac:dyDescent="0.25">
      <c r="A223" s="1">
        <v>64818</v>
      </c>
      <c r="B223" s="12" t="s">
        <v>1160</v>
      </c>
      <c r="C223" s="11" t="s">
        <v>1021</v>
      </c>
      <c r="D223" s="13">
        <v>61</v>
      </c>
      <c r="E223" s="13">
        <v>11</v>
      </c>
      <c r="F223" s="88" t="s">
        <v>1838</v>
      </c>
      <c r="G223" s="89">
        <v>45175.416446759256</v>
      </c>
    </row>
    <row r="224" spans="1:8" x14ac:dyDescent="0.25">
      <c r="A224" s="1">
        <v>64819</v>
      </c>
      <c r="B224" s="12" t="s">
        <v>214</v>
      </c>
      <c r="C224" s="11" t="s">
        <v>1018</v>
      </c>
      <c r="D224" s="13">
        <v>51</v>
      </c>
      <c r="E224" s="13">
        <v>30</v>
      </c>
      <c r="F224" s="88" t="s">
        <v>1838</v>
      </c>
      <c r="G224" s="89">
        <v>45175.416446759256</v>
      </c>
      <c r="H224">
        <v>54680</v>
      </c>
    </row>
    <row r="225" spans="1:8" x14ac:dyDescent="0.25">
      <c r="A225" s="1">
        <v>64820</v>
      </c>
      <c r="B225" s="12" t="s">
        <v>1161</v>
      </c>
      <c r="C225" s="11" t="s">
        <v>1021</v>
      </c>
      <c r="D225" s="13">
        <v>51</v>
      </c>
      <c r="E225" s="13">
        <v>17</v>
      </c>
      <c r="F225" s="88" t="s">
        <v>1838</v>
      </c>
      <c r="G225" s="89">
        <v>45175.416446759256</v>
      </c>
    </row>
    <row r="226" spans="1:8" x14ac:dyDescent="0.25">
      <c r="A226" s="1">
        <v>64821</v>
      </c>
      <c r="B226" s="12" t="s">
        <v>234</v>
      </c>
      <c r="C226" s="11" t="s">
        <v>1136</v>
      </c>
      <c r="D226" s="13">
        <v>76</v>
      </c>
      <c r="E226" s="13">
        <v>9</v>
      </c>
      <c r="F226" s="88" t="s">
        <v>1838</v>
      </c>
      <c r="G226" s="89">
        <v>45175.416446759256</v>
      </c>
    </row>
    <row r="227" spans="1:8" x14ac:dyDescent="0.25">
      <c r="A227" s="1">
        <v>64822</v>
      </c>
      <c r="B227" s="12" t="s">
        <v>173</v>
      </c>
      <c r="C227" s="11" t="s">
        <v>1136</v>
      </c>
      <c r="D227" s="13">
        <v>76</v>
      </c>
      <c r="E227" s="13">
        <v>9</v>
      </c>
      <c r="F227" s="88" t="s">
        <v>1838</v>
      </c>
      <c r="G227" s="89">
        <v>45175.416446759256</v>
      </c>
      <c r="H227">
        <v>141608</v>
      </c>
    </row>
    <row r="228" spans="1:8" x14ac:dyDescent="0.25">
      <c r="A228" s="1">
        <v>65609</v>
      </c>
      <c r="B228" s="12" t="s">
        <v>1162</v>
      </c>
      <c r="C228" s="11" t="s">
        <v>1021</v>
      </c>
      <c r="D228" s="13">
        <v>51</v>
      </c>
      <c r="E228" s="13">
        <v>17</v>
      </c>
      <c r="F228" s="88" t="s">
        <v>1838</v>
      </c>
      <c r="G228" s="89">
        <v>45175.416446759256</v>
      </c>
    </row>
    <row r="229" spans="1:8" x14ac:dyDescent="0.25">
      <c r="A229" s="1">
        <v>65610</v>
      </c>
      <c r="B229" s="12" t="s">
        <v>1163</v>
      </c>
      <c r="C229" s="11" t="s">
        <v>1021</v>
      </c>
      <c r="D229" s="13">
        <v>51</v>
      </c>
      <c r="E229" s="13">
        <v>17</v>
      </c>
      <c r="F229" s="88" t="s">
        <v>1838</v>
      </c>
      <c r="G229" s="89">
        <v>45175.416446759256</v>
      </c>
    </row>
    <row r="230" spans="1:8" x14ac:dyDescent="0.25">
      <c r="A230" s="1">
        <v>65748</v>
      </c>
      <c r="B230" s="12" t="s">
        <v>121</v>
      </c>
      <c r="C230" s="11" t="s">
        <v>1018</v>
      </c>
      <c r="D230" s="13">
        <v>55</v>
      </c>
      <c r="E230" s="13">
        <v>19</v>
      </c>
      <c r="F230" s="88" t="s">
        <v>1838</v>
      </c>
      <c r="G230" s="89">
        <v>45175.416446759256</v>
      </c>
      <c r="H230">
        <v>140030</v>
      </c>
    </row>
    <row r="231" spans="1:8" x14ac:dyDescent="0.25">
      <c r="A231" s="1">
        <v>66786</v>
      </c>
      <c r="B231" s="12" t="s">
        <v>382</v>
      </c>
      <c r="C231" s="11" t="s">
        <v>1401</v>
      </c>
      <c r="D231" s="13">
        <v>72</v>
      </c>
      <c r="E231" s="13">
        <v>9</v>
      </c>
      <c r="F231" s="88" t="s">
        <v>1838</v>
      </c>
      <c r="G231" s="89">
        <v>45175.416446759256</v>
      </c>
    </row>
    <row r="232" spans="1:8" x14ac:dyDescent="0.25">
      <c r="A232" s="1">
        <v>67862</v>
      </c>
      <c r="B232" s="12" t="s">
        <v>1164</v>
      </c>
      <c r="C232" s="11" t="s">
        <v>1021</v>
      </c>
      <c r="D232" s="13">
        <v>78</v>
      </c>
      <c r="E232" s="13">
        <v>6</v>
      </c>
      <c r="F232" s="88" t="s">
        <v>1838</v>
      </c>
      <c r="G232" s="89">
        <v>45175.416446759256</v>
      </c>
    </row>
    <row r="233" spans="1:8" x14ac:dyDescent="0.25">
      <c r="A233" s="1">
        <v>67892</v>
      </c>
      <c r="B233" s="12" t="s">
        <v>1165</v>
      </c>
      <c r="C233" s="11" t="s">
        <v>1021</v>
      </c>
      <c r="D233" s="13">
        <v>69</v>
      </c>
      <c r="E233" s="13">
        <v>5</v>
      </c>
      <c r="F233" s="88" t="s">
        <v>1838</v>
      </c>
      <c r="G233" s="89">
        <v>45175.416446759256</v>
      </c>
    </row>
    <row r="234" spans="1:8" x14ac:dyDescent="0.25">
      <c r="A234" s="1">
        <v>68351</v>
      </c>
      <c r="B234" s="12" t="s">
        <v>615</v>
      </c>
      <c r="C234" s="11" t="s">
        <v>1021</v>
      </c>
      <c r="D234" s="13">
        <v>55</v>
      </c>
      <c r="E234" s="13">
        <v>5</v>
      </c>
      <c r="F234" s="88" t="s">
        <v>1838</v>
      </c>
      <c r="G234" s="89">
        <v>45175.416446759256</v>
      </c>
    </row>
    <row r="235" spans="1:8" x14ac:dyDescent="0.25">
      <c r="A235" s="1">
        <v>69339</v>
      </c>
      <c r="B235" s="12" t="s">
        <v>597</v>
      </c>
      <c r="C235" s="11" t="s">
        <v>1021</v>
      </c>
      <c r="D235" s="13">
        <v>54</v>
      </c>
      <c r="E235" s="13">
        <v>16</v>
      </c>
      <c r="F235" s="88" t="s">
        <v>1838</v>
      </c>
      <c r="G235" s="89">
        <v>45175.416446759256</v>
      </c>
    </row>
    <row r="236" spans="1:8" x14ac:dyDescent="0.25">
      <c r="A236" s="1">
        <v>71053</v>
      </c>
      <c r="B236" s="12" t="s">
        <v>573</v>
      </c>
      <c r="C236" s="11" t="s">
        <v>1021</v>
      </c>
      <c r="D236" s="13">
        <v>54</v>
      </c>
      <c r="E236" s="13">
        <v>4</v>
      </c>
      <c r="F236" s="88" t="s">
        <v>1838</v>
      </c>
      <c r="G236" s="89">
        <v>45175.416446759256</v>
      </c>
    </row>
    <row r="237" spans="1:8" x14ac:dyDescent="0.25">
      <c r="A237" s="1">
        <v>71189</v>
      </c>
      <c r="B237" s="12" t="s">
        <v>150</v>
      </c>
      <c r="C237" s="11" t="s">
        <v>1013</v>
      </c>
      <c r="D237" s="13">
        <v>51</v>
      </c>
      <c r="E237" s="13">
        <v>10</v>
      </c>
      <c r="F237" s="88" t="s">
        <v>1838</v>
      </c>
      <c r="G237" s="89">
        <v>45175.416446759256</v>
      </c>
    </row>
    <row r="238" spans="1:8" x14ac:dyDescent="0.25">
      <c r="A238" s="1">
        <v>71190</v>
      </c>
      <c r="B238" s="12" t="s">
        <v>150</v>
      </c>
      <c r="C238" s="11" t="s">
        <v>1021</v>
      </c>
      <c r="D238" s="13">
        <v>51</v>
      </c>
      <c r="E238" s="13">
        <v>10</v>
      </c>
      <c r="F238" s="88" t="s">
        <v>1838</v>
      </c>
      <c r="G238" s="89">
        <v>45175.416446759256</v>
      </c>
      <c r="H238">
        <v>136553</v>
      </c>
    </row>
    <row r="239" spans="1:8" x14ac:dyDescent="0.25">
      <c r="A239" s="1">
        <v>72052</v>
      </c>
      <c r="B239" s="12" t="s">
        <v>3</v>
      </c>
      <c r="C239" s="11" t="s">
        <v>1025</v>
      </c>
      <c r="D239" s="13">
        <v>76</v>
      </c>
      <c r="E239" s="13">
        <v>5</v>
      </c>
      <c r="F239" s="88" t="s">
        <v>1838</v>
      </c>
      <c r="G239" s="89">
        <v>45175.416446759256</v>
      </c>
      <c r="H239">
        <v>141270</v>
      </c>
    </row>
    <row r="240" spans="1:8" x14ac:dyDescent="0.25">
      <c r="A240" s="1">
        <v>72174</v>
      </c>
      <c r="B240" s="12" t="s">
        <v>1301</v>
      </c>
      <c r="C240" s="11" t="s">
        <v>1013</v>
      </c>
      <c r="D240" s="13">
        <v>72</v>
      </c>
      <c r="E240" s="13">
        <v>6</v>
      </c>
      <c r="F240" s="88" t="s">
        <v>1838</v>
      </c>
      <c r="G240" s="89">
        <v>45175.416446759256</v>
      </c>
    </row>
    <row r="241" spans="1:8" x14ac:dyDescent="0.25">
      <c r="A241" s="1">
        <v>73020</v>
      </c>
      <c r="B241" s="12" t="s">
        <v>1166</v>
      </c>
      <c r="C241" s="11" t="s">
        <v>1021</v>
      </c>
      <c r="D241" s="13">
        <v>76</v>
      </c>
      <c r="E241" s="13">
        <v>11</v>
      </c>
      <c r="F241" s="88" t="s">
        <v>1838</v>
      </c>
      <c r="G241" s="89">
        <v>45175.416446759256</v>
      </c>
    </row>
    <row r="242" spans="1:8" x14ac:dyDescent="0.25">
      <c r="A242" s="1">
        <v>74081</v>
      </c>
      <c r="B242" s="12" t="s">
        <v>1302</v>
      </c>
      <c r="C242" s="11" t="s">
        <v>1021</v>
      </c>
      <c r="D242" s="13">
        <v>72</v>
      </c>
      <c r="E242" s="13">
        <v>6</v>
      </c>
      <c r="F242" s="88" t="s">
        <v>1838</v>
      </c>
      <c r="G242" s="89">
        <v>45175.416446759256</v>
      </c>
    </row>
    <row r="243" spans="1:8" x14ac:dyDescent="0.25">
      <c r="A243" s="1">
        <v>74124</v>
      </c>
      <c r="B243" s="12" t="s">
        <v>122</v>
      </c>
      <c r="C243" s="11" t="s">
        <v>1018</v>
      </c>
      <c r="D243" s="13">
        <v>55</v>
      </c>
      <c r="E243" s="13">
        <v>19</v>
      </c>
      <c r="F243" s="88" t="s">
        <v>1838</v>
      </c>
      <c r="G243" s="89">
        <v>45175.416446759256</v>
      </c>
      <c r="H243">
        <v>140028</v>
      </c>
    </row>
    <row r="244" spans="1:8" x14ac:dyDescent="0.25">
      <c r="A244" s="1">
        <v>74491</v>
      </c>
      <c r="B244" s="12" t="s">
        <v>1167</v>
      </c>
      <c r="C244" s="11" t="s">
        <v>1168</v>
      </c>
      <c r="D244" s="13">
        <v>78</v>
      </c>
      <c r="E244" s="13">
        <v>2</v>
      </c>
      <c r="F244" s="88" t="s">
        <v>1838</v>
      </c>
      <c r="G244" s="89">
        <v>45175.416446759256</v>
      </c>
    </row>
    <row r="245" spans="1:8" x14ac:dyDescent="0.25">
      <c r="A245" s="1">
        <v>74492</v>
      </c>
      <c r="B245" s="12" t="s">
        <v>1169</v>
      </c>
      <c r="C245" s="11" t="s">
        <v>1168</v>
      </c>
      <c r="D245" s="13">
        <v>78</v>
      </c>
      <c r="E245" s="13">
        <v>2</v>
      </c>
      <c r="F245" s="88" t="s">
        <v>1838</v>
      </c>
      <c r="G245" s="89">
        <v>45175.416446759256</v>
      </c>
    </row>
    <row r="246" spans="1:8" x14ac:dyDescent="0.25">
      <c r="A246" s="1">
        <v>75027</v>
      </c>
      <c r="B246" s="12" t="s">
        <v>1170</v>
      </c>
      <c r="C246" s="11" t="s">
        <v>1171</v>
      </c>
      <c r="D246" s="13">
        <v>65</v>
      </c>
      <c r="E246" s="13">
        <v>26</v>
      </c>
      <c r="F246" s="88" t="s">
        <v>1838</v>
      </c>
      <c r="G246" s="89">
        <v>45175.416446759256</v>
      </c>
    </row>
    <row r="247" spans="1:8" x14ac:dyDescent="0.25">
      <c r="A247" s="1">
        <v>75915</v>
      </c>
      <c r="B247" s="12" t="s">
        <v>561</v>
      </c>
      <c r="C247" s="11" t="s">
        <v>1021</v>
      </c>
      <c r="D247" s="13">
        <v>51</v>
      </c>
      <c r="E247" s="13">
        <v>37</v>
      </c>
      <c r="F247" s="88" t="s">
        <v>1838</v>
      </c>
      <c r="G247" s="89">
        <v>45175.416446759256</v>
      </c>
    </row>
    <row r="248" spans="1:8" x14ac:dyDescent="0.25">
      <c r="A248" s="1">
        <v>76217</v>
      </c>
      <c r="B248" s="12" t="s">
        <v>1497</v>
      </c>
      <c r="C248" s="11" t="s">
        <v>1036</v>
      </c>
      <c r="D248" s="13">
        <v>69</v>
      </c>
      <c r="E248" s="13">
        <v>1</v>
      </c>
      <c r="F248" s="88" t="s">
        <v>1838</v>
      </c>
      <c r="G248" s="89">
        <v>45175.416446759256</v>
      </c>
    </row>
    <row r="249" spans="1:8" x14ac:dyDescent="0.25">
      <c r="A249" s="1">
        <v>76776</v>
      </c>
      <c r="B249" s="12" t="s">
        <v>123</v>
      </c>
      <c r="C249" s="11" t="s">
        <v>1018</v>
      </c>
      <c r="D249" s="13">
        <v>55</v>
      </c>
      <c r="E249" s="13">
        <v>19</v>
      </c>
      <c r="F249" s="88" t="s">
        <v>1838</v>
      </c>
      <c r="G249" s="89">
        <v>45175.416446759256</v>
      </c>
      <c r="H249">
        <v>140033</v>
      </c>
    </row>
    <row r="250" spans="1:8" x14ac:dyDescent="0.25">
      <c r="A250" s="1">
        <v>76777</v>
      </c>
      <c r="B250" s="12" t="s">
        <v>108</v>
      </c>
      <c r="C250" s="11" t="s">
        <v>1018</v>
      </c>
      <c r="D250" s="13">
        <v>55</v>
      </c>
      <c r="E250" s="13">
        <v>19</v>
      </c>
      <c r="F250" s="88" t="s">
        <v>1838</v>
      </c>
      <c r="G250" s="89">
        <v>45175.416446759256</v>
      </c>
      <c r="H250">
        <v>140042</v>
      </c>
    </row>
    <row r="251" spans="1:8" x14ac:dyDescent="0.25">
      <c r="A251" s="1">
        <v>76780</v>
      </c>
      <c r="B251" s="12" t="s">
        <v>109</v>
      </c>
      <c r="C251" s="11" t="s">
        <v>1018</v>
      </c>
      <c r="D251" s="13">
        <v>55</v>
      </c>
      <c r="E251" s="13">
        <v>19</v>
      </c>
      <c r="F251" s="88" t="s">
        <v>1838</v>
      </c>
      <c r="G251" s="89">
        <v>45175.416446759256</v>
      </c>
      <c r="H251">
        <v>140035</v>
      </c>
    </row>
    <row r="252" spans="1:8" x14ac:dyDescent="0.25">
      <c r="A252" s="1">
        <v>76781</v>
      </c>
      <c r="B252" s="12" t="s">
        <v>124</v>
      </c>
      <c r="C252" s="11" t="s">
        <v>1018</v>
      </c>
      <c r="D252" s="13">
        <v>55</v>
      </c>
      <c r="E252" s="13">
        <v>19</v>
      </c>
      <c r="F252" s="88" t="s">
        <v>1838</v>
      </c>
      <c r="G252" s="89">
        <v>45175.416446759256</v>
      </c>
      <c r="H252">
        <v>140043</v>
      </c>
    </row>
    <row r="253" spans="1:8" x14ac:dyDescent="0.25">
      <c r="A253" s="1">
        <v>77380</v>
      </c>
      <c r="B253" s="12" t="s">
        <v>1303</v>
      </c>
      <c r="C253" s="11" t="s">
        <v>1021</v>
      </c>
      <c r="D253" s="13">
        <v>72</v>
      </c>
      <c r="E253" s="13">
        <v>6</v>
      </c>
      <c r="F253" s="88" t="s">
        <v>1838</v>
      </c>
      <c r="G253" s="89">
        <v>45175.416446759256</v>
      </c>
    </row>
    <row r="254" spans="1:8" x14ac:dyDescent="0.25">
      <c r="A254" s="1">
        <v>77553</v>
      </c>
      <c r="B254" s="12" t="s">
        <v>1172</v>
      </c>
      <c r="C254" s="11" t="s">
        <v>1021</v>
      </c>
      <c r="D254" s="13">
        <v>74</v>
      </c>
      <c r="E254" s="13">
        <v>3</v>
      </c>
      <c r="F254" s="88" t="s">
        <v>1838</v>
      </c>
      <c r="G254" s="89">
        <v>45175.416446759256</v>
      </c>
    </row>
    <row r="255" spans="1:8" x14ac:dyDescent="0.25">
      <c r="A255" s="1">
        <v>77555</v>
      </c>
      <c r="B255" s="12" t="s">
        <v>1173</v>
      </c>
      <c r="C255" s="11" t="s">
        <v>1021</v>
      </c>
      <c r="D255" s="13">
        <v>74</v>
      </c>
      <c r="E255" s="13">
        <v>3</v>
      </c>
      <c r="F255" s="88" t="s">
        <v>1838</v>
      </c>
      <c r="G255" s="89">
        <v>45175.416446759256</v>
      </c>
    </row>
    <row r="256" spans="1:8" x14ac:dyDescent="0.25">
      <c r="A256" s="1">
        <v>77822</v>
      </c>
      <c r="B256" s="12" t="s">
        <v>927</v>
      </c>
      <c r="C256" s="11" t="s">
        <v>1021</v>
      </c>
      <c r="D256" s="13">
        <v>72</v>
      </c>
      <c r="E256" s="13">
        <v>5</v>
      </c>
      <c r="F256" s="88" t="s">
        <v>1838</v>
      </c>
      <c r="G256" s="89">
        <v>45175.416446759256</v>
      </c>
    </row>
    <row r="257" spans="1:8" x14ac:dyDescent="0.25">
      <c r="A257" s="1">
        <v>77992</v>
      </c>
      <c r="B257" s="12" t="s">
        <v>568</v>
      </c>
      <c r="C257" s="11" t="s">
        <v>1171</v>
      </c>
      <c r="D257" s="13">
        <v>52</v>
      </c>
      <c r="E257" s="13">
        <v>15</v>
      </c>
      <c r="F257" s="88" t="s">
        <v>1838</v>
      </c>
      <c r="G257" s="89">
        <v>45175.416446759256</v>
      </c>
    </row>
    <row r="258" spans="1:8" x14ac:dyDescent="0.25">
      <c r="A258" s="1">
        <v>78025</v>
      </c>
      <c r="B258" s="12" t="s">
        <v>196</v>
      </c>
      <c r="C258" s="11" t="s">
        <v>1021</v>
      </c>
      <c r="D258" s="13">
        <v>72</v>
      </c>
      <c r="E258" s="13">
        <v>6</v>
      </c>
      <c r="F258" s="88" t="s">
        <v>1838</v>
      </c>
      <c r="G258" s="89">
        <v>45175.416446759256</v>
      </c>
      <c r="H258">
        <v>74081</v>
      </c>
    </row>
    <row r="259" spans="1:8" x14ac:dyDescent="0.25">
      <c r="A259" s="1">
        <v>78027</v>
      </c>
      <c r="B259" s="12" t="s">
        <v>1174</v>
      </c>
      <c r="C259" s="11" t="s">
        <v>1021</v>
      </c>
      <c r="D259" s="13">
        <v>52</v>
      </c>
      <c r="E259" s="13">
        <v>13</v>
      </c>
      <c r="F259" s="88" t="s">
        <v>1838</v>
      </c>
      <c r="G259" s="89">
        <v>45175.416446759256</v>
      </c>
    </row>
    <row r="260" spans="1:8" x14ac:dyDescent="0.25">
      <c r="A260" s="1">
        <v>78043</v>
      </c>
      <c r="B260" s="12" t="s">
        <v>1175</v>
      </c>
      <c r="C260" s="11" t="s">
        <v>1021</v>
      </c>
      <c r="D260" s="13">
        <v>45</v>
      </c>
      <c r="E260" s="13">
        <v>12</v>
      </c>
      <c r="F260" s="88" t="s">
        <v>1838</v>
      </c>
      <c r="G260" s="89">
        <v>45175.416446759256</v>
      </c>
    </row>
    <row r="261" spans="1:8" x14ac:dyDescent="0.25">
      <c r="A261" s="1">
        <v>78304</v>
      </c>
      <c r="B261" s="12" t="s">
        <v>1176</v>
      </c>
      <c r="C261" s="11" t="s">
        <v>1021</v>
      </c>
      <c r="D261" s="13">
        <v>51</v>
      </c>
      <c r="E261" s="13">
        <v>36</v>
      </c>
      <c r="F261" s="88" t="s">
        <v>1838</v>
      </c>
      <c r="G261" s="89">
        <v>45175.416446759256</v>
      </c>
    </row>
    <row r="262" spans="1:8" x14ac:dyDescent="0.25">
      <c r="A262" s="1">
        <v>78398</v>
      </c>
      <c r="B262" s="12" t="s">
        <v>595</v>
      </c>
      <c r="C262" s="11" t="s">
        <v>1021</v>
      </c>
      <c r="D262" s="13">
        <v>54</v>
      </c>
      <c r="E262" s="13">
        <v>9</v>
      </c>
      <c r="F262" s="88" t="s">
        <v>1838</v>
      </c>
      <c r="G262" s="89">
        <v>45175.416446759256</v>
      </c>
    </row>
    <row r="263" spans="1:8" x14ac:dyDescent="0.25">
      <c r="A263" s="1">
        <v>79118</v>
      </c>
      <c r="B263" s="12" t="s">
        <v>1177</v>
      </c>
      <c r="C263" s="11" t="s">
        <v>1021</v>
      </c>
      <c r="D263" s="13">
        <v>52</v>
      </c>
      <c r="E263" s="13">
        <v>13</v>
      </c>
      <c r="F263" s="88" t="s">
        <v>1838</v>
      </c>
      <c r="G263" s="89">
        <v>45175.416446759256</v>
      </c>
    </row>
    <row r="264" spans="1:8" x14ac:dyDescent="0.25">
      <c r="A264" s="1">
        <v>79635</v>
      </c>
      <c r="B264" s="12" t="s">
        <v>693</v>
      </c>
      <c r="C264" s="11" t="s">
        <v>1021</v>
      </c>
      <c r="D264" s="13">
        <v>55</v>
      </c>
      <c r="E264" s="13">
        <v>57</v>
      </c>
      <c r="F264" s="88" t="s">
        <v>1838</v>
      </c>
      <c r="G264" s="89">
        <v>45175.416446759256</v>
      </c>
    </row>
    <row r="265" spans="1:8" x14ac:dyDescent="0.25">
      <c r="A265" s="1">
        <v>80297</v>
      </c>
      <c r="B265" s="12" t="s">
        <v>1178</v>
      </c>
      <c r="C265" s="11" t="s">
        <v>1021</v>
      </c>
      <c r="D265" s="13">
        <v>51</v>
      </c>
      <c r="E265" s="13">
        <v>30</v>
      </c>
      <c r="F265" s="88" t="s">
        <v>1838</v>
      </c>
      <c r="G265" s="89">
        <v>45175.416446759256</v>
      </c>
    </row>
    <row r="266" spans="1:8" x14ac:dyDescent="0.25">
      <c r="A266" s="1">
        <v>80349</v>
      </c>
      <c r="B266" s="12" t="s">
        <v>1179</v>
      </c>
      <c r="C266" s="11" t="s">
        <v>1021</v>
      </c>
      <c r="D266" s="13">
        <v>84</v>
      </c>
      <c r="E266" s="13">
        <v>1</v>
      </c>
      <c r="F266" s="88" t="s">
        <v>1838</v>
      </c>
      <c r="G266" s="89">
        <v>45175.416446759256</v>
      </c>
    </row>
    <row r="267" spans="1:8" x14ac:dyDescent="0.25">
      <c r="A267" s="1">
        <v>80384</v>
      </c>
      <c r="B267" s="12" t="s">
        <v>565</v>
      </c>
      <c r="F267" s="88" t="s">
        <v>1838</v>
      </c>
      <c r="G267" s="89">
        <v>45175.416446759256</v>
      </c>
    </row>
    <row r="268" spans="1:8" x14ac:dyDescent="0.25">
      <c r="A268" s="1">
        <v>80388</v>
      </c>
      <c r="B268" s="12" t="s">
        <v>1180</v>
      </c>
      <c r="C268" s="11" t="s">
        <v>1168</v>
      </c>
      <c r="D268" s="13">
        <v>78</v>
      </c>
      <c r="E268" s="13">
        <v>2</v>
      </c>
      <c r="F268" s="88" t="s">
        <v>1838</v>
      </c>
      <c r="G268" s="89">
        <v>45175.416446759256</v>
      </c>
    </row>
    <row r="269" spans="1:8" x14ac:dyDescent="0.25">
      <c r="A269" s="1">
        <v>80391</v>
      </c>
      <c r="B269" s="12" t="s">
        <v>1181</v>
      </c>
      <c r="C269" s="11" t="s">
        <v>1021</v>
      </c>
      <c r="D269" s="13">
        <v>61</v>
      </c>
      <c r="E269" s="13">
        <v>11</v>
      </c>
      <c r="F269" s="88" t="s">
        <v>1838</v>
      </c>
      <c r="G269" s="89">
        <v>45175.416446759256</v>
      </c>
    </row>
    <row r="270" spans="1:8" x14ac:dyDescent="0.25">
      <c r="A270" s="1">
        <v>80575</v>
      </c>
      <c r="B270" s="12" t="s">
        <v>1182</v>
      </c>
      <c r="C270" s="11" t="s">
        <v>1021</v>
      </c>
      <c r="D270" s="13">
        <v>52</v>
      </c>
      <c r="E270" s="13">
        <v>10</v>
      </c>
      <c r="F270" s="88" t="s">
        <v>1838</v>
      </c>
      <c r="G270" s="89">
        <v>45175.416446759256</v>
      </c>
    </row>
    <row r="271" spans="1:8" x14ac:dyDescent="0.25">
      <c r="A271" s="1">
        <v>80650</v>
      </c>
      <c r="B271" s="12" t="s">
        <v>36</v>
      </c>
      <c r="C271" s="11" t="s">
        <v>1021</v>
      </c>
      <c r="D271" s="13">
        <v>55</v>
      </c>
      <c r="E271" s="13">
        <v>46</v>
      </c>
      <c r="F271" s="88" t="s">
        <v>1838</v>
      </c>
      <c r="G271" s="89">
        <v>45175.416446759256</v>
      </c>
    </row>
    <row r="272" spans="1:8" x14ac:dyDescent="0.25">
      <c r="A272" s="1">
        <v>80749</v>
      </c>
      <c r="B272" s="12" t="s">
        <v>1183</v>
      </c>
      <c r="C272" s="11" t="s">
        <v>1021</v>
      </c>
      <c r="D272" s="13">
        <v>55</v>
      </c>
      <c r="E272" s="13">
        <v>37</v>
      </c>
      <c r="F272" s="88" t="s">
        <v>1838</v>
      </c>
      <c r="G272" s="89">
        <v>45175.416446759256</v>
      </c>
    </row>
    <row r="273" spans="1:8" x14ac:dyDescent="0.25">
      <c r="A273" s="1">
        <v>81509</v>
      </c>
      <c r="B273" s="12" t="s">
        <v>1184</v>
      </c>
      <c r="C273" s="11" t="s">
        <v>1185</v>
      </c>
      <c r="D273" s="13">
        <v>51</v>
      </c>
      <c r="E273" s="13">
        <v>21</v>
      </c>
      <c r="F273" s="88" t="s">
        <v>1838</v>
      </c>
      <c r="G273" s="89">
        <v>45175.416446759256</v>
      </c>
    </row>
    <row r="274" spans="1:8" x14ac:dyDescent="0.25">
      <c r="A274" s="1">
        <v>81566</v>
      </c>
      <c r="B274" s="12" t="s">
        <v>322</v>
      </c>
      <c r="C274" s="11" t="s">
        <v>1141</v>
      </c>
      <c r="D274" s="13">
        <v>61</v>
      </c>
      <c r="E274" s="13">
        <v>15</v>
      </c>
      <c r="F274" s="88" t="s">
        <v>1838</v>
      </c>
      <c r="G274" s="89">
        <v>45175.416446759256</v>
      </c>
      <c r="H274">
        <v>115805</v>
      </c>
    </row>
    <row r="275" spans="1:8" x14ac:dyDescent="0.25">
      <c r="A275" s="1">
        <v>82732</v>
      </c>
      <c r="B275" s="12" t="s">
        <v>371</v>
      </c>
      <c r="C275" s="11" t="s">
        <v>1021</v>
      </c>
      <c r="D275" s="13">
        <v>55</v>
      </c>
      <c r="E275" s="13">
        <v>54</v>
      </c>
      <c r="F275" s="88" t="s">
        <v>1838</v>
      </c>
      <c r="G275" s="89">
        <v>45175.416446759256</v>
      </c>
    </row>
    <row r="276" spans="1:8" x14ac:dyDescent="0.25">
      <c r="A276" s="1">
        <v>82829</v>
      </c>
      <c r="B276" s="12" t="s">
        <v>1186</v>
      </c>
      <c r="C276" s="11" t="s">
        <v>1021</v>
      </c>
      <c r="D276" s="13">
        <v>52</v>
      </c>
      <c r="E276" s="13">
        <v>13</v>
      </c>
      <c r="F276" s="88" t="s">
        <v>1838</v>
      </c>
      <c r="G276" s="89">
        <v>45175.416446759256</v>
      </c>
    </row>
    <row r="277" spans="1:8" x14ac:dyDescent="0.25">
      <c r="A277" s="1">
        <v>82916</v>
      </c>
      <c r="B277" s="12" t="s">
        <v>4</v>
      </c>
      <c r="C277" s="11" t="s">
        <v>1490</v>
      </c>
      <c r="D277" s="13">
        <v>76</v>
      </c>
      <c r="E277" s="13">
        <v>6</v>
      </c>
      <c r="F277" s="88" t="s">
        <v>1838</v>
      </c>
      <c r="G277" s="89">
        <v>45175.416446759256</v>
      </c>
    </row>
    <row r="278" spans="1:8" x14ac:dyDescent="0.25">
      <c r="A278" s="1">
        <v>83788</v>
      </c>
      <c r="B278" s="12" t="s">
        <v>1187</v>
      </c>
      <c r="C278" s="11" t="s">
        <v>1021</v>
      </c>
      <c r="D278" s="13">
        <v>55</v>
      </c>
      <c r="E278" s="13">
        <v>32</v>
      </c>
      <c r="F278" s="88" t="s">
        <v>1838</v>
      </c>
      <c r="G278" s="89">
        <v>45175.416446759256</v>
      </c>
    </row>
    <row r="279" spans="1:8" x14ac:dyDescent="0.25">
      <c r="A279" s="1">
        <v>85798</v>
      </c>
      <c r="B279" s="12" t="s">
        <v>1453</v>
      </c>
      <c r="C279" s="11" t="s">
        <v>1021</v>
      </c>
      <c r="D279" s="13">
        <v>83</v>
      </c>
      <c r="E279" s="13">
        <v>4</v>
      </c>
      <c r="F279" s="88" t="s">
        <v>1838</v>
      </c>
      <c r="G279" s="89">
        <v>45175.416446759256</v>
      </c>
      <c r="H279">
        <v>139545</v>
      </c>
    </row>
    <row r="280" spans="1:8" x14ac:dyDescent="0.25">
      <c r="A280" s="1">
        <v>86030</v>
      </c>
      <c r="B280" s="12" t="s">
        <v>688</v>
      </c>
      <c r="C280" s="11" t="s">
        <v>1021</v>
      </c>
      <c r="D280" s="13">
        <v>55</v>
      </c>
      <c r="E280" s="13">
        <v>49</v>
      </c>
      <c r="F280" s="88" t="s">
        <v>1838</v>
      </c>
      <c r="G280" s="89">
        <v>45175.416446759256</v>
      </c>
    </row>
    <row r="281" spans="1:8" x14ac:dyDescent="0.25">
      <c r="A281" s="1">
        <v>86118</v>
      </c>
      <c r="B281" s="12" t="s">
        <v>372</v>
      </c>
      <c r="C281" s="11" t="s">
        <v>1021</v>
      </c>
      <c r="D281" s="13">
        <v>55</v>
      </c>
      <c r="E281" s="13">
        <v>55</v>
      </c>
      <c r="F281" s="88" t="s">
        <v>1838</v>
      </c>
      <c r="G281" s="89">
        <v>45175.416446759256</v>
      </c>
    </row>
    <row r="282" spans="1:8" x14ac:dyDescent="0.25">
      <c r="A282" s="1">
        <v>86891</v>
      </c>
      <c r="B282" s="12" t="s">
        <v>1188</v>
      </c>
      <c r="C282" s="11" t="s">
        <v>1021</v>
      </c>
      <c r="D282" s="13">
        <v>78</v>
      </c>
      <c r="E282" s="13">
        <v>2</v>
      </c>
      <c r="F282" s="88" t="s">
        <v>1838</v>
      </c>
      <c r="G282" s="89">
        <v>45175.416446759256</v>
      </c>
    </row>
    <row r="283" spans="1:8" x14ac:dyDescent="0.25">
      <c r="A283" s="1">
        <v>87157</v>
      </c>
      <c r="B283" s="12" t="s">
        <v>1189</v>
      </c>
      <c r="C283" s="11" t="s">
        <v>1185</v>
      </c>
      <c r="D283" s="13">
        <v>51</v>
      </c>
      <c r="E283" s="13">
        <v>19</v>
      </c>
      <c r="F283" s="88" t="s">
        <v>1838</v>
      </c>
      <c r="G283" s="89">
        <v>45175.416446759256</v>
      </c>
    </row>
    <row r="284" spans="1:8" x14ac:dyDescent="0.25">
      <c r="A284" s="1">
        <v>87160</v>
      </c>
      <c r="B284" s="12" t="s">
        <v>1190</v>
      </c>
      <c r="C284" s="11" t="s">
        <v>1185</v>
      </c>
      <c r="D284" s="13">
        <v>51</v>
      </c>
      <c r="E284" s="13">
        <v>19</v>
      </c>
      <c r="F284" s="88" t="s">
        <v>1838</v>
      </c>
      <c r="G284" s="89">
        <v>45175.416446759256</v>
      </c>
    </row>
    <row r="285" spans="1:8" x14ac:dyDescent="0.25">
      <c r="A285" s="1">
        <v>87465</v>
      </c>
      <c r="B285" s="12" t="s">
        <v>934</v>
      </c>
      <c r="C285" s="11" t="s">
        <v>1013</v>
      </c>
      <c r="D285" s="13">
        <v>72</v>
      </c>
      <c r="E285" s="13">
        <v>7</v>
      </c>
      <c r="F285" s="88" t="s">
        <v>1838</v>
      </c>
      <c r="G285" s="89">
        <v>45175.416446759256</v>
      </c>
    </row>
    <row r="286" spans="1:8" x14ac:dyDescent="0.25">
      <c r="A286" s="1">
        <v>88083</v>
      </c>
      <c r="B286" s="12" t="s">
        <v>1191</v>
      </c>
      <c r="C286" s="11" t="s">
        <v>1021</v>
      </c>
      <c r="D286" s="13">
        <v>84</v>
      </c>
      <c r="E286" s="13">
        <v>1</v>
      </c>
      <c r="F286" s="88" t="s">
        <v>1838</v>
      </c>
      <c r="G286" s="89">
        <v>45175.416446759256</v>
      </c>
    </row>
    <row r="287" spans="1:8" x14ac:dyDescent="0.25">
      <c r="A287" s="1">
        <v>88084</v>
      </c>
      <c r="B287" s="12" t="s">
        <v>1192</v>
      </c>
      <c r="C287" s="11" t="s">
        <v>1021</v>
      </c>
      <c r="D287" s="13">
        <v>84</v>
      </c>
      <c r="E287" s="13">
        <v>2</v>
      </c>
      <c r="F287" s="88" t="s">
        <v>1838</v>
      </c>
      <c r="G287" s="89">
        <v>45175.416446759256</v>
      </c>
    </row>
    <row r="288" spans="1:8" x14ac:dyDescent="0.25">
      <c r="A288" s="1">
        <v>88718</v>
      </c>
      <c r="B288" s="12" t="s">
        <v>343</v>
      </c>
      <c r="C288" s="11" t="s">
        <v>1021</v>
      </c>
      <c r="D288" s="13">
        <v>55</v>
      </c>
      <c r="E288" s="13">
        <v>26</v>
      </c>
      <c r="F288" s="88" t="s">
        <v>1838</v>
      </c>
      <c r="G288" s="89">
        <v>45175.416446759256</v>
      </c>
    </row>
    <row r="289" spans="1:8" x14ac:dyDescent="0.25">
      <c r="A289" s="1">
        <v>88719</v>
      </c>
      <c r="B289" s="12" t="s">
        <v>344</v>
      </c>
      <c r="C289" s="11" t="s">
        <v>1021</v>
      </c>
      <c r="D289" s="13">
        <v>55</v>
      </c>
      <c r="E289" s="13">
        <v>26</v>
      </c>
      <c r="F289" s="88" t="s">
        <v>1838</v>
      </c>
      <c r="G289" s="89">
        <v>45175.416446759256</v>
      </c>
    </row>
    <row r="290" spans="1:8" x14ac:dyDescent="0.25">
      <c r="A290" s="1">
        <v>88741</v>
      </c>
      <c r="B290" s="12" t="s">
        <v>1193</v>
      </c>
      <c r="C290" s="11" t="s">
        <v>1021</v>
      </c>
      <c r="D290" s="13">
        <v>55</v>
      </c>
      <c r="E290" s="13">
        <v>26</v>
      </c>
      <c r="F290" s="88" t="s">
        <v>1838</v>
      </c>
      <c r="G290" s="89">
        <v>45175.416446759256</v>
      </c>
    </row>
    <row r="291" spans="1:8" x14ac:dyDescent="0.25">
      <c r="A291" s="1">
        <v>88742</v>
      </c>
      <c r="B291" s="12" t="s">
        <v>1194</v>
      </c>
      <c r="C291" s="11" t="s">
        <v>1021</v>
      </c>
      <c r="D291" s="13">
        <v>55</v>
      </c>
      <c r="E291" s="13">
        <v>26</v>
      </c>
      <c r="F291" s="88" t="s">
        <v>1838</v>
      </c>
      <c r="G291" s="89">
        <v>45175.416446759256</v>
      </c>
    </row>
    <row r="292" spans="1:8" x14ac:dyDescent="0.25">
      <c r="A292" s="1">
        <v>88989</v>
      </c>
      <c r="B292" s="12" t="s">
        <v>576</v>
      </c>
      <c r="C292" s="11" t="s">
        <v>1168</v>
      </c>
      <c r="D292" s="13">
        <v>54</v>
      </c>
      <c r="E292" s="13">
        <v>4</v>
      </c>
      <c r="F292" s="88" t="s">
        <v>1838</v>
      </c>
      <c r="G292" s="89">
        <v>45175.416446759256</v>
      </c>
    </row>
    <row r="293" spans="1:8" x14ac:dyDescent="0.25">
      <c r="A293" s="1">
        <v>88992</v>
      </c>
      <c r="B293" s="12" t="s">
        <v>577</v>
      </c>
      <c r="C293" s="11" t="s">
        <v>1168</v>
      </c>
      <c r="D293" s="13">
        <v>54</v>
      </c>
      <c r="E293" s="13">
        <v>4</v>
      </c>
      <c r="F293" s="88" t="s">
        <v>1838</v>
      </c>
      <c r="G293" s="89">
        <v>45175.416446759256</v>
      </c>
    </row>
    <row r="294" spans="1:8" x14ac:dyDescent="0.25">
      <c r="A294" s="1">
        <v>88993</v>
      </c>
      <c r="B294" s="12" t="s">
        <v>578</v>
      </c>
      <c r="C294" s="11" t="s">
        <v>1168</v>
      </c>
      <c r="D294" s="13">
        <v>54</v>
      </c>
      <c r="E294" s="13">
        <v>4</v>
      </c>
      <c r="F294" s="88" t="s">
        <v>1838</v>
      </c>
      <c r="G294" s="89">
        <v>45175.416446759256</v>
      </c>
    </row>
    <row r="295" spans="1:8" x14ac:dyDescent="0.25">
      <c r="A295" s="1">
        <v>89818</v>
      </c>
      <c r="B295" s="12" t="s">
        <v>1449</v>
      </c>
      <c r="C295" s="11" t="s">
        <v>1168</v>
      </c>
      <c r="D295" s="13">
        <v>54</v>
      </c>
      <c r="E295" s="13">
        <v>4</v>
      </c>
      <c r="F295" s="88" t="s">
        <v>1838</v>
      </c>
      <c r="G295" s="89">
        <v>45175.416446759256</v>
      </c>
    </row>
    <row r="296" spans="1:8" x14ac:dyDescent="0.25">
      <c r="A296" s="1">
        <v>89855</v>
      </c>
      <c r="B296" s="12" t="s">
        <v>984</v>
      </c>
      <c r="C296" s="11" t="s">
        <v>1021</v>
      </c>
      <c r="D296" s="13">
        <v>83</v>
      </c>
      <c r="E296" s="13">
        <v>3</v>
      </c>
      <c r="F296" s="88" t="s">
        <v>1838</v>
      </c>
      <c r="G296" s="89">
        <v>45175.416446759256</v>
      </c>
    </row>
    <row r="297" spans="1:8" x14ac:dyDescent="0.25">
      <c r="A297" s="1">
        <v>89860</v>
      </c>
      <c r="B297" s="12" t="s">
        <v>1195</v>
      </c>
      <c r="C297" s="11" t="s">
        <v>1021</v>
      </c>
      <c r="D297" s="13">
        <v>83</v>
      </c>
      <c r="E297" s="13">
        <v>3</v>
      </c>
      <c r="F297" s="88" t="s">
        <v>1838</v>
      </c>
      <c r="G297" s="89">
        <v>45175.416446759256</v>
      </c>
    </row>
    <row r="298" spans="1:8" x14ac:dyDescent="0.25">
      <c r="A298" s="1">
        <v>89866</v>
      </c>
      <c r="B298" s="12" t="s">
        <v>1196</v>
      </c>
      <c r="C298" s="11" t="s">
        <v>1197</v>
      </c>
      <c r="D298" s="13">
        <v>67</v>
      </c>
      <c r="E298" s="13">
        <v>3</v>
      </c>
      <c r="F298" s="88" t="s">
        <v>1838</v>
      </c>
      <c r="G298" s="89">
        <v>45175.416446759256</v>
      </c>
    </row>
    <row r="299" spans="1:8" x14ac:dyDescent="0.25">
      <c r="A299" s="1">
        <v>90232</v>
      </c>
      <c r="B299" s="12" t="s">
        <v>1198</v>
      </c>
      <c r="C299" s="11" t="s">
        <v>1136</v>
      </c>
      <c r="D299" s="13">
        <v>76</v>
      </c>
      <c r="E299" s="13">
        <v>10</v>
      </c>
      <c r="F299" s="88" t="s">
        <v>1838</v>
      </c>
      <c r="G299" s="89">
        <v>45175.416446759256</v>
      </c>
    </row>
    <row r="300" spans="1:8" x14ac:dyDescent="0.25">
      <c r="A300" s="1">
        <v>90469</v>
      </c>
      <c r="B300" s="12" t="s">
        <v>1550</v>
      </c>
      <c r="C300" s="11" t="s">
        <v>1025</v>
      </c>
      <c r="D300" s="13">
        <v>76</v>
      </c>
      <c r="E300" s="13">
        <v>3</v>
      </c>
      <c r="F300" s="88" t="s">
        <v>1838</v>
      </c>
      <c r="G300" s="89">
        <v>45175.416446759256</v>
      </c>
      <c r="H300">
        <v>136040</v>
      </c>
    </row>
    <row r="301" spans="1:8" x14ac:dyDescent="0.25">
      <c r="A301" s="1">
        <v>90470</v>
      </c>
      <c r="B301" s="12" t="s">
        <v>1199</v>
      </c>
      <c r="C301" s="11" t="s">
        <v>1025</v>
      </c>
      <c r="D301" s="13">
        <v>76</v>
      </c>
      <c r="E301" s="13">
        <v>3</v>
      </c>
      <c r="F301" s="88" t="s">
        <v>1838</v>
      </c>
      <c r="G301" s="89">
        <v>45175.416446759256</v>
      </c>
    </row>
    <row r="302" spans="1:8" x14ac:dyDescent="0.25">
      <c r="A302" s="1">
        <v>90500</v>
      </c>
      <c r="B302" s="12" t="s">
        <v>621</v>
      </c>
      <c r="C302" s="11" t="s">
        <v>1018</v>
      </c>
      <c r="D302" s="13">
        <v>55</v>
      </c>
      <c r="E302" s="13">
        <v>19</v>
      </c>
      <c r="F302" s="88" t="s">
        <v>1838</v>
      </c>
      <c r="G302" s="89">
        <v>45175.416446759256</v>
      </c>
      <c r="H302">
        <v>136910</v>
      </c>
    </row>
    <row r="303" spans="1:8" x14ac:dyDescent="0.25">
      <c r="A303" s="1">
        <v>90502</v>
      </c>
      <c r="B303" s="12" t="s">
        <v>125</v>
      </c>
      <c r="C303" s="11" t="s">
        <v>1018</v>
      </c>
      <c r="D303" s="13">
        <v>55</v>
      </c>
      <c r="E303" s="13">
        <v>19</v>
      </c>
      <c r="F303" s="88" t="s">
        <v>1838</v>
      </c>
      <c r="G303" s="89">
        <v>45175.416446759256</v>
      </c>
      <c r="H303">
        <v>136911</v>
      </c>
    </row>
    <row r="304" spans="1:8" x14ac:dyDescent="0.25">
      <c r="A304" s="1">
        <v>90827</v>
      </c>
      <c r="B304" s="12" t="s">
        <v>1200</v>
      </c>
      <c r="C304" s="11" t="s">
        <v>1025</v>
      </c>
      <c r="D304" s="13">
        <v>51</v>
      </c>
      <c r="E304" s="13">
        <v>3</v>
      </c>
      <c r="F304" s="88" t="s">
        <v>1838</v>
      </c>
      <c r="G304" s="89">
        <v>45175.416446759256</v>
      </c>
    </row>
    <row r="305" spans="1:8" x14ac:dyDescent="0.25">
      <c r="A305" s="1">
        <v>90884</v>
      </c>
      <c r="B305" s="12" t="s">
        <v>1201</v>
      </c>
      <c r="C305" s="11" t="s">
        <v>1136</v>
      </c>
      <c r="D305" s="13">
        <v>76</v>
      </c>
      <c r="E305" s="13">
        <v>10</v>
      </c>
      <c r="F305" s="88" t="s">
        <v>1838</v>
      </c>
      <c r="G305" s="89">
        <v>45175.416446759256</v>
      </c>
    </row>
    <row r="306" spans="1:8" x14ac:dyDescent="0.25">
      <c r="A306" s="1">
        <v>91811</v>
      </c>
      <c r="B306" s="12" t="s">
        <v>190</v>
      </c>
      <c r="C306" s="11" t="s">
        <v>1021</v>
      </c>
      <c r="D306" s="13">
        <v>72</v>
      </c>
      <c r="E306" s="13">
        <v>5</v>
      </c>
      <c r="F306" s="88" t="s">
        <v>1838</v>
      </c>
      <c r="G306" s="89">
        <v>45175.416446759256</v>
      </c>
    </row>
    <row r="307" spans="1:8" x14ac:dyDescent="0.25">
      <c r="A307" s="1">
        <v>91868</v>
      </c>
      <c r="B307" s="12" t="s">
        <v>931</v>
      </c>
      <c r="C307" s="11" t="s">
        <v>1021</v>
      </c>
      <c r="D307" s="13">
        <v>72</v>
      </c>
      <c r="E307" s="13">
        <v>5</v>
      </c>
      <c r="F307" s="88" t="s">
        <v>1838</v>
      </c>
      <c r="G307" s="89">
        <v>45175.416446759256</v>
      </c>
    </row>
    <row r="308" spans="1:8" x14ac:dyDescent="0.25">
      <c r="A308" s="1">
        <v>92111</v>
      </c>
      <c r="B308" s="12" t="s">
        <v>126</v>
      </c>
      <c r="C308" s="11" t="s">
        <v>1018</v>
      </c>
      <c r="D308" s="13">
        <v>55</v>
      </c>
      <c r="E308" s="13">
        <v>19</v>
      </c>
      <c r="F308" s="88" t="s">
        <v>1838</v>
      </c>
      <c r="G308" s="89">
        <v>45175.416446759256</v>
      </c>
      <c r="H308">
        <v>140052</v>
      </c>
    </row>
    <row r="309" spans="1:8" x14ac:dyDescent="0.25">
      <c r="A309" s="1">
        <v>92906</v>
      </c>
      <c r="B309" s="12" t="s">
        <v>706</v>
      </c>
      <c r="C309" s="11" t="s">
        <v>1171</v>
      </c>
      <c r="D309" s="13">
        <v>57</v>
      </c>
      <c r="E309" s="13">
        <v>17</v>
      </c>
      <c r="F309" s="88" t="s">
        <v>1838</v>
      </c>
      <c r="G309" s="89">
        <v>45175.416446759256</v>
      </c>
    </row>
    <row r="310" spans="1:8" x14ac:dyDescent="0.25">
      <c r="A310" s="1">
        <v>93333</v>
      </c>
      <c r="B310" s="12" t="s">
        <v>1202</v>
      </c>
      <c r="C310" s="11" t="s">
        <v>1050</v>
      </c>
      <c r="D310" s="13">
        <v>57</v>
      </c>
      <c r="E310" s="13">
        <v>2</v>
      </c>
      <c r="F310" s="88" t="s">
        <v>1838</v>
      </c>
      <c r="G310" s="89">
        <v>45175.416446759256</v>
      </c>
    </row>
    <row r="311" spans="1:8" x14ac:dyDescent="0.25">
      <c r="A311" s="1">
        <v>93344</v>
      </c>
      <c r="B311" s="12" t="s">
        <v>580</v>
      </c>
      <c r="C311" s="11" t="s">
        <v>1168</v>
      </c>
      <c r="D311" s="13">
        <v>54</v>
      </c>
      <c r="E311" s="13">
        <v>4</v>
      </c>
      <c r="F311" s="88" t="s">
        <v>1838</v>
      </c>
      <c r="G311" s="89">
        <v>45175.416446759256</v>
      </c>
    </row>
    <row r="312" spans="1:8" x14ac:dyDescent="0.25">
      <c r="A312" s="1">
        <v>93346</v>
      </c>
      <c r="B312" s="12" t="s">
        <v>1406</v>
      </c>
      <c r="C312" s="11" t="s">
        <v>1168</v>
      </c>
      <c r="D312" s="13">
        <v>54</v>
      </c>
      <c r="E312" s="13">
        <v>4</v>
      </c>
      <c r="F312" s="88" t="s">
        <v>1838</v>
      </c>
      <c r="G312" s="89">
        <v>45175.416446759256</v>
      </c>
      <c r="H312">
        <v>137799</v>
      </c>
    </row>
    <row r="313" spans="1:8" x14ac:dyDescent="0.25">
      <c r="A313" s="1">
        <v>94013</v>
      </c>
      <c r="B313" s="12" t="s">
        <v>604</v>
      </c>
      <c r="C313" s="11" t="s">
        <v>1021</v>
      </c>
      <c r="D313" s="13">
        <v>54</v>
      </c>
      <c r="E313" s="13">
        <v>19</v>
      </c>
      <c r="F313" s="88" t="s">
        <v>1838</v>
      </c>
      <c r="G313" s="89">
        <v>45175.416446759256</v>
      </c>
    </row>
    <row r="314" spans="1:8" x14ac:dyDescent="0.25">
      <c r="A314" s="1">
        <v>94615</v>
      </c>
      <c r="B314" s="12" t="s">
        <v>802</v>
      </c>
      <c r="C314" s="11" t="s">
        <v>1021</v>
      </c>
      <c r="D314" s="13">
        <v>62</v>
      </c>
      <c r="E314" s="13">
        <v>4</v>
      </c>
      <c r="F314" s="88" t="s">
        <v>1838</v>
      </c>
      <c r="G314" s="89">
        <v>45175.416446759256</v>
      </c>
    </row>
    <row r="315" spans="1:8" x14ac:dyDescent="0.25">
      <c r="A315" s="1">
        <v>94616</v>
      </c>
      <c r="B315" s="12" t="s">
        <v>803</v>
      </c>
      <c r="C315" s="11" t="s">
        <v>1021</v>
      </c>
      <c r="D315" s="13">
        <v>62</v>
      </c>
      <c r="E315" s="13">
        <v>4</v>
      </c>
      <c r="F315" s="88" t="s">
        <v>1838</v>
      </c>
      <c r="G315" s="89">
        <v>45175.416446759256</v>
      </c>
    </row>
    <row r="316" spans="1:8" x14ac:dyDescent="0.25">
      <c r="A316" s="1">
        <v>94617</v>
      </c>
      <c r="B316" s="12" t="s">
        <v>804</v>
      </c>
      <c r="C316" s="11" t="s">
        <v>1021</v>
      </c>
      <c r="D316" s="13">
        <v>62</v>
      </c>
      <c r="E316" s="13">
        <v>4</v>
      </c>
      <c r="F316" s="88" t="s">
        <v>1838</v>
      </c>
      <c r="G316" s="89">
        <v>45175.416446759256</v>
      </c>
    </row>
    <row r="317" spans="1:8" x14ac:dyDescent="0.25">
      <c r="A317" s="1">
        <v>94618</v>
      </c>
      <c r="B317" s="12" t="s">
        <v>805</v>
      </c>
      <c r="C317" s="11" t="s">
        <v>1021</v>
      </c>
      <c r="D317" s="13">
        <v>62</v>
      </c>
      <c r="E317" s="13">
        <v>4</v>
      </c>
      <c r="F317" s="88" t="s">
        <v>1838</v>
      </c>
      <c r="G317" s="89">
        <v>45175.416446759256</v>
      </c>
    </row>
    <row r="318" spans="1:8" x14ac:dyDescent="0.25">
      <c r="A318" s="1">
        <v>94627</v>
      </c>
      <c r="B318" s="12" t="s">
        <v>167</v>
      </c>
      <c r="C318" s="11" t="s">
        <v>1050</v>
      </c>
      <c r="D318" s="13">
        <v>83</v>
      </c>
      <c r="E318" s="13">
        <v>2</v>
      </c>
      <c r="F318" s="88" t="s">
        <v>1838</v>
      </c>
      <c r="G318" s="89">
        <v>45175.416446759256</v>
      </c>
    </row>
    <row r="319" spans="1:8" x14ac:dyDescent="0.25">
      <c r="A319" s="1">
        <v>94787</v>
      </c>
      <c r="B319" s="12" t="s">
        <v>1203</v>
      </c>
      <c r="C319" s="11" t="s">
        <v>1021</v>
      </c>
      <c r="D319" s="13">
        <v>67</v>
      </c>
      <c r="E319" s="13">
        <v>1</v>
      </c>
      <c r="F319" s="88" t="s">
        <v>1838</v>
      </c>
      <c r="G319" s="89">
        <v>45175.416446759256</v>
      </c>
    </row>
    <row r="320" spans="1:8" x14ac:dyDescent="0.25">
      <c r="A320" s="1">
        <v>95513</v>
      </c>
      <c r="B320" s="12" t="s">
        <v>127</v>
      </c>
      <c r="C320" s="11" t="s">
        <v>1018</v>
      </c>
      <c r="D320" s="13">
        <v>55</v>
      </c>
      <c r="E320" s="13">
        <v>19</v>
      </c>
      <c r="F320" s="88" t="s">
        <v>1838</v>
      </c>
      <c r="G320" s="89">
        <v>45175.416446759256</v>
      </c>
      <c r="H320">
        <v>140057</v>
      </c>
    </row>
    <row r="321" spans="1:8" x14ac:dyDescent="0.25">
      <c r="A321" s="1">
        <v>95970</v>
      </c>
      <c r="B321" s="12" t="s">
        <v>1204</v>
      </c>
      <c r="C321" s="11" t="s">
        <v>1021</v>
      </c>
      <c r="D321" s="13">
        <v>67</v>
      </c>
      <c r="E321" s="13">
        <v>13</v>
      </c>
      <c r="F321" s="88" t="s">
        <v>1838</v>
      </c>
      <c r="G321" s="89">
        <v>45175.416446759256</v>
      </c>
    </row>
    <row r="322" spans="1:8" x14ac:dyDescent="0.25">
      <c r="A322" s="1">
        <v>97965</v>
      </c>
      <c r="B322" s="12" t="s">
        <v>949</v>
      </c>
      <c r="C322" s="11" t="s">
        <v>1615</v>
      </c>
      <c r="D322" s="13">
        <v>74</v>
      </c>
      <c r="E322" s="13">
        <v>4</v>
      </c>
      <c r="F322" s="88" t="s">
        <v>1838</v>
      </c>
      <c r="G322" s="89">
        <v>45175.416446759256</v>
      </c>
    </row>
    <row r="323" spans="1:8" x14ac:dyDescent="0.25">
      <c r="A323" s="1">
        <v>98360</v>
      </c>
      <c r="B323" s="12" t="s">
        <v>1205</v>
      </c>
      <c r="C323" s="11" t="s">
        <v>1088</v>
      </c>
      <c r="D323" s="13">
        <v>70</v>
      </c>
      <c r="E323" s="13">
        <v>47</v>
      </c>
      <c r="F323" s="88" t="s">
        <v>1838</v>
      </c>
      <c r="G323" s="89">
        <v>45175.416446759256</v>
      </c>
    </row>
    <row r="324" spans="1:8" x14ac:dyDescent="0.25">
      <c r="A324" s="1">
        <v>98747</v>
      </c>
      <c r="B324" s="12" t="s">
        <v>1411</v>
      </c>
      <c r="C324" s="11" t="s">
        <v>1168</v>
      </c>
      <c r="D324" s="13">
        <v>54</v>
      </c>
      <c r="E324" s="13">
        <v>19</v>
      </c>
      <c r="F324" s="88" t="s">
        <v>1838</v>
      </c>
      <c r="G324" s="89">
        <v>45175.416446759256</v>
      </c>
    </row>
    <row r="325" spans="1:8" x14ac:dyDescent="0.25">
      <c r="A325" s="1">
        <v>98748</v>
      </c>
      <c r="B325" s="12" t="s">
        <v>1412</v>
      </c>
      <c r="C325" s="11" t="s">
        <v>1168</v>
      </c>
      <c r="D325" s="13">
        <v>54</v>
      </c>
      <c r="E325" s="13">
        <v>19</v>
      </c>
      <c r="F325" s="88" t="s">
        <v>1838</v>
      </c>
      <c r="G325" s="89">
        <v>45175.416446759256</v>
      </c>
    </row>
    <row r="326" spans="1:8" x14ac:dyDescent="0.25">
      <c r="A326" s="1">
        <v>98749</v>
      </c>
      <c r="B326" s="12" t="s">
        <v>1413</v>
      </c>
      <c r="C326" s="11" t="s">
        <v>1168</v>
      </c>
      <c r="D326" s="13">
        <v>54</v>
      </c>
      <c r="E326" s="13">
        <v>19</v>
      </c>
      <c r="F326" s="88" t="s">
        <v>1838</v>
      </c>
      <c r="G326" s="89">
        <v>45175.416446759256</v>
      </c>
    </row>
    <row r="327" spans="1:8" x14ac:dyDescent="0.25">
      <c r="A327" s="1">
        <v>98750</v>
      </c>
      <c r="B327" s="12" t="s">
        <v>1414</v>
      </c>
      <c r="C327" s="11" t="s">
        <v>1168</v>
      </c>
      <c r="D327" s="13">
        <v>54</v>
      </c>
      <c r="E327" s="13">
        <v>19</v>
      </c>
      <c r="F327" s="88" t="s">
        <v>1838</v>
      </c>
      <c r="G327" s="89">
        <v>45175.416446759256</v>
      </c>
    </row>
    <row r="328" spans="1:8" x14ac:dyDescent="0.25">
      <c r="A328" s="1">
        <v>98751</v>
      </c>
      <c r="B328" s="12" t="s">
        <v>1415</v>
      </c>
      <c r="C328" s="11" t="s">
        <v>1168</v>
      </c>
      <c r="D328" s="13">
        <v>54</v>
      </c>
      <c r="E328" s="13">
        <v>19</v>
      </c>
      <c r="F328" s="88" t="s">
        <v>1838</v>
      </c>
      <c r="G328" s="89">
        <v>45175.416446759256</v>
      </c>
    </row>
    <row r="329" spans="1:8" x14ac:dyDescent="0.25">
      <c r="A329" s="1">
        <v>98819</v>
      </c>
      <c r="B329" s="12" t="s">
        <v>1405</v>
      </c>
      <c r="C329" s="11" t="s">
        <v>1021</v>
      </c>
      <c r="D329" s="13">
        <v>51</v>
      </c>
      <c r="E329" s="13">
        <v>49</v>
      </c>
      <c r="F329" s="88" t="s">
        <v>1838</v>
      </c>
      <c r="G329" s="89">
        <v>45175.416446759256</v>
      </c>
    </row>
    <row r="330" spans="1:8" x14ac:dyDescent="0.25">
      <c r="A330" s="1">
        <v>99790</v>
      </c>
      <c r="B330" s="12" t="s">
        <v>1206</v>
      </c>
      <c r="C330" s="11" t="s">
        <v>1021</v>
      </c>
      <c r="D330" s="13">
        <v>55</v>
      </c>
      <c r="E330" s="13">
        <v>32</v>
      </c>
      <c r="F330" s="88" t="s">
        <v>1838</v>
      </c>
      <c r="G330" s="89">
        <v>45175.416446759256</v>
      </c>
    </row>
    <row r="331" spans="1:8" x14ac:dyDescent="0.25">
      <c r="A331" s="1">
        <v>99796</v>
      </c>
      <c r="B331" s="12" t="s">
        <v>768</v>
      </c>
      <c r="C331" s="11" t="s">
        <v>1021</v>
      </c>
      <c r="D331" s="13">
        <v>61</v>
      </c>
      <c r="E331" s="13">
        <v>8</v>
      </c>
      <c r="F331" s="88" t="s">
        <v>1838</v>
      </c>
      <c r="G331" s="89">
        <v>45175.416446759256</v>
      </c>
    </row>
    <row r="332" spans="1:8" x14ac:dyDescent="0.25">
      <c r="A332" s="1">
        <v>99810</v>
      </c>
      <c r="B332" s="12" t="s">
        <v>117</v>
      </c>
      <c r="C332" s="11" t="s">
        <v>1018</v>
      </c>
      <c r="D332" s="13">
        <v>55</v>
      </c>
      <c r="E332" s="13">
        <v>19</v>
      </c>
      <c r="F332" s="88" t="s">
        <v>1838</v>
      </c>
      <c r="G332" s="89">
        <v>45175.416446759256</v>
      </c>
      <c r="H332">
        <v>140048</v>
      </c>
    </row>
    <row r="333" spans="1:8" x14ac:dyDescent="0.25">
      <c r="A333" s="1">
        <v>100383</v>
      </c>
      <c r="B333" s="12" t="s">
        <v>330</v>
      </c>
      <c r="C333" s="11" t="s">
        <v>1088</v>
      </c>
      <c r="D333" s="13">
        <v>80</v>
      </c>
      <c r="E333" s="13">
        <v>7</v>
      </c>
      <c r="F333" s="88" t="s">
        <v>1838</v>
      </c>
      <c r="G333" s="89">
        <v>45175.416446759256</v>
      </c>
    </row>
    <row r="334" spans="1:8" x14ac:dyDescent="0.25">
      <c r="A334" s="1">
        <v>101917</v>
      </c>
      <c r="B334" s="12" t="s">
        <v>128</v>
      </c>
      <c r="C334" s="11" t="s">
        <v>1018</v>
      </c>
      <c r="D334" s="13">
        <v>55</v>
      </c>
      <c r="E334" s="13">
        <v>19</v>
      </c>
      <c r="F334" s="88" t="s">
        <v>1838</v>
      </c>
      <c r="G334" s="89">
        <v>45175.416446759256</v>
      </c>
      <c r="H334">
        <v>140049</v>
      </c>
    </row>
    <row r="335" spans="1:8" x14ac:dyDescent="0.25">
      <c r="A335" s="1">
        <v>101938</v>
      </c>
      <c r="B335" s="12" t="s">
        <v>582</v>
      </c>
      <c r="C335" s="11" t="s">
        <v>1168</v>
      </c>
      <c r="D335" s="13">
        <v>54</v>
      </c>
      <c r="E335" s="13">
        <v>4</v>
      </c>
      <c r="F335" s="88" t="s">
        <v>1838</v>
      </c>
      <c r="G335" s="89">
        <v>45175.416446759256</v>
      </c>
    </row>
    <row r="336" spans="1:8" x14ac:dyDescent="0.25">
      <c r="A336" s="1">
        <v>102234</v>
      </c>
      <c r="B336" s="12" t="s">
        <v>769</v>
      </c>
      <c r="C336" s="11" t="s">
        <v>1021</v>
      </c>
      <c r="D336" s="13">
        <v>61</v>
      </c>
      <c r="E336" s="13">
        <v>8</v>
      </c>
      <c r="F336" s="88" t="s">
        <v>1838</v>
      </c>
      <c r="G336" s="89">
        <v>45175.416446759256</v>
      </c>
      <c r="H336">
        <v>135304</v>
      </c>
    </row>
    <row r="337" spans="1:8" x14ac:dyDescent="0.25">
      <c r="A337" s="1">
        <v>102443</v>
      </c>
      <c r="B337" s="12" t="s">
        <v>1207</v>
      </c>
      <c r="C337" s="11" t="s">
        <v>1021</v>
      </c>
      <c r="D337" s="13">
        <v>78</v>
      </c>
      <c r="E337" s="13">
        <v>6</v>
      </c>
      <c r="F337" s="88" t="s">
        <v>1838</v>
      </c>
      <c r="G337" s="89">
        <v>45175.416446759256</v>
      </c>
    </row>
    <row r="338" spans="1:8" x14ac:dyDescent="0.25">
      <c r="A338" s="1">
        <v>102634</v>
      </c>
      <c r="B338" s="12" t="s">
        <v>1394</v>
      </c>
      <c r="C338" s="11" t="s">
        <v>1021</v>
      </c>
      <c r="D338" s="13">
        <v>69</v>
      </c>
      <c r="E338" s="13">
        <v>5</v>
      </c>
      <c r="F338" s="88" t="s">
        <v>1838</v>
      </c>
      <c r="G338" s="89">
        <v>45175.416446759256</v>
      </c>
    </row>
    <row r="339" spans="1:8" x14ac:dyDescent="0.25">
      <c r="A339" s="1">
        <v>102684</v>
      </c>
      <c r="B339" s="12" t="s">
        <v>1208</v>
      </c>
      <c r="C339" s="11" t="s">
        <v>1021</v>
      </c>
      <c r="D339" s="13">
        <v>69</v>
      </c>
      <c r="E339" s="13">
        <v>5</v>
      </c>
      <c r="F339" s="88" t="s">
        <v>1838</v>
      </c>
      <c r="G339" s="89">
        <v>45175.416446759256</v>
      </c>
    </row>
    <row r="340" spans="1:8" x14ac:dyDescent="0.25">
      <c r="A340" s="1">
        <v>102685</v>
      </c>
      <c r="B340" s="12" t="s">
        <v>1209</v>
      </c>
      <c r="C340" s="11" t="s">
        <v>1021</v>
      </c>
      <c r="D340" s="13">
        <v>69</v>
      </c>
      <c r="E340" s="13">
        <v>5</v>
      </c>
      <c r="F340" s="88" t="s">
        <v>1838</v>
      </c>
      <c r="G340" s="89">
        <v>45175.416446759256</v>
      </c>
    </row>
    <row r="341" spans="1:8" x14ac:dyDescent="0.25">
      <c r="A341" s="1">
        <v>102686</v>
      </c>
      <c r="B341" s="12" t="s">
        <v>1210</v>
      </c>
      <c r="C341" s="11" t="s">
        <v>1021</v>
      </c>
      <c r="D341" s="13">
        <v>69</v>
      </c>
      <c r="E341" s="13">
        <v>5</v>
      </c>
      <c r="F341" s="88" t="s">
        <v>1838</v>
      </c>
      <c r="G341" s="89">
        <v>45175.416446759256</v>
      </c>
    </row>
    <row r="342" spans="1:8" x14ac:dyDescent="0.25">
      <c r="A342" s="1">
        <v>102687</v>
      </c>
      <c r="B342" s="12" t="s">
        <v>1211</v>
      </c>
      <c r="C342" s="11" t="s">
        <v>1021</v>
      </c>
      <c r="D342" s="13">
        <v>69</v>
      </c>
      <c r="E342" s="13">
        <v>5</v>
      </c>
      <c r="F342" s="88" t="s">
        <v>1838</v>
      </c>
      <c r="G342" s="89">
        <v>45175.416446759256</v>
      </c>
    </row>
    <row r="343" spans="1:8" x14ac:dyDescent="0.25">
      <c r="A343" s="1">
        <v>102688</v>
      </c>
      <c r="B343" s="12" t="s">
        <v>1212</v>
      </c>
      <c r="C343" s="11" t="s">
        <v>1021</v>
      </c>
      <c r="D343" s="13">
        <v>69</v>
      </c>
      <c r="E343" s="13">
        <v>5</v>
      </c>
      <c r="F343" s="88" t="s">
        <v>1838</v>
      </c>
      <c r="G343" s="89">
        <v>45175.416446759256</v>
      </c>
    </row>
    <row r="344" spans="1:8" x14ac:dyDescent="0.25">
      <c r="A344" s="1">
        <v>102691</v>
      </c>
      <c r="B344" s="12" t="s">
        <v>889</v>
      </c>
      <c r="C344" s="11" t="s">
        <v>1021</v>
      </c>
      <c r="D344" s="13">
        <v>69</v>
      </c>
      <c r="E344" s="13">
        <v>5</v>
      </c>
      <c r="F344" s="88" t="s">
        <v>1838</v>
      </c>
      <c r="G344" s="89">
        <v>45175.416446759256</v>
      </c>
    </row>
    <row r="345" spans="1:8" x14ac:dyDescent="0.25">
      <c r="A345" s="1">
        <v>102692</v>
      </c>
      <c r="B345" s="12" t="s">
        <v>1213</v>
      </c>
      <c r="C345" s="11" t="s">
        <v>1021</v>
      </c>
      <c r="D345" s="13">
        <v>69</v>
      </c>
      <c r="E345" s="13">
        <v>5</v>
      </c>
      <c r="F345" s="88" t="s">
        <v>1838</v>
      </c>
      <c r="G345" s="89">
        <v>45175.416446759256</v>
      </c>
    </row>
    <row r="346" spans="1:8" x14ac:dyDescent="0.25">
      <c r="A346" s="1">
        <v>102693</v>
      </c>
      <c r="B346" s="12" t="s">
        <v>1214</v>
      </c>
      <c r="C346" s="11" t="s">
        <v>1021</v>
      </c>
      <c r="D346" s="13">
        <v>69</v>
      </c>
      <c r="E346" s="13">
        <v>8</v>
      </c>
      <c r="F346" s="88" t="s">
        <v>1838</v>
      </c>
      <c r="G346" s="89">
        <v>45175.416446759256</v>
      </c>
    </row>
    <row r="347" spans="1:8" x14ac:dyDescent="0.25">
      <c r="A347" s="1">
        <v>102695</v>
      </c>
      <c r="B347" s="12" t="s">
        <v>1215</v>
      </c>
      <c r="C347" s="11" t="s">
        <v>1021</v>
      </c>
      <c r="D347" s="13">
        <v>69</v>
      </c>
      <c r="E347" s="13">
        <v>5</v>
      </c>
      <c r="F347" s="88" t="s">
        <v>1838</v>
      </c>
      <c r="G347" s="89">
        <v>45175.416446759256</v>
      </c>
    </row>
    <row r="348" spans="1:8" x14ac:dyDescent="0.25">
      <c r="A348" s="1">
        <v>102696</v>
      </c>
      <c r="B348" s="12" t="s">
        <v>1216</v>
      </c>
      <c r="C348" s="11" t="s">
        <v>1021</v>
      </c>
      <c r="D348" s="13">
        <v>69</v>
      </c>
      <c r="E348" s="13">
        <v>5</v>
      </c>
      <c r="F348" s="88" t="s">
        <v>1838</v>
      </c>
      <c r="G348" s="89">
        <v>45175.416446759256</v>
      </c>
    </row>
    <row r="349" spans="1:8" x14ac:dyDescent="0.25">
      <c r="A349" s="1">
        <v>102697</v>
      </c>
      <c r="B349" s="12" t="s">
        <v>1217</v>
      </c>
      <c r="C349" s="11" t="s">
        <v>1021</v>
      </c>
      <c r="D349" s="13">
        <v>69</v>
      </c>
      <c r="E349" s="13">
        <v>8</v>
      </c>
      <c r="F349" s="88" t="s">
        <v>1838</v>
      </c>
      <c r="G349" s="89">
        <v>45175.416446759256</v>
      </c>
    </row>
    <row r="350" spans="1:8" x14ac:dyDescent="0.25">
      <c r="A350" s="1">
        <v>102698</v>
      </c>
      <c r="B350" s="12" t="s">
        <v>1218</v>
      </c>
      <c r="C350" s="11" t="s">
        <v>1021</v>
      </c>
      <c r="D350" s="13">
        <v>69</v>
      </c>
      <c r="E350" s="13">
        <v>5</v>
      </c>
      <c r="F350" s="88" t="s">
        <v>1838</v>
      </c>
      <c r="G350" s="89">
        <v>45175.416446759256</v>
      </c>
    </row>
    <row r="351" spans="1:8" x14ac:dyDescent="0.25">
      <c r="A351" s="1">
        <v>102699</v>
      </c>
      <c r="B351" s="12" t="s">
        <v>1219</v>
      </c>
      <c r="C351" s="11" t="s">
        <v>1021</v>
      </c>
      <c r="D351" s="13">
        <v>69</v>
      </c>
      <c r="E351" s="13">
        <v>18</v>
      </c>
      <c r="F351" s="88" t="s">
        <v>1838</v>
      </c>
      <c r="G351" s="89">
        <v>45175.416446759256</v>
      </c>
    </row>
    <row r="352" spans="1:8" x14ac:dyDescent="0.25">
      <c r="A352" s="1">
        <v>102702</v>
      </c>
      <c r="B352" s="12" t="s">
        <v>718</v>
      </c>
      <c r="C352" s="11" t="s">
        <v>1018</v>
      </c>
      <c r="D352" s="13">
        <v>60</v>
      </c>
      <c r="E352" s="13">
        <v>21</v>
      </c>
      <c r="F352" s="88" t="s">
        <v>1838</v>
      </c>
      <c r="G352" s="89">
        <v>45175.416446759256</v>
      </c>
      <c r="H352">
        <v>136564</v>
      </c>
    </row>
    <row r="353" spans="1:8" x14ac:dyDescent="0.25">
      <c r="A353" s="1">
        <v>102726</v>
      </c>
      <c r="B353" s="12" t="s">
        <v>1220</v>
      </c>
      <c r="C353" s="11" t="s">
        <v>1021</v>
      </c>
      <c r="D353" s="13">
        <v>69</v>
      </c>
      <c r="E353" s="13">
        <v>5</v>
      </c>
      <c r="F353" s="88" t="s">
        <v>1838</v>
      </c>
      <c r="G353" s="89">
        <v>45175.416446759256</v>
      </c>
    </row>
    <row r="354" spans="1:8" x14ac:dyDescent="0.25">
      <c r="A354" s="1">
        <v>102775</v>
      </c>
      <c r="B354" s="12" t="s">
        <v>896</v>
      </c>
      <c r="C354" s="11" t="s">
        <v>1021</v>
      </c>
      <c r="D354" s="13">
        <v>69</v>
      </c>
      <c r="E354" s="13">
        <v>8</v>
      </c>
      <c r="F354" s="88" t="s">
        <v>1838</v>
      </c>
      <c r="G354" s="89">
        <v>45175.416446759256</v>
      </c>
    </row>
    <row r="355" spans="1:8" x14ac:dyDescent="0.25">
      <c r="A355" s="1">
        <v>102777</v>
      </c>
      <c r="B355" s="12" t="s">
        <v>1221</v>
      </c>
      <c r="C355" s="11" t="s">
        <v>1021</v>
      </c>
      <c r="D355" s="13">
        <v>55</v>
      </c>
      <c r="E355" s="13">
        <v>32</v>
      </c>
      <c r="F355" s="88" t="s">
        <v>1838</v>
      </c>
      <c r="G355" s="89">
        <v>45175.416446759256</v>
      </c>
    </row>
    <row r="356" spans="1:8" x14ac:dyDescent="0.25">
      <c r="A356" s="1">
        <v>102782</v>
      </c>
      <c r="B356" s="12" t="s">
        <v>1222</v>
      </c>
      <c r="C356" s="11" t="s">
        <v>1021</v>
      </c>
      <c r="D356" s="13">
        <v>69</v>
      </c>
      <c r="E356" s="13">
        <v>5</v>
      </c>
      <c r="F356" s="88" t="s">
        <v>1838</v>
      </c>
      <c r="G356" s="89">
        <v>45175.416446759256</v>
      </c>
    </row>
    <row r="357" spans="1:8" x14ac:dyDescent="0.25">
      <c r="A357" s="1">
        <v>102791</v>
      </c>
      <c r="B357" s="12" t="s">
        <v>129</v>
      </c>
      <c r="C357" s="11" t="s">
        <v>1018</v>
      </c>
      <c r="D357" s="13">
        <v>55</v>
      </c>
      <c r="E357" s="13">
        <v>19</v>
      </c>
      <c r="F357" s="88" t="s">
        <v>1838</v>
      </c>
      <c r="G357" s="89">
        <v>45175.416446759256</v>
      </c>
      <c r="H357">
        <v>140054</v>
      </c>
    </row>
    <row r="358" spans="1:8" x14ac:dyDescent="0.25">
      <c r="A358" s="1">
        <v>103251</v>
      </c>
      <c r="B358" s="12" t="s">
        <v>110</v>
      </c>
      <c r="C358" s="11" t="s">
        <v>1018</v>
      </c>
      <c r="D358" s="13">
        <v>55</v>
      </c>
      <c r="E358" s="13">
        <v>19</v>
      </c>
      <c r="F358" s="88" t="s">
        <v>1838</v>
      </c>
      <c r="G358" s="89">
        <v>45175.416446759256</v>
      </c>
      <c r="H358">
        <v>140051</v>
      </c>
    </row>
    <row r="359" spans="1:8" x14ac:dyDescent="0.25">
      <c r="A359" s="1">
        <v>103298</v>
      </c>
      <c r="B359" s="12" t="s">
        <v>1223</v>
      </c>
      <c r="C359" s="11" t="s">
        <v>1021</v>
      </c>
      <c r="D359" s="13">
        <v>55</v>
      </c>
      <c r="E359" s="13">
        <v>49</v>
      </c>
      <c r="F359" s="88" t="s">
        <v>1838</v>
      </c>
      <c r="G359" s="89">
        <v>45175.416446759256</v>
      </c>
    </row>
    <row r="360" spans="1:8" x14ac:dyDescent="0.25">
      <c r="A360" s="1">
        <v>103299</v>
      </c>
      <c r="B360" s="12" t="s">
        <v>1224</v>
      </c>
      <c r="C360" s="11" t="s">
        <v>1021</v>
      </c>
      <c r="D360" s="13">
        <v>55</v>
      </c>
      <c r="E360" s="13">
        <v>49</v>
      </c>
      <c r="F360" s="88" t="s">
        <v>1838</v>
      </c>
      <c r="G360" s="89">
        <v>45175.416446759256</v>
      </c>
    </row>
    <row r="361" spans="1:8" x14ac:dyDescent="0.25">
      <c r="A361" s="1">
        <v>103405</v>
      </c>
      <c r="B361" s="12" t="s">
        <v>935</v>
      </c>
      <c r="C361" s="11" t="s">
        <v>1551</v>
      </c>
      <c r="D361" s="13">
        <v>72</v>
      </c>
      <c r="E361" s="13">
        <v>8</v>
      </c>
      <c r="F361" s="88" t="s">
        <v>1838</v>
      </c>
      <c r="G361" s="89">
        <v>45175.416446759256</v>
      </c>
      <c r="H361">
        <v>138352</v>
      </c>
    </row>
    <row r="362" spans="1:8" x14ac:dyDescent="0.25">
      <c r="A362" s="1">
        <v>103444</v>
      </c>
      <c r="B362" s="12" t="s">
        <v>1225</v>
      </c>
      <c r="C362" s="11" t="s">
        <v>1197</v>
      </c>
      <c r="D362" s="13">
        <v>70</v>
      </c>
      <c r="E362" s="13">
        <v>13</v>
      </c>
      <c r="F362" s="88" t="s">
        <v>1838</v>
      </c>
      <c r="G362" s="89">
        <v>45175.416446759256</v>
      </c>
    </row>
    <row r="363" spans="1:8" x14ac:dyDescent="0.25">
      <c r="A363" s="1">
        <v>103490</v>
      </c>
      <c r="B363" s="12" t="s">
        <v>715</v>
      </c>
      <c r="C363" s="11" t="s">
        <v>1088</v>
      </c>
      <c r="D363" s="13">
        <v>59</v>
      </c>
      <c r="E363" s="13">
        <v>18</v>
      </c>
      <c r="F363" s="88" t="s">
        <v>1838</v>
      </c>
      <c r="G363" s="89">
        <v>45175.416446759256</v>
      </c>
    </row>
    <row r="364" spans="1:8" x14ac:dyDescent="0.25">
      <c r="A364" s="1">
        <v>104625</v>
      </c>
      <c r="B364" s="12" t="s">
        <v>607</v>
      </c>
      <c r="C364" s="11" t="s">
        <v>1168</v>
      </c>
      <c r="D364" s="13">
        <v>54</v>
      </c>
      <c r="E364" s="13">
        <v>19</v>
      </c>
      <c r="F364" s="88" t="s">
        <v>1838</v>
      </c>
      <c r="G364" s="89">
        <v>45175.416446759256</v>
      </c>
    </row>
    <row r="365" spans="1:8" x14ac:dyDescent="0.25">
      <c r="A365" s="1">
        <v>104626</v>
      </c>
      <c r="B365" s="12" t="s">
        <v>1416</v>
      </c>
      <c r="C365" s="11" t="s">
        <v>1168</v>
      </c>
      <c r="D365" s="13">
        <v>54</v>
      </c>
      <c r="E365" s="13">
        <v>19</v>
      </c>
      <c r="F365" s="88" t="s">
        <v>1838</v>
      </c>
      <c r="G365" s="89">
        <v>45175.416446759256</v>
      </c>
    </row>
    <row r="366" spans="1:8" x14ac:dyDescent="0.25">
      <c r="A366" s="1">
        <v>104627</v>
      </c>
      <c r="B366" s="12" t="s">
        <v>1417</v>
      </c>
      <c r="C366" s="11" t="s">
        <v>1168</v>
      </c>
      <c r="D366" s="13">
        <v>54</v>
      </c>
      <c r="E366" s="13">
        <v>19</v>
      </c>
      <c r="F366" s="88" t="s">
        <v>1838</v>
      </c>
      <c r="G366" s="89">
        <v>45175.416446759256</v>
      </c>
    </row>
    <row r="367" spans="1:8" x14ac:dyDescent="0.25">
      <c r="A367" s="1">
        <v>104639</v>
      </c>
      <c r="B367" s="12" t="s">
        <v>608</v>
      </c>
      <c r="C367" s="11" t="s">
        <v>1168</v>
      </c>
      <c r="D367" s="13">
        <v>54</v>
      </c>
      <c r="E367" s="13">
        <v>19</v>
      </c>
      <c r="F367" s="88" t="s">
        <v>1838</v>
      </c>
      <c r="G367" s="89">
        <v>45175.416446759256</v>
      </c>
    </row>
    <row r="368" spans="1:8" x14ac:dyDescent="0.25">
      <c r="A368" s="1">
        <v>104640</v>
      </c>
      <c r="B368" s="12" t="s">
        <v>609</v>
      </c>
      <c r="C368" s="11" t="s">
        <v>1168</v>
      </c>
      <c r="D368" s="13">
        <v>54</v>
      </c>
      <c r="E368" s="13">
        <v>19</v>
      </c>
      <c r="F368" s="88" t="s">
        <v>1838</v>
      </c>
      <c r="G368" s="89">
        <v>45175.416446759256</v>
      </c>
    </row>
    <row r="369" spans="1:8" x14ac:dyDescent="0.25">
      <c r="A369" s="1">
        <v>104641</v>
      </c>
      <c r="B369" s="12" t="s">
        <v>610</v>
      </c>
      <c r="C369" s="11" t="s">
        <v>1168</v>
      </c>
      <c r="D369" s="13">
        <v>54</v>
      </c>
      <c r="E369" s="13">
        <v>19</v>
      </c>
      <c r="F369" s="88" t="s">
        <v>1838</v>
      </c>
      <c r="G369" s="89">
        <v>45175.416446759256</v>
      </c>
    </row>
    <row r="370" spans="1:8" x14ac:dyDescent="0.25">
      <c r="A370" s="1">
        <v>104642</v>
      </c>
      <c r="B370" s="12" t="s">
        <v>611</v>
      </c>
      <c r="C370" s="11" t="s">
        <v>1168</v>
      </c>
      <c r="D370" s="13">
        <v>54</v>
      </c>
      <c r="E370" s="13">
        <v>19</v>
      </c>
      <c r="F370" s="88" t="s">
        <v>1838</v>
      </c>
      <c r="G370" s="89">
        <v>45175.416446759256</v>
      </c>
    </row>
    <row r="371" spans="1:8" x14ac:dyDescent="0.25">
      <c r="A371" s="1">
        <v>104755</v>
      </c>
      <c r="B371" s="12" t="s">
        <v>973</v>
      </c>
      <c r="D371" s="13">
        <v>78</v>
      </c>
      <c r="E371" s="13">
        <v>6</v>
      </c>
      <c r="F371" s="88" t="s">
        <v>1838</v>
      </c>
      <c r="G371" s="89">
        <v>45175.416446759256</v>
      </c>
    </row>
    <row r="372" spans="1:8" x14ac:dyDescent="0.25">
      <c r="A372" s="1">
        <v>104832</v>
      </c>
      <c r="B372" s="12" t="s">
        <v>204</v>
      </c>
      <c r="C372" s="11" t="s">
        <v>1013</v>
      </c>
      <c r="D372" s="13">
        <v>51</v>
      </c>
      <c r="E372" s="13">
        <v>37</v>
      </c>
      <c r="F372" s="88" t="s">
        <v>1838</v>
      </c>
      <c r="G372" s="89">
        <v>45175.416446759256</v>
      </c>
    </row>
    <row r="373" spans="1:8" x14ac:dyDescent="0.25">
      <c r="A373" s="1">
        <v>105109</v>
      </c>
      <c r="B373" s="12" t="s">
        <v>1836</v>
      </c>
      <c r="C373" s="11" t="s">
        <v>1021</v>
      </c>
      <c r="D373" s="13">
        <v>62</v>
      </c>
      <c r="E373" s="13">
        <v>12</v>
      </c>
      <c r="F373" s="88" t="s">
        <v>1838</v>
      </c>
      <c r="G373" s="89">
        <v>45175.416446759256</v>
      </c>
    </row>
    <row r="374" spans="1:8" x14ac:dyDescent="0.25">
      <c r="A374" s="1">
        <v>105116</v>
      </c>
      <c r="B374" s="12" t="s">
        <v>799</v>
      </c>
      <c r="C374" s="11" t="s">
        <v>1021</v>
      </c>
      <c r="D374" s="13">
        <v>62</v>
      </c>
      <c r="E374" s="13">
        <v>1</v>
      </c>
      <c r="F374" s="88" t="s">
        <v>1838</v>
      </c>
      <c r="G374" s="89">
        <v>45175.416446759256</v>
      </c>
    </row>
    <row r="375" spans="1:8" x14ac:dyDescent="0.25">
      <c r="A375" s="1">
        <v>105117</v>
      </c>
      <c r="B375" s="12" t="s">
        <v>800</v>
      </c>
      <c r="C375" s="11" t="s">
        <v>1021</v>
      </c>
      <c r="D375" s="13">
        <v>62</v>
      </c>
      <c r="E375" s="13">
        <v>1</v>
      </c>
      <c r="F375" s="88" t="s">
        <v>1838</v>
      </c>
      <c r="G375" s="89">
        <v>45175.416446759256</v>
      </c>
    </row>
    <row r="376" spans="1:8" x14ac:dyDescent="0.25">
      <c r="A376" s="1">
        <v>105128</v>
      </c>
      <c r="B376" s="12" t="s">
        <v>1552</v>
      </c>
      <c r="F376" s="88" t="s">
        <v>1838</v>
      </c>
      <c r="G376" s="89">
        <v>45175.416446759256</v>
      </c>
      <c r="H376">
        <v>135227</v>
      </c>
    </row>
    <row r="377" spans="1:8" x14ac:dyDescent="0.25">
      <c r="A377" s="1">
        <v>105180</v>
      </c>
      <c r="B377" s="12" t="s">
        <v>1226</v>
      </c>
      <c r="C377" s="11" t="s">
        <v>1185</v>
      </c>
      <c r="D377" s="13">
        <v>51</v>
      </c>
      <c r="E377" s="13">
        <v>21</v>
      </c>
      <c r="F377" s="88" t="s">
        <v>1838</v>
      </c>
      <c r="G377" s="89">
        <v>45175.416446759256</v>
      </c>
    </row>
    <row r="378" spans="1:8" x14ac:dyDescent="0.25">
      <c r="A378" s="1">
        <v>105419</v>
      </c>
      <c r="B378" s="12" t="s">
        <v>1227</v>
      </c>
      <c r="C378" s="11" t="s">
        <v>1021</v>
      </c>
      <c r="D378" s="13">
        <v>55</v>
      </c>
      <c r="E378" s="13">
        <v>32</v>
      </c>
      <c r="F378" s="88" t="s">
        <v>1838</v>
      </c>
      <c r="G378" s="89">
        <v>45175.416446759256</v>
      </c>
    </row>
    <row r="379" spans="1:8" x14ac:dyDescent="0.25">
      <c r="A379" s="1">
        <v>105489</v>
      </c>
      <c r="B379" s="12" t="s">
        <v>174</v>
      </c>
      <c r="C379" s="11" t="s">
        <v>1136</v>
      </c>
      <c r="D379" s="13">
        <v>76</v>
      </c>
      <c r="E379" s="13">
        <v>9</v>
      </c>
      <c r="F379" s="88" t="s">
        <v>1838</v>
      </c>
      <c r="G379" s="89">
        <v>45175.416446759256</v>
      </c>
    </row>
    <row r="380" spans="1:8" x14ac:dyDescent="0.25">
      <c r="A380" s="1">
        <v>105491</v>
      </c>
      <c r="B380" s="12" t="s">
        <v>1451</v>
      </c>
      <c r="C380" s="11" t="s">
        <v>1136</v>
      </c>
      <c r="D380" s="13">
        <v>76</v>
      </c>
      <c r="E380" s="13">
        <v>9</v>
      </c>
      <c r="F380" s="88" t="s">
        <v>1838</v>
      </c>
      <c r="G380" s="89">
        <v>45175.416446759256</v>
      </c>
    </row>
    <row r="381" spans="1:8" x14ac:dyDescent="0.25">
      <c r="A381" s="1">
        <v>105492</v>
      </c>
      <c r="B381" s="12" t="s">
        <v>1310</v>
      </c>
      <c r="C381" s="11" t="s">
        <v>1136</v>
      </c>
      <c r="D381" s="13">
        <v>76</v>
      </c>
      <c r="E381" s="13">
        <v>9</v>
      </c>
      <c r="F381" s="88" t="s">
        <v>1838</v>
      </c>
      <c r="G381" s="89">
        <v>45175.416446759256</v>
      </c>
    </row>
    <row r="382" spans="1:8" x14ac:dyDescent="0.25">
      <c r="A382" s="1">
        <v>105493</v>
      </c>
      <c r="B382" s="12" t="s">
        <v>1228</v>
      </c>
      <c r="C382" s="11" t="s">
        <v>1136</v>
      </c>
      <c r="D382" s="13">
        <v>76</v>
      </c>
      <c r="E382" s="13">
        <v>9</v>
      </c>
      <c r="F382" s="88" t="s">
        <v>1838</v>
      </c>
      <c r="G382" s="89">
        <v>45175.416446759256</v>
      </c>
    </row>
    <row r="383" spans="1:8" x14ac:dyDescent="0.25">
      <c r="A383" s="1">
        <v>105810</v>
      </c>
      <c r="B383" s="12" t="s">
        <v>1407</v>
      </c>
      <c r="C383" s="11" t="s">
        <v>1168</v>
      </c>
      <c r="D383" s="13">
        <v>54</v>
      </c>
      <c r="E383" s="13">
        <v>4</v>
      </c>
      <c r="F383" s="88" t="s">
        <v>1838</v>
      </c>
      <c r="G383" s="89">
        <v>45175.416446759256</v>
      </c>
    </row>
    <row r="384" spans="1:8" x14ac:dyDescent="0.25">
      <c r="A384" s="1">
        <v>105993</v>
      </c>
      <c r="B384" s="12" t="s">
        <v>584</v>
      </c>
      <c r="C384" s="11" t="s">
        <v>1168</v>
      </c>
      <c r="D384" s="13">
        <v>54</v>
      </c>
      <c r="E384" s="13">
        <v>4</v>
      </c>
      <c r="F384" s="88" t="s">
        <v>1838</v>
      </c>
      <c r="G384" s="89">
        <v>45175.416446759256</v>
      </c>
    </row>
    <row r="385" spans="1:8" x14ac:dyDescent="0.25">
      <c r="A385" s="1">
        <v>105994</v>
      </c>
      <c r="B385" s="12" t="s">
        <v>585</v>
      </c>
      <c r="C385" s="11" t="s">
        <v>1168</v>
      </c>
      <c r="D385" s="13">
        <v>54</v>
      </c>
      <c r="E385" s="13">
        <v>4</v>
      </c>
      <c r="F385" s="88" t="s">
        <v>1838</v>
      </c>
      <c r="G385" s="89">
        <v>45175.416446759256</v>
      </c>
    </row>
    <row r="386" spans="1:8" x14ac:dyDescent="0.25">
      <c r="A386" s="1">
        <v>106027</v>
      </c>
      <c r="B386" s="12" t="s">
        <v>586</v>
      </c>
      <c r="C386" s="11" t="s">
        <v>1168</v>
      </c>
      <c r="D386" s="13">
        <v>54</v>
      </c>
      <c r="E386" s="13">
        <v>4</v>
      </c>
      <c r="F386" s="88" t="s">
        <v>1838</v>
      </c>
      <c r="G386" s="89">
        <v>45175.416446759256</v>
      </c>
      <c r="H386">
        <v>136858</v>
      </c>
    </row>
    <row r="387" spans="1:8" x14ac:dyDescent="0.25">
      <c r="A387" s="1">
        <v>106039</v>
      </c>
      <c r="B387" s="12" t="s">
        <v>1229</v>
      </c>
      <c r="C387" s="11" t="s">
        <v>1021</v>
      </c>
      <c r="D387" s="13">
        <v>52</v>
      </c>
      <c r="E387" s="13">
        <v>8</v>
      </c>
      <c r="F387" s="88" t="s">
        <v>1838</v>
      </c>
      <c r="G387" s="89">
        <v>45175.416446759256</v>
      </c>
    </row>
    <row r="388" spans="1:8" x14ac:dyDescent="0.25">
      <c r="A388" s="1">
        <v>106128</v>
      </c>
      <c r="B388" s="12" t="s">
        <v>342</v>
      </c>
      <c r="C388" s="11" t="s">
        <v>1021</v>
      </c>
      <c r="D388" s="13">
        <v>50</v>
      </c>
      <c r="E388" s="13">
        <v>2</v>
      </c>
      <c r="F388" s="88" t="s">
        <v>1838</v>
      </c>
      <c r="G388" s="89">
        <v>45175.416446759256</v>
      </c>
      <c r="H388">
        <v>142982</v>
      </c>
    </row>
    <row r="389" spans="1:8" x14ac:dyDescent="0.25">
      <c r="A389" s="1">
        <v>106631</v>
      </c>
      <c r="B389" s="12" t="s">
        <v>562</v>
      </c>
      <c r="C389" s="11" t="s">
        <v>1013</v>
      </c>
      <c r="D389" s="13">
        <v>51</v>
      </c>
      <c r="E389" s="13">
        <v>37</v>
      </c>
      <c r="F389" s="88" t="s">
        <v>1838</v>
      </c>
      <c r="G389" s="89">
        <v>45175.416446759256</v>
      </c>
    </row>
    <row r="390" spans="1:8" x14ac:dyDescent="0.25">
      <c r="A390" s="1">
        <v>106765</v>
      </c>
      <c r="B390" s="12" t="s">
        <v>1230</v>
      </c>
      <c r="C390" s="11" t="s">
        <v>1021</v>
      </c>
      <c r="D390" s="13">
        <v>83</v>
      </c>
      <c r="E390" s="13">
        <v>3</v>
      </c>
      <c r="F390" s="88" t="s">
        <v>1838</v>
      </c>
      <c r="G390" s="89">
        <v>45175.416446759256</v>
      </c>
    </row>
    <row r="391" spans="1:8" x14ac:dyDescent="0.25">
      <c r="A391" s="1">
        <v>107736</v>
      </c>
      <c r="B391" s="12" t="s">
        <v>1231</v>
      </c>
      <c r="C391" s="11" t="s">
        <v>1013</v>
      </c>
      <c r="D391" s="13">
        <v>52</v>
      </c>
      <c r="E391" s="13">
        <v>10</v>
      </c>
      <c r="F391" s="88" t="s">
        <v>1838</v>
      </c>
      <c r="G391" s="89">
        <v>45175.416446759256</v>
      </c>
    </row>
    <row r="392" spans="1:8" x14ac:dyDescent="0.25">
      <c r="A392" s="1">
        <v>107737</v>
      </c>
      <c r="B392" s="12" t="s">
        <v>1232</v>
      </c>
      <c r="C392" s="11" t="s">
        <v>1013</v>
      </c>
      <c r="D392" s="13">
        <v>52</v>
      </c>
      <c r="E392" s="13">
        <v>10</v>
      </c>
      <c r="F392" s="88" t="s">
        <v>1838</v>
      </c>
      <c r="G392" s="89">
        <v>45175.416446759256</v>
      </c>
    </row>
    <row r="393" spans="1:8" x14ac:dyDescent="0.25">
      <c r="A393" s="1">
        <v>107909</v>
      </c>
      <c r="B393" s="12" t="s">
        <v>1233</v>
      </c>
      <c r="C393" s="11" t="s">
        <v>1234</v>
      </c>
      <c r="D393" s="13">
        <v>72</v>
      </c>
      <c r="E393" s="13">
        <v>14</v>
      </c>
      <c r="F393" s="88" t="s">
        <v>1838</v>
      </c>
      <c r="G393" s="89">
        <v>45175.416446759256</v>
      </c>
    </row>
    <row r="394" spans="1:8" x14ac:dyDescent="0.25">
      <c r="A394" s="1">
        <v>107925</v>
      </c>
      <c r="B394" s="12" t="s">
        <v>1235</v>
      </c>
      <c r="C394" s="11" t="s">
        <v>1013</v>
      </c>
      <c r="D394" s="13">
        <v>51</v>
      </c>
      <c r="E394" s="13">
        <v>11</v>
      </c>
      <c r="F394" s="88" t="s">
        <v>1838</v>
      </c>
      <c r="G394" s="89">
        <v>45175.416446759256</v>
      </c>
    </row>
    <row r="395" spans="1:8" x14ac:dyDescent="0.25">
      <c r="A395" s="1">
        <v>108046</v>
      </c>
      <c r="B395" s="12" t="s">
        <v>1402</v>
      </c>
      <c r="C395" s="11" t="s">
        <v>1021</v>
      </c>
      <c r="D395" s="13">
        <v>70</v>
      </c>
      <c r="E395" s="13">
        <v>15</v>
      </c>
      <c r="F395" s="88" t="s">
        <v>1838</v>
      </c>
      <c r="G395" s="89">
        <v>45175.416446759256</v>
      </c>
    </row>
    <row r="396" spans="1:8" x14ac:dyDescent="0.25">
      <c r="A396" s="1">
        <v>108440</v>
      </c>
      <c r="B396" s="12" t="s">
        <v>689</v>
      </c>
      <c r="C396" s="11" t="s">
        <v>1013</v>
      </c>
      <c r="D396" s="13">
        <v>55</v>
      </c>
      <c r="E396" s="13">
        <v>49</v>
      </c>
      <c r="F396" s="88" t="s">
        <v>1838</v>
      </c>
      <c r="G396" s="89">
        <v>45175.416446759256</v>
      </c>
    </row>
    <row r="397" spans="1:8" x14ac:dyDescent="0.25">
      <c r="A397" s="1">
        <v>108441</v>
      </c>
      <c r="B397" s="12" t="s">
        <v>378</v>
      </c>
      <c r="C397" s="11" t="s">
        <v>1021</v>
      </c>
      <c r="D397" s="13">
        <v>55</v>
      </c>
      <c r="E397" s="13">
        <v>65</v>
      </c>
      <c r="F397" s="88" t="s">
        <v>1838</v>
      </c>
      <c r="G397" s="89">
        <v>45175.416446759256</v>
      </c>
    </row>
    <row r="398" spans="1:8" x14ac:dyDescent="0.25">
      <c r="A398" s="1">
        <v>108463</v>
      </c>
      <c r="B398" s="12" t="s">
        <v>111</v>
      </c>
      <c r="C398" s="11" t="s">
        <v>1018</v>
      </c>
      <c r="D398" s="13">
        <v>55</v>
      </c>
      <c r="E398" s="13">
        <v>19</v>
      </c>
      <c r="F398" s="88" t="s">
        <v>1838</v>
      </c>
      <c r="G398" s="89">
        <v>45175.416446759256</v>
      </c>
      <c r="H398">
        <v>140055</v>
      </c>
    </row>
    <row r="399" spans="1:8" x14ac:dyDescent="0.25">
      <c r="A399" s="1">
        <v>108732</v>
      </c>
      <c r="B399" s="12" t="s">
        <v>587</v>
      </c>
      <c r="C399" s="11" t="s">
        <v>1168</v>
      </c>
      <c r="D399" s="13">
        <v>54</v>
      </c>
      <c r="E399" s="13">
        <v>4</v>
      </c>
      <c r="F399" s="88" t="s">
        <v>1838</v>
      </c>
      <c r="G399" s="89">
        <v>45175.416446759256</v>
      </c>
      <c r="H399">
        <v>98747</v>
      </c>
    </row>
    <row r="400" spans="1:8" x14ac:dyDescent="0.25">
      <c r="A400" s="1">
        <v>108734</v>
      </c>
      <c r="B400" s="12" t="s">
        <v>588</v>
      </c>
      <c r="C400" s="11" t="s">
        <v>1168</v>
      </c>
      <c r="D400" s="13">
        <v>54</v>
      </c>
      <c r="E400" s="13">
        <v>4</v>
      </c>
      <c r="F400" s="88" t="s">
        <v>1838</v>
      </c>
      <c r="G400" s="89">
        <v>45175.416446759256</v>
      </c>
      <c r="H400">
        <v>98749</v>
      </c>
    </row>
    <row r="401" spans="1:8" x14ac:dyDescent="0.25">
      <c r="A401" s="1">
        <v>108735</v>
      </c>
      <c r="B401" s="12" t="s">
        <v>589</v>
      </c>
      <c r="C401" s="11" t="s">
        <v>1168</v>
      </c>
      <c r="D401" s="13">
        <v>54</v>
      </c>
      <c r="E401" s="13">
        <v>4</v>
      </c>
      <c r="F401" s="88" t="s">
        <v>1838</v>
      </c>
      <c r="G401" s="89">
        <v>45175.416446759256</v>
      </c>
      <c r="H401">
        <v>98750</v>
      </c>
    </row>
    <row r="402" spans="1:8" x14ac:dyDescent="0.25">
      <c r="A402" s="1">
        <v>108736</v>
      </c>
      <c r="B402" s="12" t="s">
        <v>590</v>
      </c>
      <c r="C402" s="11" t="s">
        <v>1168</v>
      </c>
      <c r="D402" s="13">
        <v>54</v>
      </c>
      <c r="E402" s="13">
        <v>4</v>
      </c>
      <c r="F402" s="88" t="s">
        <v>1838</v>
      </c>
      <c r="G402" s="89">
        <v>45175.416446759256</v>
      </c>
      <c r="H402">
        <v>98751</v>
      </c>
    </row>
    <row r="403" spans="1:8" x14ac:dyDescent="0.25">
      <c r="A403" s="1">
        <v>109163</v>
      </c>
      <c r="B403" s="12" t="s">
        <v>1641</v>
      </c>
      <c r="C403" s="11" t="s">
        <v>1013</v>
      </c>
      <c r="D403" s="13">
        <v>45</v>
      </c>
      <c r="E403" s="13">
        <v>11</v>
      </c>
      <c r="F403" s="88" t="s">
        <v>1838</v>
      </c>
      <c r="G403" s="89">
        <v>45175.416446759256</v>
      </c>
      <c r="H403">
        <v>139767</v>
      </c>
    </row>
    <row r="404" spans="1:8" x14ac:dyDescent="0.25">
      <c r="A404" s="1">
        <v>109251</v>
      </c>
      <c r="B404" s="12" t="s">
        <v>1837</v>
      </c>
      <c r="C404" s="11" t="s">
        <v>1013</v>
      </c>
      <c r="D404" s="13">
        <v>72</v>
      </c>
      <c r="E404" s="13">
        <v>6</v>
      </c>
      <c r="F404" s="88" t="s">
        <v>1838</v>
      </c>
      <c r="G404" s="89">
        <v>45175.416446759256</v>
      </c>
    </row>
    <row r="405" spans="1:8" x14ac:dyDescent="0.25">
      <c r="A405" s="1">
        <v>110216</v>
      </c>
      <c r="B405" s="12" t="s">
        <v>1236</v>
      </c>
      <c r="C405" s="11" t="s">
        <v>1018</v>
      </c>
      <c r="D405" s="13">
        <v>51</v>
      </c>
      <c r="E405" s="13">
        <v>4</v>
      </c>
      <c r="F405" s="88" t="s">
        <v>1838</v>
      </c>
      <c r="G405" s="89">
        <v>45175.416446759256</v>
      </c>
    </row>
    <row r="406" spans="1:8" x14ac:dyDescent="0.25">
      <c r="A406" s="1">
        <v>110503</v>
      </c>
      <c r="B406" s="12" t="s">
        <v>216</v>
      </c>
      <c r="C406" s="11" t="s">
        <v>1021</v>
      </c>
      <c r="D406" s="13">
        <v>52</v>
      </c>
      <c r="E406" s="13">
        <v>6</v>
      </c>
      <c r="F406" s="88" t="s">
        <v>1838</v>
      </c>
      <c r="G406" s="89">
        <v>45175.416446759256</v>
      </c>
    </row>
    <row r="407" spans="1:8" x14ac:dyDescent="0.25">
      <c r="A407" s="1">
        <v>110890</v>
      </c>
      <c r="B407" s="12" t="s">
        <v>623</v>
      </c>
      <c r="C407" s="11" t="s">
        <v>1018</v>
      </c>
      <c r="D407" s="13">
        <v>55</v>
      </c>
      <c r="E407" s="13">
        <v>19</v>
      </c>
      <c r="F407" s="88" t="s">
        <v>1838</v>
      </c>
      <c r="G407" s="89">
        <v>45175.416446759256</v>
      </c>
      <c r="H407">
        <v>140125</v>
      </c>
    </row>
    <row r="408" spans="1:8" x14ac:dyDescent="0.25">
      <c r="A408" s="1">
        <v>110891</v>
      </c>
      <c r="B408" s="12" t="s">
        <v>624</v>
      </c>
      <c r="C408" s="11" t="s">
        <v>1018</v>
      </c>
      <c r="D408" s="13">
        <v>55</v>
      </c>
      <c r="E408" s="13">
        <v>19</v>
      </c>
      <c r="F408" s="88" t="s">
        <v>1838</v>
      </c>
      <c r="G408" s="89">
        <v>45175.416446759256</v>
      </c>
      <c r="H408">
        <v>140058</v>
      </c>
    </row>
    <row r="409" spans="1:8" x14ac:dyDescent="0.25">
      <c r="A409" s="1">
        <v>111756</v>
      </c>
      <c r="B409" s="12" t="s">
        <v>1237</v>
      </c>
      <c r="C409" s="11" t="s">
        <v>1013</v>
      </c>
      <c r="D409" s="13">
        <v>67</v>
      </c>
      <c r="E409" s="13">
        <v>13</v>
      </c>
      <c r="F409" s="88" t="s">
        <v>1838</v>
      </c>
      <c r="G409" s="89">
        <v>45175.416446759256</v>
      </c>
    </row>
    <row r="410" spans="1:8" x14ac:dyDescent="0.25">
      <c r="A410" s="1">
        <v>112064</v>
      </c>
      <c r="B410" s="12" t="s">
        <v>919</v>
      </c>
      <c r="C410" s="11" t="s">
        <v>1013</v>
      </c>
      <c r="D410" s="13">
        <v>70</v>
      </c>
      <c r="E410" s="13">
        <v>38</v>
      </c>
      <c r="F410" s="88" t="s">
        <v>1838</v>
      </c>
      <c r="G410" s="89">
        <v>45175.416446759256</v>
      </c>
    </row>
    <row r="411" spans="1:8" x14ac:dyDescent="0.25">
      <c r="A411" s="1">
        <v>112160</v>
      </c>
      <c r="B411" s="12" t="s">
        <v>15</v>
      </c>
      <c r="C411" s="11" t="s">
        <v>1013</v>
      </c>
      <c r="D411" s="13">
        <v>55</v>
      </c>
      <c r="E411" s="13">
        <v>7</v>
      </c>
      <c r="F411" s="88" t="s">
        <v>1838</v>
      </c>
      <c r="G411" s="89">
        <v>45175.416446759256</v>
      </c>
    </row>
    <row r="412" spans="1:8" x14ac:dyDescent="0.25">
      <c r="A412" s="1">
        <v>112164</v>
      </c>
      <c r="B412" s="12" t="s">
        <v>1238</v>
      </c>
      <c r="C412" s="11" t="s">
        <v>1013</v>
      </c>
      <c r="D412" s="13">
        <v>55</v>
      </c>
      <c r="E412" s="13">
        <v>37</v>
      </c>
      <c r="F412" s="88" t="s">
        <v>1838</v>
      </c>
      <c r="G412" s="89">
        <v>45175.416446759256</v>
      </c>
    </row>
    <row r="413" spans="1:8" x14ac:dyDescent="0.25">
      <c r="A413" s="1">
        <v>112330</v>
      </c>
      <c r="B413" s="12" t="s">
        <v>1553</v>
      </c>
      <c r="C413" s="11" t="s">
        <v>1036</v>
      </c>
      <c r="D413" s="13">
        <v>70</v>
      </c>
      <c r="E413" s="13">
        <v>33</v>
      </c>
      <c r="F413" s="88" t="s">
        <v>1838</v>
      </c>
      <c r="G413" s="89">
        <v>45175.416446759256</v>
      </c>
      <c r="H413">
        <v>133371</v>
      </c>
    </row>
    <row r="414" spans="1:8" x14ac:dyDescent="0.25">
      <c r="A414" s="1">
        <v>112965</v>
      </c>
      <c r="B414" s="12" t="s">
        <v>1642</v>
      </c>
      <c r="C414" s="11" t="s">
        <v>1018</v>
      </c>
      <c r="D414" s="13">
        <v>55</v>
      </c>
      <c r="E414" s="13">
        <v>19</v>
      </c>
      <c r="F414" s="88" t="s">
        <v>1838</v>
      </c>
      <c r="G414" s="89">
        <v>45175.416446759256</v>
      </c>
      <c r="H414">
        <v>140059</v>
      </c>
    </row>
    <row r="415" spans="1:8" x14ac:dyDescent="0.25">
      <c r="A415" s="1">
        <v>113097</v>
      </c>
      <c r="B415" s="12" t="s">
        <v>1239</v>
      </c>
      <c r="C415" s="11" t="s">
        <v>1021</v>
      </c>
      <c r="D415" s="13">
        <v>74</v>
      </c>
      <c r="E415" s="13">
        <v>2</v>
      </c>
      <c r="F415" s="88" t="s">
        <v>1838</v>
      </c>
      <c r="G415" s="89">
        <v>45175.416446759256</v>
      </c>
    </row>
    <row r="416" spans="1:8" x14ac:dyDescent="0.25">
      <c r="A416" s="1">
        <v>113180</v>
      </c>
      <c r="B416" s="12" t="s">
        <v>783</v>
      </c>
      <c r="F416" s="88" t="s">
        <v>1838</v>
      </c>
      <c r="G416" s="89">
        <v>45175.416446759256</v>
      </c>
    </row>
    <row r="417" spans="1:7" x14ac:dyDescent="0.25">
      <c r="A417" s="1">
        <v>113207</v>
      </c>
      <c r="B417" s="12" t="s">
        <v>1240</v>
      </c>
      <c r="C417" s="11" t="s">
        <v>1185</v>
      </c>
      <c r="D417" s="13">
        <v>51</v>
      </c>
      <c r="E417" s="13">
        <v>21</v>
      </c>
      <c r="F417" s="88" t="s">
        <v>1838</v>
      </c>
      <c r="G417" s="89">
        <v>45175.416446759256</v>
      </c>
    </row>
    <row r="418" spans="1:7" x14ac:dyDescent="0.25">
      <c r="A418" s="1">
        <v>114255</v>
      </c>
      <c r="B418" s="12" t="s">
        <v>531</v>
      </c>
      <c r="C418" s="11" t="s">
        <v>1185</v>
      </c>
      <c r="D418" s="13">
        <v>51</v>
      </c>
      <c r="E418" s="13">
        <v>21</v>
      </c>
      <c r="F418" s="88" t="s">
        <v>1838</v>
      </c>
      <c r="G418" s="89">
        <v>45175.416446759256</v>
      </c>
    </row>
    <row r="419" spans="1:7" x14ac:dyDescent="0.25">
      <c r="A419" s="1">
        <v>115135</v>
      </c>
      <c r="B419" s="12" t="s">
        <v>1241</v>
      </c>
      <c r="C419" s="11" t="s">
        <v>1021</v>
      </c>
      <c r="D419" s="13">
        <v>51</v>
      </c>
      <c r="E419" s="13">
        <v>17</v>
      </c>
      <c r="F419" s="88" t="s">
        <v>1838</v>
      </c>
      <c r="G419" s="89">
        <v>45175.416446759256</v>
      </c>
    </row>
    <row r="420" spans="1:7" x14ac:dyDescent="0.25">
      <c r="A420" s="1">
        <v>115146</v>
      </c>
      <c r="B420" s="12" t="s">
        <v>1242</v>
      </c>
      <c r="C420" s="11" t="s">
        <v>1021</v>
      </c>
      <c r="D420" s="13">
        <v>55</v>
      </c>
      <c r="E420" s="13">
        <v>32</v>
      </c>
      <c r="F420" s="88" t="s">
        <v>1838</v>
      </c>
      <c r="G420" s="89">
        <v>45175.416446759256</v>
      </c>
    </row>
    <row r="421" spans="1:7" x14ac:dyDescent="0.25">
      <c r="A421" s="1">
        <v>115149</v>
      </c>
      <c r="B421" s="12" t="s">
        <v>1243</v>
      </c>
      <c r="C421" s="11" t="s">
        <v>1021</v>
      </c>
      <c r="D421" s="13">
        <v>55</v>
      </c>
      <c r="E421" s="13">
        <v>32</v>
      </c>
      <c r="F421" s="88" t="s">
        <v>1838</v>
      </c>
      <c r="G421" s="89">
        <v>45175.416446759256</v>
      </c>
    </row>
    <row r="422" spans="1:7" x14ac:dyDescent="0.25">
      <c r="A422" s="1">
        <v>115151</v>
      </c>
      <c r="B422" s="12" t="s">
        <v>1244</v>
      </c>
      <c r="C422" s="11" t="s">
        <v>1021</v>
      </c>
      <c r="D422" s="13">
        <v>55</v>
      </c>
      <c r="E422" s="13">
        <v>32</v>
      </c>
      <c r="F422" s="88" t="s">
        <v>1838</v>
      </c>
      <c r="G422" s="89">
        <v>45175.416446759256</v>
      </c>
    </row>
    <row r="423" spans="1:7" x14ac:dyDescent="0.25">
      <c r="A423" s="1">
        <v>115152</v>
      </c>
      <c r="B423" s="12" t="s">
        <v>1245</v>
      </c>
      <c r="C423" s="11" t="s">
        <v>1021</v>
      </c>
      <c r="D423" s="13">
        <v>55</v>
      </c>
      <c r="E423" s="13">
        <v>32</v>
      </c>
      <c r="F423" s="88" t="s">
        <v>1838</v>
      </c>
      <c r="G423" s="89">
        <v>45175.416446759256</v>
      </c>
    </row>
    <row r="424" spans="1:7" x14ac:dyDescent="0.25">
      <c r="A424" s="1">
        <v>115154</v>
      </c>
      <c r="B424" s="12" t="s">
        <v>1246</v>
      </c>
      <c r="C424" s="11" t="s">
        <v>1021</v>
      </c>
      <c r="D424" s="13">
        <v>55</v>
      </c>
      <c r="E424" s="13">
        <v>32</v>
      </c>
      <c r="F424" s="88" t="s">
        <v>1838</v>
      </c>
      <c r="G424" s="89">
        <v>45175.416446759256</v>
      </c>
    </row>
    <row r="425" spans="1:7" x14ac:dyDescent="0.25">
      <c r="A425" s="1">
        <v>115214</v>
      </c>
      <c r="B425" s="12" t="s">
        <v>1247</v>
      </c>
      <c r="C425" s="11" t="s">
        <v>1021</v>
      </c>
      <c r="D425" s="13">
        <v>51</v>
      </c>
      <c r="E425" s="13">
        <v>17</v>
      </c>
      <c r="F425" s="88" t="s">
        <v>1838</v>
      </c>
      <c r="G425" s="89">
        <v>45175.416446759256</v>
      </c>
    </row>
    <row r="426" spans="1:7" x14ac:dyDescent="0.25">
      <c r="A426" s="1">
        <v>115737</v>
      </c>
      <c r="B426" s="12" t="s">
        <v>1248</v>
      </c>
      <c r="C426" s="11" t="s">
        <v>1185</v>
      </c>
      <c r="D426" s="13">
        <v>51</v>
      </c>
      <c r="E426" s="13">
        <v>20</v>
      </c>
      <c r="F426" s="88" t="s">
        <v>1838</v>
      </c>
      <c r="G426" s="89">
        <v>45175.416446759256</v>
      </c>
    </row>
    <row r="427" spans="1:7" x14ac:dyDescent="0.25">
      <c r="A427" s="1">
        <v>115781</v>
      </c>
      <c r="B427" s="12" t="s">
        <v>377</v>
      </c>
      <c r="C427" s="11" t="s">
        <v>1013</v>
      </c>
      <c r="D427" s="13">
        <v>55</v>
      </c>
      <c r="E427" s="13">
        <v>64</v>
      </c>
      <c r="F427" s="88" t="s">
        <v>1838</v>
      </c>
      <c r="G427" s="89">
        <v>45175.416446759256</v>
      </c>
    </row>
    <row r="428" spans="1:7" x14ac:dyDescent="0.25">
      <c r="A428" s="1">
        <v>116771</v>
      </c>
      <c r="B428" s="12" t="s">
        <v>1249</v>
      </c>
      <c r="C428" s="11" t="s">
        <v>1250</v>
      </c>
      <c r="D428" s="13">
        <v>69</v>
      </c>
      <c r="E428" s="13">
        <v>1</v>
      </c>
      <c r="F428" s="88" t="s">
        <v>1838</v>
      </c>
      <c r="G428" s="89">
        <v>45175.416446759256</v>
      </c>
    </row>
    <row r="429" spans="1:7" x14ac:dyDescent="0.25">
      <c r="A429" s="1">
        <v>118243</v>
      </c>
      <c r="B429" s="12" t="s">
        <v>997</v>
      </c>
      <c r="C429" s="11" t="s">
        <v>1021</v>
      </c>
      <c r="D429" s="13">
        <v>89</v>
      </c>
      <c r="E429" s="13">
        <v>12</v>
      </c>
      <c r="F429" s="88" t="s">
        <v>1838</v>
      </c>
      <c r="G429" s="89">
        <v>45175.416446759256</v>
      </c>
    </row>
    <row r="430" spans="1:7" x14ac:dyDescent="0.25">
      <c r="A430" s="1">
        <v>118248</v>
      </c>
      <c r="B430" s="12" t="s">
        <v>1251</v>
      </c>
      <c r="C430" s="11" t="s">
        <v>1185</v>
      </c>
      <c r="D430" s="13">
        <v>51</v>
      </c>
      <c r="E430" s="13">
        <v>21</v>
      </c>
      <c r="F430" s="88" t="s">
        <v>1838</v>
      </c>
      <c r="G430" s="89">
        <v>45175.416446759256</v>
      </c>
    </row>
    <row r="431" spans="1:7" x14ac:dyDescent="0.25">
      <c r="A431" s="1">
        <v>118578</v>
      </c>
      <c r="B431" s="12" t="s">
        <v>1252</v>
      </c>
      <c r="C431" s="11" t="s">
        <v>1185</v>
      </c>
      <c r="D431" s="13">
        <v>51</v>
      </c>
      <c r="E431" s="13">
        <v>21</v>
      </c>
      <c r="F431" s="88" t="s">
        <v>1838</v>
      </c>
      <c r="G431" s="89">
        <v>45175.416446759256</v>
      </c>
    </row>
    <row r="432" spans="1:7" x14ac:dyDescent="0.25">
      <c r="A432" s="1">
        <v>118580</v>
      </c>
      <c r="B432" s="12" t="s">
        <v>1253</v>
      </c>
      <c r="C432" s="11" t="s">
        <v>1185</v>
      </c>
      <c r="D432" s="13">
        <v>51</v>
      </c>
      <c r="E432" s="13">
        <v>21</v>
      </c>
      <c r="F432" s="88" t="s">
        <v>1838</v>
      </c>
      <c r="G432" s="89">
        <v>45175.416446759256</v>
      </c>
    </row>
    <row r="433" spans="1:8" x14ac:dyDescent="0.25">
      <c r="A433" s="1">
        <v>118660</v>
      </c>
      <c r="B433" s="12" t="s">
        <v>480</v>
      </c>
      <c r="F433" s="88" t="s">
        <v>1838</v>
      </c>
      <c r="G433" s="89">
        <v>45175.416446759256</v>
      </c>
    </row>
    <row r="434" spans="1:8" x14ac:dyDescent="0.25">
      <c r="A434" s="1">
        <v>118779</v>
      </c>
      <c r="B434" s="12" t="s">
        <v>1254</v>
      </c>
      <c r="C434" s="11" t="s">
        <v>1021</v>
      </c>
      <c r="D434" s="13">
        <v>55</v>
      </c>
      <c r="E434" s="13">
        <v>32</v>
      </c>
      <c r="F434" s="88" t="s">
        <v>1838</v>
      </c>
      <c r="G434" s="89">
        <v>45175.416446759256</v>
      </c>
    </row>
    <row r="435" spans="1:8" x14ac:dyDescent="0.25">
      <c r="A435" s="1">
        <v>118843</v>
      </c>
      <c r="B435" s="12" t="s">
        <v>1255</v>
      </c>
      <c r="C435" s="11" t="s">
        <v>1021</v>
      </c>
      <c r="D435" s="13">
        <v>52</v>
      </c>
      <c r="E435" s="13">
        <v>9</v>
      </c>
      <c r="F435" s="88" t="s">
        <v>1838</v>
      </c>
      <c r="G435" s="89">
        <v>45175.416446759256</v>
      </c>
    </row>
    <row r="436" spans="1:8" x14ac:dyDescent="0.25">
      <c r="A436" s="1">
        <v>118864</v>
      </c>
      <c r="B436" s="12" t="s">
        <v>1256</v>
      </c>
      <c r="C436" s="11" t="s">
        <v>1021</v>
      </c>
      <c r="D436" s="13">
        <v>51</v>
      </c>
      <c r="E436" s="13">
        <v>9</v>
      </c>
      <c r="F436" s="88" t="s">
        <v>1838</v>
      </c>
      <c r="G436" s="89">
        <v>45175.416446759256</v>
      </c>
      <c r="H436">
        <v>136554</v>
      </c>
    </row>
    <row r="437" spans="1:8" x14ac:dyDescent="0.25">
      <c r="A437" s="1">
        <v>118865</v>
      </c>
      <c r="B437" s="12" t="s">
        <v>149</v>
      </c>
      <c r="C437" s="11" t="s">
        <v>1021</v>
      </c>
      <c r="D437" s="13">
        <v>51</v>
      </c>
      <c r="E437" s="13">
        <v>9</v>
      </c>
      <c r="F437" s="88" t="s">
        <v>1838</v>
      </c>
      <c r="G437" s="89">
        <v>45175.416446759256</v>
      </c>
      <c r="H437">
        <v>136555</v>
      </c>
    </row>
    <row r="438" spans="1:8" x14ac:dyDescent="0.25">
      <c r="A438" s="1">
        <v>118993</v>
      </c>
      <c r="B438" s="12" t="s">
        <v>1257</v>
      </c>
      <c r="C438" s="11" t="s">
        <v>1185</v>
      </c>
      <c r="D438" s="13">
        <v>51</v>
      </c>
      <c r="E438" s="13">
        <v>21</v>
      </c>
      <c r="F438" s="88" t="s">
        <v>1838</v>
      </c>
      <c r="G438" s="89">
        <v>45175.416446759256</v>
      </c>
    </row>
    <row r="439" spans="1:8" x14ac:dyDescent="0.25">
      <c r="A439" s="1">
        <v>118994</v>
      </c>
      <c r="B439" s="12" t="s">
        <v>1258</v>
      </c>
      <c r="C439" s="11" t="s">
        <v>1185</v>
      </c>
      <c r="D439" s="13">
        <v>51</v>
      </c>
      <c r="E439" s="13">
        <v>21</v>
      </c>
      <c r="F439" s="88" t="s">
        <v>1838</v>
      </c>
      <c r="G439" s="89">
        <v>45175.416446759256</v>
      </c>
    </row>
    <row r="440" spans="1:8" x14ac:dyDescent="0.25">
      <c r="A440" s="1">
        <v>119008</v>
      </c>
      <c r="B440" s="12" t="s">
        <v>694</v>
      </c>
      <c r="C440" s="11" t="s">
        <v>1013</v>
      </c>
      <c r="D440" s="13">
        <v>55</v>
      </c>
      <c r="E440" s="13">
        <v>62</v>
      </c>
      <c r="F440" s="88" t="s">
        <v>1838</v>
      </c>
      <c r="G440" s="89">
        <v>45175.416446759256</v>
      </c>
    </row>
    <row r="441" spans="1:8" x14ac:dyDescent="0.25">
      <c r="A441" s="1">
        <v>119087</v>
      </c>
      <c r="B441" s="12" t="s">
        <v>716</v>
      </c>
      <c r="C441" s="11" t="s">
        <v>1021</v>
      </c>
      <c r="D441" s="13">
        <v>59</v>
      </c>
      <c r="E441" s="13">
        <v>18</v>
      </c>
      <c r="F441" s="88" t="s">
        <v>1838</v>
      </c>
      <c r="G441" s="89">
        <v>45175.416446759256</v>
      </c>
    </row>
    <row r="442" spans="1:8" x14ac:dyDescent="0.25">
      <c r="A442" s="1">
        <v>119182</v>
      </c>
      <c r="B442" s="12" t="s">
        <v>143</v>
      </c>
      <c r="C442" s="11" t="s">
        <v>1013</v>
      </c>
      <c r="D442" s="13">
        <v>55</v>
      </c>
      <c r="E442" s="13">
        <v>37</v>
      </c>
      <c r="F442" s="88" t="s">
        <v>1838</v>
      </c>
      <c r="G442" s="89">
        <v>45175.416446759256</v>
      </c>
      <c r="H442">
        <v>136083</v>
      </c>
    </row>
    <row r="443" spans="1:8" x14ac:dyDescent="0.25">
      <c r="A443" s="1">
        <v>119183</v>
      </c>
      <c r="B443" s="12" t="s">
        <v>1259</v>
      </c>
      <c r="C443" s="11" t="s">
        <v>1013</v>
      </c>
      <c r="D443" s="13">
        <v>55</v>
      </c>
      <c r="E443" s="13">
        <v>37</v>
      </c>
      <c r="F443" s="88" t="s">
        <v>1838</v>
      </c>
      <c r="G443" s="89">
        <v>45175.416446759256</v>
      </c>
    </row>
    <row r="444" spans="1:8" x14ac:dyDescent="0.25">
      <c r="A444" s="1">
        <v>119514</v>
      </c>
      <c r="B444" s="12" t="s">
        <v>546</v>
      </c>
      <c r="C444" s="11" t="s">
        <v>1018</v>
      </c>
      <c r="D444" s="13">
        <v>51</v>
      </c>
      <c r="E444" s="13">
        <v>28</v>
      </c>
      <c r="F444" s="88" t="s">
        <v>1838</v>
      </c>
      <c r="G444" s="89">
        <v>45175.416446759256</v>
      </c>
    </row>
    <row r="445" spans="1:8" x14ac:dyDescent="0.25">
      <c r="A445" s="1">
        <v>119626</v>
      </c>
      <c r="B445" s="12" t="s">
        <v>1260</v>
      </c>
      <c r="C445" s="11" t="s">
        <v>1185</v>
      </c>
      <c r="D445" s="13">
        <v>51</v>
      </c>
      <c r="E445" s="13">
        <v>19</v>
      </c>
      <c r="F445" s="88" t="s">
        <v>1838</v>
      </c>
      <c r="G445" s="89">
        <v>45175.416446759256</v>
      </c>
    </row>
    <row r="446" spans="1:8" x14ac:dyDescent="0.25">
      <c r="A446" s="1">
        <v>119627</v>
      </c>
      <c r="B446" s="12" t="s">
        <v>118</v>
      </c>
      <c r="C446" s="11" t="s">
        <v>1018</v>
      </c>
      <c r="D446" s="13">
        <v>55</v>
      </c>
      <c r="E446" s="13">
        <v>19</v>
      </c>
      <c r="F446" s="88" t="s">
        <v>1838</v>
      </c>
      <c r="G446" s="89">
        <v>45175.416446759256</v>
      </c>
      <c r="H446">
        <v>140050</v>
      </c>
    </row>
    <row r="447" spans="1:8" x14ac:dyDescent="0.25">
      <c r="A447" s="1">
        <v>119628</v>
      </c>
      <c r="B447" s="12" t="s">
        <v>131</v>
      </c>
      <c r="C447" s="11" t="s">
        <v>1018</v>
      </c>
      <c r="D447" s="13">
        <v>55</v>
      </c>
      <c r="E447" s="13">
        <v>19</v>
      </c>
      <c r="F447" s="88" t="s">
        <v>1838</v>
      </c>
      <c r="G447" s="89">
        <v>45175.416446759256</v>
      </c>
      <c r="H447">
        <v>140053</v>
      </c>
    </row>
    <row r="448" spans="1:8" x14ac:dyDescent="0.25">
      <c r="A448" s="1">
        <v>119793</v>
      </c>
      <c r="B448" s="12" t="s">
        <v>1261</v>
      </c>
      <c r="C448" s="11" t="s">
        <v>1185</v>
      </c>
      <c r="D448" s="13">
        <v>51</v>
      </c>
      <c r="E448" s="13">
        <v>19</v>
      </c>
      <c r="F448" s="88" t="s">
        <v>1838</v>
      </c>
      <c r="G448" s="89">
        <v>45175.416446759256</v>
      </c>
    </row>
    <row r="449" spans="1:8" x14ac:dyDescent="0.25">
      <c r="A449" s="1">
        <v>119794</v>
      </c>
      <c r="B449" s="12" t="s">
        <v>1262</v>
      </c>
      <c r="C449" s="11" t="s">
        <v>1185</v>
      </c>
      <c r="D449" s="13">
        <v>51</v>
      </c>
      <c r="E449" s="13">
        <v>19</v>
      </c>
      <c r="F449" s="88" t="s">
        <v>1838</v>
      </c>
      <c r="G449" s="89">
        <v>45175.416446759256</v>
      </c>
    </row>
    <row r="450" spans="1:8" x14ac:dyDescent="0.25">
      <c r="A450" s="1">
        <v>119795</v>
      </c>
      <c r="B450" s="12" t="s">
        <v>1263</v>
      </c>
      <c r="C450" s="11" t="s">
        <v>1185</v>
      </c>
      <c r="D450" s="13">
        <v>51</v>
      </c>
      <c r="E450" s="13">
        <v>19</v>
      </c>
      <c r="F450" s="88" t="s">
        <v>1838</v>
      </c>
      <c r="G450" s="89">
        <v>45175.416446759256</v>
      </c>
    </row>
    <row r="451" spans="1:8" x14ac:dyDescent="0.25">
      <c r="A451" s="1">
        <v>119796</v>
      </c>
      <c r="B451" s="12" t="s">
        <v>1264</v>
      </c>
      <c r="C451" s="11" t="s">
        <v>1185</v>
      </c>
      <c r="D451" s="13">
        <v>51</v>
      </c>
      <c r="E451" s="13">
        <v>19</v>
      </c>
      <c r="F451" s="88" t="s">
        <v>1838</v>
      </c>
      <c r="G451" s="89">
        <v>45175.416446759256</v>
      </c>
    </row>
    <row r="452" spans="1:8" x14ac:dyDescent="0.25">
      <c r="A452" s="1">
        <v>119798</v>
      </c>
      <c r="B452" s="12" t="s">
        <v>1265</v>
      </c>
      <c r="C452" s="11" t="s">
        <v>1185</v>
      </c>
      <c r="D452" s="13">
        <v>51</v>
      </c>
      <c r="E452" s="13">
        <v>19</v>
      </c>
      <c r="F452" s="88" t="s">
        <v>1838</v>
      </c>
      <c r="G452" s="89">
        <v>45175.416446759256</v>
      </c>
    </row>
    <row r="453" spans="1:8" x14ac:dyDescent="0.25">
      <c r="A453" s="1">
        <v>119810</v>
      </c>
      <c r="B453" s="12" t="s">
        <v>369</v>
      </c>
      <c r="C453" s="11" t="s">
        <v>1021</v>
      </c>
      <c r="D453" s="13">
        <v>55</v>
      </c>
      <c r="E453" s="13">
        <v>52</v>
      </c>
      <c r="F453" s="88" t="s">
        <v>1838</v>
      </c>
      <c r="G453" s="89">
        <v>45175.416446759256</v>
      </c>
    </row>
    <row r="454" spans="1:8" x14ac:dyDescent="0.25">
      <c r="A454" s="1">
        <v>119811</v>
      </c>
      <c r="B454" s="12" t="s">
        <v>370</v>
      </c>
      <c r="C454" s="11" t="s">
        <v>1021</v>
      </c>
      <c r="D454" s="13">
        <v>55</v>
      </c>
      <c r="E454" s="13">
        <v>52</v>
      </c>
      <c r="F454" s="88" t="s">
        <v>1838</v>
      </c>
      <c r="G454" s="89">
        <v>45175.416446759256</v>
      </c>
    </row>
    <row r="455" spans="1:8" x14ac:dyDescent="0.25">
      <c r="A455" s="1">
        <v>120217</v>
      </c>
      <c r="B455" s="12" t="s">
        <v>1266</v>
      </c>
      <c r="C455" s="11" t="s">
        <v>1021</v>
      </c>
      <c r="D455" s="13">
        <v>84</v>
      </c>
      <c r="E455" s="13">
        <v>1</v>
      </c>
      <c r="F455" s="88" t="s">
        <v>1838</v>
      </c>
      <c r="G455" s="89">
        <v>45175.416446759256</v>
      </c>
    </row>
    <row r="456" spans="1:8" x14ac:dyDescent="0.25">
      <c r="A456" s="1">
        <v>120477</v>
      </c>
      <c r="B456" s="12" t="s">
        <v>376</v>
      </c>
      <c r="C456" s="11" t="s">
        <v>1021</v>
      </c>
      <c r="D456" s="13">
        <v>55</v>
      </c>
      <c r="E456" s="13">
        <v>63</v>
      </c>
      <c r="F456" s="88" t="s">
        <v>1838</v>
      </c>
      <c r="G456" s="89">
        <v>45175.416446759256</v>
      </c>
    </row>
    <row r="457" spans="1:8" x14ac:dyDescent="0.25">
      <c r="A457" s="1">
        <v>121214</v>
      </c>
      <c r="B457" s="12" t="s">
        <v>170</v>
      </c>
      <c r="C457" s="11" t="s">
        <v>1013</v>
      </c>
      <c r="D457" s="13">
        <v>83</v>
      </c>
      <c r="E457" s="13">
        <v>8</v>
      </c>
      <c r="F457" s="88" t="s">
        <v>1838</v>
      </c>
      <c r="G457" s="89">
        <v>45175.416446759256</v>
      </c>
    </row>
    <row r="458" spans="1:8" x14ac:dyDescent="0.25">
      <c r="A458" s="1">
        <v>121292</v>
      </c>
      <c r="B458" s="12" t="s">
        <v>366</v>
      </c>
      <c r="C458" s="11" t="s">
        <v>1013</v>
      </c>
      <c r="D458" s="13">
        <v>55</v>
      </c>
      <c r="E458" s="13">
        <v>49</v>
      </c>
      <c r="F458" s="88" t="s">
        <v>1838</v>
      </c>
      <c r="G458" s="89">
        <v>45175.416446759256</v>
      </c>
      <c r="H458">
        <v>136898</v>
      </c>
    </row>
    <row r="459" spans="1:8" x14ac:dyDescent="0.25">
      <c r="A459" s="1">
        <v>122153</v>
      </c>
      <c r="B459" s="12" t="s">
        <v>1267</v>
      </c>
      <c r="C459" s="11" t="s">
        <v>1021</v>
      </c>
      <c r="D459" s="13">
        <v>55</v>
      </c>
      <c r="E459" s="13">
        <v>46</v>
      </c>
      <c r="F459" s="88" t="s">
        <v>1838</v>
      </c>
      <c r="G459" s="89">
        <v>45175.416446759256</v>
      </c>
    </row>
    <row r="460" spans="1:8" x14ac:dyDescent="0.25">
      <c r="A460" s="1">
        <v>122154</v>
      </c>
      <c r="B460" s="12" t="s">
        <v>1268</v>
      </c>
      <c r="C460" s="11" t="s">
        <v>1013</v>
      </c>
      <c r="D460" s="13">
        <v>55</v>
      </c>
      <c r="E460" s="13">
        <v>63</v>
      </c>
      <c r="F460" s="88" t="s">
        <v>1838</v>
      </c>
      <c r="G460" s="89">
        <v>45175.416446759256</v>
      </c>
    </row>
    <row r="461" spans="1:8" x14ac:dyDescent="0.25">
      <c r="A461" s="1">
        <v>122545</v>
      </c>
      <c r="B461" s="12" t="s">
        <v>1269</v>
      </c>
      <c r="C461" s="11" t="s">
        <v>1021</v>
      </c>
      <c r="D461" s="13">
        <v>84</v>
      </c>
      <c r="E461" s="13">
        <v>2</v>
      </c>
      <c r="F461" s="88" t="s">
        <v>1838</v>
      </c>
      <c r="G461" s="89">
        <v>45175.416446759256</v>
      </c>
    </row>
    <row r="462" spans="1:8" x14ac:dyDescent="0.25">
      <c r="A462" s="1">
        <v>123146</v>
      </c>
      <c r="B462" s="12" t="s">
        <v>499</v>
      </c>
      <c r="C462" s="11" t="s">
        <v>1615</v>
      </c>
      <c r="D462" s="13">
        <v>51</v>
      </c>
      <c r="E462" s="13">
        <v>4</v>
      </c>
      <c r="F462" s="88" t="s">
        <v>1838</v>
      </c>
      <c r="G462" s="89">
        <v>45175.416446759256</v>
      </c>
    </row>
    <row r="463" spans="1:8" x14ac:dyDescent="0.25">
      <c r="A463" s="1">
        <v>123241</v>
      </c>
      <c r="B463" s="12" t="s">
        <v>1421</v>
      </c>
      <c r="C463" s="11" t="s">
        <v>1048</v>
      </c>
      <c r="D463" s="13">
        <v>69</v>
      </c>
      <c r="E463" s="13">
        <v>2</v>
      </c>
      <c r="F463" s="88" t="s">
        <v>1838</v>
      </c>
      <c r="G463" s="89">
        <v>45175.416446759256</v>
      </c>
    </row>
    <row r="464" spans="1:8" x14ac:dyDescent="0.25">
      <c r="A464" s="1">
        <v>123347</v>
      </c>
      <c r="B464" s="12" t="s">
        <v>1270</v>
      </c>
      <c r="C464" s="11" t="s">
        <v>1197</v>
      </c>
      <c r="D464" s="13">
        <v>67</v>
      </c>
      <c r="E464" s="13">
        <v>7</v>
      </c>
      <c r="F464" s="88" t="s">
        <v>1838</v>
      </c>
      <c r="G464" s="89">
        <v>45175.416446759256</v>
      </c>
    </row>
    <row r="465" spans="1:8" x14ac:dyDescent="0.25">
      <c r="A465" s="1">
        <v>123348</v>
      </c>
      <c r="B465" s="12" t="s">
        <v>1271</v>
      </c>
      <c r="C465" s="11" t="s">
        <v>1197</v>
      </c>
      <c r="D465" s="13">
        <v>67</v>
      </c>
      <c r="E465" s="13">
        <v>7</v>
      </c>
      <c r="F465" s="88" t="s">
        <v>1838</v>
      </c>
      <c r="G465" s="89">
        <v>45175.416446759256</v>
      </c>
    </row>
    <row r="466" spans="1:8" x14ac:dyDescent="0.25">
      <c r="A466" s="1">
        <v>123351</v>
      </c>
      <c r="B466" s="12" t="s">
        <v>1272</v>
      </c>
      <c r="C466" s="11" t="s">
        <v>1197</v>
      </c>
      <c r="D466" s="13">
        <v>67</v>
      </c>
      <c r="E466" s="13">
        <v>7</v>
      </c>
      <c r="F466" s="88" t="s">
        <v>1838</v>
      </c>
      <c r="G466" s="89">
        <v>45175.416446759256</v>
      </c>
    </row>
    <row r="467" spans="1:8" x14ac:dyDescent="0.25">
      <c r="A467" s="1">
        <v>123352</v>
      </c>
      <c r="B467" s="12" t="s">
        <v>1273</v>
      </c>
      <c r="C467" s="11" t="s">
        <v>1197</v>
      </c>
      <c r="D467" s="13">
        <v>67</v>
      </c>
      <c r="E467" s="13">
        <v>7</v>
      </c>
      <c r="F467" s="88" t="s">
        <v>1838</v>
      </c>
      <c r="G467" s="89">
        <v>45175.416446759256</v>
      </c>
    </row>
    <row r="468" spans="1:8" x14ac:dyDescent="0.25">
      <c r="A468" s="1">
        <v>123353</v>
      </c>
      <c r="B468" s="12" t="s">
        <v>1274</v>
      </c>
      <c r="C468" s="11" t="s">
        <v>1197</v>
      </c>
      <c r="D468" s="13">
        <v>67</v>
      </c>
      <c r="E468" s="13">
        <v>7</v>
      </c>
      <c r="F468" s="88" t="s">
        <v>1838</v>
      </c>
      <c r="G468" s="89">
        <v>45175.416446759256</v>
      </c>
    </row>
    <row r="469" spans="1:8" x14ac:dyDescent="0.25">
      <c r="A469" s="1">
        <v>123371</v>
      </c>
      <c r="B469" s="12" t="s">
        <v>132</v>
      </c>
      <c r="C469" s="11" t="s">
        <v>1018</v>
      </c>
      <c r="D469" s="13">
        <v>55</v>
      </c>
      <c r="E469" s="13">
        <v>19</v>
      </c>
      <c r="F469" s="88" t="s">
        <v>1838</v>
      </c>
      <c r="G469" s="89">
        <v>45175.416446759256</v>
      </c>
      <c r="H469">
        <v>140061</v>
      </c>
    </row>
    <row r="470" spans="1:8" x14ac:dyDescent="0.25">
      <c r="A470" s="1">
        <v>123373</v>
      </c>
      <c r="B470" s="12" t="s">
        <v>133</v>
      </c>
      <c r="C470" s="11" t="s">
        <v>1018</v>
      </c>
      <c r="D470" s="13">
        <v>55</v>
      </c>
      <c r="E470" s="13">
        <v>19</v>
      </c>
      <c r="F470" s="88" t="s">
        <v>1838</v>
      </c>
      <c r="G470" s="89">
        <v>45175.416446759256</v>
      </c>
      <c r="H470">
        <v>140060</v>
      </c>
    </row>
    <row r="471" spans="1:8" x14ac:dyDescent="0.25">
      <c r="A471" s="1">
        <v>124241</v>
      </c>
      <c r="B471" s="12" t="s">
        <v>1554</v>
      </c>
      <c r="C471" s="11" t="s">
        <v>1013</v>
      </c>
      <c r="D471" s="13">
        <v>61</v>
      </c>
      <c r="E471" s="13">
        <v>10</v>
      </c>
      <c r="F471" s="88" t="s">
        <v>1838</v>
      </c>
      <c r="G471" s="89">
        <v>45175.416446759256</v>
      </c>
      <c r="H471">
        <v>138054</v>
      </c>
    </row>
    <row r="472" spans="1:8" x14ac:dyDescent="0.25">
      <c r="A472" s="1">
        <v>124335</v>
      </c>
      <c r="B472" s="12" t="s">
        <v>690</v>
      </c>
      <c r="C472" s="11" t="s">
        <v>1021</v>
      </c>
      <c r="D472" s="13">
        <v>55</v>
      </c>
      <c r="E472" s="13">
        <v>49</v>
      </c>
      <c r="F472" s="88" t="s">
        <v>1838</v>
      </c>
      <c r="G472" s="89">
        <v>45175.416446759256</v>
      </c>
      <c r="H472">
        <v>138547</v>
      </c>
    </row>
    <row r="473" spans="1:8" x14ac:dyDescent="0.25">
      <c r="A473" s="1">
        <v>124980</v>
      </c>
      <c r="B473" s="12" t="s">
        <v>114</v>
      </c>
      <c r="C473" s="11" t="s">
        <v>1018</v>
      </c>
      <c r="D473" s="13">
        <v>55</v>
      </c>
      <c r="E473" s="13">
        <v>19</v>
      </c>
      <c r="F473" s="88" t="s">
        <v>1838</v>
      </c>
      <c r="G473" s="89">
        <v>45175.416446759256</v>
      </c>
      <c r="H473">
        <v>140056</v>
      </c>
    </row>
    <row r="474" spans="1:8" x14ac:dyDescent="0.25">
      <c r="A474" s="1">
        <v>125260</v>
      </c>
      <c r="B474" s="12" t="s">
        <v>533</v>
      </c>
      <c r="C474" s="11" t="s">
        <v>1185</v>
      </c>
      <c r="D474" s="13">
        <v>51</v>
      </c>
      <c r="E474" s="13">
        <v>21</v>
      </c>
      <c r="F474" s="88" t="s">
        <v>1838</v>
      </c>
      <c r="G474" s="89">
        <v>45175.416446759256</v>
      </c>
    </row>
    <row r="475" spans="1:8" x14ac:dyDescent="0.25">
      <c r="A475" s="1">
        <v>125443</v>
      </c>
      <c r="B475" s="12" t="s">
        <v>1275</v>
      </c>
      <c r="C475" s="11" t="s">
        <v>1013</v>
      </c>
      <c r="D475" s="13">
        <v>55</v>
      </c>
      <c r="E475" s="13">
        <v>63</v>
      </c>
      <c r="F475" s="88" t="s">
        <v>1838</v>
      </c>
      <c r="G475" s="89">
        <v>45175.416446759256</v>
      </c>
    </row>
    <row r="476" spans="1:8" x14ac:dyDescent="0.25">
      <c r="A476" s="1">
        <v>125576</v>
      </c>
      <c r="B476" s="12" t="s">
        <v>1276</v>
      </c>
      <c r="C476" s="11" t="s">
        <v>1013</v>
      </c>
      <c r="D476" s="13">
        <v>84</v>
      </c>
      <c r="E476" s="13">
        <v>7</v>
      </c>
      <c r="F476" s="88" t="s">
        <v>1838</v>
      </c>
      <c r="G476" s="89">
        <v>45175.416446759256</v>
      </c>
    </row>
    <row r="477" spans="1:8" x14ac:dyDescent="0.25">
      <c r="A477" s="1">
        <v>126076</v>
      </c>
      <c r="B477" s="12" t="s">
        <v>375</v>
      </c>
      <c r="C477" s="11" t="s">
        <v>1013</v>
      </c>
      <c r="D477" s="13">
        <v>55</v>
      </c>
      <c r="E477" s="13">
        <v>57</v>
      </c>
      <c r="F477" s="88" t="s">
        <v>1838</v>
      </c>
      <c r="G477" s="89">
        <v>45175.416446759256</v>
      </c>
    </row>
    <row r="478" spans="1:8" x14ac:dyDescent="0.25">
      <c r="A478" s="1">
        <v>126078</v>
      </c>
      <c r="B478" s="12" t="s">
        <v>1277</v>
      </c>
      <c r="C478" s="11" t="s">
        <v>1013</v>
      </c>
      <c r="D478" s="13">
        <v>55</v>
      </c>
      <c r="E478" s="13">
        <v>37</v>
      </c>
      <c r="F478" s="88" t="s">
        <v>1838</v>
      </c>
      <c r="G478" s="89">
        <v>45175.416446759256</v>
      </c>
    </row>
    <row r="479" spans="1:8" x14ac:dyDescent="0.25">
      <c r="A479" s="1">
        <v>126079</v>
      </c>
      <c r="B479" s="12" t="s">
        <v>1278</v>
      </c>
      <c r="C479" s="11" t="s">
        <v>1013</v>
      </c>
      <c r="D479" s="13">
        <v>55</v>
      </c>
      <c r="E479" s="13">
        <v>26</v>
      </c>
      <c r="F479" s="88" t="s">
        <v>1838</v>
      </c>
      <c r="G479" s="89">
        <v>45175.416446759256</v>
      </c>
    </row>
    <row r="480" spans="1:8" x14ac:dyDescent="0.25">
      <c r="A480" s="1">
        <v>126080</v>
      </c>
      <c r="B480" s="12" t="s">
        <v>1279</v>
      </c>
      <c r="C480" s="11" t="s">
        <v>1013</v>
      </c>
      <c r="D480" s="13">
        <v>55</v>
      </c>
      <c r="E480" s="13">
        <v>26</v>
      </c>
      <c r="F480" s="88" t="s">
        <v>1838</v>
      </c>
      <c r="G480" s="89">
        <v>45175.416446759256</v>
      </c>
    </row>
    <row r="481" spans="1:7" x14ac:dyDescent="0.25">
      <c r="A481" s="1">
        <v>126081</v>
      </c>
      <c r="B481" s="12" t="s">
        <v>1280</v>
      </c>
      <c r="C481" s="11" t="s">
        <v>1013</v>
      </c>
      <c r="D481" s="13">
        <v>55</v>
      </c>
      <c r="E481" s="13">
        <v>26</v>
      </c>
      <c r="F481" s="88" t="s">
        <v>1838</v>
      </c>
      <c r="G481" s="89">
        <v>45175.416446759256</v>
      </c>
    </row>
    <row r="482" spans="1:7" x14ac:dyDescent="0.25">
      <c r="A482" s="1">
        <v>126127</v>
      </c>
      <c r="B482" s="12" t="s">
        <v>1281</v>
      </c>
      <c r="C482" s="11" t="s">
        <v>1013</v>
      </c>
      <c r="D482" s="13">
        <v>55</v>
      </c>
      <c r="E482" s="13">
        <v>26</v>
      </c>
      <c r="F482" s="88" t="s">
        <v>1838</v>
      </c>
      <c r="G482" s="89">
        <v>45175.416446759256</v>
      </c>
    </row>
    <row r="483" spans="1:7" x14ac:dyDescent="0.25">
      <c r="A483" s="1">
        <v>126343</v>
      </c>
      <c r="B483" s="12" t="s">
        <v>1282</v>
      </c>
      <c r="C483" s="11" t="s">
        <v>1185</v>
      </c>
      <c r="D483" s="13">
        <v>51</v>
      </c>
      <c r="E483" s="13">
        <v>21</v>
      </c>
      <c r="F483" s="88" t="s">
        <v>1838</v>
      </c>
      <c r="G483" s="89">
        <v>45175.416446759256</v>
      </c>
    </row>
    <row r="484" spans="1:7" x14ac:dyDescent="0.25">
      <c r="A484" s="1">
        <v>126344</v>
      </c>
      <c r="B484" s="12" t="s">
        <v>1283</v>
      </c>
      <c r="C484" s="11" t="s">
        <v>1185</v>
      </c>
      <c r="D484" s="13">
        <v>51</v>
      </c>
      <c r="E484" s="13">
        <v>21</v>
      </c>
      <c r="F484" s="88" t="s">
        <v>1838</v>
      </c>
      <c r="G484" s="89">
        <v>45175.416446759256</v>
      </c>
    </row>
    <row r="485" spans="1:7" x14ac:dyDescent="0.25">
      <c r="A485" s="1">
        <v>127331</v>
      </c>
      <c r="B485" s="12" t="s">
        <v>380</v>
      </c>
      <c r="C485" s="11" t="s">
        <v>1647</v>
      </c>
      <c r="D485" s="13">
        <v>72</v>
      </c>
      <c r="E485" s="13">
        <v>8</v>
      </c>
      <c r="F485" s="88" t="s">
        <v>1838</v>
      </c>
      <c r="G485" s="89">
        <v>45175.416446759256</v>
      </c>
    </row>
    <row r="486" spans="1:7" x14ac:dyDescent="0.25">
      <c r="A486" s="1">
        <v>127963</v>
      </c>
      <c r="B486" s="12" t="s">
        <v>667</v>
      </c>
      <c r="C486" s="11" t="s">
        <v>1021</v>
      </c>
      <c r="D486" s="13">
        <v>55</v>
      </c>
      <c r="E486" s="13">
        <v>34</v>
      </c>
      <c r="F486" s="88" t="s">
        <v>1838</v>
      </c>
      <c r="G486" s="89">
        <v>45175.416446759256</v>
      </c>
    </row>
    <row r="487" spans="1:7" x14ac:dyDescent="0.25">
      <c r="A487" s="1">
        <v>128301</v>
      </c>
      <c r="B487" s="12" t="s">
        <v>695</v>
      </c>
      <c r="C487" s="11" t="s">
        <v>1021</v>
      </c>
      <c r="D487" s="13">
        <v>55</v>
      </c>
      <c r="E487" s="13">
        <v>62</v>
      </c>
      <c r="F487" s="88" t="s">
        <v>1838</v>
      </c>
      <c r="G487" s="89">
        <v>45175.416446759256</v>
      </c>
    </row>
    <row r="488" spans="1:7" x14ac:dyDescent="0.25">
      <c r="A488" s="1">
        <v>128302</v>
      </c>
      <c r="B488" s="12" t="s">
        <v>598</v>
      </c>
      <c r="C488" s="11" t="s">
        <v>1021</v>
      </c>
      <c r="D488" s="13">
        <v>54</v>
      </c>
      <c r="E488" s="13">
        <v>16</v>
      </c>
      <c r="F488" s="88" t="s">
        <v>1838</v>
      </c>
      <c r="G488" s="89">
        <v>45175.416446759256</v>
      </c>
    </row>
    <row r="489" spans="1:7" x14ac:dyDescent="0.25">
      <c r="A489" s="1">
        <v>128306</v>
      </c>
      <c r="B489" s="12" t="s">
        <v>600</v>
      </c>
      <c r="C489" s="11" t="s">
        <v>1021</v>
      </c>
      <c r="D489" s="13">
        <v>54</v>
      </c>
      <c r="E489" s="13">
        <v>16</v>
      </c>
      <c r="F489" s="88" t="s">
        <v>1838</v>
      </c>
      <c r="G489" s="89">
        <v>45175.416446759256</v>
      </c>
    </row>
    <row r="490" spans="1:7" x14ac:dyDescent="0.25">
      <c r="A490" s="1">
        <v>128307</v>
      </c>
      <c r="B490" s="12" t="s">
        <v>601</v>
      </c>
      <c r="C490" s="11" t="s">
        <v>1021</v>
      </c>
      <c r="D490" s="13">
        <v>54</v>
      </c>
      <c r="E490" s="13">
        <v>16</v>
      </c>
      <c r="F490" s="88" t="s">
        <v>1838</v>
      </c>
      <c r="G490" s="89">
        <v>45175.416446759256</v>
      </c>
    </row>
    <row r="491" spans="1:7" x14ac:dyDescent="0.25">
      <c r="A491" s="1">
        <v>128308</v>
      </c>
      <c r="B491" s="12" t="s">
        <v>698</v>
      </c>
      <c r="C491" s="11" t="s">
        <v>1021</v>
      </c>
      <c r="D491" s="13">
        <v>56</v>
      </c>
      <c r="E491" s="13">
        <v>1</v>
      </c>
      <c r="F491" s="88" t="s">
        <v>1838</v>
      </c>
      <c r="G491" s="89">
        <v>45175.416446759256</v>
      </c>
    </row>
    <row r="492" spans="1:7" x14ac:dyDescent="0.25">
      <c r="A492" s="1">
        <v>128309</v>
      </c>
      <c r="B492" s="12" t="s">
        <v>699</v>
      </c>
      <c r="C492" s="11" t="s">
        <v>1021</v>
      </c>
      <c r="D492" s="13">
        <v>56</v>
      </c>
      <c r="E492" s="13">
        <v>1</v>
      </c>
      <c r="F492" s="88" t="s">
        <v>1838</v>
      </c>
      <c r="G492" s="89">
        <v>45175.416446759256</v>
      </c>
    </row>
    <row r="493" spans="1:7" x14ac:dyDescent="0.25">
      <c r="A493" s="1">
        <v>128389</v>
      </c>
      <c r="B493" s="12" t="s">
        <v>616</v>
      </c>
      <c r="C493" s="11" t="s">
        <v>1021</v>
      </c>
      <c r="D493" s="13">
        <v>55</v>
      </c>
      <c r="E493" s="13">
        <v>5</v>
      </c>
      <c r="F493" s="88" t="s">
        <v>1838</v>
      </c>
      <c r="G493" s="89">
        <v>45175.416446759256</v>
      </c>
    </row>
    <row r="494" spans="1:7" x14ac:dyDescent="0.25">
      <c r="A494" s="1">
        <v>128392</v>
      </c>
      <c r="B494" s="12" t="s">
        <v>1284</v>
      </c>
      <c r="C494" s="11" t="s">
        <v>1088</v>
      </c>
      <c r="D494" s="13">
        <v>70</v>
      </c>
      <c r="E494" s="13">
        <v>47</v>
      </c>
      <c r="F494" s="88" t="s">
        <v>1838</v>
      </c>
      <c r="G494" s="89">
        <v>45175.416446759256</v>
      </c>
    </row>
    <row r="495" spans="1:7" x14ac:dyDescent="0.25">
      <c r="A495" s="1">
        <v>128458</v>
      </c>
      <c r="B495" s="12" t="s">
        <v>602</v>
      </c>
      <c r="C495" s="11" t="s">
        <v>1013</v>
      </c>
      <c r="D495" s="13">
        <v>54</v>
      </c>
      <c r="E495" s="13">
        <v>16</v>
      </c>
      <c r="F495" s="88" t="s">
        <v>1838</v>
      </c>
      <c r="G495" s="89">
        <v>45175.416446759256</v>
      </c>
    </row>
    <row r="496" spans="1:7" x14ac:dyDescent="0.25">
      <c r="A496" s="1">
        <v>128817</v>
      </c>
      <c r="B496" s="12" t="s">
        <v>656</v>
      </c>
      <c r="C496" s="11" t="s">
        <v>1013</v>
      </c>
      <c r="D496" s="13">
        <v>55</v>
      </c>
      <c r="E496" s="13">
        <v>32</v>
      </c>
      <c r="F496" s="88" t="s">
        <v>1838</v>
      </c>
      <c r="G496" s="89">
        <v>45175.416446759256</v>
      </c>
    </row>
    <row r="497" spans="1:8" x14ac:dyDescent="0.25">
      <c r="A497" s="1">
        <v>128832</v>
      </c>
      <c r="B497" s="12" t="s">
        <v>1285</v>
      </c>
      <c r="C497" s="11" t="s">
        <v>1013</v>
      </c>
      <c r="D497" s="13">
        <v>84</v>
      </c>
      <c r="E497" s="13">
        <v>5</v>
      </c>
      <c r="F497" s="88" t="s">
        <v>1838</v>
      </c>
      <c r="G497" s="89">
        <v>45175.416446759256</v>
      </c>
    </row>
    <row r="498" spans="1:8" x14ac:dyDescent="0.25">
      <c r="A498" s="1">
        <v>129959</v>
      </c>
      <c r="B498" s="12" t="s">
        <v>115</v>
      </c>
      <c r="C498" s="11" t="s">
        <v>1018</v>
      </c>
      <c r="D498" s="13">
        <v>55</v>
      </c>
      <c r="E498" s="13">
        <v>19</v>
      </c>
      <c r="F498" s="88" t="s">
        <v>1838</v>
      </c>
      <c r="G498" s="89">
        <v>45175.416446759256</v>
      </c>
      <c r="H498">
        <v>140047</v>
      </c>
    </row>
    <row r="499" spans="1:8" x14ac:dyDescent="0.25">
      <c r="A499" s="1">
        <v>129979</v>
      </c>
      <c r="B499" s="12" t="s">
        <v>773</v>
      </c>
      <c r="C499" s="11" t="s">
        <v>1013</v>
      </c>
      <c r="D499" s="13">
        <v>61</v>
      </c>
      <c r="E499" s="13">
        <v>8</v>
      </c>
      <c r="F499" s="88" t="s">
        <v>1838</v>
      </c>
      <c r="G499" s="89">
        <v>45175.416446759256</v>
      </c>
    </row>
    <row r="500" spans="1:8" x14ac:dyDescent="0.25">
      <c r="A500" s="1">
        <v>130157</v>
      </c>
      <c r="B500" s="12" t="s">
        <v>700</v>
      </c>
      <c r="C500" s="11" t="s">
        <v>1018</v>
      </c>
      <c r="D500" s="13">
        <v>56</v>
      </c>
      <c r="E500" s="13">
        <v>9</v>
      </c>
      <c r="F500" s="88" t="s">
        <v>1838</v>
      </c>
      <c r="G500" s="89">
        <v>45175.416446759256</v>
      </c>
    </row>
    <row r="501" spans="1:8" x14ac:dyDescent="0.25">
      <c r="A501" s="1">
        <v>130564</v>
      </c>
      <c r="B501" s="12" t="s">
        <v>591</v>
      </c>
      <c r="C501" s="11" t="s">
        <v>1013</v>
      </c>
      <c r="D501" s="13">
        <v>54</v>
      </c>
      <c r="E501" s="13">
        <v>4</v>
      </c>
      <c r="F501" s="88" t="s">
        <v>1838</v>
      </c>
      <c r="G501" s="89">
        <v>45175.416446759256</v>
      </c>
    </row>
    <row r="502" spans="1:8" x14ac:dyDescent="0.25">
      <c r="A502" s="1">
        <v>130614</v>
      </c>
      <c r="B502" s="12" t="s">
        <v>953</v>
      </c>
      <c r="C502" s="11" t="s">
        <v>1647</v>
      </c>
      <c r="D502" s="13">
        <v>75</v>
      </c>
      <c r="E502" s="13">
        <v>5</v>
      </c>
      <c r="F502" s="88" t="s">
        <v>1838</v>
      </c>
      <c r="G502" s="89">
        <v>45175.416446759256</v>
      </c>
    </row>
    <row r="503" spans="1:8" x14ac:dyDescent="0.25">
      <c r="A503" s="1">
        <v>130740</v>
      </c>
      <c r="B503" s="12" t="s">
        <v>592</v>
      </c>
      <c r="C503" s="11" t="s">
        <v>1021</v>
      </c>
      <c r="D503" s="13">
        <v>54</v>
      </c>
      <c r="E503" s="13">
        <v>4</v>
      </c>
      <c r="F503" s="88" t="s">
        <v>1838</v>
      </c>
      <c r="G503" s="89">
        <v>45175.416446759256</v>
      </c>
    </row>
    <row r="504" spans="1:8" x14ac:dyDescent="0.25">
      <c r="A504" s="1">
        <v>131195</v>
      </c>
      <c r="B504" s="12" t="s">
        <v>1286</v>
      </c>
      <c r="C504" s="11" t="s">
        <v>1048</v>
      </c>
      <c r="D504" s="13">
        <v>61</v>
      </c>
      <c r="E504" s="13">
        <v>3</v>
      </c>
      <c r="F504" s="88" t="s">
        <v>1838</v>
      </c>
      <c r="G504" s="89">
        <v>45175.416446759256</v>
      </c>
    </row>
    <row r="505" spans="1:8" x14ac:dyDescent="0.25">
      <c r="A505" s="1">
        <v>131221</v>
      </c>
      <c r="B505" s="12" t="s">
        <v>717</v>
      </c>
      <c r="C505" s="11" t="s">
        <v>1250</v>
      </c>
      <c r="D505" s="13">
        <v>59</v>
      </c>
      <c r="E505" s="13">
        <v>35</v>
      </c>
      <c r="F505" s="88" t="s">
        <v>1838</v>
      </c>
      <c r="G505" s="89">
        <v>45175.416446759256</v>
      </c>
    </row>
    <row r="506" spans="1:8" x14ac:dyDescent="0.25">
      <c r="A506" s="1">
        <v>131579</v>
      </c>
      <c r="B506" s="12" t="s">
        <v>593</v>
      </c>
      <c r="C506" s="11" t="s">
        <v>1013</v>
      </c>
      <c r="D506" s="13">
        <v>54</v>
      </c>
      <c r="E506" s="13">
        <v>4</v>
      </c>
      <c r="F506" s="88" t="s">
        <v>1838</v>
      </c>
      <c r="G506" s="89">
        <v>45175.416446759256</v>
      </c>
    </row>
    <row r="507" spans="1:8" x14ac:dyDescent="0.25">
      <c r="A507" s="1">
        <v>131931</v>
      </c>
      <c r="B507" s="12" t="s">
        <v>408</v>
      </c>
      <c r="C507" s="11" t="s">
        <v>1013</v>
      </c>
      <c r="D507" s="13">
        <v>45</v>
      </c>
      <c r="E507" s="13">
        <v>9</v>
      </c>
      <c r="F507" s="88" t="s">
        <v>1838</v>
      </c>
      <c r="G507" s="89">
        <v>45175.416446759256</v>
      </c>
      <c r="H507">
        <v>132299</v>
      </c>
    </row>
    <row r="508" spans="1:8" x14ac:dyDescent="0.25">
      <c r="A508" s="1">
        <v>131933</v>
      </c>
      <c r="B508" s="12" t="s">
        <v>409</v>
      </c>
      <c r="C508" s="11" t="s">
        <v>1013</v>
      </c>
      <c r="D508" s="13">
        <v>45</v>
      </c>
      <c r="E508" s="13">
        <v>9</v>
      </c>
      <c r="F508" s="88" t="s">
        <v>1838</v>
      </c>
      <c r="G508" s="89">
        <v>45175.416446759256</v>
      </c>
      <c r="H508">
        <v>138465</v>
      </c>
    </row>
    <row r="509" spans="1:8" x14ac:dyDescent="0.25">
      <c r="A509" s="1">
        <v>131938</v>
      </c>
      <c r="B509" s="12" t="s">
        <v>412</v>
      </c>
      <c r="C509" s="11" t="s">
        <v>1013</v>
      </c>
      <c r="D509" s="13">
        <v>45</v>
      </c>
      <c r="E509" s="13">
        <v>9</v>
      </c>
      <c r="F509" s="88" t="s">
        <v>1838</v>
      </c>
      <c r="G509" s="89">
        <v>45175.416446759256</v>
      </c>
      <c r="H509">
        <v>139141</v>
      </c>
    </row>
    <row r="510" spans="1:8" x14ac:dyDescent="0.25">
      <c r="A510" s="1">
        <v>131939</v>
      </c>
      <c r="B510" s="12" t="s">
        <v>413</v>
      </c>
      <c r="C510" s="11" t="s">
        <v>1013</v>
      </c>
      <c r="D510" s="13">
        <v>45</v>
      </c>
      <c r="E510" s="13">
        <v>9</v>
      </c>
      <c r="F510" s="88" t="s">
        <v>1838</v>
      </c>
      <c r="G510" s="89">
        <v>45175.416446759256</v>
      </c>
      <c r="H510">
        <v>139142</v>
      </c>
    </row>
    <row r="511" spans="1:8" x14ac:dyDescent="0.25">
      <c r="A511" s="1">
        <v>131940</v>
      </c>
      <c r="B511" s="12" t="s">
        <v>414</v>
      </c>
      <c r="C511" s="11" t="s">
        <v>1013</v>
      </c>
      <c r="D511" s="13">
        <v>45</v>
      </c>
      <c r="E511" s="13">
        <v>9</v>
      </c>
      <c r="F511" s="88" t="s">
        <v>1838</v>
      </c>
      <c r="G511" s="89">
        <v>45175.416446759256</v>
      </c>
      <c r="H511">
        <v>139144</v>
      </c>
    </row>
    <row r="512" spans="1:8" x14ac:dyDescent="0.25">
      <c r="A512" s="1">
        <v>131942</v>
      </c>
      <c r="B512" s="12" t="s">
        <v>1555</v>
      </c>
      <c r="F512" s="88" t="s">
        <v>1838</v>
      </c>
      <c r="G512" s="89">
        <v>45175.416446759256</v>
      </c>
      <c r="H512">
        <v>135701</v>
      </c>
    </row>
    <row r="513" spans="1:8" x14ac:dyDescent="0.25">
      <c r="A513" s="1">
        <v>132230</v>
      </c>
      <c r="B513" s="12" t="s">
        <v>135</v>
      </c>
      <c r="C513" s="11" t="s">
        <v>1018</v>
      </c>
      <c r="D513" s="13">
        <v>55</v>
      </c>
      <c r="E513" s="13">
        <v>19</v>
      </c>
      <c r="F513" s="88" t="s">
        <v>1838</v>
      </c>
      <c r="G513" s="89">
        <v>45175.416446759256</v>
      </c>
      <c r="H513">
        <v>140126</v>
      </c>
    </row>
    <row r="514" spans="1:8" x14ac:dyDescent="0.25">
      <c r="A514" s="1">
        <v>132231</v>
      </c>
      <c r="B514" s="12" t="s">
        <v>1644</v>
      </c>
      <c r="C514" s="11" t="s">
        <v>1018</v>
      </c>
      <c r="D514" s="13">
        <v>55</v>
      </c>
      <c r="E514" s="13">
        <v>19</v>
      </c>
      <c r="F514" s="88" t="s">
        <v>1838</v>
      </c>
      <c r="G514" s="89">
        <v>45175.416446759256</v>
      </c>
      <c r="H514">
        <v>140242</v>
      </c>
    </row>
    <row r="515" spans="1:8" x14ac:dyDescent="0.25">
      <c r="A515" s="1">
        <v>132305</v>
      </c>
      <c r="B515" s="12" t="s">
        <v>415</v>
      </c>
      <c r="C515" s="11" t="s">
        <v>1013</v>
      </c>
      <c r="D515" s="13">
        <v>45</v>
      </c>
      <c r="E515" s="13">
        <v>9</v>
      </c>
      <c r="F515" s="88" t="s">
        <v>1838</v>
      </c>
      <c r="G515" s="89">
        <v>45175.416446759256</v>
      </c>
      <c r="H515">
        <v>139143</v>
      </c>
    </row>
    <row r="516" spans="1:8" x14ac:dyDescent="0.25">
      <c r="A516" s="1">
        <v>132447</v>
      </c>
      <c r="B516" s="12" t="s">
        <v>1287</v>
      </c>
      <c r="C516" s="11" t="s">
        <v>1185</v>
      </c>
      <c r="D516" s="13">
        <v>51</v>
      </c>
      <c r="E516" s="13">
        <v>21</v>
      </c>
      <c r="F516" s="88" t="s">
        <v>1838</v>
      </c>
      <c r="G516" s="89">
        <v>45175.416446759256</v>
      </c>
    </row>
    <row r="517" spans="1:8" x14ac:dyDescent="0.25">
      <c r="A517" s="1">
        <v>132612</v>
      </c>
      <c r="B517" s="12" t="s">
        <v>696</v>
      </c>
      <c r="C517" s="11" t="s">
        <v>1013</v>
      </c>
      <c r="D517" s="13">
        <v>55</v>
      </c>
      <c r="E517" s="13">
        <v>66</v>
      </c>
      <c r="F517" s="88" t="s">
        <v>1838</v>
      </c>
      <c r="G517" s="89">
        <v>45175.416446759256</v>
      </c>
      <c r="H517">
        <v>136895</v>
      </c>
    </row>
    <row r="518" spans="1:8" x14ac:dyDescent="0.25">
      <c r="A518" s="1">
        <v>132613</v>
      </c>
      <c r="B518" s="12" t="s">
        <v>697</v>
      </c>
      <c r="C518" s="11" t="s">
        <v>1013</v>
      </c>
      <c r="D518" s="13">
        <v>55</v>
      </c>
      <c r="E518" s="13">
        <v>66</v>
      </c>
      <c r="F518" s="88" t="s">
        <v>1838</v>
      </c>
      <c r="G518" s="89">
        <v>45175.416446759256</v>
      </c>
      <c r="H518">
        <v>136896</v>
      </c>
    </row>
    <row r="519" spans="1:8" x14ac:dyDescent="0.25">
      <c r="A519" s="1">
        <v>132713</v>
      </c>
      <c r="B519" s="12" t="s">
        <v>1288</v>
      </c>
      <c r="C519" s="11" t="s">
        <v>1021</v>
      </c>
      <c r="D519" s="13">
        <v>80</v>
      </c>
      <c r="E519" s="13">
        <v>12</v>
      </c>
      <c r="F519" s="88" t="s">
        <v>1838</v>
      </c>
      <c r="G519" s="89">
        <v>45175.416446759256</v>
      </c>
    </row>
    <row r="520" spans="1:8" x14ac:dyDescent="0.25">
      <c r="A520" s="1">
        <v>132714</v>
      </c>
      <c r="B520" s="12" t="s">
        <v>529</v>
      </c>
      <c r="C520" s="11" t="s">
        <v>1021</v>
      </c>
      <c r="D520" s="13">
        <v>51</v>
      </c>
      <c r="E520" s="13">
        <v>17</v>
      </c>
      <c r="F520" s="88" t="s">
        <v>1838</v>
      </c>
      <c r="G520" s="89">
        <v>45175.416446759256</v>
      </c>
    </row>
    <row r="521" spans="1:8" x14ac:dyDescent="0.25">
      <c r="A521" s="1">
        <v>132715</v>
      </c>
      <c r="B521" s="12" t="s">
        <v>530</v>
      </c>
      <c r="C521" s="11" t="s">
        <v>1021</v>
      </c>
      <c r="D521" s="13">
        <v>51</v>
      </c>
      <c r="E521" s="13">
        <v>17</v>
      </c>
      <c r="F521" s="88" t="s">
        <v>1838</v>
      </c>
      <c r="G521" s="89">
        <v>45175.416446759256</v>
      </c>
    </row>
    <row r="522" spans="1:8" x14ac:dyDescent="0.25">
      <c r="A522" s="1">
        <v>132769</v>
      </c>
      <c r="B522" s="12" t="s">
        <v>552</v>
      </c>
      <c r="C522" s="11" t="s">
        <v>1490</v>
      </c>
      <c r="D522" s="13">
        <v>51</v>
      </c>
      <c r="E522" s="13">
        <v>33</v>
      </c>
      <c r="F522" s="88" t="s">
        <v>1838</v>
      </c>
      <c r="G522" s="89">
        <v>45175.416446759256</v>
      </c>
      <c r="H522">
        <v>140326</v>
      </c>
    </row>
    <row r="523" spans="1:8" x14ac:dyDescent="0.25">
      <c r="A523" s="1">
        <v>133042</v>
      </c>
      <c r="B523" s="12" t="s">
        <v>1289</v>
      </c>
      <c r="C523" s="11" t="s">
        <v>1013</v>
      </c>
      <c r="D523" s="13">
        <v>51</v>
      </c>
      <c r="E523" s="13">
        <v>17</v>
      </c>
      <c r="F523" s="88" t="s">
        <v>1838</v>
      </c>
      <c r="G523" s="89">
        <v>45175.416446759256</v>
      </c>
    </row>
    <row r="524" spans="1:8" x14ac:dyDescent="0.25">
      <c r="A524" s="1">
        <v>133043</v>
      </c>
      <c r="B524" s="12" t="s">
        <v>1290</v>
      </c>
      <c r="C524" s="11" t="s">
        <v>1013</v>
      </c>
      <c r="D524" s="13">
        <v>51</v>
      </c>
      <c r="E524" s="13">
        <v>17</v>
      </c>
      <c r="F524" s="88" t="s">
        <v>1838</v>
      </c>
      <c r="G524" s="89">
        <v>45175.416446759256</v>
      </c>
    </row>
    <row r="525" spans="1:8" x14ac:dyDescent="0.25">
      <c r="A525" s="1">
        <v>133452</v>
      </c>
      <c r="B525" s="12" t="s">
        <v>76</v>
      </c>
      <c r="C525" s="11" t="s">
        <v>1086</v>
      </c>
      <c r="D525" s="13">
        <v>57</v>
      </c>
      <c r="E525" s="13">
        <v>15</v>
      </c>
      <c r="F525" s="88" t="s">
        <v>1838</v>
      </c>
      <c r="G525" s="89">
        <v>45175.416446759256</v>
      </c>
    </row>
    <row r="526" spans="1:8" x14ac:dyDescent="0.25">
      <c r="A526" s="1">
        <v>133777</v>
      </c>
      <c r="B526" s="12" t="s">
        <v>1556</v>
      </c>
      <c r="F526" s="88" t="s">
        <v>1838</v>
      </c>
      <c r="G526" s="89">
        <v>45175.416446759256</v>
      </c>
      <c r="H526">
        <v>135699</v>
      </c>
    </row>
    <row r="527" spans="1:8" x14ac:dyDescent="0.25">
      <c r="A527" s="1">
        <v>133778</v>
      </c>
      <c r="B527" s="12" t="s">
        <v>417</v>
      </c>
      <c r="C527" s="11" t="s">
        <v>1013</v>
      </c>
      <c r="D527" s="13">
        <v>45</v>
      </c>
      <c r="E527" s="13">
        <v>9</v>
      </c>
      <c r="F527" s="88" t="s">
        <v>1838</v>
      </c>
      <c r="G527" s="89">
        <v>45175.416446759256</v>
      </c>
      <c r="H527">
        <v>138451</v>
      </c>
    </row>
    <row r="528" spans="1:8" x14ac:dyDescent="0.25">
      <c r="A528" s="1">
        <v>133779</v>
      </c>
      <c r="B528" s="12" t="s">
        <v>451</v>
      </c>
      <c r="C528" s="11" t="s">
        <v>1013</v>
      </c>
      <c r="D528" s="13">
        <v>45</v>
      </c>
      <c r="E528" s="13">
        <v>11</v>
      </c>
      <c r="F528" s="88" t="s">
        <v>1838</v>
      </c>
      <c r="G528" s="89">
        <v>45175.416446759256</v>
      </c>
      <c r="H528">
        <v>138453</v>
      </c>
    </row>
    <row r="529" spans="1:8" x14ac:dyDescent="0.25">
      <c r="A529" s="1">
        <v>133781</v>
      </c>
      <c r="B529" s="12" t="s">
        <v>452</v>
      </c>
      <c r="C529" s="11" t="s">
        <v>1013</v>
      </c>
      <c r="D529" s="13">
        <v>45</v>
      </c>
      <c r="E529" s="13">
        <v>11</v>
      </c>
      <c r="F529" s="88" t="s">
        <v>1838</v>
      </c>
      <c r="G529" s="89">
        <v>45175.416446759256</v>
      </c>
      <c r="H529">
        <v>138456</v>
      </c>
    </row>
    <row r="530" spans="1:8" x14ac:dyDescent="0.25">
      <c r="A530" s="1">
        <v>133782</v>
      </c>
      <c r="B530" s="12" t="s">
        <v>453</v>
      </c>
      <c r="C530" s="11" t="s">
        <v>1013</v>
      </c>
      <c r="D530" s="13">
        <v>45</v>
      </c>
      <c r="E530" s="13">
        <v>11</v>
      </c>
      <c r="F530" s="88" t="s">
        <v>1838</v>
      </c>
      <c r="G530" s="89">
        <v>45175.416446759256</v>
      </c>
      <c r="H530">
        <v>138457</v>
      </c>
    </row>
    <row r="531" spans="1:8" x14ac:dyDescent="0.25">
      <c r="A531" s="1">
        <v>133783</v>
      </c>
      <c r="B531" s="12" t="s">
        <v>454</v>
      </c>
      <c r="C531" s="11" t="s">
        <v>1013</v>
      </c>
      <c r="D531" s="13">
        <v>45</v>
      </c>
      <c r="E531" s="13">
        <v>11</v>
      </c>
      <c r="F531" s="88" t="s">
        <v>1838</v>
      </c>
      <c r="G531" s="89">
        <v>45175.416446759256</v>
      </c>
      <c r="H531">
        <v>138458</v>
      </c>
    </row>
    <row r="532" spans="1:8" x14ac:dyDescent="0.25">
      <c r="A532" s="1">
        <v>133787</v>
      </c>
      <c r="B532" s="12" t="s">
        <v>1557</v>
      </c>
      <c r="F532" s="88" t="s">
        <v>1838</v>
      </c>
      <c r="G532" s="89">
        <v>45175.416446759256</v>
      </c>
      <c r="H532">
        <v>136408</v>
      </c>
    </row>
    <row r="533" spans="1:8" x14ac:dyDescent="0.25">
      <c r="A533" s="1">
        <v>133793</v>
      </c>
      <c r="B533" s="12" t="s">
        <v>418</v>
      </c>
      <c r="C533" s="11" t="s">
        <v>1013</v>
      </c>
      <c r="D533" s="13">
        <v>45</v>
      </c>
      <c r="E533" s="13">
        <v>9</v>
      </c>
      <c r="F533" s="88" t="s">
        <v>1838</v>
      </c>
      <c r="G533" s="89">
        <v>45175.416446759256</v>
      </c>
      <c r="H533">
        <v>135703</v>
      </c>
    </row>
    <row r="534" spans="1:8" x14ac:dyDescent="0.25">
      <c r="A534" s="1">
        <v>133794</v>
      </c>
      <c r="B534" s="12" t="s">
        <v>1558</v>
      </c>
      <c r="F534" s="88" t="s">
        <v>1838</v>
      </c>
      <c r="G534" s="89">
        <v>45175.416446759256</v>
      </c>
      <c r="H534">
        <v>135704</v>
      </c>
    </row>
    <row r="535" spans="1:8" x14ac:dyDescent="0.25">
      <c r="A535" s="1">
        <v>133812</v>
      </c>
      <c r="B535" s="12" t="s">
        <v>373</v>
      </c>
      <c r="C535" s="11" t="s">
        <v>1013</v>
      </c>
      <c r="D535" s="13">
        <v>55</v>
      </c>
      <c r="E535" s="13">
        <v>55</v>
      </c>
      <c r="F535" s="88" t="s">
        <v>1838</v>
      </c>
      <c r="G535" s="89">
        <v>45175.416446759256</v>
      </c>
    </row>
    <row r="536" spans="1:8" x14ac:dyDescent="0.25">
      <c r="A536" s="1">
        <v>133813</v>
      </c>
      <c r="B536" s="12" t="s">
        <v>692</v>
      </c>
      <c r="C536" s="11" t="s">
        <v>1013</v>
      </c>
      <c r="D536" s="13">
        <v>55</v>
      </c>
      <c r="E536" s="13">
        <v>55</v>
      </c>
      <c r="F536" s="88" t="s">
        <v>1838</v>
      </c>
      <c r="G536" s="89">
        <v>45175.416446759256</v>
      </c>
    </row>
    <row r="537" spans="1:8" x14ac:dyDescent="0.25">
      <c r="A537" s="1">
        <v>133851</v>
      </c>
      <c r="B537" s="12" t="s">
        <v>67</v>
      </c>
      <c r="C537" s="11" t="s">
        <v>1086</v>
      </c>
      <c r="D537" s="13">
        <v>57</v>
      </c>
      <c r="E537" s="13">
        <v>2</v>
      </c>
      <c r="F537" s="88" t="s">
        <v>1838</v>
      </c>
      <c r="G537" s="89">
        <v>45175.416446759256</v>
      </c>
      <c r="H537">
        <v>136941</v>
      </c>
    </row>
    <row r="538" spans="1:8" x14ac:dyDescent="0.25">
      <c r="A538" s="1">
        <v>133950</v>
      </c>
      <c r="B538" s="12" t="s">
        <v>455</v>
      </c>
      <c r="C538" s="11" t="s">
        <v>1013</v>
      </c>
      <c r="D538" s="13">
        <v>45</v>
      </c>
      <c r="E538" s="13">
        <v>11</v>
      </c>
      <c r="F538" s="88" t="s">
        <v>1838</v>
      </c>
      <c r="G538" s="89">
        <v>45175.416446759256</v>
      </c>
      <c r="H538">
        <v>138454</v>
      </c>
    </row>
    <row r="539" spans="1:8" x14ac:dyDescent="0.25">
      <c r="A539" s="1">
        <v>133953</v>
      </c>
      <c r="B539" s="12" t="s">
        <v>419</v>
      </c>
      <c r="C539" s="11" t="s">
        <v>1559</v>
      </c>
      <c r="D539" s="13">
        <v>45</v>
      </c>
      <c r="E539" s="13">
        <v>9</v>
      </c>
      <c r="F539" s="88" t="s">
        <v>1838</v>
      </c>
      <c r="G539" s="89">
        <v>45175.416446759256</v>
      </c>
      <c r="H539">
        <v>138461</v>
      </c>
    </row>
    <row r="540" spans="1:8" x14ac:dyDescent="0.25">
      <c r="A540" s="1">
        <v>133954</v>
      </c>
      <c r="B540" s="12" t="s">
        <v>476</v>
      </c>
      <c r="C540" s="11" t="s">
        <v>1197</v>
      </c>
      <c r="D540" s="13">
        <v>45</v>
      </c>
      <c r="E540" s="13">
        <v>16</v>
      </c>
      <c r="F540" s="88" t="s">
        <v>1838</v>
      </c>
      <c r="G540" s="89">
        <v>45175.416446759256</v>
      </c>
      <c r="H540">
        <v>138462</v>
      </c>
    </row>
    <row r="541" spans="1:8" x14ac:dyDescent="0.25">
      <c r="A541" s="1">
        <v>133955</v>
      </c>
      <c r="B541" s="12" t="s">
        <v>420</v>
      </c>
      <c r="C541" s="11" t="s">
        <v>1197</v>
      </c>
      <c r="D541" s="13">
        <v>45</v>
      </c>
      <c r="E541" s="13">
        <v>9</v>
      </c>
      <c r="F541" s="88" t="s">
        <v>1838</v>
      </c>
      <c r="G541" s="89">
        <v>45175.416446759256</v>
      </c>
      <c r="H541">
        <v>138463</v>
      </c>
    </row>
    <row r="542" spans="1:8" x14ac:dyDescent="0.25">
      <c r="A542" s="1">
        <v>133956</v>
      </c>
      <c r="B542" s="12" t="s">
        <v>433</v>
      </c>
      <c r="C542" s="11" t="s">
        <v>1013</v>
      </c>
      <c r="D542" s="13">
        <v>45</v>
      </c>
      <c r="E542" s="13">
        <v>10</v>
      </c>
      <c r="F542" s="88" t="s">
        <v>1838</v>
      </c>
      <c r="G542" s="89">
        <v>45175.416446759256</v>
      </c>
      <c r="H542">
        <v>138459</v>
      </c>
    </row>
    <row r="543" spans="1:8" x14ac:dyDescent="0.25">
      <c r="A543" s="1">
        <v>133957</v>
      </c>
      <c r="B543" s="12" t="s">
        <v>434</v>
      </c>
      <c r="C543" s="11" t="s">
        <v>1013</v>
      </c>
      <c r="D543" s="13">
        <v>45</v>
      </c>
      <c r="E543" s="13">
        <v>10</v>
      </c>
      <c r="F543" s="88" t="s">
        <v>1838</v>
      </c>
      <c r="G543" s="89">
        <v>45175.416446759256</v>
      </c>
      <c r="H543">
        <v>138460</v>
      </c>
    </row>
    <row r="544" spans="1:8" x14ac:dyDescent="0.25">
      <c r="A544" s="1">
        <v>134045</v>
      </c>
      <c r="B544" s="12" t="s">
        <v>1653</v>
      </c>
      <c r="C544" s="11" t="s">
        <v>1013</v>
      </c>
      <c r="D544" s="13">
        <v>61</v>
      </c>
      <c r="E544" s="13">
        <v>16</v>
      </c>
      <c r="F544" s="88" t="s">
        <v>1838</v>
      </c>
      <c r="G544" s="89">
        <v>45175.416446759256</v>
      </c>
      <c r="H544">
        <v>141430</v>
      </c>
    </row>
    <row r="545" spans="1:8" x14ac:dyDescent="0.25">
      <c r="A545" s="1">
        <v>134542</v>
      </c>
      <c r="B545" s="12" t="s">
        <v>243</v>
      </c>
      <c r="C545" s="11" t="s">
        <v>1185</v>
      </c>
      <c r="D545" s="13">
        <v>51</v>
      </c>
      <c r="E545" s="13">
        <v>21</v>
      </c>
      <c r="F545" s="88" t="s">
        <v>1838</v>
      </c>
      <c r="G545" s="89">
        <v>45175.416446759256</v>
      </c>
      <c r="H545">
        <v>139957</v>
      </c>
    </row>
    <row r="546" spans="1:8" x14ac:dyDescent="0.25">
      <c r="A546" s="1">
        <v>134543</v>
      </c>
      <c r="B546" s="12" t="s">
        <v>244</v>
      </c>
      <c r="C546" s="11" t="s">
        <v>1185</v>
      </c>
      <c r="D546" s="13">
        <v>51</v>
      </c>
      <c r="E546" s="13">
        <v>21</v>
      </c>
      <c r="F546" s="88" t="s">
        <v>1838</v>
      </c>
      <c r="G546" s="89">
        <v>45175.416446759256</v>
      </c>
      <c r="H546">
        <v>139958</v>
      </c>
    </row>
    <row r="547" spans="1:8" x14ac:dyDescent="0.25">
      <c r="A547" s="1">
        <v>135012</v>
      </c>
      <c r="B547" s="12" t="s">
        <v>1650</v>
      </c>
      <c r="C547" s="11" t="s">
        <v>1168</v>
      </c>
      <c r="D547" s="13">
        <v>54</v>
      </c>
      <c r="E547" s="13">
        <v>4</v>
      </c>
      <c r="F547" s="88" t="s">
        <v>1838</v>
      </c>
      <c r="G547" s="89">
        <v>45175.416446759256</v>
      </c>
    </row>
    <row r="548" spans="1:8" x14ac:dyDescent="0.25">
      <c r="A548" s="1">
        <v>135016</v>
      </c>
      <c r="B548" s="12" t="s">
        <v>1651</v>
      </c>
      <c r="C548" s="11" t="s">
        <v>1168</v>
      </c>
      <c r="D548" s="13">
        <v>54</v>
      </c>
      <c r="E548" s="13">
        <v>4</v>
      </c>
      <c r="F548" s="88" t="s">
        <v>1838</v>
      </c>
      <c r="G548" s="89">
        <v>45175.416446759256</v>
      </c>
    </row>
    <row r="549" spans="1:8" x14ac:dyDescent="0.25">
      <c r="A549" s="1">
        <v>135023</v>
      </c>
      <c r="B549" s="12" t="s">
        <v>1652</v>
      </c>
      <c r="C549" s="11" t="s">
        <v>1013</v>
      </c>
      <c r="D549" s="13">
        <v>54</v>
      </c>
      <c r="E549" s="13">
        <v>4</v>
      </c>
      <c r="F549" s="88" t="s">
        <v>1838</v>
      </c>
      <c r="G549" s="89">
        <v>45175.416446759256</v>
      </c>
    </row>
    <row r="550" spans="1:8" x14ac:dyDescent="0.25">
      <c r="A550" s="1">
        <v>135224</v>
      </c>
      <c r="B550" s="12" t="s">
        <v>228</v>
      </c>
      <c r="C550" s="11" t="s">
        <v>1025</v>
      </c>
      <c r="D550" s="13">
        <v>76</v>
      </c>
      <c r="E550" s="13">
        <v>3</v>
      </c>
      <c r="F550" s="88" t="s">
        <v>1838</v>
      </c>
      <c r="G550" s="89">
        <v>45175.416446759256</v>
      </c>
      <c r="H550">
        <v>141680</v>
      </c>
    </row>
    <row r="551" spans="1:8" x14ac:dyDescent="0.25">
      <c r="A551" s="1">
        <v>135225</v>
      </c>
      <c r="B551" s="12" t="s">
        <v>236</v>
      </c>
      <c r="C551" s="11" t="s">
        <v>1136</v>
      </c>
      <c r="D551" s="13">
        <v>76</v>
      </c>
      <c r="E551" s="13">
        <v>10</v>
      </c>
      <c r="F551" s="88" t="s">
        <v>1838</v>
      </c>
      <c r="G551" s="89">
        <v>45175.416446759256</v>
      </c>
      <c r="H551">
        <v>141786</v>
      </c>
    </row>
    <row r="552" spans="1:8" x14ac:dyDescent="0.25">
      <c r="A552" s="1">
        <v>135226</v>
      </c>
      <c r="B552" s="12" t="s">
        <v>235</v>
      </c>
      <c r="C552" s="11" t="s">
        <v>1136</v>
      </c>
      <c r="D552" s="13">
        <v>76</v>
      </c>
      <c r="E552" s="13">
        <v>10</v>
      </c>
      <c r="F552" s="88" t="s">
        <v>1838</v>
      </c>
      <c r="G552" s="89">
        <v>45175.416446759256</v>
      </c>
      <c r="H552">
        <v>141787</v>
      </c>
    </row>
    <row r="553" spans="1:8" x14ac:dyDescent="0.25">
      <c r="A553" s="1">
        <v>135227</v>
      </c>
      <c r="B553" s="12" t="s">
        <v>237</v>
      </c>
      <c r="C553" s="11" t="s">
        <v>1136</v>
      </c>
      <c r="D553" s="13">
        <v>76</v>
      </c>
      <c r="E553" s="13">
        <v>10</v>
      </c>
      <c r="F553" s="88" t="s">
        <v>1838</v>
      </c>
      <c r="G553" s="89">
        <v>45175.416446759256</v>
      </c>
      <c r="H553">
        <v>141615</v>
      </c>
    </row>
    <row r="554" spans="1:8" x14ac:dyDescent="0.25">
      <c r="A554" s="1">
        <v>135238</v>
      </c>
      <c r="B554" s="12" t="s">
        <v>229</v>
      </c>
      <c r="C554" s="11" t="s">
        <v>1025</v>
      </c>
      <c r="D554" s="13">
        <v>76</v>
      </c>
      <c r="E554" s="13">
        <v>3</v>
      </c>
      <c r="F554" s="88" t="s">
        <v>1838</v>
      </c>
      <c r="G554" s="89">
        <v>45175.416446759256</v>
      </c>
      <c r="H554">
        <v>141268</v>
      </c>
    </row>
    <row r="555" spans="1:8" x14ac:dyDescent="0.25">
      <c r="A555" s="1">
        <v>135239</v>
      </c>
      <c r="B555" s="12" t="s">
        <v>230</v>
      </c>
      <c r="C555" s="11" t="s">
        <v>1025</v>
      </c>
      <c r="D555" s="13">
        <v>76</v>
      </c>
      <c r="E555" s="13">
        <v>3</v>
      </c>
      <c r="F555" s="88" t="s">
        <v>1838</v>
      </c>
      <c r="G555" s="89">
        <v>45175.416446759256</v>
      </c>
    </row>
    <row r="556" spans="1:8" x14ac:dyDescent="0.25">
      <c r="A556" s="1">
        <v>135699</v>
      </c>
      <c r="B556" s="12" t="s">
        <v>416</v>
      </c>
      <c r="C556" s="11" t="s">
        <v>1013</v>
      </c>
      <c r="D556" s="13">
        <v>45</v>
      </c>
      <c r="E556" s="13">
        <v>9</v>
      </c>
      <c r="F556" s="88" t="s">
        <v>1838</v>
      </c>
      <c r="G556" s="89">
        <v>45175.416446759256</v>
      </c>
      <c r="H556">
        <v>138450</v>
      </c>
    </row>
    <row r="557" spans="1:8" x14ac:dyDescent="0.25">
      <c r="A557" s="1">
        <v>135700</v>
      </c>
      <c r="B557" s="12" t="s">
        <v>422</v>
      </c>
      <c r="C557" s="11" t="s">
        <v>1013</v>
      </c>
      <c r="D557" s="13">
        <v>45</v>
      </c>
      <c r="E557" s="13">
        <v>9</v>
      </c>
      <c r="F557" s="88" t="s">
        <v>1838</v>
      </c>
      <c r="G557" s="89">
        <v>45175.416446759256</v>
      </c>
      <c r="H557">
        <v>138464</v>
      </c>
    </row>
    <row r="558" spans="1:8" x14ac:dyDescent="0.25">
      <c r="A558" s="1">
        <v>135704</v>
      </c>
      <c r="B558" s="12" t="s">
        <v>1295</v>
      </c>
      <c r="C558" s="11" t="s">
        <v>1013</v>
      </c>
      <c r="D558" s="13">
        <v>45</v>
      </c>
      <c r="E558" s="13">
        <v>12</v>
      </c>
      <c r="F558" s="88" t="s">
        <v>1838</v>
      </c>
      <c r="G558" s="89">
        <v>45175.416446759256</v>
      </c>
      <c r="H558">
        <v>138471</v>
      </c>
    </row>
    <row r="559" spans="1:8" x14ac:dyDescent="0.25">
      <c r="A559" s="1">
        <v>135734</v>
      </c>
      <c r="B559" s="12" t="s">
        <v>1299</v>
      </c>
      <c r="C559" s="11" t="s">
        <v>1013</v>
      </c>
      <c r="D559" s="13">
        <v>55</v>
      </c>
      <c r="E559" s="13">
        <v>66</v>
      </c>
      <c r="F559" s="88" t="s">
        <v>1838</v>
      </c>
      <c r="G559" s="89">
        <v>45175.416446759256</v>
      </c>
      <c r="H559">
        <v>135088</v>
      </c>
    </row>
    <row r="560" spans="1:8" x14ac:dyDescent="0.25">
      <c r="A560" s="1">
        <v>136037</v>
      </c>
      <c r="B560" s="12" t="s">
        <v>954</v>
      </c>
      <c r="C560" s="11" t="s">
        <v>1025</v>
      </c>
      <c r="D560" s="13">
        <v>76</v>
      </c>
      <c r="E560" s="13">
        <v>3</v>
      </c>
      <c r="F560" s="88" t="s">
        <v>1838</v>
      </c>
      <c r="G560" s="89">
        <v>45175.416446759256</v>
      </c>
      <c r="H560">
        <v>141679</v>
      </c>
    </row>
    <row r="561" spans="1:8" x14ac:dyDescent="0.25">
      <c r="A561" s="1">
        <v>136038</v>
      </c>
      <c r="B561" s="12" t="s">
        <v>955</v>
      </c>
      <c r="C561" s="11" t="s">
        <v>1025</v>
      </c>
      <c r="D561" s="13">
        <v>76</v>
      </c>
      <c r="E561" s="13">
        <v>3</v>
      </c>
      <c r="F561" s="88" t="s">
        <v>1838</v>
      </c>
      <c r="G561" s="89">
        <v>45175.416446759256</v>
      </c>
      <c r="H561">
        <v>141265</v>
      </c>
    </row>
    <row r="562" spans="1:8" x14ac:dyDescent="0.25">
      <c r="A562" s="1">
        <v>136039</v>
      </c>
      <c r="B562" s="12" t="s">
        <v>956</v>
      </c>
      <c r="C562" s="11" t="s">
        <v>1025</v>
      </c>
      <c r="D562" s="13">
        <v>76</v>
      </c>
      <c r="E562" s="13">
        <v>3</v>
      </c>
      <c r="F562" s="88" t="s">
        <v>1838</v>
      </c>
      <c r="G562" s="89">
        <v>45175.416446759256</v>
      </c>
      <c r="H562">
        <v>141681</v>
      </c>
    </row>
    <row r="563" spans="1:8" x14ac:dyDescent="0.25">
      <c r="A563" s="1">
        <v>136040</v>
      </c>
      <c r="B563" s="12" t="s">
        <v>957</v>
      </c>
      <c r="C563" s="11" t="s">
        <v>1025</v>
      </c>
      <c r="D563" s="13">
        <v>76</v>
      </c>
      <c r="E563" s="13">
        <v>3</v>
      </c>
      <c r="F563" s="88" t="s">
        <v>1838</v>
      </c>
      <c r="G563" s="89">
        <v>45175.416446759256</v>
      </c>
      <c r="H563">
        <v>141266</v>
      </c>
    </row>
    <row r="564" spans="1:8" x14ac:dyDescent="0.25">
      <c r="A564" s="1">
        <v>136676</v>
      </c>
      <c r="B564" s="12" t="s">
        <v>1420</v>
      </c>
      <c r="C564" s="11" t="s">
        <v>1021</v>
      </c>
      <c r="D564" s="13">
        <v>62</v>
      </c>
      <c r="E564" s="13">
        <v>1</v>
      </c>
      <c r="F564" s="88" t="s">
        <v>1838</v>
      </c>
      <c r="G564" s="89">
        <v>45175.416446759256</v>
      </c>
    </row>
    <row r="565" spans="1:8" x14ac:dyDescent="0.25">
      <c r="A565" s="1">
        <v>136820</v>
      </c>
      <c r="B565" s="12" t="s">
        <v>1584</v>
      </c>
      <c r="C565" s="11" t="s">
        <v>1168</v>
      </c>
      <c r="D565" s="13">
        <v>54</v>
      </c>
      <c r="E565" s="13">
        <v>4</v>
      </c>
      <c r="F565" s="88" t="s">
        <v>1838</v>
      </c>
      <c r="G565" s="89">
        <v>45175.416446759256</v>
      </c>
    </row>
    <row r="566" spans="1:8" x14ac:dyDescent="0.25">
      <c r="A566" s="1">
        <v>136821</v>
      </c>
      <c r="B566" s="12" t="s">
        <v>1585</v>
      </c>
      <c r="C566" s="11" t="s">
        <v>1168</v>
      </c>
      <c r="D566" s="13">
        <v>54</v>
      </c>
      <c r="E566" s="13">
        <v>4</v>
      </c>
      <c r="F566" s="88" t="s">
        <v>1838</v>
      </c>
      <c r="G566" s="89">
        <v>45175.416446759256</v>
      </c>
    </row>
    <row r="567" spans="1:8" x14ac:dyDescent="0.25">
      <c r="A567" s="1">
        <v>136822</v>
      </c>
      <c r="B567" s="12" t="s">
        <v>1586</v>
      </c>
      <c r="C567" s="11" t="s">
        <v>1168</v>
      </c>
      <c r="D567" s="13">
        <v>54</v>
      </c>
      <c r="E567" s="13">
        <v>4</v>
      </c>
      <c r="F567" s="88" t="s">
        <v>1838</v>
      </c>
      <c r="G567" s="89">
        <v>45175.416446759256</v>
      </c>
    </row>
    <row r="568" spans="1:8" x14ac:dyDescent="0.25">
      <c r="A568" s="1">
        <v>136837</v>
      </c>
      <c r="B568" s="12" t="s">
        <v>1592</v>
      </c>
      <c r="C568" s="11" t="s">
        <v>1168</v>
      </c>
      <c r="D568" s="13">
        <v>54</v>
      </c>
      <c r="E568" s="13">
        <v>4</v>
      </c>
      <c r="F568" s="88" t="s">
        <v>1838</v>
      </c>
      <c r="G568" s="89">
        <v>45175.416446759256</v>
      </c>
    </row>
    <row r="569" spans="1:8" x14ac:dyDescent="0.25">
      <c r="A569" s="1">
        <v>136838</v>
      </c>
      <c r="B569" s="12" t="s">
        <v>1593</v>
      </c>
      <c r="C569" s="11" t="s">
        <v>1168</v>
      </c>
      <c r="D569" s="13">
        <v>54</v>
      </c>
      <c r="E569" s="13">
        <v>4</v>
      </c>
      <c r="F569" s="88" t="s">
        <v>1838</v>
      </c>
      <c r="G569" s="89">
        <v>45175.416446759256</v>
      </c>
    </row>
    <row r="570" spans="1:8" x14ac:dyDescent="0.25">
      <c r="A570" s="1">
        <v>136839</v>
      </c>
      <c r="B570" s="12" t="s">
        <v>1594</v>
      </c>
      <c r="C570" s="11" t="s">
        <v>1168</v>
      </c>
      <c r="D570" s="13">
        <v>54</v>
      </c>
      <c r="E570" s="13">
        <v>4</v>
      </c>
      <c r="F570" s="88" t="s">
        <v>1838</v>
      </c>
      <c r="G570" s="89">
        <v>45175.416446759256</v>
      </c>
    </row>
    <row r="571" spans="1:8" x14ac:dyDescent="0.25">
      <c r="A571" s="1">
        <v>136840</v>
      </c>
      <c r="B571" s="12" t="s">
        <v>1595</v>
      </c>
      <c r="C571" s="11" t="s">
        <v>1168</v>
      </c>
      <c r="D571" s="13">
        <v>54</v>
      </c>
      <c r="E571" s="13">
        <v>4</v>
      </c>
      <c r="F571" s="88" t="s">
        <v>1838</v>
      </c>
      <c r="G571" s="89">
        <v>45175.416446759256</v>
      </c>
    </row>
    <row r="572" spans="1:8" x14ac:dyDescent="0.25">
      <c r="A572" s="1">
        <v>136841</v>
      </c>
      <c r="B572" s="12" t="s">
        <v>1596</v>
      </c>
      <c r="C572" s="11" t="s">
        <v>1168</v>
      </c>
      <c r="D572" s="13">
        <v>54</v>
      </c>
      <c r="E572" s="13">
        <v>4</v>
      </c>
      <c r="F572" s="88" t="s">
        <v>1838</v>
      </c>
      <c r="G572" s="89">
        <v>45175.416446759256</v>
      </c>
    </row>
    <row r="573" spans="1:8" x14ac:dyDescent="0.25">
      <c r="A573" s="1">
        <v>136842</v>
      </c>
      <c r="B573" s="12" t="s">
        <v>1597</v>
      </c>
      <c r="C573" s="11" t="s">
        <v>1168</v>
      </c>
      <c r="D573" s="13">
        <v>54</v>
      </c>
      <c r="E573" s="13">
        <v>4</v>
      </c>
      <c r="F573" s="88" t="s">
        <v>1838</v>
      </c>
      <c r="G573" s="89">
        <v>45175.416446759256</v>
      </c>
    </row>
    <row r="574" spans="1:8" x14ac:dyDescent="0.25">
      <c r="A574" s="1">
        <v>136843</v>
      </c>
      <c r="B574" s="12" t="s">
        <v>1598</v>
      </c>
      <c r="C574" s="11" t="s">
        <v>1168</v>
      </c>
      <c r="D574" s="13">
        <v>54</v>
      </c>
      <c r="E574" s="13">
        <v>4</v>
      </c>
      <c r="F574" s="88" t="s">
        <v>1838</v>
      </c>
      <c r="G574" s="89">
        <v>45175.416446759256</v>
      </c>
    </row>
    <row r="575" spans="1:8" x14ac:dyDescent="0.25">
      <c r="A575" s="1">
        <v>136910</v>
      </c>
      <c r="B575" s="12" t="s">
        <v>1645</v>
      </c>
      <c r="C575" s="11" t="s">
        <v>1018</v>
      </c>
      <c r="D575" s="13">
        <v>55</v>
      </c>
      <c r="E575" s="13">
        <v>19</v>
      </c>
      <c r="F575" s="88" t="s">
        <v>1838</v>
      </c>
      <c r="G575" s="89">
        <v>45175.416446759256</v>
      </c>
      <c r="H575">
        <v>140241</v>
      </c>
    </row>
    <row r="576" spans="1:8" x14ac:dyDescent="0.25">
      <c r="A576" s="1">
        <v>136911</v>
      </c>
      <c r="B576" s="12" t="s">
        <v>1646</v>
      </c>
      <c r="C576" s="11" t="s">
        <v>1018</v>
      </c>
      <c r="D576" s="13">
        <v>55</v>
      </c>
      <c r="E576" s="13">
        <v>19</v>
      </c>
      <c r="F576" s="88" t="s">
        <v>1838</v>
      </c>
      <c r="G576" s="89">
        <v>45175.416446759256</v>
      </c>
      <c r="H576">
        <v>140063</v>
      </c>
    </row>
    <row r="577" spans="1:8" x14ac:dyDescent="0.25">
      <c r="A577" s="1">
        <v>138547</v>
      </c>
      <c r="B577" s="12" t="s">
        <v>1537</v>
      </c>
      <c r="C577" s="11" t="s">
        <v>1013</v>
      </c>
      <c r="D577" s="13">
        <v>55</v>
      </c>
      <c r="E577" s="13">
        <v>49</v>
      </c>
      <c r="F577" s="88" t="s">
        <v>1838</v>
      </c>
      <c r="G577" s="89">
        <v>45175.416446759256</v>
      </c>
      <c r="H577">
        <v>140666</v>
      </c>
    </row>
    <row r="578" spans="1:8" x14ac:dyDescent="0.25">
      <c r="A578" s="1">
        <v>140315</v>
      </c>
      <c r="B578" s="12" t="s">
        <v>1654</v>
      </c>
      <c r="C578" s="11" t="s">
        <v>1013</v>
      </c>
      <c r="D578" s="13">
        <v>76</v>
      </c>
      <c r="E578" s="13">
        <v>11</v>
      </c>
      <c r="F578" s="88" t="s">
        <v>1838</v>
      </c>
      <c r="G578" s="89">
        <v>45175.416446759256</v>
      </c>
      <c r="H578">
        <v>141418</v>
      </c>
    </row>
  </sheetData>
  <sortState ref="A4:H578">
    <sortCondition ref="A3:A578"/>
  </sortState>
  <mergeCells count="2">
    <mergeCell ref="A1:H1"/>
    <mergeCell ref="A2:H2"/>
  </mergeCells>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433" r:id="rId4" name="btn_Excluir_OcultarReexibir">
          <controlPr defaultSize="0" print="0" autoLine="0" r:id="rId5">
            <anchor moveWithCells="1" sizeWithCells="1">
              <from>
                <xdr:col>0</xdr:col>
                <xdr:colOff>66675</xdr:colOff>
                <xdr:row>1</xdr:row>
                <xdr:rowOff>38100</xdr:rowOff>
              </from>
              <to>
                <xdr:col>1</xdr:col>
                <xdr:colOff>952500</xdr:colOff>
                <xdr:row>1</xdr:row>
                <xdr:rowOff>371475</xdr:rowOff>
              </to>
            </anchor>
          </controlPr>
        </control>
      </mc:Choice>
      <mc:Fallback>
        <control shapeId="18433" r:id="rId4" name="btn_Excluir_OcultarReexibir"/>
      </mc:Fallback>
    </mc:AlternateContent>
    <mc:AlternateContent xmlns:mc="http://schemas.openxmlformats.org/markup-compatibility/2006">
      <mc:Choice Requires="x14">
        <control shapeId="18434" r:id="rId6" name="btn_Excluir_Atualizar_Planilha">
          <controlPr defaultSize="0" print="0" autoLine="0" r:id="rId7">
            <anchor moveWithCells="1" sizeWithCells="1">
              <from>
                <xdr:col>1</xdr:col>
                <xdr:colOff>2600325</xdr:colOff>
                <xdr:row>1</xdr:row>
                <xdr:rowOff>38100</xdr:rowOff>
              </from>
              <to>
                <xdr:col>1</xdr:col>
                <xdr:colOff>4124325</xdr:colOff>
                <xdr:row>1</xdr:row>
                <xdr:rowOff>371475</xdr:rowOff>
              </to>
            </anchor>
          </controlPr>
        </control>
      </mc:Choice>
      <mc:Fallback>
        <control shapeId="18434" r:id="rId6" name="btn_Excluir_Atualizar_Planilha"/>
      </mc:Fallback>
    </mc:AlternateContent>
    <mc:AlternateContent xmlns:mc="http://schemas.openxmlformats.org/markup-compatibility/2006">
      <mc:Choice Requires="x14">
        <control shapeId="18435" r:id="rId8" name="btn_Excluir_VoltarParaItens">
          <controlPr defaultSize="0" print="0" autoLine="0" r:id="rId9">
            <anchor moveWithCells="1" sizeWithCells="1">
              <from>
                <xdr:col>1</xdr:col>
                <xdr:colOff>1009650</xdr:colOff>
                <xdr:row>1</xdr:row>
                <xdr:rowOff>38100</xdr:rowOff>
              </from>
              <to>
                <xdr:col>1</xdr:col>
                <xdr:colOff>2533650</xdr:colOff>
                <xdr:row>1</xdr:row>
                <xdr:rowOff>371475</xdr:rowOff>
              </to>
            </anchor>
          </controlPr>
        </control>
      </mc:Choice>
      <mc:Fallback>
        <control shapeId="18435" r:id="rId8" name="btn_Excluir_VoltarParaItens"/>
      </mc:Fallback>
    </mc:AlternateContent>
    <mc:AlternateContent xmlns:mc="http://schemas.openxmlformats.org/markup-compatibility/2006">
      <mc:Choice Requires="x14">
        <control shapeId="18441" r:id="rId10" name="btn_Excluir_AbrirCadastro">
          <controlPr defaultSize="0" print="0" autoLine="0" r:id="rId11">
            <anchor moveWithCells="1" sizeWithCells="1">
              <from>
                <xdr:col>1</xdr:col>
                <xdr:colOff>4191000</xdr:colOff>
                <xdr:row>1</xdr:row>
                <xdr:rowOff>38100</xdr:rowOff>
              </from>
              <to>
                <xdr:col>1</xdr:col>
                <xdr:colOff>5715000</xdr:colOff>
                <xdr:row>1</xdr:row>
                <xdr:rowOff>371475</xdr:rowOff>
              </to>
            </anchor>
          </controlPr>
        </control>
      </mc:Choice>
      <mc:Fallback>
        <control shapeId="18441" r:id="rId10" name="btn_Excluir_AbrirCadastro"/>
      </mc:Fallback>
    </mc:AlternateContent>
    <mc:AlternateContent xmlns:mc="http://schemas.openxmlformats.org/markup-compatibility/2006">
      <mc:Choice Requires="x14">
        <control shapeId="18442" r:id="rId12" name="btn_Excluir_FilCód">
          <controlPr defaultSize="0" print="0" autoLine="0" r:id="rId13">
            <anchor moveWithCells="1" sizeWithCells="1">
              <from>
                <xdr:col>1</xdr:col>
                <xdr:colOff>5772150</xdr:colOff>
                <xdr:row>1</xdr:row>
                <xdr:rowOff>38100</xdr:rowOff>
              </from>
              <to>
                <xdr:col>1</xdr:col>
                <xdr:colOff>7296150</xdr:colOff>
                <xdr:row>1</xdr:row>
                <xdr:rowOff>371475</xdr:rowOff>
              </to>
            </anchor>
          </controlPr>
        </control>
      </mc:Choice>
      <mc:Fallback>
        <control shapeId="18442" r:id="rId12" name="btn_Excluir_FilCód"/>
      </mc:Fallback>
    </mc:AlternateContent>
  </controls>
  <tableParts count="1">
    <tablePart r:id="rId1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6">
    <tabColor rgb="FF7030A0"/>
  </sheetPr>
  <dimension ref="A1:C9"/>
  <sheetViews>
    <sheetView workbookViewId="0">
      <pane xSplit="3" ySplit="2" topLeftCell="D3" activePane="bottomRight" state="frozen"/>
      <selection pane="topRight" activeCell="D1" sqref="D1"/>
      <selection pane="bottomLeft" activeCell="A3" sqref="A3"/>
      <selection pane="bottomRight" activeCell="A9" sqref="A9"/>
    </sheetView>
  </sheetViews>
  <sheetFormatPr defaultRowHeight="15" x14ac:dyDescent="0.25"/>
  <cols>
    <col min="1" max="1" width="72.85546875" bestFit="1" customWidth="1"/>
    <col min="2" max="2" width="67.42578125" bestFit="1" customWidth="1"/>
    <col min="3" max="3" width="118.42578125" customWidth="1"/>
  </cols>
  <sheetData>
    <row r="1" spans="1:3" ht="56.25" customHeight="1" x14ac:dyDescent="0.25">
      <c r="A1" s="91"/>
      <c r="B1" s="91"/>
      <c r="C1" s="91"/>
    </row>
    <row r="2" spans="1:3" ht="21" x14ac:dyDescent="0.25">
      <c r="A2" s="16" t="s">
        <v>1006</v>
      </c>
      <c r="B2" s="14" t="s">
        <v>1007</v>
      </c>
      <c r="C2" s="16" t="s">
        <v>1008</v>
      </c>
    </row>
    <row r="3" spans="1:3" ht="18.75" x14ac:dyDescent="0.25">
      <c r="A3" s="15" t="s">
        <v>1396</v>
      </c>
      <c r="B3" s="17" t="s">
        <v>1397</v>
      </c>
      <c r="C3" s="17" t="s">
        <v>1398</v>
      </c>
    </row>
    <row r="4" spans="1:3" ht="18.75" x14ac:dyDescent="0.25">
      <c r="A4" s="15" t="s">
        <v>1461</v>
      </c>
      <c r="B4" s="17" t="s">
        <v>1638</v>
      </c>
      <c r="C4" s="17" t="s">
        <v>1462</v>
      </c>
    </row>
    <row r="5" spans="1:3" ht="18.75" x14ac:dyDescent="0.25">
      <c r="A5" s="15" t="s">
        <v>1444</v>
      </c>
      <c r="B5" s="17" t="b">
        <v>1</v>
      </c>
      <c r="C5" s="17" t="s">
        <v>1445</v>
      </c>
    </row>
    <row r="6" spans="1:3" ht="18.75" x14ac:dyDescent="0.25">
      <c r="A6" s="15" t="s">
        <v>1609</v>
      </c>
      <c r="B6" s="17" t="s">
        <v>1610</v>
      </c>
      <c r="C6" s="17" t="s">
        <v>1611</v>
      </c>
    </row>
    <row r="7" spans="1:3" ht="18.75" x14ac:dyDescent="0.25">
      <c r="A7" s="15" t="s">
        <v>1487</v>
      </c>
      <c r="B7" s="17" t="b">
        <v>0</v>
      </c>
      <c r="C7" s="17" t="s">
        <v>1488</v>
      </c>
    </row>
    <row r="8" spans="1:3" ht="18.75" x14ac:dyDescent="0.25">
      <c r="A8" s="15" t="s">
        <v>1560</v>
      </c>
      <c r="B8" s="17" t="s">
        <v>1562</v>
      </c>
      <c r="C8" s="65" t="s">
        <v>1561</v>
      </c>
    </row>
    <row r="9" spans="1:3" ht="18.75" x14ac:dyDescent="0.25">
      <c r="A9" s="15" t="s">
        <v>1319</v>
      </c>
      <c r="B9" s="17">
        <v>4</v>
      </c>
      <c r="C9" s="17" t="s">
        <v>1292</v>
      </c>
    </row>
  </sheetData>
  <sortState ref="A3:C9">
    <sortCondition ref="A2:A9"/>
  </sortState>
  <mergeCells count="1">
    <mergeCell ref="A1:C1"/>
  </mergeCells>
  <hyperlinks>
    <hyperlink ref="C8" location="Parâmetros!C8" display="ABA#" xr:uid="{00000000-0004-0000-0500-000000000000}"/>
  </hyperlink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6385" r:id="rId4" name="btn_Parâmetros_Reordenar">
          <controlPr defaultSize="0" autoLine="0" r:id="rId5">
            <anchor moveWithCells="1">
              <from>
                <xdr:col>0</xdr:col>
                <xdr:colOff>638175</xdr:colOff>
                <xdr:row>0</xdr:row>
                <xdr:rowOff>123825</xdr:rowOff>
              </from>
              <to>
                <xdr:col>0</xdr:col>
                <xdr:colOff>4448175</xdr:colOff>
                <xdr:row>0</xdr:row>
                <xdr:rowOff>571500</xdr:rowOff>
              </to>
            </anchor>
          </controlPr>
        </control>
      </mc:Choice>
      <mc:Fallback>
        <control shapeId="16385" r:id="rId4" name="btn_Parâmetros_Reordena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20"/>
  <dimension ref="A1:B26"/>
  <sheetViews>
    <sheetView workbookViewId="0">
      <pane xSplit="2" ySplit="1" topLeftCell="C2" activePane="bottomRight" state="frozen"/>
      <selection pane="topRight" activeCell="C1" sqref="C1"/>
      <selection pane="bottomLeft" activeCell="A2" sqref="A2"/>
      <selection pane="bottomRight" activeCell="B23" sqref="B23"/>
    </sheetView>
  </sheetViews>
  <sheetFormatPr defaultRowHeight="15" x14ac:dyDescent="0.25"/>
  <cols>
    <col min="1" max="1" width="76.85546875" bestFit="1" customWidth="1"/>
    <col min="2" max="2" width="55.7109375" customWidth="1"/>
    <col min="3" max="3" width="39.5703125" customWidth="1"/>
  </cols>
  <sheetData>
    <row r="1" spans="1:2" ht="56.25" customHeight="1" x14ac:dyDescent="0.25">
      <c r="A1" s="91"/>
      <c r="B1" s="91"/>
    </row>
    <row r="2" spans="1:2" ht="28.5" customHeight="1" x14ac:dyDescent="0.25">
      <c r="A2" s="18" t="s">
        <v>1320</v>
      </c>
      <c r="B2" s="18" t="s">
        <v>1304</v>
      </c>
    </row>
    <row r="3" spans="1:2" x14ac:dyDescent="0.25">
      <c r="A3" s="19" t="s">
        <v>1009</v>
      </c>
      <c r="B3" s="20" t="s">
        <v>1305</v>
      </c>
    </row>
    <row r="4" spans="1:2" x14ac:dyDescent="0.25">
      <c r="A4" s="19" t="s">
        <v>1010</v>
      </c>
      <c r="B4" s="20" t="s">
        <v>1307</v>
      </c>
    </row>
    <row r="5" spans="1:2" x14ac:dyDescent="0.25">
      <c r="A5" s="19" t="s">
        <v>1011</v>
      </c>
      <c r="B5" s="20" t="s">
        <v>1306</v>
      </c>
    </row>
    <row r="9" spans="1:2" ht="28.5" x14ac:dyDescent="0.25">
      <c r="A9" s="18" t="s">
        <v>1320</v>
      </c>
      <c r="B9" s="18" t="s">
        <v>1304</v>
      </c>
    </row>
    <row r="10" spans="1:2" x14ac:dyDescent="0.25">
      <c r="A10" s="21" t="s">
        <v>1311</v>
      </c>
      <c r="B10" s="3" t="s">
        <v>1313</v>
      </c>
    </row>
    <row r="11" spans="1:2" x14ac:dyDescent="0.25">
      <c r="A11" s="21" t="s">
        <v>1321</v>
      </c>
      <c r="B11" s="3" t="s">
        <v>1312</v>
      </c>
    </row>
    <row r="13" spans="1:2" ht="28.5" x14ac:dyDescent="0.25">
      <c r="A13" s="18" t="s">
        <v>1320</v>
      </c>
      <c r="B13" s="18" t="s">
        <v>1304</v>
      </c>
    </row>
    <row r="14" spans="1:2" x14ac:dyDescent="0.25">
      <c r="A14" s="21" t="s">
        <v>1324</v>
      </c>
      <c r="B14" s="3" t="s">
        <v>1369</v>
      </c>
    </row>
    <row r="15" spans="1:2" x14ac:dyDescent="0.25">
      <c r="A15" s="21" t="s">
        <v>1328</v>
      </c>
      <c r="B15" s="3" t="s">
        <v>1370</v>
      </c>
    </row>
    <row r="16" spans="1:2" x14ac:dyDescent="0.25">
      <c r="A16" s="21" t="s">
        <v>1372</v>
      </c>
      <c r="B16" s="3" t="s">
        <v>1373</v>
      </c>
    </row>
    <row r="17" spans="1:2" x14ac:dyDescent="0.25">
      <c r="A17" s="21" t="s">
        <v>1333</v>
      </c>
      <c r="B17" s="3" t="s">
        <v>1371</v>
      </c>
    </row>
    <row r="18" spans="1:2" x14ac:dyDescent="0.25">
      <c r="A18" s="21" t="s">
        <v>1390</v>
      </c>
      <c r="B18" s="3" t="s">
        <v>1389</v>
      </c>
    </row>
    <row r="19" spans="1:2" x14ac:dyDescent="0.25">
      <c r="A19" s="21" t="s">
        <v>1379</v>
      </c>
      <c r="B19" s="3" t="s">
        <v>1380</v>
      </c>
    </row>
    <row r="20" spans="1:2" x14ac:dyDescent="0.25">
      <c r="A20" s="21" t="s">
        <v>1391</v>
      </c>
      <c r="B20" s="3" t="s">
        <v>1392</v>
      </c>
    </row>
    <row r="21" spans="1:2" x14ac:dyDescent="0.25">
      <c r="A21" s="21" t="s">
        <v>1381</v>
      </c>
      <c r="B21" s="3" t="s">
        <v>1382</v>
      </c>
    </row>
    <row r="22" spans="1:2" x14ac:dyDescent="0.25">
      <c r="A22" s="21" t="s">
        <v>1383</v>
      </c>
      <c r="B22" s="3" t="s">
        <v>1384</v>
      </c>
    </row>
    <row r="23" spans="1:2" x14ac:dyDescent="0.25">
      <c r="A23" s="21" t="s">
        <v>1387</v>
      </c>
      <c r="B23" s="3" t="s">
        <v>1388</v>
      </c>
    </row>
    <row r="24" spans="1:2" x14ac:dyDescent="0.25">
      <c r="A24" s="21" t="s">
        <v>1377</v>
      </c>
      <c r="B24" s="3" t="s">
        <v>1378</v>
      </c>
    </row>
    <row r="25" spans="1:2" x14ac:dyDescent="0.25">
      <c r="A25" s="21" t="s">
        <v>1385</v>
      </c>
      <c r="B25" s="3" t="s">
        <v>1386</v>
      </c>
    </row>
    <row r="26" spans="1:2" x14ac:dyDescent="0.25">
      <c r="A26" s="21" t="s">
        <v>1376</v>
      </c>
      <c r="B26" s="3" t="s">
        <v>1375</v>
      </c>
    </row>
  </sheetData>
  <sheetProtection sheet="1" objects="1" scenarios="1"/>
  <mergeCells count="1">
    <mergeCell ref="A1:B1"/>
  </mergeCells>
  <conditionalFormatting sqref="A10:A11">
    <cfRule type="duplicateValues" dxfId="17" priority="5"/>
  </conditionalFormatting>
  <conditionalFormatting sqref="A14:A26">
    <cfRule type="duplicateValues" dxfId="16" priority="1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7409" r:id="rId4" name="btnEstaticasReordena">
          <controlPr defaultSize="0" autoLine="0" r:id="rId5">
            <anchor moveWithCells="1">
              <from>
                <xdr:col>0</xdr:col>
                <xdr:colOff>190500</xdr:colOff>
                <xdr:row>0</xdr:row>
                <xdr:rowOff>123825</xdr:rowOff>
              </from>
              <to>
                <xdr:col>0</xdr:col>
                <xdr:colOff>2733675</xdr:colOff>
                <xdr:row>0</xdr:row>
                <xdr:rowOff>571500</xdr:rowOff>
              </to>
            </anchor>
          </controlPr>
        </control>
      </mc:Choice>
      <mc:Fallback>
        <control shapeId="17409" r:id="rId4" name="btnEstaticasReordena"/>
      </mc:Fallback>
    </mc:AlternateContent>
    <mc:AlternateContent xmlns:mc="http://schemas.openxmlformats.org/markup-compatibility/2006">
      <mc:Choice Requires="x14">
        <control shapeId="17410" r:id="rId6" name="btnEstaticasHabilitaAlt">
          <controlPr locked="0" defaultSize="0" autoLine="0" r:id="rId7">
            <anchor moveWithCells="1" sizeWithCells="1">
              <from>
                <xdr:col>0</xdr:col>
                <xdr:colOff>4257675</xdr:colOff>
                <xdr:row>0</xdr:row>
                <xdr:rowOff>123825</xdr:rowOff>
              </from>
              <to>
                <xdr:col>1</xdr:col>
                <xdr:colOff>1676400</xdr:colOff>
                <xdr:row>0</xdr:row>
                <xdr:rowOff>571500</xdr:rowOff>
              </to>
            </anchor>
          </controlPr>
        </control>
      </mc:Choice>
      <mc:Fallback>
        <control shapeId="17410" r:id="rId6" name="btnEstaticasHabilitaAlt"/>
      </mc:Fallback>
    </mc:AlternateContent>
  </controls>
  <tableParts count="3">
    <tablePart r:id="rId8"/>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07">
    <tabColor theme="9" tint="0.59999389629810485"/>
  </sheetPr>
  <dimension ref="A1:C2472"/>
  <sheetViews>
    <sheetView workbookViewId="0">
      <pane xSplit="2" ySplit="2" topLeftCell="C3" activePane="bottomRight" state="frozen"/>
      <selection pane="topRight" activeCell="C1" sqref="C1"/>
      <selection pane="bottomLeft" activeCell="A3" sqref="A3"/>
      <selection pane="bottomRight" activeCell="E13" sqref="E13"/>
    </sheetView>
  </sheetViews>
  <sheetFormatPr defaultRowHeight="15" x14ac:dyDescent="0.25"/>
  <cols>
    <col min="1" max="1" width="17" customWidth="1"/>
    <col min="2" max="2" width="119.28515625" customWidth="1"/>
  </cols>
  <sheetData>
    <row r="1" spans="1:3" ht="42.75" customHeight="1" x14ac:dyDescent="0.25">
      <c r="A1" s="91"/>
      <c r="B1" s="91"/>
    </row>
    <row r="2" spans="1:3" ht="18.75" x14ac:dyDescent="0.3">
      <c r="A2" s="29" t="s">
        <v>0</v>
      </c>
      <c r="B2" s="17" t="s">
        <v>1</v>
      </c>
      <c r="C2" s="30" t="s">
        <v>1016</v>
      </c>
    </row>
    <row r="3" spans="1:3" x14ac:dyDescent="0.25">
      <c r="A3" s="11">
        <v>2</v>
      </c>
      <c r="B3" s="12" t="s">
        <v>1323</v>
      </c>
      <c r="C3" s="28" t="s">
        <v>1324</v>
      </c>
    </row>
    <row r="4" spans="1:3" x14ac:dyDescent="0.25">
      <c r="A4" s="11">
        <v>52</v>
      </c>
      <c r="B4" s="12" t="s">
        <v>1334</v>
      </c>
      <c r="C4" s="28" t="s">
        <v>1324</v>
      </c>
    </row>
    <row r="5" spans="1:3" x14ac:dyDescent="0.25">
      <c r="A5" s="11">
        <v>62</v>
      </c>
      <c r="B5" s="12" t="s">
        <v>1343</v>
      </c>
      <c r="C5" s="28" t="s">
        <v>1324</v>
      </c>
    </row>
    <row r="6" spans="1:3" x14ac:dyDescent="0.25">
      <c r="A6" s="11">
        <v>72</v>
      </c>
      <c r="B6" s="12" t="s">
        <v>1352</v>
      </c>
      <c r="C6" s="28" t="s">
        <v>1324</v>
      </c>
    </row>
    <row r="7" spans="1:3" x14ac:dyDescent="0.25">
      <c r="A7" s="11">
        <v>78</v>
      </c>
      <c r="B7" s="12" t="s">
        <v>1356</v>
      </c>
      <c r="C7" s="28" t="s">
        <v>1324</v>
      </c>
    </row>
    <row r="8" spans="1:3" x14ac:dyDescent="0.25">
      <c r="A8" s="11">
        <v>79</v>
      </c>
      <c r="B8" s="12" t="s">
        <v>1357</v>
      </c>
      <c r="C8" s="28" t="s">
        <v>1324</v>
      </c>
    </row>
    <row r="9" spans="1:3" x14ac:dyDescent="0.25">
      <c r="A9" s="11">
        <v>45</v>
      </c>
      <c r="B9" s="12" t="s">
        <v>1327</v>
      </c>
      <c r="C9" s="28" t="s">
        <v>1328</v>
      </c>
    </row>
    <row r="10" spans="1:3" x14ac:dyDescent="0.25">
      <c r="A10" s="11">
        <v>57</v>
      </c>
      <c r="B10" s="12" t="s">
        <v>1338</v>
      </c>
      <c r="C10" s="28" t="s">
        <v>1328</v>
      </c>
    </row>
    <row r="11" spans="1:3" x14ac:dyDescent="0.25">
      <c r="A11" s="11">
        <v>58</v>
      </c>
      <c r="B11" s="12" t="s">
        <v>1339</v>
      </c>
      <c r="C11" s="28" t="s">
        <v>1328</v>
      </c>
    </row>
    <row r="12" spans="1:3" x14ac:dyDescent="0.25">
      <c r="A12" s="11">
        <v>71</v>
      </c>
      <c r="B12" s="12" t="s">
        <v>1351</v>
      </c>
      <c r="C12" s="28" t="s">
        <v>1328</v>
      </c>
    </row>
    <row r="13" spans="1:3" x14ac:dyDescent="0.25">
      <c r="A13" s="11">
        <v>73</v>
      </c>
      <c r="B13" s="12" t="s">
        <v>1353</v>
      </c>
      <c r="C13" s="28" t="s">
        <v>1328</v>
      </c>
    </row>
    <row r="14" spans="1:3" x14ac:dyDescent="0.25">
      <c r="A14" s="11">
        <v>18</v>
      </c>
      <c r="B14" s="12" t="s">
        <v>1325</v>
      </c>
      <c r="C14" s="28" t="s">
        <v>1372</v>
      </c>
    </row>
    <row r="15" spans="1:3" x14ac:dyDescent="0.25">
      <c r="A15" s="11">
        <v>56</v>
      </c>
      <c r="B15" s="12" t="s">
        <v>1337</v>
      </c>
      <c r="C15" s="28" t="s">
        <v>1372</v>
      </c>
    </row>
    <row r="16" spans="1:3" x14ac:dyDescent="0.25">
      <c r="A16" s="11">
        <v>59</v>
      </c>
      <c r="B16" s="12" t="s">
        <v>1340</v>
      </c>
      <c r="C16" s="28" t="s">
        <v>1372</v>
      </c>
    </row>
    <row r="17" spans="1:3" x14ac:dyDescent="0.25">
      <c r="A17" s="11">
        <v>60</v>
      </c>
      <c r="B17" s="12" t="s">
        <v>1341</v>
      </c>
      <c r="C17" s="28" t="s">
        <v>1372</v>
      </c>
    </row>
    <row r="18" spans="1:3" x14ac:dyDescent="0.25">
      <c r="A18" s="11">
        <v>48</v>
      </c>
      <c r="B18" s="12" t="s">
        <v>1329</v>
      </c>
      <c r="C18" s="28" t="s">
        <v>1333</v>
      </c>
    </row>
    <row r="19" spans="1:3" x14ac:dyDescent="0.25">
      <c r="A19" s="11">
        <v>50</v>
      </c>
      <c r="B19" s="12" t="s">
        <v>1331</v>
      </c>
      <c r="C19" s="28" t="s">
        <v>1333</v>
      </c>
    </row>
    <row r="20" spans="1:3" x14ac:dyDescent="0.25">
      <c r="A20" s="11">
        <v>54</v>
      </c>
      <c r="B20" s="12" t="s">
        <v>1335</v>
      </c>
      <c r="C20" s="28" t="s">
        <v>1333</v>
      </c>
    </row>
    <row r="21" spans="1:3" x14ac:dyDescent="0.25">
      <c r="A21" s="11">
        <v>66</v>
      </c>
      <c r="B21" s="12" t="s">
        <v>1347</v>
      </c>
      <c r="C21" s="28" t="s">
        <v>1333</v>
      </c>
    </row>
    <row r="22" spans="1:3" x14ac:dyDescent="0.25">
      <c r="A22" s="11">
        <v>70</v>
      </c>
      <c r="B22" s="12" t="s">
        <v>1350</v>
      </c>
      <c r="C22" s="28" t="s">
        <v>1333</v>
      </c>
    </row>
    <row r="23" spans="1:3" x14ac:dyDescent="0.25">
      <c r="A23" s="11">
        <v>80</v>
      </c>
      <c r="B23" s="12" t="s">
        <v>1358</v>
      </c>
      <c r="C23" s="28" t="s">
        <v>1333</v>
      </c>
    </row>
    <row r="24" spans="1:3" x14ac:dyDescent="0.25">
      <c r="A24" s="11">
        <v>83</v>
      </c>
      <c r="B24" s="12" t="s">
        <v>1360</v>
      </c>
      <c r="C24" s="28" t="s">
        <v>1333</v>
      </c>
    </row>
    <row r="25" spans="1:3" x14ac:dyDescent="0.25">
      <c r="A25" s="11">
        <v>51</v>
      </c>
      <c r="B25" s="12" t="s">
        <v>1332</v>
      </c>
      <c r="C25" s="28" t="s">
        <v>1390</v>
      </c>
    </row>
    <row r="26" spans="1:3" x14ac:dyDescent="0.25">
      <c r="A26" s="11">
        <v>74</v>
      </c>
      <c r="B26" s="12" t="s">
        <v>1354</v>
      </c>
      <c r="C26" s="28" t="s">
        <v>1390</v>
      </c>
    </row>
    <row r="27" spans="1:3" x14ac:dyDescent="0.25">
      <c r="A27" s="11">
        <v>96</v>
      </c>
      <c r="B27" s="12" t="s">
        <v>1363</v>
      </c>
      <c r="C27" s="28" t="s">
        <v>1390</v>
      </c>
    </row>
    <row r="28" spans="1:3" x14ac:dyDescent="0.25">
      <c r="A28" s="11">
        <v>55</v>
      </c>
      <c r="B28" s="12" t="s">
        <v>1336</v>
      </c>
      <c r="C28" s="28" t="s">
        <v>1379</v>
      </c>
    </row>
    <row r="29" spans="1:3" x14ac:dyDescent="0.25">
      <c r="A29" s="11">
        <v>75</v>
      </c>
      <c r="B29" s="12" t="s">
        <v>1464</v>
      </c>
      <c r="C29" s="28" t="s">
        <v>1391</v>
      </c>
    </row>
    <row r="30" spans="1:3" x14ac:dyDescent="0.25">
      <c r="A30" s="11">
        <v>85</v>
      </c>
      <c r="B30" s="12" t="s">
        <v>1361</v>
      </c>
      <c r="C30" s="28" t="s">
        <v>1391</v>
      </c>
    </row>
    <row r="31" spans="1:3" x14ac:dyDescent="0.25">
      <c r="A31" s="11">
        <v>89</v>
      </c>
      <c r="B31" s="12" t="s">
        <v>1362</v>
      </c>
      <c r="C31" s="28" t="s">
        <v>1391</v>
      </c>
    </row>
    <row r="32" spans="1:3" x14ac:dyDescent="0.25">
      <c r="A32" s="11">
        <v>49</v>
      </c>
      <c r="B32" s="12" t="s">
        <v>1330</v>
      </c>
      <c r="C32" s="44" t="s">
        <v>1381</v>
      </c>
    </row>
    <row r="33" spans="1:3" x14ac:dyDescent="0.25">
      <c r="A33" s="11">
        <v>61</v>
      </c>
      <c r="B33" s="12" t="s">
        <v>1342</v>
      </c>
      <c r="C33" s="28" t="s">
        <v>1381</v>
      </c>
    </row>
    <row r="34" spans="1:3" x14ac:dyDescent="0.25">
      <c r="A34" s="11">
        <v>76</v>
      </c>
      <c r="B34" s="12" t="s">
        <v>1355</v>
      </c>
      <c r="C34" s="28" t="s">
        <v>1387</v>
      </c>
    </row>
    <row r="35" spans="1:3" x14ac:dyDescent="0.25">
      <c r="A35" s="11">
        <v>67</v>
      </c>
      <c r="B35" s="12" t="s">
        <v>1348</v>
      </c>
      <c r="C35" s="28" t="s">
        <v>1377</v>
      </c>
    </row>
    <row r="36" spans="1:3" x14ac:dyDescent="0.25">
      <c r="A36" s="11">
        <v>69</v>
      </c>
      <c r="B36" s="12" t="s">
        <v>1349</v>
      </c>
      <c r="C36" s="28" t="s">
        <v>1377</v>
      </c>
    </row>
    <row r="37" spans="1:3" x14ac:dyDescent="0.25">
      <c r="A37" s="11">
        <v>81</v>
      </c>
      <c r="B37" s="12" t="s">
        <v>1359</v>
      </c>
      <c r="C37" s="28" t="s">
        <v>1385</v>
      </c>
    </row>
    <row r="38" spans="1:3" x14ac:dyDescent="0.25">
      <c r="A38" s="11">
        <v>20</v>
      </c>
      <c r="B38" s="12" t="s">
        <v>1326</v>
      </c>
      <c r="C38" s="28" t="s">
        <v>1376</v>
      </c>
    </row>
    <row r="39" spans="1:3" x14ac:dyDescent="0.25">
      <c r="A39" s="11">
        <v>63</v>
      </c>
      <c r="B39" s="12" t="s">
        <v>1344</v>
      </c>
      <c r="C39" s="28" t="s">
        <v>1376</v>
      </c>
    </row>
    <row r="40" spans="1:3" x14ac:dyDescent="0.25">
      <c r="A40" s="11">
        <v>64</v>
      </c>
      <c r="B40" s="12" t="s">
        <v>1345</v>
      </c>
      <c r="C40" s="28" t="s">
        <v>1376</v>
      </c>
    </row>
    <row r="41" spans="1:3" x14ac:dyDescent="0.25">
      <c r="A41" s="11">
        <v>65</v>
      </c>
      <c r="B41" s="12" t="s">
        <v>1346</v>
      </c>
      <c r="C41" s="28" t="s">
        <v>1376</v>
      </c>
    </row>
    <row r="1311" spans="1:2" x14ac:dyDescent="0.25">
      <c r="A1311">
        <v>45</v>
      </c>
      <c r="B1311" t="s">
        <v>1327</v>
      </c>
    </row>
    <row r="1312" spans="1:2" x14ac:dyDescent="0.25">
      <c r="A1312">
        <v>45</v>
      </c>
      <c r="B1312" t="s">
        <v>1327</v>
      </c>
    </row>
    <row r="1313" spans="1:2" x14ac:dyDescent="0.25">
      <c r="A1313">
        <v>45</v>
      </c>
      <c r="B1313" t="s">
        <v>1327</v>
      </c>
    </row>
    <row r="1314" spans="1:2" x14ac:dyDescent="0.25">
      <c r="A1314">
        <v>45</v>
      </c>
      <c r="B1314" t="s">
        <v>1327</v>
      </c>
    </row>
    <row r="1315" spans="1:2" x14ac:dyDescent="0.25">
      <c r="A1315">
        <v>46</v>
      </c>
      <c r="B1315" t="s">
        <v>1364</v>
      </c>
    </row>
    <row r="1316" spans="1:2" x14ac:dyDescent="0.25">
      <c r="A1316">
        <v>45</v>
      </c>
      <c r="B1316" t="s">
        <v>1327</v>
      </c>
    </row>
    <row r="1317" spans="1:2" x14ac:dyDescent="0.25">
      <c r="A1317">
        <v>83</v>
      </c>
      <c r="B1317" t="s">
        <v>1360</v>
      </c>
    </row>
    <row r="1318" spans="1:2" x14ac:dyDescent="0.25">
      <c r="A1318">
        <v>83</v>
      </c>
      <c r="B1318" t="s">
        <v>1360</v>
      </c>
    </row>
    <row r="1319" spans="1:2" x14ac:dyDescent="0.25">
      <c r="A1319">
        <v>83</v>
      </c>
      <c r="B1319" t="s">
        <v>1360</v>
      </c>
    </row>
    <row r="1320" spans="1:2" x14ac:dyDescent="0.25">
      <c r="A1320">
        <v>83</v>
      </c>
      <c r="B1320" t="s">
        <v>1360</v>
      </c>
    </row>
    <row r="1321" spans="1:2" x14ac:dyDescent="0.25">
      <c r="A1321">
        <v>83</v>
      </c>
      <c r="B1321" t="s">
        <v>1360</v>
      </c>
    </row>
    <row r="1322" spans="1:2" x14ac:dyDescent="0.25">
      <c r="A1322">
        <v>83</v>
      </c>
      <c r="B1322" t="s">
        <v>1360</v>
      </c>
    </row>
    <row r="1323" spans="1:2" x14ac:dyDescent="0.25">
      <c r="A1323">
        <v>83</v>
      </c>
      <c r="B1323" t="s">
        <v>1360</v>
      </c>
    </row>
    <row r="1324" spans="1:2" x14ac:dyDescent="0.25">
      <c r="A1324">
        <v>83</v>
      </c>
      <c r="B1324" t="s">
        <v>1360</v>
      </c>
    </row>
    <row r="1325" spans="1:2" x14ac:dyDescent="0.25">
      <c r="A1325">
        <v>83</v>
      </c>
      <c r="B1325" t="s">
        <v>1360</v>
      </c>
    </row>
    <row r="1326" spans="1:2" x14ac:dyDescent="0.25">
      <c r="A1326">
        <v>83</v>
      </c>
      <c r="B1326" t="s">
        <v>1360</v>
      </c>
    </row>
    <row r="1327" spans="1:2" x14ac:dyDescent="0.25">
      <c r="A1327">
        <v>83</v>
      </c>
      <c r="B1327" t="s">
        <v>1360</v>
      </c>
    </row>
    <row r="1328" spans="1:2" x14ac:dyDescent="0.25">
      <c r="A1328">
        <v>83</v>
      </c>
      <c r="B1328" t="s">
        <v>1360</v>
      </c>
    </row>
    <row r="1329" spans="1:2" x14ac:dyDescent="0.25">
      <c r="A1329">
        <v>83</v>
      </c>
      <c r="B1329" t="s">
        <v>1360</v>
      </c>
    </row>
    <row r="1330" spans="1:2" x14ac:dyDescent="0.25">
      <c r="A1330">
        <v>83</v>
      </c>
      <c r="B1330" t="s">
        <v>1360</v>
      </c>
    </row>
    <row r="1331" spans="1:2" x14ac:dyDescent="0.25">
      <c r="A1331">
        <v>83</v>
      </c>
      <c r="B1331" t="s">
        <v>1360</v>
      </c>
    </row>
    <row r="1332" spans="1:2" x14ac:dyDescent="0.25">
      <c r="A1332">
        <v>83</v>
      </c>
      <c r="B1332" t="s">
        <v>1360</v>
      </c>
    </row>
    <row r="1333" spans="1:2" x14ac:dyDescent="0.25">
      <c r="A1333">
        <v>83</v>
      </c>
      <c r="B1333" t="s">
        <v>1360</v>
      </c>
    </row>
    <row r="1334" spans="1:2" x14ac:dyDescent="0.25">
      <c r="A1334">
        <v>83</v>
      </c>
      <c r="B1334" t="s">
        <v>1360</v>
      </c>
    </row>
    <row r="1335" spans="1:2" x14ac:dyDescent="0.25">
      <c r="A1335">
        <v>83</v>
      </c>
      <c r="B1335" t="s">
        <v>1360</v>
      </c>
    </row>
    <row r="1336" spans="1:2" x14ac:dyDescent="0.25">
      <c r="A1336">
        <v>83</v>
      </c>
      <c r="B1336" t="s">
        <v>1360</v>
      </c>
    </row>
    <row r="1337" spans="1:2" x14ac:dyDescent="0.25">
      <c r="A1337">
        <v>83</v>
      </c>
      <c r="B1337" t="s">
        <v>1360</v>
      </c>
    </row>
    <row r="1338" spans="1:2" x14ac:dyDescent="0.25">
      <c r="A1338">
        <v>83</v>
      </c>
      <c r="B1338" t="s">
        <v>1360</v>
      </c>
    </row>
    <row r="1339" spans="1:2" x14ac:dyDescent="0.25">
      <c r="A1339">
        <v>83</v>
      </c>
      <c r="B1339" t="s">
        <v>1360</v>
      </c>
    </row>
    <row r="1340" spans="1:2" x14ac:dyDescent="0.25">
      <c r="A1340">
        <v>83</v>
      </c>
      <c r="B1340" t="s">
        <v>1360</v>
      </c>
    </row>
    <row r="1341" spans="1:2" x14ac:dyDescent="0.25">
      <c r="A1341">
        <v>83</v>
      </c>
      <c r="B1341" t="s">
        <v>1360</v>
      </c>
    </row>
    <row r="1342" spans="1:2" x14ac:dyDescent="0.25">
      <c r="A1342">
        <v>83</v>
      </c>
      <c r="B1342" t="s">
        <v>1360</v>
      </c>
    </row>
    <row r="1343" spans="1:2" x14ac:dyDescent="0.25">
      <c r="A1343">
        <v>83</v>
      </c>
      <c r="B1343" t="s">
        <v>1360</v>
      </c>
    </row>
    <row r="1344" spans="1:2" x14ac:dyDescent="0.25">
      <c r="A1344">
        <v>83</v>
      </c>
      <c r="B1344" t="s">
        <v>1360</v>
      </c>
    </row>
    <row r="1345" spans="1:2" x14ac:dyDescent="0.25">
      <c r="A1345">
        <v>83</v>
      </c>
      <c r="B1345" t="s">
        <v>1360</v>
      </c>
    </row>
    <row r="1346" spans="1:2" x14ac:dyDescent="0.25">
      <c r="A1346">
        <v>83</v>
      </c>
      <c r="B1346" t="s">
        <v>1360</v>
      </c>
    </row>
    <row r="1347" spans="1:2" x14ac:dyDescent="0.25">
      <c r="A1347">
        <v>83</v>
      </c>
      <c r="B1347" t="s">
        <v>1360</v>
      </c>
    </row>
    <row r="1348" spans="1:2" x14ac:dyDescent="0.25">
      <c r="A1348">
        <v>72</v>
      </c>
      <c r="B1348" t="s">
        <v>1352</v>
      </c>
    </row>
    <row r="1349" spans="1:2" x14ac:dyDescent="0.25">
      <c r="A1349">
        <v>72</v>
      </c>
      <c r="B1349" t="s">
        <v>1352</v>
      </c>
    </row>
    <row r="1350" spans="1:2" x14ac:dyDescent="0.25">
      <c r="A1350">
        <v>72</v>
      </c>
      <c r="B1350" t="s">
        <v>1352</v>
      </c>
    </row>
    <row r="1351" spans="1:2" x14ac:dyDescent="0.25">
      <c r="A1351">
        <v>79</v>
      </c>
      <c r="B1351" t="s">
        <v>1357</v>
      </c>
    </row>
    <row r="1352" spans="1:2" x14ac:dyDescent="0.25">
      <c r="A1352">
        <v>55</v>
      </c>
      <c r="B1352" t="s">
        <v>1336</v>
      </c>
    </row>
    <row r="1353" spans="1:2" x14ac:dyDescent="0.25">
      <c r="A1353">
        <v>55</v>
      </c>
      <c r="B1353" t="s">
        <v>1336</v>
      </c>
    </row>
    <row r="1354" spans="1:2" x14ac:dyDescent="0.25">
      <c r="A1354">
        <v>55</v>
      </c>
      <c r="B1354" t="s">
        <v>1336</v>
      </c>
    </row>
    <row r="1355" spans="1:2" x14ac:dyDescent="0.25">
      <c r="A1355">
        <v>55</v>
      </c>
      <c r="B1355" t="s">
        <v>1336</v>
      </c>
    </row>
    <row r="1356" spans="1:2" x14ac:dyDescent="0.25">
      <c r="A1356">
        <v>55</v>
      </c>
      <c r="B1356" t="s">
        <v>1336</v>
      </c>
    </row>
    <row r="1357" spans="1:2" x14ac:dyDescent="0.25">
      <c r="A1357">
        <v>55</v>
      </c>
      <c r="B1357" t="s">
        <v>1336</v>
      </c>
    </row>
    <row r="1358" spans="1:2" x14ac:dyDescent="0.25">
      <c r="A1358">
        <v>55</v>
      </c>
      <c r="B1358" t="s">
        <v>1336</v>
      </c>
    </row>
    <row r="1359" spans="1:2" x14ac:dyDescent="0.25">
      <c r="A1359">
        <v>55</v>
      </c>
      <c r="B1359" t="s">
        <v>1336</v>
      </c>
    </row>
    <row r="1360" spans="1:2" x14ac:dyDescent="0.25">
      <c r="A1360">
        <v>55</v>
      </c>
      <c r="B1360" t="s">
        <v>1336</v>
      </c>
    </row>
    <row r="1361" spans="1:2" x14ac:dyDescent="0.25">
      <c r="A1361">
        <v>55</v>
      </c>
      <c r="B1361" t="s">
        <v>1336</v>
      </c>
    </row>
    <row r="1362" spans="1:2" x14ac:dyDescent="0.25">
      <c r="A1362">
        <v>20</v>
      </c>
      <c r="B1362" t="s">
        <v>1326</v>
      </c>
    </row>
    <row r="1363" spans="1:2" x14ac:dyDescent="0.25">
      <c r="A1363">
        <v>20</v>
      </c>
      <c r="B1363" t="s">
        <v>1326</v>
      </c>
    </row>
    <row r="1364" spans="1:2" x14ac:dyDescent="0.25">
      <c r="A1364">
        <v>54</v>
      </c>
      <c r="B1364" t="s">
        <v>1335</v>
      </c>
    </row>
    <row r="1365" spans="1:2" x14ac:dyDescent="0.25">
      <c r="A1365">
        <v>54</v>
      </c>
      <c r="B1365" t="s">
        <v>1335</v>
      </c>
    </row>
    <row r="1366" spans="1:2" x14ac:dyDescent="0.25">
      <c r="A1366">
        <v>54</v>
      </c>
      <c r="B1366" t="s">
        <v>1335</v>
      </c>
    </row>
    <row r="1367" spans="1:2" x14ac:dyDescent="0.25">
      <c r="A1367">
        <v>54</v>
      </c>
      <c r="B1367" t="s">
        <v>1335</v>
      </c>
    </row>
    <row r="1368" spans="1:2" x14ac:dyDescent="0.25">
      <c r="A1368">
        <v>54</v>
      </c>
      <c r="B1368" t="s">
        <v>1335</v>
      </c>
    </row>
    <row r="1369" spans="1:2" x14ac:dyDescent="0.25">
      <c r="A1369">
        <v>20</v>
      </c>
      <c r="B1369" t="s">
        <v>1326</v>
      </c>
    </row>
    <row r="1370" spans="1:2" x14ac:dyDescent="0.25">
      <c r="A1370">
        <v>54</v>
      </c>
      <c r="B1370" t="s">
        <v>1335</v>
      </c>
    </row>
    <row r="1371" spans="1:2" x14ac:dyDescent="0.25">
      <c r="A1371">
        <v>54</v>
      </c>
      <c r="B1371" t="s">
        <v>1335</v>
      </c>
    </row>
    <row r="1372" spans="1:2" x14ac:dyDescent="0.25">
      <c r="A1372">
        <v>54</v>
      </c>
      <c r="B1372" t="s">
        <v>1335</v>
      </c>
    </row>
    <row r="1373" spans="1:2" x14ac:dyDescent="0.25">
      <c r="A1373">
        <v>54</v>
      </c>
      <c r="B1373" t="s">
        <v>1335</v>
      </c>
    </row>
    <row r="1374" spans="1:2" x14ac:dyDescent="0.25">
      <c r="A1374">
        <v>54</v>
      </c>
      <c r="B1374" t="s">
        <v>1335</v>
      </c>
    </row>
    <row r="1375" spans="1:2" x14ac:dyDescent="0.25">
      <c r="A1375">
        <v>54</v>
      </c>
      <c r="B1375" t="s">
        <v>1335</v>
      </c>
    </row>
    <row r="1376" spans="1:2" x14ac:dyDescent="0.25">
      <c r="A1376">
        <v>54</v>
      </c>
      <c r="B1376" t="s">
        <v>1335</v>
      </c>
    </row>
    <row r="1377" spans="1:2" x14ac:dyDescent="0.25">
      <c r="A1377">
        <v>54</v>
      </c>
      <c r="B1377" t="s">
        <v>1335</v>
      </c>
    </row>
    <row r="1378" spans="1:2" x14ac:dyDescent="0.25">
      <c r="A1378">
        <v>54</v>
      </c>
      <c r="B1378" t="s">
        <v>1335</v>
      </c>
    </row>
    <row r="1379" spans="1:2" x14ac:dyDescent="0.25">
      <c r="A1379">
        <v>54</v>
      </c>
      <c r="B1379" t="s">
        <v>1335</v>
      </c>
    </row>
    <row r="1380" spans="1:2" x14ac:dyDescent="0.25">
      <c r="A1380">
        <v>54</v>
      </c>
      <c r="B1380" t="s">
        <v>1335</v>
      </c>
    </row>
    <row r="1381" spans="1:2" x14ac:dyDescent="0.25">
      <c r="A1381">
        <v>54</v>
      </c>
      <c r="B1381" t="s">
        <v>1335</v>
      </c>
    </row>
    <row r="1382" spans="1:2" x14ac:dyDescent="0.25">
      <c r="A1382">
        <v>61</v>
      </c>
      <c r="B1382" t="s">
        <v>1342</v>
      </c>
    </row>
    <row r="1383" spans="1:2" x14ac:dyDescent="0.25">
      <c r="A1383">
        <v>61</v>
      </c>
      <c r="B1383" t="s">
        <v>1342</v>
      </c>
    </row>
    <row r="1384" spans="1:2" x14ac:dyDescent="0.25">
      <c r="A1384">
        <v>61</v>
      </c>
      <c r="B1384" t="s">
        <v>1342</v>
      </c>
    </row>
    <row r="1385" spans="1:2" x14ac:dyDescent="0.25">
      <c r="A1385">
        <v>61</v>
      </c>
      <c r="B1385" t="s">
        <v>1342</v>
      </c>
    </row>
    <row r="1386" spans="1:2" x14ac:dyDescent="0.25">
      <c r="A1386">
        <v>61</v>
      </c>
      <c r="B1386" t="s">
        <v>1342</v>
      </c>
    </row>
    <row r="1387" spans="1:2" x14ac:dyDescent="0.25">
      <c r="A1387">
        <v>61</v>
      </c>
      <c r="B1387" t="s">
        <v>1342</v>
      </c>
    </row>
    <row r="1388" spans="1:2" x14ac:dyDescent="0.25">
      <c r="A1388">
        <v>61</v>
      </c>
      <c r="B1388" t="s">
        <v>1342</v>
      </c>
    </row>
    <row r="1389" spans="1:2" x14ac:dyDescent="0.25">
      <c r="A1389">
        <v>61</v>
      </c>
      <c r="B1389" t="s">
        <v>1342</v>
      </c>
    </row>
    <row r="1390" spans="1:2" x14ac:dyDescent="0.25">
      <c r="A1390">
        <v>54</v>
      </c>
      <c r="B1390" t="s">
        <v>1335</v>
      </c>
    </row>
    <row r="1391" spans="1:2" x14ac:dyDescent="0.25">
      <c r="A1391">
        <v>61</v>
      </c>
      <c r="B1391" t="s">
        <v>1342</v>
      </c>
    </row>
    <row r="1392" spans="1:2" x14ac:dyDescent="0.25">
      <c r="A1392">
        <v>61</v>
      </c>
      <c r="B1392" t="s">
        <v>1342</v>
      </c>
    </row>
    <row r="1393" spans="1:2" x14ac:dyDescent="0.25">
      <c r="A1393">
        <v>61</v>
      </c>
      <c r="B1393" t="s">
        <v>1342</v>
      </c>
    </row>
    <row r="1394" spans="1:2" x14ac:dyDescent="0.25">
      <c r="A1394">
        <v>61</v>
      </c>
      <c r="B1394" t="s">
        <v>1342</v>
      </c>
    </row>
    <row r="1395" spans="1:2" x14ac:dyDescent="0.25">
      <c r="A1395">
        <v>61</v>
      </c>
      <c r="B1395" t="s">
        <v>1342</v>
      </c>
    </row>
    <row r="1396" spans="1:2" x14ac:dyDescent="0.25">
      <c r="A1396">
        <v>61</v>
      </c>
      <c r="B1396" t="s">
        <v>1342</v>
      </c>
    </row>
    <row r="1397" spans="1:2" x14ac:dyDescent="0.25">
      <c r="A1397">
        <v>61</v>
      </c>
      <c r="B1397" t="s">
        <v>1342</v>
      </c>
    </row>
    <row r="1398" spans="1:2" x14ac:dyDescent="0.25">
      <c r="A1398">
        <v>61</v>
      </c>
      <c r="B1398" t="s">
        <v>1342</v>
      </c>
    </row>
    <row r="1399" spans="1:2" x14ac:dyDescent="0.25">
      <c r="A1399">
        <v>61</v>
      </c>
      <c r="B1399" t="s">
        <v>1342</v>
      </c>
    </row>
    <row r="1400" spans="1:2" x14ac:dyDescent="0.25">
      <c r="A1400">
        <v>61</v>
      </c>
      <c r="B1400" t="s">
        <v>1342</v>
      </c>
    </row>
    <row r="1401" spans="1:2" x14ac:dyDescent="0.25">
      <c r="A1401">
        <v>55</v>
      </c>
      <c r="B1401" t="s">
        <v>1336</v>
      </c>
    </row>
    <row r="1402" spans="1:2" x14ac:dyDescent="0.25">
      <c r="A1402">
        <v>51</v>
      </c>
      <c r="B1402" t="s">
        <v>1332</v>
      </c>
    </row>
    <row r="1403" spans="1:2" x14ac:dyDescent="0.25">
      <c r="A1403">
        <v>54</v>
      </c>
      <c r="B1403" t="s">
        <v>1335</v>
      </c>
    </row>
    <row r="1404" spans="1:2" x14ac:dyDescent="0.25">
      <c r="A1404">
        <v>70</v>
      </c>
      <c r="B1404" t="s">
        <v>1350</v>
      </c>
    </row>
    <row r="1405" spans="1:2" x14ac:dyDescent="0.25">
      <c r="A1405">
        <v>61</v>
      </c>
      <c r="B1405" t="s">
        <v>1342</v>
      </c>
    </row>
    <row r="1406" spans="1:2" x14ac:dyDescent="0.25">
      <c r="A1406">
        <v>61</v>
      </c>
      <c r="B1406" t="s">
        <v>1342</v>
      </c>
    </row>
    <row r="1407" spans="1:2" x14ac:dyDescent="0.25">
      <c r="A1407">
        <v>73</v>
      </c>
      <c r="B1407" t="s">
        <v>1353</v>
      </c>
    </row>
    <row r="1408" spans="1:2" x14ac:dyDescent="0.25">
      <c r="A1408">
        <v>61</v>
      </c>
      <c r="B1408" t="s">
        <v>1342</v>
      </c>
    </row>
    <row r="1409" spans="1:2" x14ac:dyDescent="0.25">
      <c r="A1409">
        <v>61</v>
      </c>
      <c r="B1409" t="s">
        <v>1342</v>
      </c>
    </row>
    <row r="1410" spans="1:2" x14ac:dyDescent="0.25">
      <c r="A1410">
        <v>61</v>
      </c>
      <c r="B1410" t="s">
        <v>1342</v>
      </c>
    </row>
    <row r="1411" spans="1:2" x14ac:dyDescent="0.25">
      <c r="A1411">
        <v>51</v>
      </c>
      <c r="B1411" t="s">
        <v>1332</v>
      </c>
    </row>
    <row r="1412" spans="1:2" x14ac:dyDescent="0.25">
      <c r="A1412">
        <v>45</v>
      </c>
      <c r="B1412" t="s">
        <v>1327</v>
      </c>
    </row>
    <row r="1413" spans="1:2" x14ac:dyDescent="0.25">
      <c r="A1413">
        <v>45</v>
      </c>
      <c r="B1413" t="s">
        <v>1327</v>
      </c>
    </row>
    <row r="1414" spans="1:2" x14ac:dyDescent="0.25">
      <c r="A1414">
        <v>45</v>
      </c>
      <c r="B1414" t="s">
        <v>1327</v>
      </c>
    </row>
    <row r="1415" spans="1:2" x14ac:dyDescent="0.25">
      <c r="A1415">
        <v>45</v>
      </c>
      <c r="B1415" t="s">
        <v>1327</v>
      </c>
    </row>
    <row r="1416" spans="1:2" x14ac:dyDescent="0.25">
      <c r="A1416">
        <v>45</v>
      </c>
      <c r="B1416" t="s">
        <v>1327</v>
      </c>
    </row>
    <row r="1417" spans="1:2" x14ac:dyDescent="0.25">
      <c r="A1417">
        <v>45</v>
      </c>
      <c r="B1417" t="s">
        <v>1327</v>
      </c>
    </row>
    <row r="1418" spans="1:2" x14ac:dyDescent="0.25">
      <c r="A1418">
        <v>45</v>
      </c>
      <c r="B1418" t="s">
        <v>1327</v>
      </c>
    </row>
    <row r="1419" spans="1:2" x14ac:dyDescent="0.25">
      <c r="A1419">
        <v>71</v>
      </c>
      <c r="B1419" t="s">
        <v>1351</v>
      </c>
    </row>
    <row r="1420" spans="1:2" x14ac:dyDescent="0.25">
      <c r="A1420">
        <v>71</v>
      </c>
      <c r="B1420" t="s">
        <v>1351</v>
      </c>
    </row>
    <row r="1421" spans="1:2" x14ac:dyDescent="0.25">
      <c r="A1421">
        <v>71</v>
      </c>
      <c r="B1421" t="s">
        <v>1351</v>
      </c>
    </row>
    <row r="1422" spans="1:2" x14ac:dyDescent="0.25">
      <c r="A1422">
        <v>71</v>
      </c>
      <c r="B1422" t="s">
        <v>1351</v>
      </c>
    </row>
    <row r="1423" spans="1:2" x14ac:dyDescent="0.25">
      <c r="A1423">
        <v>70</v>
      </c>
      <c r="B1423" t="s">
        <v>1350</v>
      </c>
    </row>
    <row r="1424" spans="1:2" x14ac:dyDescent="0.25">
      <c r="A1424">
        <v>70</v>
      </c>
      <c r="B1424" t="s">
        <v>1350</v>
      </c>
    </row>
    <row r="1425" spans="1:2" x14ac:dyDescent="0.25">
      <c r="A1425">
        <v>70</v>
      </c>
      <c r="B1425" t="s">
        <v>1350</v>
      </c>
    </row>
    <row r="1426" spans="1:2" x14ac:dyDescent="0.25">
      <c r="A1426">
        <v>54</v>
      </c>
      <c r="B1426" t="s">
        <v>1335</v>
      </c>
    </row>
    <row r="1427" spans="1:2" x14ac:dyDescent="0.25">
      <c r="A1427">
        <v>54</v>
      </c>
      <c r="B1427" t="s">
        <v>1335</v>
      </c>
    </row>
    <row r="1428" spans="1:2" x14ac:dyDescent="0.25">
      <c r="A1428">
        <v>54</v>
      </c>
      <c r="B1428" t="s">
        <v>1335</v>
      </c>
    </row>
    <row r="1429" spans="1:2" x14ac:dyDescent="0.25">
      <c r="A1429">
        <v>54</v>
      </c>
      <c r="B1429" t="s">
        <v>1335</v>
      </c>
    </row>
    <row r="1430" spans="1:2" x14ac:dyDescent="0.25">
      <c r="A1430">
        <v>51</v>
      </c>
      <c r="B1430" t="s">
        <v>1332</v>
      </c>
    </row>
    <row r="1431" spans="1:2" x14ac:dyDescent="0.25">
      <c r="A1431">
        <v>51</v>
      </c>
      <c r="B1431" t="s">
        <v>1332</v>
      </c>
    </row>
    <row r="1432" spans="1:2" x14ac:dyDescent="0.25">
      <c r="A1432">
        <v>51</v>
      </c>
      <c r="B1432" t="s">
        <v>1332</v>
      </c>
    </row>
    <row r="1433" spans="1:2" x14ac:dyDescent="0.25">
      <c r="A1433">
        <v>45</v>
      </c>
      <c r="B1433" t="s">
        <v>1327</v>
      </c>
    </row>
    <row r="1434" spans="1:2" x14ac:dyDescent="0.25">
      <c r="A1434">
        <v>45</v>
      </c>
      <c r="B1434" t="s">
        <v>1327</v>
      </c>
    </row>
    <row r="1435" spans="1:2" x14ac:dyDescent="0.25">
      <c r="A1435">
        <v>51</v>
      </c>
      <c r="B1435" t="s">
        <v>1332</v>
      </c>
    </row>
    <row r="1436" spans="1:2" x14ac:dyDescent="0.25">
      <c r="A1436">
        <v>51</v>
      </c>
      <c r="B1436" t="s">
        <v>1332</v>
      </c>
    </row>
    <row r="1437" spans="1:2" x14ac:dyDescent="0.25">
      <c r="A1437">
        <v>76</v>
      </c>
      <c r="B1437" t="s">
        <v>1355</v>
      </c>
    </row>
    <row r="1438" spans="1:2" x14ac:dyDescent="0.25">
      <c r="A1438">
        <v>45</v>
      </c>
      <c r="B1438" t="s">
        <v>1327</v>
      </c>
    </row>
    <row r="1439" spans="1:2" x14ac:dyDescent="0.25">
      <c r="A1439">
        <v>45</v>
      </c>
      <c r="B1439" t="s">
        <v>1327</v>
      </c>
    </row>
    <row r="1440" spans="1:2" x14ac:dyDescent="0.25">
      <c r="A1440">
        <v>55</v>
      </c>
      <c r="B1440" t="s">
        <v>1336</v>
      </c>
    </row>
    <row r="1441" spans="1:2" x14ac:dyDescent="0.25">
      <c r="A1441">
        <v>51</v>
      </c>
      <c r="B1441" t="s">
        <v>1332</v>
      </c>
    </row>
    <row r="1442" spans="1:2" x14ac:dyDescent="0.25">
      <c r="A1442">
        <v>51</v>
      </c>
      <c r="B1442" t="s">
        <v>1332</v>
      </c>
    </row>
    <row r="1443" spans="1:2" x14ac:dyDescent="0.25">
      <c r="A1443">
        <v>51</v>
      </c>
      <c r="B1443" t="s">
        <v>1332</v>
      </c>
    </row>
    <row r="1444" spans="1:2" x14ac:dyDescent="0.25">
      <c r="A1444">
        <v>51</v>
      </c>
      <c r="B1444" t="s">
        <v>1332</v>
      </c>
    </row>
    <row r="1445" spans="1:2" x14ac:dyDescent="0.25">
      <c r="A1445">
        <v>61</v>
      </c>
      <c r="B1445" t="s">
        <v>1342</v>
      </c>
    </row>
    <row r="1446" spans="1:2" x14ac:dyDescent="0.25">
      <c r="A1446">
        <v>61</v>
      </c>
      <c r="B1446" t="s">
        <v>1342</v>
      </c>
    </row>
    <row r="1447" spans="1:2" x14ac:dyDescent="0.25">
      <c r="A1447">
        <v>61</v>
      </c>
      <c r="B1447" t="s">
        <v>1342</v>
      </c>
    </row>
    <row r="1448" spans="1:2" x14ac:dyDescent="0.25">
      <c r="A1448">
        <v>61</v>
      </c>
      <c r="B1448" t="s">
        <v>1342</v>
      </c>
    </row>
    <row r="1449" spans="1:2" x14ac:dyDescent="0.25">
      <c r="A1449">
        <v>61</v>
      </c>
      <c r="B1449" t="s">
        <v>1342</v>
      </c>
    </row>
    <row r="1450" spans="1:2" x14ac:dyDescent="0.25">
      <c r="A1450">
        <v>54</v>
      </c>
      <c r="B1450" t="s">
        <v>1335</v>
      </c>
    </row>
    <row r="1451" spans="1:2" x14ac:dyDescent="0.25">
      <c r="A1451">
        <v>54</v>
      </c>
      <c r="B1451" t="s">
        <v>1335</v>
      </c>
    </row>
    <row r="1452" spans="1:2" x14ac:dyDescent="0.25">
      <c r="A1452">
        <v>54</v>
      </c>
      <c r="B1452" t="s">
        <v>1335</v>
      </c>
    </row>
    <row r="1453" spans="1:2" x14ac:dyDescent="0.25">
      <c r="A1453">
        <v>54</v>
      </c>
      <c r="B1453" t="s">
        <v>1335</v>
      </c>
    </row>
    <row r="1454" spans="1:2" x14ac:dyDescent="0.25">
      <c r="A1454">
        <v>54</v>
      </c>
      <c r="B1454" t="s">
        <v>1335</v>
      </c>
    </row>
    <row r="1455" spans="1:2" x14ac:dyDescent="0.25">
      <c r="A1455">
        <v>72</v>
      </c>
      <c r="B1455" t="s">
        <v>1352</v>
      </c>
    </row>
    <row r="1456" spans="1:2" x14ac:dyDescent="0.25">
      <c r="A1456">
        <v>75</v>
      </c>
      <c r="B1456" t="s">
        <v>1365</v>
      </c>
    </row>
    <row r="1457" spans="1:2" x14ac:dyDescent="0.25">
      <c r="A1457">
        <v>75</v>
      </c>
      <c r="B1457" t="s">
        <v>1365</v>
      </c>
    </row>
    <row r="1458" spans="1:2" x14ac:dyDescent="0.25">
      <c r="A1458">
        <v>70</v>
      </c>
      <c r="B1458" t="s">
        <v>1350</v>
      </c>
    </row>
    <row r="1459" spans="1:2" x14ac:dyDescent="0.25">
      <c r="A1459">
        <v>52</v>
      </c>
      <c r="B1459" t="s">
        <v>1334</v>
      </c>
    </row>
    <row r="1460" spans="1:2" x14ac:dyDescent="0.25">
      <c r="A1460">
        <v>72</v>
      </c>
      <c r="B1460" t="s">
        <v>1352</v>
      </c>
    </row>
    <row r="1461" spans="1:2" x14ac:dyDescent="0.25">
      <c r="A1461">
        <v>72</v>
      </c>
      <c r="B1461" t="s">
        <v>1352</v>
      </c>
    </row>
    <row r="1462" spans="1:2" x14ac:dyDescent="0.25">
      <c r="A1462">
        <v>70</v>
      </c>
      <c r="B1462" t="s">
        <v>1350</v>
      </c>
    </row>
    <row r="1463" spans="1:2" x14ac:dyDescent="0.25">
      <c r="A1463">
        <v>72</v>
      </c>
      <c r="B1463" t="s">
        <v>1352</v>
      </c>
    </row>
    <row r="1464" spans="1:2" x14ac:dyDescent="0.25">
      <c r="A1464">
        <v>72</v>
      </c>
      <c r="B1464" t="s">
        <v>1352</v>
      </c>
    </row>
    <row r="1465" spans="1:2" x14ac:dyDescent="0.25">
      <c r="A1465">
        <v>63</v>
      </c>
      <c r="B1465" t="s">
        <v>1344</v>
      </c>
    </row>
    <row r="1466" spans="1:2" x14ac:dyDescent="0.25">
      <c r="A1466">
        <v>52</v>
      </c>
      <c r="B1466" t="s">
        <v>1334</v>
      </c>
    </row>
    <row r="1467" spans="1:2" x14ac:dyDescent="0.25">
      <c r="A1467">
        <v>52</v>
      </c>
      <c r="B1467" t="s">
        <v>1334</v>
      </c>
    </row>
    <row r="1468" spans="1:2" x14ac:dyDescent="0.25">
      <c r="A1468">
        <v>52</v>
      </c>
      <c r="B1468" t="s">
        <v>1334</v>
      </c>
    </row>
    <row r="1469" spans="1:2" x14ac:dyDescent="0.25">
      <c r="A1469">
        <v>72</v>
      </c>
      <c r="B1469" t="s">
        <v>1352</v>
      </c>
    </row>
    <row r="1470" spans="1:2" x14ac:dyDescent="0.25">
      <c r="A1470">
        <v>72</v>
      </c>
      <c r="B1470" t="s">
        <v>1352</v>
      </c>
    </row>
    <row r="1471" spans="1:2" x14ac:dyDescent="0.25">
      <c r="A1471">
        <v>72</v>
      </c>
      <c r="B1471" t="s">
        <v>1352</v>
      </c>
    </row>
    <row r="1472" spans="1:2" x14ac:dyDescent="0.25">
      <c r="A1472">
        <v>72</v>
      </c>
      <c r="B1472" t="s">
        <v>1352</v>
      </c>
    </row>
    <row r="1473" spans="1:2" x14ac:dyDescent="0.25">
      <c r="A1473">
        <v>57</v>
      </c>
      <c r="B1473" t="s">
        <v>1338</v>
      </c>
    </row>
    <row r="1474" spans="1:2" x14ac:dyDescent="0.25">
      <c r="A1474">
        <v>45</v>
      </c>
      <c r="B1474" t="s">
        <v>1327</v>
      </c>
    </row>
    <row r="1475" spans="1:2" x14ac:dyDescent="0.25">
      <c r="A1475">
        <v>45</v>
      </c>
      <c r="B1475" t="s">
        <v>1327</v>
      </c>
    </row>
    <row r="1476" spans="1:2" x14ac:dyDescent="0.25">
      <c r="A1476">
        <v>57</v>
      </c>
      <c r="B1476" t="s">
        <v>1338</v>
      </c>
    </row>
    <row r="1477" spans="1:2" x14ac:dyDescent="0.25">
      <c r="A1477">
        <v>57</v>
      </c>
      <c r="B1477" t="s">
        <v>1338</v>
      </c>
    </row>
    <row r="1478" spans="1:2" x14ac:dyDescent="0.25">
      <c r="A1478">
        <v>57</v>
      </c>
      <c r="B1478" t="s">
        <v>1338</v>
      </c>
    </row>
    <row r="1479" spans="1:2" x14ac:dyDescent="0.25">
      <c r="A1479">
        <v>57</v>
      </c>
      <c r="B1479" t="s">
        <v>1338</v>
      </c>
    </row>
    <row r="1480" spans="1:2" x14ac:dyDescent="0.25">
      <c r="A1480">
        <v>57</v>
      </c>
      <c r="B1480" t="s">
        <v>1338</v>
      </c>
    </row>
    <row r="1481" spans="1:2" x14ac:dyDescent="0.25">
      <c r="A1481">
        <v>57</v>
      </c>
      <c r="B1481" t="s">
        <v>1338</v>
      </c>
    </row>
    <row r="1482" spans="1:2" x14ac:dyDescent="0.25">
      <c r="A1482">
        <v>57</v>
      </c>
      <c r="B1482" t="s">
        <v>1338</v>
      </c>
    </row>
    <row r="1483" spans="1:2" x14ac:dyDescent="0.25">
      <c r="A1483">
        <v>57</v>
      </c>
      <c r="B1483" t="s">
        <v>1338</v>
      </c>
    </row>
    <row r="1484" spans="1:2" x14ac:dyDescent="0.25">
      <c r="A1484">
        <v>57</v>
      </c>
      <c r="B1484" t="s">
        <v>1338</v>
      </c>
    </row>
    <row r="1485" spans="1:2" x14ac:dyDescent="0.25">
      <c r="A1485">
        <v>57</v>
      </c>
      <c r="B1485" t="s">
        <v>1338</v>
      </c>
    </row>
    <row r="1486" spans="1:2" x14ac:dyDescent="0.25">
      <c r="A1486">
        <v>57</v>
      </c>
      <c r="B1486" t="s">
        <v>1338</v>
      </c>
    </row>
    <row r="1487" spans="1:2" x14ac:dyDescent="0.25">
      <c r="A1487">
        <v>57</v>
      </c>
      <c r="B1487" t="s">
        <v>1338</v>
      </c>
    </row>
    <row r="1488" spans="1:2" x14ac:dyDescent="0.25">
      <c r="A1488">
        <v>57</v>
      </c>
      <c r="B1488" t="s">
        <v>1338</v>
      </c>
    </row>
    <row r="1489" spans="1:2" x14ac:dyDescent="0.25">
      <c r="A1489">
        <v>57</v>
      </c>
      <c r="B1489" t="s">
        <v>1338</v>
      </c>
    </row>
    <row r="1490" spans="1:2" x14ac:dyDescent="0.25">
      <c r="A1490">
        <v>57</v>
      </c>
      <c r="B1490" t="s">
        <v>1338</v>
      </c>
    </row>
    <row r="1491" spans="1:2" x14ac:dyDescent="0.25">
      <c r="A1491">
        <v>57</v>
      </c>
      <c r="B1491" t="s">
        <v>1338</v>
      </c>
    </row>
    <row r="1492" spans="1:2" x14ac:dyDescent="0.25">
      <c r="A1492">
        <v>57</v>
      </c>
      <c r="B1492" t="s">
        <v>1338</v>
      </c>
    </row>
    <row r="1493" spans="1:2" x14ac:dyDescent="0.25">
      <c r="A1493">
        <v>57</v>
      </c>
      <c r="B1493" t="s">
        <v>1338</v>
      </c>
    </row>
    <row r="1494" spans="1:2" x14ac:dyDescent="0.25">
      <c r="A1494">
        <v>57</v>
      </c>
      <c r="B1494" t="s">
        <v>1338</v>
      </c>
    </row>
    <row r="1495" spans="1:2" x14ac:dyDescent="0.25">
      <c r="A1495">
        <v>57</v>
      </c>
      <c r="B1495" t="s">
        <v>1338</v>
      </c>
    </row>
    <row r="1496" spans="1:2" x14ac:dyDescent="0.25">
      <c r="A1496">
        <v>57</v>
      </c>
      <c r="B1496" t="s">
        <v>1338</v>
      </c>
    </row>
    <row r="1497" spans="1:2" x14ac:dyDescent="0.25">
      <c r="A1497">
        <v>57</v>
      </c>
      <c r="B1497" t="s">
        <v>1338</v>
      </c>
    </row>
    <row r="1498" spans="1:2" x14ac:dyDescent="0.25">
      <c r="A1498">
        <v>57</v>
      </c>
      <c r="B1498" t="s">
        <v>1338</v>
      </c>
    </row>
    <row r="1499" spans="1:2" x14ac:dyDescent="0.25">
      <c r="A1499">
        <v>57</v>
      </c>
      <c r="B1499" t="s">
        <v>1338</v>
      </c>
    </row>
    <row r="1500" spans="1:2" x14ac:dyDescent="0.25">
      <c r="A1500">
        <v>57</v>
      </c>
      <c r="B1500" t="s">
        <v>1338</v>
      </c>
    </row>
    <row r="1501" spans="1:2" x14ac:dyDescent="0.25">
      <c r="A1501">
        <v>57</v>
      </c>
      <c r="B1501" t="s">
        <v>1338</v>
      </c>
    </row>
    <row r="1502" spans="1:2" x14ac:dyDescent="0.25">
      <c r="A1502">
        <v>57</v>
      </c>
      <c r="B1502" t="s">
        <v>1338</v>
      </c>
    </row>
    <row r="1503" spans="1:2" x14ac:dyDescent="0.25">
      <c r="A1503">
        <v>57</v>
      </c>
      <c r="B1503" t="s">
        <v>1338</v>
      </c>
    </row>
    <row r="1504" spans="1:2" x14ac:dyDescent="0.25">
      <c r="A1504">
        <v>57</v>
      </c>
      <c r="B1504" t="s">
        <v>1338</v>
      </c>
    </row>
    <row r="1505" spans="1:2" x14ac:dyDescent="0.25">
      <c r="A1505">
        <v>57</v>
      </c>
      <c r="B1505" t="s">
        <v>1338</v>
      </c>
    </row>
    <row r="1506" spans="1:2" x14ac:dyDescent="0.25">
      <c r="A1506">
        <v>57</v>
      </c>
      <c r="B1506" t="s">
        <v>1338</v>
      </c>
    </row>
    <row r="1507" spans="1:2" x14ac:dyDescent="0.25">
      <c r="A1507">
        <v>57</v>
      </c>
      <c r="B1507" t="s">
        <v>1338</v>
      </c>
    </row>
    <row r="1508" spans="1:2" x14ac:dyDescent="0.25">
      <c r="A1508">
        <v>57</v>
      </c>
      <c r="B1508" t="s">
        <v>1338</v>
      </c>
    </row>
    <row r="1509" spans="1:2" x14ac:dyDescent="0.25">
      <c r="A1509">
        <v>57</v>
      </c>
      <c r="B1509" t="s">
        <v>1338</v>
      </c>
    </row>
    <row r="1510" spans="1:2" x14ac:dyDescent="0.25">
      <c r="A1510">
        <v>57</v>
      </c>
      <c r="B1510" t="s">
        <v>1338</v>
      </c>
    </row>
    <row r="1511" spans="1:2" x14ac:dyDescent="0.25">
      <c r="A1511">
        <v>57</v>
      </c>
      <c r="B1511" t="s">
        <v>1338</v>
      </c>
    </row>
    <row r="1512" spans="1:2" x14ac:dyDescent="0.25">
      <c r="A1512">
        <v>57</v>
      </c>
      <c r="B1512" t="s">
        <v>1338</v>
      </c>
    </row>
    <row r="1513" spans="1:2" x14ac:dyDescent="0.25">
      <c r="A1513">
        <v>57</v>
      </c>
      <c r="B1513" t="s">
        <v>1338</v>
      </c>
    </row>
    <row r="1514" spans="1:2" x14ac:dyDescent="0.25">
      <c r="A1514">
        <v>57</v>
      </c>
      <c r="B1514" t="s">
        <v>1338</v>
      </c>
    </row>
    <row r="1515" spans="1:2" x14ac:dyDescent="0.25">
      <c r="A1515">
        <v>57</v>
      </c>
      <c r="B1515" t="s">
        <v>1338</v>
      </c>
    </row>
    <row r="1516" spans="1:2" x14ac:dyDescent="0.25">
      <c r="A1516">
        <v>57</v>
      </c>
      <c r="B1516" t="s">
        <v>1338</v>
      </c>
    </row>
    <row r="1517" spans="1:2" x14ac:dyDescent="0.25">
      <c r="A1517">
        <v>57</v>
      </c>
      <c r="B1517" t="s">
        <v>1338</v>
      </c>
    </row>
    <row r="1518" spans="1:2" x14ac:dyDescent="0.25">
      <c r="A1518">
        <v>57</v>
      </c>
      <c r="B1518" t="s">
        <v>1338</v>
      </c>
    </row>
    <row r="1519" spans="1:2" x14ac:dyDescent="0.25">
      <c r="A1519">
        <v>57</v>
      </c>
      <c r="B1519" t="s">
        <v>1338</v>
      </c>
    </row>
    <row r="1520" spans="1:2" x14ac:dyDescent="0.25">
      <c r="A1520">
        <v>57</v>
      </c>
      <c r="B1520" t="s">
        <v>1338</v>
      </c>
    </row>
    <row r="1521" spans="1:2" x14ac:dyDescent="0.25">
      <c r="A1521">
        <v>57</v>
      </c>
      <c r="B1521" t="s">
        <v>1338</v>
      </c>
    </row>
    <row r="1522" spans="1:2" x14ac:dyDescent="0.25">
      <c r="A1522">
        <v>57</v>
      </c>
      <c r="B1522" t="s">
        <v>1338</v>
      </c>
    </row>
    <row r="1523" spans="1:2" x14ac:dyDescent="0.25">
      <c r="A1523">
        <v>57</v>
      </c>
      <c r="B1523" t="s">
        <v>1338</v>
      </c>
    </row>
    <row r="1524" spans="1:2" x14ac:dyDescent="0.25">
      <c r="A1524">
        <v>57</v>
      </c>
      <c r="B1524" t="s">
        <v>1338</v>
      </c>
    </row>
    <row r="1525" spans="1:2" x14ac:dyDescent="0.25">
      <c r="A1525">
        <v>57</v>
      </c>
      <c r="B1525" t="s">
        <v>1338</v>
      </c>
    </row>
    <row r="1526" spans="1:2" x14ac:dyDescent="0.25">
      <c r="A1526">
        <v>57</v>
      </c>
      <c r="B1526" t="s">
        <v>1338</v>
      </c>
    </row>
    <row r="1527" spans="1:2" x14ac:dyDescent="0.25">
      <c r="A1527">
        <v>57</v>
      </c>
      <c r="B1527" t="s">
        <v>1338</v>
      </c>
    </row>
    <row r="1528" spans="1:2" x14ac:dyDescent="0.25">
      <c r="A1528">
        <v>57</v>
      </c>
      <c r="B1528" t="s">
        <v>1338</v>
      </c>
    </row>
    <row r="1529" spans="1:2" x14ac:dyDescent="0.25">
      <c r="A1529">
        <v>57</v>
      </c>
      <c r="B1529" t="s">
        <v>1338</v>
      </c>
    </row>
    <row r="1530" spans="1:2" x14ac:dyDescent="0.25">
      <c r="A1530">
        <v>57</v>
      </c>
      <c r="B1530" t="s">
        <v>1338</v>
      </c>
    </row>
    <row r="1531" spans="1:2" x14ac:dyDescent="0.25">
      <c r="A1531">
        <v>57</v>
      </c>
      <c r="B1531" t="s">
        <v>1338</v>
      </c>
    </row>
    <row r="1532" spans="1:2" x14ac:dyDescent="0.25">
      <c r="A1532">
        <v>57</v>
      </c>
      <c r="B1532" t="s">
        <v>1338</v>
      </c>
    </row>
    <row r="1533" spans="1:2" x14ac:dyDescent="0.25">
      <c r="A1533">
        <v>57</v>
      </c>
      <c r="B1533" t="s">
        <v>1338</v>
      </c>
    </row>
    <row r="1534" spans="1:2" x14ac:dyDescent="0.25">
      <c r="A1534">
        <v>52</v>
      </c>
      <c r="B1534" t="s">
        <v>1334</v>
      </c>
    </row>
    <row r="1535" spans="1:2" x14ac:dyDescent="0.25">
      <c r="A1535">
        <v>57</v>
      </c>
      <c r="B1535" t="s">
        <v>1338</v>
      </c>
    </row>
    <row r="1536" spans="1:2" x14ac:dyDescent="0.25">
      <c r="A1536">
        <v>57</v>
      </c>
      <c r="B1536" t="s">
        <v>1338</v>
      </c>
    </row>
    <row r="1537" spans="1:2" x14ac:dyDescent="0.25">
      <c r="A1537">
        <v>57</v>
      </c>
      <c r="B1537" t="s">
        <v>1338</v>
      </c>
    </row>
    <row r="1538" spans="1:2" x14ac:dyDescent="0.25">
      <c r="A1538">
        <v>57</v>
      </c>
      <c r="B1538" t="s">
        <v>1338</v>
      </c>
    </row>
    <row r="1539" spans="1:2" x14ac:dyDescent="0.25">
      <c r="A1539">
        <v>57</v>
      </c>
      <c r="B1539" t="s">
        <v>1338</v>
      </c>
    </row>
    <row r="1540" spans="1:2" x14ac:dyDescent="0.25">
      <c r="A1540">
        <v>57</v>
      </c>
      <c r="B1540" t="s">
        <v>1338</v>
      </c>
    </row>
    <row r="1541" spans="1:2" x14ac:dyDescent="0.25">
      <c r="A1541">
        <v>57</v>
      </c>
      <c r="B1541" t="s">
        <v>1338</v>
      </c>
    </row>
    <row r="1542" spans="1:2" x14ac:dyDescent="0.25">
      <c r="A1542">
        <v>57</v>
      </c>
      <c r="B1542" t="s">
        <v>1338</v>
      </c>
    </row>
    <row r="1543" spans="1:2" x14ac:dyDescent="0.25">
      <c r="A1543">
        <v>57</v>
      </c>
      <c r="B1543" t="s">
        <v>1338</v>
      </c>
    </row>
    <row r="1544" spans="1:2" x14ac:dyDescent="0.25">
      <c r="A1544">
        <v>57</v>
      </c>
      <c r="B1544" t="s">
        <v>1338</v>
      </c>
    </row>
    <row r="1545" spans="1:2" x14ac:dyDescent="0.25">
      <c r="A1545">
        <v>57</v>
      </c>
      <c r="B1545" t="s">
        <v>1338</v>
      </c>
    </row>
    <row r="1546" spans="1:2" x14ac:dyDescent="0.25">
      <c r="A1546">
        <v>57</v>
      </c>
      <c r="B1546" t="s">
        <v>1338</v>
      </c>
    </row>
    <row r="1547" spans="1:2" x14ac:dyDescent="0.25">
      <c r="A1547">
        <v>57</v>
      </c>
      <c r="B1547" t="s">
        <v>1338</v>
      </c>
    </row>
    <row r="1548" spans="1:2" x14ac:dyDescent="0.25">
      <c r="A1548">
        <v>57</v>
      </c>
      <c r="B1548" t="s">
        <v>1338</v>
      </c>
    </row>
    <row r="1549" spans="1:2" x14ac:dyDescent="0.25">
      <c r="A1549">
        <v>57</v>
      </c>
      <c r="B1549" t="s">
        <v>1338</v>
      </c>
    </row>
    <row r="1550" spans="1:2" x14ac:dyDescent="0.25">
      <c r="A1550">
        <v>57</v>
      </c>
      <c r="B1550" t="s">
        <v>1338</v>
      </c>
    </row>
    <row r="1551" spans="1:2" x14ac:dyDescent="0.25">
      <c r="A1551">
        <v>57</v>
      </c>
      <c r="B1551" t="s">
        <v>1338</v>
      </c>
    </row>
    <row r="1552" spans="1:2" x14ac:dyDescent="0.25">
      <c r="A1552">
        <v>57</v>
      </c>
      <c r="B1552" t="s">
        <v>1338</v>
      </c>
    </row>
    <row r="1553" spans="1:2" x14ac:dyDescent="0.25">
      <c r="A1553">
        <v>57</v>
      </c>
      <c r="B1553" t="s">
        <v>1338</v>
      </c>
    </row>
    <row r="1554" spans="1:2" x14ac:dyDescent="0.25">
      <c r="A1554">
        <v>57</v>
      </c>
      <c r="B1554" t="s">
        <v>1338</v>
      </c>
    </row>
    <row r="1555" spans="1:2" x14ac:dyDescent="0.25">
      <c r="A1555">
        <v>57</v>
      </c>
      <c r="B1555" t="s">
        <v>1338</v>
      </c>
    </row>
    <row r="1556" spans="1:2" x14ac:dyDescent="0.25">
      <c r="A1556">
        <v>57</v>
      </c>
      <c r="B1556" t="s">
        <v>1338</v>
      </c>
    </row>
    <row r="1557" spans="1:2" x14ac:dyDescent="0.25">
      <c r="A1557">
        <v>57</v>
      </c>
      <c r="B1557" t="s">
        <v>1338</v>
      </c>
    </row>
    <row r="1558" spans="1:2" x14ac:dyDescent="0.25">
      <c r="A1558">
        <v>57</v>
      </c>
      <c r="B1558" t="s">
        <v>1338</v>
      </c>
    </row>
    <row r="1559" spans="1:2" x14ac:dyDescent="0.25">
      <c r="A1559">
        <v>57</v>
      </c>
      <c r="B1559" t="s">
        <v>1338</v>
      </c>
    </row>
    <row r="1560" spans="1:2" x14ac:dyDescent="0.25">
      <c r="A1560">
        <v>62</v>
      </c>
      <c r="B1560" t="s">
        <v>1343</v>
      </c>
    </row>
    <row r="1561" spans="1:2" x14ac:dyDescent="0.25">
      <c r="A1561">
        <v>62</v>
      </c>
      <c r="B1561" t="s">
        <v>1343</v>
      </c>
    </row>
    <row r="1562" spans="1:2" x14ac:dyDescent="0.25">
      <c r="A1562">
        <v>62</v>
      </c>
      <c r="B1562" t="s">
        <v>1343</v>
      </c>
    </row>
    <row r="1563" spans="1:2" x14ac:dyDescent="0.25">
      <c r="A1563">
        <v>62</v>
      </c>
      <c r="B1563" t="s">
        <v>1343</v>
      </c>
    </row>
    <row r="1564" spans="1:2" x14ac:dyDescent="0.25">
      <c r="A1564">
        <v>62</v>
      </c>
      <c r="B1564" t="s">
        <v>1343</v>
      </c>
    </row>
    <row r="1565" spans="1:2" x14ac:dyDescent="0.25">
      <c r="A1565">
        <v>62</v>
      </c>
      <c r="B1565" t="s">
        <v>1343</v>
      </c>
    </row>
    <row r="1566" spans="1:2" x14ac:dyDescent="0.25">
      <c r="A1566">
        <v>57</v>
      </c>
      <c r="B1566" t="s">
        <v>1338</v>
      </c>
    </row>
    <row r="1567" spans="1:2" x14ac:dyDescent="0.25">
      <c r="A1567">
        <v>57</v>
      </c>
      <c r="B1567" t="s">
        <v>1338</v>
      </c>
    </row>
    <row r="1568" spans="1:2" x14ac:dyDescent="0.25">
      <c r="A1568">
        <v>57</v>
      </c>
      <c r="B1568" t="s">
        <v>1338</v>
      </c>
    </row>
    <row r="1569" spans="1:2" x14ac:dyDescent="0.25">
      <c r="A1569">
        <v>57</v>
      </c>
      <c r="B1569" t="s">
        <v>1338</v>
      </c>
    </row>
    <row r="1570" spans="1:2" x14ac:dyDescent="0.25">
      <c r="A1570">
        <v>57</v>
      </c>
      <c r="B1570" t="s">
        <v>1338</v>
      </c>
    </row>
    <row r="1571" spans="1:2" x14ac:dyDescent="0.25">
      <c r="A1571">
        <v>57</v>
      </c>
      <c r="B1571" t="s">
        <v>1338</v>
      </c>
    </row>
    <row r="1572" spans="1:2" x14ac:dyDescent="0.25">
      <c r="A1572">
        <v>57</v>
      </c>
      <c r="B1572" t="s">
        <v>1338</v>
      </c>
    </row>
    <row r="1573" spans="1:2" x14ac:dyDescent="0.25">
      <c r="A1573">
        <v>57</v>
      </c>
      <c r="B1573" t="s">
        <v>1338</v>
      </c>
    </row>
    <row r="1574" spans="1:2" x14ac:dyDescent="0.25">
      <c r="A1574">
        <v>57</v>
      </c>
      <c r="B1574" t="s">
        <v>1338</v>
      </c>
    </row>
    <row r="1575" spans="1:2" x14ac:dyDescent="0.25">
      <c r="A1575">
        <v>57</v>
      </c>
      <c r="B1575" t="s">
        <v>1338</v>
      </c>
    </row>
    <row r="1576" spans="1:2" x14ac:dyDescent="0.25">
      <c r="A1576">
        <v>57</v>
      </c>
      <c r="B1576" t="s">
        <v>1338</v>
      </c>
    </row>
    <row r="1577" spans="1:2" x14ac:dyDescent="0.25">
      <c r="A1577">
        <v>57</v>
      </c>
      <c r="B1577" t="s">
        <v>1338</v>
      </c>
    </row>
    <row r="1578" spans="1:2" x14ac:dyDescent="0.25">
      <c r="A1578">
        <v>57</v>
      </c>
      <c r="B1578" t="s">
        <v>1338</v>
      </c>
    </row>
    <row r="1579" spans="1:2" x14ac:dyDescent="0.25">
      <c r="A1579">
        <v>57</v>
      </c>
      <c r="B1579" t="s">
        <v>1338</v>
      </c>
    </row>
    <row r="1580" spans="1:2" x14ac:dyDescent="0.25">
      <c r="A1580">
        <v>57</v>
      </c>
      <c r="B1580" t="s">
        <v>1338</v>
      </c>
    </row>
    <row r="1581" spans="1:2" x14ac:dyDescent="0.25">
      <c r="A1581">
        <v>57</v>
      </c>
      <c r="B1581" t="s">
        <v>1338</v>
      </c>
    </row>
    <row r="1582" spans="1:2" x14ac:dyDescent="0.25">
      <c r="A1582">
        <v>57</v>
      </c>
      <c r="B1582" t="s">
        <v>1338</v>
      </c>
    </row>
    <row r="1583" spans="1:2" x14ac:dyDescent="0.25">
      <c r="A1583">
        <v>57</v>
      </c>
      <c r="B1583" t="s">
        <v>1338</v>
      </c>
    </row>
    <row r="1584" spans="1:2" x14ac:dyDescent="0.25">
      <c r="A1584">
        <v>57</v>
      </c>
      <c r="B1584" t="s">
        <v>1338</v>
      </c>
    </row>
    <row r="1585" spans="1:2" x14ac:dyDescent="0.25">
      <c r="A1585">
        <v>57</v>
      </c>
      <c r="B1585" t="s">
        <v>1338</v>
      </c>
    </row>
    <row r="1586" spans="1:2" x14ac:dyDescent="0.25">
      <c r="A1586">
        <v>57</v>
      </c>
      <c r="B1586" t="s">
        <v>1338</v>
      </c>
    </row>
    <row r="1587" spans="1:2" x14ac:dyDescent="0.25">
      <c r="A1587">
        <v>57</v>
      </c>
      <c r="B1587" t="s">
        <v>1338</v>
      </c>
    </row>
    <row r="1588" spans="1:2" x14ac:dyDescent="0.25">
      <c r="A1588">
        <v>57</v>
      </c>
      <c r="B1588" t="s">
        <v>1338</v>
      </c>
    </row>
    <row r="1589" spans="1:2" x14ac:dyDescent="0.25">
      <c r="A1589">
        <v>57</v>
      </c>
      <c r="B1589" t="s">
        <v>1338</v>
      </c>
    </row>
    <row r="1590" spans="1:2" x14ac:dyDescent="0.25">
      <c r="A1590">
        <v>57</v>
      </c>
      <c r="B1590" t="s">
        <v>1338</v>
      </c>
    </row>
    <row r="1591" spans="1:2" x14ac:dyDescent="0.25">
      <c r="A1591">
        <v>62</v>
      </c>
      <c r="B1591" t="s">
        <v>1343</v>
      </c>
    </row>
    <row r="1592" spans="1:2" x14ac:dyDescent="0.25">
      <c r="A1592">
        <v>62</v>
      </c>
      <c r="B1592" t="s">
        <v>1343</v>
      </c>
    </row>
    <row r="1593" spans="1:2" x14ac:dyDescent="0.25">
      <c r="A1593">
        <v>67</v>
      </c>
      <c r="B1593" t="s">
        <v>1348</v>
      </c>
    </row>
    <row r="1594" spans="1:2" x14ac:dyDescent="0.25">
      <c r="A1594">
        <v>67</v>
      </c>
      <c r="B1594" t="s">
        <v>1348</v>
      </c>
    </row>
    <row r="1595" spans="1:2" x14ac:dyDescent="0.25">
      <c r="A1595">
        <v>67</v>
      </c>
      <c r="B1595" t="s">
        <v>1348</v>
      </c>
    </row>
    <row r="1596" spans="1:2" x14ac:dyDescent="0.25">
      <c r="A1596">
        <v>67</v>
      </c>
      <c r="B1596" t="s">
        <v>1348</v>
      </c>
    </row>
    <row r="1597" spans="1:2" x14ac:dyDescent="0.25">
      <c r="A1597">
        <v>67</v>
      </c>
      <c r="B1597" t="s">
        <v>1348</v>
      </c>
    </row>
    <row r="1598" spans="1:2" x14ac:dyDescent="0.25">
      <c r="A1598">
        <v>67</v>
      </c>
      <c r="B1598" t="s">
        <v>1348</v>
      </c>
    </row>
    <row r="1599" spans="1:2" x14ac:dyDescent="0.25">
      <c r="A1599">
        <v>67</v>
      </c>
      <c r="B1599" t="s">
        <v>1348</v>
      </c>
    </row>
    <row r="1600" spans="1:2" x14ac:dyDescent="0.25">
      <c r="A1600">
        <v>67</v>
      </c>
      <c r="B1600" t="s">
        <v>1348</v>
      </c>
    </row>
    <row r="1601" spans="1:2" x14ac:dyDescent="0.25">
      <c r="A1601">
        <v>67</v>
      </c>
      <c r="B1601" t="s">
        <v>1348</v>
      </c>
    </row>
    <row r="1602" spans="1:2" x14ac:dyDescent="0.25">
      <c r="A1602">
        <v>67</v>
      </c>
      <c r="B1602" t="s">
        <v>1348</v>
      </c>
    </row>
    <row r="1603" spans="1:2" x14ac:dyDescent="0.25">
      <c r="A1603">
        <v>67</v>
      </c>
      <c r="B1603" t="s">
        <v>1348</v>
      </c>
    </row>
    <row r="1604" spans="1:2" x14ac:dyDescent="0.25">
      <c r="A1604">
        <v>67</v>
      </c>
      <c r="B1604" t="s">
        <v>1348</v>
      </c>
    </row>
    <row r="1605" spans="1:2" x14ac:dyDescent="0.25">
      <c r="A1605">
        <v>67</v>
      </c>
      <c r="B1605" t="s">
        <v>1348</v>
      </c>
    </row>
    <row r="1606" spans="1:2" x14ac:dyDescent="0.25">
      <c r="A1606">
        <v>67</v>
      </c>
      <c r="B1606" t="s">
        <v>1348</v>
      </c>
    </row>
    <row r="1607" spans="1:2" x14ac:dyDescent="0.25">
      <c r="A1607">
        <v>67</v>
      </c>
      <c r="B1607" t="s">
        <v>1348</v>
      </c>
    </row>
    <row r="1608" spans="1:2" x14ac:dyDescent="0.25">
      <c r="A1608">
        <v>67</v>
      </c>
      <c r="B1608" t="s">
        <v>1348</v>
      </c>
    </row>
    <row r="1609" spans="1:2" x14ac:dyDescent="0.25">
      <c r="A1609">
        <v>67</v>
      </c>
      <c r="B1609" t="s">
        <v>1348</v>
      </c>
    </row>
    <row r="1610" spans="1:2" x14ac:dyDescent="0.25">
      <c r="A1610">
        <v>67</v>
      </c>
      <c r="B1610" t="s">
        <v>1348</v>
      </c>
    </row>
    <row r="1611" spans="1:2" x14ac:dyDescent="0.25">
      <c r="A1611">
        <v>67</v>
      </c>
      <c r="B1611" t="s">
        <v>1348</v>
      </c>
    </row>
    <row r="1612" spans="1:2" x14ac:dyDescent="0.25">
      <c r="A1612">
        <v>67</v>
      </c>
      <c r="B1612" t="s">
        <v>1348</v>
      </c>
    </row>
    <row r="1613" spans="1:2" x14ac:dyDescent="0.25">
      <c r="A1613">
        <v>67</v>
      </c>
      <c r="B1613" t="s">
        <v>1348</v>
      </c>
    </row>
    <row r="1614" spans="1:2" x14ac:dyDescent="0.25">
      <c r="A1614">
        <v>67</v>
      </c>
      <c r="B1614" t="s">
        <v>1348</v>
      </c>
    </row>
    <row r="1615" spans="1:2" x14ac:dyDescent="0.25">
      <c r="A1615">
        <v>67</v>
      </c>
      <c r="B1615" t="s">
        <v>1348</v>
      </c>
    </row>
    <row r="1616" spans="1:2" x14ac:dyDescent="0.25">
      <c r="A1616">
        <v>67</v>
      </c>
      <c r="B1616" t="s">
        <v>1348</v>
      </c>
    </row>
    <row r="1617" spans="1:2" x14ac:dyDescent="0.25">
      <c r="A1617">
        <v>67</v>
      </c>
      <c r="B1617" t="s">
        <v>1348</v>
      </c>
    </row>
    <row r="1618" spans="1:2" x14ac:dyDescent="0.25">
      <c r="A1618">
        <v>67</v>
      </c>
      <c r="B1618" t="s">
        <v>1348</v>
      </c>
    </row>
    <row r="1619" spans="1:2" x14ac:dyDescent="0.25">
      <c r="A1619">
        <v>67</v>
      </c>
      <c r="B1619" t="s">
        <v>1348</v>
      </c>
    </row>
    <row r="1620" spans="1:2" x14ac:dyDescent="0.25">
      <c r="A1620">
        <v>67</v>
      </c>
      <c r="B1620" t="s">
        <v>1348</v>
      </c>
    </row>
    <row r="1621" spans="1:2" x14ac:dyDescent="0.25">
      <c r="A1621">
        <v>67</v>
      </c>
      <c r="B1621" t="s">
        <v>1348</v>
      </c>
    </row>
    <row r="1622" spans="1:2" x14ac:dyDescent="0.25">
      <c r="A1622">
        <v>67</v>
      </c>
      <c r="B1622" t="s">
        <v>1348</v>
      </c>
    </row>
    <row r="1623" spans="1:2" x14ac:dyDescent="0.25">
      <c r="A1623">
        <v>67</v>
      </c>
      <c r="B1623" t="s">
        <v>1348</v>
      </c>
    </row>
    <row r="1624" spans="1:2" x14ac:dyDescent="0.25">
      <c r="A1624">
        <v>67</v>
      </c>
      <c r="B1624" t="s">
        <v>1348</v>
      </c>
    </row>
    <row r="1625" spans="1:2" x14ac:dyDescent="0.25">
      <c r="A1625">
        <v>67</v>
      </c>
      <c r="B1625" t="s">
        <v>1348</v>
      </c>
    </row>
    <row r="1626" spans="1:2" x14ac:dyDescent="0.25">
      <c r="A1626">
        <v>67</v>
      </c>
      <c r="B1626" t="s">
        <v>1348</v>
      </c>
    </row>
    <row r="1627" spans="1:2" x14ac:dyDescent="0.25">
      <c r="A1627">
        <v>67</v>
      </c>
      <c r="B1627" t="s">
        <v>1348</v>
      </c>
    </row>
    <row r="1628" spans="1:2" x14ac:dyDescent="0.25">
      <c r="A1628">
        <v>67</v>
      </c>
      <c r="B1628" t="s">
        <v>1348</v>
      </c>
    </row>
    <row r="1629" spans="1:2" x14ac:dyDescent="0.25">
      <c r="A1629">
        <v>67</v>
      </c>
      <c r="B1629" t="s">
        <v>1348</v>
      </c>
    </row>
    <row r="1630" spans="1:2" x14ac:dyDescent="0.25">
      <c r="A1630">
        <v>67</v>
      </c>
      <c r="B1630" t="s">
        <v>1348</v>
      </c>
    </row>
    <row r="1631" spans="1:2" x14ac:dyDescent="0.25">
      <c r="A1631">
        <v>67</v>
      </c>
      <c r="B1631" t="s">
        <v>1348</v>
      </c>
    </row>
    <row r="1632" spans="1:2" x14ac:dyDescent="0.25">
      <c r="A1632">
        <v>67</v>
      </c>
      <c r="B1632" t="s">
        <v>1348</v>
      </c>
    </row>
    <row r="1633" spans="1:2" x14ac:dyDescent="0.25">
      <c r="A1633">
        <v>67</v>
      </c>
      <c r="B1633" t="s">
        <v>1348</v>
      </c>
    </row>
    <row r="1634" spans="1:2" x14ac:dyDescent="0.25">
      <c r="A1634">
        <v>67</v>
      </c>
      <c r="B1634" t="s">
        <v>1348</v>
      </c>
    </row>
    <row r="1635" spans="1:2" x14ac:dyDescent="0.25">
      <c r="A1635">
        <v>67</v>
      </c>
      <c r="B1635" t="s">
        <v>1348</v>
      </c>
    </row>
    <row r="1636" spans="1:2" x14ac:dyDescent="0.25">
      <c r="A1636">
        <v>67</v>
      </c>
      <c r="B1636" t="s">
        <v>1348</v>
      </c>
    </row>
    <row r="1637" spans="1:2" x14ac:dyDescent="0.25">
      <c r="A1637">
        <v>67</v>
      </c>
      <c r="B1637" t="s">
        <v>1348</v>
      </c>
    </row>
    <row r="1638" spans="1:2" x14ac:dyDescent="0.25">
      <c r="A1638">
        <v>67</v>
      </c>
      <c r="B1638" t="s">
        <v>1348</v>
      </c>
    </row>
    <row r="1639" spans="1:2" x14ac:dyDescent="0.25">
      <c r="A1639">
        <v>67</v>
      </c>
      <c r="B1639" t="s">
        <v>1348</v>
      </c>
    </row>
    <row r="1640" spans="1:2" x14ac:dyDescent="0.25">
      <c r="A1640">
        <v>67</v>
      </c>
      <c r="B1640" t="s">
        <v>1348</v>
      </c>
    </row>
    <row r="1641" spans="1:2" x14ac:dyDescent="0.25">
      <c r="A1641">
        <v>67</v>
      </c>
      <c r="B1641" t="s">
        <v>1348</v>
      </c>
    </row>
    <row r="1642" spans="1:2" x14ac:dyDescent="0.25">
      <c r="A1642">
        <v>67</v>
      </c>
      <c r="B1642" t="s">
        <v>1348</v>
      </c>
    </row>
    <row r="1643" spans="1:2" x14ac:dyDescent="0.25">
      <c r="A1643">
        <v>67</v>
      </c>
      <c r="B1643" t="s">
        <v>1348</v>
      </c>
    </row>
    <row r="1644" spans="1:2" x14ac:dyDescent="0.25">
      <c r="A1644">
        <v>67</v>
      </c>
      <c r="B1644" t="s">
        <v>1348</v>
      </c>
    </row>
    <row r="1645" spans="1:2" x14ac:dyDescent="0.25">
      <c r="A1645">
        <v>67</v>
      </c>
      <c r="B1645" t="s">
        <v>1348</v>
      </c>
    </row>
    <row r="1646" spans="1:2" x14ac:dyDescent="0.25">
      <c r="A1646">
        <v>67</v>
      </c>
      <c r="B1646" t="s">
        <v>1348</v>
      </c>
    </row>
    <row r="1647" spans="1:2" x14ac:dyDescent="0.25">
      <c r="A1647">
        <v>67</v>
      </c>
      <c r="B1647" t="s">
        <v>1348</v>
      </c>
    </row>
    <row r="1648" spans="1:2" x14ac:dyDescent="0.25">
      <c r="A1648">
        <v>67</v>
      </c>
      <c r="B1648" t="s">
        <v>1348</v>
      </c>
    </row>
    <row r="1649" spans="1:2" x14ac:dyDescent="0.25">
      <c r="A1649">
        <v>67</v>
      </c>
      <c r="B1649" t="s">
        <v>1348</v>
      </c>
    </row>
    <row r="1650" spans="1:2" x14ac:dyDescent="0.25">
      <c r="A1650">
        <v>67</v>
      </c>
      <c r="B1650" t="s">
        <v>1348</v>
      </c>
    </row>
    <row r="1651" spans="1:2" x14ac:dyDescent="0.25">
      <c r="A1651">
        <v>67</v>
      </c>
      <c r="B1651" t="s">
        <v>1348</v>
      </c>
    </row>
    <row r="1652" spans="1:2" x14ac:dyDescent="0.25">
      <c r="A1652">
        <v>67</v>
      </c>
      <c r="B1652" t="s">
        <v>1348</v>
      </c>
    </row>
    <row r="1653" spans="1:2" x14ac:dyDescent="0.25">
      <c r="A1653">
        <v>67</v>
      </c>
      <c r="B1653" t="s">
        <v>1348</v>
      </c>
    </row>
    <row r="1654" spans="1:2" x14ac:dyDescent="0.25">
      <c r="A1654">
        <v>67</v>
      </c>
      <c r="B1654" t="s">
        <v>1348</v>
      </c>
    </row>
    <row r="1655" spans="1:2" x14ac:dyDescent="0.25">
      <c r="A1655">
        <v>67</v>
      </c>
      <c r="B1655" t="s">
        <v>1348</v>
      </c>
    </row>
    <row r="1656" spans="1:2" x14ac:dyDescent="0.25">
      <c r="A1656">
        <v>67</v>
      </c>
      <c r="B1656" t="s">
        <v>1348</v>
      </c>
    </row>
    <row r="1657" spans="1:2" x14ac:dyDescent="0.25">
      <c r="A1657">
        <v>45</v>
      </c>
      <c r="B1657" t="s">
        <v>1327</v>
      </c>
    </row>
    <row r="1658" spans="1:2" x14ac:dyDescent="0.25">
      <c r="A1658">
        <v>45</v>
      </c>
      <c r="B1658" t="s">
        <v>1327</v>
      </c>
    </row>
    <row r="1659" spans="1:2" x14ac:dyDescent="0.25">
      <c r="A1659">
        <v>45</v>
      </c>
      <c r="B1659" t="s">
        <v>1327</v>
      </c>
    </row>
    <row r="1660" spans="1:2" x14ac:dyDescent="0.25">
      <c r="A1660">
        <v>45</v>
      </c>
      <c r="B1660" t="s">
        <v>1327</v>
      </c>
    </row>
    <row r="1661" spans="1:2" x14ac:dyDescent="0.25">
      <c r="A1661">
        <v>45</v>
      </c>
      <c r="B1661" t="s">
        <v>1327</v>
      </c>
    </row>
    <row r="1662" spans="1:2" x14ac:dyDescent="0.25">
      <c r="A1662">
        <v>45</v>
      </c>
      <c r="B1662" t="s">
        <v>1327</v>
      </c>
    </row>
    <row r="1663" spans="1:2" x14ac:dyDescent="0.25">
      <c r="A1663">
        <v>45</v>
      </c>
      <c r="B1663" t="s">
        <v>1327</v>
      </c>
    </row>
    <row r="1664" spans="1:2" x14ac:dyDescent="0.25">
      <c r="A1664">
        <v>45</v>
      </c>
      <c r="B1664" t="s">
        <v>1327</v>
      </c>
    </row>
    <row r="1665" spans="1:2" x14ac:dyDescent="0.25">
      <c r="A1665">
        <v>72</v>
      </c>
      <c r="B1665" t="s">
        <v>1352</v>
      </c>
    </row>
    <row r="1666" spans="1:2" x14ac:dyDescent="0.25">
      <c r="A1666">
        <v>45</v>
      </c>
      <c r="B1666" t="s">
        <v>1327</v>
      </c>
    </row>
    <row r="1667" spans="1:2" x14ac:dyDescent="0.25">
      <c r="A1667">
        <v>72</v>
      </c>
      <c r="B1667" t="s">
        <v>1352</v>
      </c>
    </row>
    <row r="1668" spans="1:2" x14ac:dyDescent="0.25">
      <c r="A1668">
        <v>45</v>
      </c>
      <c r="B1668" t="s">
        <v>1327</v>
      </c>
    </row>
    <row r="1669" spans="1:2" x14ac:dyDescent="0.25">
      <c r="A1669">
        <v>45</v>
      </c>
      <c r="B1669" t="s">
        <v>1327</v>
      </c>
    </row>
    <row r="1670" spans="1:2" x14ac:dyDescent="0.25">
      <c r="A1670">
        <v>45</v>
      </c>
      <c r="B1670" t="s">
        <v>1327</v>
      </c>
    </row>
    <row r="1671" spans="1:2" x14ac:dyDescent="0.25">
      <c r="A1671">
        <v>45</v>
      </c>
      <c r="B1671" t="s">
        <v>1327</v>
      </c>
    </row>
    <row r="1672" spans="1:2" x14ac:dyDescent="0.25">
      <c r="A1672">
        <v>51</v>
      </c>
      <c r="B1672" t="s">
        <v>1332</v>
      </c>
    </row>
    <row r="1673" spans="1:2" x14ac:dyDescent="0.25">
      <c r="A1673">
        <v>51</v>
      </c>
      <c r="B1673" t="s">
        <v>1332</v>
      </c>
    </row>
    <row r="1674" spans="1:2" x14ac:dyDescent="0.25">
      <c r="A1674">
        <v>51</v>
      </c>
      <c r="B1674" t="s">
        <v>1332</v>
      </c>
    </row>
    <row r="1675" spans="1:2" x14ac:dyDescent="0.25">
      <c r="A1675">
        <v>51</v>
      </c>
      <c r="B1675" t="s">
        <v>1332</v>
      </c>
    </row>
    <row r="1676" spans="1:2" x14ac:dyDescent="0.25">
      <c r="A1676">
        <v>51</v>
      </c>
      <c r="B1676" t="s">
        <v>1332</v>
      </c>
    </row>
    <row r="1677" spans="1:2" x14ac:dyDescent="0.25">
      <c r="A1677">
        <v>51</v>
      </c>
      <c r="B1677" t="s">
        <v>1332</v>
      </c>
    </row>
    <row r="1678" spans="1:2" x14ac:dyDescent="0.25">
      <c r="A1678">
        <v>51</v>
      </c>
      <c r="B1678" t="s">
        <v>1332</v>
      </c>
    </row>
    <row r="1679" spans="1:2" x14ac:dyDescent="0.25">
      <c r="A1679">
        <v>51</v>
      </c>
      <c r="B1679" t="s">
        <v>1332</v>
      </c>
    </row>
    <row r="1680" spans="1:2" x14ac:dyDescent="0.25">
      <c r="A1680">
        <v>51</v>
      </c>
      <c r="B1680" t="s">
        <v>1332</v>
      </c>
    </row>
    <row r="1681" spans="1:2" x14ac:dyDescent="0.25">
      <c r="A1681">
        <v>51</v>
      </c>
      <c r="B1681" t="s">
        <v>1332</v>
      </c>
    </row>
    <row r="1682" spans="1:2" x14ac:dyDescent="0.25">
      <c r="A1682">
        <v>51</v>
      </c>
      <c r="B1682" t="s">
        <v>1332</v>
      </c>
    </row>
    <row r="1683" spans="1:2" x14ac:dyDescent="0.25">
      <c r="A1683">
        <v>51</v>
      </c>
      <c r="B1683" t="s">
        <v>1332</v>
      </c>
    </row>
    <row r="1684" spans="1:2" x14ac:dyDescent="0.25">
      <c r="A1684">
        <v>51</v>
      </c>
      <c r="B1684" t="s">
        <v>1332</v>
      </c>
    </row>
    <row r="1685" spans="1:2" x14ac:dyDescent="0.25">
      <c r="A1685">
        <v>51</v>
      </c>
      <c r="B1685" t="s">
        <v>1332</v>
      </c>
    </row>
    <row r="1686" spans="1:2" x14ac:dyDescent="0.25">
      <c r="A1686">
        <v>51</v>
      </c>
      <c r="B1686" t="s">
        <v>1332</v>
      </c>
    </row>
    <row r="1687" spans="1:2" x14ac:dyDescent="0.25">
      <c r="A1687">
        <v>51</v>
      </c>
      <c r="B1687" t="s">
        <v>1332</v>
      </c>
    </row>
    <row r="1688" spans="1:2" x14ac:dyDescent="0.25">
      <c r="A1688">
        <v>51</v>
      </c>
      <c r="B1688" t="s">
        <v>1332</v>
      </c>
    </row>
    <row r="1689" spans="1:2" x14ac:dyDescent="0.25">
      <c r="A1689">
        <v>51</v>
      </c>
      <c r="B1689" t="s">
        <v>1332</v>
      </c>
    </row>
    <row r="1690" spans="1:2" x14ac:dyDescent="0.25">
      <c r="A1690">
        <v>51</v>
      </c>
      <c r="B1690" t="s">
        <v>1332</v>
      </c>
    </row>
    <row r="1691" spans="1:2" x14ac:dyDescent="0.25">
      <c r="A1691">
        <v>51</v>
      </c>
      <c r="B1691" t="s">
        <v>1332</v>
      </c>
    </row>
    <row r="1692" spans="1:2" x14ac:dyDescent="0.25">
      <c r="A1692">
        <v>51</v>
      </c>
      <c r="B1692" t="s">
        <v>1332</v>
      </c>
    </row>
    <row r="1693" spans="1:2" x14ac:dyDescent="0.25">
      <c r="A1693">
        <v>51</v>
      </c>
      <c r="B1693" t="s">
        <v>1332</v>
      </c>
    </row>
    <row r="1694" spans="1:2" x14ac:dyDescent="0.25">
      <c r="A1694">
        <v>78</v>
      </c>
      <c r="B1694" t="s">
        <v>1356</v>
      </c>
    </row>
    <row r="1695" spans="1:2" x14ac:dyDescent="0.25">
      <c r="A1695">
        <v>78</v>
      </c>
      <c r="B1695" t="s">
        <v>1356</v>
      </c>
    </row>
    <row r="1696" spans="1:2" x14ac:dyDescent="0.25">
      <c r="A1696">
        <v>51</v>
      </c>
      <c r="B1696" t="s">
        <v>1332</v>
      </c>
    </row>
    <row r="1697" spans="1:2" x14ac:dyDescent="0.25">
      <c r="A1697">
        <v>51</v>
      </c>
      <c r="B1697" t="s">
        <v>1332</v>
      </c>
    </row>
    <row r="1698" spans="1:2" x14ac:dyDescent="0.25">
      <c r="A1698">
        <v>83</v>
      </c>
      <c r="B1698" t="s">
        <v>1360</v>
      </c>
    </row>
    <row r="1699" spans="1:2" x14ac:dyDescent="0.25">
      <c r="A1699">
        <v>51</v>
      </c>
      <c r="B1699" t="s">
        <v>1332</v>
      </c>
    </row>
    <row r="1700" spans="1:2" x14ac:dyDescent="0.25">
      <c r="A1700">
        <v>52</v>
      </c>
      <c r="B1700" t="s">
        <v>1334</v>
      </c>
    </row>
    <row r="1701" spans="1:2" x14ac:dyDescent="0.25">
      <c r="A1701">
        <v>51</v>
      </c>
      <c r="B1701" t="s">
        <v>1332</v>
      </c>
    </row>
    <row r="1702" spans="1:2" x14ac:dyDescent="0.25">
      <c r="A1702">
        <v>51</v>
      </c>
      <c r="B1702" t="s">
        <v>1332</v>
      </c>
    </row>
    <row r="1703" spans="1:2" x14ac:dyDescent="0.25">
      <c r="A1703">
        <v>51</v>
      </c>
      <c r="B1703" t="s">
        <v>1332</v>
      </c>
    </row>
    <row r="1704" spans="1:2" x14ac:dyDescent="0.25">
      <c r="A1704">
        <v>45</v>
      </c>
      <c r="B1704" t="s">
        <v>1327</v>
      </c>
    </row>
    <row r="1705" spans="1:2" x14ac:dyDescent="0.25">
      <c r="A1705">
        <v>69</v>
      </c>
      <c r="B1705" t="s">
        <v>1349</v>
      </c>
    </row>
    <row r="1706" spans="1:2" x14ac:dyDescent="0.25">
      <c r="A1706">
        <v>69</v>
      </c>
      <c r="B1706" t="s">
        <v>1349</v>
      </c>
    </row>
    <row r="1707" spans="1:2" x14ac:dyDescent="0.25">
      <c r="A1707">
        <v>69</v>
      </c>
      <c r="B1707" t="s">
        <v>1349</v>
      </c>
    </row>
    <row r="1708" spans="1:2" x14ac:dyDescent="0.25">
      <c r="A1708">
        <v>69</v>
      </c>
      <c r="B1708" t="s">
        <v>1349</v>
      </c>
    </row>
    <row r="1709" spans="1:2" x14ac:dyDescent="0.25">
      <c r="A1709">
        <v>69</v>
      </c>
      <c r="B1709" t="s">
        <v>1349</v>
      </c>
    </row>
    <row r="1710" spans="1:2" x14ac:dyDescent="0.25">
      <c r="A1710">
        <v>69</v>
      </c>
      <c r="B1710" t="s">
        <v>1349</v>
      </c>
    </row>
    <row r="1711" spans="1:2" x14ac:dyDescent="0.25">
      <c r="A1711">
        <v>69</v>
      </c>
      <c r="B1711" t="s">
        <v>1349</v>
      </c>
    </row>
    <row r="1712" spans="1:2" x14ac:dyDescent="0.25">
      <c r="A1712">
        <v>69</v>
      </c>
      <c r="B1712" t="s">
        <v>1349</v>
      </c>
    </row>
    <row r="1713" spans="1:2" x14ac:dyDescent="0.25">
      <c r="A1713">
        <v>69</v>
      </c>
      <c r="B1713" t="s">
        <v>1349</v>
      </c>
    </row>
    <row r="1714" spans="1:2" x14ac:dyDescent="0.25">
      <c r="A1714">
        <v>69</v>
      </c>
      <c r="B1714" t="s">
        <v>1349</v>
      </c>
    </row>
    <row r="1715" spans="1:2" x14ac:dyDescent="0.25">
      <c r="A1715">
        <v>69</v>
      </c>
      <c r="B1715" t="s">
        <v>1349</v>
      </c>
    </row>
    <row r="1716" spans="1:2" x14ac:dyDescent="0.25">
      <c r="A1716">
        <v>69</v>
      </c>
      <c r="B1716" t="s">
        <v>1349</v>
      </c>
    </row>
    <row r="1717" spans="1:2" x14ac:dyDescent="0.25">
      <c r="A1717">
        <v>69</v>
      </c>
      <c r="B1717" t="s">
        <v>1349</v>
      </c>
    </row>
    <row r="1718" spans="1:2" x14ac:dyDescent="0.25">
      <c r="A1718">
        <v>69</v>
      </c>
      <c r="B1718" t="s">
        <v>1349</v>
      </c>
    </row>
    <row r="1719" spans="1:2" x14ac:dyDescent="0.25">
      <c r="A1719">
        <v>45</v>
      </c>
      <c r="B1719" t="s">
        <v>1327</v>
      </c>
    </row>
    <row r="1720" spans="1:2" x14ac:dyDescent="0.25">
      <c r="A1720">
        <v>54</v>
      </c>
      <c r="B1720" t="s">
        <v>1335</v>
      </c>
    </row>
    <row r="1721" spans="1:2" x14ac:dyDescent="0.25">
      <c r="A1721">
        <v>51</v>
      </c>
      <c r="B1721" t="s">
        <v>1332</v>
      </c>
    </row>
    <row r="1722" spans="1:2" x14ac:dyDescent="0.25">
      <c r="A1722">
        <v>51</v>
      </c>
      <c r="B1722" t="s">
        <v>1332</v>
      </c>
    </row>
    <row r="1723" spans="1:2" x14ac:dyDescent="0.25">
      <c r="A1723">
        <v>51</v>
      </c>
      <c r="B1723" t="s">
        <v>1332</v>
      </c>
    </row>
    <row r="1724" spans="1:2" x14ac:dyDescent="0.25">
      <c r="A1724">
        <v>51</v>
      </c>
      <c r="B1724" t="s">
        <v>1332</v>
      </c>
    </row>
    <row r="1725" spans="1:2" x14ac:dyDescent="0.25">
      <c r="A1725">
        <v>70</v>
      </c>
      <c r="B1725" t="s">
        <v>1350</v>
      </c>
    </row>
    <row r="1726" spans="1:2" x14ac:dyDescent="0.25">
      <c r="A1726">
        <v>66</v>
      </c>
      <c r="B1726" t="s">
        <v>1347</v>
      </c>
    </row>
    <row r="1727" spans="1:2" x14ac:dyDescent="0.25">
      <c r="A1727">
        <v>66</v>
      </c>
      <c r="B1727" t="s">
        <v>1347</v>
      </c>
    </row>
    <row r="1728" spans="1:2" x14ac:dyDescent="0.25">
      <c r="A1728">
        <v>55</v>
      </c>
      <c r="B1728" t="s">
        <v>1336</v>
      </c>
    </row>
    <row r="1729" spans="1:2" x14ac:dyDescent="0.25">
      <c r="A1729">
        <v>45</v>
      </c>
      <c r="B1729" t="s">
        <v>1327</v>
      </c>
    </row>
    <row r="1730" spans="1:2" x14ac:dyDescent="0.25">
      <c r="A1730">
        <v>45</v>
      </c>
      <c r="B1730" t="s">
        <v>1327</v>
      </c>
    </row>
    <row r="1731" spans="1:2" x14ac:dyDescent="0.25">
      <c r="A1731">
        <v>45</v>
      </c>
      <c r="B1731" t="s">
        <v>1327</v>
      </c>
    </row>
    <row r="1732" spans="1:2" x14ac:dyDescent="0.25">
      <c r="A1732">
        <v>45</v>
      </c>
      <c r="B1732" t="s">
        <v>1327</v>
      </c>
    </row>
    <row r="1733" spans="1:2" x14ac:dyDescent="0.25">
      <c r="A1733">
        <v>45</v>
      </c>
      <c r="B1733" t="s">
        <v>1327</v>
      </c>
    </row>
    <row r="1734" spans="1:2" x14ac:dyDescent="0.25">
      <c r="A1734">
        <v>45</v>
      </c>
      <c r="B1734" t="s">
        <v>1327</v>
      </c>
    </row>
    <row r="1735" spans="1:2" x14ac:dyDescent="0.25">
      <c r="A1735">
        <v>45</v>
      </c>
      <c r="B1735" t="s">
        <v>1327</v>
      </c>
    </row>
    <row r="1736" spans="1:2" x14ac:dyDescent="0.25">
      <c r="A1736">
        <v>45</v>
      </c>
      <c r="B1736" t="s">
        <v>1327</v>
      </c>
    </row>
    <row r="1737" spans="1:2" x14ac:dyDescent="0.25">
      <c r="A1737">
        <v>45</v>
      </c>
      <c r="B1737" t="s">
        <v>1327</v>
      </c>
    </row>
    <row r="1738" spans="1:2" x14ac:dyDescent="0.25">
      <c r="A1738">
        <v>45</v>
      </c>
      <c r="B1738" t="s">
        <v>1327</v>
      </c>
    </row>
    <row r="1739" spans="1:2" x14ac:dyDescent="0.25">
      <c r="A1739">
        <v>55</v>
      </c>
      <c r="B1739" t="s">
        <v>1336</v>
      </c>
    </row>
    <row r="1740" spans="1:2" x14ac:dyDescent="0.25">
      <c r="A1740">
        <v>55</v>
      </c>
      <c r="B1740" t="s">
        <v>1336</v>
      </c>
    </row>
    <row r="1741" spans="1:2" x14ac:dyDescent="0.25">
      <c r="A1741">
        <v>67</v>
      </c>
      <c r="B1741" t="s">
        <v>1348</v>
      </c>
    </row>
    <row r="1742" spans="1:2" x14ac:dyDescent="0.25">
      <c r="A1742">
        <v>67</v>
      </c>
      <c r="B1742" t="s">
        <v>1348</v>
      </c>
    </row>
    <row r="1743" spans="1:2" x14ac:dyDescent="0.25">
      <c r="A1743">
        <v>67</v>
      </c>
      <c r="B1743" t="s">
        <v>1348</v>
      </c>
    </row>
    <row r="1744" spans="1:2" x14ac:dyDescent="0.25">
      <c r="A1744">
        <v>67</v>
      </c>
      <c r="B1744" t="s">
        <v>1348</v>
      </c>
    </row>
    <row r="1745" spans="1:2" x14ac:dyDescent="0.25">
      <c r="A1745">
        <v>67</v>
      </c>
      <c r="B1745" t="s">
        <v>1348</v>
      </c>
    </row>
    <row r="1746" spans="1:2" x14ac:dyDescent="0.25">
      <c r="A1746">
        <v>67</v>
      </c>
      <c r="B1746" t="s">
        <v>1348</v>
      </c>
    </row>
    <row r="1747" spans="1:2" x14ac:dyDescent="0.25">
      <c r="A1747">
        <v>67</v>
      </c>
      <c r="B1747" t="s">
        <v>1348</v>
      </c>
    </row>
    <row r="1748" spans="1:2" x14ac:dyDescent="0.25">
      <c r="A1748">
        <v>55</v>
      </c>
      <c r="B1748" t="s">
        <v>1336</v>
      </c>
    </row>
    <row r="1749" spans="1:2" x14ac:dyDescent="0.25">
      <c r="A1749">
        <v>55</v>
      </c>
      <c r="B1749" t="s">
        <v>1336</v>
      </c>
    </row>
    <row r="1750" spans="1:2" x14ac:dyDescent="0.25">
      <c r="A1750">
        <v>61</v>
      </c>
      <c r="B1750" t="s">
        <v>1342</v>
      </c>
    </row>
    <row r="1751" spans="1:2" x14ac:dyDescent="0.25">
      <c r="A1751">
        <v>61</v>
      </c>
      <c r="B1751" t="s">
        <v>1342</v>
      </c>
    </row>
    <row r="1752" spans="1:2" x14ac:dyDescent="0.25">
      <c r="A1752">
        <v>55</v>
      </c>
      <c r="B1752" t="s">
        <v>1336</v>
      </c>
    </row>
    <row r="1753" spans="1:2" x14ac:dyDescent="0.25">
      <c r="A1753">
        <v>55</v>
      </c>
      <c r="B1753" t="s">
        <v>1336</v>
      </c>
    </row>
    <row r="1754" spans="1:2" x14ac:dyDescent="0.25">
      <c r="A1754">
        <v>55</v>
      </c>
      <c r="B1754" t="s">
        <v>1336</v>
      </c>
    </row>
    <row r="1755" spans="1:2" x14ac:dyDescent="0.25">
      <c r="A1755">
        <v>70</v>
      </c>
      <c r="B1755" t="s">
        <v>1350</v>
      </c>
    </row>
    <row r="1756" spans="1:2" x14ac:dyDescent="0.25">
      <c r="A1756">
        <v>70</v>
      </c>
      <c r="B1756" t="s">
        <v>1350</v>
      </c>
    </row>
    <row r="1757" spans="1:2" x14ac:dyDescent="0.25">
      <c r="A1757">
        <v>51</v>
      </c>
      <c r="B1757" t="s">
        <v>1332</v>
      </c>
    </row>
    <row r="1758" spans="1:2" x14ac:dyDescent="0.25">
      <c r="A1758">
        <v>51</v>
      </c>
      <c r="B1758" t="s">
        <v>1332</v>
      </c>
    </row>
    <row r="1759" spans="1:2" x14ac:dyDescent="0.25">
      <c r="A1759">
        <v>51</v>
      </c>
      <c r="B1759" t="s">
        <v>1332</v>
      </c>
    </row>
    <row r="1760" spans="1:2" x14ac:dyDescent="0.25">
      <c r="A1760">
        <v>51</v>
      </c>
      <c r="B1760" t="s">
        <v>1332</v>
      </c>
    </row>
    <row r="1761" spans="1:2" x14ac:dyDescent="0.25">
      <c r="A1761">
        <v>51</v>
      </c>
      <c r="B1761" t="s">
        <v>1332</v>
      </c>
    </row>
    <row r="1762" spans="1:2" x14ac:dyDescent="0.25">
      <c r="A1762">
        <v>51</v>
      </c>
      <c r="B1762" t="s">
        <v>1332</v>
      </c>
    </row>
    <row r="1763" spans="1:2" x14ac:dyDescent="0.25">
      <c r="A1763">
        <v>51</v>
      </c>
      <c r="B1763" t="s">
        <v>1332</v>
      </c>
    </row>
    <row r="1764" spans="1:2" x14ac:dyDescent="0.25">
      <c r="A1764">
        <v>51</v>
      </c>
      <c r="B1764" t="s">
        <v>1332</v>
      </c>
    </row>
    <row r="1765" spans="1:2" x14ac:dyDescent="0.25">
      <c r="A1765">
        <v>51</v>
      </c>
      <c r="B1765" t="s">
        <v>1332</v>
      </c>
    </row>
    <row r="1766" spans="1:2" x14ac:dyDescent="0.25">
      <c r="A1766">
        <v>51</v>
      </c>
      <c r="B1766" t="s">
        <v>1332</v>
      </c>
    </row>
    <row r="1767" spans="1:2" x14ac:dyDescent="0.25">
      <c r="A1767">
        <v>51</v>
      </c>
      <c r="B1767" t="s">
        <v>1332</v>
      </c>
    </row>
    <row r="1768" spans="1:2" x14ac:dyDescent="0.25">
      <c r="A1768">
        <v>51</v>
      </c>
      <c r="B1768" t="s">
        <v>1332</v>
      </c>
    </row>
    <row r="1769" spans="1:2" x14ac:dyDescent="0.25">
      <c r="A1769">
        <v>51</v>
      </c>
      <c r="B1769" t="s">
        <v>1332</v>
      </c>
    </row>
    <row r="1770" spans="1:2" x14ac:dyDescent="0.25">
      <c r="A1770">
        <v>51</v>
      </c>
      <c r="B1770" t="s">
        <v>1332</v>
      </c>
    </row>
    <row r="1771" spans="1:2" x14ac:dyDescent="0.25">
      <c r="A1771">
        <v>51</v>
      </c>
      <c r="B1771" t="s">
        <v>1332</v>
      </c>
    </row>
    <row r="1772" spans="1:2" x14ac:dyDescent="0.25">
      <c r="A1772">
        <v>51</v>
      </c>
      <c r="B1772" t="s">
        <v>1332</v>
      </c>
    </row>
    <row r="1773" spans="1:2" x14ac:dyDescent="0.25">
      <c r="A1773">
        <v>51</v>
      </c>
      <c r="B1773" t="s">
        <v>1332</v>
      </c>
    </row>
    <row r="1774" spans="1:2" x14ac:dyDescent="0.25">
      <c r="A1774">
        <v>51</v>
      </c>
      <c r="B1774" t="s">
        <v>1332</v>
      </c>
    </row>
    <row r="1775" spans="1:2" x14ac:dyDescent="0.25">
      <c r="A1775">
        <v>51</v>
      </c>
      <c r="B1775" t="s">
        <v>1332</v>
      </c>
    </row>
    <row r="1776" spans="1:2" x14ac:dyDescent="0.25">
      <c r="A1776">
        <v>51</v>
      </c>
      <c r="B1776" t="s">
        <v>1332</v>
      </c>
    </row>
    <row r="1777" spans="1:2" x14ac:dyDescent="0.25">
      <c r="A1777">
        <v>51</v>
      </c>
      <c r="B1777" t="s">
        <v>1332</v>
      </c>
    </row>
    <row r="1778" spans="1:2" x14ac:dyDescent="0.25">
      <c r="A1778">
        <v>54</v>
      </c>
      <c r="B1778" t="s">
        <v>1335</v>
      </c>
    </row>
    <row r="1779" spans="1:2" x14ac:dyDescent="0.25">
      <c r="A1779">
        <v>55</v>
      </c>
      <c r="B1779" t="s">
        <v>1336</v>
      </c>
    </row>
    <row r="1780" spans="1:2" x14ac:dyDescent="0.25">
      <c r="A1780">
        <v>45</v>
      </c>
      <c r="B1780" t="s">
        <v>1327</v>
      </c>
    </row>
    <row r="1781" spans="1:2" x14ac:dyDescent="0.25">
      <c r="A1781">
        <v>51</v>
      </c>
      <c r="B1781" t="s">
        <v>1332</v>
      </c>
    </row>
    <row r="1782" spans="1:2" x14ac:dyDescent="0.25">
      <c r="A1782">
        <v>45</v>
      </c>
      <c r="B1782" t="s">
        <v>1327</v>
      </c>
    </row>
    <row r="1783" spans="1:2" x14ac:dyDescent="0.25">
      <c r="A1783">
        <v>45</v>
      </c>
      <c r="B1783" t="s">
        <v>1327</v>
      </c>
    </row>
    <row r="1784" spans="1:2" x14ac:dyDescent="0.25">
      <c r="A1784">
        <v>45</v>
      </c>
      <c r="B1784" t="s">
        <v>1327</v>
      </c>
    </row>
    <row r="1785" spans="1:2" x14ac:dyDescent="0.25">
      <c r="A1785">
        <v>72</v>
      </c>
      <c r="B1785" t="s">
        <v>1352</v>
      </c>
    </row>
    <row r="1786" spans="1:2" x14ac:dyDescent="0.25">
      <c r="A1786">
        <v>72</v>
      </c>
      <c r="B1786" t="s">
        <v>1352</v>
      </c>
    </row>
    <row r="1787" spans="1:2" x14ac:dyDescent="0.25">
      <c r="A1787">
        <v>45</v>
      </c>
      <c r="B1787" t="s">
        <v>1327</v>
      </c>
    </row>
    <row r="1788" spans="1:2" x14ac:dyDescent="0.25">
      <c r="A1788">
        <v>51</v>
      </c>
      <c r="B1788" t="s">
        <v>1332</v>
      </c>
    </row>
    <row r="1789" spans="1:2" x14ac:dyDescent="0.25">
      <c r="A1789">
        <v>61</v>
      </c>
      <c r="B1789" t="s">
        <v>1342</v>
      </c>
    </row>
    <row r="1790" spans="1:2" x14ac:dyDescent="0.25">
      <c r="A1790">
        <v>61</v>
      </c>
      <c r="B1790" t="s">
        <v>1342</v>
      </c>
    </row>
    <row r="1791" spans="1:2" x14ac:dyDescent="0.25">
      <c r="A1791">
        <v>55</v>
      </c>
      <c r="B1791" t="s">
        <v>1336</v>
      </c>
    </row>
    <row r="1792" spans="1:2" x14ac:dyDescent="0.25">
      <c r="A1792">
        <v>55</v>
      </c>
      <c r="B1792" t="s">
        <v>1336</v>
      </c>
    </row>
    <row r="1793" spans="1:2" x14ac:dyDescent="0.25">
      <c r="A1793">
        <v>55</v>
      </c>
      <c r="B1793" t="s">
        <v>1336</v>
      </c>
    </row>
    <row r="1794" spans="1:2" x14ac:dyDescent="0.25">
      <c r="A1794">
        <v>55</v>
      </c>
      <c r="B1794" t="s">
        <v>1336</v>
      </c>
    </row>
    <row r="1795" spans="1:2" x14ac:dyDescent="0.25">
      <c r="A1795">
        <v>84</v>
      </c>
      <c r="B1795" t="s">
        <v>1366</v>
      </c>
    </row>
    <row r="1796" spans="1:2" x14ac:dyDescent="0.25">
      <c r="A1796">
        <v>84</v>
      </c>
      <c r="B1796" t="s">
        <v>1366</v>
      </c>
    </row>
    <row r="1797" spans="1:2" x14ac:dyDescent="0.25">
      <c r="A1797">
        <v>84</v>
      </c>
      <c r="B1797" t="s">
        <v>1366</v>
      </c>
    </row>
    <row r="1798" spans="1:2" x14ac:dyDescent="0.25">
      <c r="A1798">
        <v>84</v>
      </c>
      <c r="B1798" t="s">
        <v>1366</v>
      </c>
    </row>
    <row r="1799" spans="1:2" x14ac:dyDescent="0.25">
      <c r="A1799">
        <v>84</v>
      </c>
      <c r="B1799" t="s">
        <v>1366</v>
      </c>
    </row>
    <row r="1800" spans="1:2" x14ac:dyDescent="0.25">
      <c r="A1800">
        <v>84</v>
      </c>
      <c r="B1800" t="s">
        <v>1366</v>
      </c>
    </row>
    <row r="1801" spans="1:2" x14ac:dyDescent="0.25">
      <c r="A1801">
        <v>84</v>
      </c>
      <c r="B1801" t="s">
        <v>1366</v>
      </c>
    </row>
    <row r="1802" spans="1:2" x14ac:dyDescent="0.25">
      <c r="A1802">
        <v>84</v>
      </c>
      <c r="B1802" t="s">
        <v>1366</v>
      </c>
    </row>
    <row r="1803" spans="1:2" x14ac:dyDescent="0.25">
      <c r="A1803">
        <v>84</v>
      </c>
      <c r="B1803" t="s">
        <v>1366</v>
      </c>
    </row>
    <row r="1804" spans="1:2" x14ac:dyDescent="0.25">
      <c r="A1804">
        <v>84</v>
      </c>
      <c r="B1804" t="s">
        <v>1366</v>
      </c>
    </row>
    <row r="1805" spans="1:2" x14ac:dyDescent="0.25">
      <c r="A1805">
        <v>84</v>
      </c>
      <c r="B1805" t="s">
        <v>1366</v>
      </c>
    </row>
    <row r="1806" spans="1:2" x14ac:dyDescent="0.25">
      <c r="A1806">
        <v>84</v>
      </c>
      <c r="B1806" t="s">
        <v>1366</v>
      </c>
    </row>
    <row r="1807" spans="1:2" x14ac:dyDescent="0.25">
      <c r="A1807">
        <v>84</v>
      </c>
      <c r="B1807" t="s">
        <v>1366</v>
      </c>
    </row>
    <row r="1808" spans="1:2" x14ac:dyDescent="0.25">
      <c r="A1808">
        <v>84</v>
      </c>
      <c r="B1808" t="s">
        <v>1366</v>
      </c>
    </row>
    <row r="1809" spans="1:2" x14ac:dyDescent="0.25">
      <c r="A1809">
        <v>84</v>
      </c>
      <c r="B1809" t="s">
        <v>1366</v>
      </c>
    </row>
    <row r="1810" spans="1:2" x14ac:dyDescent="0.25">
      <c r="A1810">
        <v>84</v>
      </c>
      <c r="B1810" t="s">
        <v>1366</v>
      </c>
    </row>
    <row r="1811" spans="1:2" x14ac:dyDescent="0.25">
      <c r="A1811">
        <v>84</v>
      </c>
      <c r="B1811" t="s">
        <v>1366</v>
      </c>
    </row>
    <row r="1812" spans="1:2" x14ac:dyDescent="0.25">
      <c r="A1812">
        <v>84</v>
      </c>
      <c r="B1812" t="s">
        <v>1366</v>
      </c>
    </row>
    <row r="1813" spans="1:2" x14ac:dyDescent="0.25">
      <c r="A1813">
        <v>84</v>
      </c>
      <c r="B1813" t="s">
        <v>1366</v>
      </c>
    </row>
    <row r="1814" spans="1:2" x14ac:dyDescent="0.25">
      <c r="A1814">
        <v>84</v>
      </c>
      <c r="B1814" t="s">
        <v>1366</v>
      </c>
    </row>
    <row r="1815" spans="1:2" x14ac:dyDescent="0.25">
      <c r="A1815">
        <v>84</v>
      </c>
      <c r="B1815" t="s">
        <v>1366</v>
      </c>
    </row>
    <row r="1816" spans="1:2" x14ac:dyDescent="0.25">
      <c r="A1816">
        <v>70</v>
      </c>
      <c r="B1816" t="s">
        <v>1350</v>
      </c>
    </row>
    <row r="1817" spans="1:2" x14ac:dyDescent="0.25">
      <c r="A1817">
        <v>84</v>
      </c>
      <c r="B1817" t="s">
        <v>1366</v>
      </c>
    </row>
    <row r="1818" spans="1:2" x14ac:dyDescent="0.25">
      <c r="A1818">
        <v>84</v>
      </c>
      <c r="B1818" t="s">
        <v>1366</v>
      </c>
    </row>
    <row r="1819" spans="1:2" x14ac:dyDescent="0.25">
      <c r="A1819">
        <v>84</v>
      </c>
      <c r="B1819" t="s">
        <v>1366</v>
      </c>
    </row>
    <row r="1820" spans="1:2" x14ac:dyDescent="0.25">
      <c r="A1820">
        <v>84</v>
      </c>
      <c r="B1820" t="s">
        <v>1366</v>
      </c>
    </row>
    <row r="1821" spans="1:2" x14ac:dyDescent="0.25">
      <c r="A1821">
        <v>84</v>
      </c>
      <c r="B1821" t="s">
        <v>1366</v>
      </c>
    </row>
    <row r="1822" spans="1:2" x14ac:dyDescent="0.25">
      <c r="A1822">
        <v>84</v>
      </c>
      <c r="B1822" t="s">
        <v>1366</v>
      </c>
    </row>
    <row r="1823" spans="1:2" x14ac:dyDescent="0.25">
      <c r="A1823">
        <v>72</v>
      </c>
      <c r="B1823" t="s">
        <v>1352</v>
      </c>
    </row>
    <row r="1824" spans="1:2" x14ac:dyDescent="0.25">
      <c r="A1824">
        <v>74</v>
      </c>
      <c r="B1824" t="s">
        <v>1354</v>
      </c>
    </row>
    <row r="1825" spans="1:2" x14ac:dyDescent="0.25">
      <c r="A1825">
        <v>70</v>
      </c>
      <c r="B1825" t="s">
        <v>1350</v>
      </c>
    </row>
    <row r="1826" spans="1:2" x14ac:dyDescent="0.25">
      <c r="A1826">
        <v>78</v>
      </c>
      <c r="B1826" t="s">
        <v>1356</v>
      </c>
    </row>
    <row r="1827" spans="1:2" x14ac:dyDescent="0.25">
      <c r="A1827">
        <v>78</v>
      </c>
      <c r="B1827" t="s">
        <v>1356</v>
      </c>
    </row>
    <row r="1828" spans="1:2" x14ac:dyDescent="0.25">
      <c r="A1828">
        <v>70</v>
      </c>
      <c r="B1828" t="s">
        <v>1350</v>
      </c>
    </row>
    <row r="1829" spans="1:2" x14ac:dyDescent="0.25">
      <c r="A1829">
        <v>70</v>
      </c>
      <c r="B1829" t="s">
        <v>1350</v>
      </c>
    </row>
    <row r="1830" spans="1:2" x14ac:dyDescent="0.25">
      <c r="A1830">
        <v>70</v>
      </c>
      <c r="B1830" t="s">
        <v>1350</v>
      </c>
    </row>
    <row r="1831" spans="1:2" x14ac:dyDescent="0.25">
      <c r="A1831">
        <v>78</v>
      </c>
      <c r="B1831" t="s">
        <v>1356</v>
      </c>
    </row>
    <row r="1832" spans="1:2" x14ac:dyDescent="0.25">
      <c r="A1832">
        <v>78</v>
      </c>
      <c r="B1832" t="s">
        <v>1356</v>
      </c>
    </row>
    <row r="1833" spans="1:2" x14ac:dyDescent="0.25">
      <c r="A1833">
        <v>70</v>
      </c>
      <c r="B1833" t="s">
        <v>1350</v>
      </c>
    </row>
    <row r="1834" spans="1:2" x14ac:dyDescent="0.25">
      <c r="A1834">
        <v>67</v>
      </c>
      <c r="B1834" t="s">
        <v>1348</v>
      </c>
    </row>
    <row r="1835" spans="1:2" x14ac:dyDescent="0.25">
      <c r="A1835">
        <v>67</v>
      </c>
      <c r="B1835" t="s">
        <v>1348</v>
      </c>
    </row>
    <row r="1836" spans="1:2" x14ac:dyDescent="0.25">
      <c r="A1836">
        <v>67</v>
      </c>
      <c r="B1836" t="s">
        <v>1348</v>
      </c>
    </row>
    <row r="1837" spans="1:2" x14ac:dyDescent="0.25">
      <c r="A1837">
        <v>67</v>
      </c>
      <c r="B1837" t="s">
        <v>1348</v>
      </c>
    </row>
    <row r="1838" spans="1:2" x14ac:dyDescent="0.25">
      <c r="A1838">
        <v>51</v>
      </c>
      <c r="B1838" t="s">
        <v>1332</v>
      </c>
    </row>
    <row r="1839" spans="1:2" x14ac:dyDescent="0.25">
      <c r="A1839">
        <v>51</v>
      </c>
      <c r="B1839" t="s">
        <v>1332</v>
      </c>
    </row>
    <row r="1840" spans="1:2" x14ac:dyDescent="0.25">
      <c r="A1840">
        <v>51</v>
      </c>
      <c r="B1840" t="s">
        <v>1332</v>
      </c>
    </row>
    <row r="1841" spans="1:2" x14ac:dyDescent="0.25">
      <c r="A1841">
        <v>51</v>
      </c>
      <c r="B1841" t="s">
        <v>1332</v>
      </c>
    </row>
    <row r="1842" spans="1:2" x14ac:dyDescent="0.25">
      <c r="A1842">
        <v>51</v>
      </c>
      <c r="B1842" t="s">
        <v>1332</v>
      </c>
    </row>
    <row r="1843" spans="1:2" x14ac:dyDescent="0.25">
      <c r="A1843">
        <v>51</v>
      </c>
      <c r="B1843" t="s">
        <v>1332</v>
      </c>
    </row>
    <row r="1844" spans="1:2" x14ac:dyDescent="0.25">
      <c r="A1844">
        <v>45</v>
      </c>
      <c r="B1844" t="s">
        <v>1327</v>
      </c>
    </row>
    <row r="1845" spans="1:2" x14ac:dyDescent="0.25">
      <c r="A1845">
        <v>70</v>
      </c>
      <c r="B1845" t="s">
        <v>1350</v>
      </c>
    </row>
    <row r="1846" spans="1:2" x14ac:dyDescent="0.25">
      <c r="A1846">
        <v>51</v>
      </c>
      <c r="B1846" t="s">
        <v>1332</v>
      </c>
    </row>
    <row r="1847" spans="1:2" x14ac:dyDescent="0.25">
      <c r="A1847">
        <v>51</v>
      </c>
      <c r="B1847" t="s">
        <v>1332</v>
      </c>
    </row>
    <row r="1848" spans="1:2" x14ac:dyDescent="0.25">
      <c r="A1848">
        <v>73</v>
      </c>
      <c r="B1848" t="s">
        <v>1353</v>
      </c>
    </row>
    <row r="1849" spans="1:2" x14ac:dyDescent="0.25">
      <c r="A1849">
        <v>52</v>
      </c>
      <c r="B1849" t="s">
        <v>1334</v>
      </c>
    </row>
    <row r="1850" spans="1:2" x14ac:dyDescent="0.25">
      <c r="A1850">
        <v>52</v>
      </c>
      <c r="B1850" t="s">
        <v>1334</v>
      </c>
    </row>
    <row r="1851" spans="1:2" x14ac:dyDescent="0.25">
      <c r="A1851">
        <v>52</v>
      </c>
      <c r="B1851" t="s">
        <v>1334</v>
      </c>
    </row>
    <row r="1852" spans="1:2" x14ac:dyDescent="0.25">
      <c r="A1852">
        <v>52</v>
      </c>
      <c r="B1852" t="s">
        <v>1334</v>
      </c>
    </row>
    <row r="1853" spans="1:2" x14ac:dyDescent="0.25">
      <c r="A1853">
        <v>52</v>
      </c>
      <c r="B1853" t="s">
        <v>1334</v>
      </c>
    </row>
    <row r="1854" spans="1:2" x14ac:dyDescent="0.25">
      <c r="A1854">
        <v>67</v>
      </c>
      <c r="B1854" t="s">
        <v>1348</v>
      </c>
    </row>
    <row r="1855" spans="1:2" x14ac:dyDescent="0.25">
      <c r="A1855">
        <v>67</v>
      </c>
      <c r="B1855" t="s">
        <v>1348</v>
      </c>
    </row>
    <row r="1856" spans="1:2" x14ac:dyDescent="0.25">
      <c r="A1856">
        <v>67</v>
      </c>
      <c r="B1856" t="s">
        <v>1348</v>
      </c>
    </row>
    <row r="1857" spans="1:2" x14ac:dyDescent="0.25">
      <c r="A1857">
        <v>67</v>
      </c>
      <c r="B1857" t="s">
        <v>1348</v>
      </c>
    </row>
    <row r="1858" spans="1:2" x14ac:dyDescent="0.25">
      <c r="A1858">
        <v>67</v>
      </c>
      <c r="B1858" t="s">
        <v>1348</v>
      </c>
    </row>
    <row r="1859" spans="1:2" x14ac:dyDescent="0.25">
      <c r="A1859">
        <v>67</v>
      </c>
      <c r="B1859" t="s">
        <v>1348</v>
      </c>
    </row>
    <row r="1860" spans="1:2" x14ac:dyDescent="0.25">
      <c r="A1860">
        <v>67</v>
      </c>
      <c r="B1860" t="s">
        <v>1348</v>
      </c>
    </row>
    <row r="1861" spans="1:2" x14ac:dyDescent="0.25">
      <c r="A1861">
        <v>67</v>
      </c>
      <c r="B1861" t="s">
        <v>1348</v>
      </c>
    </row>
    <row r="1862" spans="1:2" x14ac:dyDescent="0.25">
      <c r="A1862">
        <v>67</v>
      </c>
      <c r="B1862" t="s">
        <v>1348</v>
      </c>
    </row>
    <row r="1863" spans="1:2" x14ac:dyDescent="0.25">
      <c r="A1863">
        <v>67</v>
      </c>
      <c r="B1863" t="s">
        <v>1348</v>
      </c>
    </row>
    <row r="1864" spans="1:2" x14ac:dyDescent="0.25">
      <c r="A1864">
        <v>67</v>
      </c>
      <c r="B1864" t="s">
        <v>1348</v>
      </c>
    </row>
    <row r="1865" spans="1:2" x14ac:dyDescent="0.25">
      <c r="A1865">
        <v>67</v>
      </c>
      <c r="B1865" t="s">
        <v>1348</v>
      </c>
    </row>
    <row r="1866" spans="1:2" x14ac:dyDescent="0.25">
      <c r="A1866">
        <v>67</v>
      </c>
      <c r="B1866" t="s">
        <v>1348</v>
      </c>
    </row>
    <row r="1867" spans="1:2" x14ac:dyDescent="0.25">
      <c r="A1867">
        <v>67</v>
      </c>
      <c r="B1867" t="s">
        <v>1348</v>
      </c>
    </row>
    <row r="1868" spans="1:2" x14ac:dyDescent="0.25">
      <c r="A1868">
        <v>67</v>
      </c>
      <c r="B1868" t="s">
        <v>1348</v>
      </c>
    </row>
    <row r="1869" spans="1:2" x14ac:dyDescent="0.25">
      <c r="A1869">
        <v>67</v>
      </c>
      <c r="B1869" t="s">
        <v>1348</v>
      </c>
    </row>
    <row r="1870" spans="1:2" x14ac:dyDescent="0.25">
      <c r="A1870">
        <v>67</v>
      </c>
      <c r="B1870" t="s">
        <v>1348</v>
      </c>
    </row>
    <row r="1871" spans="1:2" x14ac:dyDescent="0.25">
      <c r="A1871">
        <v>67</v>
      </c>
      <c r="B1871" t="s">
        <v>1348</v>
      </c>
    </row>
    <row r="1872" spans="1:2" x14ac:dyDescent="0.25">
      <c r="A1872">
        <v>67</v>
      </c>
      <c r="B1872" t="s">
        <v>1348</v>
      </c>
    </row>
    <row r="1873" spans="1:2" x14ac:dyDescent="0.25">
      <c r="A1873">
        <v>67</v>
      </c>
      <c r="B1873" t="s">
        <v>1348</v>
      </c>
    </row>
    <row r="1874" spans="1:2" x14ac:dyDescent="0.25">
      <c r="A1874">
        <v>67</v>
      </c>
      <c r="B1874" t="s">
        <v>1348</v>
      </c>
    </row>
    <row r="1875" spans="1:2" x14ac:dyDescent="0.25">
      <c r="A1875">
        <v>67</v>
      </c>
      <c r="B1875" t="s">
        <v>1348</v>
      </c>
    </row>
    <row r="1876" spans="1:2" x14ac:dyDescent="0.25">
      <c r="A1876">
        <v>67</v>
      </c>
      <c r="B1876" t="s">
        <v>1348</v>
      </c>
    </row>
    <row r="1877" spans="1:2" x14ac:dyDescent="0.25">
      <c r="A1877">
        <v>67</v>
      </c>
      <c r="B1877" t="s">
        <v>1348</v>
      </c>
    </row>
    <row r="1878" spans="1:2" x14ac:dyDescent="0.25">
      <c r="A1878">
        <v>67</v>
      </c>
      <c r="B1878" t="s">
        <v>1348</v>
      </c>
    </row>
    <row r="1879" spans="1:2" x14ac:dyDescent="0.25">
      <c r="A1879">
        <v>67</v>
      </c>
      <c r="B1879" t="s">
        <v>1348</v>
      </c>
    </row>
    <row r="1880" spans="1:2" x14ac:dyDescent="0.25">
      <c r="A1880">
        <v>67</v>
      </c>
      <c r="B1880" t="s">
        <v>1348</v>
      </c>
    </row>
    <row r="1881" spans="1:2" x14ac:dyDescent="0.25">
      <c r="A1881">
        <v>76</v>
      </c>
      <c r="B1881" t="s">
        <v>1355</v>
      </c>
    </row>
    <row r="1882" spans="1:2" x14ac:dyDescent="0.25">
      <c r="A1882">
        <v>55</v>
      </c>
      <c r="B1882" t="s">
        <v>1336</v>
      </c>
    </row>
    <row r="1883" spans="1:2" x14ac:dyDescent="0.25">
      <c r="A1883">
        <v>55</v>
      </c>
      <c r="B1883" t="s">
        <v>1336</v>
      </c>
    </row>
    <row r="1884" spans="1:2" x14ac:dyDescent="0.25">
      <c r="A1884">
        <v>55</v>
      </c>
      <c r="B1884" t="s">
        <v>1336</v>
      </c>
    </row>
    <row r="1885" spans="1:2" x14ac:dyDescent="0.25">
      <c r="A1885">
        <v>54</v>
      </c>
      <c r="B1885" t="s">
        <v>1335</v>
      </c>
    </row>
    <row r="1886" spans="1:2" x14ac:dyDescent="0.25">
      <c r="A1886">
        <v>54</v>
      </c>
      <c r="B1886" t="s">
        <v>1335</v>
      </c>
    </row>
    <row r="1887" spans="1:2" x14ac:dyDescent="0.25">
      <c r="A1887">
        <v>62</v>
      </c>
      <c r="B1887" t="s">
        <v>1343</v>
      </c>
    </row>
    <row r="1888" spans="1:2" x14ac:dyDescent="0.25">
      <c r="A1888">
        <v>54</v>
      </c>
      <c r="B1888" t="s">
        <v>1335</v>
      </c>
    </row>
    <row r="1889" spans="1:2" x14ac:dyDescent="0.25">
      <c r="A1889">
        <v>54</v>
      </c>
      <c r="B1889" t="s">
        <v>1335</v>
      </c>
    </row>
    <row r="1890" spans="1:2" x14ac:dyDescent="0.25">
      <c r="A1890">
        <v>54</v>
      </c>
      <c r="B1890" t="s">
        <v>1335</v>
      </c>
    </row>
    <row r="1891" spans="1:2" x14ac:dyDescent="0.25">
      <c r="A1891">
        <v>55</v>
      </c>
      <c r="B1891" t="s">
        <v>1336</v>
      </c>
    </row>
    <row r="1892" spans="1:2" x14ac:dyDescent="0.25">
      <c r="A1892">
        <v>62</v>
      </c>
      <c r="B1892" t="s">
        <v>1343</v>
      </c>
    </row>
    <row r="1893" spans="1:2" x14ac:dyDescent="0.25">
      <c r="A1893">
        <v>62</v>
      </c>
      <c r="B1893" t="s">
        <v>1343</v>
      </c>
    </row>
    <row r="1894" spans="1:2" x14ac:dyDescent="0.25">
      <c r="A1894">
        <v>51</v>
      </c>
      <c r="B1894" t="s">
        <v>1332</v>
      </c>
    </row>
    <row r="1895" spans="1:2" x14ac:dyDescent="0.25">
      <c r="A1895">
        <v>51</v>
      </c>
      <c r="B1895" t="s">
        <v>1332</v>
      </c>
    </row>
    <row r="1896" spans="1:2" x14ac:dyDescent="0.25">
      <c r="A1896">
        <v>51</v>
      </c>
      <c r="B1896" t="s">
        <v>1332</v>
      </c>
    </row>
    <row r="1897" spans="1:2" x14ac:dyDescent="0.25">
      <c r="A1897">
        <v>51</v>
      </c>
      <c r="B1897" t="s">
        <v>1332</v>
      </c>
    </row>
    <row r="1898" spans="1:2" x14ac:dyDescent="0.25">
      <c r="A1898">
        <v>51</v>
      </c>
      <c r="B1898" t="s">
        <v>1332</v>
      </c>
    </row>
    <row r="1899" spans="1:2" x14ac:dyDescent="0.25">
      <c r="A1899">
        <v>55</v>
      </c>
      <c r="B1899" t="s">
        <v>1336</v>
      </c>
    </row>
    <row r="1900" spans="1:2" x14ac:dyDescent="0.25">
      <c r="A1900">
        <v>55</v>
      </c>
      <c r="B1900" t="s">
        <v>1336</v>
      </c>
    </row>
    <row r="1901" spans="1:2" x14ac:dyDescent="0.25">
      <c r="A1901">
        <v>55</v>
      </c>
      <c r="B1901" t="s">
        <v>1336</v>
      </c>
    </row>
    <row r="1902" spans="1:2" x14ac:dyDescent="0.25">
      <c r="A1902">
        <v>55</v>
      </c>
      <c r="B1902" t="s">
        <v>1336</v>
      </c>
    </row>
    <row r="1903" spans="1:2" x14ac:dyDescent="0.25">
      <c r="A1903">
        <v>55</v>
      </c>
      <c r="B1903" t="s">
        <v>1336</v>
      </c>
    </row>
    <row r="1904" spans="1:2" x14ac:dyDescent="0.25">
      <c r="A1904">
        <v>72</v>
      </c>
      <c r="B1904" t="s">
        <v>1352</v>
      </c>
    </row>
    <row r="1905" spans="1:2" x14ac:dyDescent="0.25">
      <c r="A1905">
        <v>72</v>
      </c>
      <c r="B1905" t="s">
        <v>1352</v>
      </c>
    </row>
    <row r="1906" spans="1:2" x14ac:dyDescent="0.25">
      <c r="A1906">
        <v>70</v>
      </c>
      <c r="B1906" t="s">
        <v>1350</v>
      </c>
    </row>
    <row r="1907" spans="1:2" x14ac:dyDescent="0.25">
      <c r="A1907">
        <v>52</v>
      </c>
      <c r="B1907" t="s">
        <v>1334</v>
      </c>
    </row>
    <row r="1908" spans="1:2" x14ac:dyDescent="0.25">
      <c r="A1908">
        <v>52</v>
      </c>
      <c r="B1908" t="s">
        <v>1334</v>
      </c>
    </row>
    <row r="1909" spans="1:2" x14ac:dyDescent="0.25">
      <c r="A1909">
        <v>61</v>
      </c>
      <c r="B1909" t="s">
        <v>1342</v>
      </c>
    </row>
    <row r="1910" spans="1:2" x14ac:dyDescent="0.25">
      <c r="A1910">
        <v>70</v>
      </c>
      <c r="B1910" t="s">
        <v>1350</v>
      </c>
    </row>
    <row r="1911" spans="1:2" x14ac:dyDescent="0.25">
      <c r="A1911">
        <v>55</v>
      </c>
      <c r="B1911" t="s">
        <v>1336</v>
      </c>
    </row>
    <row r="1912" spans="1:2" x14ac:dyDescent="0.25">
      <c r="A1912">
        <v>55</v>
      </c>
      <c r="B1912" t="s">
        <v>1336</v>
      </c>
    </row>
    <row r="1913" spans="1:2" x14ac:dyDescent="0.25">
      <c r="A1913">
        <v>55</v>
      </c>
      <c r="B1913" t="s">
        <v>1336</v>
      </c>
    </row>
    <row r="1914" spans="1:2" x14ac:dyDescent="0.25">
      <c r="A1914">
        <v>55</v>
      </c>
      <c r="B1914" t="s">
        <v>1336</v>
      </c>
    </row>
    <row r="1915" spans="1:2" x14ac:dyDescent="0.25">
      <c r="A1915">
        <v>55</v>
      </c>
      <c r="B1915" t="s">
        <v>1336</v>
      </c>
    </row>
    <row r="1916" spans="1:2" x14ac:dyDescent="0.25">
      <c r="A1916">
        <v>55</v>
      </c>
      <c r="B1916" t="s">
        <v>1336</v>
      </c>
    </row>
    <row r="1917" spans="1:2" x14ac:dyDescent="0.25">
      <c r="A1917">
        <v>55</v>
      </c>
      <c r="B1917" t="s">
        <v>1336</v>
      </c>
    </row>
    <row r="1918" spans="1:2" x14ac:dyDescent="0.25">
      <c r="A1918">
        <v>55</v>
      </c>
      <c r="B1918" t="s">
        <v>1336</v>
      </c>
    </row>
    <row r="1919" spans="1:2" x14ac:dyDescent="0.25">
      <c r="A1919">
        <v>55</v>
      </c>
      <c r="B1919" t="s">
        <v>1336</v>
      </c>
    </row>
    <row r="1920" spans="1:2" x14ac:dyDescent="0.25">
      <c r="A1920">
        <v>55</v>
      </c>
      <c r="B1920" t="s">
        <v>1336</v>
      </c>
    </row>
    <row r="1921" spans="1:2" x14ac:dyDescent="0.25">
      <c r="A1921">
        <v>55</v>
      </c>
      <c r="B1921" t="s">
        <v>1336</v>
      </c>
    </row>
    <row r="1922" spans="1:2" x14ac:dyDescent="0.25">
      <c r="A1922">
        <v>55</v>
      </c>
      <c r="B1922" t="s">
        <v>1336</v>
      </c>
    </row>
    <row r="1923" spans="1:2" x14ac:dyDescent="0.25">
      <c r="A1923">
        <v>55</v>
      </c>
      <c r="B1923" t="s">
        <v>1336</v>
      </c>
    </row>
    <row r="1924" spans="1:2" x14ac:dyDescent="0.25">
      <c r="A1924">
        <v>55</v>
      </c>
      <c r="B1924" t="s">
        <v>1336</v>
      </c>
    </row>
    <row r="1925" spans="1:2" x14ac:dyDescent="0.25">
      <c r="A1925">
        <v>55</v>
      </c>
      <c r="B1925" t="s">
        <v>1336</v>
      </c>
    </row>
    <row r="1926" spans="1:2" x14ac:dyDescent="0.25">
      <c r="A1926">
        <v>55</v>
      </c>
      <c r="B1926" t="s">
        <v>1336</v>
      </c>
    </row>
    <row r="1927" spans="1:2" x14ac:dyDescent="0.25">
      <c r="A1927">
        <v>55</v>
      </c>
      <c r="B1927" t="s">
        <v>1336</v>
      </c>
    </row>
    <row r="1928" spans="1:2" x14ac:dyDescent="0.25">
      <c r="A1928">
        <v>55</v>
      </c>
      <c r="B1928" t="s">
        <v>1336</v>
      </c>
    </row>
    <row r="1929" spans="1:2" x14ac:dyDescent="0.25">
      <c r="A1929">
        <v>55</v>
      </c>
      <c r="B1929" t="s">
        <v>1336</v>
      </c>
    </row>
    <row r="1930" spans="1:2" x14ac:dyDescent="0.25">
      <c r="A1930">
        <v>55</v>
      </c>
      <c r="B1930" t="s">
        <v>1336</v>
      </c>
    </row>
    <row r="1931" spans="1:2" x14ac:dyDescent="0.25">
      <c r="A1931">
        <v>67</v>
      </c>
      <c r="B1931" t="s">
        <v>1348</v>
      </c>
    </row>
    <row r="1932" spans="1:2" x14ac:dyDescent="0.25">
      <c r="A1932">
        <v>67</v>
      </c>
      <c r="B1932" t="s">
        <v>1348</v>
      </c>
    </row>
    <row r="1933" spans="1:2" x14ac:dyDescent="0.25">
      <c r="A1933">
        <v>67</v>
      </c>
      <c r="B1933" t="s">
        <v>1348</v>
      </c>
    </row>
    <row r="1934" spans="1:2" x14ac:dyDescent="0.25">
      <c r="A1934">
        <v>67</v>
      </c>
      <c r="B1934" t="s">
        <v>1348</v>
      </c>
    </row>
    <row r="1935" spans="1:2" x14ac:dyDescent="0.25">
      <c r="A1935">
        <v>67</v>
      </c>
      <c r="B1935" t="s">
        <v>1348</v>
      </c>
    </row>
    <row r="1936" spans="1:2" x14ac:dyDescent="0.25">
      <c r="A1936">
        <v>67</v>
      </c>
      <c r="B1936" t="s">
        <v>1348</v>
      </c>
    </row>
    <row r="1937" spans="1:2" x14ac:dyDescent="0.25">
      <c r="A1937">
        <v>67</v>
      </c>
      <c r="B1937" t="s">
        <v>1348</v>
      </c>
    </row>
    <row r="1938" spans="1:2" x14ac:dyDescent="0.25">
      <c r="A1938">
        <v>1</v>
      </c>
      <c r="B1938" t="s">
        <v>1367</v>
      </c>
    </row>
    <row r="1939" spans="1:2" x14ac:dyDescent="0.25">
      <c r="A1939">
        <v>1</v>
      </c>
      <c r="B1939" t="s">
        <v>1367</v>
      </c>
    </row>
    <row r="1940" spans="1:2" x14ac:dyDescent="0.25">
      <c r="A1940">
        <v>1</v>
      </c>
      <c r="B1940" t="s">
        <v>1367</v>
      </c>
    </row>
    <row r="1941" spans="1:2" x14ac:dyDescent="0.25">
      <c r="A1941">
        <v>1</v>
      </c>
      <c r="B1941" t="s">
        <v>1367</v>
      </c>
    </row>
    <row r="1942" spans="1:2" x14ac:dyDescent="0.25">
      <c r="A1942">
        <v>1</v>
      </c>
      <c r="B1942" t="s">
        <v>1367</v>
      </c>
    </row>
    <row r="1943" spans="1:2" x14ac:dyDescent="0.25">
      <c r="A1943">
        <v>1</v>
      </c>
      <c r="B1943" t="s">
        <v>1367</v>
      </c>
    </row>
    <row r="1944" spans="1:2" x14ac:dyDescent="0.25">
      <c r="A1944">
        <v>1</v>
      </c>
      <c r="B1944" t="s">
        <v>1367</v>
      </c>
    </row>
    <row r="1948" spans="1:2" x14ac:dyDescent="0.25">
      <c r="A1948">
        <v>72</v>
      </c>
      <c r="B1948" t="s">
        <v>1352</v>
      </c>
    </row>
    <row r="1949" spans="1:2" x14ac:dyDescent="0.25">
      <c r="A1949">
        <v>72</v>
      </c>
      <c r="B1949" t="s">
        <v>1352</v>
      </c>
    </row>
    <row r="1950" spans="1:2" x14ac:dyDescent="0.25">
      <c r="A1950">
        <v>61</v>
      </c>
      <c r="B1950" t="s">
        <v>1342</v>
      </c>
    </row>
    <row r="1951" spans="1:2" x14ac:dyDescent="0.25">
      <c r="A1951">
        <v>61</v>
      </c>
      <c r="B1951" t="s">
        <v>1342</v>
      </c>
    </row>
    <row r="1952" spans="1:2" x14ac:dyDescent="0.25">
      <c r="A1952">
        <v>61</v>
      </c>
      <c r="B1952" t="s">
        <v>1342</v>
      </c>
    </row>
    <row r="1953" spans="1:2" x14ac:dyDescent="0.25">
      <c r="A1953">
        <v>61</v>
      </c>
      <c r="B1953" t="s">
        <v>1342</v>
      </c>
    </row>
    <row r="1954" spans="1:2" x14ac:dyDescent="0.25">
      <c r="A1954">
        <v>61</v>
      </c>
      <c r="B1954" t="s">
        <v>1342</v>
      </c>
    </row>
    <row r="1955" spans="1:2" x14ac:dyDescent="0.25">
      <c r="A1955">
        <v>61</v>
      </c>
      <c r="B1955" t="s">
        <v>1342</v>
      </c>
    </row>
    <row r="1956" spans="1:2" x14ac:dyDescent="0.25">
      <c r="A1956">
        <v>61</v>
      </c>
      <c r="B1956" t="s">
        <v>1342</v>
      </c>
    </row>
    <row r="1957" spans="1:2" x14ac:dyDescent="0.25">
      <c r="A1957">
        <v>61</v>
      </c>
      <c r="B1957" t="s">
        <v>1342</v>
      </c>
    </row>
    <row r="1958" spans="1:2" x14ac:dyDescent="0.25">
      <c r="A1958">
        <v>61</v>
      </c>
      <c r="B1958" t="s">
        <v>1342</v>
      </c>
    </row>
    <row r="1959" spans="1:2" x14ac:dyDescent="0.25">
      <c r="A1959">
        <v>61</v>
      </c>
      <c r="B1959" t="s">
        <v>1342</v>
      </c>
    </row>
    <row r="1960" spans="1:2" x14ac:dyDescent="0.25">
      <c r="A1960">
        <v>61</v>
      </c>
      <c r="B1960" t="s">
        <v>1342</v>
      </c>
    </row>
    <row r="1961" spans="1:2" x14ac:dyDescent="0.25">
      <c r="A1961">
        <v>61</v>
      </c>
      <c r="B1961" t="s">
        <v>1342</v>
      </c>
    </row>
    <row r="1962" spans="1:2" x14ac:dyDescent="0.25">
      <c r="A1962">
        <v>45</v>
      </c>
      <c r="B1962" t="s">
        <v>1327</v>
      </c>
    </row>
    <row r="1963" spans="1:2" x14ac:dyDescent="0.25">
      <c r="A1963">
        <v>45</v>
      </c>
      <c r="B1963" t="s">
        <v>1327</v>
      </c>
    </row>
    <row r="1964" spans="1:2" x14ac:dyDescent="0.25">
      <c r="A1964">
        <v>45</v>
      </c>
      <c r="B1964" t="s">
        <v>1327</v>
      </c>
    </row>
    <row r="1965" spans="1:2" x14ac:dyDescent="0.25">
      <c r="A1965">
        <v>45</v>
      </c>
      <c r="B1965" t="s">
        <v>1327</v>
      </c>
    </row>
    <row r="1966" spans="1:2" x14ac:dyDescent="0.25">
      <c r="A1966">
        <v>51</v>
      </c>
      <c r="B1966" t="s">
        <v>1332</v>
      </c>
    </row>
    <row r="1967" spans="1:2" x14ac:dyDescent="0.25">
      <c r="A1967">
        <v>51</v>
      </c>
      <c r="B1967" t="s">
        <v>1332</v>
      </c>
    </row>
    <row r="1968" spans="1:2" x14ac:dyDescent="0.25">
      <c r="A1968">
        <v>51</v>
      </c>
      <c r="B1968" t="s">
        <v>1332</v>
      </c>
    </row>
    <row r="1969" spans="1:2" x14ac:dyDescent="0.25">
      <c r="A1969">
        <v>51</v>
      </c>
      <c r="B1969" t="s">
        <v>1332</v>
      </c>
    </row>
    <row r="1970" spans="1:2" x14ac:dyDescent="0.25">
      <c r="A1970">
        <v>51</v>
      </c>
      <c r="B1970" t="s">
        <v>1332</v>
      </c>
    </row>
    <row r="1971" spans="1:2" x14ac:dyDescent="0.25">
      <c r="A1971">
        <v>51</v>
      </c>
      <c r="B1971" t="s">
        <v>1332</v>
      </c>
    </row>
    <row r="1972" spans="1:2" x14ac:dyDescent="0.25">
      <c r="A1972">
        <v>51</v>
      </c>
      <c r="B1972" t="s">
        <v>1332</v>
      </c>
    </row>
    <row r="1973" spans="1:2" x14ac:dyDescent="0.25">
      <c r="A1973">
        <v>55</v>
      </c>
      <c r="B1973" t="s">
        <v>1336</v>
      </c>
    </row>
    <row r="1974" spans="1:2" x14ac:dyDescent="0.25">
      <c r="A1974">
        <v>55</v>
      </c>
      <c r="B1974" t="s">
        <v>1336</v>
      </c>
    </row>
    <row r="1975" spans="1:2" x14ac:dyDescent="0.25">
      <c r="A1975">
        <v>50</v>
      </c>
      <c r="B1975" t="s">
        <v>1331</v>
      </c>
    </row>
    <row r="1976" spans="1:2" x14ac:dyDescent="0.25">
      <c r="A1976">
        <v>50</v>
      </c>
      <c r="B1976" t="s">
        <v>1331</v>
      </c>
    </row>
    <row r="1977" spans="1:2" x14ac:dyDescent="0.25">
      <c r="A1977">
        <v>50</v>
      </c>
      <c r="B1977" t="s">
        <v>1331</v>
      </c>
    </row>
    <row r="1978" spans="1:2" x14ac:dyDescent="0.25">
      <c r="A1978">
        <v>10</v>
      </c>
      <c r="B1978" t="s">
        <v>1368</v>
      </c>
    </row>
    <row r="1979" spans="1:2" x14ac:dyDescent="0.25">
      <c r="A1979">
        <v>61</v>
      </c>
      <c r="B1979" t="s">
        <v>1342</v>
      </c>
    </row>
    <row r="1980" spans="1:2" x14ac:dyDescent="0.25">
      <c r="A1980">
        <v>61</v>
      </c>
      <c r="B1980" t="s">
        <v>1342</v>
      </c>
    </row>
    <row r="1981" spans="1:2" x14ac:dyDescent="0.25">
      <c r="A1981">
        <v>61</v>
      </c>
      <c r="B1981" t="s">
        <v>1342</v>
      </c>
    </row>
    <row r="1982" spans="1:2" x14ac:dyDescent="0.25">
      <c r="A1982">
        <v>61</v>
      </c>
      <c r="B1982" t="s">
        <v>1342</v>
      </c>
    </row>
    <row r="1983" spans="1:2" x14ac:dyDescent="0.25">
      <c r="A1983">
        <v>61</v>
      </c>
      <c r="B1983" t="s">
        <v>1342</v>
      </c>
    </row>
    <row r="1984" spans="1:2" x14ac:dyDescent="0.25">
      <c r="A1984">
        <v>61</v>
      </c>
      <c r="B1984" t="s">
        <v>1342</v>
      </c>
    </row>
    <row r="1985" spans="1:2" x14ac:dyDescent="0.25">
      <c r="A1985">
        <v>61</v>
      </c>
      <c r="B1985" t="s">
        <v>1342</v>
      </c>
    </row>
    <row r="1986" spans="1:2" x14ac:dyDescent="0.25">
      <c r="A1986">
        <v>61</v>
      </c>
      <c r="B1986" t="s">
        <v>1342</v>
      </c>
    </row>
    <row r="1987" spans="1:2" x14ac:dyDescent="0.25">
      <c r="A1987">
        <v>61</v>
      </c>
      <c r="B1987" t="s">
        <v>1342</v>
      </c>
    </row>
    <row r="1988" spans="1:2" x14ac:dyDescent="0.25">
      <c r="A1988">
        <v>51</v>
      </c>
      <c r="B1988" t="s">
        <v>1332</v>
      </c>
    </row>
    <row r="1989" spans="1:2" x14ac:dyDescent="0.25">
      <c r="A1989">
        <v>54</v>
      </c>
      <c r="B1989" t="s">
        <v>1335</v>
      </c>
    </row>
    <row r="1990" spans="1:2" x14ac:dyDescent="0.25">
      <c r="A1990">
        <v>54</v>
      </c>
      <c r="B1990" t="s">
        <v>1335</v>
      </c>
    </row>
    <row r="1991" spans="1:2" x14ac:dyDescent="0.25">
      <c r="A1991">
        <v>51</v>
      </c>
      <c r="B1991" t="s">
        <v>1332</v>
      </c>
    </row>
    <row r="1992" spans="1:2" x14ac:dyDescent="0.25">
      <c r="A1992">
        <v>51</v>
      </c>
      <c r="B1992" t="s">
        <v>1332</v>
      </c>
    </row>
    <row r="1993" spans="1:2" x14ac:dyDescent="0.25">
      <c r="A1993">
        <v>51</v>
      </c>
      <c r="B1993" t="s">
        <v>1332</v>
      </c>
    </row>
    <row r="1994" spans="1:2" x14ac:dyDescent="0.25">
      <c r="A1994">
        <v>51</v>
      </c>
      <c r="B1994" t="s">
        <v>1332</v>
      </c>
    </row>
    <row r="1995" spans="1:2" x14ac:dyDescent="0.25">
      <c r="A1995">
        <v>51</v>
      </c>
      <c r="B1995" t="s">
        <v>1332</v>
      </c>
    </row>
    <row r="1996" spans="1:2" x14ac:dyDescent="0.25">
      <c r="A1996">
        <v>51</v>
      </c>
      <c r="B1996" t="s">
        <v>1332</v>
      </c>
    </row>
    <row r="1997" spans="1:2" x14ac:dyDescent="0.25">
      <c r="A1997">
        <v>51</v>
      </c>
      <c r="B1997" t="s">
        <v>1332</v>
      </c>
    </row>
    <row r="1998" spans="1:2" x14ac:dyDescent="0.25">
      <c r="A1998">
        <v>51</v>
      </c>
      <c r="B1998" t="s">
        <v>1332</v>
      </c>
    </row>
    <row r="1999" spans="1:2" x14ac:dyDescent="0.25">
      <c r="A1999">
        <v>51</v>
      </c>
      <c r="B1999" t="s">
        <v>1332</v>
      </c>
    </row>
    <row r="2000" spans="1:2" x14ac:dyDescent="0.25">
      <c r="A2000">
        <v>51</v>
      </c>
      <c r="B2000" t="s">
        <v>1332</v>
      </c>
    </row>
    <row r="2001" spans="1:2" x14ac:dyDescent="0.25">
      <c r="A2001">
        <v>51</v>
      </c>
      <c r="B2001" t="s">
        <v>1332</v>
      </c>
    </row>
    <row r="2002" spans="1:2" x14ac:dyDescent="0.25">
      <c r="A2002">
        <v>51</v>
      </c>
      <c r="B2002" t="s">
        <v>1332</v>
      </c>
    </row>
    <row r="2003" spans="1:2" x14ac:dyDescent="0.25">
      <c r="A2003">
        <v>51</v>
      </c>
      <c r="B2003" t="s">
        <v>1332</v>
      </c>
    </row>
    <row r="2004" spans="1:2" x14ac:dyDescent="0.25">
      <c r="A2004">
        <v>74</v>
      </c>
      <c r="B2004" t="s">
        <v>1354</v>
      </c>
    </row>
    <row r="2005" spans="1:2" x14ac:dyDescent="0.25">
      <c r="A2005">
        <v>67</v>
      </c>
      <c r="B2005" t="s">
        <v>1348</v>
      </c>
    </row>
    <row r="2006" spans="1:2" x14ac:dyDescent="0.25">
      <c r="A2006">
        <v>67</v>
      </c>
      <c r="B2006" t="s">
        <v>1348</v>
      </c>
    </row>
    <row r="2007" spans="1:2" x14ac:dyDescent="0.25">
      <c r="A2007">
        <v>72</v>
      </c>
      <c r="B2007" t="s">
        <v>1352</v>
      </c>
    </row>
    <row r="2008" spans="1:2" x14ac:dyDescent="0.25">
      <c r="A2008">
        <v>72</v>
      </c>
      <c r="B2008" t="s">
        <v>1352</v>
      </c>
    </row>
    <row r="2009" spans="1:2" x14ac:dyDescent="0.25">
      <c r="A2009">
        <v>72</v>
      </c>
      <c r="B2009" t="s">
        <v>1352</v>
      </c>
    </row>
    <row r="2010" spans="1:2" x14ac:dyDescent="0.25">
      <c r="A2010">
        <v>72</v>
      </c>
      <c r="B2010" t="s">
        <v>1352</v>
      </c>
    </row>
    <row r="2011" spans="1:2" x14ac:dyDescent="0.25">
      <c r="A2011">
        <v>89</v>
      </c>
      <c r="B2011" t="s">
        <v>1362</v>
      </c>
    </row>
    <row r="2012" spans="1:2" x14ac:dyDescent="0.25">
      <c r="A2012">
        <v>89</v>
      </c>
      <c r="B2012" t="s">
        <v>1362</v>
      </c>
    </row>
    <row r="2013" spans="1:2" x14ac:dyDescent="0.25">
      <c r="A2013">
        <v>89</v>
      </c>
      <c r="B2013" t="s">
        <v>1362</v>
      </c>
    </row>
    <row r="2014" spans="1:2" x14ac:dyDescent="0.25">
      <c r="A2014">
        <v>55</v>
      </c>
      <c r="B2014" t="s">
        <v>1336</v>
      </c>
    </row>
    <row r="2015" spans="1:2" x14ac:dyDescent="0.25">
      <c r="A2015">
        <v>55</v>
      </c>
      <c r="B2015" t="s">
        <v>1336</v>
      </c>
    </row>
    <row r="2016" spans="1:2" x14ac:dyDescent="0.25">
      <c r="A2016">
        <v>55</v>
      </c>
      <c r="B2016" t="s">
        <v>1336</v>
      </c>
    </row>
    <row r="2017" spans="1:2" x14ac:dyDescent="0.25">
      <c r="A2017">
        <v>67</v>
      </c>
      <c r="B2017" t="s">
        <v>1348</v>
      </c>
    </row>
    <row r="2018" spans="1:2" x14ac:dyDescent="0.25">
      <c r="A2018">
        <v>89</v>
      </c>
      <c r="B2018" t="s">
        <v>1362</v>
      </c>
    </row>
    <row r="2019" spans="1:2" x14ac:dyDescent="0.25">
      <c r="A2019">
        <v>89</v>
      </c>
      <c r="B2019" t="s">
        <v>1362</v>
      </c>
    </row>
    <row r="2020" spans="1:2" x14ac:dyDescent="0.25">
      <c r="A2020">
        <v>89</v>
      </c>
      <c r="B2020" t="s">
        <v>1362</v>
      </c>
    </row>
    <row r="2021" spans="1:2" x14ac:dyDescent="0.25">
      <c r="A2021">
        <v>89</v>
      </c>
      <c r="B2021" t="s">
        <v>1362</v>
      </c>
    </row>
    <row r="2022" spans="1:2" x14ac:dyDescent="0.25">
      <c r="A2022">
        <v>55</v>
      </c>
      <c r="B2022" t="s">
        <v>1336</v>
      </c>
    </row>
    <row r="2023" spans="1:2" x14ac:dyDescent="0.25">
      <c r="A2023">
        <v>55</v>
      </c>
      <c r="B2023" t="s">
        <v>1336</v>
      </c>
    </row>
    <row r="2024" spans="1:2" x14ac:dyDescent="0.25">
      <c r="A2024">
        <v>69</v>
      </c>
      <c r="B2024" t="s">
        <v>1349</v>
      </c>
    </row>
    <row r="2025" spans="1:2" x14ac:dyDescent="0.25">
      <c r="A2025">
        <v>76</v>
      </c>
      <c r="B2025" t="s">
        <v>1355</v>
      </c>
    </row>
    <row r="2026" spans="1:2" x14ac:dyDescent="0.25">
      <c r="A2026">
        <v>76</v>
      </c>
      <c r="B2026" t="s">
        <v>1355</v>
      </c>
    </row>
    <row r="2027" spans="1:2" x14ac:dyDescent="0.25">
      <c r="A2027">
        <v>76</v>
      </c>
      <c r="B2027" t="s">
        <v>1355</v>
      </c>
    </row>
    <row r="2028" spans="1:2" x14ac:dyDescent="0.25">
      <c r="A2028">
        <v>76</v>
      </c>
      <c r="B2028" t="s">
        <v>1355</v>
      </c>
    </row>
    <row r="2029" spans="1:2" x14ac:dyDescent="0.25">
      <c r="A2029">
        <v>76</v>
      </c>
      <c r="B2029" t="s">
        <v>1355</v>
      </c>
    </row>
    <row r="2030" spans="1:2" x14ac:dyDescent="0.25">
      <c r="A2030">
        <v>76</v>
      </c>
      <c r="B2030" t="s">
        <v>1355</v>
      </c>
    </row>
    <row r="2031" spans="1:2" x14ac:dyDescent="0.25">
      <c r="A2031">
        <v>76</v>
      </c>
      <c r="B2031" t="s">
        <v>1355</v>
      </c>
    </row>
    <row r="2032" spans="1:2" x14ac:dyDescent="0.25">
      <c r="A2032">
        <v>76</v>
      </c>
      <c r="B2032" t="s">
        <v>1355</v>
      </c>
    </row>
    <row r="2033" spans="1:2" x14ac:dyDescent="0.25">
      <c r="A2033">
        <v>76</v>
      </c>
      <c r="B2033" t="s">
        <v>1355</v>
      </c>
    </row>
    <row r="2034" spans="1:2" x14ac:dyDescent="0.25">
      <c r="A2034">
        <v>72</v>
      </c>
      <c r="B2034" t="s">
        <v>1352</v>
      </c>
    </row>
    <row r="2035" spans="1:2" x14ac:dyDescent="0.25">
      <c r="A2035">
        <v>72</v>
      </c>
      <c r="B2035" t="s">
        <v>1352</v>
      </c>
    </row>
    <row r="2036" spans="1:2" x14ac:dyDescent="0.25">
      <c r="A2036">
        <v>72</v>
      </c>
      <c r="B2036" t="s">
        <v>1352</v>
      </c>
    </row>
    <row r="2037" spans="1:2" x14ac:dyDescent="0.25">
      <c r="A2037">
        <v>72</v>
      </c>
      <c r="B2037" t="s">
        <v>1352</v>
      </c>
    </row>
    <row r="2038" spans="1:2" x14ac:dyDescent="0.25">
      <c r="A2038">
        <v>62</v>
      </c>
      <c r="B2038" t="s">
        <v>1343</v>
      </c>
    </row>
    <row r="2039" spans="1:2" x14ac:dyDescent="0.25">
      <c r="A2039">
        <v>72</v>
      </c>
      <c r="B2039" t="s">
        <v>1352</v>
      </c>
    </row>
    <row r="2040" spans="1:2" x14ac:dyDescent="0.25">
      <c r="A2040">
        <v>72</v>
      </c>
      <c r="B2040" t="s">
        <v>1352</v>
      </c>
    </row>
    <row r="2041" spans="1:2" x14ac:dyDescent="0.25">
      <c r="A2041">
        <v>72</v>
      </c>
      <c r="B2041" t="s">
        <v>1352</v>
      </c>
    </row>
    <row r="2042" spans="1:2" x14ac:dyDescent="0.25">
      <c r="A2042">
        <v>51</v>
      </c>
      <c r="B2042" t="s">
        <v>1332</v>
      </c>
    </row>
    <row r="2043" spans="1:2" x14ac:dyDescent="0.25">
      <c r="A2043">
        <v>72</v>
      </c>
      <c r="B2043" t="s">
        <v>1352</v>
      </c>
    </row>
    <row r="2044" spans="1:2" x14ac:dyDescent="0.25">
      <c r="A2044">
        <v>45</v>
      </c>
      <c r="B2044" t="s">
        <v>1327</v>
      </c>
    </row>
    <row r="2045" spans="1:2" x14ac:dyDescent="0.25">
      <c r="A2045">
        <v>45</v>
      </c>
      <c r="B2045" t="s">
        <v>1327</v>
      </c>
    </row>
    <row r="2046" spans="1:2" x14ac:dyDescent="0.25">
      <c r="A2046">
        <v>45</v>
      </c>
      <c r="B2046" t="s">
        <v>1327</v>
      </c>
    </row>
    <row r="2047" spans="1:2" x14ac:dyDescent="0.25">
      <c r="A2047">
        <v>72</v>
      </c>
      <c r="B2047" t="s">
        <v>1352</v>
      </c>
    </row>
    <row r="2048" spans="1:2" x14ac:dyDescent="0.25">
      <c r="A2048">
        <v>72</v>
      </c>
      <c r="B2048" t="s">
        <v>1352</v>
      </c>
    </row>
    <row r="2049" spans="1:2" x14ac:dyDescent="0.25">
      <c r="A2049">
        <v>72</v>
      </c>
      <c r="B2049" t="s">
        <v>1352</v>
      </c>
    </row>
    <row r="2050" spans="1:2" x14ac:dyDescent="0.25">
      <c r="A2050">
        <v>72</v>
      </c>
      <c r="B2050" t="s">
        <v>1352</v>
      </c>
    </row>
    <row r="2051" spans="1:2" x14ac:dyDescent="0.25">
      <c r="A2051">
        <v>72</v>
      </c>
      <c r="B2051" t="s">
        <v>1352</v>
      </c>
    </row>
    <row r="2052" spans="1:2" x14ac:dyDescent="0.25">
      <c r="A2052">
        <v>72</v>
      </c>
      <c r="B2052" t="s">
        <v>1352</v>
      </c>
    </row>
    <row r="2053" spans="1:2" x14ac:dyDescent="0.25">
      <c r="A2053">
        <v>72</v>
      </c>
      <c r="B2053" t="s">
        <v>1352</v>
      </c>
    </row>
    <row r="2054" spans="1:2" x14ac:dyDescent="0.25">
      <c r="A2054">
        <v>72</v>
      </c>
      <c r="B2054" t="s">
        <v>1352</v>
      </c>
    </row>
    <row r="2055" spans="1:2" x14ac:dyDescent="0.25">
      <c r="A2055">
        <v>73</v>
      </c>
      <c r="B2055" t="s">
        <v>1353</v>
      </c>
    </row>
    <row r="2056" spans="1:2" x14ac:dyDescent="0.25">
      <c r="A2056">
        <v>73</v>
      </c>
      <c r="B2056" t="s">
        <v>1353</v>
      </c>
    </row>
    <row r="2057" spans="1:2" x14ac:dyDescent="0.25">
      <c r="A2057">
        <v>61</v>
      </c>
      <c r="B2057" t="s">
        <v>1342</v>
      </c>
    </row>
    <row r="2058" spans="1:2" x14ac:dyDescent="0.25">
      <c r="A2058">
        <v>78</v>
      </c>
      <c r="B2058" t="s">
        <v>1356</v>
      </c>
    </row>
    <row r="2059" spans="1:2" x14ac:dyDescent="0.25">
      <c r="A2059">
        <v>78</v>
      </c>
      <c r="B2059" t="s">
        <v>1356</v>
      </c>
    </row>
    <row r="2060" spans="1:2" x14ac:dyDescent="0.25">
      <c r="A2060">
        <v>62</v>
      </c>
      <c r="B2060" t="s">
        <v>1343</v>
      </c>
    </row>
    <row r="2061" spans="1:2" x14ac:dyDescent="0.25">
      <c r="A2061">
        <v>62</v>
      </c>
      <c r="B2061" t="s">
        <v>1343</v>
      </c>
    </row>
    <row r="2062" spans="1:2" x14ac:dyDescent="0.25">
      <c r="A2062">
        <v>62</v>
      </c>
      <c r="B2062" t="s">
        <v>1343</v>
      </c>
    </row>
    <row r="2063" spans="1:2" x14ac:dyDescent="0.25">
      <c r="A2063">
        <v>62</v>
      </c>
      <c r="B2063" t="s">
        <v>1343</v>
      </c>
    </row>
    <row r="2064" spans="1:2" x14ac:dyDescent="0.25">
      <c r="A2064">
        <v>54</v>
      </c>
      <c r="B2064" t="s">
        <v>1335</v>
      </c>
    </row>
    <row r="2065" spans="1:2" x14ac:dyDescent="0.25">
      <c r="A2065">
        <v>54</v>
      </c>
      <c r="B2065" t="s">
        <v>1335</v>
      </c>
    </row>
    <row r="2066" spans="1:2" x14ac:dyDescent="0.25">
      <c r="A2066">
        <v>54</v>
      </c>
      <c r="B2066" t="s">
        <v>1335</v>
      </c>
    </row>
    <row r="2067" spans="1:2" x14ac:dyDescent="0.25">
      <c r="A2067">
        <v>54</v>
      </c>
      <c r="B2067" t="s">
        <v>1335</v>
      </c>
    </row>
    <row r="2068" spans="1:2" x14ac:dyDescent="0.25">
      <c r="A2068">
        <v>54</v>
      </c>
      <c r="B2068" t="s">
        <v>1335</v>
      </c>
    </row>
    <row r="2069" spans="1:2" x14ac:dyDescent="0.25">
      <c r="A2069">
        <v>54</v>
      </c>
      <c r="B2069" t="s">
        <v>1335</v>
      </c>
    </row>
    <row r="2070" spans="1:2" x14ac:dyDescent="0.25">
      <c r="A2070">
        <v>54</v>
      </c>
      <c r="B2070" t="s">
        <v>1335</v>
      </c>
    </row>
    <row r="2071" spans="1:2" x14ac:dyDescent="0.25">
      <c r="A2071">
        <v>54</v>
      </c>
      <c r="B2071" t="s">
        <v>1335</v>
      </c>
    </row>
    <row r="2072" spans="1:2" x14ac:dyDescent="0.25">
      <c r="A2072">
        <v>54</v>
      </c>
      <c r="B2072" t="s">
        <v>1335</v>
      </c>
    </row>
    <row r="2073" spans="1:2" x14ac:dyDescent="0.25">
      <c r="A2073">
        <v>54</v>
      </c>
      <c r="B2073" t="s">
        <v>1335</v>
      </c>
    </row>
    <row r="2074" spans="1:2" x14ac:dyDescent="0.25">
      <c r="A2074">
        <v>54</v>
      </c>
      <c r="B2074" t="s">
        <v>1335</v>
      </c>
    </row>
    <row r="2075" spans="1:2" x14ac:dyDescent="0.25">
      <c r="A2075">
        <v>54</v>
      </c>
      <c r="B2075" t="s">
        <v>1335</v>
      </c>
    </row>
    <row r="2076" spans="1:2" x14ac:dyDescent="0.25">
      <c r="A2076">
        <v>54</v>
      </c>
      <c r="B2076" t="s">
        <v>1335</v>
      </c>
    </row>
    <row r="2077" spans="1:2" x14ac:dyDescent="0.25">
      <c r="A2077">
        <v>54</v>
      </c>
      <c r="B2077" t="s">
        <v>1335</v>
      </c>
    </row>
    <row r="2078" spans="1:2" x14ac:dyDescent="0.25">
      <c r="A2078">
        <v>54</v>
      </c>
      <c r="B2078" t="s">
        <v>1335</v>
      </c>
    </row>
    <row r="2079" spans="1:2" x14ac:dyDescent="0.25">
      <c r="A2079">
        <v>54</v>
      </c>
      <c r="B2079" t="s">
        <v>1335</v>
      </c>
    </row>
    <row r="2080" spans="1:2" x14ac:dyDescent="0.25">
      <c r="A2080">
        <v>54</v>
      </c>
      <c r="B2080" t="s">
        <v>1335</v>
      </c>
    </row>
    <row r="2081" spans="1:2" x14ac:dyDescent="0.25">
      <c r="A2081">
        <v>54</v>
      </c>
      <c r="B2081" t="s">
        <v>1335</v>
      </c>
    </row>
    <row r="2082" spans="1:2" x14ac:dyDescent="0.25">
      <c r="A2082">
        <v>54</v>
      </c>
      <c r="B2082" t="s">
        <v>1335</v>
      </c>
    </row>
    <row r="2083" spans="1:2" x14ac:dyDescent="0.25">
      <c r="A2083">
        <v>54</v>
      </c>
      <c r="B2083" t="s">
        <v>1335</v>
      </c>
    </row>
    <row r="2084" spans="1:2" x14ac:dyDescent="0.25">
      <c r="A2084">
        <v>54</v>
      </c>
      <c r="B2084" t="s">
        <v>1335</v>
      </c>
    </row>
    <row r="2085" spans="1:2" x14ac:dyDescent="0.25">
      <c r="A2085">
        <v>54</v>
      </c>
      <c r="B2085" t="s">
        <v>1335</v>
      </c>
    </row>
    <row r="2086" spans="1:2" x14ac:dyDescent="0.25">
      <c r="A2086">
        <v>54</v>
      </c>
      <c r="B2086" t="s">
        <v>1335</v>
      </c>
    </row>
    <row r="2087" spans="1:2" x14ac:dyDescent="0.25">
      <c r="A2087">
        <v>54</v>
      </c>
      <c r="B2087" t="s">
        <v>1335</v>
      </c>
    </row>
    <row r="2088" spans="1:2" x14ac:dyDescent="0.25">
      <c r="A2088">
        <v>54</v>
      </c>
      <c r="B2088" t="s">
        <v>1335</v>
      </c>
    </row>
    <row r="2089" spans="1:2" x14ac:dyDescent="0.25">
      <c r="A2089">
        <v>54</v>
      </c>
      <c r="B2089" t="s">
        <v>1335</v>
      </c>
    </row>
    <row r="2090" spans="1:2" x14ac:dyDescent="0.25">
      <c r="A2090">
        <v>72</v>
      </c>
      <c r="B2090" t="s">
        <v>1352</v>
      </c>
    </row>
    <row r="2091" spans="1:2" x14ac:dyDescent="0.25">
      <c r="A2091">
        <v>74</v>
      </c>
      <c r="B2091" t="s">
        <v>1354</v>
      </c>
    </row>
    <row r="2092" spans="1:2" x14ac:dyDescent="0.25">
      <c r="A2092">
        <v>74</v>
      </c>
      <c r="B2092" t="s">
        <v>1354</v>
      </c>
    </row>
    <row r="2093" spans="1:2" x14ac:dyDescent="0.25">
      <c r="A2093">
        <v>76</v>
      </c>
      <c r="B2093" t="s">
        <v>1355</v>
      </c>
    </row>
    <row r="2094" spans="1:2" x14ac:dyDescent="0.25">
      <c r="A2094">
        <v>76</v>
      </c>
      <c r="B2094" t="s">
        <v>1355</v>
      </c>
    </row>
    <row r="2095" spans="1:2" x14ac:dyDescent="0.25">
      <c r="A2095">
        <v>76</v>
      </c>
      <c r="B2095" t="s">
        <v>1355</v>
      </c>
    </row>
    <row r="2096" spans="1:2" x14ac:dyDescent="0.25">
      <c r="A2096">
        <v>55</v>
      </c>
      <c r="B2096" t="s">
        <v>1336</v>
      </c>
    </row>
    <row r="2097" spans="1:2" x14ac:dyDescent="0.25">
      <c r="A2097">
        <v>55</v>
      </c>
      <c r="B2097" t="s">
        <v>1336</v>
      </c>
    </row>
    <row r="2098" spans="1:2" x14ac:dyDescent="0.25">
      <c r="A2098">
        <v>56</v>
      </c>
      <c r="B2098" t="s">
        <v>1337</v>
      </c>
    </row>
    <row r="2099" spans="1:2" x14ac:dyDescent="0.25">
      <c r="A2099">
        <v>56</v>
      </c>
      <c r="B2099" t="s">
        <v>1337</v>
      </c>
    </row>
    <row r="2100" spans="1:2" x14ac:dyDescent="0.25">
      <c r="A2100">
        <v>70</v>
      </c>
      <c r="B2100" t="s">
        <v>1350</v>
      </c>
    </row>
    <row r="2101" spans="1:2" x14ac:dyDescent="0.25">
      <c r="A2101">
        <v>70</v>
      </c>
      <c r="B2101" t="s">
        <v>1350</v>
      </c>
    </row>
    <row r="2102" spans="1:2" x14ac:dyDescent="0.25">
      <c r="A2102">
        <v>70</v>
      </c>
      <c r="B2102" t="s">
        <v>1350</v>
      </c>
    </row>
    <row r="2103" spans="1:2" x14ac:dyDescent="0.25">
      <c r="A2103">
        <v>70</v>
      </c>
      <c r="B2103" t="s">
        <v>1350</v>
      </c>
    </row>
    <row r="2104" spans="1:2" x14ac:dyDescent="0.25">
      <c r="A2104">
        <v>70</v>
      </c>
      <c r="B2104" t="s">
        <v>1350</v>
      </c>
    </row>
    <row r="2105" spans="1:2" x14ac:dyDescent="0.25">
      <c r="A2105">
        <v>70</v>
      </c>
      <c r="B2105" t="s">
        <v>1350</v>
      </c>
    </row>
    <row r="2106" spans="1:2" x14ac:dyDescent="0.25">
      <c r="A2106">
        <v>72</v>
      </c>
      <c r="B2106" t="s">
        <v>1352</v>
      </c>
    </row>
    <row r="2107" spans="1:2" x14ac:dyDescent="0.25">
      <c r="A2107">
        <v>61</v>
      </c>
      <c r="B2107" t="s">
        <v>1342</v>
      </c>
    </row>
    <row r="2108" spans="1:2" x14ac:dyDescent="0.25">
      <c r="A2108">
        <v>61</v>
      </c>
      <c r="B2108" t="s">
        <v>1342</v>
      </c>
    </row>
    <row r="2109" spans="1:2" x14ac:dyDescent="0.25">
      <c r="A2109">
        <v>61</v>
      </c>
      <c r="B2109" t="s">
        <v>1342</v>
      </c>
    </row>
    <row r="2110" spans="1:2" x14ac:dyDescent="0.25">
      <c r="A2110">
        <v>61</v>
      </c>
      <c r="B2110" t="s">
        <v>1342</v>
      </c>
    </row>
    <row r="2111" spans="1:2" x14ac:dyDescent="0.25">
      <c r="A2111">
        <v>61</v>
      </c>
      <c r="B2111" t="s">
        <v>1342</v>
      </c>
    </row>
    <row r="2112" spans="1:2" x14ac:dyDescent="0.25">
      <c r="A2112">
        <v>72</v>
      </c>
      <c r="B2112" t="s">
        <v>1352</v>
      </c>
    </row>
    <row r="2113" spans="1:2" x14ac:dyDescent="0.25">
      <c r="A2113">
        <v>61</v>
      </c>
      <c r="B2113" t="s">
        <v>1342</v>
      </c>
    </row>
    <row r="2114" spans="1:2" x14ac:dyDescent="0.25">
      <c r="A2114">
        <v>61</v>
      </c>
      <c r="B2114" t="s">
        <v>1342</v>
      </c>
    </row>
    <row r="2115" spans="1:2" x14ac:dyDescent="0.25">
      <c r="A2115">
        <v>54</v>
      </c>
      <c r="B2115" t="s">
        <v>1335</v>
      </c>
    </row>
    <row r="2116" spans="1:2" x14ac:dyDescent="0.25">
      <c r="A2116">
        <v>54</v>
      </c>
      <c r="B2116" t="s">
        <v>1335</v>
      </c>
    </row>
    <row r="2117" spans="1:2" x14ac:dyDescent="0.25">
      <c r="A2117">
        <v>60</v>
      </c>
      <c r="B2117" t="s">
        <v>1341</v>
      </c>
    </row>
    <row r="2118" spans="1:2" x14ac:dyDescent="0.25">
      <c r="A2118">
        <v>76</v>
      </c>
      <c r="B2118" t="s">
        <v>1355</v>
      </c>
    </row>
    <row r="2119" spans="1:2" x14ac:dyDescent="0.25">
      <c r="A2119">
        <v>55</v>
      </c>
      <c r="B2119" t="s">
        <v>1336</v>
      </c>
    </row>
    <row r="2120" spans="1:2" x14ac:dyDescent="0.25">
      <c r="A2120">
        <v>55</v>
      </c>
      <c r="B2120" t="s">
        <v>1336</v>
      </c>
    </row>
    <row r="2121" spans="1:2" x14ac:dyDescent="0.25">
      <c r="A2121">
        <v>55</v>
      </c>
      <c r="B2121" t="s">
        <v>1336</v>
      </c>
    </row>
    <row r="2122" spans="1:2" x14ac:dyDescent="0.25">
      <c r="A2122">
        <v>55</v>
      </c>
      <c r="B2122" t="s">
        <v>1336</v>
      </c>
    </row>
    <row r="2123" spans="1:2" x14ac:dyDescent="0.25">
      <c r="A2123">
        <v>61</v>
      </c>
      <c r="B2123" t="s">
        <v>1342</v>
      </c>
    </row>
    <row r="2124" spans="1:2" x14ac:dyDescent="0.25">
      <c r="A2124">
        <v>69</v>
      </c>
      <c r="B2124" t="s">
        <v>1349</v>
      </c>
    </row>
    <row r="2125" spans="1:2" x14ac:dyDescent="0.25">
      <c r="A2125">
        <v>52</v>
      </c>
      <c r="B2125" t="s">
        <v>1334</v>
      </c>
    </row>
    <row r="2126" spans="1:2" x14ac:dyDescent="0.25">
      <c r="A2126">
        <v>52</v>
      </c>
      <c r="B2126" t="s">
        <v>1334</v>
      </c>
    </row>
    <row r="2127" spans="1:2" x14ac:dyDescent="0.25">
      <c r="A2127">
        <v>55</v>
      </c>
      <c r="B2127" t="s">
        <v>1336</v>
      </c>
    </row>
    <row r="2128" spans="1:2" x14ac:dyDescent="0.25">
      <c r="A2128">
        <v>78</v>
      </c>
      <c r="B2128" t="s">
        <v>1356</v>
      </c>
    </row>
    <row r="2129" spans="1:2" x14ac:dyDescent="0.25">
      <c r="A2129">
        <v>78</v>
      </c>
      <c r="B2129" t="s">
        <v>1356</v>
      </c>
    </row>
    <row r="2130" spans="1:2" x14ac:dyDescent="0.25">
      <c r="A2130">
        <v>69</v>
      </c>
      <c r="B2130" t="s">
        <v>1349</v>
      </c>
    </row>
    <row r="2131" spans="1:2" x14ac:dyDescent="0.25">
      <c r="A2131">
        <v>69</v>
      </c>
      <c r="B2131" t="s">
        <v>1349</v>
      </c>
    </row>
    <row r="2132" spans="1:2" x14ac:dyDescent="0.25">
      <c r="A2132">
        <v>69</v>
      </c>
      <c r="B2132" t="s">
        <v>1349</v>
      </c>
    </row>
    <row r="2133" spans="1:2" x14ac:dyDescent="0.25">
      <c r="A2133">
        <v>74</v>
      </c>
      <c r="B2133" t="s">
        <v>1354</v>
      </c>
    </row>
    <row r="2134" spans="1:2" x14ac:dyDescent="0.25">
      <c r="A2134">
        <v>74</v>
      </c>
      <c r="B2134" t="s">
        <v>1354</v>
      </c>
    </row>
    <row r="2135" spans="1:2" x14ac:dyDescent="0.25">
      <c r="A2135">
        <v>74</v>
      </c>
      <c r="B2135" t="s">
        <v>1354</v>
      </c>
    </row>
    <row r="2136" spans="1:2" x14ac:dyDescent="0.25">
      <c r="A2136">
        <v>74</v>
      </c>
      <c r="B2136" t="s">
        <v>1354</v>
      </c>
    </row>
    <row r="2137" spans="1:2" x14ac:dyDescent="0.25">
      <c r="A2137">
        <v>74</v>
      </c>
      <c r="B2137" t="s">
        <v>1354</v>
      </c>
    </row>
    <row r="2138" spans="1:2" x14ac:dyDescent="0.25">
      <c r="A2138">
        <v>52</v>
      </c>
      <c r="B2138" t="s">
        <v>1334</v>
      </c>
    </row>
    <row r="2139" spans="1:2" x14ac:dyDescent="0.25">
      <c r="A2139">
        <v>70</v>
      </c>
      <c r="B2139" t="s">
        <v>1350</v>
      </c>
    </row>
    <row r="2140" spans="1:2" x14ac:dyDescent="0.25">
      <c r="A2140">
        <v>70</v>
      </c>
      <c r="B2140" t="s">
        <v>1350</v>
      </c>
    </row>
    <row r="2141" spans="1:2" x14ac:dyDescent="0.25">
      <c r="A2141">
        <v>55</v>
      </c>
      <c r="B2141" t="s">
        <v>1336</v>
      </c>
    </row>
    <row r="2142" spans="1:2" x14ac:dyDescent="0.25">
      <c r="A2142">
        <v>61</v>
      </c>
      <c r="B2142" t="s">
        <v>1342</v>
      </c>
    </row>
    <row r="2143" spans="1:2" x14ac:dyDescent="0.25">
      <c r="A2143">
        <v>55</v>
      </c>
      <c r="B2143" t="s">
        <v>1336</v>
      </c>
    </row>
    <row r="2144" spans="1:2" x14ac:dyDescent="0.25">
      <c r="A2144">
        <v>55</v>
      </c>
      <c r="B2144" t="s">
        <v>1336</v>
      </c>
    </row>
    <row r="2145" spans="1:2" x14ac:dyDescent="0.25">
      <c r="A2145">
        <v>55</v>
      </c>
      <c r="B2145" t="s">
        <v>1336</v>
      </c>
    </row>
    <row r="2146" spans="1:2" x14ac:dyDescent="0.25">
      <c r="A2146">
        <v>55</v>
      </c>
      <c r="B2146" t="s">
        <v>1336</v>
      </c>
    </row>
    <row r="2147" spans="1:2" x14ac:dyDescent="0.25">
      <c r="A2147">
        <v>51</v>
      </c>
      <c r="B2147" t="s">
        <v>1332</v>
      </c>
    </row>
    <row r="2148" spans="1:2" x14ac:dyDescent="0.25">
      <c r="A2148">
        <v>51</v>
      </c>
      <c r="B2148" t="s">
        <v>1332</v>
      </c>
    </row>
    <row r="2149" spans="1:2" x14ac:dyDescent="0.25">
      <c r="A2149">
        <v>78</v>
      </c>
      <c r="B2149" t="s">
        <v>1356</v>
      </c>
    </row>
    <row r="2150" spans="1:2" x14ac:dyDescent="0.25">
      <c r="A2150">
        <v>78</v>
      </c>
      <c r="B2150" t="s">
        <v>1356</v>
      </c>
    </row>
    <row r="2151" spans="1:2" x14ac:dyDescent="0.25">
      <c r="A2151">
        <v>78</v>
      </c>
      <c r="B2151" t="s">
        <v>1356</v>
      </c>
    </row>
    <row r="2152" spans="1:2" x14ac:dyDescent="0.25">
      <c r="A2152">
        <v>78</v>
      </c>
      <c r="B2152" t="s">
        <v>1356</v>
      </c>
    </row>
    <row r="2153" spans="1:2" x14ac:dyDescent="0.25">
      <c r="A2153">
        <v>51</v>
      </c>
      <c r="B2153" t="s">
        <v>1332</v>
      </c>
    </row>
    <row r="2154" spans="1:2" x14ac:dyDescent="0.25">
      <c r="A2154">
        <v>51</v>
      </c>
      <c r="B2154" t="s">
        <v>1332</v>
      </c>
    </row>
    <row r="2155" spans="1:2" x14ac:dyDescent="0.25">
      <c r="A2155">
        <v>51</v>
      </c>
      <c r="B2155" t="s">
        <v>1332</v>
      </c>
    </row>
    <row r="2156" spans="1:2" x14ac:dyDescent="0.25">
      <c r="A2156">
        <v>61</v>
      </c>
      <c r="B2156" t="s">
        <v>1342</v>
      </c>
    </row>
    <row r="2157" spans="1:2" x14ac:dyDescent="0.25">
      <c r="A2157">
        <v>61</v>
      </c>
      <c r="B2157" t="s">
        <v>1342</v>
      </c>
    </row>
    <row r="2158" spans="1:2" x14ac:dyDescent="0.25">
      <c r="A2158">
        <v>61</v>
      </c>
      <c r="B2158" t="s">
        <v>1342</v>
      </c>
    </row>
    <row r="2159" spans="1:2" x14ac:dyDescent="0.25">
      <c r="A2159">
        <v>61</v>
      </c>
      <c r="B2159" t="s">
        <v>1342</v>
      </c>
    </row>
    <row r="2160" spans="1:2" x14ac:dyDescent="0.25">
      <c r="A2160">
        <v>61</v>
      </c>
      <c r="B2160" t="s">
        <v>1342</v>
      </c>
    </row>
    <row r="2161" spans="1:2" x14ac:dyDescent="0.25">
      <c r="A2161">
        <v>61</v>
      </c>
      <c r="B2161" t="s">
        <v>1342</v>
      </c>
    </row>
    <row r="2162" spans="1:2" x14ac:dyDescent="0.25">
      <c r="A2162">
        <v>61</v>
      </c>
      <c r="B2162" t="s">
        <v>1342</v>
      </c>
    </row>
    <row r="2163" spans="1:2" x14ac:dyDescent="0.25">
      <c r="A2163">
        <v>61</v>
      </c>
      <c r="B2163" t="s">
        <v>1342</v>
      </c>
    </row>
    <row r="2164" spans="1:2" x14ac:dyDescent="0.25">
      <c r="A2164">
        <v>61</v>
      </c>
      <c r="B2164" t="s">
        <v>1342</v>
      </c>
    </row>
    <row r="2165" spans="1:2" x14ac:dyDescent="0.25">
      <c r="A2165">
        <v>61</v>
      </c>
      <c r="B2165" t="s">
        <v>1342</v>
      </c>
    </row>
    <row r="2166" spans="1:2" x14ac:dyDescent="0.25">
      <c r="A2166">
        <v>61</v>
      </c>
      <c r="B2166" t="s">
        <v>1342</v>
      </c>
    </row>
    <row r="2167" spans="1:2" x14ac:dyDescent="0.25">
      <c r="A2167">
        <v>61</v>
      </c>
      <c r="B2167" t="s">
        <v>1342</v>
      </c>
    </row>
    <row r="2168" spans="1:2" x14ac:dyDescent="0.25">
      <c r="A2168">
        <v>61</v>
      </c>
      <c r="B2168" t="s">
        <v>1342</v>
      </c>
    </row>
    <row r="2169" spans="1:2" x14ac:dyDescent="0.25">
      <c r="A2169">
        <v>61</v>
      </c>
      <c r="B2169" t="s">
        <v>1342</v>
      </c>
    </row>
    <row r="2170" spans="1:2" x14ac:dyDescent="0.25">
      <c r="A2170">
        <v>61</v>
      </c>
      <c r="B2170" t="s">
        <v>1342</v>
      </c>
    </row>
    <row r="2171" spans="1:2" x14ac:dyDescent="0.25">
      <c r="A2171">
        <v>61</v>
      </c>
      <c r="B2171" t="s">
        <v>1342</v>
      </c>
    </row>
    <row r="2172" spans="1:2" x14ac:dyDescent="0.25">
      <c r="A2172">
        <v>54</v>
      </c>
      <c r="B2172" t="s">
        <v>1335</v>
      </c>
    </row>
    <row r="2173" spans="1:2" x14ac:dyDescent="0.25">
      <c r="A2173">
        <v>51</v>
      </c>
      <c r="B2173" t="s">
        <v>1332</v>
      </c>
    </row>
    <row r="2174" spans="1:2" x14ac:dyDescent="0.25">
      <c r="A2174">
        <v>51</v>
      </c>
      <c r="B2174" t="s">
        <v>1332</v>
      </c>
    </row>
    <row r="2175" spans="1:2" x14ac:dyDescent="0.25">
      <c r="A2175">
        <v>51</v>
      </c>
      <c r="B2175" t="s">
        <v>1332</v>
      </c>
    </row>
    <row r="2176" spans="1:2" x14ac:dyDescent="0.25">
      <c r="A2176">
        <v>51</v>
      </c>
      <c r="B2176" t="s">
        <v>1332</v>
      </c>
    </row>
    <row r="2177" spans="1:2" x14ac:dyDescent="0.25">
      <c r="A2177">
        <v>51</v>
      </c>
      <c r="B2177" t="s">
        <v>1332</v>
      </c>
    </row>
    <row r="2178" spans="1:2" x14ac:dyDescent="0.25">
      <c r="A2178">
        <v>51</v>
      </c>
      <c r="B2178" t="s">
        <v>1332</v>
      </c>
    </row>
    <row r="2179" spans="1:2" x14ac:dyDescent="0.25">
      <c r="A2179">
        <v>51</v>
      </c>
      <c r="B2179" t="s">
        <v>1332</v>
      </c>
    </row>
    <row r="2180" spans="1:2" x14ac:dyDescent="0.25">
      <c r="A2180">
        <v>51</v>
      </c>
      <c r="B2180" t="s">
        <v>1332</v>
      </c>
    </row>
    <row r="2181" spans="1:2" x14ac:dyDescent="0.25">
      <c r="A2181">
        <v>51</v>
      </c>
      <c r="B2181" t="s">
        <v>1332</v>
      </c>
    </row>
    <row r="2182" spans="1:2" x14ac:dyDescent="0.25">
      <c r="A2182">
        <v>51</v>
      </c>
      <c r="B2182" t="s">
        <v>1332</v>
      </c>
    </row>
    <row r="2183" spans="1:2" x14ac:dyDescent="0.25">
      <c r="A2183">
        <v>51</v>
      </c>
      <c r="B2183" t="s">
        <v>1332</v>
      </c>
    </row>
    <row r="2184" spans="1:2" x14ac:dyDescent="0.25">
      <c r="A2184">
        <v>51</v>
      </c>
      <c r="B2184" t="s">
        <v>1332</v>
      </c>
    </row>
    <row r="2185" spans="1:2" x14ac:dyDescent="0.25">
      <c r="A2185">
        <v>51</v>
      </c>
      <c r="B2185" t="s">
        <v>1332</v>
      </c>
    </row>
    <row r="2186" spans="1:2" x14ac:dyDescent="0.25">
      <c r="A2186">
        <v>51</v>
      </c>
      <c r="B2186" t="s">
        <v>1332</v>
      </c>
    </row>
    <row r="2187" spans="1:2" x14ac:dyDescent="0.25">
      <c r="A2187">
        <v>51</v>
      </c>
      <c r="B2187" t="s">
        <v>1332</v>
      </c>
    </row>
    <row r="2188" spans="1:2" x14ac:dyDescent="0.25">
      <c r="A2188">
        <v>51</v>
      </c>
      <c r="B2188" t="s">
        <v>1332</v>
      </c>
    </row>
    <row r="2189" spans="1:2" x14ac:dyDescent="0.25">
      <c r="A2189">
        <v>51</v>
      </c>
      <c r="B2189" t="s">
        <v>1332</v>
      </c>
    </row>
    <row r="2190" spans="1:2" x14ac:dyDescent="0.25">
      <c r="A2190">
        <v>51</v>
      </c>
      <c r="B2190" t="s">
        <v>1332</v>
      </c>
    </row>
    <row r="2191" spans="1:2" x14ac:dyDescent="0.25">
      <c r="A2191">
        <v>51</v>
      </c>
      <c r="B2191" t="s">
        <v>1332</v>
      </c>
    </row>
    <row r="2192" spans="1:2" x14ac:dyDescent="0.25">
      <c r="A2192">
        <v>73</v>
      </c>
      <c r="B2192" t="s">
        <v>1353</v>
      </c>
    </row>
    <row r="2193" spans="1:2" x14ac:dyDescent="0.25">
      <c r="A2193">
        <v>55</v>
      </c>
      <c r="B2193" t="s">
        <v>1336</v>
      </c>
    </row>
    <row r="2194" spans="1:2" x14ac:dyDescent="0.25">
      <c r="A2194">
        <v>55</v>
      </c>
      <c r="B2194" t="s">
        <v>1336</v>
      </c>
    </row>
    <row r="2195" spans="1:2" x14ac:dyDescent="0.25">
      <c r="A2195">
        <v>55</v>
      </c>
      <c r="B2195" t="s">
        <v>1336</v>
      </c>
    </row>
    <row r="2196" spans="1:2" x14ac:dyDescent="0.25">
      <c r="A2196">
        <v>55</v>
      </c>
      <c r="B2196" t="s">
        <v>1336</v>
      </c>
    </row>
    <row r="2197" spans="1:2" x14ac:dyDescent="0.25">
      <c r="A2197">
        <v>55</v>
      </c>
      <c r="B2197" t="s">
        <v>1336</v>
      </c>
    </row>
    <row r="2198" spans="1:2" x14ac:dyDescent="0.25">
      <c r="A2198">
        <v>55</v>
      </c>
      <c r="B2198" t="s">
        <v>1336</v>
      </c>
    </row>
    <row r="2199" spans="1:2" x14ac:dyDescent="0.25">
      <c r="A2199">
        <v>55</v>
      </c>
      <c r="B2199" t="s">
        <v>1336</v>
      </c>
    </row>
    <row r="2200" spans="1:2" x14ac:dyDescent="0.25">
      <c r="A2200">
        <v>55</v>
      </c>
      <c r="B2200" t="s">
        <v>1336</v>
      </c>
    </row>
    <row r="2201" spans="1:2" x14ac:dyDescent="0.25">
      <c r="A2201">
        <v>89</v>
      </c>
      <c r="B2201" t="s">
        <v>1362</v>
      </c>
    </row>
    <row r="2202" spans="1:2" x14ac:dyDescent="0.25">
      <c r="A2202">
        <v>55</v>
      </c>
      <c r="B2202" t="s">
        <v>1336</v>
      </c>
    </row>
    <row r="2203" spans="1:2" x14ac:dyDescent="0.25">
      <c r="A2203">
        <v>55</v>
      </c>
      <c r="B2203" t="s">
        <v>1336</v>
      </c>
    </row>
    <row r="2204" spans="1:2" x14ac:dyDescent="0.25">
      <c r="A2204">
        <v>55</v>
      </c>
      <c r="B2204" t="s">
        <v>1336</v>
      </c>
    </row>
    <row r="2205" spans="1:2" x14ac:dyDescent="0.25">
      <c r="A2205">
        <v>55</v>
      </c>
      <c r="B2205" t="s">
        <v>1336</v>
      </c>
    </row>
    <row r="2206" spans="1:2" x14ac:dyDescent="0.25">
      <c r="A2206">
        <v>55</v>
      </c>
      <c r="B2206" t="s">
        <v>1336</v>
      </c>
    </row>
    <row r="2207" spans="1:2" x14ac:dyDescent="0.25">
      <c r="A2207">
        <v>69</v>
      </c>
      <c r="B2207" t="s">
        <v>1349</v>
      </c>
    </row>
    <row r="2208" spans="1:2" x14ac:dyDescent="0.25">
      <c r="A2208">
        <v>69</v>
      </c>
      <c r="B2208" t="s">
        <v>1349</v>
      </c>
    </row>
    <row r="2209" spans="1:2" x14ac:dyDescent="0.25">
      <c r="A2209">
        <v>45</v>
      </c>
      <c r="B2209" t="s">
        <v>1327</v>
      </c>
    </row>
    <row r="2210" spans="1:2" x14ac:dyDescent="0.25">
      <c r="A2210">
        <v>45</v>
      </c>
      <c r="B2210" t="s">
        <v>1327</v>
      </c>
    </row>
    <row r="2211" spans="1:2" x14ac:dyDescent="0.25">
      <c r="A2211">
        <v>45</v>
      </c>
      <c r="B2211" t="s">
        <v>1327</v>
      </c>
    </row>
    <row r="2212" spans="1:2" x14ac:dyDescent="0.25">
      <c r="A2212">
        <v>45</v>
      </c>
      <c r="B2212" t="s">
        <v>1327</v>
      </c>
    </row>
    <row r="2213" spans="1:2" x14ac:dyDescent="0.25">
      <c r="A2213">
        <v>45</v>
      </c>
      <c r="B2213" t="s">
        <v>1327</v>
      </c>
    </row>
    <row r="2214" spans="1:2" x14ac:dyDescent="0.25">
      <c r="A2214">
        <v>45</v>
      </c>
      <c r="B2214" t="s">
        <v>1327</v>
      </c>
    </row>
    <row r="2215" spans="1:2" x14ac:dyDescent="0.25">
      <c r="A2215">
        <v>70</v>
      </c>
      <c r="B2215" t="s">
        <v>1350</v>
      </c>
    </row>
    <row r="2216" spans="1:2" x14ac:dyDescent="0.25">
      <c r="A2216">
        <v>76</v>
      </c>
      <c r="B2216" t="s">
        <v>1355</v>
      </c>
    </row>
    <row r="2217" spans="1:2" x14ac:dyDescent="0.25">
      <c r="A2217">
        <v>76</v>
      </c>
      <c r="B2217" t="s">
        <v>1355</v>
      </c>
    </row>
    <row r="2218" spans="1:2" x14ac:dyDescent="0.25">
      <c r="A2218">
        <v>76</v>
      </c>
      <c r="B2218" t="s">
        <v>1355</v>
      </c>
    </row>
    <row r="2219" spans="1:2" x14ac:dyDescent="0.25">
      <c r="A2219">
        <v>76</v>
      </c>
      <c r="B2219" t="s">
        <v>1355</v>
      </c>
    </row>
    <row r="2220" spans="1:2" x14ac:dyDescent="0.25">
      <c r="A2220">
        <v>52</v>
      </c>
      <c r="B2220" t="s">
        <v>1334</v>
      </c>
    </row>
    <row r="2221" spans="1:2" x14ac:dyDescent="0.25">
      <c r="A2221">
        <v>51</v>
      </c>
      <c r="B2221" t="s">
        <v>1332</v>
      </c>
    </row>
    <row r="2222" spans="1:2" x14ac:dyDescent="0.25">
      <c r="A2222">
        <v>51</v>
      </c>
      <c r="B2222" t="s">
        <v>1332</v>
      </c>
    </row>
    <row r="2223" spans="1:2" x14ac:dyDescent="0.25">
      <c r="A2223">
        <v>45</v>
      </c>
      <c r="B2223" t="s">
        <v>1327</v>
      </c>
    </row>
    <row r="2224" spans="1:2" x14ac:dyDescent="0.25">
      <c r="A2224">
        <v>76</v>
      </c>
      <c r="B2224" t="s">
        <v>1355</v>
      </c>
    </row>
    <row r="2225" spans="1:2" x14ac:dyDescent="0.25">
      <c r="A2225">
        <v>76</v>
      </c>
      <c r="B2225" t="s">
        <v>1355</v>
      </c>
    </row>
    <row r="2226" spans="1:2" x14ac:dyDescent="0.25">
      <c r="A2226">
        <v>76</v>
      </c>
      <c r="B2226" t="s">
        <v>1355</v>
      </c>
    </row>
    <row r="2227" spans="1:2" x14ac:dyDescent="0.25">
      <c r="A2227">
        <v>76</v>
      </c>
      <c r="B2227" t="s">
        <v>1355</v>
      </c>
    </row>
    <row r="2228" spans="1:2" x14ac:dyDescent="0.25">
      <c r="A2228">
        <v>76</v>
      </c>
      <c r="B2228" t="s">
        <v>1355</v>
      </c>
    </row>
    <row r="2229" spans="1:2" x14ac:dyDescent="0.25">
      <c r="A2229">
        <v>76</v>
      </c>
      <c r="B2229" t="s">
        <v>1355</v>
      </c>
    </row>
    <row r="2230" spans="1:2" x14ac:dyDescent="0.25">
      <c r="A2230">
        <v>76</v>
      </c>
      <c r="B2230" t="s">
        <v>1355</v>
      </c>
    </row>
    <row r="2231" spans="1:2" x14ac:dyDescent="0.25">
      <c r="A2231">
        <v>76</v>
      </c>
      <c r="B2231" t="s">
        <v>1355</v>
      </c>
    </row>
    <row r="2232" spans="1:2" x14ac:dyDescent="0.25">
      <c r="A2232">
        <v>76</v>
      </c>
      <c r="B2232" t="s">
        <v>1355</v>
      </c>
    </row>
    <row r="2233" spans="1:2" x14ac:dyDescent="0.25">
      <c r="A2233">
        <v>76</v>
      </c>
      <c r="B2233" t="s">
        <v>1355</v>
      </c>
    </row>
    <row r="2234" spans="1:2" x14ac:dyDescent="0.25">
      <c r="A2234">
        <v>76</v>
      </c>
      <c r="B2234" t="s">
        <v>1355</v>
      </c>
    </row>
    <row r="2235" spans="1:2" x14ac:dyDescent="0.25">
      <c r="A2235">
        <v>76</v>
      </c>
      <c r="B2235" t="s">
        <v>1355</v>
      </c>
    </row>
    <row r="2236" spans="1:2" x14ac:dyDescent="0.25">
      <c r="A2236">
        <v>76</v>
      </c>
      <c r="B2236" t="s">
        <v>1355</v>
      </c>
    </row>
    <row r="2237" spans="1:2" x14ac:dyDescent="0.25">
      <c r="A2237">
        <v>76</v>
      </c>
      <c r="B2237" t="s">
        <v>1355</v>
      </c>
    </row>
    <row r="2238" spans="1:2" x14ac:dyDescent="0.25">
      <c r="A2238">
        <v>76</v>
      </c>
      <c r="B2238" t="s">
        <v>1355</v>
      </c>
    </row>
    <row r="2239" spans="1:2" x14ac:dyDescent="0.25">
      <c r="A2239">
        <v>76</v>
      </c>
      <c r="B2239" t="s">
        <v>1355</v>
      </c>
    </row>
    <row r="2240" spans="1:2" x14ac:dyDescent="0.25">
      <c r="A2240">
        <v>76</v>
      </c>
      <c r="B2240" t="s">
        <v>1355</v>
      </c>
    </row>
    <row r="2241" spans="1:2" x14ac:dyDescent="0.25">
      <c r="A2241">
        <v>76</v>
      </c>
      <c r="B2241" t="s">
        <v>1355</v>
      </c>
    </row>
    <row r="2242" spans="1:2" x14ac:dyDescent="0.25">
      <c r="A2242">
        <v>76</v>
      </c>
      <c r="B2242" t="s">
        <v>1355</v>
      </c>
    </row>
    <row r="2243" spans="1:2" x14ac:dyDescent="0.25">
      <c r="A2243">
        <v>76</v>
      </c>
      <c r="B2243" t="s">
        <v>1355</v>
      </c>
    </row>
    <row r="2244" spans="1:2" x14ac:dyDescent="0.25">
      <c r="A2244">
        <v>76</v>
      </c>
      <c r="B2244" t="s">
        <v>1355</v>
      </c>
    </row>
    <row r="2245" spans="1:2" x14ac:dyDescent="0.25">
      <c r="A2245">
        <v>76</v>
      </c>
      <c r="B2245" t="s">
        <v>1355</v>
      </c>
    </row>
    <row r="2246" spans="1:2" x14ac:dyDescent="0.25">
      <c r="A2246">
        <v>76</v>
      </c>
      <c r="B2246" t="s">
        <v>1355</v>
      </c>
    </row>
    <row r="2247" spans="1:2" x14ac:dyDescent="0.25">
      <c r="A2247">
        <v>76</v>
      </c>
      <c r="B2247" t="s">
        <v>1355</v>
      </c>
    </row>
    <row r="2248" spans="1:2" x14ac:dyDescent="0.25">
      <c r="A2248">
        <v>76</v>
      </c>
      <c r="B2248" t="s">
        <v>1355</v>
      </c>
    </row>
    <row r="2249" spans="1:2" x14ac:dyDescent="0.25">
      <c r="A2249">
        <v>76</v>
      </c>
      <c r="B2249" t="s">
        <v>1355</v>
      </c>
    </row>
    <row r="2250" spans="1:2" x14ac:dyDescent="0.25">
      <c r="A2250">
        <v>76</v>
      </c>
      <c r="B2250" t="s">
        <v>1355</v>
      </c>
    </row>
    <row r="2251" spans="1:2" x14ac:dyDescent="0.25">
      <c r="A2251">
        <v>76</v>
      </c>
      <c r="B2251" t="s">
        <v>1355</v>
      </c>
    </row>
    <row r="2252" spans="1:2" x14ac:dyDescent="0.25">
      <c r="A2252">
        <v>76</v>
      </c>
      <c r="B2252" t="s">
        <v>1355</v>
      </c>
    </row>
    <row r="2253" spans="1:2" x14ac:dyDescent="0.25">
      <c r="A2253">
        <v>76</v>
      </c>
      <c r="B2253" t="s">
        <v>1355</v>
      </c>
    </row>
    <row r="2254" spans="1:2" x14ac:dyDescent="0.25">
      <c r="A2254">
        <v>76</v>
      </c>
      <c r="B2254" t="s">
        <v>1355</v>
      </c>
    </row>
    <row r="2255" spans="1:2" x14ac:dyDescent="0.25">
      <c r="A2255">
        <v>45</v>
      </c>
      <c r="B2255" t="s">
        <v>1327</v>
      </c>
    </row>
    <row r="2256" spans="1:2" x14ac:dyDescent="0.25">
      <c r="A2256">
        <v>45</v>
      </c>
      <c r="B2256" t="s">
        <v>1327</v>
      </c>
    </row>
    <row r="2257" spans="1:2" x14ac:dyDescent="0.25">
      <c r="A2257">
        <v>45</v>
      </c>
      <c r="B2257" t="s">
        <v>1327</v>
      </c>
    </row>
    <row r="2258" spans="1:2" x14ac:dyDescent="0.25">
      <c r="A2258">
        <v>45</v>
      </c>
      <c r="B2258" t="s">
        <v>1327</v>
      </c>
    </row>
    <row r="2259" spans="1:2" x14ac:dyDescent="0.25">
      <c r="A2259">
        <v>45</v>
      </c>
      <c r="B2259" t="s">
        <v>1327</v>
      </c>
    </row>
    <row r="2260" spans="1:2" x14ac:dyDescent="0.25">
      <c r="A2260">
        <v>45</v>
      </c>
      <c r="B2260" t="s">
        <v>1327</v>
      </c>
    </row>
    <row r="2261" spans="1:2" x14ac:dyDescent="0.25">
      <c r="A2261">
        <v>76</v>
      </c>
      <c r="B2261" t="s">
        <v>1355</v>
      </c>
    </row>
    <row r="2262" spans="1:2" x14ac:dyDescent="0.25">
      <c r="A2262">
        <v>45</v>
      </c>
      <c r="B2262" t="s">
        <v>1327</v>
      </c>
    </row>
    <row r="2263" spans="1:2" x14ac:dyDescent="0.25">
      <c r="A2263">
        <v>76</v>
      </c>
      <c r="B2263" t="s">
        <v>1355</v>
      </c>
    </row>
    <row r="2264" spans="1:2" x14ac:dyDescent="0.25">
      <c r="A2264">
        <v>45</v>
      </c>
      <c r="B2264" t="s">
        <v>1327</v>
      </c>
    </row>
    <row r="2265" spans="1:2" x14ac:dyDescent="0.25">
      <c r="A2265">
        <v>45</v>
      </c>
      <c r="B2265" t="s">
        <v>1327</v>
      </c>
    </row>
    <row r="2266" spans="1:2" x14ac:dyDescent="0.25">
      <c r="A2266">
        <v>76</v>
      </c>
      <c r="B2266" t="s">
        <v>1355</v>
      </c>
    </row>
    <row r="2267" spans="1:2" x14ac:dyDescent="0.25">
      <c r="A2267">
        <v>76</v>
      </c>
      <c r="B2267" t="s">
        <v>1355</v>
      </c>
    </row>
    <row r="2268" spans="1:2" x14ac:dyDescent="0.25">
      <c r="A2268">
        <v>76</v>
      </c>
      <c r="B2268" t="s">
        <v>1355</v>
      </c>
    </row>
    <row r="2269" spans="1:2" x14ac:dyDescent="0.25">
      <c r="A2269">
        <v>76</v>
      </c>
      <c r="B2269" t="s">
        <v>1355</v>
      </c>
    </row>
    <row r="2270" spans="1:2" x14ac:dyDescent="0.25">
      <c r="A2270">
        <v>76</v>
      </c>
      <c r="B2270" t="s">
        <v>1355</v>
      </c>
    </row>
    <row r="2271" spans="1:2" x14ac:dyDescent="0.25">
      <c r="A2271">
        <v>76</v>
      </c>
      <c r="B2271" t="s">
        <v>1355</v>
      </c>
    </row>
    <row r="2272" spans="1:2" x14ac:dyDescent="0.25">
      <c r="A2272">
        <v>76</v>
      </c>
      <c r="B2272" t="s">
        <v>1355</v>
      </c>
    </row>
    <row r="2273" spans="1:2" x14ac:dyDescent="0.25">
      <c r="A2273">
        <v>76</v>
      </c>
      <c r="B2273" t="s">
        <v>1355</v>
      </c>
    </row>
    <row r="2274" spans="1:2" x14ac:dyDescent="0.25">
      <c r="A2274">
        <v>76</v>
      </c>
      <c r="B2274" t="s">
        <v>1355</v>
      </c>
    </row>
    <row r="2275" spans="1:2" x14ac:dyDescent="0.25">
      <c r="A2275">
        <v>76</v>
      </c>
      <c r="B2275" t="s">
        <v>1355</v>
      </c>
    </row>
    <row r="2276" spans="1:2" x14ac:dyDescent="0.25">
      <c r="A2276">
        <v>76</v>
      </c>
      <c r="B2276" t="s">
        <v>1355</v>
      </c>
    </row>
    <row r="2277" spans="1:2" x14ac:dyDescent="0.25">
      <c r="A2277">
        <v>76</v>
      </c>
      <c r="B2277" t="s">
        <v>1355</v>
      </c>
    </row>
    <row r="2278" spans="1:2" x14ac:dyDescent="0.25">
      <c r="A2278">
        <v>76</v>
      </c>
      <c r="B2278" t="s">
        <v>1355</v>
      </c>
    </row>
    <row r="2279" spans="1:2" x14ac:dyDescent="0.25">
      <c r="A2279">
        <v>76</v>
      </c>
      <c r="B2279" t="s">
        <v>1355</v>
      </c>
    </row>
    <row r="2280" spans="1:2" x14ac:dyDescent="0.25">
      <c r="A2280">
        <v>45</v>
      </c>
      <c r="B2280" t="s">
        <v>1327</v>
      </c>
    </row>
    <row r="2281" spans="1:2" x14ac:dyDescent="0.25">
      <c r="A2281">
        <v>76</v>
      </c>
      <c r="B2281" t="s">
        <v>1355</v>
      </c>
    </row>
    <row r="2282" spans="1:2" x14ac:dyDescent="0.25">
      <c r="A2282">
        <v>76</v>
      </c>
      <c r="B2282" t="s">
        <v>1355</v>
      </c>
    </row>
    <row r="2283" spans="1:2" x14ac:dyDescent="0.25">
      <c r="A2283">
        <v>76</v>
      </c>
      <c r="B2283" t="s">
        <v>1355</v>
      </c>
    </row>
    <row r="2284" spans="1:2" x14ac:dyDescent="0.25">
      <c r="A2284">
        <v>76</v>
      </c>
      <c r="B2284" t="s">
        <v>1355</v>
      </c>
    </row>
    <row r="2285" spans="1:2" x14ac:dyDescent="0.25">
      <c r="A2285">
        <v>76</v>
      </c>
      <c r="B2285" t="s">
        <v>1355</v>
      </c>
    </row>
    <row r="2286" spans="1:2" x14ac:dyDescent="0.25">
      <c r="A2286">
        <v>76</v>
      </c>
      <c r="B2286" t="s">
        <v>1355</v>
      </c>
    </row>
    <row r="2287" spans="1:2" x14ac:dyDescent="0.25">
      <c r="A2287">
        <v>76</v>
      </c>
      <c r="B2287" t="s">
        <v>1355</v>
      </c>
    </row>
    <row r="2288" spans="1:2" x14ac:dyDescent="0.25">
      <c r="A2288">
        <v>76</v>
      </c>
      <c r="B2288" t="s">
        <v>1355</v>
      </c>
    </row>
    <row r="2289" spans="1:2" x14ac:dyDescent="0.25">
      <c r="A2289">
        <v>76</v>
      </c>
      <c r="B2289" t="s">
        <v>1355</v>
      </c>
    </row>
    <row r="2290" spans="1:2" x14ac:dyDescent="0.25">
      <c r="A2290">
        <v>62</v>
      </c>
      <c r="B2290" t="s">
        <v>1343</v>
      </c>
    </row>
    <row r="2291" spans="1:2" x14ac:dyDescent="0.25">
      <c r="A2291">
        <v>62</v>
      </c>
      <c r="B2291" t="s">
        <v>1343</v>
      </c>
    </row>
    <row r="2292" spans="1:2" x14ac:dyDescent="0.25">
      <c r="A2292">
        <v>65</v>
      </c>
      <c r="B2292" t="s">
        <v>1346</v>
      </c>
    </row>
    <row r="2293" spans="1:2" x14ac:dyDescent="0.25">
      <c r="A2293">
        <v>55</v>
      </c>
      <c r="B2293" t="s">
        <v>1336</v>
      </c>
    </row>
    <row r="2294" spans="1:2" x14ac:dyDescent="0.25">
      <c r="A2294">
        <v>55</v>
      </c>
      <c r="B2294" t="s">
        <v>1336</v>
      </c>
    </row>
    <row r="2295" spans="1:2" x14ac:dyDescent="0.25">
      <c r="A2295">
        <v>55</v>
      </c>
      <c r="B2295" t="s">
        <v>1336</v>
      </c>
    </row>
    <row r="2296" spans="1:2" x14ac:dyDescent="0.25">
      <c r="A2296">
        <v>55</v>
      </c>
      <c r="B2296" t="s">
        <v>1336</v>
      </c>
    </row>
    <row r="2297" spans="1:2" x14ac:dyDescent="0.25">
      <c r="A2297">
        <v>55</v>
      </c>
      <c r="B2297" t="s">
        <v>1336</v>
      </c>
    </row>
    <row r="2298" spans="1:2" x14ac:dyDescent="0.25">
      <c r="A2298">
        <v>55</v>
      </c>
      <c r="B2298" t="s">
        <v>1336</v>
      </c>
    </row>
    <row r="2299" spans="1:2" x14ac:dyDescent="0.25">
      <c r="A2299">
        <v>55</v>
      </c>
      <c r="B2299" t="s">
        <v>1336</v>
      </c>
    </row>
    <row r="2300" spans="1:2" x14ac:dyDescent="0.25">
      <c r="A2300">
        <v>55</v>
      </c>
      <c r="B2300" t="s">
        <v>1336</v>
      </c>
    </row>
    <row r="2301" spans="1:2" x14ac:dyDescent="0.25">
      <c r="A2301">
        <v>55</v>
      </c>
      <c r="B2301" t="s">
        <v>1336</v>
      </c>
    </row>
    <row r="2302" spans="1:2" x14ac:dyDescent="0.25">
      <c r="A2302">
        <v>55</v>
      </c>
      <c r="B2302" t="s">
        <v>1336</v>
      </c>
    </row>
    <row r="2303" spans="1:2" x14ac:dyDescent="0.25">
      <c r="A2303">
        <v>55</v>
      </c>
      <c r="B2303" t="s">
        <v>1336</v>
      </c>
    </row>
    <row r="2304" spans="1:2" x14ac:dyDescent="0.25">
      <c r="A2304">
        <v>55</v>
      </c>
      <c r="B2304" t="s">
        <v>1336</v>
      </c>
    </row>
    <row r="2305" spans="1:2" x14ac:dyDescent="0.25">
      <c r="A2305">
        <v>55</v>
      </c>
      <c r="B2305" t="s">
        <v>1336</v>
      </c>
    </row>
    <row r="2306" spans="1:2" x14ac:dyDescent="0.25">
      <c r="A2306">
        <v>59</v>
      </c>
      <c r="B2306" t="s">
        <v>1340</v>
      </c>
    </row>
    <row r="2307" spans="1:2" x14ac:dyDescent="0.25">
      <c r="A2307">
        <v>55</v>
      </c>
      <c r="B2307" t="s">
        <v>1336</v>
      </c>
    </row>
    <row r="2308" spans="1:2" x14ac:dyDescent="0.25">
      <c r="A2308">
        <v>55</v>
      </c>
      <c r="B2308" t="s">
        <v>1336</v>
      </c>
    </row>
    <row r="2309" spans="1:2" x14ac:dyDescent="0.25">
      <c r="A2309">
        <v>55</v>
      </c>
      <c r="B2309" t="s">
        <v>1336</v>
      </c>
    </row>
    <row r="2310" spans="1:2" x14ac:dyDescent="0.25">
      <c r="A2310">
        <v>55</v>
      </c>
      <c r="B2310" t="s">
        <v>1336</v>
      </c>
    </row>
    <row r="2311" spans="1:2" x14ac:dyDescent="0.25">
      <c r="A2311">
        <v>55</v>
      </c>
      <c r="B2311" t="s">
        <v>1336</v>
      </c>
    </row>
    <row r="2312" spans="1:2" x14ac:dyDescent="0.25">
      <c r="A2312">
        <v>55</v>
      </c>
      <c r="B2312" t="s">
        <v>1336</v>
      </c>
    </row>
    <row r="2313" spans="1:2" x14ac:dyDescent="0.25">
      <c r="A2313">
        <v>55</v>
      </c>
      <c r="B2313" t="s">
        <v>1336</v>
      </c>
    </row>
    <row r="2314" spans="1:2" x14ac:dyDescent="0.25">
      <c r="A2314">
        <v>60</v>
      </c>
      <c r="B2314" t="s">
        <v>1341</v>
      </c>
    </row>
    <row r="2315" spans="1:2" x14ac:dyDescent="0.25">
      <c r="A2315">
        <v>60</v>
      </c>
      <c r="B2315" t="s">
        <v>1341</v>
      </c>
    </row>
    <row r="2316" spans="1:2" x14ac:dyDescent="0.25">
      <c r="A2316">
        <v>60</v>
      </c>
      <c r="B2316" t="s">
        <v>1341</v>
      </c>
    </row>
    <row r="2317" spans="1:2" x14ac:dyDescent="0.25">
      <c r="A2317">
        <v>60</v>
      </c>
      <c r="B2317" t="s">
        <v>1341</v>
      </c>
    </row>
    <row r="2318" spans="1:2" x14ac:dyDescent="0.25">
      <c r="A2318">
        <v>60</v>
      </c>
      <c r="B2318" t="s">
        <v>1341</v>
      </c>
    </row>
    <row r="2319" spans="1:2" x14ac:dyDescent="0.25">
      <c r="A2319">
        <v>60</v>
      </c>
      <c r="B2319" t="s">
        <v>1341</v>
      </c>
    </row>
    <row r="2320" spans="1:2" x14ac:dyDescent="0.25">
      <c r="A2320">
        <v>60</v>
      </c>
      <c r="B2320" t="s">
        <v>1341</v>
      </c>
    </row>
    <row r="2321" spans="1:2" x14ac:dyDescent="0.25">
      <c r="A2321">
        <v>60</v>
      </c>
      <c r="B2321" t="s">
        <v>1341</v>
      </c>
    </row>
    <row r="2322" spans="1:2" x14ac:dyDescent="0.25">
      <c r="A2322">
        <v>60</v>
      </c>
      <c r="B2322" t="s">
        <v>1341</v>
      </c>
    </row>
    <row r="2323" spans="1:2" x14ac:dyDescent="0.25">
      <c r="A2323">
        <v>57</v>
      </c>
      <c r="B2323" t="s">
        <v>1338</v>
      </c>
    </row>
    <row r="2324" spans="1:2" x14ac:dyDescent="0.25">
      <c r="A2324">
        <v>57</v>
      </c>
      <c r="B2324" t="s">
        <v>1338</v>
      </c>
    </row>
    <row r="2325" spans="1:2" x14ac:dyDescent="0.25">
      <c r="A2325">
        <v>57</v>
      </c>
      <c r="B2325" t="s">
        <v>1338</v>
      </c>
    </row>
    <row r="2326" spans="1:2" x14ac:dyDescent="0.25">
      <c r="A2326">
        <v>60</v>
      </c>
      <c r="B2326" t="s">
        <v>1341</v>
      </c>
    </row>
    <row r="2327" spans="1:2" x14ac:dyDescent="0.25">
      <c r="A2327">
        <v>60</v>
      </c>
      <c r="B2327" t="s">
        <v>1341</v>
      </c>
    </row>
    <row r="2328" spans="1:2" x14ac:dyDescent="0.25">
      <c r="A2328">
        <v>60</v>
      </c>
      <c r="B2328" t="s">
        <v>1341</v>
      </c>
    </row>
    <row r="2329" spans="1:2" x14ac:dyDescent="0.25">
      <c r="A2329">
        <v>60</v>
      </c>
      <c r="B2329" t="s">
        <v>1341</v>
      </c>
    </row>
    <row r="2330" spans="1:2" x14ac:dyDescent="0.25">
      <c r="A2330">
        <v>60</v>
      </c>
      <c r="B2330" t="s">
        <v>1341</v>
      </c>
    </row>
    <row r="2331" spans="1:2" x14ac:dyDescent="0.25">
      <c r="A2331">
        <v>60</v>
      </c>
      <c r="B2331" t="s">
        <v>1341</v>
      </c>
    </row>
    <row r="2332" spans="1:2" x14ac:dyDescent="0.25">
      <c r="A2332">
        <v>60</v>
      </c>
      <c r="B2332" t="s">
        <v>1341</v>
      </c>
    </row>
    <row r="2333" spans="1:2" x14ac:dyDescent="0.25">
      <c r="A2333">
        <v>60</v>
      </c>
      <c r="B2333" t="s">
        <v>1341</v>
      </c>
    </row>
    <row r="2334" spans="1:2" x14ac:dyDescent="0.25">
      <c r="A2334">
        <v>60</v>
      </c>
      <c r="B2334" t="s">
        <v>1341</v>
      </c>
    </row>
    <row r="2335" spans="1:2" x14ac:dyDescent="0.25">
      <c r="A2335">
        <v>60</v>
      </c>
      <c r="B2335" t="s">
        <v>1341</v>
      </c>
    </row>
    <row r="2336" spans="1:2" x14ac:dyDescent="0.25">
      <c r="A2336">
        <v>60</v>
      </c>
      <c r="B2336" t="s">
        <v>1341</v>
      </c>
    </row>
    <row r="2337" spans="1:2" x14ac:dyDescent="0.25">
      <c r="A2337">
        <v>60</v>
      </c>
      <c r="B2337" t="s">
        <v>1341</v>
      </c>
    </row>
    <row r="2338" spans="1:2" x14ac:dyDescent="0.25">
      <c r="A2338">
        <v>60</v>
      </c>
      <c r="B2338" t="s">
        <v>1341</v>
      </c>
    </row>
    <row r="2339" spans="1:2" x14ac:dyDescent="0.25">
      <c r="A2339">
        <v>60</v>
      </c>
      <c r="B2339" t="s">
        <v>1341</v>
      </c>
    </row>
    <row r="2340" spans="1:2" x14ac:dyDescent="0.25">
      <c r="A2340">
        <v>60</v>
      </c>
      <c r="B2340" t="s">
        <v>1341</v>
      </c>
    </row>
    <row r="2341" spans="1:2" x14ac:dyDescent="0.25">
      <c r="A2341">
        <v>60</v>
      </c>
      <c r="B2341" t="s">
        <v>1341</v>
      </c>
    </row>
    <row r="2342" spans="1:2" x14ac:dyDescent="0.25">
      <c r="A2342">
        <v>60</v>
      </c>
      <c r="B2342" t="s">
        <v>1341</v>
      </c>
    </row>
    <row r="2343" spans="1:2" x14ac:dyDescent="0.25">
      <c r="A2343">
        <v>60</v>
      </c>
      <c r="B2343" t="s">
        <v>1341</v>
      </c>
    </row>
    <row r="2344" spans="1:2" x14ac:dyDescent="0.25">
      <c r="A2344">
        <v>60</v>
      </c>
      <c r="B2344" t="s">
        <v>1341</v>
      </c>
    </row>
    <row r="2345" spans="1:2" x14ac:dyDescent="0.25">
      <c r="A2345">
        <v>60</v>
      </c>
      <c r="B2345" t="s">
        <v>1341</v>
      </c>
    </row>
    <row r="2346" spans="1:2" x14ac:dyDescent="0.25">
      <c r="A2346">
        <v>60</v>
      </c>
      <c r="B2346" t="s">
        <v>1341</v>
      </c>
    </row>
    <row r="2347" spans="1:2" x14ac:dyDescent="0.25">
      <c r="A2347">
        <v>60</v>
      </c>
      <c r="B2347" t="s">
        <v>1341</v>
      </c>
    </row>
    <row r="2348" spans="1:2" x14ac:dyDescent="0.25">
      <c r="A2348">
        <v>61</v>
      </c>
      <c r="B2348" t="s">
        <v>1342</v>
      </c>
    </row>
    <row r="2349" spans="1:2" x14ac:dyDescent="0.25">
      <c r="A2349">
        <v>61</v>
      </c>
      <c r="B2349" t="s">
        <v>1342</v>
      </c>
    </row>
    <row r="2350" spans="1:2" x14ac:dyDescent="0.25">
      <c r="A2350">
        <v>61</v>
      </c>
      <c r="B2350" t="s">
        <v>1342</v>
      </c>
    </row>
    <row r="2351" spans="1:2" x14ac:dyDescent="0.25">
      <c r="A2351">
        <v>61</v>
      </c>
      <c r="B2351" t="s">
        <v>1342</v>
      </c>
    </row>
    <row r="2352" spans="1:2" x14ac:dyDescent="0.25">
      <c r="A2352">
        <v>61</v>
      </c>
      <c r="B2352" t="s">
        <v>1342</v>
      </c>
    </row>
    <row r="2353" spans="1:2" x14ac:dyDescent="0.25">
      <c r="A2353">
        <v>61</v>
      </c>
      <c r="B2353" t="s">
        <v>1342</v>
      </c>
    </row>
    <row r="2354" spans="1:2" x14ac:dyDescent="0.25">
      <c r="A2354">
        <v>61</v>
      </c>
      <c r="B2354" t="s">
        <v>1342</v>
      </c>
    </row>
    <row r="2355" spans="1:2" x14ac:dyDescent="0.25">
      <c r="A2355">
        <v>61</v>
      </c>
      <c r="B2355" t="s">
        <v>1342</v>
      </c>
    </row>
    <row r="2356" spans="1:2" x14ac:dyDescent="0.25">
      <c r="A2356">
        <v>61</v>
      </c>
      <c r="B2356" t="s">
        <v>1342</v>
      </c>
    </row>
    <row r="2357" spans="1:2" x14ac:dyDescent="0.25">
      <c r="A2357">
        <v>61</v>
      </c>
      <c r="B2357" t="s">
        <v>1342</v>
      </c>
    </row>
    <row r="2358" spans="1:2" x14ac:dyDescent="0.25">
      <c r="A2358">
        <v>61</v>
      </c>
      <c r="B2358" t="s">
        <v>1342</v>
      </c>
    </row>
    <row r="2359" spans="1:2" x14ac:dyDescent="0.25">
      <c r="A2359">
        <v>61</v>
      </c>
      <c r="B2359" t="s">
        <v>1342</v>
      </c>
    </row>
    <row r="2360" spans="1:2" x14ac:dyDescent="0.25">
      <c r="A2360">
        <v>62</v>
      </c>
      <c r="B2360" t="s">
        <v>1343</v>
      </c>
    </row>
    <row r="2361" spans="1:2" x14ac:dyDescent="0.25">
      <c r="A2361">
        <v>54</v>
      </c>
      <c r="B2361" t="s">
        <v>1335</v>
      </c>
    </row>
    <row r="2362" spans="1:2" x14ac:dyDescent="0.25">
      <c r="A2362">
        <v>45</v>
      </c>
      <c r="B2362" t="s">
        <v>1327</v>
      </c>
    </row>
    <row r="2363" spans="1:2" x14ac:dyDescent="0.25">
      <c r="A2363">
        <v>45</v>
      </c>
      <c r="B2363" t="s">
        <v>1327</v>
      </c>
    </row>
    <row r="2364" spans="1:2" x14ac:dyDescent="0.25">
      <c r="A2364">
        <v>45</v>
      </c>
      <c r="B2364" t="s">
        <v>1327</v>
      </c>
    </row>
    <row r="2365" spans="1:2" x14ac:dyDescent="0.25">
      <c r="A2365">
        <v>55</v>
      </c>
      <c r="B2365" t="s">
        <v>1336</v>
      </c>
    </row>
    <row r="2366" spans="1:2" x14ac:dyDescent="0.25">
      <c r="A2366">
        <v>59</v>
      </c>
      <c r="B2366" t="s">
        <v>1340</v>
      </c>
    </row>
    <row r="2367" spans="1:2" x14ac:dyDescent="0.25">
      <c r="A2367">
        <v>45</v>
      </c>
      <c r="B2367" t="s">
        <v>1327</v>
      </c>
    </row>
    <row r="2368" spans="1:2" x14ac:dyDescent="0.25">
      <c r="A2368">
        <v>45</v>
      </c>
      <c r="B2368" t="s">
        <v>1327</v>
      </c>
    </row>
    <row r="2369" spans="1:2" x14ac:dyDescent="0.25">
      <c r="A2369">
        <v>51</v>
      </c>
      <c r="B2369" t="s">
        <v>1332</v>
      </c>
    </row>
    <row r="2370" spans="1:2" x14ac:dyDescent="0.25">
      <c r="A2370">
        <v>70</v>
      </c>
      <c r="B2370" t="s">
        <v>1350</v>
      </c>
    </row>
    <row r="2371" spans="1:2" x14ac:dyDescent="0.25">
      <c r="A2371">
        <v>55</v>
      </c>
      <c r="B2371" t="s">
        <v>1336</v>
      </c>
    </row>
    <row r="2372" spans="1:2" x14ac:dyDescent="0.25">
      <c r="A2372">
        <v>76</v>
      </c>
      <c r="B2372" t="s">
        <v>1355</v>
      </c>
    </row>
    <row r="2373" spans="1:2" x14ac:dyDescent="0.25">
      <c r="A2373">
        <v>76</v>
      </c>
      <c r="B2373" t="s">
        <v>1355</v>
      </c>
    </row>
    <row r="2374" spans="1:2" x14ac:dyDescent="0.25">
      <c r="A2374">
        <v>76</v>
      </c>
      <c r="B2374" t="s">
        <v>1355</v>
      </c>
    </row>
    <row r="2375" spans="1:2" x14ac:dyDescent="0.25">
      <c r="A2375">
        <v>76</v>
      </c>
      <c r="B2375" t="s">
        <v>1355</v>
      </c>
    </row>
    <row r="2376" spans="1:2" x14ac:dyDescent="0.25">
      <c r="A2376">
        <v>76</v>
      </c>
      <c r="B2376" t="s">
        <v>1355</v>
      </c>
    </row>
    <row r="2377" spans="1:2" x14ac:dyDescent="0.25">
      <c r="A2377">
        <v>51</v>
      </c>
      <c r="B2377" t="s">
        <v>1332</v>
      </c>
    </row>
    <row r="2378" spans="1:2" x14ac:dyDescent="0.25">
      <c r="A2378">
        <v>61</v>
      </c>
      <c r="B2378" t="s">
        <v>1342</v>
      </c>
    </row>
    <row r="2379" spans="1:2" x14ac:dyDescent="0.25">
      <c r="A2379">
        <v>61</v>
      </c>
      <c r="B2379" t="s">
        <v>1342</v>
      </c>
    </row>
    <row r="2380" spans="1:2" x14ac:dyDescent="0.25">
      <c r="A2380">
        <v>61</v>
      </c>
      <c r="B2380" t="s">
        <v>1342</v>
      </c>
    </row>
    <row r="2381" spans="1:2" x14ac:dyDescent="0.25">
      <c r="A2381">
        <v>61</v>
      </c>
      <c r="B2381" t="s">
        <v>1342</v>
      </c>
    </row>
    <row r="2382" spans="1:2" x14ac:dyDescent="0.25">
      <c r="A2382">
        <v>61</v>
      </c>
      <c r="B2382" t="s">
        <v>1342</v>
      </c>
    </row>
    <row r="2383" spans="1:2" x14ac:dyDescent="0.25">
      <c r="A2383">
        <v>61</v>
      </c>
      <c r="B2383" t="s">
        <v>1342</v>
      </c>
    </row>
    <row r="2384" spans="1:2" x14ac:dyDescent="0.25">
      <c r="A2384">
        <v>61</v>
      </c>
      <c r="B2384" t="s">
        <v>1342</v>
      </c>
    </row>
    <row r="2385" spans="1:2" x14ac:dyDescent="0.25">
      <c r="A2385">
        <v>61</v>
      </c>
      <c r="B2385" t="s">
        <v>1342</v>
      </c>
    </row>
    <row r="2386" spans="1:2" x14ac:dyDescent="0.25">
      <c r="A2386">
        <v>61</v>
      </c>
      <c r="B2386" t="s">
        <v>1342</v>
      </c>
    </row>
    <row r="2387" spans="1:2" x14ac:dyDescent="0.25">
      <c r="A2387">
        <v>61</v>
      </c>
      <c r="B2387" t="s">
        <v>1342</v>
      </c>
    </row>
    <row r="2388" spans="1:2" x14ac:dyDescent="0.25">
      <c r="A2388">
        <v>61</v>
      </c>
      <c r="B2388" t="s">
        <v>1342</v>
      </c>
    </row>
    <row r="2389" spans="1:2" x14ac:dyDescent="0.25">
      <c r="A2389">
        <v>61</v>
      </c>
      <c r="B2389" t="s">
        <v>1342</v>
      </c>
    </row>
    <row r="2390" spans="1:2" x14ac:dyDescent="0.25">
      <c r="A2390">
        <v>61</v>
      </c>
      <c r="B2390" t="s">
        <v>1342</v>
      </c>
    </row>
    <row r="2391" spans="1:2" x14ac:dyDescent="0.25">
      <c r="A2391">
        <v>61</v>
      </c>
      <c r="B2391" t="s">
        <v>1342</v>
      </c>
    </row>
    <row r="2392" spans="1:2" x14ac:dyDescent="0.25">
      <c r="A2392">
        <v>61</v>
      </c>
      <c r="B2392" t="s">
        <v>1342</v>
      </c>
    </row>
    <row r="2393" spans="1:2" x14ac:dyDescent="0.25">
      <c r="A2393">
        <v>61</v>
      </c>
      <c r="B2393" t="s">
        <v>1342</v>
      </c>
    </row>
    <row r="2394" spans="1:2" x14ac:dyDescent="0.25">
      <c r="A2394">
        <v>61</v>
      </c>
      <c r="B2394" t="s">
        <v>1342</v>
      </c>
    </row>
    <row r="2395" spans="1:2" x14ac:dyDescent="0.25">
      <c r="A2395">
        <v>61</v>
      </c>
      <c r="B2395" t="s">
        <v>1342</v>
      </c>
    </row>
    <row r="2396" spans="1:2" x14ac:dyDescent="0.25">
      <c r="A2396">
        <v>61</v>
      </c>
      <c r="B2396" t="s">
        <v>1342</v>
      </c>
    </row>
    <row r="2397" spans="1:2" x14ac:dyDescent="0.25">
      <c r="A2397">
        <v>61</v>
      </c>
      <c r="B2397" t="s">
        <v>1342</v>
      </c>
    </row>
    <row r="2398" spans="1:2" x14ac:dyDescent="0.25">
      <c r="A2398">
        <v>61</v>
      </c>
      <c r="B2398" t="s">
        <v>1342</v>
      </c>
    </row>
    <row r="2399" spans="1:2" x14ac:dyDescent="0.25">
      <c r="A2399">
        <v>55</v>
      </c>
      <c r="B2399" t="s">
        <v>1336</v>
      </c>
    </row>
    <row r="2400" spans="1:2" x14ac:dyDescent="0.25">
      <c r="A2400">
        <v>61</v>
      </c>
      <c r="B2400" t="s">
        <v>1342</v>
      </c>
    </row>
    <row r="2401" spans="1:2" x14ac:dyDescent="0.25">
      <c r="A2401">
        <v>61</v>
      </c>
      <c r="B2401" t="s">
        <v>1342</v>
      </c>
    </row>
    <row r="2402" spans="1:2" x14ac:dyDescent="0.25">
      <c r="A2402">
        <v>61</v>
      </c>
      <c r="B2402" t="s">
        <v>1342</v>
      </c>
    </row>
    <row r="2403" spans="1:2" x14ac:dyDescent="0.25">
      <c r="A2403">
        <v>61</v>
      </c>
      <c r="B2403" t="s">
        <v>1342</v>
      </c>
    </row>
    <row r="2404" spans="1:2" x14ac:dyDescent="0.25">
      <c r="A2404">
        <v>61</v>
      </c>
      <c r="B2404" t="s">
        <v>1342</v>
      </c>
    </row>
    <row r="2405" spans="1:2" x14ac:dyDescent="0.25">
      <c r="A2405">
        <v>61</v>
      </c>
      <c r="B2405" t="s">
        <v>1342</v>
      </c>
    </row>
    <row r="2406" spans="1:2" x14ac:dyDescent="0.25">
      <c r="A2406">
        <v>61</v>
      </c>
      <c r="B2406" t="s">
        <v>1342</v>
      </c>
    </row>
    <row r="2407" spans="1:2" x14ac:dyDescent="0.25">
      <c r="A2407">
        <v>61</v>
      </c>
      <c r="B2407" t="s">
        <v>1342</v>
      </c>
    </row>
    <row r="2408" spans="1:2" x14ac:dyDescent="0.25">
      <c r="A2408">
        <v>61</v>
      </c>
      <c r="B2408" t="s">
        <v>1342</v>
      </c>
    </row>
    <row r="2409" spans="1:2" x14ac:dyDescent="0.25">
      <c r="A2409">
        <v>61</v>
      </c>
      <c r="B2409" t="s">
        <v>1342</v>
      </c>
    </row>
    <row r="2410" spans="1:2" x14ac:dyDescent="0.25">
      <c r="A2410">
        <v>61</v>
      </c>
      <c r="B2410" t="s">
        <v>1342</v>
      </c>
    </row>
    <row r="2411" spans="1:2" x14ac:dyDescent="0.25">
      <c r="A2411">
        <v>61</v>
      </c>
      <c r="B2411" t="s">
        <v>1342</v>
      </c>
    </row>
    <row r="2412" spans="1:2" x14ac:dyDescent="0.25">
      <c r="A2412">
        <v>61</v>
      </c>
      <c r="B2412" t="s">
        <v>1342</v>
      </c>
    </row>
    <row r="2413" spans="1:2" x14ac:dyDescent="0.25">
      <c r="A2413">
        <v>69</v>
      </c>
      <c r="B2413" t="s">
        <v>1349</v>
      </c>
    </row>
    <row r="2414" spans="1:2" x14ac:dyDescent="0.25">
      <c r="A2414">
        <v>61</v>
      </c>
      <c r="B2414" t="s">
        <v>1342</v>
      </c>
    </row>
    <row r="2415" spans="1:2" x14ac:dyDescent="0.25">
      <c r="A2415">
        <v>69</v>
      </c>
      <c r="B2415" t="s">
        <v>1349</v>
      </c>
    </row>
    <row r="2416" spans="1:2" x14ac:dyDescent="0.25">
      <c r="A2416">
        <v>69</v>
      </c>
      <c r="B2416" t="s">
        <v>1349</v>
      </c>
    </row>
    <row r="2417" spans="1:2" x14ac:dyDescent="0.25">
      <c r="A2417">
        <v>69</v>
      </c>
      <c r="B2417" t="s">
        <v>1349</v>
      </c>
    </row>
    <row r="2418" spans="1:2" x14ac:dyDescent="0.25">
      <c r="A2418">
        <v>69</v>
      </c>
      <c r="B2418" t="s">
        <v>1349</v>
      </c>
    </row>
    <row r="2419" spans="1:2" x14ac:dyDescent="0.25">
      <c r="A2419">
        <v>69</v>
      </c>
      <c r="B2419" t="s">
        <v>1349</v>
      </c>
    </row>
    <row r="2420" spans="1:2" x14ac:dyDescent="0.25">
      <c r="A2420">
        <v>69</v>
      </c>
      <c r="B2420" t="s">
        <v>1349</v>
      </c>
    </row>
    <row r="2421" spans="1:2" x14ac:dyDescent="0.25">
      <c r="A2421">
        <v>69</v>
      </c>
      <c r="B2421" t="s">
        <v>1349</v>
      </c>
    </row>
    <row r="2422" spans="1:2" x14ac:dyDescent="0.25">
      <c r="A2422">
        <v>69</v>
      </c>
      <c r="B2422" t="s">
        <v>1349</v>
      </c>
    </row>
    <row r="2423" spans="1:2" x14ac:dyDescent="0.25">
      <c r="A2423">
        <v>61</v>
      </c>
      <c r="B2423" t="s">
        <v>1342</v>
      </c>
    </row>
    <row r="2424" spans="1:2" x14ac:dyDescent="0.25">
      <c r="A2424">
        <v>61</v>
      </c>
      <c r="B2424" t="s">
        <v>1342</v>
      </c>
    </row>
    <row r="2425" spans="1:2" x14ac:dyDescent="0.25">
      <c r="A2425">
        <v>61</v>
      </c>
      <c r="B2425" t="s">
        <v>1342</v>
      </c>
    </row>
    <row r="2426" spans="1:2" x14ac:dyDescent="0.25">
      <c r="A2426">
        <v>61</v>
      </c>
      <c r="B2426" t="s">
        <v>1342</v>
      </c>
    </row>
    <row r="2427" spans="1:2" x14ac:dyDescent="0.25">
      <c r="A2427">
        <v>61</v>
      </c>
      <c r="B2427" t="s">
        <v>1342</v>
      </c>
    </row>
    <row r="2428" spans="1:2" x14ac:dyDescent="0.25">
      <c r="A2428">
        <v>61</v>
      </c>
      <c r="B2428" t="s">
        <v>1342</v>
      </c>
    </row>
    <row r="2429" spans="1:2" x14ac:dyDescent="0.25">
      <c r="A2429">
        <v>61</v>
      </c>
      <c r="B2429" t="s">
        <v>1342</v>
      </c>
    </row>
    <row r="2430" spans="1:2" x14ac:dyDescent="0.25">
      <c r="A2430">
        <v>61</v>
      </c>
      <c r="B2430" t="s">
        <v>1342</v>
      </c>
    </row>
    <row r="2431" spans="1:2" x14ac:dyDescent="0.25">
      <c r="A2431">
        <v>61</v>
      </c>
      <c r="B2431" t="s">
        <v>1342</v>
      </c>
    </row>
    <row r="2432" spans="1:2" x14ac:dyDescent="0.25">
      <c r="A2432">
        <v>61</v>
      </c>
      <c r="B2432" t="s">
        <v>1342</v>
      </c>
    </row>
    <row r="2433" spans="1:2" x14ac:dyDescent="0.25">
      <c r="A2433">
        <v>61</v>
      </c>
      <c r="B2433" t="s">
        <v>1342</v>
      </c>
    </row>
    <row r="2434" spans="1:2" x14ac:dyDescent="0.25">
      <c r="A2434">
        <v>61</v>
      </c>
      <c r="B2434" t="s">
        <v>1342</v>
      </c>
    </row>
    <row r="2435" spans="1:2" x14ac:dyDescent="0.25">
      <c r="A2435">
        <v>61</v>
      </c>
      <c r="B2435" t="s">
        <v>1342</v>
      </c>
    </row>
    <row r="2436" spans="1:2" x14ac:dyDescent="0.25">
      <c r="A2436">
        <v>51</v>
      </c>
      <c r="B2436" t="s">
        <v>1332</v>
      </c>
    </row>
    <row r="2437" spans="1:2" x14ac:dyDescent="0.25">
      <c r="A2437">
        <v>51</v>
      </c>
      <c r="B2437" t="s">
        <v>1332</v>
      </c>
    </row>
    <row r="2438" spans="1:2" x14ac:dyDescent="0.25">
      <c r="A2438">
        <v>51</v>
      </c>
      <c r="B2438" t="s">
        <v>1332</v>
      </c>
    </row>
    <row r="2439" spans="1:2" x14ac:dyDescent="0.25">
      <c r="A2439">
        <v>51</v>
      </c>
      <c r="B2439" t="s">
        <v>1332</v>
      </c>
    </row>
    <row r="2440" spans="1:2" x14ac:dyDescent="0.25">
      <c r="A2440">
        <v>51</v>
      </c>
      <c r="B2440" t="s">
        <v>1332</v>
      </c>
    </row>
    <row r="2441" spans="1:2" x14ac:dyDescent="0.25">
      <c r="A2441">
        <v>72</v>
      </c>
      <c r="B2441" t="s">
        <v>1352</v>
      </c>
    </row>
    <row r="2442" spans="1:2" x14ac:dyDescent="0.25">
      <c r="A2442">
        <v>72</v>
      </c>
      <c r="B2442" t="s">
        <v>1352</v>
      </c>
    </row>
    <row r="2443" spans="1:2" x14ac:dyDescent="0.25">
      <c r="A2443">
        <v>72</v>
      </c>
      <c r="B2443" t="s">
        <v>1352</v>
      </c>
    </row>
    <row r="2444" spans="1:2" x14ac:dyDescent="0.25">
      <c r="A2444">
        <v>72</v>
      </c>
      <c r="B2444" t="s">
        <v>1352</v>
      </c>
    </row>
    <row r="2445" spans="1:2" x14ac:dyDescent="0.25">
      <c r="A2445">
        <v>72</v>
      </c>
      <c r="B2445" t="s">
        <v>1352</v>
      </c>
    </row>
    <row r="2446" spans="1:2" x14ac:dyDescent="0.25">
      <c r="A2446">
        <v>70</v>
      </c>
      <c r="B2446" t="s">
        <v>1350</v>
      </c>
    </row>
    <row r="2447" spans="1:2" x14ac:dyDescent="0.25">
      <c r="A2447">
        <v>72</v>
      </c>
      <c r="B2447" t="s">
        <v>1352</v>
      </c>
    </row>
    <row r="2448" spans="1:2" x14ac:dyDescent="0.25">
      <c r="A2448">
        <v>49</v>
      </c>
      <c r="B2448" t="s">
        <v>1330</v>
      </c>
    </row>
    <row r="2449" spans="1:2" x14ac:dyDescent="0.25">
      <c r="A2449">
        <v>49</v>
      </c>
      <c r="B2449" t="s">
        <v>1330</v>
      </c>
    </row>
    <row r="2450" spans="1:2" x14ac:dyDescent="0.25">
      <c r="A2450">
        <v>55</v>
      </c>
      <c r="B2450" t="s">
        <v>1336</v>
      </c>
    </row>
    <row r="2451" spans="1:2" x14ac:dyDescent="0.25">
      <c r="A2451">
        <v>76</v>
      </c>
      <c r="B2451" t="s">
        <v>1355</v>
      </c>
    </row>
    <row r="2452" spans="1:2" x14ac:dyDescent="0.25">
      <c r="A2452">
        <v>76</v>
      </c>
      <c r="B2452" t="s">
        <v>1355</v>
      </c>
    </row>
    <row r="2453" spans="1:2" x14ac:dyDescent="0.25">
      <c r="A2453">
        <v>76</v>
      </c>
      <c r="B2453" t="s">
        <v>1355</v>
      </c>
    </row>
    <row r="2454" spans="1:2" x14ac:dyDescent="0.25">
      <c r="A2454">
        <v>76</v>
      </c>
      <c r="B2454" t="s">
        <v>1355</v>
      </c>
    </row>
    <row r="2455" spans="1:2" x14ac:dyDescent="0.25">
      <c r="A2455">
        <v>74</v>
      </c>
      <c r="B2455" t="s">
        <v>1354</v>
      </c>
    </row>
    <row r="2456" spans="1:2" x14ac:dyDescent="0.25">
      <c r="A2456">
        <v>74</v>
      </c>
      <c r="B2456" t="s">
        <v>1354</v>
      </c>
    </row>
    <row r="2457" spans="1:2" x14ac:dyDescent="0.25">
      <c r="A2457">
        <v>74</v>
      </c>
      <c r="B2457" t="s">
        <v>1354</v>
      </c>
    </row>
    <row r="2458" spans="1:2" x14ac:dyDescent="0.25">
      <c r="A2458">
        <v>74</v>
      </c>
      <c r="B2458" t="s">
        <v>1354</v>
      </c>
    </row>
    <row r="2459" spans="1:2" x14ac:dyDescent="0.25">
      <c r="A2459">
        <v>74</v>
      </c>
      <c r="B2459" t="s">
        <v>1354</v>
      </c>
    </row>
    <row r="2460" spans="1:2" x14ac:dyDescent="0.25">
      <c r="A2460">
        <v>74</v>
      </c>
      <c r="B2460" t="s">
        <v>1354</v>
      </c>
    </row>
    <row r="2461" spans="1:2" x14ac:dyDescent="0.25">
      <c r="A2461">
        <v>74</v>
      </c>
      <c r="B2461" t="s">
        <v>1354</v>
      </c>
    </row>
    <row r="2462" spans="1:2" x14ac:dyDescent="0.25">
      <c r="A2462">
        <v>74</v>
      </c>
      <c r="B2462" t="s">
        <v>1354</v>
      </c>
    </row>
    <row r="2463" spans="1:2" x14ac:dyDescent="0.25">
      <c r="A2463">
        <v>74</v>
      </c>
      <c r="B2463" t="s">
        <v>1354</v>
      </c>
    </row>
    <row r="2464" spans="1:2" x14ac:dyDescent="0.25">
      <c r="A2464">
        <v>74</v>
      </c>
      <c r="B2464" t="s">
        <v>1354</v>
      </c>
    </row>
    <row r="2465" spans="1:2" x14ac:dyDescent="0.25">
      <c r="A2465">
        <v>74</v>
      </c>
      <c r="B2465" t="s">
        <v>1354</v>
      </c>
    </row>
    <row r="2466" spans="1:2" x14ac:dyDescent="0.25">
      <c r="A2466">
        <v>74</v>
      </c>
      <c r="B2466" t="s">
        <v>1354</v>
      </c>
    </row>
    <row r="2467" spans="1:2" x14ac:dyDescent="0.25">
      <c r="A2467">
        <v>74</v>
      </c>
      <c r="B2467" t="s">
        <v>1354</v>
      </c>
    </row>
    <row r="2468" spans="1:2" x14ac:dyDescent="0.25">
      <c r="A2468">
        <v>74</v>
      </c>
      <c r="B2468" t="s">
        <v>1354</v>
      </c>
    </row>
    <row r="2469" spans="1:2" x14ac:dyDescent="0.25">
      <c r="A2469">
        <v>69</v>
      </c>
      <c r="B2469" t="s">
        <v>1349</v>
      </c>
    </row>
    <row r="2470" spans="1:2" x14ac:dyDescent="0.25">
      <c r="A2470">
        <v>51</v>
      </c>
      <c r="B2470" t="s">
        <v>1332</v>
      </c>
    </row>
    <row r="2471" spans="1:2" x14ac:dyDescent="0.25">
      <c r="A2471">
        <v>51</v>
      </c>
      <c r="B2471" t="s">
        <v>1332</v>
      </c>
    </row>
    <row r="2472" spans="1:2" x14ac:dyDescent="0.25">
      <c r="A2472">
        <v>70</v>
      </c>
      <c r="B2472" t="s">
        <v>1350</v>
      </c>
    </row>
  </sheetData>
  <sortState ref="A3:C41">
    <sortCondition ref="C2:C41"/>
    <sortCondition ref="A2:A41"/>
  </sortState>
  <mergeCells count="1">
    <mergeCell ref="A1:B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7649" r:id="rId4" name="btnGruposOrdenar">
          <controlPr defaultSize="0" autoLine="0" r:id="rId5">
            <anchor moveWithCells="1">
              <from>
                <xdr:col>0</xdr:col>
                <xdr:colOff>66675</xdr:colOff>
                <xdr:row>0</xdr:row>
                <xdr:rowOff>57150</xdr:rowOff>
              </from>
              <to>
                <xdr:col>1</xdr:col>
                <xdr:colOff>857250</xdr:colOff>
                <xdr:row>0</xdr:row>
                <xdr:rowOff>466725</xdr:rowOff>
              </to>
            </anchor>
          </controlPr>
        </control>
      </mc:Choice>
      <mc:Fallback>
        <control shapeId="27649" r:id="rId4" name="btnGruposOrdenar"/>
      </mc:Fallback>
    </mc:AlternateContent>
  </controls>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Estáticas!$A$14:$A$26</xm:f>
          </x14:formula1>
          <xm:sqref>C3:C41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1</vt:i4>
      </vt:variant>
    </vt:vector>
  </HeadingPairs>
  <TitlesOfParts>
    <vt:vector size="9" baseType="lpstr">
      <vt:lpstr>Ponto_Ped</vt:lpstr>
      <vt:lpstr>Saldo</vt:lpstr>
      <vt:lpstr>Filtros</vt:lpstr>
      <vt:lpstr>Consumo_Anual</vt:lpstr>
      <vt:lpstr>Excluir_do_Estoque</vt:lpstr>
      <vt:lpstr>Parâmetros</vt:lpstr>
      <vt:lpstr>Estáticas</vt:lpstr>
      <vt:lpstr>Grupos</vt:lpstr>
      <vt:lpstr>Ponto_Ped!Titulos_de_impressao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Edmilson Ramos dos Santos Scandola</cp:lastModifiedBy>
  <cp:lastPrinted>2019-11-01T10:40:06Z</cp:lastPrinted>
  <dcterms:created xsi:type="dcterms:W3CDTF">2019-01-23T10:22:08Z</dcterms:created>
  <dcterms:modified xsi:type="dcterms:W3CDTF">2023-09-12T17:57:28Z</dcterms:modified>
</cp:coreProperties>
</file>