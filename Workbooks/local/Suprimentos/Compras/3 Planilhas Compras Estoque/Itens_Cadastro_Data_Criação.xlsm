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local\Suprimentos\Compras\3 Planilhas Compras Estoque\"/>
    </mc:Choice>
  </mc:AlternateContent>
  <xr:revisionPtr revIDLastSave="0" documentId="13_ncr:1_{F099B8AD-60C5-49D5-AEAE-89EB27F268F4}" xr6:coauthVersionLast="47" xr6:coauthVersionMax="47" xr10:uidLastSave="{00000000-0000-0000-0000-000000000000}"/>
  <bookViews>
    <workbookView xWindow="16284" yWindow="-108" windowWidth="19416" windowHeight="10560" xr2:uid="{00000000-000D-0000-FFFF-FFFF00000000}"/>
  </bookViews>
  <sheets>
    <sheet name="Itens" sheetId="1" r:id="rId1"/>
    <sheet name="Aguardando_exclusão" sheetId="2" r:id="rId2"/>
    <sheet name="Backup" sheetId="5" r:id="rId3"/>
  </sheets>
  <functionGroups builtInGroupCount="19"/>
  <definedNames>
    <definedName name="_xlnm.Print_Area" localSheetId="2">Backup!#REF!</definedName>
    <definedName name="_xlnm.Print_Area" localSheetId="0">Itens!#REF!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1" l="1"/>
  <c r="D3"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6" i="5" l="1"/>
  <c r="D1255" i="5"/>
  <c r="D1254" i="5"/>
  <c r="D1253" i="5"/>
  <c r="D1252" i="5"/>
  <c r="D1251" i="5"/>
  <c r="D1250" i="5"/>
  <c r="D1249" i="5"/>
  <c r="D1248" i="5"/>
  <c r="D1247" i="5"/>
  <c r="D1246" i="5"/>
  <c r="D1245" i="5"/>
  <c r="D1244" i="5"/>
  <c r="D1243" i="5"/>
  <c r="D1242" i="5"/>
  <c r="D1241" i="5"/>
  <c r="D1240" i="5"/>
  <c r="D1239" i="5"/>
  <c r="D1238" i="5"/>
  <c r="D1237" i="5"/>
  <c r="D1236" i="5"/>
  <c r="D1235" i="5"/>
  <c r="D1234" i="5"/>
  <c r="D1233" i="5"/>
  <c r="D1232" i="5"/>
  <c r="D1231" i="5"/>
  <c r="D1230" i="5"/>
  <c r="D1229" i="5"/>
  <c r="D1228" i="5"/>
  <c r="D1227" i="5"/>
  <c r="D1226" i="5"/>
  <c r="D1225" i="5"/>
  <c r="D1224" i="5"/>
  <c r="D1223" i="5"/>
  <c r="D1222" i="5"/>
  <c r="D1221" i="5"/>
  <c r="D1220" i="5"/>
  <c r="D1219" i="5"/>
  <c r="D1218" i="5"/>
  <c r="D1217" i="5"/>
  <c r="D1216" i="5"/>
  <c r="D1215" i="5"/>
  <c r="D1214" i="5"/>
  <c r="D1213" i="5"/>
  <c r="D1212" i="5"/>
  <c r="D1211" i="5"/>
  <c r="D1210" i="5"/>
  <c r="D1209" i="5"/>
  <c r="D1208" i="5"/>
  <c r="D1207" i="5"/>
  <c r="D1206" i="5"/>
  <c r="D1205" i="5"/>
  <c r="D1204" i="5"/>
  <c r="D1203" i="5"/>
  <c r="D1202" i="5"/>
  <c r="D1201" i="5"/>
  <c r="D1200" i="5"/>
  <c r="D1199" i="5"/>
  <c r="D1198" i="5"/>
  <c r="D1197" i="5"/>
  <c r="D1196" i="5"/>
  <c r="D1195" i="5"/>
  <c r="D1194" i="5"/>
  <c r="D1193" i="5"/>
  <c r="D1192" i="5"/>
  <c r="D1191" i="5"/>
  <c r="D1190" i="5"/>
  <c r="D1189" i="5"/>
  <c r="D1188" i="5"/>
  <c r="D1187" i="5"/>
  <c r="D1186" i="5"/>
  <c r="D1185" i="5"/>
  <c r="D1184" i="5"/>
  <c r="D1183" i="5"/>
  <c r="D1182" i="5"/>
  <c r="D1181" i="5"/>
  <c r="D1180" i="5"/>
  <c r="D1179" i="5"/>
  <c r="D1178" i="5"/>
  <c r="D1177" i="5"/>
  <c r="D1176" i="5"/>
  <c r="D1175" i="5"/>
  <c r="D1174" i="5"/>
  <c r="D1173" i="5"/>
  <c r="D1172" i="5"/>
  <c r="D1171" i="5"/>
  <c r="D1170" i="5"/>
  <c r="D1169" i="5"/>
  <c r="D1168" i="5"/>
  <c r="D1167" i="5"/>
  <c r="D1166" i="5"/>
  <c r="D1165" i="5"/>
  <c r="D1164" i="5"/>
  <c r="D1163" i="5"/>
  <c r="D1162" i="5"/>
  <c r="D1161" i="5"/>
  <c r="D1160" i="5"/>
  <c r="D1159" i="5"/>
  <c r="D1158" i="5"/>
  <c r="D1157" i="5"/>
  <c r="D1156" i="5"/>
  <c r="D1155" i="5"/>
  <c r="D1154" i="5"/>
  <c r="D1153" i="5"/>
  <c r="D1152" i="5"/>
  <c r="D1151" i="5"/>
  <c r="D1150" i="5"/>
  <c r="D1149" i="5"/>
  <c r="D1148" i="5"/>
  <c r="D1147" i="5"/>
  <c r="D1146" i="5"/>
  <c r="D1145" i="5"/>
  <c r="D1144" i="5"/>
  <c r="D1143" i="5"/>
  <c r="D1142" i="5"/>
  <c r="D1141" i="5"/>
  <c r="D1140" i="5"/>
  <c r="D1139" i="5"/>
  <c r="D1138" i="5"/>
  <c r="D1137" i="5"/>
  <c r="D1136" i="5"/>
  <c r="D1135" i="5"/>
  <c r="D1134" i="5"/>
  <c r="D1133" i="5"/>
  <c r="D1132" i="5"/>
  <c r="D1131" i="5"/>
  <c r="D1130" i="5"/>
  <c r="D1129" i="5"/>
  <c r="D1128" i="5"/>
  <c r="D1127" i="5"/>
  <c r="D1126" i="5"/>
  <c r="D1125" i="5"/>
  <c r="D1124" i="5"/>
  <c r="D1123" i="5"/>
  <c r="D1122" i="5"/>
  <c r="D1121" i="5"/>
  <c r="D1120" i="5"/>
  <c r="D1119" i="5"/>
  <c r="D1118" i="5"/>
  <c r="D1117" i="5"/>
  <c r="D1116" i="5"/>
  <c r="D1115" i="5"/>
  <c r="D1114" i="5"/>
  <c r="D1113" i="5"/>
  <c r="D1112" i="5"/>
  <c r="D1111" i="5"/>
  <c r="D1110" i="5"/>
  <c r="D1109" i="5"/>
  <c r="D1108" i="5"/>
  <c r="D1107" i="5"/>
  <c r="D1106" i="5"/>
  <c r="D1105" i="5"/>
  <c r="D1104" i="5"/>
  <c r="D1103" i="5"/>
  <c r="D1102" i="5"/>
  <c r="D1101" i="5"/>
  <c r="D1100" i="5"/>
  <c r="D1099" i="5"/>
  <c r="D1098" i="5"/>
  <c r="D1097" i="5"/>
  <c r="D1096" i="5"/>
  <c r="D1095" i="5"/>
  <c r="D1094" i="5"/>
  <c r="D1093" i="5"/>
  <c r="D1092" i="5"/>
  <c r="D1091" i="5"/>
  <c r="D1090" i="5"/>
  <c r="D1089" i="5"/>
  <c r="D1088" i="5"/>
  <c r="D1087" i="5"/>
  <c r="D1086" i="5"/>
  <c r="D1085" i="5"/>
  <c r="D1084" i="5"/>
  <c r="D1083" i="5"/>
  <c r="D1082" i="5"/>
  <c r="D1081" i="5"/>
  <c r="D1080" i="5"/>
  <c r="D1079" i="5"/>
  <c r="D1078" i="5"/>
  <c r="D1077" i="5"/>
  <c r="D1076" i="5"/>
  <c r="D1075" i="5"/>
  <c r="D1074" i="5"/>
  <c r="D1073" i="5"/>
  <c r="D1072" i="5"/>
  <c r="D1071" i="5"/>
  <c r="D1070" i="5"/>
  <c r="D1069" i="5"/>
  <c r="D1068" i="5"/>
  <c r="D1067" i="5"/>
  <c r="D1066" i="5"/>
  <c r="D1065" i="5"/>
  <c r="D1064" i="5"/>
  <c r="D1063" i="5"/>
  <c r="D1062" i="5"/>
  <c r="D1061" i="5"/>
  <c r="D1060" i="5"/>
  <c r="D1059" i="5"/>
  <c r="D1058" i="5"/>
  <c r="D1057" i="5"/>
  <c r="D1056" i="5"/>
  <c r="D1055" i="5"/>
  <c r="D1054" i="5"/>
  <c r="D1053" i="5"/>
  <c r="D1052" i="5"/>
  <c r="D1051" i="5"/>
  <c r="D1050" i="5"/>
  <c r="D1049" i="5"/>
  <c r="D1048" i="5"/>
  <c r="D1047" i="5"/>
  <c r="D1046" i="5"/>
  <c r="D1045" i="5"/>
  <c r="D1044" i="5"/>
  <c r="D1043" i="5"/>
  <c r="D1042" i="5"/>
  <c r="D1041" i="5"/>
  <c r="D1040" i="5"/>
  <c r="D1039" i="5"/>
  <c r="D1038" i="5"/>
  <c r="D1037" i="5"/>
  <c r="D1036" i="5"/>
  <c r="D1035" i="5"/>
  <c r="D1034" i="5"/>
  <c r="D1033" i="5"/>
  <c r="D1032" i="5"/>
  <c r="D1031" i="5"/>
  <c r="D1030" i="5"/>
  <c r="D1029" i="5"/>
  <c r="D1028" i="5"/>
  <c r="D1027" i="5"/>
  <c r="D1026" i="5"/>
  <c r="D1025" i="5"/>
  <c r="D1024" i="5"/>
  <c r="D1023" i="5"/>
  <c r="D1022" i="5"/>
  <c r="D1021" i="5"/>
  <c r="D1020" i="5"/>
  <c r="D1019" i="5"/>
  <c r="D1018" i="5"/>
  <c r="D1017" i="5"/>
  <c r="D1016" i="5"/>
  <c r="D1015" i="5"/>
  <c r="D1014" i="5"/>
  <c r="D1013" i="5"/>
  <c r="D1012" i="5"/>
  <c r="D1011" i="5"/>
  <c r="D1010" i="5"/>
  <c r="D1009" i="5"/>
  <c r="D1008" i="5"/>
  <c r="D1007" i="5"/>
  <c r="D1006" i="5"/>
  <c r="D1005" i="5"/>
  <c r="D1004" i="5"/>
  <c r="D1003" i="5"/>
  <c r="D1002" i="5"/>
  <c r="D1001" i="5"/>
  <c r="D1000" i="5"/>
  <c r="D999" i="5"/>
  <c r="D998" i="5"/>
  <c r="D997" i="5"/>
  <c r="D996" i="5"/>
  <c r="D995" i="5"/>
  <c r="D994" i="5"/>
  <c r="D993" i="5"/>
  <c r="D992" i="5"/>
  <c r="D991" i="5"/>
  <c r="D990" i="5"/>
  <c r="D989" i="5"/>
  <c r="D988" i="5"/>
  <c r="D987" i="5"/>
  <c r="D986" i="5"/>
  <c r="D985" i="5"/>
  <c r="D984" i="5"/>
  <c r="D983" i="5"/>
  <c r="D982" i="5"/>
  <c r="D981" i="5"/>
  <c r="D980" i="5"/>
  <c r="D979" i="5"/>
  <c r="D978" i="5"/>
  <c r="D977" i="5"/>
  <c r="D976" i="5"/>
  <c r="D975" i="5"/>
  <c r="D974" i="5"/>
  <c r="D973" i="5"/>
  <c r="D972" i="5"/>
  <c r="D971" i="5"/>
  <c r="D970" i="5"/>
  <c r="D969" i="5"/>
  <c r="D968" i="5"/>
  <c r="D967" i="5"/>
  <c r="D966" i="5"/>
  <c r="D965" i="5"/>
  <c r="D964" i="5"/>
  <c r="D963" i="5"/>
  <c r="D962" i="5"/>
  <c r="D961" i="5"/>
  <c r="D960" i="5"/>
  <c r="D959" i="5"/>
  <c r="D958" i="5"/>
  <c r="D957" i="5"/>
  <c r="D956" i="5"/>
  <c r="D955" i="5"/>
  <c r="D954" i="5"/>
  <c r="D953" i="5"/>
  <c r="D952" i="5"/>
  <c r="D951" i="5"/>
  <c r="D950" i="5"/>
  <c r="D949" i="5"/>
  <c r="D948" i="5"/>
  <c r="D947" i="5"/>
  <c r="D946" i="5"/>
  <c r="D945" i="5"/>
  <c r="D944" i="5"/>
  <c r="D943" i="5"/>
  <c r="D942" i="5"/>
  <c r="D941" i="5"/>
  <c r="D940" i="5"/>
  <c r="D939" i="5"/>
  <c r="D938" i="5"/>
  <c r="D937" i="5"/>
  <c r="D936" i="5"/>
  <c r="D935" i="5"/>
  <c r="D934" i="5"/>
  <c r="D933" i="5"/>
  <c r="D932" i="5"/>
  <c r="D931" i="5"/>
  <c r="D930" i="5"/>
  <c r="D929" i="5"/>
  <c r="D928" i="5"/>
  <c r="D927" i="5"/>
  <c r="D926" i="5"/>
  <c r="D925" i="5"/>
  <c r="D924" i="5"/>
  <c r="D923" i="5"/>
  <c r="D922" i="5"/>
  <c r="D921" i="5"/>
  <c r="D920" i="5"/>
  <c r="D919" i="5"/>
  <c r="D918" i="5"/>
  <c r="D917" i="5"/>
  <c r="D916" i="5"/>
  <c r="D915" i="5"/>
  <c r="D914" i="5"/>
  <c r="D913" i="5"/>
  <c r="D912" i="5"/>
  <c r="D911" i="5"/>
  <c r="D910" i="5"/>
  <c r="D909" i="5"/>
  <c r="D908" i="5"/>
  <c r="D907" i="5"/>
  <c r="D906" i="5"/>
  <c r="D905" i="5"/>
  <c r="D904" i="5"/>
  <c r="D903" i="5"/>
  <c r="D902" i="5"/>
  <c r="D901" i="5"/>
  <c r="D900" i="5"/>
  <c r="D899" i="5"/>
  <c r="D898" i="5"/>
  <c r="D897" i="5"/>
  <c r="D896" i="5"/>
  <c r="D895" i="5"/>
  <c r="D894" i="5"/>
  <c r="D893" i="5"/>
  <c r="D892" i="5"/>
  <c r="D891" i="5"/>
  <c r="D890" i="5"/>
  <c r="D889" i="5"/>
  <c r="D888" i="5"/>
  <c r="D887" i="5"/>
  <c r="D886" i="5"/>
  <c r="D885" i="5"/>
  <c r="D884" i="5"/>
  <c r="D883" i="5"/>
  <c r="D882" i="5"/>
  <c r="D881" i="5"/>
  <c r="D880" i="5"/>
  <c r="D879" i="5"/>
  <c r="D878" i="5"/>
  <c r="D877" i="5"/>
  <c r="D876" i="5"/>
  <c r="D875" i="5"/>
  <c r="D874" i="5"/>
  <c r="D873" i="5"/>
  <c r="D872" i="5"/>
  <c r="D871" i="5"/>
  <c r="D870" i="5"/>
  <c r="D869" i="5"/>
  <c r="D868" i="5"/>
  <c r="D867" i="5"/>
  <c r="D866" i="5"/>
  <c r="D865" i="5"/>
  <c r="D864" i="5"/>
  <c r="D863" i="5"/>
  <c r="D862" i="5"/>
  <c r="D861" i="5"/>
  <c r="D860" i="5"/>
  <c r="D859" i="5"/>
  <c r="D858" i="5"/>
  <c r="D857" i="5"/>
  <c r="D856" i="5"/>
  <c r="D855" i="5"/>
  <c r="D854" i="5"/>
  <c r="D853" i="5"/>
  <c r="D852" i="5"/>
  <c r="D851" i="5"/>
  <c r="D850" i="5"/>
  <c r="D849" i="5"/>
  <c r="D848" i="5"/>
  <c r="D847" i="5"/>
  <c r="D846" i="5"/>
  <c r="D845" i="5"/>
  <c r="D844" i="5"/>
  <c r="D843" i="5"/>
  <c r="D842" i="5"/>
  <c r="D841" i="5"/>
  <c r="D840" i="5"/>
  <c r="D839" i="5"/>
  <c r="D838" i="5"/>
  <c r="D837" i="5"/>
  <c r="D836" i="5"/>
  <c r="D835" i="5"/>
  <c r="D834" i="5"/>
  <c r="D833" i="5"/>
  <c r="D832" i="5"/>
  <c r="D831" i="5"/>
  <c r="D830" i="5"/>
  <c r="D829" i="5"/>
  <c r="D828" i="5"/>
  <c r="D827" i="5"/>
  <c r="D826" i="5"/>
  <c r="D825" i="5"/>
  <c r="D824" i="5"/>
  <c r="D823" i="5"/>
  <c r="D822" i="5"/>
  <c r="D821" i="5"/>
  <c r="D820" i="5"/>
  <c r="D819" i="5"/>
  <c r="D818" i="5"/>
  <c r="D817" i="5"/>
  <c r="D816" i="5"/>
  <c r="D815" i="5"/>
  <c r="D814" i="5"/>
  <c r="D813" i="5"/>
  <c r="D812" i="5"/>
  <c r="D811" i="5"/>
  <c r="D810" i="5"/>
  <c r="D809" i="5"/>
  <c r="D808" i="5"/>
  <c r="D807" i="5"/>
  <c r="D806" i="5"/>
  <c r="D805" i="5"/>
  <c r="D804" i="5"/>
  <c r="D803" i="5"/>
  <c r="D802" i="5"/>
  <c r="D801" i="5"/>
  <c r="D800" i="5"/>
  <c r="D799" i="5"/>
  <c r="D798" i="5"/>
  <c r="D797" i="5"/>
  <c r="D796" i="5"/>
  <c r="D795" i="5"/>
  <c r="D794" i="5"/>
  <c r="D793" i="5"/>
  <c r="D792" i="5"/>
  <c r="D791" i="5"/>
  <c r="D790" i="5"/>
  <c r="D789" i="5"/>
  <c r="D788" i="5"/>
  <c r="D787" i="5"/>
  <c r="D786" i="5"/>
  <c r="D785" i="5"/>
  <c r="D784" i="5"/>
  <c r="D783" i="5"/>
  <c r="D782" i="5"/>
  <c r="D781" i="5"/>
  <c r="D780" i="5"/>
  <c r="D779" i="5"/>
  <c r="D778" i="5"/>
  <c r="D777" i="5"/>
  <c r="D776" i="5"/>
  <c r="D775" i="5"/>
  <c r="D774" i="5"/>
  <c r="D773" i="5"/>
  <c r="D772" i="5"/>
  <c r="D771" i="5"/>
  <c r="D770" i="5"/>
  <c r="D769" i="5"/>
  <c r="D768" i="5"/>
  <c r="D767" i="5"/>
  <c r="D766" i="5"/>
  <c r="D765" i="5"/>
  <c r="D764" i="5"/>
  <c r="D763" i="5"/>
  <c r="D762" i="5"/>
  <c r="D761" i="5"/>
  <c r="D760" i="5"/>
  <c r="D759" i="5"/>
  <c r="D758" i="5"/>
  <c r="D757" i="5"/>
  <c r="D756" i="5"/>
  <c r="D755" i="5"/>
  <c r="D754" i="5"/>
  <c r="D753" i="5"/>
  <c r="D752" i="5"/>
  <c r="D751" i="5"/>
  <c r="D750" i="5"/>
  <c r="D749" i="5"/>
  <c r="D748" i="5"/>
  <c r="D747" i="5"/>
  <c r="D746" i="5"/>
  <c r="D745" i="5"/>
  <c r="D744" i="5"/>
  <c r="D743" i="5"/>
  <c r="D742" i="5"/>
  <c r="D741" i="5"/>
  <c r="D740" i="5"/>
  <c r="D739" i="5"/>
  <c r="D738" i="5"/>
  <c r="D737" i="5"/>
  <c r="D736" i="5"/>
  <c r="D735" i="5"/>
  <c r="D734" i="5"/>
  <c r="D733" i="5"/>
  <c r="D732" i="5"/>
  <c r="D731" i="5"/>
  <c r="D730" i="5"/>
  <c r="D729" i="5"/>
  <c r="D728" i="5"/>
  <c r="D727" i="5"/>
  <c r="D726" i="5"/>
  <c r="D725" i="5"/>
  <c r="D724" i="5"/>
  <c r="D723" i="5"/>
  <c r="D722" i="5"/>
  <c r="D721" i="5"/>
  <c r="D720" i="5"/>
  <c r="D719" i="5"/>
  <c r="D718" i="5"/>
  <c r="D717" i="5"/>
  <c r="D716" i="5"/>
  <c r="D715" i="5"/>
  <c r="D714" i="5"/>
  <c r="D713" i="5"/>
  <c r="D712" i="5"/>
  <c r="D711" i="5"/>
  <c r="D710" i="5"/>
  <c r="D709" i="5"/>
  <c r="D708" i="5"/>
  <c r="D707" i="5"/>
  <c r="D706" i="5"/>
  <c r="D705" i="5"/>
  <c r="D704" i="5"/>
  <c r="D703" i="5"/>
  <c r="D702" i="5"/>
  <c r="D701" i="5"/>
  <c r="D700" i="5"/>
  <c r="D699" i="5"/>
  <c r="D698" i="5"/>
  <c r="D697" i="5"/>
  <c r="D696" i="5"/>
  <c r="D695" i="5"/>
  <c r="D694" i="5"/>
  <c r="D693" i="5"/>
  <c r="D692" i="5"/>
  <c r="D691" i="5"/>
  <c r="D690" i="5"/>
  <c r="D689" i="5"/>
  <c r="D688" i="5"/>
  <c r="D687" i="5"/>
  <c r="D686" i="5"/>
  <c r="D685" i="5"/>
  <c r="D684" i="5"/>
  <c r="D683" i="5"/>
  <c r="D682" i="5"/>
  <c r="D681" i="5"/>
  <c r="D680" i="5"/>
  <c r="D679" i="5"/>
  <c r="D678" i="5"/>
  <c r="D677" i="5"/>
  <c r="D676" i="5"/>
  <c r="D675" i="5"/>
  <c r="D674" i="5"/>
  <c r="D673" i="5"/>
  <c r="D672" i="5"/>
  <c r="D671" i="5"/>
  <c r="D670" i="5"/>
  <c r="D669" i="5"/>
  <c r="D668" i="5"/>
  <c r="D667" i="5"/>
  <c r="D666" i="5"/>
  <c r="D665" i="5"/>
  <c r="D664" i="5"/>
  <c r="D663" i="5"/>
  <c r="D662" i="5"/>
  <c r="D661" i="5"/>
  <c r="D660" i="5"/>
  <c r="D659" i="5"/>
  <c r="D658" i="5"/>
  <c r="D657" i="5"/>
  <c r="D656" i="5"/>
  <c r="D655" i="5"/>
  <c r="D654" i="5"/>
  <c r="D653" i="5"/>
  <c r="D652" i="5"/>
  <c r="D651" i="5"/>
  <c r="D650" i="5"/>
  <c r="D649" i="5"/>
  <c r="D648" i="5"/>
  <c r="D647" i="5"/>
  <c r="D646" i="5"/>
  <c r="D645" i="5"/>
  <c r="D644" i="5"/>
  <c r="D643" i="5"/>
  <c r="D642" i="5"/>
  <c r="D641" i="5"/>
  <c r="D640" i="5"/>
  <c r="D639" i="5"/>
  <c r="D638" i="5"/>
  <c r="D637" i="5"/>
  <c r="D636" i="5"/>
  <c r="D635" i="5"/>
  <c r="D634" i="5"/>
  <c r="D633" i="5"/>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 r="D2" i="5"/>
  <c r="F3" i="5" l="1"/>
</calcChain>
</file>

<file path=xl/sharedStrings.xml><?xml version="1.0" encoding="utf-8"?>
<sst xmlns="http://schemas.openxmlformats.org/spreadsheetml/2006/main" count="3333" uniqueCount="1330">
  <si>
    <t>CÓDIGO</t>
  </si>
  <si>
    <t>DESCRIÇÃO</t>
  </si>
  <si>
    <t>LENCOL DESCARTAVEL 70 CM X 50 MT</t>
  </si>
  <si>
    <t>SACO PLASTICO P/ LIXO  CAP. 100 LITROS, COR PRETA - 75 X 105 CM X 0,14 MM OU 140 MICRAS DE ESPESSURA (0,07 MM POR PAREDE)</t>
  </si>
  <si>
    <t>PAPEL P/ REPROGRAFIA 210 X 297 MM - AMARELO GR 75GR</t>
  </si>
  <si>
    <t xml:space="preserve">LEITE EM PO INTEGRAL INSTANTANEO ENRIQUECIDO </t>
  </si>
  <si>
    <t>CANETA MARCA TEXTO - AMARELA</t>
  </si>
  <si>
    <t xml:space="preserve">MARGARINA VEGETAL COM SAL - LIPIDEOS TOTAIS: MINIMO 75% E MAXIMO 85% </t>
  </si>
  <si>
    <t>FITA ADESIVA CREPADA  - 19 MM X 50 M</t>
  </si>
  <si>
    <t>CAFE TORRADO E MOIDO - PT C/ 500 G - EMBALAGEM TIJOLINHO</t>
  </si>
  <si>
    <t>ACUCAR REFINADO AMORFO/MICROCRISTALINO PT C/ 1KG</t>
  </si>
  <si>
    <t>ACUCAR REFINADO AMORFO/MICROCRISTALINO - 5 KG</t>
  </si>
  <si>
    <t>EXTRATOR DE GRAMPOS - TIPO ESPATULA</t>
  </si>
  <si>
    <t>CLIPS 30 MM DE COMPRIMENTO - CX C/ 100 UN</t>
  </si>
  <si>
    <t>GRAMPO P/ PAPEL N°1 TIPO TRANCADO - CX COM 12 UNID</t>
  </si>
  <si>
    <t>PERFURADOR P/ PAPEL - 2 FUROS - MEDIO</t>
  </si>
  <si>
    <t>COLCHETE LATONADO N° 08 - CAIXA C/ 72 UNIDADES</t>
  </si>
  <si>
    <t>CANETA P/ RETROPROJETOR - PRETA, PONTA 2 MM</t>
  </si>
  <si>
    <t>CORRETIVO LIQUIDO A BASE DE AGUA - FR C/ 18 ML</t>
  </si>
  <si>
    <t>CANETA P/ RETROPROJETOR - VERMELHA, PONTA 2 MM</t>
  </si>
  <si>
    <t>PINCEL ATOMICO PONTA RETANGULAR, COR VERMELHA</t>
  </si>
  <si>
    <t>ENVELOPE PARDO TIPO SACO - 162 X 229MM - GRAMATURA MINIMA 80 G/M²</t>
  </si>
  <si>
    <t>CABO DE ACO GALVANIZADO DE 1/4"</t>
  </si>
  <si>
    <t>CABO DE ACO POLIDO COM ALMA DE ACO DE 5/16"</t>
  </si>
  <si>
    <t>ENVELOPE BRANCO - CARTA - 114 X 162 MM- GRAMATURA MINIMA 56 G/M²</t>
  </si>
  <si>
    <t>LIVRO P/ REGISTRO DE CORRESPONDENCIA - 100 FOLHAS - CAPA DURA - MED. 160 X 220 MM</t>
  </si>
  <si>
    <t>GRAMPO DE ACO DE 1/4" P/ CABO DE ACO</t>
  </si>
  <si>
    <t>ENVELOPE PARDO TIPO SACO 240 X 340MM- GRAMATURA MINIMA 80 G/M²</t>
  </si>
  <si>
    <t>ENVELOPE PARDO TIPO SACO 310  X 410 MM- GRAMATURA MINIMA 80 G/M²</t>
  </si>
  <si>
    <t>SABAO EM PEDRA C/ 200 GR - COMUM, A BASE DE GLICERINA,SAIS</t>
  </si>
  <si>
    <t>PAPEL P/ REPROGRAFIA - 210 X 297 MM - A4 - GRAMATURA 75</t>
  </si>
  <si>
    <t>CARTOLINA - BRANCA  - 50 X 66 CM - 180 G/M2</t>
  </si>
  <si>
    <t>CARTOLINA - AMARELA - 50 X 66 CM - 180 G/M2</t>
  </si>
  <si>
    <t>COPO PLASTICO DESCARTAVEL - 50 ML - PT C/ 100 UNID (CAFE)</t>
  </si>
  <si>
    <t>COPO PLASTICO DESCARTAVEL - 180 ML - PT C/ 100 UN (AGUA)</t>
  </si>
  <si>
    <t>FOSFORO P/ ACENDIMENTO, PEQUENO, PACOTE C/ 10 CX DE 40 UN C</t>
  </si>
  <si>
    <t>PANO P/ COPA ATOALHADO</t>
  </si>
  <si>
    <t>VASSOURA DE PELO DE 40 CM, COM CABO EM MADEIRA, MEDINDO NO MINIMO: 1,15 M DE COMPRIMENTO X 2,5 CM DE DIAMETRO</t>
  </si>
  <si>
    <t>LAVATINA DE NYLON P/ VASO SANITARIO (VASSOURINHA)</t>
  </si>
  <si>
    <t>AGUA SANITARIA - FRASCO C/ 1 L.</t>
  </si>
  <si>
    <t>SABONETE COMUM C/ 90G.</t>
  </si>
  <si>
    <t xml:space="preserve">SAPONACEO EM PO, 300G </t>
  </si>
  <si>
    <t>BUCHA DE FIBRA DE COCO - MEDIA - N° 03</t>
  </si>
  <si>
    <t>LA DE ACO - EMBALAGEM C/ 08 ESPONJAS.</t>
  </si>
  <si>
    <t>CAL HIDRATADA - SACO COM 20 KG</t>
  </si>
  <si>
    <t>AGUARRAZ MINERAL/VEGETAL - 900 ML</t>
  </si>
  <si>
    <t>BROXA RETANGULAR - 16,5 X 6 CM</t>
  </si>
  <si>
    <t>ADAPTADOR DE PVC RIGIDO SOLDAVEL C/ FLANGE SEXTAVADA FIXO P/ CAIXA D'AGUA - 32 MM X 1"</t>
  </si>
  <si>
    <t>CORANTE PARA COLORIR TINTA LATEX - VERDE - 50 ML</t>
  </si>
  <si>
    <t>CORANTE PARA COLORIR TINTA LATEX - AMARELO - 50 ML</t>
  </si>
  <si>
    <t>ADAPTADOR DE PVC RIGIDO SOLDAVEL C/ FLANGE SEXTAVADA FIXO - 50 MM X 1 1/2"</t>
  </si>
  <si>
    <t>ADAPTADOR DE PVC RIGIDO SOLDAVEL C/ FLANGE SEXTAVADA FIXO - 25 MM X 3/4"</t>
  </si>
  <si>
    <t>CORANTE PARA COLORIR TINTA LATEX - AZUL ESCURO - 50 ML</t>
  </si>
  <si>
    <t>ADAPTADOR DE PVC SOLDAVEL 1.1/2"</t>
  </si>
  <si>
    <t>CORANTE PARA COLORIR TINTA LATEX - PRETO - 50 ML</t>
  </si>
  <si>
    <t>ADAPTADOR DE PVC SOLDAVEL 3/4"</t>
  </si>
  <si>
    <t>CORANTE PARA COLORIR TINTA LATEX - VERMELHO - 50 ML</t>
  </si>
  <si>
    <t>ROLO DE ESPUMA PARA PINTURA - 4 CM</t>
  </si>
  <si>
    <t>PORTA CADEADO DE FERRO ZINCADO DE 1 1/2"</t>
  </si>
  <si>
    <t>TRINCHA PARA PINTURA - 1", COM CERDAS 100% NATURAIS</t>
  </si>
  <si>
    <t>TRINCHA PARA PINTURA - 2", COM CERDAS 100% NATURAIS</t>
  </si>
  <si>
    <t>TRINCHA PARA PINTURA - 3", COM CERDAS 100% NATURAIS</t>
  </si>
  <si>
    <t>COTOVELO DE REDUCAO EM PVC SOLDAVEL DE 1" X 3/4"</t>
  </si>
  <si>
    <t>TINTA LATEX PVA BRANCO, LATA COM 18 LITROS</t>
  </si>
  <si>
    <t>COTOVELO 90° GRAUS EM PVC RIGIDO SOLDAVEL DE 2" (ESGOTO)</t>
  </si>
  <si>
    <t>COTOVELO 90 GRAUS EM PVC RIGIDO SOLDAVEL DE 4" (ESGOTO)</t>
  </si>
  <si>
    <t>COTOVELO 90 GRAUS EM PVC RIGIDO SOLDAVEL - 1.1/2"</t>
  </si>
  <si>
    <t>COTOVELO 90 GRAUS EM PVC RIGIDO SOLDAVEL DE 20 MM (1/2")</t>
  </si>
  <si>
    <t>COTOVELO 90 GRAUS EM PVC RIGIDO SOLDAVEL DE 32 MM (1")</t>
  </si>
  <si>
    <t>COTOVELO 90 GRAUS EM PVC RIGIDO SOLDAVEL DE 3/4"</t>
  </si>
  <si>
    <t>LUVA DE REDUCAO EM PVC RIGIDO SOLDAVEL DE 32 X 25 MM - 1" X</t>
  </si>
  <si>
    <t>DISJUNTOR TERMOMAGNETICO BIPOLAR UL 40A X 110 / 220V</t>
  </si>
  <si>
    <t>DISJUNTOR TERMOMAGNETICO BIPOLAR UL 50A X 110 / 220V</t>
  </si>
  <si>
    <t>LUVA DE REDUCAO EM PVC RIGIDO SOLDAVEL DE 3/4" X 1/2"</t>
  </si>
  <si>
    <t>LUVA DE PVC RIGIDO SOLDAVEL DE 2"</t>
  </si>
  <si>
    <t>LUVA DE PVC RIGIDO SOLDAVEL DE 1.1/2"</t>
  </si>
  <si>
    <t>LUVA DE PVC RIGIDO SOLDAVEL DE 1/2"</t>
  </si>
  <si>
    <t>LUVA DE PVC RIGIDO SOLDAVEL DE 3/4"</t>
  </si>
  <si>
    <t>NIPLE DUPLO EM PVC RIGIDO ROSQUEAVEL DE 1"</t>
  </si>
  <si>
    <t>NIPLE DUPLO EM PVC RIGIDO ROSQUEAVEL DE 3/4 (25 MM)</t>
  </si>
  <si>
    <t>CAIXA DE PASSAGEM RETANGULAR 2 X 4 - EM PVC</t>
  </si>
  <si>
    <t>INTERRUPTOR 10A X 250V INTERNO C/ 02 TECLAS C/ PLACA</t>
  </si>
  <si>
    <t>INTERRUPTOR 10A X 250V INTERNO DE 03 TECLAS C/ PLACA</t>
  </si>
  <si>
    <t>ELETRODUTO FLEXIVEL CORRUGADO DE 1/2" - COR AMARELA</t>
  </si>
  <si>
    <t>ELETRODUTO FLEXIVEL CORRUGADO DE 3/4" - COR AMARELA</t>
  </si>
  <si>
    <t>LUMINARIA FECHADA TIPO CALHA P/ LAMPADA FLUORESCENTE 1 X 40</t>
  </si>
  <si>
    <t>CABO DE COBRE ISOLACAO PVS 750V C/ COBERTURA DE PVC 2 X</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</si>
  <si>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</si>
  <si>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</si>
  <si>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</si>
  <si>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</si>
  <si>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</si>
  <si>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COLA P/ TUBO PVC - BISNAGA C/ 75 GR</t>
  </si>
  <si>
    <t>FITA DE TEFLON P/ VEDACAO HIDRAULICA (VEDA ROSCA) - 18 MM X</t>
  </si>
  <si>
    <t>LIXA D'AGUA EM FOLHA 225 X 275 MM GRAO 150</t>
  </si>
  <si>
    <t>TE DE REDUCAO PVC RIGIDO SOLDAVEL 1.1/2 X 3/4"</t>
  </si>
  <si>
    <t>BOLSA EM POLIETILENO FLEXIVEL DIAM. 1.1/2" P/ BACIA SANITAR</t>
  </si>
  <si>
    <t>TE EM PVC RIGIDO SOLDAVEL 3/4"</t>
  </si>
  <si>
    <t>PREGO GALV. C/ CABECA P/ FIXACAO DE TELHA DE CIMENTO AMIANT</t>
  </si>
  <si>
    <t>PREGO COMUM S/ CABECA - 15 X 21</t>
  </si>
  <si>
    <t>TE DE PVC RIGIDO SOLDAVEL 1/2"</t>
  </si>
  <si>
    <t>LIXA D'AGUA EM FOLHA 225 X 275 MM GRAO 220</t>
  </si>
  <si>
    <t>LIXA D'AGUA EM FOLHA 225 X 275 MM GRAO 320</t>
  </si>
  <si>
    <t>ETIQUETA ADESIVA - 36 X 102 MM - FOLHA C/ 24 UNIDADES - TIPO FORMULARIO CONTINUO</t>
  </si>
  <si>
    <t>CAIXA SIFONADA REDONDA EM PVC RIGIDO DE 100 X 100 X 50 MM - 4" X 4"X 2"</t>
  </si>
  <si>
    <t>TARJETA CROMADA 3"</t>
  </si>
  <si>
    <t>TE DE PVC SOLDAVEL - 1.1/2"</t>
  </si>
  <si>
    <t>LAVATORIO LOUCA SIMPLES S/ COLUNA PADRAO POPULAR NA COR</t>
  </si>
  <si>
    <t>TE DE REDUCAO EM PVC RIGIDO SOLDAVEL 3/4" X 1/2"</t>
  </si>
  <si>
    <t>LIXA P/ FERRO E METAIS EM FOLHA DE 225 X 275 MM N° 36</t>
  </si>
  <si>
    <t>TE DE REDUCAO EM PVC RIGIDO SOLDAVEL 1" X 3/4"</t>
  </si>
  <si>
    <t>LIXA P/ FERRO E METAIS EM FOLHA DE 225 X 275 MM N° 60</t>
  </si>
  <si>
    <t>REGISTRO DE PRESSAO 3/4" SEM CANOPLA</t>
  </si>
  <si>
    <t>REGISTRO DE PRESSAO 3/4" COM CANOPLA</t>
  </si>
  <si>
    <t>REGISTRO DE GAVETA EM LIGA DE COBRE DE 3/4" S/ CANOPLA</t>
  </si>
  <si>
    <t>REGISTRO DE GAVETA EM LIGA DE COBRE DE 1/2" SEM CANOPLA</t>
  </si>
  <si>
    <t>REGISTRO DE GAVETA EM LIGA DE COBRE DE 2" SEM CANOPLA</t>
  </si>
  <si>
    <t>TORNEIRA BOIA P/ CAIXA D'AGUA C/ CORPO PLASTICO DE 1"</t>
  </si>
  <si>
    <t>TORNEIRA DE PRESSAO EM LATAO CROMADO 1/2" P/ LAVATORIO</t>
  </si>
  <si>
    <t>TORNEIRA DE PRESSAO EM LATAO CROMADO 1/2" X 18 CM - P/ PIA - SEM ADAPTADOR</t>
  </si>
  <si>
    <t>TORNEIRA DE PRESSAO EM LATAO NATURAL CURTA 3/4"P/ TANQUE E</t>
  </si>
  <si>
    <t>BUCHA DE FIXACAO - N° 06 DE PLASTICO</t>
  </si>
  <si>
    <t>BUCHA DE FIXACAO N° 8 DE PLASTICO</t>
  </si>
  <si>
    <t>CADEADO DE LATAO - 30 MM</t>
  </si>
  <si>
    <t>CADEADO DE LATAO - 50 MM</t>
  </si>
  <si>
    <t>COLA P/ MADEIRA - 1 LITRO</t>
  </si>
  <si>
    <t>VASO SANITARIO SIFONADO CONVENCIONAL DE LOUÇA PADRAO POPULAR NA COR BRANCA</t>
  </si>
  <si>
    <t>DOBRADICA DE FERRO POLIDO 1.1/2"</t>
  </si>
  <si>
    <t>DOBRADICA DE FERRO POLIDO 2.1/2"</t>
  </si>
  <si>
    <t>DOBRADICA DE FERRO POLIDO 3.1/2"</t>
  </si>
  <si>
    <t>LIXA D'AGUA EM FOLHA 225 X 275 MM GRAO 100</t>
  </si>
  <si>
    <t>PARAFUSO GALVANIZADO P/ FIXACAO DE TELHAS MODULADAS - 5/16 X 110 MM</t>
  </si>
  <si>
    <t>PARAFUSO GALVANIZADO P/ FIXACAO DE TELHAS MODULADAS - 8 X 1</t>
  </si>
  <si>
    <t>TRINCO FECHO CHATO 4"</t>
  </si>
  <si>
    <t>TE DE PVC RIGIDO SOLDAVEL P/ ESGOTO DE 2"</t>
  </si>
  <si>
    <t>TE DE PVC RIGIDO SOLDAVEL P/ ESGOTO DE 4"</t>
  </si>
  <si>
    <t>APAGADOR PARA QUADRO BRANCO - NAO MAGNETICO</t>
  </si>
  <si>
    <t>TUBO DE FERRO GALVANIZADO 4" BR C/ 6 M</t>
  </si>
  <si>
    <t xml:space="preserve">TUBO DE PVC RIGIDO SOLDAVEL 2" X 06 M (P/ESGOTO) </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</si>
  <si>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</si>
  <si>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</si>
  <si>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</si>
  <si>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</si>
  <si>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</si>
  <si>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</si>
  <si>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</si>
  <si>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LIMPADOR GERAL DE MULTIPLO USO - LIMPEZA INSTANTANEA</t>
  </si>
  <si>
    <t>BALDE PLASTICO - 20 L.</t>
  </si>
  <si>
    <t>CESTO DE PLASTICO P/ LIXO, 6 LITROS - FECHADO</t>
  </si>
  <si>
    <t>MASSA CORRIDA PVA - LATA C/ 18 LITROS</t>
  </si>
  <si>
    <t>ABRACADEIRA GALVANIZADA TIPO U DE 1"</t>
  </si>
  <si>
    <t>ABRACADEIRA GALVANIZADA TIPO U DE 1/2"</t>
  </si>
  <si>
    <t>ABRACADEIRA GALVANIZADA TIPO U DE 3/4"</t>
  </si>
  <si>
    <t>ABRACADEIRA GALVANIZADA TIPO D DE 3/4"</t>
  </si>
  <si>
    <t>ABRACADEIRA REGULAVEL ROSCA SEM FIM DE 3/4"</t>
  </si>
  <si>
    <t>PREGO COMUM DE CABECA CHATA - 19 X 36</t>
  </si>
  <si>
    <t>PORTA CADEADO DE FERRO ZINCADO DE 3 1/2"</t>
  </si>
  <si>
    <t>SACO PLASTICO P/ LIXO - 50 L - 63 X 80 CM X 0,12 MM OU 120 MICRAS DE ESPESSURA (0,06 MM POR PAREDE)</t>
  </si>
  <si>
    <t>ESPONJA DE NYLON DUPLA FACE, LISO E ABRASIVA - MED: 110 X 75 X 20 MM</t>
  </si>
  <si>
    <t>SABAO DE COCO, PEDACO C/ 200 GR</t>
  </si>
  <si>
    <t>CIMENTO COMUM CPII-32 - SACO C/ 50KG - O MATERIAL DEVERA SER ENTREGUE EM LOTE PALETIZADO PROTEGIDO COM FILME PLASTICO.</t>
  </si>
  <si>
    <t>TINTA ACRILICA P/ DEMARCACAO DE SOLO - BALDE C/ 18 L - PRETA - PADRAO DER 3.09</t>
  </si>
  <si>
    <t>FITA ISOLANTE 19 MM X 10 M DE AUTO FUSAO (ALTA TENSAO) -</t>
  </si>
  <si>
    <t>CURVA 90 GRAUS DE ACO CARBONO GALVANIZADO P/ ELETRODUTO</t>
  </si>
  <si>
    <t>SOQUETE DE PORCELANA E-27 P/ LAMPADA INCANDESCENTE</t>
  </si>
  <si>
    <t>ELETRODUTO FLEXIVEL CORRUGADO DE 1.1/2"</t>
  </si>
  <si>
    <t>ELETRODUTO FLEXIVEL CORRUGADO DE 2"</t>
  </si>
  <si>
    <t>SOQUETE DE BAQUELITE EXTERNO C/ RABICHO E PROTETOR DE BOR</t>
  </si>
  <si>
    <t>FITA ISOLANTE 19 MM X 20 M</t>
  </si>
  <si>
    <t>TAMPO E ASSENTO P/ VASO SANITARIO ( INFANTIL )</t>
  </si>
  <si>
    <t>ENGATE DE PVC BRANCO FLEXIVEL DE 1/2"- COMP. 40 CM P/</t>
  </si>
  <si>
    <t>RALO SIFONADO EM PVC DE 100 X 40 MM (1 1/2")</t>
  </si>
  <si>
    <t>REPARO P/ VALVULA DE DESCARGA 1 1/2" (MARCA DOCOL)</t>
  </si>
  <si>
    <t>PINO P/ TORNEIRA - 1/2"</t>
  </si>
  <si>
    <t>TUBO DE PVC RIGIDO SOLDAVEL DE 20 MM - 1/2" - BARRA COM 6 METROS</t>
  </si>
  <si>
    <t>LUMINARIA FECHADA TIPO CALHA P/ LAMPADA FLUORESCENTE 2 X 40</t>
  </si>
  <si>
    <t>CONECTOR TIPO SPLIT BOLT-SIMPLES/SIMPLES P/ 2 CABOS DE COBRE DE 10MM2</t>
  </si>
  <si>
    <t>CONECTOR A PRESSAO TIPO SPLIT BOLT-SIMPLES/SIMPLES P/ 2</t>
  </si>
  <si>
    <t>CONECTOR TIPO SPLIT BOLT-SIMPLES/SIMPLES P/ 2 CABOS DE COBRE DE 16MM2</t>
  </si>
  <si>
    <t>INTERRUPTOR 10A X 250V INTERNO C/PLACA-  01 TECLA</t>
  </si>
  <si>
    <t>FECHADURA DE EMBUTIR C/ TAMBOR - EXTERNA</t>
  </si>
  <si>
    <t>FECHADURA DE EMBUTIR S/ TAMBOR - INTERNA</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</si>
  <si>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</si>
  <si>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</si>
  <si>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</si>
  <si>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</si>
  <si>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</si>
  <si>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</si>
  <si>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</si>
  <si>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TERMINAL A PRESSAO REFORCADO P/ 1 CABO DE COBRE 50MM2 C/ 1</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</si>
  <si>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</si>
  <si>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</si>
  <si>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</si>
  <si>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</si>
  <si>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</si>
  <si>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</si>
  <si>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COTOVELO 45 GRAUS EM PVC RIGIDO SOLDAVEL 2"</t>
  </si>
  <si>
    <t>TIJOLO COMUM DE BARRO MEDINDO 20 X 9 X 4 CM</t>
  </si>
  <si>
    <t>TINTA ESMALTE SINTETICO BRILHANTE - AMARELO OURO - GALAO COM 3.600 ML</t>
  </si>
  <si>
    <t>TINTA ESMALTE SINTETICO BRILHANTE PRETO, GL COM 3.600 ML</t>
  </si>
  <si>
    <t>TINTA ESMALTE SINTETICO BRILHANTE VERMELHO - GL C/ 3.600 ML</t>
  </si>
  <si>
    <t>TINTA ESMALTE SINTETICO BRILHANTE - AZUL DEL REY - GALAO C/ 3.600 ML</t>
  </si>
  <si>
    <t>ADESIVO P/ CHAPISCO, CONCRETO E ARGAMASSA - BALDE C/18 LITROS</t>
  </si>
  <si>
    <t>CHAPA DE MADEIRA COMPENSADA DE VIROLA - MEDIDAS: 2,20 M X 1,60 M X 6 MM</t>
  </si>
  <si>
    <t>CHAPA DE MADEIRA RESINADA C/ 2,20 X 1,10 M ESP. 10,0 MM</t>
  </si>
  <si>
    <t>CHAPA DE MADEIRA RESINADA C/ 2,20 X 1,10 M ESP. 15,0 MM</t>
  </si>
  <si>
    <t>FRIGIDEIRA DE ALUMINIO, C/ REVESTIMENTO ANTI-ADERENTE, 26CM, C/ TAMPA</t>
  </si>
  <si>
    <t>GIZ DE CORES DIVERSAS, ANTIALERGICO, CAIXA COM 50 UNIDADES</t>
  </si>
  <si>
    <t>GARRAFA TERMICA - 1 LITRO, TAMPA EM FORMATO DE ROSCA</t>
  </si>
  <si>
    <t>GARRAFA TERMICA - 5 LITROS</t>
  </si>
  <si>
    <t>INSETICIDA AEROSOL A BASE DE AGUA FR C/ 300 ML</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</si>
  <si>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</si>
  <si>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</si>
  <si>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</si>
  <si>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</si>
  <si>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</si>
  <si>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</si>
  <si>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</si>
  <si>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</si>
  <si>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</si>
  <si>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</si>
  <si>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</si>
  <si>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</si>
  <si>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</si>
  <si>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PLUG EM PVC RIGIDO ROSCAVEL DE 3/4"</t>
  </si>
  <si>
    <t>PLUG EM PVC RIGIDO ROSCAVEL DE 1/2"</t>
  </si>
  <si>
    <t>CHALEIRA DE ALUMINIO - 3 LITROS</t>
  </si>
  <si>
    <t>COLHER DE INOX P/ SOPA</t>
  </si>
  <si>
    <t>CONCHA DE ALUMINIO - DIAMETRO 10 CM</t>
  </si>
  <si>
    <t>ASSADEIRA DE ALUMINIO - MED. APROX. 41 X 29 X 5 CM</t>
  </si>
  <si>
    <t>GUARDANAPO DE PAPEL 23 X 22 CM</t>
  </si>
  <si>
    <t>ELASTICO - EMBALAGEM COM 100GR</t>
  </si>
  <si>
    <t>GRAMPO TRILHO P/ PASTA 80 MM</t>
  </si>
  <si>
    <t>GRAMPO 26/6 P/ GRAMPEADOR CX C/ 5000 UNIDADES</t>
  </si>
  <si>
    <t>PAPEL MONOLUCIDO - 120 G/M2 660 X 960 MM  - PACOTE C/ 250</t>
  </si>
  <si>
    <t>PAPEL CELOFANE - 90 X 100 CM - AMARELO</t>
  </si>
  <si>
    <t>PAPEL CELOFANE - 90 X 100 CM - VERDE</t>
  </si>
  <si>
    <t>PAPEL CELOFANE - 90 X 100 CM - VERMELHO</t>
  </si>
  <si>
    <t>CAIXA SIFONADA REDONDA EM PVC RIGIDO DE 100 X 150 X 50 MM (4" X 6" X 2")</t>
  </si>
  <si>
    <t>CAIXA DE DESCARGA COM CORPO PLASTICO (ACOMPANHA ENGATE E</t>
  </si>
  <si>
    <t>PAPEL ESPELHO - 65 X 50 CM - ROSA</t>
  </si>
  <si>
    <t>DISCO DE DESBASTE 7" X 1/4" X 7/8"</t>
  </si>
  <si>
    <t>LIXA CINTA DE PANO P/ MADEIRA - 6,00 M X 15 CM - GRAO 60</t>
  </si>
  <si>
    <t>LIXA D'AGUA EM FOLHA 225 X 275 MM GRAO 120</t>
  </si>
  <si>
    <t>LIXA D'AGUA EM FOLHA 225 X 275 MM GRAO 180</t>
  </si>
  <si>
    <t>PREGO COMUM S/ CABECA - 13 X 15</t>
  </si>
  <si>
    <t>LIXA P/ FERRO E METAIS EM FOLHA DE 225 X 275 MM - N.º 220</t>
  </si>
  <si>
    <t>LIXA P/ FERRO E METAIS EM FOLHA DE 200 X 275 MM - Nº 120</t>
  </si>
  <si>
    <t>CADEADO DE LATAO - 40 MM</t>
  </si>
  <si>
    <t>WIDIA PARA CORTAR PISOS E AZULEJOS</t>
  </si>
  <si>
    <t>PREGO COMUM DE CABECA CHATA - 13 X 15</t>
  </si>
  <si>
    <t>PREGO COMUM DE CABECA CHATA - 15 X 15</t>
  </si>
  <si>
    <t>PREGO COMUM DE CABECA CHATA - 16 X 21</t>
  </si>
  <si>
    <t>PREGO COMUM DE CABECA CHATA - 17 X 21</t>
  </si>
  <si>
    <t>PREGO COMUM DE CABECA CHATA - 18 X 27</t>
  </si>
  <si>
    <t>PREGO COMUM DE CABECA CHATA - 18 X 30</t>
  </si>
  <si>
    <t>PROTETOR DE CABELO TIPO REDE EM NYLON PRETA</t>
  </si>
  <si>
    <t>BROCA DE WIDIA 1/4"</t>
  </si>
  <si>
    <t>BROCA DE WIDIA 1/8"</t>
  </si>
  <si>
    <t>BROCA DE WIDIA 3/16"</t>
  </si>
  <si>
    <t>BROCA DE WIDIA 3/8"</t>
  </si>
  <si>
    <t>BROCA DE WIDIA 5/16"</t>
  </si>
  <si>
    <t>BROCA DE WIDIA 5/32"</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</si>
  <si>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</si>
  <si>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</si>
  <si>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</si>
  <si>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</si>
  <si>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</si>
  <si>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</si>
  <si>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</si>
  <si>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</si>
  <si>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BROCA DE ACO RAPIDO HELICOIDAL DE 1/4" C/ HASTE CILINDRICA</t>
  </si>
  <si>
    <t>LONA PLASTICA - 4 X 100M - PRETA</t>
  </si>
  <si>
    <t>COPO DE VIDRO AMERICANO - 200 ML</t>
  </si>
  <si>
    <t>PREGO COMUM DE CABECA CHATA - 22 X 48</t>
  </si>
  <si>
    <t>PREGO COMUM S/ CABECA - 10 X 10</t>
  </si>
  <si>
    <t>PREGO COMUM S/ CABECA - 12 X 12</t>
  </si>
  <si>
    <t>REBITE DE REPUCHO EM ALUMINIO C/ MANDRIL DE ACO 4 X 12 MM</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</si>
  <si>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</si>
  <si>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</si>
  <si>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</si>
  <si>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</si>
  <si>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</si>
  <si>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</si>
  <si>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ENVELOPE BRANCO - OFICIO - 114 X 229 MM- GRAMATURA MINIMA 63 G/M²</t>
  </si>
  <si>
    <t>TARJETA CROMADA 2"</t>
  </si>
  <si>
    <t>CONJUNTO DE VEDACAO PLASTICA P/ TELHA 6 MM</t>
  </si>
  <si>
    <t>CARTOLINA - AZUL CLARO - 50 X 66 CM - 180 G/M2</t>
  </si>
  <si>
    <t>CARTOLINA - ROSA - 50 X 66 CM - 180 G/M2</t>
  </si>
  <si>
    <t>SOLVENTE P/ TINTA DE DEMARCACAO VIARIA -BALDE C/ 18 LITROS - TIPO DER 3.09</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</si>
  <si>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</si>
  <si>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</si>
  <si>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</si>
  <si>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</si>
  <si>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</si>
  <si>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PRETO</t>
  </si>
  <si>
    <t>PAPEL CREPOM - RL C/ 48 X 200 CM - ROSA</t>
  </si>
  <si>
    <t>PAPEL CREPOM - RL C/ 48 X 200 CM - VERMELHO</t>
  </si>
  <si>
    <t>ROLO DE LA DE CARNEIRO P/ PINTURA - 9 CM C/ CABO</t>
  </si>
  <si>
    <t>ROLO DE LA DE CARNEIRO P/ PINTURA - 23 CM C/ CABO</t>
  </si>
  <si>
    <t>CAPACHO DE FIBRA DE COCO - 0,40 X 0,60 M</t>
  </si>
  <si>
    <t>BLOCO DE CONCRETO - 15 X 20 X 40 CM</t>
  </si>
  <si>
    <t>PAPEL CREPOM - RL C/ 48 X 200 CM - AZUL ESCURO</t>
  </si>
  <si>
    <t>PAPEL CREPOM - RL C/ 48 X 200 CM - VERDE ESCURO</t>
  </si>
  <si>
    <t>CANOPLA COMPLETA P/ VALVULA DE DESCARGA</t>
  </si>
  <si>
    <t>GARFO P/ COZINHA - 2 DENTES - GRANDE</t>
  </si>
  <si>
    <t>LIXA CINTA DE PANO P/ MADEIRA - MEDIDAS: 610 X 75 MM GRAMAT</t>
  </si>
  <si>
    <t>PREGO COMUM DE CABECA CHATA - 10 X 10</t>
  </si>
  <si>
    <t>PREGO COMUM DE CABECA CHATA - 08 X 08</t>
  </si>
  <si>
    <t>PREGO COMUM S/ CABECA - 13 X 18</t>
  </si>
  <si>
    <t>COLHER EM ACO INOX P/ ARROZ- GRANDE</t>
  </si>
  <si>
    <t>COTOVELO EM PVC AZUL-COLA E ROSCA DE 3/4"</t>
  </si>
  <si>
    <t>ABRACADEIRA GALVANIZADA TIPO D DE 1/2"</t>
  </si>
  <si>
    <t>PAPEL LAMINADO - 50 X 60 CM - DOURADO - AS MEDIDAS PODERAO VARIAR +/- 5 CM</t>
  </si>
  <si>
    <t>REGISTRO DE GAVETA EM LIGA DE COBRE DE 3/4" C/ CANOPLA</t>
  </si>
  <si>
    <t>REGISTRO DE GAVETA EM LIGA DE COBRE DE 1.1/2" C/ CANOPLA</t>
  </si>
  <si>
    <t>CHAPA DE MADEIRA COMPENSADA NAVAL C/ 2,20 X 1,60 M ESP.</t>
  </si>
  <si>
    <t>CAIXILHO DE FERRO PERFILADO - DE CORRER - 1,20 X 2,00 M</t>
  </si>
  <si>
    <t>CAIXILHO DE FERRO PERFILADO BASCULANTE - MEDIDAS: 1,00 X 1,</t>
  </si>
  <si>
    <t>ENCOSTO EM MADEIRA COMPENSADA MULTILAMINADA, C/ FRENTE E</t>
  </si>
  <si>
    <t>ENCOSTO EM MADEIRA  EM LAMINADO MELAMINICO 10MM LISO 30 X 16CM - VERDE CLARO</t>
  </si>
  <si>
    <t>ASSENTO EM MADEIRA  REVESTIDO C/ LAMINADO MELAMINICO 10 MM</t>
  </si>
  <si>
    <t>ASSENTO EM MADEIRA  REVESTIDO C/ LAMINADO MELAMINICO 10MM</t>
  </si>
  <si>
    <t>TOUCA DE PROTECAO PARA CABELOS, TIPO COZINHEIRA, EM MATERIAL DESCARTAVEL (TNT) SANFONADA</t>
  </si>
  <si>
    <t>PAPEL LAMINADO - 50 X 60 CM - VERDE</t>
  </si>
  <si>
    <t>PAPEL LAMINADO - 50 X 60 CM - AZUL</t>
  </si>
  <si>
    <t>PAPEL LAMINADO - 50 X 60 CM - VERMELHO</t>
  </si>
  <si>
    <t>PAPEL LAMINADO - 50 X 60 CM - PRATA</t>
  </si>
  <si>
    <t>FERRO CHATO 1 X 1/ 8" BARRA C/ 06 METROS</t>
  </si>
  <si>
    <t>GESSO ESTUQUE, EMBALAGEM C/ 01 KG</t>
  </si>
  <si>
    <t>PRIMER ANTICORROSIVO, SECAGEM RAPIDA, COR CINZA, GL C/ 3,6ML</t>
  </si>
  <si>
    <t>REGISTRO DE GAVETA EM LIGA DE COBRE DE 1.1/4 - S/ CANOPLA</t>
  </si>
  <si>
    <t>REGISTRO DE GAVETA EM LIGA DE COBRE DE 1.1/2"- S/ CANOPLA</t>
  </si>
  <si>
    <t>TUBO DE PVC RIGIDO SOLDAVEL DE 40 MM - 1.1/2" X 06 M</t>
  </si>
  <si>
    <t>TUBO DE POLIETILENO DE 1" - (PONTA VERMELHA)</t>
  </si>
  <si>
    <t>PREGO COMUM S/ CABECA - 14 X 21</t>
  </si>
  <si>
    <t>TRAVA DE SEGURANCA, CHAVE TETRA, P/ PORTAS</t>
  </si>
  <si>
    <t>ADAPTADOR DE PVC RIGIDO DE 2" SOLDAVEL</t>
  </si>
  <si>
    <t>ADAPTADOR EM PVC RIGIDO SOLDAVEL DE 1"</t>
  </si>
  <si>
    <t>UNIAO PVC COLA DE 1.1/2"</t>
  </si>
  <si>
    <t>UNIAO PVC COLA DE 1.1/4"</t>
  </si>
  <si>
    <t>UNIAO PVC COLA DE 1"</t>
  </si>
  <si>
    <t>TUBO DE POLIETILENO DE 3/4" -  (PONTA VERMELHA)</t>
  </si>
  <si>
    <t>ABRACADEIRA REGULAVEL ROSCA SEM FIM DE 1"</t>
  </si>
  <si>
    <t>ABRACADEIRA REGULAVEL ROSCA SEM FIM DE 1/2"</t>
  </si>
  <si>
    <t>DISCO DE CORTE 10" X 1/8" X 5/8" (254 X 3,2 X 15,8 MM - DIA</t>
  </si>
  <si>
    <t>BUCHA DE FIXACAO N° 10 - DE NYLON</t>
  </si>
  <si>
    <t>BUCHA DE FIXACAO N° 12 - DE NYLON</t>
  </si>
  <si>
    <t>ESTOPA BRANCA - PACOTE C/ 500 GR, NA EMBALAGEM DEVERA CONTER MARCA DO FABRICANTE</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</si>
  <si>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</si>
  <si>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</si>
  <si>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</si>
  <si>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</si>
  <si>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</si>
  <si>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</si>
  <si>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</si>
  <si>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TESOURA EM ACO INOXIDAVEL, COM CABO EM POLIPROPILENO, 18 CM (VARIAÇÃO +/- 3 CM)</t>
  </si>
  <si>
    <t>PAPEL CAMURCA - 60 X 40 CM - BRANCO</t>
  </si>
  <si>
    <t>PAPEL CAMURCA - 60 X 40 CM - PRETO</t>
  </si>
  <si>
    <t>PAPEL CAMURCA - 60 X 40 CM - ABOBORA</t>
  </si>
  <si>
    <t>PAPEL CAMURCA - 60 X 40 CM - VERMELHO</t>
  </si>
  <si>
    <t>PAPEL CAMURCA - 60 X 40 CM - MARROM</t>
  </si>
  <si>
    <t>PAPEL CAMURCA - 60 X 40 - ROSA - AS MEDIDAS PODERAO VARIAR +/- 5 CM</t>
  </si>
  <si>
    <t>PAPEL CARTAO - 50 X 70 CM - AZUL ESCURO (MEDIDAS PODERAO VARIAR +/- 5CM)</t>
  </si>
  <si>
    <t>TINTA P/ PISO - VERDE ESCURO - LT C/ 18 L</t>
  </si>
  <si>
    <t>VALVULA P/ PIA AMERICANA EM PVC CROMADO - 1.1/2"</t>
  </si>
  <si>
    <t>DESENTUPIDOR DE BACIA SANITARIA, CABO LONGO</t>
  </si>
  <si>
    <t>CABO FLEXIVEL - 2,5 MM2 - PRETO</t>
  </si>
  <si>
    <t>LEITEIRA DE ALUMINIO 3 L  - C/ TAMPA</t>
  </si>
  <si>
    <t>LEITEIRA DE ALUMINIO 5 L - C/ TAMPA</t>
  </si>
  <si>
    <t>HASTE DE ATERRAMENTO DE COBRE - 5/8" X 3,00 METROS</t>
  </si>
  <si>
    <t>LUVA EM ACO CARBONO GALVANIZADO P/ ELETRODUTO 2" - ROSQUEAV</t>
  </si>
  <si>
    <t>TINTA P/ PISO - PRETO - GL C/3.600 ML</t>
  </si>
  <si>
    <t>ARAME FARPADO DE ACO GALVANIZADO A FOGO CORDOALHA 1,60 MM</t>
  </si>
  <si>
    <t>PREGO COMUM S/ CABECA - 8 X 8</t>
  </si>
  <si>
    <t>PREGO COMUM S/ CABECA - 16 X 21</t>
  </si>
  <si>
    <t>PREGO COMUM S/ CABECA - 17 X 21</t>
  </si>
  <si>
    <t>PAPEL CELOFANE - 90 X 100 CM - AZUL</t>
  </si>
  <si>
    <t>PAPEL CARTAO - 50 X 70 CM - VERDE ESCURO (MEDIDAS PODERAO VARIAR +/- 5CM)</t>
  </si>
  <si>
    <t>ARAME DE ACO CARBONO GALVANIZADO - BWG N° 10 (3,40 MM)</t>
  </si>
  <si>
    <t>ARAME DE ACO CARBONO RECOZIDO (LISO) - BWG N° 18 (1,24 MM)</t>
  </si>
  <si>
    <t>CAIXILHO DE FERRO PERFILADO DE CORRER, S/ GRADE - MEDIDAS:</t>
  </si>
  <si>
    <t>BLOCO DE CONCRETO - 10 X 20 X 40 CM</t>
  </si>
  <si>
    <t>REGISTRO DE GAVETA EM LIGA DE COBRE - 1" - S/ CANOPLA</t>
  </si>
  <si>
    <t xml:space="preserve">LUVA DE PVC, 1", RIGIDO SOLDAVEL </t>
  </si>
  <si>
    <t>FILTRO DE LUZ RETANGULAR P/ MASCARA DE PROTECAO, TONALIDADE</t>
  </si>
  <si>
    <t>CANTONEIRA EM ALUMINIO - 10 MM DE VAO - BR C/ 3 METROS  (P/</t>
  </si>
  <si>
    <t>LUVA DE RASPA  - CANO MEDIO</t>
  </si>
  <si>
    <t>PERNEIRA DE RASPA DE COURO   ****** USAR O CODIGO 93346 ******</t>
  </si>
  <si>
    <t>LIXA DE PAPEL P/ MADEIRA EM FOLHA DE 225 X 275 MM - N°100</t>
  </si>
  <si>
    <t>LIXA DE PAPEL P/ MADEIRA EM FOLHA DE 225 X 275 MM - N° 80</t>
  </si>
  <si>
    <t>LIXA DE PAPEL P/ MADEIRA EM FOLHA DE 225 X 275 MM - N° 120</t>
  </si>
  <si>
    <t>TINTA P/ PISO - VERMELHO - LT C/ 18 L</t>
  </si>
  <si>
    <t>PREGO DE ACO C/ CABECA - 15 X 15</t>
  </si>
  <si>
    <t>CORDAO DE COBRE PARALELO ISOLACAO 300 V - 2 X 1,5 MM2  - ROLO COM 100 METROS</t>
  </si>
  <si>
    <t>CHAPA DE MADEIRA ISOLANTE C/ 12 MM DE ESPESS - MED: 1,22 X 2,44 M</t>
  </si>
  <si>
    <t>ROLAMENTO - 6202 - ZZ</t>
  </si>
  <si>
    <t>ROLAMENTO - 6203 - ZZ</t>
  </si>
  <si>
    <t>ROLDANA PLASTICA P/ FIXACAO DE FIOS ELETRICOS - 30 X 30 - C</t>
  </si>
  <si>
    <t>ROLDANA PLASTICA P/ FIXACAO DE FIOS ELETRICOS - 24 X 24 - C</t>
  </si>
  <si>
    <t>PARAFUSO CABECA REDONDA P/ FIXACAO DE VASO SANITARIO - 4,5</t>
  </si>
  <si>
    <t>DISCO DE CORTE - 12" X 1/8" X 5/8" (300 X 3,2 X 15,9 MM DIA</t>
  </si>
  <si>
    <t>ABRACADEIRA TIPO "D" - 1"</t>
  </si>
  <si>
    <t>COTOVELO 90 GRAUS EM PVC RIGIDO SOLDAVEL - 2"</t>
  </si>
  <si>
    <t>CABO CTP-APL - SN - 50/10 PARES</t>
  </si>
  <si>
    <t>PORTA ELETRODO DE 500 AMPERES</t>
  </si>
  <si>
    <t>HASTE GALVANIZADA - 1/4" X 350 MM - P/ FIXACAO DE TELHA DE</t>
  </si>
  <si>
    <t>TELHA DE BARRO COZIDO - TIPO ROMANA</t>
  </si>
  <si>
    <t>DISCO DIAMANTADO (SECO) - DIAMETRO EXTERNO 110 MM E FURO 20</t>
  </si>
  <si>
    <t>CABO FLEXIVEL - 6 MM2 - VERDE</t>
  </si>
  <si>
    <t>PARAFUSO FRANCES - 2" X 5/16" - C/ PORCA E ARRUELA</t>
  </si>
  <si>
    <t>PARAFUSO FRANCES - 1.1/2" X 5/16" - C/ PORCA E ARRUELA</t>
  </si>
  <si>
    <t>LUVA DE PVC RIGIDO SOLDAVEL DE 1.1/4"</t>
  </si>
  <si>
    <t>FOLHA DE PORTA - EM IMBUIA - 0,92 X 2,10 M</t>
  </si>
  <si>
    <t>FILTRO DE LUZ REDONDO P/ MASCARA DE PROTECAO - ESPESS 2MM,</t>
  </si>
  <si>
    <t>VELA(REFIL), PARA FILTRO MOD. AP 055</t>
  </si>
  <si>
    <t>ARRUELA GALVANIZADA DE 1/2</t>
  </si>
  <si>
    <t>CHAPA DE MADEIRA CHAPADUR - MED:2,75 X 1,22 M - ESPESSURA:3,2 MM (PODENDO VARIAR +/- 0,2 MM)</t>
  </si>
  <si>
    <t>TUBO DE FERRO TIPO METALON, 40 X 20 X 1,5 MM, BARRA COM 6 M</t>
  </si>
  <si>
    <t>LUVA DE REDUCAO EM PVC RIGIDO SOLDAVEL DE 2" X 1 1/2"</t>
  </si>
  <si>
    <t>CORDAO PARALELO - 2 X 4 MM2</t>
  </si>
  <si>
    <t>RESPIRO P/ ENTRADA DE AR - P/ USO EM ARMARIO</t>
  </si>
  <si>
    <t>UNIAO DE PVC COLA -  25 MM</t>
  </si>
  <si>
    <t>CHAVE BOIA INFERIOR 15 A (CONTROLE DE NIVEL AUTOMATICO)</t>
  </si>
  <si>
    <t>HASTE GALVANIZADA - 1/4" X 300 MM - P/ FIXACAO DE TELHAS DE</t>
  </si>
  <si>
    <t>ESTILETE DE METAL C/ LAMINA ESTREITA</t>
  </si>
  <si>
    <t>CARTOLINA - VERDE CLARO - 50 X 66 CM - GRAMATURA 180G/M2</t>
  </si>
  <si>
    <t>CHAPA DE LAMINADO MELAMINICO C/ 3,08 X 1,25 M, ESPESSURA 0,8 MM</t>
  </si>
  <si>
    <t>DISCO DE LIXA N° 60 - 7" E FURO 7/8"</t>
  </si>
  <si>
    <t xml:space="preserve">PASTA MOLHA DEDO </t>
  </si>
  <si>
    <t>FOLHA DE PORTA EM IMBUIA - MED: 0,82 X 2,10 M</t>
  </si>
  <si>
    <t>PREGO COMUM DE CABECA CHATA - 6 X 6</t>
  </si>
  <si>
    <t>ESCORREDOR P/ ARROZ (LAVA ARROZ) EM ALUMINIO - 35 CM DIAME</t>
  </si>
  <si>
    <t>CACAROLA DE ALUMINIO FUNDIDO(BATIDO) - C/ DUAS ALCAS E TAMP</t>
  </si>
  <si>
    <t>PLASTICO OLEADO, TIPO FLANELADO - NAS CORES AZUL CLARO E BR</t>
  </si>
  <si>
    <t>MACANETA ALAVANCA CROMADA P/ PORTA DE MADEIRA</t>
  </si>
  <si>
    <t>PREGO DE ACO C/ CABECA - 12 X 12</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</si>
  <si>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</si>
  <si>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</si>
  <si>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</si>
  <si>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</si>
  <si>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</si>
  <si>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CUMEEIRA DE BARRO COZIDO</t>
  </si>
  <si>
    <t>TELHA DE BARRO COZIDO - TIPO PAULISTINHA</t>
  </si>
  <si>
    <t>FOLHA DE PORTA EM IMBUIA - MED: 0,72 X 2,10 M</t>
  </si>
  <si>
    <t>CHUVEIRO ELETRICO AUTOMATICO - CORPO EM PLASTICO 220V/5400W</t>
  </si>
  <si>
    <t>TINTA LATEX ACRILICA FOSCA - PESSEGO - 18 LITROS</t>
  </si>
  <si>
    <t>LUMINARIA FECHADA TIPO CALHA - P/ LAMPADA FLUORESCENTE - 2 X 20 W, CALHA COM SOQUETE DE PRESSAO E SUPORTE PARA FIXACAO TIPO PE DE GALINHA</t>
  </si>
  <si>
    <t>LUMINARIA FECHADA TIPO CALHA - P/ LAMPADA FLUORESCENTE - 1</t>
  </si>
  <si>
    <t>GRAMPEADOR GRANDE, TAMANHO 26/6</t>
  </si>
  <si>
    <t>DISCO DE CORTE PARA POLICORTE - MED. 10" DIAMETRO EXTERNO -</t>
  </si>
  <si>
    <t>LUVA DE REDUCAO EM PVC DE 1.1/2" X 1.1/4"</t>
  </si>
  <si>
    <t>TE DE REDUCAO SOLDAVEL 4" X 2"</t>
  </si>
  <si>
    <t>REJUNTE BRANCO - SACO COM 01 KG</t>
  </si>
  <si>
    <t>PREGO COMUM S/ CABECA 15 X 15</t>
  </si>
  <si>
    <t>FERRO TIPO U DE 2" X 1/8</t>
  </si>
  <si>
    <t>FERRO TIPO U DE 3" X 1/8" - BARRA COM 06 METROS</t>
  </si>
  <si>
    <t>REPARO P/ VALVULA DE DESCARGA 1 1/4" (MARCA DOCOL)</t>
  </si>
  <si>
    <t>JUNCAO INTERNA "T" 38 X 38 MM</t>
  </si>
  <si>
    <t>JUNCAO INTERNA "L"  38 X 38 MM</t>
  </si>
  <si>
    <t>SAPATA INTERNA 38 X 38 MM</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</si>
  <si>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</si>
  <si>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</si>
  <si>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</si>
  <si>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</si>
  <si>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</si>
  <si>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</si>
  <si>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</si>
  <si>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</si>
  <si>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TINTA P/ PISO - AZUL MARINHO - LATA C/ 18 LITROS</t>
  </si>
  <si>
    <t>BARBANTE DE ALGODAO 4 FIOS - ROLO COM 250 GR</t>
  </si>
  <si>
    <t xml:space="preserve">TE DE PVC SOLDAVEL P/ ESGOTO 1.1/2" ( 40 MM )  </t>
  </si>
  <si>
    <t>PONTEIRA DE BORRACHA - DIAMETRO INTERNO 7/8"</t>
  </si>
  <si>
    <t>FOLHA DE PORTA TIPO MEXICANA - MED.: 0,82 X 2,10 M</t>
  </si>
  <si>
    <t>FOLHA DE PORTA TIPO MEXICANA - MED.: 0,92 X 2,10 M</t>
  </si>
  <si>
    <t>CORANTE PARA COLORIR TINTA LATEX - OCRE - 50 ML</t>
  </si>
  <si>
    <t>REJUNTE CINZA CLARO - SC C/ 01 KG</t>
  </si>
  <si>
    <t>PUXADOR PARA PORTA - TIPO CONCHA CROMADO</t>
  </si>
  <si>
    <t>TINTA BETUMINOSA PARA IMPERMEABILIZACAO DE ALVENARIA - LATA</t>
  </si>
  <si>
    <t>PNEU 325 X 8 COM 02 LONAS - PARA CARRINHO DE MAO, TIPO PERU</t>
  </si>
  <si>
    <t>CAMARA DE AR PARA PNEU 3,25 X 8 - PARA CARRINHO DE MAO, TIPO PERUZ</t>
  </si>
  <si>
    <t>ROLDANA 2.1/2" COM CAIXA EM "V"</t>
  </si>
  <si>
    <t>TELA DE ARAME GALVANIZADO - FIO 10 - MALHA 2.1/2" X 2 METROS DE ALTURA</t>
  </si>
  <si>
    <t>PONTALETE DE CEDRINHO 3" X 3" - COM 03 METROS DE COMPRIMENT</t>
  </si>
  <si>
    <t>PORTA PAPEL HIGIENICO - ROLO INDUSTRIAL</t>
  </si>
  <si>
    <t>CANTONEIRA DE FERRO - 1.1/2" X 1/8" BARRA COM 06 MET</t>
  </si>
  <si>
    <t>TE DE REDUCAO EM PVC SOLDAVEL, ROSCA, DE 25 MM - 1/2" - AZU</t>
  </si>
  <si>
    <t>BLOCO P/ RECADOS AUTO COLANTE - MED 76 X 102 MM</t>
  </si>
  <si>
    <t>TUBO DE PVC BRANCO PARA ESGOTO, DE 150 MM - 6" X 06 M</t>
  </si>
  <si>
    <t>BARRA/FIO REDONDO DE ACO CA 50 P/CONSTRUCAO NBR 7480 - 3/8"</t>
  </si>
  <si>
    <t>BARRA/FIO REDONDO DE ACO CA 50 P/CONSTRUCAO NBR 7480 - 5/16</t>
  </si>
  <si>
    <t>FACA DE CORTE DE LEGUMES COM CABO DE POLIETILENO OU POLIPROPILENO BRANCO -</t>
  </si>
  <si>
    <t>RALADOR DE LEGUMES EM INOX</t>
  </si>
  <si>
    <t>TUBO DESCARGA PONTA AZUL - 18</t>
  </si>
  <si>
    <t>FERRO REDONDO DE 5/8" - BARRA COM 06 METROS (FERRO MECANICO</t>
  </si>
  <si>
    <t>UNIAO PARA TUBO DE POLIETILENO - 3/4"</t>
  </si>
  <si>
    <t>CONDULETE "LL" 2</t>
  </si>
  <si>
    <t>ELETRODUTO DE FERRO GALVANIZADO - 3/4"</t>
  </si>
  <si>
    <t>LIXA CINTA DE PANO P/ MADEIRA - MEDIDAS: 610 X 75 MM / GRAM</t>
  </si>
  <si>
    <t>CANTONEIRA DE FERRO 2" X 1/8" - BARRA COM 06 METROS</t>
  </si>
  <si>
    <t>TINTA ESMALTE SINTETICO BRILHANTE VERDE COLONIAL - GALAO CO</t>
  </si>
  <si>
    <t>TE EM PVC RIGIDO SOLDAVEL ROSCA AZUL - 3/4"</t>
  </si>
  <si>
    <t>LUVA DE PVC SOLDAVEL / ROSQUEAVEL AZUL - 3/4"</t>
  </si>
  <si>
    <t>BACIA DE PLASTICO - CAPACIDADE P/ 32 LITROS</t>
  </si>
  <si>
    <t>REATOR ELETRONICO SERIE 2 X 40 W - 127V / 220 V - ALTO FATO</t>
  </si>
  <si>
    <t>SIFAO SANFONADO UNIVERSAL</t>
  </si>
  <si>
    <t>OLEO DESENGRIPANTE - 300 ML</t>
  </si>
  <si>
    <t>MASSA PARA CALAFETAR A BASE DE POLIBUTENO EM FILETES - CAIX</t>
  </si>
  <si>
    <t>PRATO DE POLIPROPILENO AZUL ESCURO,C/BORDA,3 CM ALT X 22CM</t>
  </si>
  <si>
    <t>TIGELA (POLIPROPILENO) - CAP 350 ML. 6CM DE ALT X 11 CM DIA</t>
  </si>
  <si>
    <t>PAPEL SULFITE - 66 X 96 CM  120 G/M2 - BRANCO</t>
  </si>
  <si>
    <t>PAPEL KRAFT 80G/M2 - 66 CM X 96 CM (PAPEL PARDO)</t>
  </si>
  <si>
    <t>COLA DE CONTATO P/ LAMINADO MELAMINICO - 2,8 KG</t>
  </si>
  <si>
    <t>BALDINHO DE PRAIA EM PLASTICO - COLORIDO, ATOXICO, COM ACES</t>
  </si>
  <si>
    <t>TUBO QUADRADO DE METALON - 1" X 1" X 1,5 MM - BARRA COM 06</t>
  </si>
  <si>
    <t>CABO FLEXIVEL - 6 MM2 - PRETO</t>
  </si>
  <si>
    <t>PORCA SEXTAVADA DE ACO DE 5/16"</t>
  </si>
  <si>
    <t>PORCA SEXTAVADA DE ACO DE 3/8"</t>
  </si>
  <si>
    <t>PORCA SEXTAVADA DE ACO DE 1/4"</t>
  </si>
  <si>
    <t>PORCA SEXTAVADA DE ACO DE 1/2"</t>
  </si>
  <si>
    <t>ARRUELA LISA DE ACO DE 3/8"</t>
  </si>
  <si>
    <t>BARRA/FIO REDONDO PARA CONSTRUCAO, DE ACO CA50 - 1/4"</t>
  </si>
  <si>
    <t>BARRA/FIO REDONDO PARA CONSTRUCAO, DE ACO CA50 - 3/16" - BARRA COM 12 METROS</t>
  </si>
  <si>
    <t>CANTONEIRA DE FERRO - BARRA COM 6 M - 1" X 1/8"</t>
  </si>
  <si>
    <t>CANTONEIRA DE FERRO - BARRA COM 6 M - 1/4" X 1"</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</si>
  <si>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</si>
  <si>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</si>
  <si>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</si>
  <si>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</si>
  <si>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</si>
  <si>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LIXA CINTA DE PANO, PARA MADEIRA, GRAU 60 - MED. 1,5 M X 15</t>
  </si>
  <si>
    <t>LIXA CINTA DE PANO, PARA MADEIRA, GRAU 80 - MED. 1,5 M X 15</t>
  </si>
  <si>
    <t>DISCO DE LIXA N. 50 - 7" E FURO 7/8" - PARA LIXADEIRA MANUA</t>
  </si>
  <si>
    <t>DISCO DE LIXA N. 40 - 30 CM DE DIAMETRO - PARA LIXADEIRA DE BANCADA</t>
  </si>
  <si>
    <t>LUVA DE REDUCAO EM PVC RIGIDO - BRANCA - 150 X 100 MM - 6"</t>
  </si>
  <si>
    <t>LUVA DE REDUCAO EM PVC RIGIDO - MARROM - SOLDAVEL - 1.1/2"</t>
  </si>
  <si>
    <t>SAPATA REGULAVEL PARA MOVEIS</t>
  </si>
  <si>
    <t>TE DE REDUCAO EM PVC RIGIDO - SOLDAVEL - 150 X 100 MM - 6"</t>
  </si>
  <si>
    <t>TE EM PVC RIGIDO - SOLDAVEL - 90 GRAUS - 150 MM - 6" - PARA</t>
  </si>
  <si>
    <t>FERRO REDONDO 3/8" MECANICO, BARRA C/ 06 METROS</t>
  </si>
  <si>
    <t>SIFAO COPO, EM PVC RIGIDO, 1 1/2 X 2" - PARA PIA AMERICANA</t>
  </si>
  <si>
    <t>TELA DE ARAME GALVANIZADO, FIO 10, MALHA C/ 2 1/2", COM 04</t>
  </si>
  <si>
    <t>TINTA P/ PISO - AMARELO - LATA COM 18 LITROS</t>
  </si>
  <si>
    <t>TINTA P/ PISO - BRANCA - C/ 18 LT</t>
  </si>
  <si>
    <t>FERRO CHATO 1 1/2" X 1/8" BARRA C/ 06 METROS</t>
  </si>
  <si>
    <t>FERRO CHATO 3/4" X 1/8" BARRA C/ 06 METROS</t>
  </si>
  <si>
    <t>REPARO COMPLETO UNIVERSAL PARA DESCARGA -  CAIXA  ACOPLADA</t>
  </si>
  <si>
    <t>CUMEEIRA ARTICULADA PARA TELHA KALHETAO 90 - INFERIOR</t>
  </si>
  <si>
    <t>CUMEEIRA ARTICULADA PARA TELHA CALHETAO 90 - SUPERIOR</t>
  </si>
  <si>
    <t>CABO FLEXIVEL - 2,5 MM2 - VERDE</t>
  </si>
  <si>
    <t>TUBO QUADRADO DE METALON 20MM X 20MM X 1,5MM - BARRA COM 06</t>
  </si>
  <si>
    <t>ARTICULADOR PARA INFRAVERMELHO COM PARAFUSO</t>
  </si>
  <si>
    <t>SABONETE LIQUIDO PEROLADO - BOMBONA C/ 05 LITROS</t>
  </si>
  <si>
    <t>CUMEEIRA DE FIBRA SINTETICA 30 GRAUS PARA TELHA ONDULADA ESP. 06 MM</t>
  </si>
  <si>
    <t>CUMEEIRA DE FIBRA SINTETICA 10 GRAUS PARA TELHA ONDULADA ES</t>
  </si>
  <si>
    <t>TAMPO REDONDO, PARA MESA, C/ 1,10 M DE DIAMETRO, EM COMPENSADO DE 18 MM,</t>
  </si>
  <si>
    <t>VIGA "U", CHAPA DOBRAGA ENRIJECIDA - 100 X 50 X 2,25 X 6.0</t>
  </si>
  <si>
    <t>SENSOR DE MICROONDAS DE ALARME PARA AREA SEMI ABERTA</t>
  </si>
  <si>
    <t>BLOCO P/ RECADOS AUTO COLANTE - MED. 38 X 51</t>
  </si>
  <si>
    <t>PROTETOR DE LINHA, PARA ALARME, TIPO LD</t>
  </si>
  <si>
    <t>PAPEL SULFITE, GRAMATURA 75G/M2, FORMATO A3, MEDINDO (297X420)MM, COR BRANCA</t>
  </si>
  <si>
    <t>CANO DE ALUMINIO P/ CHUVEIRO - 40 CM</t>
  </si>
  <si>
    <t>RESPIRADOR SEMI-FACIAL, COM ENCAIXE TIPO ROSCA PARA 02 CARTUCHOS DE FILTROS</t>
  </si>
  <si>
    <t>DOBRADICA DE PRESSAO EM ACO, CURVA, COMPLETA, PARA ARMARIOS</t>
  </si>
  <si>
    <t>LIXA PARA PAREDE - 60</t>
  </si>
  <si>
    <t>ROLAMENTO - 6201 ZZ</t>
  </si>
  <si>
    <t>VERNIZ MARITIMO - GALAO C/ 3,6 LITROS</t>
  </si>
  <si>
    <t>PILHA PALITO AAA - ALCALINA</t>
  </si>
  <si>
    <t>ESPIRAL N. 12 (12 MM) DE PVC - PACOTE COM 100 UNIDADES</t>
  </si>
  <si>
    <t>CABO FLEXIVEL - 1,5MM - PRETO</t>
  </si>
  <si>
    <t>CORREDICA BASE PARA GAVETA 450 MM</t>
  </si>
  <si>
    <t>CORREDICA BASE PARA GAVETA 350 MM</t>
  </si>
  <si>
    <t>VIGA DE GARAPEIRA BRUTA - MEDIDAS: 06 CM X 16 CM X 5,50 M</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</si>
  <si>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</si>
  <si>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</si>
  <si>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</si>
  <si>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</si>
  <si>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</si>
  <si>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</si>
  <si>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</si>
  <si>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 xml:space="preserve">RESERVATORIO INTERNO PARA SABONETEIRA EM PLASTICO - CAPACIDADE 800 ML </t>
  </si>
  <si>
    <t>PAPEL CAMURCA - 60 X 40CM - AMARELO</t>
  </si>
  <si>
    <t>CHAPA DE ACO INOXIDAVEL 304 - A 240 - MED. 0,40 MM X 1240 MM X 3500 MM</t>
  </si>
  <si>
    <t>TELHA DE FIBROCIMENTO - 0,90 X 8,20 M - TIPO CANALETE</t>
  </si>
  <si>
    <t>PIA DE ACO INOX, 1 CUBA - 2,00 X 0,53M</t>
  </si>
  <si>
    <t>CHAPA DE MADEIRA COMPENSADO LAMINADO DE VIROLA - MEDIDAS: 2,20 M X 1,60 M X 15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</si>
  <si>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</si>
  <si>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</si>
  <si>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</si>
  <si>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</si>
  <si>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</si>
  <si>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</si>
  <si>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</si>
  <si>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</si>
  <si>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</si>
  <si>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</si>
  <si>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</si>
  <si>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</si>
  <si>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PINCEL ATOMICO PONTA RETANGULAR 5 X 8 MM, CHANFRADA - COR PRETA</t>
  </si>
  <si>
    <t>FERRO "U" PENDURAL, MED. 40 MM DE LARGURA X 7 MM DE ESPESSURA X 40 CM</t>
  </si>
  <si>
    <t>RODIZIO GIRATORIO DE 2" - P/CARRINHO COM PLACA</t>
  </si>
  <si>
    <t>BOBINA DE SACO PLASTICO PICOTADO PARA EMBALAGEM - MED. 35 X 45 CM</t>
  </si>
  <si>
    <t>PANO PARA CHAO - MED. 40 X 80 CM, PESO MINIMO DE 160 G/UN E 100% ALGODAO, ALVEJADO</t>
  </si>
  <si>
    <t>RODO DE ALUMINIO DE 40 CM C/ CABO DE ALUMINIO MED. 1,30 M - BORRACHA UNICA E SUBSTITUIVEL (VARIACAO +/-05 CM DO CABO)</t>
  </si>
  <si>
    <t>RODO DE ALUMINIO DE 60 CM C/ CABO DE ALUMINIO MEDINDO APROXIMADAMENTE 1,30 M  - BORRACHA UNICA E SUBSTITUIVEL</t>
  </si>
  <si>
    <t>PAPEL DE SEDA BRANCO CALANDRADO 14 X 14 CM (GUARDANAPO TIPO TV), 100% FIBRAS CELULOSICAS, EM PACOTES COM 500 UNIDADES</t>
  </si>
  <si>
    <t>LIXEIRA BASCULANTE, COM TAMPA E ALCA, 30 LITROS</t>
  </si>
  <si>
    <t>LIXEIRA BASCULANTE, COM TAMPA E ALCA, 59 LITROS</t>
  </si>
  <si>
    <t>LIXEIRA BASCULANTE, COM TAMPA E ALCA, 105 LITROS</t>
  </si>
  <si>
    <t>COLHER EM POLIETILENO, MEDINDO ENTRE 60 E 65 CM DE COMPRIMENTO</t>
  </si>
  <si>
    <t>GRAMPO ROSEIRA Nº 10</t>
  </si>
  <si>
    <t>CORREDICA TELESCOPICA, PARA GAVETA, FZ 405 MM - 45 KG</t>
  </si>
  <si>
    <t>SUPORTE TUBINHO BRANCO, COM PARAFUSO (APOIO DE PRATELEIRA) - EMBALAGEM COM 100 UNIDADES</t>
  </si>
  <si>
    <t>PASTA PARA LIMPEZA DE ALUMINIO, POTE COM 500 GRAMAS</t>
  </si>
  <si>
    <t>PIA DE ACO INOX COM 01 CUBA, MEDINDO 1,50 M DE COMP. E LARGURA MINIMA DE 53 CM</t>
  </si>
  <si>
    <t>PIA DE ACO INOX COM 01 CUBA, MEDINDO 1,20 M DE COMP. E LARGURA MINIMA DE 53 CM</t>
  </si>
  <si>
    <t>PIA DE ACO INOX COM 02 CUBAS, MEDINDO 2,00 M DE COMP. E LARGURA MINIMA DE 53 CM</t>
  </si>
  <si>
    <t>FOLHA DE PORTA DE IMBUIA - MED. 1,02 X 2,10 M</t>
  </si>
  <si>
    <t xml:space="preserve">FILTRO QUIMICO PARA  VAPORES ORGANICOS </t>
  </si>
  <si>
    <t>ABRACADEIRA GALVANIZADA TIPO D  - 1.1/2"</t>
  </si>
  <si>
    <t>PARAFUSO FRANCES - 1/2" X 8" - COM PORCA E ARRUELA</t>
  </si>
  <si>
    <t>PARAFUSO SEXTAVADO - 1/2" X 3.1/2" - COM PORCA</t>
  </si>
  <si>
    <t>TANQUE DE CONCRETO PRE-MOLDADO P/ LAVAGEM DE ROUPAS DE 0,70 X 0,70M</t>
  </si>
  <si>
    <t>TINTA GUACHE - POTE COM 250ML - COR BRANCA</t>
  </si>
  <si>
    <t>TINTA GUACHE - POTE COM 250ML - COR PRETA</t>
  </si>
  <si>
    <t>TINTA GUACHE - POTE COM 250ML - COR VERDE</t>
  </si>
  <si>
    <t>TINTA GUACHE - POTE COM 250ML - COR VERMELHA</t>
  </si>
  <si>
    <t>CABO INTERNO C.I. - 50 X 02 PARES</t>
  </si>
  <si>
    <t>LAMPADA HALOGENA 300W, 220 VOLTS</t>
  </si>
  <si>
    <t>CAPA EM POLIPROPILENO, TAMANHO A4, 0,30 MM DE ESPESSURA, TRANSPARENTE</t>
  </si>
  <si>
    <t>CAPA EM POLIPROPILENO, TAMANHO A4, 0,30 MM DE ESPESSURA, PRETO</t>
  </si>
  <si>
    <t>TELA ONDULADA FIO 14, MALHA 3/4 - MED. 10 X 1,74 M</t>
  </si>
  <si>
    <t>TELA ONDULADA FIO 14, MALHA 3/4 - MED. 10 X 2,00 M</t>
  </si>
  <si>
    <t>BATENTE DE GARAPEIRA 0,92 X 2,10 M</t>
  </si>
  <si>
    <t>GRELHA COM PORTA GRELHA, REDONDA EM ALUMINIO 4"</t>
  </si>
  <si>
    <t>CONJUNTO DE CRUZETA, MOLA E PARAFUSO PARA VALVULA DE DESCARGA</t>
  </si>
  <si>
    <t>DISCO DE CORTE 9" X 1/8" X 7/8"</t>
  </si>
  <si>
    <t>CORREDICA BASE PARA GAVETA DE 30 CM</t>
  </si>
  <si>
    <t>VALVULA AMERICANA 3 1/2" X 1 1/2" EM INOX</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</si>
  <si>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</si>
  <si>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</si>
  <si>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</si>
  <si>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PINO TRIFASICO DE SEGURANCA 2 P + T - 30 A X 250 W</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</si>
  <si>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</si>
  <si>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</si>
  <si>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</si>
  <si>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</si>
  <si>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CORANTE LIQUIDO PARA FINS ALIMENTICIOS - COR VERMELHA - FRASCO COM 10ML</t>
  </si>
  <si>
    <t>CORANTE LIQUIDO PARA FINS ALIMENTICIOS - COR AMARELA - FRASCO COM 10ML</t>
  </si>
  <si>
    <t>DISCO DE CORTE 7" X 1/8" X 7/8" (DIAM.EXT X ESPESSURA X DIAM. FURO)</t>
  </si>
  <si>
    <t>MASSA PLASTICA A BASE DE RECURSOS POLIESTERES - LATA C/ 700 GR</t>
  </si>
  <si>
    <t>PISO CERAMICO ANTI-DERRAPANTE, PEI 5, TRAFEGO ALTO, MEDIDA APROX. 354 X 354 MM</t>
  </si>
  <si>
    <t>PARAFUSO EM ACO BICROMATIZADO, CABECA CHATA - 3,5 X 16 MM - CABECA COM ENCAIXE PARA CHAVE PHILLIPS</t>
  </si>
  <si>
    <t>REPARO P/ VALVULA DE DESCARGA - MARCA LORENZETTI - P-20</t>
  </si>
  <si>
    <t>REPARO P/ VALVULA DE DESCARGA - MARCA LORENZETTI - P-21</t>
  </si>
  <si>
    <t>REPARO P/ VALVULA DE DESCARGA - MARCA LORENZETTI - P-41</t>
  </si>
  <si>
    <t>REPARO P/ VALVULA DE DESCARGA - MARCA HYDRA-MAX</t>
  </si>
  <si>
    <t>REPARO PARA VALVULA HYDRA LUXO - REF. 4686924</t>
  </si>
  <si>
    <t>REPARO ACIONADOR PARA VALVULA DE DESCARGA HYDRA LUXO - REF. 4336004</t>
  </si>
  <si>
    <t>VIGA DE GARAPEIRA BRUTA - 60MM X 160MM X 6,00 M COMPRIMENTO</t>
  </si>
  <si>
    <t>BUCHA DE REDUCAO EM LATAO 3/4 X 1/2</t>
  </si>
  <si>
    <t>REATOR CHOQUE, EXTERNO, TIPO CANECO ALTO FATOR DE POTENCIA 250 W X 220 V PARA LAMPADAS A VAPOR SODIO DE 4,5 HS X 220 V</t>
  </si>
  <si>
    <t>PEGADOR DE MACARRAO EM ACO INOX, COMPRIMENTO APROXIMADO DE 20 CM</t>
  </si>
  <si>
    <t>CORANTE PARA COLORIR TINTA LATEX - VIOLETA - 50 ML</t>
  </si>
  <si>
    <t>GONZO COM ABAS N. 3 (65MM)</t>
  </si>
  <si>
    <t>GONZO COM CHUMBADOR N. 3 (65MM)</t>
  </si>
  <si>
    <t>SACO PLASTICO - GROSSO - 4 FUROS - TAMANHO OFICIO</t>
  </si>
  <si>
    <t>TAMPA PARA CONDULETE 3/4" PARA 1 CONDUTOR RJ</t>
  </si>
  <si>
    <t>LUVA DE LATEX PARA PROCEDIMENTO, TAM. M.</t>
  </si>
  <si>
    <t>LUVA DE LATEX PARA PROCEDIMENTO, TAM. G.</t>
  </si>
  <si>
    <t>ENVELOPE OURO TIPO SACO 80 X 115 MM- GRAMATURA MINIMA 80 G/M²</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</si>
  <si>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</si>
  <si>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</si>
  <si>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</si>
  <si>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</si>
  <si>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</si>
  <si>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PORTA CADEADO DE FERRO ZINCADO 2"</t>
  </si>
  <si>
    <t>FERRO CHATO 1/2" X 1/4" - BARRA C/ 06 METROS</t>
  </si>
  <si>
    <t>PANO DE FLANELA 30 X 60CM - BRANCA</t>
  </si>
  <si>
    <t>TINTA ACRILICA P/ DEMARCACAO DE SOLO - BALDE C/ 18 L - VERMELHA - PADRAO DER 3.09</t>
  </si>
  <si>
    <t>REFIL DE BORRACHA PARA RODO DE ALUMINIO DE 60 CM</t>
  </si>
  <si>
    <t>REFIL DE BORRACHA PARA RODO DE ALUMINIO DE 40 CM</t>
  </si>
  <si>
    <t>DISJUNTOR NORMA DIN CURVA B PADRAO, BIPOLAR, 10 AMPERES</t>
  </si>
  <si>
    <t>DISJUNTOR NORMA DIN CURVA B PADRAO, BIPOLAR, 20 AMPERES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</si>
  <si>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</si>
  <si>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</si>
  <si>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</si>
  <si>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</si>
  <si>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</si>
  <si>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</si>
  <si>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</si>
  <si>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</si>
  <si>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</si>
  <si>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</si>
  <si>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</si>
  <si>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BIPOLAR, 80 AMPERES</t>
  </si>
  <si>
    <t>DISJUNTOR NORMA DIN CURVA C PADRAO, BIPOLAR, 100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</si>
  <si>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</si>
  <si>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</si>
  <si>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</si>
  <si>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</si>
  <si>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</si>
  <si>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</si>
  <si>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ARRUELA LISA DE ACO DE 3/16"</t>
  </si>
  <si>
    <t>BARRA DE FERRO TEE 1 X 1/8 - BARRA COM 06 METROS</t>
  </si>
  <si>
    <t>ALAVANCA EM FERRO  PARA VITRO, TAMANHO PADRAO</t>
  </si>
  <si>
    <t xml:space="preserve">BOTINA DE COURO N° 38, C/BICO DE ACO, SOLADO PU  </t>
  </si>
  <si>
    <t>BOTINA DE COURO N° 41, C/BICO DE ACO, SOLADO PU</t>
  </si>
  <si>
    <t>BOTINA DE COURO N° 42, C/BICO DE ACO, SOLADO PU</t>
  </si>
  <si>
    <t xml:space="preserve">LUVA DE RASPA DE COURO, CANO CURTO.  </t>
  </si>
  <si>
    <t>LIXA CINTA DE PANO P/MADEIRA - 6,90M X 15CM - GRAM. 60</t>
  </si>
  <si>
    <t>LIXA CINTA DE PANO P/MADEIRA - 610 X 100MM - GRAM. 80</t>
  </si>
  <si>
    <t>PARAFUSO ZINCO AMARELO, CABECA CHATA PH 4,0 X 25 - CAIXA COM 500 UNIDADES</t>
  </si>
  <si>
    <t>PARAFUSO ZINCO AMARELO, CABECA CHATA PH 4,0 X 30 - CAIXA COM 500 UNIDADES</t>
  </si>
  <si>
    <t>PARAFUSO  ZINCO AMARELO, CABECA CHATA - PH 4,0 X 50 - CAIXA COM 500 UNIDADES</t>
  </si>
  <si>
    <t>PARAFUSO ZINCO AMARELO, CABECA CHATA - PH 2,5 X 16 -  CAIXA COM 1.000 UNIDADES</t>
  </si>
  <si>
    <t>TINTA ESMALTE SINTETICO BRILHANTE, COR VERDE FOLHA - GALAO COM 3,600 ML</t>
  </si>
  <si>
    <t>CABO DE COBRE, ISOLACAO PVS 750V COM COBERTURA DE PVC - 2 X 1,5 MM</t>
  </si>
  <si>
    <t>CABO DE COBRE, ISOLACAO PVS 750V COM COBERTURA DE PVC - 3 X 2,5 MM</t>
  </si>
  <si>
    <t>TINTA LATEX ACRILICA FOSCA - COR AZUL REAL - LATA COM 18 LITROS</t>
  </si>
  <si>
    <t>PLASTICO BOLHA - MEDIDA 1,20 M LARGURA</t>
  </si>
  <si>
    <t>SABAO EM PO - EMBALAGEM C/ 01 KG</t>
  </si>
  <si>
    <t xml:space="preserve">VASSOURA DE PIACAVA N° 05 </t>
  </si>
  <si>
    <t>VASSOURAO DE PIACAVA TIPO PREFEITURA - 40 CM</t>
  </si>
  <si>
    <t>CABO FLEXIVEL 25MM, 1KV - COR PRETO</t>
  </si>
  <si>
    <t>PAPEL SULFITE COATED HP 914 MM X 45 M GRAMATURA 90G/M² PARA PLOTER, HP DESIGNJET SERIE 4000</t>
  </si>
  <si>
    <t>PAPEL SULFITE A4, 210 X 297, 75G, NA COR VERDE - PACOTE COM 500 FOLHAS</t>
  </si>
  <si>
    <t>PAPEL SULFITE A4, 210 X 297, 75G, NA COR ROSA - PACOTE COM 500 FOLHAS</t>
  </si>
  <si>
    <t>PAPEL SULFITE A4, 210 X 297, 75G, NA COR AZUL - PACOTE COM 500 FOLHAS</t>
  </si>
  <si>
    <t xml:space="preserve">FITA PLASTICA P/ ISOLAMENTO DE TRAFEGO PRETA/AMARELA - ROLO COM 100 M </t>
  </si>
  <si>
    <t>PAPEL DE SEDA - 48 X 60 CM - AMARELO</t>
  </si>
  <si>
    <t>PAPEL DE SEDA - 48 X 60 CM - AZUL ESCURO</t>
  </si>
  <si>
    <t>PAPEL DE SEDA - 48 X 60 CM - LARANJA</t>
  </si>
  <si>
    <t>PAPEL DE SEDA - 48 X 60 CM - ROSA - AS MEDIDAS PODERAO VARIAR +/- 5 CM</t>
  </si>
  <si>
    <t>PAPEL DE SEDA - 48 X 60 CM - VERDE CLARO</t>
  </si>
  <si>
    <t>PAPEL DE SEDA - 48 X 60 CM - VERDE ESCURO</t>
  </si>
  <si>
    <t>PAPEL DE SEDA - 48 X 60 CM - VERMELHO</t>
  </si>
  <si>
    <t xml:space="preserve">MANGOTE DE RASPA </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</si>
  <si>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</si>
  <si>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</si>
  <si>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</si>
  <si>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</si>
  <si>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</si>
  <si>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</si>
  <si>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</si>
  <si>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</si>
  <si>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 xml:space="preserve">AVENTAL DE RASPA,  EM COURO. </t>
  </si>
  <si>
    <t>AVENTAL - TIPO JALECO, EM TECIDO MISTO DE POLIESTER E ALGODAO , C/MANGA CURTA - COR: AZUL CLARO - TAM: P</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</si>
  <si>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</si>
  <si>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</si>
  <si>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</si>
  <si>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</si>
  <si>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</si>
  <si>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JOELHO 45° DE PVC SOLDAVEL PARA AGUA, MARROM, 25 MM</t>
  </si>
  <si>
    <t>VALVULA EM PVC PARA LAVATORIO 1" SEM LADRAO</t>
  </si>
  <si>
    <t>LUVA DE RASPA COM PALMA DE VAQUETA</t>
  </si>
  <si>
    <t>CABO FLEXIVEL BITOLA 50 MM², ISOLACAO DE PVC 70° C, 1KV, 750V, ANTICHAMA, COR PRETA</t>
  </si>
  <si>
    <t>ROLAMENTO 32216, FABRICACAO NACIONAL, PARA USO EM PLAY GROUND</t>
  </si>
  <si>
    <t>LUVA DE LATEX - TAMANHO M.</t>
  </si>
  <si>
    <t>COLA HOTMELT, BRANCA, GRANULADA - PARA COLADEIRA DE FITA DE BORDO AM 753B - SACO COM 25 KG</t>
  </si>
  <si>
    <t>LUVA DE LATEX - TAMANHO G</t>
  </si>
  <si>
    <t>FITA DE BORDA EM PVC TEXTURIZADA, 22MM - ROLO COM 300 MTS</t>
  </si>
  <si>
    <t>FITA DE BORDA EM PVC TEXTURIZADA, 35MM - ROLO COM 50 MTS</t>
  </si>
  <si>
    <t>FORRO EM PVC BRANCO LISO, REGUA DE 6M DE COMPRIMENTO, 20CM DE LARGURA - 10MM DE ESPESSURA (ESPESSURA COM TOLERANCIA DE +/- 2MM)</t>
  </si>
  <si>
    <t>PERFIL RODAFORRO PVC BRANCO LISO, BARRA COM 6 MT</t>
  </si>
  <si>
    <t>PERFIL TIPO EMENDA PVC BRANCO LISO, BARRA COM 6 MT</t>
  </si>
  <si>
    <t>BANDEIRA DO BRASIL - 1,12 X 1,60 M, MODELO BORDADO, CONFECCIONADA EM TECIDO 100% POLIESTER</t>
  </si>
  <si>
    <t>BANDEIRA DO ESTADO DE SAO PAULO - 1,12 X 1,60 M, MODELO BORDADO, CONFECCIONADA EM TECIDO 100% POLIESTER</t>
  </si>
  <si>
    <t>ELETRODUTO DE ACO CARBONO GALVANIZADO A FOGO - DIAMETRO 1 1/2" - BARRA COM 3 M</t>
  </si>
  <si>
    <t>BUCHA C/ARRUELA EM ZAMAK P/ELETRODUTO - DIAMETRO 1 1/2"</t>
  </si>
  <si>
    <t>CONDULETE EM LIGA DE ALUMINIO FUNDIDO TIPO "LL" - DIAMETRO 1 1/2" - S/VEDACAO</t>
  </si>
  <si>
    <t>CURVA LONGA DE ACO P/ELETRODUTO GALVANIZADO A FOGO - DIAMETRO 1 1/2"</t>
  </si>
  <si>
    <t>CABO DE COBRE FLEXIVEL, BITOLA 10,0MM2, 1KV,  ISOLACAO DE PVC 70ºC, COR PRETA</t>
  </si>
  <si>
    <t>FIO DE NYLON DE 3,0MM, QUADRADO, USO EM ROCADEIRA LATERAL STIHL FS 220 - PESO APROXIMADO: ROLO C/2 KG</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</si>
  <si>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</si>
  <si>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</si>
  <si>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</si>
  <si>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</si>
  <si>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</si>
  <si>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CABO DE COBRE FLEXIVEL, BITOLA 10,0 MM2, 1KV, ISOLACAO DE PVC 70º, COR AZUL CLARO</t>
  </si>
  <si>
    <t>LUVA DE VAQUETA - COMPRIMENTO DE 28 CM</t>
  </si>
  <si>
    <t>PISO DE CONCRETO, TIPO INTERTRAVADO RETANGULAR, COR NATURAL, DIMENSOES: 200 X 100MM, ESPESSURA: 60MM, RESISTENCIA DE 35MPA</t>
  </si>
  <si>
    <t>NIPLE DUPLO DE REDUCAO ROSQUEAVEL 3/4 X 1/2 EM METAL</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</si>
  <si>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</si>
  <si>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</si>
  <si>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</si>
  <si>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</si>
  <si>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TAMPO EM COMPENSADO DE 18MM REVESTIDO EM LAMINADO MELAMINICO, ACABAMENTO EM PERFIL DE PVC - 0,73 X 0,42 X 0,40M ()VARIACAO DE +/- 5CM)</t>
  </si>
  <si>
    <t>GRELHA P/RALO EM INOX, 100MM (4")</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</si>
  <si>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</si>
  <si>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</si>
  <si>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</si>
  <si>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</si>
  <si>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</si>
  <si>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</si>
  <si>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ELETROCALHA PERFURADA C/TAMPA C/FECHAMENTO POR PRESSAO, GALVANIZADA - LARGURA 200 X 50MM</t>
  </si>
  <si>
    <t>COTOVELO RETO PERFURADO, GALVANIZADO, P/ELETROCALHA - 200 X 50MM</t>
  </si>
  <si>
    <t>CRUZETA 90º, PERFURADA, GALVANIZADA, P/ELETROCALHA - 200 X 50MM</t>
  </si>
  <si>
    <t>T VERTICAL DESCIDA LATERAL, PERFURADA, GALVANIZADO, PARA ELETROCALHA - 200 X 50MM</t>
  </si>
  <si>
    <t>EMENDA INTERNA PERFURA, GALVANIZADA, P/ELETROCALHA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</si>
  <si>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</si>
  <si>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</si>
  <si>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</si>
  <si>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</si>
  <si>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</si>
  <si>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</si>
  <si>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ELETROCALHA LISA C/TAMPA C/FECHAMENTO POR PARAFUSO, GALVANIZADA, P/ELETROCALHA -  100 X 50MM</t>
  </si>
  <si>
    <t>TERMINAL GALVANIZADO P/ELETROCALHA - LARGURA 100MM X ALTURA 50MM</t>
  </si>
  <si>
    <t>GANCHO CURTO PARA PERFILADO</t>
  </si>
  <si>
    <t>SUSPENSOR P/CABO DE ACO (P/PERFILADO)</t>
  </si>
  <si>
    <t>CURVA LONGA DE ACO P/ELETRODUTO GALVANIZADO A FOGO, 90º - DIAMETRO 2"</t>
  </si>
  <si>
    <t>CONDULETE EM LIGA DE ALUMINIO FUNDIDO, TIPO "C",  Ø2", S/VEDACAO</t>
  </si>
  <si>
    <t>GOTEJADOR GALVANIZADO P/ELETROCALHA - LARGURA 200MM X ALTURA 50MM</t>
  </si>
  <si>
    <t>CABO DE COBRE FLEXIVEL, BITOLA 35,0MM2, 1KV,  ISOLACAO DE PVC 70ºC, COR VERDE</t>
  </si>
  <si>
    <t xml:space="preserve">MASCARA MOD DOBRAVEL </t>
  </si>
  <si>
    <t>DISJUNTOR TRIPOLAR IN = 150A, TENSAO MINIMA DE OPERACAO 240V, CURVA C, NBR 60947-2 - CATEGORIA "A"</t>
  </si>
  <si>
    <t>DISJUNTOR TRIPOLAR IN = 125A, TENSAO MINIMA DE OPERACAO 240V, CURVA C, NBR 60947-2 - CATEGORIA "A"</t>
  </si>
  <si>
    <t>TRILHO PARA DISJUNTOR TIPO DIN</t>
  </si>
  <si>
    <t>MASCARA TIPO CONCHA - COR CINZA</t>
  </si>
  <si>
    <t>DETERGENTE LIQUIDO,  NEUTRO - INCOLOR - FRASCO C/500ML</t>
  </si>
  <si>
    <t>CAIXA D'AGUA EM POLIETILENO, COM TAMPA - CAPACIDADE 1.000 LITROS</t>
  </si>
  <si>
    <t>CABO FLEXIVEL BITOLA 16,0 MM2, 1 KV, ISOLACAO DE PVC 70º,  ANTI-CHAMA. COR AZUL CLARA</t>
  </si>
  <si>
    <t>LUMINARIA DE SOBREPOR ALETADA, 2 LAMPADAS TUBULARES DE 32W</t>
  </si>
  <si>
    <t>LUMINARIA DE SOBREPOR HERMETICA, 2 LAMPADAS TUBULARES DE 32W</t>
  </si>
  <si>
    <t>TERMINAL A PRESSAO POR ALICATE BITOLA 16,0MM - TIPO ANEL</t>
  </si>
  <si>
    <t>PASTA PARA LIMPEZA - 1 KG</t>
  </si>
  <si>
    <t>PINO T-50 - P/PINADEIRA</t>
  </si>
  <si>
    <t>FIO TELEFONICO EXTERNO FE - AA - 80</t>
  </si>
  <si>
    <t>CALCADO SEM COMPONENTES METALICOS Nº 36</t>
  </si>
  <si>
    <t>CALCADO SEM COMPONENTES METALICOS Nº 39</t>
  </si>
  <si>
    <t>CALCADO SEM COMPONENTES METALICOS Nº 40</t>
  </si>
  <si>
    <t>CALCADO SEM COMPONENTES METALICOS Nº 41</t>
  </si>
  <si>
    <t>SAPATO DE COURO N° 42, SOLADO DE POLIURETANO BIDENSIDADE,  SEM COMPONENTES METALICOS</t>
  </si>
  <si>
    <t>PARAFUSO (FIXER) BICROMATIZADO.</t>
  </si>
  <si>
    <t>KIT BARRAMENTO</t>
  </si>
  <si>
    <t>VALVULA DE DESCARGA, EM LATAO, COM DIAMETRO NOMINAL DE 40 MM (1 1/2")</t>
  </si>
  <si>
    <t>TAMPO PARA CARTEIRA - VERDE CLARO - 400MM X 600MM X 18MM</t>
  </si>
  <si>
    <t>DISPENSADOR PARA PAPEL TOALHA INTERFOLHA. DIMENSOES: 320X250X130MM (AXLXP)</t>
  </si>
  <si>
    <t>ARAME PARA SOLDA MIG/MAG COM DIAMETRO DE 0,8 MM.</t>
  </si>
  <si>
    <t>CALCA DE BRIM N° 40, CONFECCIONADA EM TECIDO MISTO 67% ALGODAO NA COR AZUL MARINHO</t>
  </si>
  <si>
    <t>CALCA DE BRIM N° 42, CONFECCIONADA EM TECIDO MISTO 67% ALGODAO NA COR AZUL MARINHO</t>
  </si>
  <si>
    <t>CALCA DE BRIM N° 44, CONFECCIONADA EM TECIDO MISTO 67% ALGODAO NA COR AZUL MARINHO</t>
  </si>
  <si>
    <t>CONFECCAO DE CALCA DE BRIM, N° 46</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</si>
  <si>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</si>
  <si>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</si>
  <si>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</si>
  <si>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</si>
  <si>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DE BRIM, N° 3, CONFECCIONADA EM TECIDO 100% ALGODAO, NA COR AZUL MARINHO</t>
  </si>
  <si>
    <t>CAMISA DE BRIM, N° 4, CONFECCIONADA EM TECIDO 100% ALGODAO, NA COR AZUL MARINHO</t>
  </si>
  <si>
    <t>CAMISA DE BRIM, N° 5, CONFECCIONADA EM TECIDO 100% ALGODAO, NA COR AZUL MARINHO</t>
  </si>
  <si>
    <t>CAMISA DE BRIM, N° 6, CONFECCIONADA EM TECIDO 100% ALGODAO, NA COR AZUL MARINHO</t>
  </si>
  <si>
    <t>TINTA ACRILICA, A BASE DE AGUA, LAVAVEL, LATA COM 18 LITROS</t>
  </si>
  <si>
    <t xml:space="preserve">PAPEL ADESIVO P/ ENCADERNACAO (TIPO CONTACT) - 0,50 M DE LARGURA (VARIACAO +/- 0,05M) - TRANSPARENTE - ROLO COM 25 M </t>
  </si>
  <si>
    <t>PUXADOR EXTERNO PARA ARMARIO, COM 2 PARAFUSOS - TIPO ALCA - MEDIDA: 14,5 CM X 2,5 CM</t>
  </si>
  <si>
    <t>GRELHA REDONDA PARA RALO EM INOX, 6" COM DISPOSITIVO DE VEDACAO PARA INSETO</t>
  </si>
  <si>
    <t>BOTINA DE COURO N° 39, C/ BICO DE ACO SOLADO DE BORRACHA</t>
  </si>
  <si>
    <t>BOTINA DE COURO N° 40, C/BICO DE ACO, SOLADO DE BORRAHA</t>
  </si>
  <si>
    <t>BOTINA DE COURO N° 45, C/BICO DE ACO, SOLADO DE BORRACHA</t>
  </si>
  <si>
    <t>SUPORTE PARA CONDULETE</t>
  </si>
  <si>
    <t>TINTA ACRILICA LAVAVEL - AZUL CLARO - 18 LITROS</t>
  </si>
  <si>
    <t>TINTA ACRILICA LAVAVEL - VERDE CLARO - 18 LITROS</t>
  </si>
  <si>
    <t>TINTA ACRILICA LAVAVEL - AMARELO CLARO - 18 LITROS</t>
  </si>
  <si>
    <t>TINTA ACRILICA LAVAVEL. - BEGE - 18 LITROS</t>
  </si>
  <si>
    <t>CALCA DE BRIM N° 56, CONFECCIONADA EM TECIDO MISTO 67% ALGODAO NA COR AZUL MARINHO</t>
  </si>
  <si>
    <t>CONFECCAO DE CAMISA DE BRIM, N° 7</t>
  </si>
  <si>
    <t>PERFIL CADEIRA DE FERRO, MEDINDO 50 MM X 25 MM, BARRA COM 3 METROS.</t>
  </si>
  <si>
    <t>SAPATO DE SEGURANCA N° 37,  MOD. FEMININO.</t>
  </si>
  <si>
    <t>SAPATO DE COURO N° 38, MOD. FEMININO.</t>
  </si>
  <si>
    <t>LUVA DE RASPA DE COURO, CANO LONGO</t>
  </si>
  <si>
    <t>CONECTOR RJ-45 FEMEA, PARA CABO UTP CATEGORIA 6</t>
  </si>
  <si>
    <t>ESCORREDOR DE PRATO EM INOX</t>
  </si>
  <si>
    <t xml:space="preserve">CONTATOR LC1 D18M7  </t>
  </si>
  <si>
    <t>RELE TERMICO 5.5 A 8A LRD12 ( SCH )</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</si>
  <si>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</si>
  <si>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</si>
  <si>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</si>
  <si>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</si>
  <si>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</si>
  <si>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</si>
  <si>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</si>
  <si>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</si>
  <si>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SABONETEIRA EM ABS NA COR BRANCA</t>
  </si>
  <si>
    <t>TINTA GUACHE,  ATOXICA, COR AMARELO-OURO, CONTENDO 250 ML</t>
  </si>
  <si>
    <t>LIXA PARA LIXADEIRA DE CINTA</t>
  </si>
  <si>
    <t>BUCHA DE REDUCAO EM PVC RIGIDO SOLDAVEL DE 4" X 2" - ESGOTO".</t>
  </si>
  <si>
    <t>RELE FOTOELETRICO COM BASE 220 V - 1000 W - TIPO NF</t>
  </si>
  <si>
    <t>SUPORTE EM ACRILICO E TAMPA EM INOX, PARA AFIXAR NA PAREDE, PARA ARMAZENAR COPOS CAFE 50ML</t>
  </si>
  <si>
    <t>SUPORTE EM ACRILICO E TAMPA EM INOX, PARA FIXAR NA PAREDE, PARA ARMAZENAR COPOS AGUA 200ML</t>
  </si>
  <si>
    <t xml:space="preserve">CONTROLADOR ROTATIVO DE VELOCIDADE COM CHAVE PARA VENTILADORES </t>
  </si>
  <si>
    <t xml:space="preserve">CHAVE DE NIVEL TIPO BOIA </t>
  </si>
  <si>
    <t>QUEROSENE - GARRAFA PLASTICA COM MINIMO DE 900 ML</t>
  </si>
  <si>
    <t>PUXADOR EXTERNO PARA ARMARIO</t>
  </si>
  <si>
    <t>SAPATA LATERAL 16 MM</t>
  </si>
  <si>
    <t>INTERRUPTOR DIFERENCIAL RESIDUAL BIPOLAR</t>
  </si>
  <si>
    <t>QUADRO DE DISTRIBUICAO DE EMBUTIR PARA 56 DISJUNTORES</t>
  </si>
  <si>
    <t xml:space="preserve">HOLOFOTE RETANGULAR COM BASE E-40 EM ALUMINIO </t>
  </si>
  <si>
    <t>REATOR PARA LAMPADA DE VAPOR METALICO</t>
  </si>
  <si>
    <t>CABO DE COBRE FLEXIVEL BITOLA 35 MM²,  0,6/1 KV ISOLACAO DE PVC 70° C, COR PRETA</t>
  </si>
  <si>
    <t>LUMINARIA TIPO ARANDELA,</t>
  </si>
  <si>
    <t>ELEMENTO FILTRANTE DE MICRO-FIBRA DE PP</t>
  </si>
  <si>
    <t>BOTA DE PVC N° 38 - CANO CURTO</t>
  </si>
  <si>
    <t>BOTA DE PVC N° 40 - CANO CURTO</t>
  </si>
  <si>
    <t>BOTA DE PVC N° 41 - CANO CURTO</t>
  </si>
  <si>
    <t>BOTA DE PVC N° 42 - CANO CURTO</t>
  </si>
  <si>
    <t xml:space="preserve">PASTA SUSPENSA, DE POLIPROPILENO(PP-LINE), </t>
  </si>
  <si>
    <t>TEXTURA ACRILICA GRAFIATO HIDROREPELENTE NA COR BRANCA - BARRICA COM 25 KG.</t>
  </si>
  <si>
    <t>CHAPA DE LAMINADO MELAMINICO  PARA LOUSA LISA QUADRICULADA (5X5CM) DE FUNDO BRANCO ACABAMENTO BRILHANTE C/ 3,08 X 1,25 M ESP =1,0MM. COR PADRAO: BRANCOLINE</t>
  </si>
  <si>
    <t xml:space="preserve">GUIA DE CONCRETO PRE MOLDADA FINA, PADRAO PMRJ. MEDIDAS: 10CM (ESPESSURA TOPO) X 12CM (ESPESSURA BASE) X 30CM (ALTURA) X 1M (COMPRIMENTO). </t>
  </si>
  <si>
    <t>CANECA PLASTICA (POLIPROPILENO), CAPACIDADE P/ 330 ML</t>
  </si>
  <si>
    <t>SABONETE LIQUIDO PEROLADO, FRASCO COM 1 LITRO</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</si>
  <si>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</si>
  <si>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</si>
  <si>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</si>
  <si>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</si>
  <si>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CABO DE COBRE FLEXIVEL BITOLA  95 MM²,  750 V ISOLACAO DE PVC 70° C, COR VERDE - ANTI-CHAMA.</t>
  </si>
  <si>
    <t>CABO DE COBRE FLEXIVEL BITOLA 70 MM²,  0,6/1 KV ISOLACAO DE PVC 70° COR AZUL CLARO - ANTI-CHAMA.</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</si>
  <si>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</si>
  <si>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</si>
  <si>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</si>
  <si>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</si>
  <si>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</si>
  <si>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</si>
  <si>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RODIZIO GIRATORIO DE 1" 1/2 PARA CARRINHO </t>
  </si>
  <si>
    <t xml:space="preserve">TAMPA P/ CONDULETE DE PVC 3/4" CEGA </t>
  </si>
  <si>
    <t>QUADRO DE DISTRIBUICAO DE SOBREPOR TRIFASICO 225 AMPERES PARA 70 DISJUNTORES TIPO DIN</t>
  </si>
  <si>
    <t xml:space="preserve">CARRINHO DE MAO 150 KG ( 60 LITROS)  TOTALMENTE GALVANIZADO  </t>
  </si>
  <si>
    <t>ALCOOL GEL A 70%, FRASCO C/ 1.000 ML, VALVULA "TIPO PUMP", COM HIDRATANTE ALOE VERA</t>
  </si>
  <si>
    <t>TOMADA 2P+T DE 20A/250V DE EMBUTIR COM ESPELHO PARA CAIXA 4X2, PADRAO NBR 14136</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</si>
  <si>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</si>
  <si>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</si>
  <si>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</si>
  <si>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</si>
  <si>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</si>
  <si>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90° PADRAO NBR 14136 DE 20A/250V GIGANTE</t>
  </si>
  <si>
    <t>PLUG MOVEL 2P + T 90° PADRAO NBR 14136 DE 20A/250V GIGANTE</t>
  </si>
  <si>
    <t>PLUG MOVEL 2P + T 90° PADRAO NBR 14136 DE 10A/250V GIGANTE</t>
  </si>
  <si>
    <t>PINO ADAPTADOR PARA TOMADA 2P+T UNIVERSAL PARA TOMADA 2P+T 10A PADRAO NBR 14136</t>
  </si>
  <si>
    <t>TERMINAL A COMPRESSAO PARA 1 CABO DE COBRE 25 MM2 COM 1 FURO DE FIXACAO</t>
  </si>
  <si>
    <t>CABO DE COBRE FLEXIVEL BITOLA 70 MM²,</t>
  </si>
  <si>
    <t>TORNEIRA BICO DE GANSO COM 18 CM DE COMPRIMENTO, TIPO MESA</t>
  </si>
  <si>
    <t>PISO CARRARA. COR: BRANCO. MEDINDO: A: 44,4 X 44,4CM. SERIE MAMORE CARRARA. PORCELLANATO ESMALTADO.</t>
  </si>
  <si>
    <t xml:space="preserve">KIT BARRAMENTO CONTENDO: BARRAMENTO TRIFASICO DE COBRE CHATO ELETROLITICO 250 A  </t>
  </si>
  <si>
    <t>TERMINAL A COMPRESSAO PARA 1 CABO DE COBRE 50 MM2 TIPO ANEL</t>
  </si>
  <si>
    <t>REGISTRO TIPO ESFERA, MATERIAL PVC, DIAMETRO 3/4"</t>
  </si>
  <si>
    <t>ASSENTO PARA VASO SANITARIO EM POLIURETANO EXPANDIDO COM TAMPA EM POLIPROPILENO, FIXACAO COM ELEMENTOS DE PLASTICO COM POSSIBILIDADE DE AJUSTE EM TODAS AS DIRECOES</t>
  </si>
  <si>
    <t>CAIXA DE PASSAGEM EM CHAPA METALICA DE SOBREPOR</t>
  </si>
  <si>
    <t>REJUNTE BEGE - SACO COM 01 KG</t>
  </si>
  <si>
    <t>PISO DE BORRACHA MODELO S, ISENTO DE SUBSTANCIAS TOXICAS COM ABSORCAO DE IMPACTOS ANTI DERRAPANTES, NA MEDIDA 270X180X60MM</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</si>
  <si>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</si>
  <si>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</si>
  <si>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</si>
  <si>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</si>
  <si>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</si>
  <si>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</si>
  <si>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</si>
  <si>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</si>
  <si>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</si>
  <si>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</si>
  <si>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04 VIAS DE CORES DIFERENTES (4 X 60)</t>
  </si>
  <si>
    <t>CABO DE COBRE FLEXIVEL BITOLA 240 MM2 ISOLACAO 0,6/1KV , TEMPERATURA 70° C, COR PRETA - ANTICHAMA</t>
  </si>
  <si>
    <t>CHAPA DE ACO INOX, BLANQUE: 430, ESPESSURA: 1,5MM, COMPRIMENTO: 2,00M E LARGURA: 1,20M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</si>
  <si>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</si>
  <si>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</si>
  <si>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</si>
  <si>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</si>
  <si>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"X"  - 3/4</t>
  </si>
  <si>
    <t>FILME DE POLIETILENO - MED. 500 MM LARGURA X 0,020 MM ESPESSURA X 140 METROS DE COMPRIMENTO</t>
  </si>
  <si>
    <t>REATOR INTERNO A VAPOR METALICO - 70W, 220 V</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</si>
  <si>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</si>
  <si>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</si>
  <si>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</si>
  <si>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</si>
  <si>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</si>
  <si>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</si>
  <si>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CHAPA EM MDF, BRANCO, 02 FACES 2,75 X 1,83 X 25 MM</t>
  </si>
  <si>
    <t>TOMADA 2P + T DE 10/250V DE EMBUTIR COM ESPELHO PARA CAIXA 4X2, PADRAO NBR 14136</t>
  </si>
  <si>
    <t>CAIXA PLASTICA DE SOBREPOR COM TAMPA - MEDIDAS: 23 X 17 X 90 CM</t>
  </si>
  <si>
    <t xml:space="preserve">ROLAMENTO 6300 - ZZ </t>
  </si>
  <si>
    <t>ROLAMENTO 6301 - ZZ</t>
  </si>
  <si>
    <t>ROLAMENTO 6302 - ZZ</t>
  </si>
  <si>
    <t>ROLAMENTO 6000 - 2 RS</t>
  </si>
  <si>
    <t xml:space="preserve">PISO CERAMICO ANTI-DERRAPANTE PEI-5 MEDINDO 52 X 52CM - COR: </t>
  </si>
  <si>
    <t>TABUA DE CAMBARA DE 1ª, 25 X 300 MM, BRUTA</t>
  </si>
  <si>
    <t>PISO HIDRAULICO, ANTIDERRAPANTE</t>
  </si>
  <si>
    <t>PISO HIDRAULICO, ANTIDERRAPANTE, COR CINZA.</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</si>
  <si>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</si>
  <si>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</si>
  <si>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</si>
  <si>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</si>
  <si>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</si>
  <si>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</si>
  <si>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</si>
  <si>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</si>
  <si>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</si>
  <si>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</si>
  <si>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</si>
  <si>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TOMADA PADRAO</t>
  </si>
  <si>
    <t>TOMADA PADRAO COM 2 TOMADAS</t>
  </si>
  <si>
    <t xml:space="preserve">INTERRUPTOR 10A/250V COM 2 TECLAS PARALELAS </t>
  </si>
  <si>
    <t>TOMADA MOVEL PADRAO NBR 14136 2 +T  DE 10A/250V</t>
  </si>
  <si>
    <t xml:space="preserve">TOMADA PADRAO  DE SOBREPOR </t>
  </si>
  <si>
    <t>PINO ADAPTADOR REVERSO DE TOMADA</t>
  </si>
  <si>
    <t xml:space="preserve">TINTA A BASE DE AGUA PARA USO EM CARIMBO AUTO ENTINTADO - FRASCO COM  30 ML -  COR PRETA </t>
  </si>
  <si>
    <t>DESINFETANTE, MULTIUSO, ANTIBACTERICIDA, PERFUME LAVANDA, GALAO COM 5 LITROS</t>
  </si>
  <si>
    <t>GUARNICAO ADESIVA, EM EPDM PRETA, MEDIDA: 11 X 6,4 MM (VARIACAO: +/- 1 MM)</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</si>
  <si>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</si>
  <si>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</si>
  <si>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CHAPA EM MDF ALTO BRILHO - MEDIDAS: 2,75 X 1,86 M X 06 MM DE ESPESSURA</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</si>
  <si>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</si>
  <si>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</si>
  <si>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</si>
  <si>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</si>
  <si>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</si>
  <si>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</si>
  <si>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</si>
  <si>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</si>
  <si>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</si>
  <si>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CORREDICA TELESCOPICA PARA GAVETA FZ  500MM</t>
  </si>
  <si>
    <t>LAMPADA A VAPOR METALICO TUBULAR 400W, BASE E-40, 220V, MAXIMA TEMPERATURA NA BASE 250ºC, MAXIMA TEMPERATURA NO BULBO 600ºC</t>
  </si>
  <si>
    <t>GUARNICAO PARA POLICARBONATO, REFERENCIA "GUA-030", CONFECCIONADA EM EPDM - MEDIDAS: 12,0 X 6,5 X  4,8 X 2,5 MM (VARIACAO: 0,5 MM)</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</si>
  <si>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</si>
  <si>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</si>
  <si>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</si>
  <si>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SAPATILHA DESCARTAVEL (TIPO PRO PE) DE COR BRANCA, CONFECCIONADA EM TECIDO NAO TECIDO, 30 G DE GRAMATURA, COM ELASTICO A VOLTA, CONTENDO NA EMBALAGEM DADOS DE IDENTIFICACAO E PROCEDENCIA</t>
  </si>
  <si>
    <t>DISCO DE DESBASTE DE 4 ¹/2  X 1/4 X 7/8 - CONFORME NORMAS DA ABNT</t>
  </si>
  <si>
    <t xml:space="preserve">LUMINARIA AUTONOMA DE EMERGENCIA COM LEDS, ALIMENTACAO 110/220V </t>
  </si>
  <si>
    <t>CRUZETA E ACO GALVANIZADO AO FOGO</t>
  </si>
  <si>
    <t>LAMPADA  DE VAPOR METALICO OVOIDE 400W</t>
  </si>
  <si>
    <t>DISCO DE CORTE 4 1/2" DE DIAMETRO EXTERNO, 01 MM DE ESPESSURA E 7/8" DE DIAMETRO DE FURO</t>
  </si>
  <si>
    <t>DISCO DE CORTE 4 1/2" DE DIAMETRO EXTERNO, 1/8 MM DE ESPESSURA E 7/8" DE DIAMETRO DE FURO</t>
  </si>
  <si>
    <t>PNEU 275/80R22,5 - 16 LONAS, RADIAL PARA EIXO TRATIVO, PISO MISTO (ASFALTO/TERRA),CAPACIDADE DE CARGA SIMPLES/DUPLO (KG) 3250/3000, CODIGO DE VELOCIDADE "K", PROFUNDIDADE DOS SULCOS MINIMO 26,0 MM</t>
  </si>
  <si>
    <t>PISO DE BORRACHA MODELO I,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</si>
  <si>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</si>
  <si>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</si>
  <si>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</si>
  <si>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CIMENTO COLANTE - SACO COM 20 KG (PARA USO INTERNO E EXTERNO)</t>
  </si>
  <si>
    <t>PINO F15 - CAIXA COM 5.000 PINOS</t>
  </si>
  <si>
    <t>PINO F20 - CAIXA COM 5.000 PINOS</t>
  </si>
  <si>
    <t>PINO F30 - CAIXA COM 5.000 PINOS</t>
  </si>
  <si>
    <t>PINO F35 - CAIXA COM 5.000 PINOS</t>
  </si>
  <si>
    <t>PINO F40 - CAIXA COM 5.000 PINOS</t>
  </si>
  <si>
    <t>PINO F45 - CAIXA COM 5.000 PINOS</t>
  </si>
  <si>
    <t xml:space="preserve">CABO DE COBRE FLEXIVEL BITOLA 185 MM2 , ISOLACAO 0,6/1 KV, COR PRETA - ANTICHAMA </t>
  </si>
  <si>
    <t xml:space="preserve">CABO DE COBRE FLEXIVEL BITOLA 120 MM2 , ISOLACAO 0,6/1 KV, COR PRETA - ANTICHAMA </t>
  </si>
  <si>
    <t>CABO DE COBRE FLEXIVEL BITOLA 95 MM2 , ISOLACAO 0,6/1 KV, COR AZUL - ANTICHAMA</t>
  </si>
  <si>
    <t xml:space="preserve">CABO DE COBRE FLEXIVEL BITOLA 95 MM2 , ISOLACAO 0,6/1 KV, COR PRETA - ANTICHAMA </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</si>
  <si>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</si>
  <si>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</si>
  <si>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ANEL DE VEDACAO EM BORRACHA PARA BACIA SANITARIA - MEDIDA 100MM.</t>
  </si>
  <si>
    <t>PAPEL CAMURCA - 60 X 40 CM - AZUL CLARO</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</si>
  <si>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</si>
  <si>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PARAFUSO ZINCO AMARELO, CABECA CHATA PH  6,0 X 70 - CAIXA COM  100 UNIDADES</t>
  </si>
  <si>
    <t>CABO DE COBRE FLEXIVEL, BITOLA 35,0MM2, 1KV,  ISOLACAO DE PVC 70ºC, COR AZUL CLARO- ANTI-CHAMA</t>
  </si>
  <si>
    <t>LUVA DE REDUCAO DE ESGOTO 2" X 1.1/2</t>
  </si>
  <si>
    <t>PARAFUSO ZINCO AMARELO, CABECA CHATA PH 4,5 X 40 - CAIXA COM 500 UNIDADES</t>
  </si>
  <si>
    <t>PISO DE BORRACHA MODELO S, COR : TERRACOTA NA MEDIDA: 270 X 180 X 60 MM.</t>
  </si>
  <si>
    <t>PISO DE BORRACHA MODELO I, COR: AMARELO, NA MEDIDA 335 X 255 X 20 MM.</t>
  </si>
  <si>
    <t>CONECTOR RJ-45 MACHO, PARA CABO UTP CATEGORIA 5E</t>
  </si>
  <si>
    <t>LAMPADA VAPOR METALICO, PADRAO HQI, 70 W - 220 V</t>
  </si>
  <si>
    <t>PNEU 700/12, 14 LONAS, PNEUMATICO - PARA EMPILHADEIRA</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</si>
  <si>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</si>
  <si>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</si>
  <si>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</si>
  <si>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</si>
  <si>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</si>
  <si>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</si>
  <si>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PARALELO MONOPOLAR 10 A/250V COM SUPORTE E PLACA 4X2" DE UM POSTO.</t>
  </si>
  <si>
    <t>INTERRUPTOR MODULAR BIPOLAR 10A/250V COM SUPORTE E PLACA 4X2", COMPATIVEL COM A MARCA ILUS.</t>
  </si>
  <si>
    <t>OCULOS ESCUROS DE PROTECAO PARA SOLDADOR</t>
  </si>
  <si>
    <t>REVESTIMENTO CERAMICO PARA PISOS - 45 X 45 CM, NA COR MARFIM.</t>
  </si>
  <si>
    <t>AGUA DESTILADA PARA BATERIA - FRASCO C/ 1 LITRO</t>
  </si>
  <si>
    <t>PE CONICO EM FERRO CROMADO DE 15 CM</t>
  </si>
  <si>
    <t>PARAFUSO MAQUINA CABECA REDONDA 3/8" X 3/4"</t>
  </si>
  <si>
    <t xml:space="preserve">CALCA DE BRIM N° 36, CONFECCIONADA EM TECIDO MISTO 67% ALGODAO NA COR AZUL MARINHO.   </t>
  </si>
  <si>
    <t xml:space="preserve">CALCA DE BRIM N° 50, CONFECCIONADA EM TECIDO MISTO 67% ALGODAO NA COR AZUL MARINHO.   </t>
  </si>
  <si>
    <t>ALCOOL ETILICO HIDRATADO EM GEL 70° INPM - PARA USO DOMESTICO- FRASCO COM NO MINIMO 480 GR</t>
  </si>
  <si>
    <t>MANTA ASFALTICA, AUTO ADESIVA - MEDIDAS: 10CM DE LARGURA X 10 M DE COMPRIMENTO</t>
  </si>
  <si>
    <t>CHA DE ERVA MATE TOSTADO - CAIXA COM 250 GR</t>
  </si>
  <si>
    <t>CAIXA PARA TELEFONIA TIPO TPF-10 COM TAMPA, PARA USO EXTERNO EM POSTE, COM BLOCO BER 10 PARES, PADRAO ANATEL.</t>
  </si>
  <si>
    <t>CAP DE PVC MARROM PARA AGUA DE 50 MM  X  1 1/2" - DE ACORDO COM NBR 5648 E A MARCA, MEDIDA E NBR DEVERAO VIR LITOGRAFADA NA PECA</t>
  </si>
  <si>
    <t>THINNER PARA PINTURA AUTOMOTIVA E MOVEIS LATA COM 05 LITROS</t>
  </si>
  <si>
    <t>SELADORA PARA MADEIRA GALAO DE 3,6 LITROS</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</si>
  <si>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</si>
  <si>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</si>
  <si>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TRANSFORMADOR (TRAFO/FONTE) - ENTRADA 110/220 VOLTS, SAIDA DE 16 VOLTS, AMPERAGEM 1,5 A.</t>
  </si>
  <si>
    <t>BATERIA DE 12 V E 7 A DO TIPO GELATINOSA</t>
  </si>
  <si>
    <t>SIRENE- POTENCIA SONORA DE 120 DB, ALIMENTACAO 12V, SUPORTE PARA FIXACAO.</t>
  </si>
  <si>
    <t>BOTAO ALARME PANICO BLOQUEADOR</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</si>
  <si>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</si>
  <si>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</si>
  <si>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</si>
  <si>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</si>
  <si>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</si>
  <si>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FITA DE BORDO EM PVC, COR BRANCA FOSCA, MEDIDAS 35 X 0,45MM, ROLO COM 300 METROS</t>
  </si>
  <si>
    <t>TAMPAO DE PVC PARA CONDULETE DE 3/4"</t>
  </si>
  <si>
    <t>TAMPAO DE PVC PARA CONDULETE DE 1.1/2"</t>
  </si>
  <si>
    <t>TAMPA CEGA DE ALUMINIO PARA CONDULETE DE 1.1/2"</t>
  </si>
  <si>
    <t>CONECTOR DE ALUMINIO PARA CONDULETE MULTIPLO DE 3/4"</t>
  </si>
  <si>
    <t>CONECTOR DE ALUMINIO PARA CONDULETE MULTIPLO DE 1.1/2"</t>
  </si>
  <si>
    <t xml:space="preserve">PNEU 28 X 9 - 15 (7,0) MACICO PARA EMPILHADEIRA </t>
  </si>
  <si>
    <t>CABO DE COBRE FLEXIVEL BITOLA 120MM², 750 V, ISOLACAO DE PVC - 70°C - COR VERDE</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</si>
  <si>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</si>
  <si>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</si>
  <si>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</si>
  <si>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CHAPA DE POLICARBONATO TRANSPARENTE - ESPESSURA 5MM</t>
  </si>
  <si>
    <t>CONECTOR CABO-HASTE 5/8"</t>
  </si>
  <si>
    <t>ELETRODUTO CORRUGADO EM PEAD (POLIETILENO DE ALTA DENSIDADE) PARA PROTECAO DE CABOS SUBTERRANEOS - DIAMETRO 110MM (4")</t>
  </si>
  <si>
    <t>COADOR DE PAPEL P/ CAFE N° 103 - CAIXA COM 30 UNIDADES</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</si>
  <si>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</si>
  <si>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</si>
  <si>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</si>
  <si>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</si>
  <si>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</si>
  <si>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</si>
  <si>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</si>
  <si>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</si>
  <si>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RESPIRADOR PURIFICADOR DE AR TIPO PECA SEMIFACIAL FILTRANTE PARA PARTICULAS - PFF2, FORMATO TIPO CONCHA</t>
  </si>
  <si>
    <t>PARAFUSO AUTOBROCANTE, 1/4" X 1", COM CABECA SEXTAVADA FLANGEADA E ARRUELA DE EPDM - CAIXA COM 500 UNIDADES</t>
  </si>
  <si>
    <t>TUBO DE FERRO METALON REDONDO, DIAMETRO EXTERNO 21 MM, ESPESSURA DE 2 MM - BARRA C/ 6 M</t>
  </si>
  <si>
    <t>CHAPA DE POLICARBONATO COMPACTO CRISTAL, ESPESSURA DE 5 MM, TAMANHO: 2000 X 1000 MM - VARIACAO DE +/- 20 MM</t>
  </si>
  <si>
    <t>COLA ADESIVO DE MONTAGEM PARA USO INTERNO</t>
  </si>
  <si>
    <t>PA DE LIXO, CORPO EM POLIPROPILENO, CABO LONGO</t>
  </si>
  <si>
    <t>OCULOS DE PROTECAO CONTRA IMPACTOS</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</si>
  <si>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</si>
  <si>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</si>
  <si>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</si>
  <si>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</si>
  <si>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GIZAO DE CERA REDONDO, ATOXICO, COM 6 CORES</t>
  </si>
  <si>
    <t>PASTA PLASTICA COM ELASTICO, SEM LOMBADA, MEDINDO 235MM X 350MM</t>
  </si>
  <si>
    <t>PASTA EM PLASTICO PP CORRUGADO, COM ABAS E ELASTICO REVESTIDO DE TECIDO COM TERMINAIS DE PLASTICO MEDINDO 180MM X 245MM X 20MM</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</si>
  <si>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</si>
  <si>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</si>
  <si>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</si>
  <si>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</si>
  <si>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MINIDICIONARIO DE LINGUA PORTUGUESA, COM MAIS DE 30 MIL VERBETES</t>
  </si>
  <si>
    <t>CABO DE COBRE FLEXIVEL, BITOLA 50MM2, 0,6/1 KV, ISOLACAO DE PVC 70° C, COR AZUL CLARO - ANTI-CHAMA</t>
  </si>
  <si>
    <t>CABO DE COBRE FLEXIVEL, BITOLA 50MM2, 750 V, ISOLACAO DE PVC 70° C, COR VERDE - ANTI-CHAMA</t>
  </si>
  <si>
    <t>CABO DE COBRE FLEXIVEL BITOLA 25 MM², 0,6/1 KV ISOLACAO DE PVC 70° C, ANTICHAMA, COR AZUL-CLARO</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</si>
  <si>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</si>
  <si>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</si>
  <si>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</si>
  <si>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</si>
  <si>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</si>
  <si>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</si>
  <si>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PINCEL PARA PINTURA, CABO EM MADEIRA CURTO, FORMATO CHATO, CERDA BRANCA, TAMANHO 20</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</si>
  <si>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</si>
  <si>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</si>
  <si>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</si>
  <si>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</si>
  <si>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</si>
  <si>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REVESTIMENTO CERAMICO PARA PISOS - 45 X 45 CM, PODENDO VARIAR +/- 2 CM,  4 MM DE ESPESSURA, PODENDO VARIAR +/- 1 MM,  DE PEI 4 - NA COR BRANCA.</t>
  </si>
  <si>
    <t>FECHO CHATO COM PORTA CADEADO ZINCADO 5" REFORCADO, COM PARAFUSOS, MATERIAL DO FECHO:  ACO CARBONO, MEDIDA: 127MM.</t>
  </si>
  <si>
    <t>LAMPADA LED BULBO 10W - LAMPADA LED BULBO, BASE E27, POTENCIA 10W, TENSAO 100-240V</t>
  </si>
  <si>
    <t>LAMPADA LED BULBO 20W - LAMPADA LED BULBO, BASE E27, POTENCIA 20W, TENSAO 100-240V</t>
  </si>
  <si>
    <t>VASO SANITARIO INFANTIL, NA COR BRANCA, MATERIAL EM LOUCA NAS DIMENSOE: 30 X 31 X 41,5 CM (ALTURA/LARGURA/COMPRIMENTO)  MEDIDAS PODENDO VARIAR EM + / - 03 CM</t>
  </si>
  <si>
    <t>LAVATORIO SUSPENSO INFANTIL, NA COR BRANCA, MATERAL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</si>
  <si>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</si>
  <si>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</si>
  <si>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</si>
  <si>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</si>
  <si>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POLISTER. COR INTENSA E FACIL DE APAGAR. A MARCA DEVERA SER LITOGRAFADA NO PRODUTO. COR: AZUL</t>
  </si>
  <si>
    <t>MARCADOR DE QUADRO BRANCO, PONTA DE 04 MM (MINIMO) REDONDA DE ACRILICO OU POLISTER. COR INTENSA E FACIL DE APAGAR. A MARCA DEVERA SER LITOGRAFADA NO PRODUTO. COR: PRETO</t>
  </si>
  <si>
    <t>CUMEEIRA ARTICULADA FIBRA SINTETICA CRFS, 1,10 X 06 MM - SUPERIOR</t>
  </si>
  <si>
    <t>CUMEEIRA ARTICULADA FIBRA SINTETICA CRFS, 1,10 X 06 MM - INFERIOR</t>
  </si>
  <si>
    <t>FITA PET VIRGEM (ALTA RESISTENCIA) 16MM X 0,80MM, UTILIZADA EM SELADOR ELETRICO, ROLO COM 20KG  - APROXIMADO. 1180 MTS</t>
  </si>
  <si>
    <t>ADESIVO SELANTE PARA VEDACAO/CALAFETACAO  DE CALHAS RUFOS E AFINS,  A BASE DE POLIURETANO - TUBO DE 350 A 400 GRAMAS</t>
  </si>
  <si>
    <t>TELHA TRAPEZOIDAL 5000MM COMPRIMENTO X 1056MM LARGURA X 38 MM ALTURA</t>
  </si>
  <si>
    <t xml:space="preserve">CUMEEIRA PARA TELHA TRAPEZOIDAL, MODELO L38 </t>
  </si>
  <si>
    <t>SACO PLASTICO P/ LIXO - 15 L, COR PRETA.</t>
  </si>
  <si>
    <t>SOQUETE PARA BASE G13</t>
  </si>
  <si>
    <t>BUCHA PARA GESSO ACARTONADO (DRYWALL)</t>
  </si>
  <si>
    <t xml:space="preserve">ELETRODO REVESTIDO PARA SOLDA 2,5 MM - NORMA AWS E-6013 </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</si>
  <si>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</si>
  <si>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</si>
  <si>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</si>
  <si>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PAPEL MANILHA EM BOBINA, COR ROSA - 60 CM X 250 M (VARIACAO: DE +/- 5 CM NA LARGURA E 10 M NO COMPRIMENTO), 55G/M2 (+/- 05G) - BOBINA COM PESO MINIMO DE 8 KG</t>
  </si>
  <si>
    <t>APONTADOR PARA LAPIS Nº 02, COM DEPOSITO.</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</si>
  <si>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</si>
  <si>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</si>
  <si>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</si>
  <si>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</si>
  <si>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</si>
  <si>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LIQUIDA LAVAVEL. MINIMO 90 G.</t>
  </si>
  <si>
    <t>ESQUADRO DE 45° - COR: TRANSPARENTE.</t>
  </si>
  <si>
    <t>ESQUADRO DE 60° - COR: TRANSPARENTE.</t>
  </si>
  <si>
    <t>TRANSFERIDOR DE 180° - COR: TRANSPARENTE</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</si>
  <si>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</si>
  <si>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</si>
  <si>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</si>
  <si>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</si>
  <si>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</si>
  <si>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</si>
  <si>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</si>
  <si>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</si>
  <si>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</si>
  <si>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</si>
  <si>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</si>
  <si>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</si>
  <si>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</si>
  <si>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 xml:space="preserve">PAPEL KRAFT (PAPEL PARDO) EM BOBINA - 60 CM X 150 M </t>
  </si>
  <si>
    <t>CADERNO DE DESENHO ESPIRAL, 96 FOLHAS, CAPA DURA.</t>
  </si>
  <si>
    <t>CANETA HIDROGRAFICA PONTA FINA/MEDIA, CONJUNTO COM 12  CORES</t>
  </si>
  <si>
    <t>GIZ DE CERA JUMBO, COM NO MINIMO 12 CORES, ATOXICO.</t>
  </si>
  <si>
    <t>LAPIS DE COR, SEXTAVADO, COM 24 CORES</t>
  </si>
  <si>
    <t>CANETA ESFEROGRAFICA AZUL, CORPO SEXTAVADO.</t>
  </si>
  <si>
    <t>CANETA ESFEROGRAFICA VERMELHA, CORPO SEXTAVADO.</t>
  </si>
  <si>
    <t>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</si>
  <si>
    <t>AREIA MEDIA LAVADA(GRANULAMETRIA 0,6 A 2,4 MM), CONFORME ABNT. O MATERIAL ENTREGUE DEVERA ESTAR APTO A ENSAIOS DE PENEIRAMENTO, CONFORME TABELA 2 - LIMITES DA DISTRIBUICAO GRANULOMETRICA DO AGREGADO MIUDO (ABNT 7211/2005).EQUIVALENCIA APROXIMADA EM TONELADAS: 1,30 A 1,50</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</si>
  <si>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</si>
  <si>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LAMPADA LED TUBULAR T8.</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</si>
  <si>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</si>
  <si>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</si>
  <si>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</si>
  <si>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</si>
  <si>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</si>
  <si>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</si>
  <si>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</si>
  <si>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FITA DE BORDA CARVALHO MALVA OU SIMILAR, MEDINDO: 22 MM X 0,45 MM X 20 M.</t>
  </si>
  <si>
    <t xml:space="preserve">PONTEIRA PLASTICA EXTERNA NA COR PRETA PARA TUBO REDONDO DE 3/4" </t>
  </si>
  <si>
    <t>PONTEIRA PLASTICA INTERNA NA COR PRETA PARA TUBO QUADRADO DE 1"</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</si>
  <si>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</si>
  <si>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</si>
  <si>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</si>
  <si>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</si>
  <si>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</si>
  <si>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</si>
  <si>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</si>
  <si>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</si>
  <si>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</si>
  <si>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</si>
  <si>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</si>
  <si>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</si>
  <si>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</si>
  <si>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</si>
  <si>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</si>
  <si>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</si>
  <si>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</si>
  <si>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</si>
  <si>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</si>
  <si>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LAPIS DE COR JUMBO, MODELO TRIANGULAR, EM 12 CORES.</t>
  </si>
  <si>
    <t>COTOVELO 45° DE PVC - 1" PARA AGUA, DE ACORDO COM A NORMA NBR 5648. TODAS AS INFORMACOES DEVERAO ESTAR LITOGRAFADAS NA PECA.</t>
  </si>
  <si>
    <t>COTOVELO 45°, EM PVC SOLDAVEL PARA AGUA, MARROM, 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</si>
  <si>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</si>
  <si>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</si>
  <si>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</si>
  <si>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NIPLE DUPLO DE REDUCAO ROSQUEAVEL 3/4 X 1/2 EM LATAO</t>
  </si>
  <si>
    <t>LAPIS GRAFITE Nº 2, SEXTAVADO, CORPO FEITO EM MADEIRA.</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</si>
  <si>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</si>
  <si>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</si>
  <si>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</si>
  <si>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</si>
  <si>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ITENS PARA EXCLUIR DO ESTOQUE</t>
  </si>
  <si>
    <t>UN</t>
  </si>
  <si>
    <t>GRUPO</t>
  </si>
  <si>
    <t>SUBGR</t>
  </si>
  <si>
    <t>QTDE</t>
  </si>
  <si>
    <t>SETOR</t>
  </si>
  <si>
    <t>PC</t>
  </si>
  <si>
    <t>ELÉTRICA</t>
  </si>
  <si>
    <t>ALGODAO HIDROFILO EM FLOCOS - PT COM 100 GRAMAS</t>
  </si>
  <si>
    <t>PT</t>
  </si>
  <si>
    <t>RL</t>
  </si>
  <si>
    <t>CONSTRUÇÃO</t>
  </si>
  <si>
    <t>MARCENARIA</t>
  </si>
  <si>
    <t>MERENDA</t>
  </si>
  <si>
    <t>BARRA/FIO REDONDO PARA CONSTRUCAO, DE ACO CA50 - 5/8" - BARRA COM 12 METROS</t>
  </si>
  <si>
    <t>BR</t>
  </si>
  <si>
    <t>BATENTE DE GARAPEIRA 0,62 X 2,10 M</t>
  </si>
  <si>
    <t>BATENTE DE GARAPEIRA 0,72 X 2,10 M</t>
  </si>
  <si>
    <t>JG</t>
  </si>
  <si>
    <t>BLOCO DE CONCRETO - 20 X 20 X 40 CM</t>
  </si>
  <si>
    <t>HIDRÁULICA</t>
  </si>
  <si>
    <t>FERRAMENTAS</t>
  </si>
  <si>
    <t>LIMPEZA</t>
  </si>
  <si>
    <t>M</t>
  </si>
  <si>
    <t>SERRALHERIA</t>
  </si>
  <si>
    <t>CH</t>
  </si>
  <si>
    <t>CONDULETE EM LIGA DE ALUMINIO FUNDIDO TIPO "T"  - 1</t>
  </si>
  <si>
    <t>PR</t>
  </si>
  <si>
    <t>DESEMPENADEIRA DE MADEIRA - 12 X 20CM</t>
  </si>
  <si>
    <t>ESTICADOR EM FERRO GALVANIZADO PARA CABO DE ACO DE ATE 5/16"</t>
  </si>
  <si>
    <t>INTERRUPTOR MODULAR PARALELO BIPOLAR 10 A/250V COM SUPORTE E PLACA 4X2" DE UM POSTO.</t>
  </si>
  <si>
    <t>INTERRUPTOR MODULAR SIMPLES 10 A/250V COM SUPORTE E PLACA 4X2" DE UM POSTO.</t>
  </si>
  <si>
    <t>LAMINA DE SERRA EM ACO RAPIDO 1/2" X 12" 24 DENTES</t>
  </si>
  <si>
    <t>MASSA CORRIDA A OLEO PARA NIVELAR MADEIRA - GALAO COM 3.600 ML</t>
  </si>
  <si>
    <t>GL</t>
  </si>
  <si>
    <t>MOURAO DE CONCRETO ARMADO CURVO - 2,45 X 0,45 M PARA ALAMBRADO</t>
  </si>
  <si>
    <t>PA DE CALDEIRAO EM POLIETILENO, SEM FUROS - MED. 1,5 CM X 9 CM X 75 CM</t>
  </si>
  <si>
    <t>FL</t>
  </si>
  <si>
    <t>PAPELARIA</t>
  </si>
  <si>
    <t>PAPEL TERMICO P/ FAX  30M X 216MM</t>
  </si>
  <si>
    <t>BB</t>
  </si>
  <si>
    <t>CX</t>
  </si>
  <si>
    <t>M2</t>
  </si>
  <si>
    <t>PASTILHA CERAMICA TELADO MEDINDO 10 X 10 CM - COR AZUL CEU</t>
  </si>
  <si>
    <t>PEDRA MINEIRA 30 X30 CM</t>
  </si>
  <si>
    <t>PENEIRA MALHA FINA ARO DE MADEIRA - 70CM</t>
  </si>
  <si>
    <t>PNEU 165/70 R 13, RADIAL PARA EIXO DIRECIONAL E LIVRE, INDICE DE CARGA 78 (CARGA POR PNEU 425 KG), INDICE DE VELOCIDADE T (ATE 190 KM/H), PROFUNDIDADE DOS SULCOS 8,0 MM.</t>
  </si>
  <si>
    <t>TRANSPORTE INTERNO</t>
  </si>
  <si>
    <t>PNEU 185 R14, PARA ASFALTO RADIAL SEM CAMARA</t>
  </si>
  <si>
    <t>PNEU 185/60 R 14 RADIAL</t>
  </si>
  <si>
    <t>PNEU 205/55 R16</t>
  </si>
  <si>
    <t>PNEU 205/75 - R 16, 08 LONAS, LISO</t>
  </si>
  <si>
    <t>PNEU 225/70 R15, 08 LONAS</t>
  </si>
  <si>
    <t>PNEU 225/75 R15, RADIAL PARA EIXO DIRECIONAL E LIVRE, INDICE DE CARGA 105 (CARGA POR PNEU 925 KG), INDICE DE VELOCIDADE S (ATE 180 KM POR/H), PROFUNDIDADE DOS SULCOS 11,0 MM.</t>
  </si>
  <si>
    <t>EMPILHADEIRA</t>
  </si>
  <si>
    <t>KG</t>
  </si>
  <si>
    <t>GF</t>
  </si>
  <si>
    <t>RASTELO DE ACO 12 DENTES</t>
  </si>
  <si>
    <t>REBITE DE REPUCHO EM ALUMINIO C/ MANDRIL DE ACO 6 X 35 MM</t>
  </si>
  <si>
    <t>REVESTIMENTO CERAMICO PARA PISOS - 41 X 41 CM - PEI 4 - COR PALHA</t>
  </si>
  <si>
    <t>REVESTIMENTO CERAMICO PARA PISOS - 45 X 45 CM, NA COR PALHA.</t>
  </si>
  <si>
    <t>ROLO DE ESPUMA P/ PINTURA - 09 CM C/ CABO</t>
  </si>
  <si>
    <t>PINTURA</t>
  </si>
  <si>
    <t>ROLO DE ESPUMA P/ PINTURA - 23 CM C/ CABO</t>
  </si>
  <si>
    <t>TABUA DE GARAPEIRA BRUTA - MEDIDAS: 2,5 CM X 30 CM X 5,00 M</t>
  </si>
  <si>
    <t>TALHADEIRA DE ACO 200 X 19 MM DE 3/4 X 8"</t>
  </si>
  <si>
    <t>TELHA DE BARRO COZIDO - TIPO FRANCESA</t>
  </si>
  <si>
    <t>TELHA DE BARRO COZIDO, TIPO PLANA, CAPA E CANAL</t>
  </si>
  <si>
    <t xml:space="preserve">TELHA DE FIBROCIMENTO ONDA NA MEDIDA 0,50 CM X 3,70 M X 0,60 CM X 6 MM DE ESPESSURA </t>
  </si>
  <si>
    <t>LT</t>
  </si>
  <si>
    <t>TINTA ESMALTE SINTETICO BRILHANTE, COR VERDE LIMAO - GALAO COM 3,600 ML</t>
  </si>
  <si>
    <t>TINTA LATEX ACRILICO FOSCA TERRACOTA - LATA COM 18 LITROS</t>
  </si>
  <si>
    <t>VERNIZ SINTETICO BRILHANTE, GL C/ 3.600 ML</t>
  </si>
  <si>
    <t>VIGA DE GARAPEIRA BRUTA - 6 CM X 12 CM X 3,50 M COMPRIMENTO</t>
  </si>
  <si>
    <t>VIGA DE GARAPEIRA BRUTA - 6 X 16 X 3,50 M COMPRIMENTO</t>
  </si>
  <si>
    <t>Excluir?</t>
  </si>
  <si>
    <t>CRIAÇÃO</t>
  </si>
  <si>
    <t>DESCRIÇÃO   (Itens ativos = 1.027 / Itens a excluir = 228 )</t>
  </si>
  <si>
    <t>BANDEIRA DA CIDADE - 1,12 X 1,60 M, , MODELO BORDADO, CONFECCIONADA EM TECIDO 100% POLIESTER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</si>
</sst>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5" x14ac:knownFonts="1">
    <font>
      <sz val="11"/>
      <color theme="1"/>
      <name val="Calibri"/>
      <family val="2"/>
      <scheme val="minor"/>
    </font>
    <font>
      <sz val="11"/>
      <name val="Calibri"/>
      <family val="2"/>
      <scheme val="minor"/>
    </font>
    <font>
      <b/>
      <sz val="11"/>
      <color theme="1"/>
      <name val="Calibri"/>
      <family val="2"/>
      <scheme val="minor"/>
    </font>
    <font>
      <b/>
      <sz val="14"/>
      <color theme="1"/>
      <name val="Calibri"/>
      <family val="2"/>
      <scheme val="minor"/>
    </font>
    <font>
      <b/>
      <sz val="1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1" fillId="0" borderId="0" xfId="0" applyFont="1"/>
    <xf numFmtId="0" fontId="0" fillId="4" borderId="0" xfId="0" applyFill="1" applyAlignment="1">
      <alignment horizontal="center"/>
    </xf>
    <xf numFmtId="0" fontId="0" fillId="4" borderId="0" xfId="0" applyFill="1" applyAlignment="1">
      <alignment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49" fontId="2" fillId="2" borderId="1" xfId="0" applyNumberFormat="1" applyFont="1"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3" fontId="0" fillId="0" borderId="1" xfId="0" applyNumberFormat="1" applyBorder="1" applyAlignment="1">
      <alignment horizontal="right" vertical="center" indent="1"/>
    </xf>
    <xf numFmtId="0" fontId="0" fillId="0" borderId="1" xfId="0" applyBorder="1" applyAlignment="1">
      <alignment horizontal="center" vertical="center" wrapText="1"/>
    </xf>
    <xf numFmtId="0" fontId="0" fillId="0" borderId="0" xfId="0" applyAlignment="1">
      <alignment horizontal="center"/>
    </xf>
    <xf numFmtId="164" fontId="0" fillId="0" borderId="0" xfId="0" applyNumberFormat="1" applyAlignment="1">
      <alignment horizontal="center" vertical="center"/>
    </xf>
    <xf numFmtId="164" fontId="0" fillId="3" borderId="0" xfId="0" applyNumberFormat="1" applyFill="1" applyAlignment="1">
      <alignment horizontal="center" vertical="center"/>
    </xf>
    <xf numFmtId="164" fontId="0" fillId="0" borderId="0" xfId="0" applyNumberFormat="1"/>
    <xf numFmtId="3" fontId="0" fillId="0" borderId="0" xfId="0" applyNumberFormat="1" applyAlignment="1">
      <alignment horizontal="right" indent="1"/>
    </xf>
    <xf numFmtId="3" fontId="0" fillId="3" borderId="0" xfId="0" applyNumberFormat="1" applyFill="1" applyAlignment="1">
      <alignment horizontal="right" indent="1"/>
    </xf>
    <xf numFmtId="0" fontId="0" fillId="0" borderId="0" xfId="0" applyAlignment="1">
      <alignment horizontal="left" indent="1"/>
    </xf>
    <xf numFmtId="0" fontId="0" fillId="3" borderId="0" xfId="0" applyFill="1" applyAlignment="1">
      <alignment horizontal="left" indent="1"/>
    </xf>
    <xf numFmtId="164" fontId="4" fillId="2" borderId="1" xfId="0" applyNumberFormat="1" applyFont="1" applyFill="1" applyBorder="1" applyAlignment="1">
      <alignment horizontal="center" vertical="center"/>
    </xf>
    <xf numFmtId="0" fontId="4" fillId="2" borderId="1" xfId="0" applyFont="1" applyFill="1" applyBorder="1" applyAlignment="1">
      <alignment horizontal="center" vertical="center"/>
    </xf>
    <xf numFmtId="3" fontId="4" fillId="2" borderId="1" xfId="0" applyNumberFormat="1" applyFont="1" applyFill="1" applyBorder="1" applyAlignment="1">
      <alignment horizontal="center" vertical="center"/>
    </xf>
    <xf numFmtId="164" fontId="0" fillId="0" borderId="0" xfId="0" applyNumberFormat="1" applyAlignment="1">
      <alignment horizontal="center"/>
    </xf>
    <xf numFmtId="0" fontId="3" fillId="2" borderId="0" xfId="0" applyFont="1" applyFill="1" applyAlignment="1">
      <alignment horizontal="center"/>
    </xf>
  </cellXfs>
  <cellStyles count="1">
    <cellStyle name="Normal" xfId="0" builtinId="0"/>
  </cellStyles>
  <dxfs count="16">
    <dxf>
      <numFmt numFmtId="0" formatCode="General"/>
      <alignment horizontal="center" vertical="bottom" textRotation="0" wrapText="0" indent="0" justifyLastLine="0" shrinkToFit="0" readingOrder="0"/>
    </dxf>
    <dxf>
      <numFmt numFmtId="164" formatCode="dd\.mm\.yyyy"/>
      <alignment horizontal="center" vertical="center" textRotation="0" wrapText="0" indent="0" justifyLastLine="0" shrinkToFit="0" readingOrder="0"/>
    </dxf>
    <dxf>
      <alignment horizontal="left" vertical="bottom" textRotation="0" wrapText="0" indent="1" justifyLastLine="0" shrinkToFit="0" readingOrder="0"/>
    </dxf>
    <dxf>
      <numFmt numFmtId="3" formatCode="#,##0"/>
      <alignment horizontal="right" vertical="bottom" textRotation="0" wrapText="0" indent="1" justifyLastLine="0" shrinkToFit="0" readingOrder="0"/>
    </dxf>
    <dxf>
      <border>
        <bottom style="thin">
          <color auto="1"/>
        </bottom>
      </border>
    </dxf>
    <dxf>
      <font>
        <b/>
        <i val="0"/>
        <strike val="0"/>
        <condense val="0"/>
        <extend val="0"/>
        <outline val="0"/>
        <shadow val="0"/>
        <u val="none"/>
        <vertAlign val="baseline"/>
        <sz val="12"/>
        <color auto="1"/>
        <name val="Calibri"/>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auto="1"/>
        </left>
        <right style="thin">
          <color auto="1"/>
        </right>
        <top/>
        <bottom/>
      </border>
    </dxf>
    <dxf>
      <font>
        <color theme="0"/>
      </font>
      <fill>
        <patternFill>
          <bgColor theme="1"/>
        </patternFill>
      </fill>
    </dxf>
    <dxf>
      <font>
        <color theme="0"/>
      </font>
      <fill>
        <gradientFill degree="90">
          <stop position="0">
            <color theme="0"/>
          </stop>
          <stop position="1">
            <color rgb="FFFF0000"/>
          </stop>
        </gradientFill>
      </fill>
    </dxf>
    <dxf>
      <numFmt numFmtId="0" formatCode="General"/>
      <alignment horizontal="center" vertical="bottom" textRotation="0" wrapText="0" indent="0" justifyLastLine="0" shrinkToFit="0" readingOrder="0"/>
    </dxf>
    <dxf>
      <numFmt numFmtId="164" formatCode="dd\.mm\.yyyy"/>
      <alignment horizontal="center" vertical="center" textRotation="0" wrapText="0" indent="0" justifyLastLine="0" shrinkToFit="0" readingOrder="0"/>
    </dxf>
    <dxf>
      <alignment horizontal="left" vertical="bottom" textRotation="0" wrapText="0" indent="1" justifyLastLine="0" shrinkToFit="0" readingOrder="0"/>
    </dxf>
    <dxf>
      <numFmt numFmtId="3" formatCode="#,##0"/>
      <alignment horizontal="right" vertical="bottom" textRotation="0" wrapText="0" indent="1" justifyLastLine="0" shrinkToFit="0" readingOrder="0"/>
    </dxf>
    <dxf>
      <border>
        <bottom style="thin">
          <color auto="1"/>
        </bottom>
      </border>
    </dxf>
    <dxf>
      <font>
        <b/>
        <i val="0"/>
        <strike val="0"/>
        <condense val="0"/>
        <extend val="0"/>
        <outline val="0"/>
        <shadow val="0"/>
        <u val="none"/>
        <vertAlign val="baseline"/>
        <sz val="12"/>
        <color auto="1"/>
        <name val="Calibri"/>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auto="1"/>
        </left>
        <right style="thin">
          <color auto="1"/>
        </right>
        <top/>
        <bottom/>
      </border>
    </dxf>
    <dxf>
      <font>
        <color theme="0"/>
      </font>
      <fill>
        <gradientFill degree="90">
          <stop position="0">
            <color theme="0"/>
          </stop>
          <stop position="1">
            <color rgb="FFFF0000"/>
          </stop>
        </gradientFill>
      </fill>
    </dxf>
    <dxf>
      <font>
        <color theme="0"/>
      </font>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a2" displayName="Tabela2" ref="A1:D1256" totalsRowShown="0" headerRowDxfId="13" headerRowBorderDxfId="12">
  <sortState xmlns:xlrd2="http://schemas.microsoft.com/office/spreadsheetml/2017/richdata2" ref="A2:D1256">
    <sortCondition ref="A2:A1256"/>
  </sortState>
  <tableColumns count="4">
    <tableColumn id="1" xr3:uid="{00000000-0010-0000-0000-000001000000}" name="CÓDIGO" dataDxfId="11"/>
    <tableColumn id="2" xr3:uid="{00000000-0010-0000-0000-000002000000}" name="DESCRIÇÃO   (Itens ativos = 1.027 / Itens a excluir = 228 )" dataDxfId="10"/>
    <tableColumn id="4" xr3:uid="{00000000-0010-0000-0000-000004000000}" name="CRIAÇÃO" dataDxfId="9"/>
    <tableColumn id="8" xr3:uid="{00000000-0010-0000-0000-000008000000}" name="Excluir?" dataDxfId="8">
      <calculatedColumnFormula>_xlfn.IFNA(IF(VLOOKUP(Tabela2[[#This Row],[CÓDIGO]],Aguardando_exclusão!A$4:A$4003,1,FALSE),"sim",""),"")</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a22" displayName="Tabela22" ref="A1:D1256" totalsRowShown="0" headerRowDxfId="5" headerRowBorderDxfId="4">
  <sortState xmlns:xlrd2="http://schemas.microsoft.com/office/spreadsheetml/2017/richdata2" ref="A2:D1256">
    <sortCondition ref="A2:A1256"/>
  </sortState>
  <tableColumns count="4">
    <tableColumn id="1" xr3:uid="{00000000-0010-0000-0100-000001000000}" name="CÓDIGO" dataDxfId="3"/>
    <tableColumn id="2" xr3:uid="{00000000-0010-0000-0100-000002000000}" name="DESCRIÇÃO" dataDxfId="2"/>
    <tableColumn id="4" xr3:uid="{00000000-0010-0000-0100-000004000000}" name="CRIAÇÃO" dataDxfId="1"/>
    <tableColumn id="8" xr3:uid="{00000000-0010-0000-0100-000008000000}" name="Excluir?" dataDxfId="0">
      <calculatedColumnFormula>_xlfn.IFNA(IF(VLOOKUP(Tabela22[[#This Row],[CÓDIGO]],Aguardando_exclusão!A$4:A$4003,1,FALSE),"sim",""),"")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D1256"/>
  <sheetViews>
    <sheetView showGridLines="0" tabSelected="1" workbookViewId="0">
      <pane ySplit="1" topLeftCell="A727" activePane="bottomLeft" state="frozen"/>
      <selection pane="bottomLeft" activeCell="B727" sqref="B727"/>
    </sheetView>
  </sheetViews>
  <sheetFormatPr defaultRowHeight="14.4" x14ac:dyDescent="0.3"/>
  <cols>
    <col min="1" max="1" width="10" style="15" bestFit="1" customWidth="1"/>
    <col min="2" max="2" width="143.88671875" style="17" customWidth="1"/>
    <col min="3" max="3" width="10.88671875" style="22" customWidth="1"/>
    <col min="4" max="4" width="8.44140625" style="11" bestFit="1" customWidth="1"/>
  </cols>
  <sheetData>
    <row r="1" spans="1:4" s="1" customFormat="1" ht="31.5" customHeight="1" x14ac:dyDescent="0.3">
      <c r="A1" s="21" t="s">
        <v>0</v>
      </c>
      <c r="B1" s="20" t="s">
        <v>1328</v>
      </c>
      <c r="C1" s="19" t="s">
        <v>1327</v>
      </c>
      <c r="D1" s="20" t="s">
        <v>1326</v>
      </c>
    </row>
    <row r="2" spans="1:4" x14ac:dyDescent="0.3">
      <c r="A2" s="15">
        <v>4680</v>
      </c>
      <c r="B2" s="17" t="s">
        <v>2</v>
      </c>
      <c r="C2" s="12">
        <v>367</v>
      </c>
      <c r="D2" s="11" t="str">
        <f>_xlfn.IFNA(IF(VLOOKUP(Tabela2[[#This Row],[CÓDIGO]],Aguardando_exclusão!A$4:A$4003,1,FALSE),"sim",""),"")</f>
        <v/>
      </c>
    </row>
    <row r="3" spans="1:4" x14ac:dyDescent="0.3">
      <c r="A3" s="15">
        <v>9413</v>
      </c>
      <c r="B3" s="17" t="s">
        <v>3</v>
      </c>
      <c r="C3" s="12">
        <v>367</v>
      </c>
      <c r="D3" s="11" t="str">
        <f>_xlfn.IFNA(IF(VLOOKUP(Tabela2[[#This Row],[CÓDIGO]],Aguardando_exclusão!A$4:A$4003,1,FALSE),"sim",""),"")</f>
        <v/>
      </c>
    </row>
    <row r="4" spans="1:4" x14ac:dyDescent="0.3">
      <c r="A4" s="15">
        <v>10302</v>
      </c>
      <c r="B4" s="17" t="s">
        <v>4</v>
      </c>
      <c r="C4" s="12">
        <v>367</v>
      </c>
      <c r="D4" s="11" t="str">
        <f>_xlfn.IFNA(IF(VLOOKUP(Tabela2[[#This Row],[CÓDIGO]],Aguardando_exclusão!A$4:A$4003,1,FALSE),"sim",""),"")</f>
        <v/>
      </c>
    </row>
    <row r="5" spans="1:4" x14ac:dyDescent="0.3">
      <c r="A5" s="15">
        <v>10359</v>
      </c>
      <c r="B5" s="17" t="s">
        <v>5</v>
      </c>
      <c r="C5" s="12">
        <v>367</v>
      </c>
      <c r="D5" s="11" t="str">
        <f>_xlfn.IFNA(IF(VLOOKUP(Tabela2[[#This Row],[CÓDIGO]],Aguardando_exclusão!A$4:A$4003,1,FALSE),"sim",""),"")</f>
        <v/>
      </c>
    </row>
    <row r="6" spans="1:4" x14ac:dyDescent="0.3">
      <c r="A6" s="15">
        <v>10392</v>
      </c>
      <c r="B6" s="17" t="s">
        <v>6</v>
      </c>
      <c r="C6" s="12">
        <v>367</v>
      </c>
      <c r="D6" s="11" t="str">
        <f>_xlfn.IFNA(IF(VLOOKUP(Tabela2[[#This Row],[CÓDIGO]],Aguardando_exclusão!A$4:A$4003,1,FALSE),"sim",""),"")</f>
        <v/>
      </c>
    </row>
    <row r="7" spans="1:4" x14ac:dyDescent="0.3">
      <c r="A7" s="15">
        <v>10412</v>
      </c>
      <c r="B7" s="17" t="s">
        <v>7</v>
      </c>
      <c r="C7" s="12">
        <v>367</v>
      </c>
      <c r="D7" s="11" t="str">
        <f>_xlfn.IFNA(IF(VLOOKUP(Tabela2[[#This Row],[CÓDIGO]],Aguardando_exclusão!A$4:A$4003,1,FALSE),"sim",""),"")</f>
        <v/>
      </c>
    </row>
    <row r="8" spans="1:4" x14ac:dyDescent="0.3">
      <c r="A8" s="15">
        <v>10547</v>
      </c>
      <c r="B8" s="17" t="s">
        <v>8</v>
      </c>
      <c r="C8" s="12">
        <v>367</v>
      </c>
      <c r="D8" s="11" t="str">
        <f>_xlfn.IFNA(IF(VLOOKUP(Tabela2[[#This Row],[CÓDIGO]],Aguardando_exclusão!A$4:A$4003,1,FALSE),"sim",""),"")</f>
        <v/>
      </c>
    </row>
    <row r="9" spans="1:4" x14ac:dyDescent="0.3">
      <c r="A9" s="15">
        <v>10719</v>
      </c>
      <c r="B9" s="17" t="s">
        <v>9</v>
      </c>
      <c r="C9" s="12">
        <v>367</v>
      </c>
      <c r="D9" s="11" t="str">
        <f>_xlfn.IFNA(IF(VLOOKUP(Tabela2[[#This Row],[CÓDIGO]],Aguardando_exclusão!A$4:A$4003,1,FALSE),"sim",""),"")</f>
        <v/>
      </c>
    </row>
    <row r="10" spans="1:4" x14ac:dyDescent="0.3">
      <c r="A10" s="15">
        <v>10867</v>
      </c>
      <c r="B10" s="17" t="s">
        <v>10</v>
      </c>
      <c r="C10" s="12">
        <v>367</v>
      </c>
      <c r="D10" s="11" t="str">
        <f>_xlfn.IFNA(IF(VLOOKUP(Tabela2[[#This Row],[CÓDIGO]],Aguardando_exclusão!A$4:A$4003,1,FALSE),"sim",""),"")</f>
        <v/>
      </c>
    </row>
    <row r="11" spans="1:4" x14ac:dyDescent="0.3">
      <c r="A11" s="15">
        <v>10870</v>
      </c>
      <c r="B11" s="17" t="s">
        <v>11</v>
      </c>
      <c r="C11" s="12">
        <v>367</v>
      </c>
      <c r="D11" s="11" t="str">
        <f>_xlfn.IFNA(IF(VLOOKUP(Tabela2[[#This Row],[CÓDIGO]],Aguardando_exclusão!A$4:A$4003,1,FALSE),"sim",""),"")</f>
        <v/>
      </c>
    </row>
    <row r="12" spans="1:4" x14ac:dyDescent="0.3">
      <c r="A12" s="15">
        <v>11072</v>
      </c>
      <c r="B12" s="17" t="s">
        <v>12</v>
      </c>
      <c r="C12" s="12">
        <v>367</v>
      </c>
      <c r="D12" s="11" t="str">
        <f>_xlfn.IFNA(IF(VLOOKUP(Tabela2[[#This Row],[CÓDIGO]],Aguardando_exclusão!A$4:A$4003,1,FALSE),"sim",""),"")</f>
        <v/>
      </c>
    </row>
    <row r="13" spans="1:4" x14ac:dyDescent="0.3">
      <c r="A13" s="15">
        <v>11109</v>
      </c>
      <c r="B13" s="17" t="s">
        <v>13</v>
      </c>
      <c r="C13" s="12">
        <v>367</v>
      </c>
      <c r="D13" s="11" t="str">
        <f>_xlfn.IFNA(IF(VLOOKUP(Tabela2[[#This Row],[CÓDIGO]],Aguardando_exclusão!A$4:A$4003,1,FALSE),"sim",""),"")</f>
        <v/>
      </c>
    </row>
    <row r="14" spans="1:4" x14ac:dyDescent="0.3">
      <c r="A14" s="15">
        <v>11116</v>
      </c>
      <c r="B14" s="17" t="s">
        <v>14</v>
      </c>
      <c r="C14" s="12">
        <v>367</v>
      </c>
      <c r="D14" s="11" t="str">
        <f>_xlfn.IFNA(IF(VLOOKUP(Tabela2[[#This Row],[CÓDIGO]],Aguardando_exclusão!A$4:A$4003,1,FALSE),"sim",""),"")</f>
        <v/>
      </c>
    </row>
    <row r="15" spans="1:4" x14ac:dyDescent="0.3">
      <c r="A15" s="15">
        <v>11264</v>
      </c>
      <c r="B15" s="17" t="s">
        <v>15</v>
      </c>
      <c r="C15" s="12">
        <v>367</v>
      </c>
      <c r="D15" s="11" t="str">
        <f>_xlfn.IFNA(IF(VLOOKUP(Tabela2[[#This Row],[CÓDIGO]],Aguardando_exclusão!A$4:A$4003,1,FALSE),"sim",""),"")</f>
        <v/>
      </c>
    </row>
    <row r="16" spans="1:4" x14ac:dyDescent="0.3">
      <c r="A16" s="15">
        <v>11287</v>
      </c>
      <c r="B16" s="17" t="s">
        <v>16</v>
      </c>
      <c r="C16" s="12">
        <v>367</v>
      </c>
      <c r="D16" s="11" t="str">
        <f>_xlfn.IFNA(IF(VLOOKUP(Tabela2[[#This Row],[CÓDIGO]],Aguardando_exclusão!A$4:A$4003,1,FALSE),"sim",""),"")</f>
        <v/>
      </c>
    </row>
    <row r="17" spans="1:4" x14ac:dyDescent="0.3">
      <c r="A17" s="15">
        <v>11418</v>
      </c>
      <c r="B17" s="17" t="s">
        <v>17</v>
      </c>
      <c r="C17" s="12">
        <v>367</v>
      </c>
      <c r="D17" s="11" t="str">
        <f>_xlfn.IFNA(IF(VLOOKUP(Tabela2[[#This Row],[CÓDIGO]],Aguardando_exclusão!A$4:A$4003,1,FALSE),"sim",""),"")</f>
        <v/>
      </c>
    </row>
    <row r="18" spans="1:4" x14ac:dyDescent="0.3">
      <c r="A18" s="15">
        <v>11448</v>
      </c>
      <c r="B18" s="17" t="s">
        <v>18</v>
      </c>
      <c r="C18" s="12">
        <v>367</v>
      </c>
      <c r="D18" s="11" t="str">
        <f>_xlfn.IFNA(IF(VLOOKUP(Tabela2[[#This Row],[CÓDIGO]],Aguardando_exclusão!A$4:A$4003,1,FALSE),"sim",""),"")</f>
        <v/>
      </c>
    </row>
    <row r="19" spans="1:4" ht="15" customHeight="1" x14ac:dyDescent="0.3">
      <c r="A19" s="15">
        <v>11509</v>
      </c>
      <c r="B19" s="17" t="s">
        <v>19</v>
      </c>
      <c r="C19" s="12">
        <v>367</v>
      </c>
      <c r="D19" s="11" t="str">
        <f>_xlfn.IFNA(IF(VLOOKUP(Tabela2[[#This Row],[CÓDIGO]],Aguardando_exclusão!A$4:A$4003,1,FALSE),"sim",""),"")</f>
        <v/>
      </c>
    </row>
    <row r="20" spans="1:4" x14ac:dyDescent="0.3">
      <c r="A20" s="15">
        <v>11590</v>
      </c>
      <c r="B20" s="17" t="s">
        <v>20</v>
      </c>
      <c r="C20" s="12">
        <v>367</v>
      </c>
      <c r="D20" s="11" t="str">
        <f>_xlfn.IFNA(IF(VLOOKUP(Tabela2[[#This Row],[CÓDIGO]],Aguardando_exclusão!A$4:A$4003,1,FALSE),"sim",""),"")</f>
        <v/>
      </c>
    </row>
    <row r="21" spans="1:4" x14ac:dyDescent="0.3">
      <c r="A21" s="15">
        <v>11857</v>
      </c>
      <c r="B21" s="17" t="s">
        <v>21</v>
      </c>
      <c r="C21" s="12">
        <v>367</v>
      </c>
      <c r="D21" s="11" t="str">
        <f>_xlfn.IFNA(IF(VLOOKUP(Tabela2[[#This Row],[CÓDIGO]],Aguardando_exclusão!A$4:A$4003,1,FALSE),"sim",""),"")</f>
        <v/>
      </c>
    </row>
    <row r="22" spans="1:4" x14ac:dyDescent="0.3">
      <c r="A22" s="15">
        <v>11882</v>
      </c>
      <c r="B22" s="17" t="s">
        <v>22</v>
      </c>
      <c r="C22" s="12">
        <v>367</v>
      </c>
      <c r="D22" s="11" t="str">
        <f>_xlfn.IFNA(IF(VLOOKUP(Tabela2[[#This Row],[CÓDIGO]],Aguardando_exclusão!A$4:A$4003,1,FALSE),"sim",""),"")</f>
        <v>sim</v>
      </c>
    </row>
    <row r="23" spans="1:4" ht="15" customHeight="1" x14ac:dyDescent="0.3">
      <c r="A23" s="15">
        <v>11956</v>
      </c>
      <c r="B23" s="17" t="s">
        <v>23</v>
      </c>
      <c r="C23" s="12">
        <v>367</v>
      </c>
      <c r="D23" s="11" t="str">
        <f>_xlfn.IFNA(IF(VLOOKUP(Tabela2[[#This Row],[CÓDIGO]],Aguardando_exclusão!A$4:A$4003,1,FALSE),"sim",""),"")</f>
        <v>sim</v>
      </c>
    </row>
    <row r="24" spans="1:4" ht="15" customHeight="1" x14ac:dyDescent="0.3">
      <c r="A24" s="15">
        <v>11980</v>
      </c>
      <c r="B24" s="17" t="s">
        <v>24</v>
      </c>
      <c r="C24" s="12">
        <v>367</v>
      </c>
      <c r="D24" s="11" t="str">
        <f>_xlfn.IFNA(IF(VLOOKUP(Tabela2[[#This Row],[CÓDIGO]],Aguardando_exclusão!A$4:A$4003,1,FALSE),"sim",""),"")</f>
        <v/>
      </c>
    </row>
    <row r="25" spans="1:4" x14ac:dyDescent="0.3">
      <c r="A25" s="15">
        <v>12018</v>
      </c>
      <c r="B25" s="17" t="s">
        <v>25</v>
      </c>
      <c r="C25" s="12">
        <v>367</v>
      </c>
      <c r="D25" s="11" t="str">
        <f>_xlfn.IFNA(IF(VLOOKUP(Tabela2[[#This Row],[CÓDIGO]],Aguardando_exclusão!A$4:A$4003,1,FALSE),"sim",""),"")</f>
        <v/>
      </c>
    </row>
    <row r="26" spans="1:4" x14ac:dyDescent="0.3">
      <c r="A26" s="15">
        <v>12020</v>
      </c>
      <c r="B26" s="17" t="s">
        <v>26</v>
      </c>
      <c r="C26" s="12">
        <v>367</v>
      </c>
      <c r="D26" s="11" t="str">
        <f>_xlfn.IFNA(IF(VLOOKUP(Tabela2[[#This Row],[CÓDIGO]],Aguardando_exclusão!A$4:A$4003,1,FALSE),"sim",""),"")</f>
        <v>sim</v>
      </c>
    </row>
    <row r="27" spans="1:4" x14ac:dyDescent="0.3">
      <c r="A27" s="15">
        <v>12613</v>
      </c>
      <c r="B27" s="17" t="s">
        <v>27</v>
      </c>
      <c r="C27" s="12">
        <v>367</v>
      </c>
      <c r="D27" s="11" t="str">
        <f>_xlfn.IFNA(IF(VLOOKUP(Tabela2[[#This Row],[CÓDIGO]],Aguardando_exclusão!A$4:A$4003,1,FALSE),"sim",""),"")</f>
        <v/>
      </c>
    </row>
    <row r="28" spans="1:4" x14ac:dyDescent="0.3">
      <c r="A28" s="15">
        <v>12614</v>
      </c>
      <c r="B28" s="17" t="s">
        <v>28</v>
      </c>
      <c r="C28" s="12">
        <v>367</v>
      </c>
      <c r="D28" s="11" t="str">
        <f>_xlfn.IFNA(IF(VLOOKUP(Tabela2[[#This Row],[CÓDIGO]],Aguardando_exclusão!A$4:A$4003,1,FALSE),"sim",""),"")</f>
        <v/>
      </c>
    </row>
    <row r="29" spans="1:4" x14ac:dyDescent="0.3">
      <c r="A29" s="15">
        <v>12615</v>
      </c>
      <c r="B29" s="17" t="s">
        <v>29</v>
      </c>
      <c r="C29" s="12">
        <v>367</v>
      </c>
      <c r="D29" s="11" t="str">
        <f>_xlfn.IFNA(IF(VLOOKUP(Tabela2[[#This Row],[CÓDIGO]],Aguardando_exclusão!A$4:A$4003,1,FALSE),"sim",""),"")</f>
        <v/>
      </c>
    </row>
    <row r="30" spans="1:4" x14ac:dyDescent="0.3">
      <c r="A30" s="15">
        <v>12616</v>
      </c>
      <c r="B30" s="17" t="s">
        <v>30</v>
      </c>
      <c r="C30" s="12">
        <v>367</v>
      </c>
      <c r="D30" s="11" t="str">
        <f>_xlfn.IFNA(IF(VLOOKUP(Tabela2[[#This Row],[CÓDIGO]],Aguardando_exclusão!A$4:A$4003,1,FALSE),"sim",""),"")</f>
        <v/>
      </c>
    </row>
    <row r="31" spans="1:4" x14ac:dyDescent="0.3">
      <c r="A31" s="15">
        <v>12623</v>
      </c>
      <c r="B31" s="17" t="s">
        <v>31</v>
      </c>
      <c r="C31" s="12">
        <v>367</v>
      </c>
      <c r="D31" s="11" t="str">
        <f>_xlfn.IFNA(IF(VLOOKUP(Tabela2[[#This Row],[CÓDIGO]],Aguardando_exclusão!A$4:A$4003,1,FALSE),"sim",""),"")</f>
        <v/>
      </c>
    </row>
    <row r="32" spans="1:4" x14ac:dyDescent="0.3">
      <c r="A32" s="15">
        <v>12635</v>
      </c>
      <c r="B32" s="17" t="s">
        <v>32</v>
      </c>
      <c r="C32" s="12">
        <v>367</v>
      </c>
      <c r="D32" s="11" t="str">
        <f>_xlfn.IFNA(IF(VLOOKUP(Tabela2[[#This Row],[CÓDIGO]],Aguardando_exclusão!A$4:A$4003,1,FALSE),"sim",""),"")</f>
        <v/>
      </c>
    </row>
    <row r="33" spans="1:4" x14ac:dyDescent="0.3">
      <c r="A33" s="15">
        <v>12652</v>
      </c>
      <c r="B33" s="17" t="s">
        <v>33</v>
      </c>
      <c r="C33" s="12">
        <v>367</v>
      </c>
      <c r="D33" s="11" t="str">
        <f>_xlfn.IFNA(IF(VLOOKUP(Tabela2[[#This Row],[CÓDIGO]],Aguardando_exclusão!A$4:A$4003,1,FALSE),"sim",""),"")</f>
        <v/>
      </c>
    </row>
    <row r="34" spans="1:4" x14ac:dyDescent="0.3">
      <c r="A34" s="15">
        <v>12654</v>
      </c>
      <c r="B34" s="17" t="s">
        <v>34</v>
      </c>
      <c r="C34" s="12">
        <v>367</v>
      </c>
      <c r="D34" s="11" t="str">
        <f>_xlfn.IFNA(IF(VLOOKUP(Tabela2[[#This Row],[CÓDIGO]],Aguardando_exclusão!A$4:A$4003,1,FALSE),"sim",""),"")</f>
        <v/>
      </c>
    </row>
    <row r="35" spans="1:4" x14ac:dyDescent="0.3">
      <c r="A35" s="15">
        <v>12657</v>
      </c>
      <c r="B35" s="17" t="s">
        <v>35</v>
      </c>
      <c r="C35" s="12">
        <v>367</v>
      </c>
      <c r="D35" s="11" t="str">
        <f>_xlfn.IFNA(IF(VLOOKUP(Tabela2[[#This Row],[CÓDIGO]],Aguardando_exclusão!A$4:A$4003,1,FALSE),"sim",""),"")</f>
        <v/>
      </c>
    </row>
    <row r="36" spans="1:4" x14ac:dyDescent="0.3">
      <c r="A36" s="15">
        <v>12659</v>
      </c>
      <c r="B36" s="17" t="s">
        <v>36</v>
      </c>
      <c r="C36" s="12">
        <v>367</v>
      </c>
      <c r="D36" s="11" t="str">
        <f>_xlfn.IFNA(IF(VLOOKUP(Tabela2[[#This Row],[CÓDIGO]],Aguardando_exclusão!A$4:A$4003,1,FALSE),"sim",""),"")</f>
        <v/>
      </c>
    </row>
    <row r="37" spans="1:4" x14ac:dyDescent="0.3">
      <c r="A37" s="15">
        <v>12673</v>
      </c>
      <c r="B37" s="17" t="s">
        <v>37</v>
      </c>
      <c r="C37" s="12">
        <v>367</v>
      </c>
      <c r="D37" s="11" t="str">
        <f>_xlfn.IFNA(IF(VLOOKUP(Tabela2[[#This Row],[CÓDIGO]],Aguardando_exclusão!A$4:A$4003,1,FALSE),"sim",""),"")</f>
        <v/>
      </c>
    </row>
    <row r="38" spans="1:4" x14ac:dyDescent="0.3">
      <c r="A38" s="15">
        <v>12675</v>
      </c>
      <c r="B38" s="17" t="s">
        <v>38</v>
      </c>
      <c r="C38" s="12">
        <v>367</v>
      </c>
      <c r="D38" s="11" t="str">
        <f>_xlfn.IFNA(IF(VLOOKUP(Tabela2[[#This Row],[CÓDIGO]],Aguardando_exclusão!A$4:A$4003,1,FALSE),"sim",""),"")</f>
        <v/>
      </c>
    </row>
    <row r="39" spans="1:4" x14ac:dyDescent="0.3">
      <c r="A39" s="15">
        <v>12685</v>
      </c>
      <c r="B39" s="17" t="s">
        <v>39</v>
      </c>
      <c r="C39" s="12">
        <v>367</v>
      </c>
      <c r="D39" s="11" t="str">
        <f>_xlfn.IFNA(IF(VLOOKUP(Tabela2[[#This Row],[CÓDIGO]],Aguardando_exclusão!A$4:A$4003,1,FALSE),"sim",""),"")</f>
        <v/>
      </c>
    </row>
    <row r="40" spans="1:4" ht="15" customHeight="1" x14ac:dyDescent="0.3">
      <c r="A40" s="15">
        <v>12708</v>
      </c>
      <c r="B40" s="17" t="s">
        <v>40</v>
      </c>
      <c r="C40" s="12">
        <v>367</v>
      </c>
      <c r="D40" s="11" t="str">
        <f>_xlfn.IFNA(IF(VLOOKUP(Tabela2[[#This Row],[CÓDIGO]],Aguardando_exclusão!A$4:A$4003,1,FALSE),"sim",""),"")</f>
        <v/>
      </c>
    </row>
    <row r="41" spans="1:4" x14ac:dyDescent="0.3">
      <c r="A41" s="15">
        <v>12712</v>
      </c>
      <c r="B41" s="17" t="s">
        <v>41</v>
      </c>
      <c r="C41" s="12">
        <v>367</v>
      </c>
      <c r="D41" s="11" t="str">
        <f>_xlfn.IFNA(IF(VLOOKUP(Tabela2[[#This Row],[CÓDIGO]],Aguardando_exclusão!A$4:A$4003,1,FALSE),"sim",""),"")</f>
        <v/>
      </c>
    </row>
    <row r="42" spans="1:4" x14ac:dyDescent="0.3">
      <c r="A42" s="15">
        <v>12720</v>
      </c>
      <c r="B42" s="17" t="s">
        <v>42</v>
      </c>
      <c r="C42" s="12">
        <v>367</v>
      </c>
      <c r="D42" s="11" t="str">
        <f>_xlfn.IFNA(IF(VLOOKUP(Tabela2[[#This Row],[CÓDIGO]],Aguardando_exclusão!A$4:A$4003,1,FALSE),"sim",""),"")</f>
        <v>sim</v>
      </c>
    </row>
    <row r="43" spans="1:4" x14ac:dyDescent="0.3">
      <c r="A43" s="15">
        <v>12754</v>
      </c>
      <c r="B43" s="17" t="s">
        <v>43</v>
      </c>
      <c r="C43" s="12">
        <v>367</v>
      </c>
      <c r="D43" s="11" t="str">
        <f>_xlfn.IFNA(IF(VLOOKUP(Tabela2[[#This Row],[CÓDIGO]],Aguardando_exclusão!A$4:A$4003,1,FALSE),"sim",""),"")</f>
        <v/>
      </c>
    </row>
    <row r="44" spans="1:4" x14ac:dyDescent="0.3">
      <c r="A44" s="15">
        <v>12763</v>
      </c>
      <c r="B44" s="17" t="s">
        <v>44</v>
      </c>
      <c r="C44" s="12">
        <v>367</v>
      </c>
      <c r="D44" s="11" t="str">
        <f>_xlfn.IFNA(IF(VLOOKUP(Tabela2[[#This Row],[CÓDIGO]],Aguardando_exclusão!A$4:A$4003,1,FALSE),"sim",""),"")</f>
        <v/>
      </c>
    </row>
    <row r="45" spans="1:4" x14ac:dyDescent="0.3">
      <c r="A45" s="15">
        <v>12806</v>
      </c>
      <c r="B45" s="17" t="s">
        <v>45</v>
      </c>
      <c r="C45" s="12">
        <v>367</v>
      </c>
      <c r="D45" s="11" t="str">
        <f>_xlfn.IFNA(IF(VLOOKUP(Tabela2[[#This Row],[CÓDIGO]],Aguardando_exclusão!A$4:A$4003,1,FALSE),"sim",""),"")</f>
        <v/>
      </c>
    </row>
    <row r="46" spans="1:4" x14ac:dyDescent="0.3">
      <c r="A46" s="15">
        <v>12812</v>
      </c>
      <c r="B46" s="17" t="s">
        <v>46</v>
      </c>
      <c r="C46" s="12">
        <v>367</v>
      </c>
      <c r="D46" s="11" t="str">
        <f>_xlfn.IFNA(IF(VLOOKUP(Tabela2[[#This Row],[CÓDIGO]],Aguardando_exclusão!A$4:A$4003,1,FALSE),"sim",""),"")</f>
        <v/>
      </c>
    </row>
    <row r="47" spans="1:4" x14ac:dyDescent="0.3">
      <c r="A47" s="15">
        <v>12813</v>
      </c>
      <c r="B47" s="17" t="s">
        <v>47</v>
      </c>
      <c r="C47" s="12">
        <v>367</v>
      </c>
      <c r="D47" s="11" t="str">
        <f>_xlfn.IFNA(IF(VLOOKUP(Tabela2[[#This Row],[CÓDIGO]],Aguardando_exclusão!A$4:A$4003,1,FALSE),"sim",""),"")</f>
        <v/>
      </c>
    </row>
    <row r="48" spans="1:4" x14ac:dyDescent="0.3">
      <c r="A48" s="15">
        <v>12818</v>
      </c>
      <c r="B48" s="17" t="s">
        <v>48</v>
      </c>
      <c r="C48" s="12">
        <v>367</v>
      </c>
      <c r="D48" s="11" t="str">
        <f>_xlfn.IFNA(IF(VLOOKUP(Tabela2[[#This Row],[CÓDIGO]],Aguardando_exclusão!A$4:A$4003,1,FALSE),"sim",""),"")</f>
        <v/>
      </c>
    </row>
    <row r="49" spans="1:4" x14ac:dyDescent="0.3">
      <c r="A49" s="15">
        <v>12820</v>
      </c>
      <c r="B49" s="17" t="s">
        <v>49</v>
      </c>
      <c r="C49" s="12">
        <v>367</v>
      </c>
      <c r="D49" s="11" t="str">
        <f>_xlfn.IFNA(IF(VLOOKUP(Tabela2[[#This Row],[CÓDIGO]],Aguardando_exclusão!A$4:A$4003,1,FALSE),"sim",""),"")</f>
        <v/>
      </c>
    </row>
    <row r="50" spans="1:4" x14ac:dyDescent="0.3">
      <c r="A50" s="15">
        <v>12821</v>
      </c>
      <c r="B50" s="17" t="s">
        <v>50</v>
      </c>
      <c r="C50" s="12">
        <v>367</v>
      </c>
      <c r="D50" s="11" t="str">
        <f>_xlfn.IFNA(IF(VLOOKUP(Tabela2[[#This Row],[CÓDIGO]],Aguardando_exclusão!A$4:A$4003,1,FALSE),"sim",""),"")</f>
        <v/>
      </c>
    </row>
    <row r="51" spans="1:4" x14ac:dyDescent="0.3">
      <c r="A51" s="15">
        <v>12824</v>
      </c>
      <c r="B51" s="17" t="s">
        <v>51</v>
      </c>
      <c r="C51" s="12">
        <v>367</v>
      </c>
      <c r="D51" s="11" t="str">
        <f>_xlfn.IFNA(IF(VLOOKUP(Tabela2[[#This Row],[CÓDIGO]],Aguardando_exclusão!A$4:A$4003,1,FALSE),"sim",""),"")</f>
        <v/>
      </c>
    </row>
    <row r="52" spans="1:4" x14ac:dyDescent="0.3">
      <c r="A52" s="15">
        <v>12829</v>
      </c>
      <c r="B52" s="17" t="s">
        <v>52</v>
      </c>
      <c r="C52" s="12">
        <v>367</v>
      </c>
      <c r="D52" s="11" t="str">
        <f>_xlfn.IFNA(IF(VLOOKUP(Tabela2[[#This Row],[CÓDIGO]],Aguardando_exclusão!A$4:A$4003,1,FALSE),"sim",""),"")</f>
        <v/>
      </c>
    </row>
    <row r="53" spans="1:4" x14ac:dyDescent="0.3">
      <c r="A53" s="15">
        <v>12830</v>
      </c>
      <c r="B53" s="17" t="s">
        <v>53</v>
      </c>
      <c r="C53" s="12">
        <v>367</v>
      </c>
      <c r="D53" s="11" t="str">
        <f>_xlfn.IFNA(IF(VLOOKUP(Tabela2[[#This Row],[CÓDIGO]],Aguardando_exclusão!A$4:A$4003,1,FALSE),"sim",""),"")</f>
        <v/>
      </c>
    </row>
    <row r="54" spans="1:4" x14ac:dyDescent="0.3">
      <c r="A54" s="15">
        <v>12831</v>
      </c>
      <c r="B54" s="17" t="s">
        <v>54</v>
      </c>
      <c r="C54" s="12">
        <v>367</v>
      </c>
      <c r="D54" s="11" t="str">
        <f>_xlfn.IFNA(IF(VLOOKUP(Tabela2[[#This Row],[CÓDIGO]],Aguardando_exclusão!A$4:A$4003,1,FALSE),"sim",""),"")</f>
        <v/>
      </c>
    </row>
    <row r="55" spans="1:4" x14ac:dyDescent="0.3">
      <c r="A55" s="15">
        <v>12835</v>
      </c>
      <c r="B55" s="17" t="s">
        <v>55</v>
      </c>
      <c r="C55" s="12">
        <v>367</v>
      </c>
      <c r="D55" s="11" t="str">
        <f>_xlfn.IFNA(IF(VLOOKUP(Tabela2[[#This Row],[CÓDIGO]],Aguardando_exclusão!A$4:A$4003,1,FALSE),"sim",""),"")</f>
        <v/>
      </c>
    </row>
    <row r="56" spans="1:4" x14ac:dyDescent="0.3">
      <c r="A56" s="15">
        <v>12838</v>
      </c>
      <c r="B56" s="17" t="s">
        <v>56</v>
      </c>
      <c r="C56" s="12">
        <v>367</v>
      </c>
      <c r="D56" s="11" t="str">
        <f>_xlfn.IFNA(IF(VLOOKUP(Tabela2[[#This Row],[CÓDIGO]],Aguardando_exclusão!A$4:A$4003,1,FALSE),"sim",""),"")</f>
        <v/>
      </c>
    </row>
    <row r="57" spans="1:4" x14ac:dyDescent="0.3">
      <c r="A57" s="15">
        <v>12847</v>
      </c>
      <c r="B57" s="17" t="s">
        <v>57</v>
      </c>
      <c r="C57" s="12">
        <v>367</v>
      </c>
      <c r="D57" s="11" t="str">
        <f>_xlfn.IFNA(IF(VLOOKUP(Tabela2[[#This Row],[CÓDIGO]],Aguardando_exclusão!A$4:A$4003,1,FALSE),"sim",""),"")</f>
        <v/>
      </c>
    </row>
    <row r="58" spans="1:4" x14ac:dyDescent="0.3">
      <c r="A58" s="15">
        <v>12851</v>
      </c>
      <c r="B58" s="17" t="s">
        <v>58</v>
      </c>
      <c r="C58" s="12">
        <v>367</v>
      </c>
      <c r="D58" s="11" t="str">
        <f>_xlfn.IFNA(IF(VLOOKUP(Tabela2[[#This Row],[CÓDIGO]],Aguardando_exclusão!A$4:A$4003,1,FALSE),"sim",""),"")</f>
        <v/>
      </c>
    </row>
    <row r="59" spans="1:4" x14ac:dyDescent="0.3">
      <c r="A59" s="15">
        <v>12853</v>
      </c>
      <c r="B59" s="17" t="s">
        <v>59</v>
      </c>
      <c r="C59" s="12">
        <v>367</v>
      </c>
      <c r="D59" s="11" t="str">
        <f>_xlfn.IFNA(IF(VLOOKUP(Tabela2[[#This Row],[CÓDIGO]],Aguardando_exclusão!A$4:A$4003,1,FALSE),"sim",""),"")</f>
        <v/>
      </c>
    </row>
    <row r="60" spans="1:4" x14ac:dyDescent="0.3">
      <c r="A60" s="15">
        <v>12856</v>
      </c>
      <c r="B60" s="17" t="s">
        <v>60</v>
      </c>
      <c r="C60" s="12">
        <v>367</v>
      </c>
      <c r="D60" s="11" t="str">
        <f>_xlfn.IFNA(IF(VLOOKUP(Tabela2[[#This Row],[CÓDIGO]],Aguardando_exclusão!A$4:A$4003,1,FALSE),"sim",""),"")</f>
        <v/>
      </c>
    </row>
    <row r="61" spans="1:4" x14ac:dyDescent="0.3">
      <c r="A61" s="15">
        <v>12857</v>
      </c>
      <c r="B61" s="17" t="s">
        <v>61</v>
      </c>
      <c r="C61" s="12">
        <v>367</v>
      </c>
      <c r="D61" s="11" t="str">
        <f>_xlfn.IFNA(IF(VLOOKUP(Tabela2[[#This Row],[CÓDIGO]],Aguardando_exclusão!A$4:A$4003,1,FALSE),"sim",""),"")</f>
        <v/>
      </c>
    </row>
    <row r="62" spans="1:4" x14ac:dyDescent="0.3">
      <c r="A62" s="15">
        <v>12869</v>
      </c>
      <c r="B62" s="17" t="s">
        <v>62</v>
      </c>
      <c r="C62" s="12">
        <v>367</v>
      </c>
      <c r="D62" s="11" t="str">
        <f>_xlfn.IFNA(IF(VLOOKUP(Tabela2[[#This Row],[CÓDIGO]],Aguardando_exclusão!A$4:A$4003,1,FALSE),"sim",""),"")</f>
        <v/>
      </c>
    </row>
    <row r="63" spans="1:4" x14ac:dyDescent="0.3">
      <c r="A63" s="15">
        <v>12877</v>
      </c>
      <c r="B63" s="17" t="s">
        <v>63</v>
      </c>
      <c r="C63" s="12">
        <v>367</v>
      </c>
      <c r="D63" s="11" t="str">
        <f>_xlfn.IFNA(IF(VLOOKUP(Tabela2[[#This Row],[CÓDIGO]],Aguardando_exclusão!A$4:A$4003,1,FALSE),"sim",""),"")</f>
        <v/>
      </c>
    </row>
    <row r="64" spans="1:4" ht="15" customHeight="1" x14ac:dyDescent="0.3">
      <c r="A64" s="15">
        <v>12881</v>
      </c>
      <c r="B64" s="17" t="s">
        <v>64</v>
      </c>
      <c r="C64" s="12">
        <v>367</v>
      </c>
      <c r="D64" s="11" t="str">
        <f>_xlfn.IFNA(IF(VLOOKUP(Tabela2[[#This Row],[CÓDIGO]],Aguardando_exclusão!A$4:A$4003,1,FALSE),"sim",""),"")</f>
        <v/>
      </c>
    </row>
    <row r="65" spans="1:4" x14ac:dyDescent="0.3">
      <c r="A65" s="15">
        <v>12884</v>
      </c>
      <c r="B65" s="17" t="s">
        <v>65</v>
      </c>
      <c r="C65" s="12">
        <v>367</v>
      </c>
      <c r="D65" s="11" t="str">
        <f>_xlfn.IFNA(IF(VLOOKUP(Tabela2[[#This Row],[CÓDIGO]],Aguardando_exclusão!A$4:A$4003,1,FALSE),"sim",""),"")</f>
        <v/>
      </c>
    </row>
    <row r="66" spans="1:4" ht="15" customHeight="1" x14ac:dyDescent="0.3">
      <c r="A66" s="15">
        <v>12886</v>
      </c>
      <c r="B66" s="17" t="s">
        <v>66</v>
      </c>
      <c r="C66" s="12">
        <v>367</v>
      </c>
      <c r="D66" s="11" t="str">
        <f>_xlfn.IFNA(IF(VLOOKUP(Tabela2[[#This Row],[CÓDIGO]],Aguardando_exclusão!A$4:A$4003,1,FALSE),"sim",""),"")</f>
        <v/>
      </c>
    </row>
    <row r="67" spans="1:4" ht="15" customHeight="1" x14ac:dyDescent="0.3">
      <c r="A67" s="15">
        <v>12888</v>
      </c>
      <c r="B67" s="17" t="s">
        <v>67</v>
      </c>
      <c r="C67" s="12">
        <v>367</v>
      </c>
      <c r="D67" s="11" t="str">
        <f>_xlfn.IFNA(IF(VLOOKUP(Tabela2[[#This Row],[CÓDIGO]],Aguardando_exclusão!A$4:A$4003,1,FALSE),"sim",""),"")</f>
        <v>sim</v>
      </c>
    </row>
    <row r="68" spans="1:4" x14ac:dyDescent="0.3">
      <c r="A68" s="15">
        <v>12891</v>
      </c>
      <c r="B68" s="17" t="s">
        <v>68</v>
      </c>
      <c r="C68" s="12">
        <v>367</v>
      </c>
      <c r="D68" s="11" t="str">
        <f>_xlfn.IFNA(IF(VLOOKUP(Tabela2[[#This Row],[CÓDIGO]],Aguardando_exclusão!A$4:A$4003,1,FALSE),"sim",""),"")</f>
        <v/>
      </c>
    </row>
    <row r="69" spans="1:4" ht="15" customHeight="1" x14ac:dyDescent="0.3">
      <c r="A69" s="15">
        <v>12894</v>
      </c>
      <c r="B69" s="17" t="s">
        <v>69</v>
      </c>
      <c r="C69" s="12">
        <v>367</v>
      </c>
      <c r="D69" s="11" t="str">
        <f>_xlfn.IFNA(IF(VLOOKUP(Tabela2[[#This Row],[CÓDIGO]],Aguardando_exclusão!A$4:A$4003,1,FALSE),"sim",""),"")</f>
        <v/>
      </c>
    </row>
    <row r="70" spans="1:4" x14ac:dyDescent="0.3">
      <c r="A70" s="15">
        <v>12922</v>
      </c>
      <c r="B70" s="17" t="s">
        <v>70</v>
      </c>
      <c r="C70" s="12">
        <v>367</v>
      </c>
      <c r="D70" s="11" t="str">
        <f>_xlfn.IFNA(IF(VLOOKUP(Tabela2[[#This Row],[CÓDIGO]],Aguardando_exclusão!A$4:A$4003,1,FALSE),"sim",""),"")</f>
        <v/>
      </c>
    </row>
    <row r="71" spans="1:4" x14ac:dyDescent="0.3">
      <c r="A71" s="15">
        <v>12937</v>
      </c>
      <c r="B71" s="17" t="s">
        <v>71</v>
      </c>
      <c r="C71" s="12">
        <v>367</v>
      </c>
      <c r="D71" s="11" t="str">
        <f>_xlfn.IFNA(IF(VLOOKUP(Tabela2[[#This Row],[CÓDIGO]],Aguardando_exclusão!A$4:A$4003,1,FALSE),"sim",""),"")</f>
        <v>sim</v>
      </c>
    </row>
    <row r="72" spans="1:4" x14ac:dyDescent="0.3">
      <c r="A72" s="15">
        <v>12938</v>
      </c>
      <c r="B72" s="17" t="s">
        <v>72</v>
      </c>
      <c r="C72" s="12">
        <v>367</v>
      </c>
      <c r="D72" s="11" t="str">
        <f>_xlfn.IFNA(IF(VLOOKUP(Tabela2[[#This Row],[CÓDIGO]],Aguardando_exclusão!A$4:A$4003,1,FALSE),"sim",""),"")</f>
        <v>sim</v>
      </c>
    </row>
    <row r="73" spans="1:4" x14ac:dyDescent="0.3">
      <c r="A73" s="15">
        <v>12944</v>
      </c>
      <c r="B73" s="17" t="s">
        <v>73</v>
      </c>
      <c r="C73" s="12">
        <v>367</v>
      </c>
      <c r="D73" s="11" t="str">
        <f>_xlfn.IFNA(IF(VLOOKUP(Tabela2[[#This Row],[CÓDIGO]],Aguardando_exclusão!A$4:A$4003,1,FALSE),"sim",""),"")</f>
        <v>sim</v>
      </c>
    </row>
    <row r="74" spans="1:4" x14ac:dyDescent="0.3">
      <c r="A74" s="15">
        <v>12948</v>
      </c>
      <c r="B74" s="17" t="s">
        <v>74</v>
      </c>
      <c r="C74" s="12">
        <v>367</v>
      </c>
      <c r="D74" s="11" t="str">
        <f>_xlfn.IFNA(IF(VLOOKUP(Tabela2[[#This Row],[CÓDIGO]],Aguardando_exclusão!A$4:A$4003,1,FALSE),"sim",""),"")</f>
        <v/>
      </c>
    </row>
    <row r="75" spans="1:4" x14ac:dyDescent="0.3">
      <c r="A75" s="15">
        <v>12950</v>
      </c>
      <c r="B75" s="17" t="s">
        <v>75</v>
      </c>
      <c r="C75" s="12">
        <v>367</v>
      </c>
      <c r="D75" s="11" t="str">
        <f>_xlfn.IFNA(IF(VLOOKUP(Tabela2[[#This Row],[CÓDIGO]],Aguardando_exclusão!A$4:A$4003,1,FALSE),"sim",""),"")</f>
        <v/>
      </c>
    </row>
    <row r="76" spans="1:4" x14ac:dyDescent="0.3">
      <c r="A76" s="15">
        <v>12953</v>
      </c>
      <c r="B76" s="17" t="s">
        <v>76</v>
      </c>
      <c r="C76" s="12">
        <v>367</v>
      </c>
      <c r="D76" s="11" t="str">
        <f>_xlfn.IFNA(IF(VLOOKUP(Tabela2[[#This Row],[CÓDIGO]],Aguardando_exclusão!A$4:A$4003,1,FALSE),"sim",""),"")</f>
        <v>sim</v>
      </c>
    </row>
    <row r="77" spans="1:4" x14ac:dyDescent="0.3">
      <c r="A77" s="15">
        <v>12956</v>
      </c>
      <c r="B77" s="17" t="s">
        <v>77</v>
      </c>
      <c r="C77" s="12">
        <v>367</v>
      </c>
      <c r="D77" s="11" t="str">
        <f>_xlfn.IFNA(IF(VLOOKUP(Tabela2[[#This Row],[CÓDIGO]],Aguardando_exclusão!A$4:A$4003,1,FALSE),"sim",""),"")</f>
        <v/>
      </c>
    </row>
    <row r="78" spans="1:4" x14ac:dyDescent="0.3">
      <c r="A78" s="15">
        <v>12961</v>
      </c>
      <c r="B78" s="17" t="s">
        <v>78</v>
      </c>
      <c r="C78" s="12">
        <v>367</v>
      </c>
      <c r="D78" s="11" t="str">
        <f>_xlfn.IFNA(IF(VLOOKUP(Tabela2[[#This Row],[CÓDIGO]],Aguardando_exclusão!A$4:A$4003,1,FALSE),"sim",""),"")</f>
        <v>sim</v>
      </c>
    </row>
    <row r="79" spans="1:4" x14ac:dyDescent="0.3">
      <c r="A79" s="15">
        <v>12964</v>
      </c>
      <c r="B79" s="17" t="s">
        <v>79</v>
      </c>
      <c r="C79" s="12">
        <v>367</v>
      </c>
      <c r="D79" s="11" t="str">
        <f>_xlfn.IFNA(IF(VLOOKUP(Tabela2[[#This Row],[CÓDIGO]],Aguardando_exclusão!A$4:A$4003,1,FALSE),"sim",""),"")</f>
        <v>sim</v>
      </c>
    </row>
    <row r="80" spans="1:4" ht="15" customHeight="1" x14ac:dyDescent="0.3">
      <c r="A80" s="15">
        <v>12971</v>
      </c>
      <c r="B80" s="17" t="s">
        <v>80</v>
      </c>
      <c r="C80" s="12">
        <v>367</v>
      </c>
      <c r="D80" s="11" t="str">
        <f>_xlfn.IFNA(IF(VLOOKUP(Tabela2[[#This Row],[CÓDIGO]],Aguardando_exclusão!A$4:A$4003,1,FALSE),"sim",""),"")</f>
        <v/>
      </c>
    </row>
    <row r="81" spans="1:4" x14ac:dyDescent="0.3">
      <c r="A81" s="15">
        <v>12989</v>
      </c>
      <c r="B81" s="17" t="s">
        <v>81</v>
      </c>
      <c r="C81" s="12">
        <v>367</v>
      </c>
      <c r="D81" s="11" t="str">
        <f>_xlfn.IFNA(IF(VLOOKUP(Tabela2[[#This Row],[CÓDIGO]],Aguardando_exclusão!A$4:A$4003,1,FALSE),"sim",""),"")</f>
        <v/>
      </c>
    </row>
    <row r="82" spans="1:4" x14ac:dyDescent="0.3">
      <c r="A82" s="15">
        <v>12992</v>
      </c>
      <c r="B82" s="17" t="s">
        <v>82</v>
      </c>
      <c r="C82" s="12">
        <v>367</v>
      </c>
      <c r="D82" s="11" t="str">
        <f>_xlfn.IFNA(IF(VLOOKUP(Tabela2[[#This Row],[CÓDIGO]],Aguardando_exclusão!A$4:A$4003,1,FALSE),"sim",""),"")</f>
        <v/>
      </c>
    </row>
    <row r="83" spans="1:4" x14ac:dyDescent="0.3">
      <c r="A83" s="15">
        <v>13007</v>
      </c>
      <c r="B83" s="17" t="s">
        <v>83</v>
      </c>
      <c r="C83" s="12">
        <v>367</v>
      </c>
      <c r="D83" s="11" t="str">
        <f>_xlfn.IFNA(IF(VLOOKUP(Tabela2[[#This Row],[CÓDIGO]],Aguardando_exclusão!A$4:A$4003,1,FALSE),"sim",""),"")</f>
        <v>sim</v>
      </c>
    </row>
    <row r="84" spans="1:4" x14ac:dyDescent="0.3">
      <c r="A84" s="15">
        <v>13009</v>
      </c>
      <c r="B84" s="17" t="s">
        <v>84</v>
      </c>
      <c r="C84" s="12">
        <v>367</v>
      </c>
      <c r="D84" s="11" t="str">
        <f>_xlfn.IFNA(IF(VLOOKUP(Tabela2[[#This Row],[CÓDIGO]],Aguardando_exclusão!A$4:A$4003,1,FALSE),"sim",""),"")</f>
        <v/>
      </c>
    </row>
    <row r="85" spans="1:4" x14ac:dyDescent="0.3">
      <c r="A85" s="15">
        <v>13013</v>
      </c>
      <c r="B85" s="17" t="s">
        <v>85</v>
      </c>
      <c r="C85" s="12">
        <v>367</v>
      </c>
      <c r="D85" s="11" t="str">
        <f>_xlfn.IFNA(IF(VLOOKUP(Tabela2[[#This Row],[CÓDIGO]],Aguardando_exclusão!A$4:A$4003,1,FALSE),"sim",""),"")</f>
        <v>sim</v>
      </c>
    </row>
    <row r="86" spans="1:4" x14ac:dyDescent="0.3">
      <c r="A86" s="15">
        <v>13019</v>
      </c>
      <c r="B86" s="17" t="s">
        <v>86</v>
      </c>
      <c r="C86" s="12">
        <v>367</v>
      </c>
      <c r="D86" s="11" t="str">
        <f>_xlfn.IFNA(IF(VLOOKUP(Tabela2[[#This Row],[CÓDIGO]],Aguardando_exclusão!A$4:A$4003,1,FALSE),"sim",""),"")</f>
        <v/>
      </c>
    </row>
    <row r="87" spans="1:4" x14ac:dyDescent="0.3">
      <c r="A87" s="15">
        <v>13021</v>
      </c>
      <c r="B87" s="17" t="s">
        <v>87</v>
      </c>
      <c r="C87" s="12">
        <v>367</v>
      </c>
      <c r="D87" s="11" t="str">
        <f>_xlfn.IFNA(IF(VLOOKUP(Tabela2[[#This Row],[CÓDIGO]],Aguardando_exclusão!A$4:A$4003,1,FALSE),"sim",""),"")</f>
        <v/>
      </c>
    </row>
    <row r="88" spans="1:4" x14ac:dyDescent="0.3">
      <c r="A88" s="15">
        <v>13033</v>
      </c>
      <c r="B88" s="17" t="s">
        <v>88</v>
      </c>
      <c r="C88" s="12">
        <v>367</v>
      </c>
      <c r="D88" s="11" t="str">
        <f>_xlfn.IFNA(IF(VLOOKUP(Tabela2[[#This Row],[CÓDIGO]],Aguardando_exclusão!A$4:A$4003,1,FALSE),"sim",""),"")</f>
        <v/>
      </c>
    </row>
    <row r="89" spans="1:4" x14ac:dyDescent="0.3">
      <c r="A89" s="15">
        <v>13053</v>
      </c>
      <c r="B89" s="17" t="s">
        <v>89</v>
      </c>
      <c r="C89" s="12">
        <v>367</v>
      </c>
      <c r="D89" s="11" t="str">
        <f>_xlfn.IFNA(IF(VLOOKUP(Tabela2[[#This Row],[CÓDIGO]],Aguardando_exclusão!A$4:A$4003,1,FALSE),"sim",""),"")</f>
        <v/>
      </c>
    </row>
    <row r="90" spans="1:4" x14ac:dyDescent="0.3">
      <c r="A90" s="15">
        <v>13059</v>
      </c>
      <c r="B90" s="17" t="s">
        <v>90</v>
      </c>
      <c r="C90" s="12">
        <v>367</v>
      </c>
      <c r="D90" s="11" t="str">
        <f>_xlfn.IFNA(IF(VLOOKUP(Tabela2[[#This Row],[CÓDIGO]],Aguardando_exclusão!A$4:A$4003,1,FALSE),"sim",""),"")</f>
        <v/>
      </c>
    </row>
    <row r="91" spans="1:4" x14ac:dyDescent="0.3">
      <c r="A91" s="15">
        <v>13060</v>
      </c>
      <c r="B91" s="17" t="s">
        <v>91</v>
      </c>
      <c r="C91" s="12">
        <v>367</v>
      </c>
      <c r="D91" s="11" t="str">
        <f>_xlfn.IFNA(IF(VLOOKUP(Tabela2[[#This Row],[CÓDIGO]],Aguardando_exclusão!A$4:A$4003,1,FALSE),"sim",""),"")</f>
        <v/>
      </c>
    </row>
    <row r="92" spans="1:4" x14ac:dyDescent="0.3">
      <c r="A92" s="15">
        <v>13063</v>
      </c>
      <c r="B92" s="17" t="s">
        <v>92</v>
      </c>
      <c r="C92" s="12">
        <v>367</v>
      </c>
      <c r="D92" s="11" t="str">
        <f>_xlfn.IFNA(IF(VLOOKUP(Tabela2[[#This Row],[CÓDIGO]],Aguardando_exclusão!A$4:A$4003,1,FALSE),"sim",""),"")</f>
        <v/>
      </c>
    </row>
    <row r="93" spans="1:4" ht="15" customHeight="1" x14ac:dyDescent="0.3">
      <c r="A93" s="15">
        <v>13064</v>
      </c>
      <c r="B93" s="17" t="s">
        <v>93</v>
      </c>
      <c r="C93" s="12">
        <v>367</v>
      </c>
      <c r="D93" s="11" t="str">
        <f>_xlfn.IFNA(IF(VLOOKUP(Tabela2[[#This Row],[CÓDIGO]],Aguardando_exclusão!A$4:A$4003,1,FALSE),"sim",""),"")</f>
        <v/>
      </c>
    </row>
    <row r="94" spans="1:4" x14ac:dyDescent="0.3">
      <c r="A94" s="15">
        <v>13066</v>
      </c>
      <c r="B94" s="17" t="s">
        <v>94</v>
      </c>
      <c r="C94" s="12">
        <v>367</v>
      </c>
      <c r="D94" s="11" t="str">
        <f>_xlfn.IFNA(IF(VLOOKUP(Tabela2[[#This Row],[CÓDIGO]],Aguardando_exclusão!A$4:A$4003,1,FALSE),"sim",""),"")</f>
        <v/>
      </c>
    </row>
    <row r="95" spans="1:4" x14ac:dyDescent="0.3">
      <c r="A95" s="15">
        <v>13068</v>
      </c>
      <c r="B95" s="17" t="s">
        <v>95</v>
      </c>
      <c r="C95" s="12">
        <v>367</v>
      </c>
      <c r="D95" s="11" t="str">
        <f>_xlfn.IFNA(IF(VLOOKUP(Tabela2[[#This Row],[CÓDIGO]],Aguardando_exclusão!A$4:A$4003,1,FALSE),"sim",""),"")</f>
        <v/>
      </c>
    </row>
    <row r="96" spans="1:4" x14ac:dyDescent="0.3">
      <c r="A96" s="15">
        <v>13070</v>
      </c>
      <c r="B96" s="17" t="s">
        <v>96</v>
      </c>
      <c r="C96" s="12">
        <v>367</v>
      </c>
      <c r="D96" s="11" t="str">
        <f>_xlfn.IFNA(IF(VLOOKUP(Tabela2[[#This Row],[CÓDIGO]],Aguardando_exclusão!A$4:A$4003,1,FALSE),"sim",""),"")</f>
        <v>sim</v>
      </c>
    </row>
    <row r="97" spans="1:4" x14ac:dyDescent="0.3">
      <c r="A97" s="15">
        <v>13072</v>
      </c>
      <c r="B97" s="17" t="s">
        <v>97</v>
      </c>
      <c r="C97" s="12">
        <v>367</v>
      </c>
      <c r="D97" s="11" t="str">
        <f>_xlfn.IFNA(IF(VLOOKUP(Tabela2[[#This Row],[CÓDIGO]],Aguardando_exclusão!A$4:A$4003,1,FALSE),"sim",""),"")</f>
        <v/>
      </c>
    </row>
    <row r="98" spans="1:4" x14ac:dyDescent="0.3">
      <c r="A98" s="15">
        <v>13076</v>
      </c>
      <c r="B98" s="17" t="s">
        <v>98</v>
      </c>
      <c r="C98" s="12">
        <v>367</v>
      </c>
      <c r="D98" s="11" t="str">
        <f>_xlfn.IFNA(IF(VLOOKUP(Tabela2[[#This Row],[CÓDIGO]],Aguardando_exclusão!A$4:A$4003,1,FALSE),"sim",""),"")</f>
        <v>sim</v>
      </c>
    </row>
    <row r="99" spans="1:4" x14ac:dyDescent="0.3">
      <c r="A99" s="15">
        <v>13077</v>
      </c>
      <c r="B99" s="17" t="s">
        <v>99</v>
      </c>
      <c r="C99" s="12">
        <v>367</v>
      </c>
      <c r="D99" s="11" t="str">
        <f>_xlfn.IFNA(IF(VLOOKUP(Tabela2[[#This Row],[CÓDIGO]],Aguardando_exclusão!A$4:A$4003,1,FALSE),"sim",""),"")</f>
        <v>sim</v>
      </c>
    </row>
    <row r="100" spans="1:4" x14ac:dyDescent="0.3">
      <c r="A100" s="15">
        <v>13078</v>
      </c>
      <c r="B100" s="17" t="s">
        <v>100</v>
      </c>
      <c r="C100" s="12">
        <v>367</v>
      </c>
      <c r="D100" s="11" t="str">
        <f>_xlfn.IFNA(IF(VLOOKUP(Tabela2[[#This Row],[CÓDIGO]],Aguardando_exclusão!A$4:A$4003,1,FALSE),"sim",""),"")</f>
        <v>sim</v>
      </c>
    </row>
    <row r="101" spans="1:4" x14ac:dyDescent="0.3">
      <c r="A101" s="15">
        <v>13087</v>
      </c>
      <c r="B101" s="17" t="s">
        <v>101</v>
      </c>
      <c r="C101" s="12">
        <v>367</v>
      </c>
      <c r="D101" s="11" t="str">
        <f>_xlfn.IFNA(IF(VLOOKUP(Tabela2[[#This Row],[CÓDIGO]],Aguardando_exclusão!A$4:A$4003,1,FALSE),"sim",""),"")</f>
        <v/>
      </c>
    </row>
    <row r="102" spans="1:4" x14ac:dyDescent="0.3">
      <c r="A102" s="15">
        <v>13088</v>
      </c>
      <c r="B102" s="17" t="s">
        <v>102</v>
      </c>
      <c r="C102" s="12">
        <v>367</v>
      </c>
      <c r="D102" s="11" t="str">
        <f>_xlfn.IFNA(IF(VLOOKUP(Tabela2[[#This Row],[CÓDIGO]],Aguardando_exclusão!A$4:A$4003,1,FALSE),"sim",""),"")</f>
        <v/>
      </c>
    </row>
    <row r="103" spans="1:4" x14ac:dyDescent="0.3">
      <c r="A103" s="15">
        <v>13091</v>
      </c>
      <c r="B103" s="17" t="s">
        <v>103</v>
      </c>
      <c r="C103" s="12">
        <v>367</v>
      </c>
      <c r="D103" s="11" t="str">
        <f>_xlfn.IFNA(IF(VLOOKUP(Tabela2[[#This Row],[CÓDIGO]],Aguardando_exclusão!A$4:A$4003,1,FALSE),"sim",""),"")</f>
        <v/>
      </c>
    </row>
    <row r="104" spans="1:4" ht="15" customHeight="1" x14ac:dyDescent="0.3">
      <c r="A104" s="15">
        <v>13092</v>
      </c>
      <c r="B104" s="17" t="s">
        <v>104</v>
      </c>
      <c r="C104" s="12">
        <v>367</v>
      </c>
      <c r="D104" s="11" t="str">
        <f>_xlfn.IFNA(IF(VLOOKUP(Tabela2[[#This Row],[CÓDIGO]],Aguardando_exclusão!A$4:A$4003,1,FALSE),"sim",""),"")</f>
        <v/>
      </c>
    </row>
    <row r="105" spans="1:4" x14ac:dyDescent="0.3">
      <c r="A105" s="15">
        <v>13094</v>
      </c>
      <c r="B105" s="17" t="s">
        <v>105</v>
      </c>
      <c r="C105" s="12">
        <v>367</v>
      </c>
      <c r="D105" s="11" t="str">
        <f>_xlfn.IFNA(IF(VLOOKUP(Tabela2[[#This Row],[CÓDIGO]],Aguardando_exclusão!A$4:A$4003,1,FALSE),"sim",""),"")</f>
        <v/>
      </c>
    </row>
    <row r="106" spans="1:4" x14ac:dyDescent="0.3">
      <c r="A106" s="15">
        <v>13095</v>
      </c>
      <c r="B106" s="17" t="s">
        <v>106</v>
      </c>
      <c r="C106" s="12">
        <v>367</v>
      </c>
      <c r="D106" s="11" t="str">
        <f>_xlfn.IFNA(IF(VLOOKUP(Tabela2[[#This Row],[CÓDIGO]],Aguardando_exclusão!A$4:A$4003,1,FALSE),"sim",""),"")</f>
        <v/>
      </c>
    </row>
    <row r="107" spans="1:4" x14ac:dyDescent="0.3">
      <c r="A107" s="15">
        <v>13096</v>
      </c>
      <c r="B107" s="17" t="s">
        <v>107</v>
      </c>
      <c r="C107" s="12">
        <v>367</v>
      </c>
      <c r="D107" s="11" t="str">
        <f>_xlfn.IFNA(IF(VLOOKUP(Tabela2[[#This Row],[CÓDIGO]],Aguardando_exclusão!A$4:A$4003,1,FALSE),"sim",""),"")</f>
        <v>sim</v>
      </c>
    </row>
    <row r="108" spans="1:4" x14ac:dyDescent="0.3">
      <c r="A108" s="15">
        <v>13100</v>
      </c>
      <c r="B108" s="17" t="s">
        <v>108</v>
      </c>
      <c r="C108" s="12">
        <v>367</v>
      </c>
      <c r="D108" s="11" t="str">
        <f>_xlfn.IFNA(IF(VLOOKUP(Tabela2[[#This Row],[CÓDIGO]],Aguardando_exclusão!A$4:A$4003,1,FALSE),"sim",""),"")</f>
        <v>sim</v>
      </c>
    </row>
    <row r="109" spans="1:4" x14ac:dyDescent="0.3">
      <c r="A109" s="15">
        <v>13101</v>
      </c>
      <c r="B109" s="17" t="s">
        <v>109</v>
      </c>
      <c r="C109" s="12">
        <v>367</v>
      </c>
      <c r="D109" s="11" t="str">
        <f>_xlfn.IFNA(IF(VLOOKUP(Tabela2[[#This Row],[CÓDIGO]],Aguardando_exclusão!A$4:A$4003,1,FALSE),"sim",""),"")</f>
        <v/>
      </c>
    </row>
    <row r="110" spans="1:4" x14ac:dyDescent="0.3">
      <c r="A110" s="15">
        <v>13102</v>
      </c>
      <c r="B110" s="17" t="s">
        <v>110</v>
      </c>
      <c r="C110" s="12">
        <v>367</v>
      </c>
      <c r="D110" s="11" t="str">
        <f>_xlfn.IFNA(IF(VLOOKUP(Tabela2[[#This Row],[CÓDIGO]],Aguardando_exclusão!A$4:A$4003,1,FALSE),"sim",""),"")</f>
        <v/>
      </c>
    </row>
    <row r="111" spans="1:4" x14ac:dyDescent="0.3">
      <c r="A111" s="15">
        <v>13109</v>
      </c>
      <c r="B111" s="17" t="s">
        <v>111</v>
      </c>
      <c r="C111" s="12">
        <v>367</v>
      </c>
      <c r="D111" s="11" t="str">
        <f>_xlfn.IFNA(IF(VLOOKUP(Tabela2[[#This Row],[CÓDIGO]],Aguardando_exclusão!A$4:A$4003,1,FALSE),"sim",""),"")</f>
        <v/>
      </c>
    </row>
    <row r="112" spans="1:4" x14ac:dyDescent="0.3">
      <c r="A112" s="15">
        <v>13116</v>
      </c>
      <c r="B112" s="17" t="s">
        <v>112</v>
      </c>
      <c r="C112" s="12">
        <v>367</v>
      </c>
      <c r="D112" s="11" t="str">
        <f>_xlfn.IFNA(IF(VLOOKUP(Tabela2[[#This Row],[CÓDIGO]],Aguardando_exclusão!A$4:A$4003,1,FALSE),"sim",""),"")</f>
        <v/>
      </c>
    </row>
    <row r="113" spans="1:4" x14ac:dyDescent="0.3">
      <c r="A113" s="15">
        <v>13117</v>
      </c>
      <c r="B113" s="17" t="s">
        <v>113</v>
      </c>
      <c r="C113" s="12">
        <v>367</v>
      </c>
      <c r="D113" s="11" t="str">
        <f>_xlfn.IFNA(IF(VLOOKUP(Tabela2[[#This Row],[CÓDIGO]],Aguardando_exclusão!A$4:A$4003,1,FALSE),"sim",""),"")</f>
        <v/>
      </c>
    </row>
    <row r="114" spans="1:4" x14ac:dyDescent="0.3">
      <c r="A114" s="15">
        <v>13120</v>
      </c>
      <c r="B114" s="17" t="s">
        <v>114</v>
      </c>
      <c r="C114" s="12">
        <v>367</v>
      </c>
      <c r="D114" s="11" t="str">
        <f>_xlfn.IFNA(IF(VLOOKUP(Tabela2[[#This Row],[CÓDIGO]],Aguardando_exclusão!A$4:A$4003,1,FALSE),"sim",""),"")</f>
        <v/>
      </c>
    </row>
    <row r="115" spans="1:4" x14ac:dyDescent="0.3">
      <c r="A115" s="15">
        <v>13123</v>
      </c>
      <c r="B115" s="17" t="s">
        <v>115</v>
      </c>
      <c r="C115" s="12">
        <v>367</v>
      </c>
      <c r="D115" s="11" t="str">
        <f>_xlfn.IFNA(IF(VLOOKUP(Tabela2[[#This Row],[CÓDIGO]],Aguardando_exclusão!A$4:A$4003,1,FALSE),"sim",""),"")</f>
        <v>sim</v>
      </c>
    </row>
    <row r="116" spans="1:4" x14ac:dyDescent="0.3">
      <c r="A116" s="15">
        <v>13125</v>
      </c>
      <c r="B116" s="17" t="s">
        <v>116</v>
      </c>
      <c r="C116" s="12">
        <v>367</v>
      </c>
      <c r="D116" s="11" t="str">
        <f>_xlfn.IFNA(IF(VLOOKUP(Tabela2[[#This Row],[CÓDIGO]],Aguardando_exclusão!A$4:A$4003,1,FALSE),"sim",""),"")</f>
        <v>sim</v>
      </c>
    </row>
    <row r="117" spans="1:4" x14ac:dyDescent="0.3">
      <c r="A117" s="15">
        <v>13152</v>
      </c>
      <c r="B117" s="17" t="s">
        <v>117</v>
      </c>
      <c r="C117" s="12">
        <v>367</v>
      </c>
      <c r="D117" s="11" t="str">
        <f>_xlfn.IFNA(IF(VLOOKUP(Tabela2[[#This Row],[CÓDIGO]],Aguardando_exclusão!A$4:A$4003,1,FALSE),"sim",""),"")</f>
        <v>sim</v>
      </c>
    </row>
    <row r="118" spans="1:4" x14ac:dyDescent="0.3">
      <c r="A118" s="15">
        <v>13161</v>
      </c>
      <c r="B118" s="17" t="s">
        <v>118</v>
      </c>
      <c r="C118" s="12">
        <v>367</v>
      </c>
      <c r="D118" s="11" t="str">
        <f>_xlfn.IFNA(IF(VLOOKUP(Tabela2[[#This Row],[CÓDIGO]],Aguardando_exclusão!A$4:A$4003,1,FALSE),"sim",""),"")</f>
        <v/>
      </c>
    </row>
    <row r="119" spans="1:4" ht="15" customHeight="1" x14ac:dyDescent="0.3">
      <c r="A119" s="15">
        <v>13165</v>
      </c>
      <c r="B119" s="17" t="s">
        <v>119</v>
      </c>
      <c r="C119" s="12">
        <v>367</v>
      </c>
      <c r="D119" s="11" t="str">
        <f>_xlfn.IFNA(IF(VLOOKUP(Tabela2[[#This Row],[CÓDIGO]],Aguardando_exclusão!A$4:A$4003,1,FALSE),"sim",""),"")</f>
        <v/>
      </c>
    </row>
    <row r="120" spans="1:4" x14ac:dyDescent="0.3">
      <c r="A120" s="15">
        <v>13175</v>
      </c>
      <c r="B120" s="17" t="s">
        <v>120</v>
      </c>
      <c r="C120" s="12">
        <v>367</v>
      </c>
      <c r="D120" s="11" t="str">
        <f>_xlfn.IFNA(IF(VLOOKUP(Tabela2[[#This Row],[CÓDIGO]],Aguardando_exclusão!A$4:A$4003,1,FALSE),"sim",""),"")</f>
        <v/>
      </c>
    </row>
    <row r="121" spans="1:4" x14ac:dyDescent="0.3">
      <c r="A121" s="15">
        <v>13178</v>
      </c>
      <c r="B121" s="17" t="s">
        <v>121</v>
      </c>
      <c r="C121" s="12">
        <v>367</v>
      </c>
      <c r="D121" s="11" t="str">
        <f>_xlfn.IFNA(IF(VLOOKUP(Tabela2[[#This Row],[CÓDIGO]],Aguardando_exclusão!A$4:A$4003,1,FALSE),"sim",""),"")</f>
        <v/>
      </c>
    </row>
    <row r="122" spans="1:4" x14ac:dyDescent="0.3">
      <c r="A122" s="15">
        <v>13179</v>
      </c>
      <c r="B122" s="17" t="s">
        <v>122</v>
      </c>
      <c r="C122" s="12">
        <v>367</v>
      </c>
      <c r="D122" s="11" t="str">
        <f>_xlfn.IFNA(IF(VLOOKUP(Tabela2[[#This Row],[CÓDIGO]],Aguardando_exclusão!A$4:A$4003,1,FALSE),"sim",""),"")</f>
        <v/>
      </c>
    </row>
    <row r="123" spans="1:4" x14ac:dyDescent="0.3">
      <c r="A123" s="15">
        <v>13180</v>
      </c>
      <c r="B123" s="17" t="s">
        <v>123</v>
      </c>
      <c r="C123" s="12">
        <v>367</v>
      </c>
      <c r="D123" s="11" t="str">
        <f>_xlfn.IFNA(IF(VLOOKUP(Tabela2[[#This Row],[CÓDIGO]],Aguardando_exclusão!A$4:A$4003,1,FALSE),"sim",""),"")</f>
        <v/>
      </c>
    </row>
    <row r="124" spans="1:4" ht="15" customHeight="1" x14ac:dyDescent="0.3">
      <c r="A124" s="15">
        <v>13181</v>
      </c>
      <c r="B124" s="17" t="s">
        <v>124</v>
      </c>
      <c r="C124" s="12">
        <v>367</v>
      </c>
      <c r="D124" s="11" t="str">
        <f>_xlfn.IFNA(IF(VLOOKUP(Tabela2[[#This Row],[CÓDIGO]],Aguardando_exclusão!A$4:A$4003,1,FALSE),"sim",""),"")</f>
        <v/>
      </c>
    </row>
    <row r="125" spans="1:4" ht="15" customHeight="1" x14ac:dyDescent="0.3">
      <c r="A125" s="15">
        <v>13186</v>
      </c>
      <c r="B125" s="17" t="s">
        <v>125</v>
      </c>
      <c r="C125" s="12">
        <v>367</v>
      </c>
      <c r="D125" s="11" t="str">
        <f>_xlfn.IFNA(IF(VLOOKUP(Tabela2[[#This Row],[CÓDIGO]],Aguardando_exclusão!A$4:A$4003,1,FALSE),"sim",""),"")</f>
        <v/>
      </c>
    </row>
    <row r="126" spans="1:4" ht="15" customHeight="1" x14ac:dyDescent="0.3">
      <c r="A126" s="15">
        <v>13192</v>
      </c>
      <c r="B126" s="17" t="s">
        <v>126</v>
      </c>
      <c r="C126" s="12">
        <v>367</v>
      </c>
      <c r="D126" s="11" t="str">
        <f>_xlfn.IFNA(IF(VLOOKUP(Tabela2[[#This Row],[CÓDIGO]],Aguardando_exclusão!A$4:A$4003,1,FALSE),"sim",""),"")</f>
        <v/>
      </c>
    </row>
    <row r="127" spans="1:4" x14ac:dyDescent="0.3">
      <c r="A127" s="15">
        <v>13197</v>
      </c>
      <c r="B127" s="17" t="s">
        <v>127</v>
      </c>
      <c r="C127" s="12">
        <v>367</v>
      </c>
      <c r="D127" s="11" t="str">
        <f>_xlfn.IFNA(IF(VLOOKUP(Tabela2[[#This Row],[CÓDIGO]],Aguardando_exclusão!A$4:A$4003,1,FALSE),"sim",""),"")</f>
        <v/>
      </c>
    </row>
    <row r="128" spans="1:4" x14ac:dyDescent="0.3">
      <c r="A128" s="15">
        <v>13199</v>
      </c>
      <c r="B128" s="17" t="s">
        <v>128</v>
      </c>
      <c r="C128" s="12">
        <v>367</v>
      </c>
      <c r="D128" s="11" t="str">
        <f>_xlfn.IFNA(IF(VLOOKUP(Tabela2[[#This Row],[CÓDIGO]],Aguardando_exclusão!A$4:A$4003,1,FALSE),"sim",""),"")</f>
        <v/>
      </c>
    </row>
    <row r="129" spans="1:4" x14ac:dyDescent="0.3">
      <c r="A129" s="15">
        <v>13202</v>
      </c>
      <c r="B129" s="17" t="s">
        <v>129</v>
      </c>
      <c r="C129" s="12">
        <v>367</v>
      </c>
      <c r="D129" s="11" t="str">
        <f>_xlfn.IFNA(IF(VLOOKUP(Tabela2[[#This Row],[CÓDIGO]],Aguardando_exclusão!A$4:A$4003,1,FALSE),"sim",""),"")</f>
        <v/>
      </c>
    </row>
    <row r="130" spans="1:4" x14ac:dyDescent="0.3">
      <c r="A130" s="15">
        <v>13218</v>
      </c>
      <c r="B130" s="17" t="s">
        <v>130</v>
      </c>
      <c r="C130" s="12">
        <v>367</v>
      </c>
      <c r="D130" s="11" t="str">
        <f>_xlfn.IFNA(IF(VLOOKUP(Tabela2[[#This Row],[CÓDIGO]],Aguardando_exclusão!A$4:A$4003,1,FALSE),"sim",""),"")</f>
        <v/>
      </c>
    </row>
    <row r="131" spans="1:4" x14ac:dyDescent="0.3">
      <c r="A131" s="15">
        <v>13221</v>
      </c>
      <c r="B131" s="17" t="s">
        <v>131</v>
      </c>
      <c r="C131" s="12">
        <v>367</v>
      </c>
      <c r="D131" s="11" t="str">
        <f>_xlfn.IFNA(IF(VLOOKUP(Tabela2[[#This Row],[CÓDIGO]],Aguardando_exclusão!A$4:A$4003,1,FALSE),"sim",""),"")</f>
        <v/>
      </c>
    </row>
    <row r="132" spans="1:4" x14ac:dyDescent="0.3">
      <c r="A132" s="15">
        <v>13222</v>
      </c>
      <c r="B132" s="17" t="s">
        <v>132</v>
      </c>
      <c r="C132" s="12">
        <v>367</v>
      </c>
      <c r="D132" s="11" t="str">
        <f>_xlfn.IFNA(IF(VLOOKUP(Tabela2[[#This Row],[CÓDIGO]],Aguardando_exclusão!A$4:A$4003,1,FALSE),"sim",""),"")</f>
        <v/>
      </c>
    </row>
    <row r="133" spans="1:4" x14ac:dyDescent="0.3">
      <c r="A133" s="15">
        <v>13225</v>
      </c>
      <c r="B133" s="17" t="s">
        <v>133</v>
      </c>
      <c r="C133" s="12">
        <v>367</v>
      </c>
      <c r="D133" s="11" t="str">
        <f>_xlfn.IFNA(IF(VLOOKUP(Tabela2[[#This Row],[CÓDIGO]],Aguardando_exclusão!A$4:A$4003,1,FALSE),"sim",""),"")</f>
        <v/>
      </c>
    </row>
    <row r="134" spans="1:4" x14ac:dyDescent="0.3">
      <c r="A134" s="15">
        <v>13517</v>
      </c>
      <c r="B134" s="17" t="s">
        <v>134</v>
      </c>
      <c r="C134" s="12">
        <v>367</v>
      </c>
      <c r="D134" s="11" t="str">
        <f>_xlfn.IFNA(IF(VLOOKUP(Tabela2[[#This Row],[CÓDIGO]],Aguardando_exclusão!A$4:A$4003,1,FALSE),"sim",""),"")</f>
        <v/>
      </c>
    </row>
    <row r="135" spans="1:4" ht="15" customHeight="1" x14ac:dyDescent="0.3">
      <c r="A135" s="15">
        <v>13518</v>
      </c>
      <c r="B135" s="17" t="s">
        <v>135</v>
      </c>
      <c r="C135" s="12">
        <v>367</v>
      </c>
      <c r="D135" s="11" t="str">
        <f>_xlfn.IFNA(IF(VLOOKUP(Tabela2[[#This Row],[CÓDIGO]],Aguardando_exclusão!A$4:A$4003,1,FALSE),"sim",""),"")</f>
        <v/>
      </c>
    </row>
    <row r="136" spans="1:4" ht="15" customHeight="1" x14ac:dyDescent="0.3">
      <c r="A136" s="15">
        <v>13539</v>
      </c>
      <c r="B136" s="17" t="s">
        <v>136</v>
      </c>
      <c r="C136" s="12">
        <v>367</v>
      </c>
      <c r="D136" s="11" t="str">
        <f>_xlfn.IFNA(IF(VLOOKUP(Tabela2[[#This Row],[CÓDIGO]],Aguardando_exclusão!A$4:A$4003,1,FALSE),"sim",""),"")</f>
        <v/>
      </c>
    </row>
    <row r="137" spans="1:4" x14ac:dyDescent="0.3">
      <c r="A137" s="15">
        <v>13556</v>
      </c>
      <c r="B137" s="17" t="s">
        <v>137</v>
      </c>
      <c r="C137" s="12">
        <v>367</v>
      </c>
      <c r="D137" s="11" t="str">
        <f>_xlfn.IFNA(IF(VLOOKUP(Tabela2[[#This Row],[CÓDIGO]],Aguardando_exclusão!A$4:A$4003,1,FALSE),"sim",""),"")</f>
        <v/>
      </c>
    </row>
    <row r="138" spans="1:4" ht="15" customHeight="1" x14ac:dyDescent="0.3">
      <c r="A138" s="15">
        <v>13558</v>
      </c>
      <c r="B138" s="17" t="s">
        <v>138</v>
      </c>
      <c r="C138" s="12">
        <v>367</v>
      </c>
      <c r="D138" s="11" t="str">
        <f>_xlfn.IFNA(IF(VLOOKUP(Tabela2[[#This Row],[CÓDIGO]],Aguardando_exclusão!A$4:A$4003,1,FALSE),"sim",""),"")</f>
        <v/>
      </c>
    </row>
    <row r="139" spans="1:4" x14ac:dyDescent="0.3">
      <c r="A139" s="15">
        <v>13559</v>
      </c>
      <c r="B139" s="17" t="s">
        <v>139</v>
      </c>
      <c r="C139" s="12">
        <v>367</v>
      </c>
      <c r="D139" s="11" t="str">
        <f>_xlfn.IFNA(IF(VLOOKUP(Tabela2[[#This Row],[CÓDIGO]],Aguardando_exclusão!A$4:A$4003,1,FALSE),"sim",""),"")</f>
        <v/>
      </c>
    </row>
    <row r="140" spans="1:4" x14ac:dyDescent="0.3">
      <c r="A140" s="15">
        <v>13560</v>
      </c>
      <c r="B140" s="17" t="s">
        <v>140</v>
      </c>
      <c r="C140" s="12">
        <v>367</v>
      </c>
      <c r="D140" s="11" t="str">
        <f>_xlfn.IFNA(IF(VLOOKUP(Tabela2[[#This Row],[CÓDIGO]],Aguardando_exclusão!A$4:A$4003,1,FALSE),"sim",""),"")</f>
        <v/>
      </c>
    </row>
    <row r="141" spans="1:4" x14ac:dyDescent="0.3">
      <c r="A141" s="15">
        <v>13561</v>
      </c>
      <c r="B141" s="17" t="s">
        <v>141</v>
      </c>
      <c r="C141" s="12">
        <v>367</v>
      </c>
      <c r="D141" s="11" t="str">
        <f>_xlfn.IFNA(IF(VLOOKUP(Tabela2[[#This Row],[CÓDIGO]],Aguardando_exclusão!A$4:A$4003,1,FALSE),"sim",""),"")</f>
        <v/>
      </c>
    </row>
    <row r="142" spans="1:4" x14ac:dyDescent="0.3">
      <c r="A142" s="15">
        <v>13562</v>
      </c>
      <c r="B142" s="17" t="s">
        <v>142</v>
      </c>
      <c r="C142" s="12">
        <v>367</v>
      </c>
      <c r="D142" s="11" t="str">
        <f>_xlfn.IFNA(IF(VLOOKUP(Tabela2[[#This Row],[CÓDIGO]],Aguardando_exclusão!A$4:A$4003,1,FALSE),"sim",""),"")</f>
        <v/>
      </c>
    </row>
    <row r="143" spans="1:4" x14ac:dyDescent="0.3">
      <c r="A143" s="15">
        <v>13563</v>
      </c>
      <c r="B143" s="17" t="s">
        <v>143</v>
      </c>
      <c r="C143" s="12">
        <v>367</v>
      </c>
      <c r="D143" s="11" t="str">
        <f>_xlfn.IFNA(IF(VLOOKUP(Tabela2[[#This Row],[CÓDIGO]],Aguardando_exclusão!A$4:A$4003,1,FALSE),"sim",""),"")</f>
        <v/>
      </c>
    </row>
    <row r="144" spans="1:4" x14ac:dyDescent="0.3">
      <c r="A144" s="15">
        <v>13655</v>
      </c>
      <c r="B144" s="17" t="s">
        <v>144</v>
      </c>
      <c r="C144" s="12">
        <v>367</v>
      </c>
      <c r="D144" s="11" t="str">
        <f>_xlfn.IFNA(IF(VLOOKUP(Tabela2[[#This Row],[CÓDIGO]],Aguardando_exclusão!A$4:A$4003,1,FALSE),"sim",""),"")</f>
        <v/>
      </c>
    </row>
    <row r="145" spans="1:4" x14ac:dyDescent="0.3">
      <c r="A145" s="15">
        <v>13768</v>
      </c>
      <c r="B145" s="17" t="s">
        <v>145</v>
      </c>
      <c r="C145" s="12">
        <v>367</v>
      </c>
      <c r="D145" s="11" t="str">
        <f>_xlfn.IFNA(IF(VLOOKUP(Tabela2[[#This Row],[CÓDIGO]],Aguardando_exclusão!A$4:A$4003,1,FALSE),"sim",""),"")</f>
        <v/>
      </c>
    </row>
    <row r="146" spans="1:4" x14ac:dyDescent="0.3">
      <c r="A146" s="15">
        <v>13905</v>
      </c>
      <c r="B146" s="17" t="s">
        <v>146</v>
      </c>
      <c r="C146" s="12">
        <v>367</v>
      </c>
      <c r="D146" s="11" t="str">
        <f>_xlfn.IFNA(IF(VLOOKUP(Tabela2[[#This Row],[CÓDIGO]],Aguardando_exclusão!A$4:A$4003,1,FALSE),"sim",""),"")</f>
        <v/>
      </c>
    </row>
    <row r="147" spans="1:4" ht="15" customHeight="1" x14ac:dyDescent="0.3">
      <c r="A147" s="15">
        <v>13975</v>
      </c>
      <c r="B147" s="17" t="s">
        <v>147</v>
      </c>
      <c r="C147" s="12">
        <v>367</v>
      </c>
      <c r="D147" s="11" t="str">
        <f>_xlfn.IFNA(IF(VLOOKUP(Tabela2[[#This Row],[CÓDIGO]],Aguardando_exclusão!A$4:A$4003,1,FALSE),"sim",""),"")</f>
        <v/>
      </c>
    </row>
    <row r="148" spans="1:4" ht="15" customHeight="1" x14ac:dyDescent="0.3">
      <c r="A148" s="15">
        <v>13991</v>
      </c>
      <c r="B148" s="17" t="s">
        <v>148</v>
      </c>
      <c r="C148" s="12">
        <v>367</v>
      </c>
      <c r="D148" s="11" t="str">
        <f>_xlfn.IFNA(IF(VLOOKUP(Tabela2[[#This Row],[CÓDIGO]],Aguardando_exclusão!A$4:A$4003,1,FALSE),"sim",""),"")</f>
        <v/>
      </c>
    </row>
    <row r="149" spans="1:4" ht="15" customHeight="1" x14ac:dyDescent="0.3">
      <c r="A149" s="15">
        <v>14001</v>
      </c>
      <c r="B149" s="17" t="s">
        <v>149</v>
      </c>
      <c r="C149" s="12">
        <v>367</v>
      </c>
      <c r="D149" s="11" t="str">
        <f>_xlfn.IFNA(IF(VLOOKUP(Tabela2[[#This Row],[CÓDIGO]],Aguardando_exclusão!A$4:A$4003,1,FALSE),"sim",""),"")</f>
        <v/>
      </c>
    </row>
    <row r="150" spans="1:4" ht="15" customHeight="1" x14ac:dyDescent="0.3">
      <c r="A150" s="15">
        <v>14009</v>
      </c>
      <c r="B150" s="17" t="s">
        <v>150</v>
      </c>
      <c r="C150" s="12">
        <v>367</v>
      </c>
      <c r="D150" s="11" t="str">
        <f>_xlfn.IFNA(IF(VLOOKUP(Tabela2[[#This Row],[CÓDIGO]],Aguardando_exclusão!A$4:A$4003,1,FALSE),"sim",""),"")</f>
        <v>sim</v>
      </c>
    </row>
    <row r="151" spans="1:4" ht="15" customHeight="1" x14ac:dyDescent="0.3">
      <c r="A151" s="15">
        <v>14010</v>
      </c>
      <c r="B151" s="17" t="s">
        <v>151</v>
      </c>
      <c r="C151" s="12">
        <v>367</v>
      </c>
      <c r="D151" s="11" t="str">
        <f>_xlfn.IFNA(IF(VLOOKUP(Tabela2[[#This Row],[CÓDIGO]],Aguardando_exclusão!A$4:A$4003,1,FALSE),"sim",""),"")</f>
        <v>sim</v>
      </c>
    </row>
    <row r="152" spans="1:4" x14ac:dyDescent="0.3">
      <c r="A152" s="15">
        <v>14012</v>
      </c>
      <c r="B152" s="17" t="s">
        <v>152</v>
      </c>
      <c r="C152" s="12">
        <v>367</v>
      </c>
      <c r="D152" s="11" t="str">
        <f>_xlfn.IFNA(IF(VLOOKUP(Tabela2[[#This Row],[CÓDIGO]],Aguardando_exclusão!A$4:A$4003,1,FALSE),"sim",""),"")</f>
        <v/>
      </c>
    </row>
    <row r="153" spans="1:4" x14ac:dyDescent="0.3">
      <c r="A153" s="15">
        <v>14013</v>
      </c>
      <c r="B153" s="17" t="s">
        <v>153</v>
      </c>
      <c r="C153" s="12">
        <v>367</v>
      </c>
      <c r="D153" s="11" t="str">
        <f>_xlfn.IFNA(IF(VLOOKUP(Tabela2[[#This Row],[CÓDIGO]],Aguardando_exclusão!A$4:A$4003,1,FALSE),"sim",""),"")</f>
        <v/>
      </c>
    </row>
    <row r="154" spans="1:4" ht="15" customHeight="1" x14ac:dyDescent="0.3">
      <c r="A154" s="15">
        <v>14014</v>
      </c>
      <c r="B154" s="17" t="s">
        <v>154</v>
      </c>
      <c r="C154" s="12">
        <v>367</v>
      </c>
      <c r="D154" s="11" t="str">
        <f>_xlfn.IFNA(IF(VLOOKUP(Tabela2[[#This Row],[CÓDIGO]],Aguardando_exclusão!A$4:A$4003,1,FALSE),"sim",""),"")</f>
        <v/>
      </c>
    </row>
    <row r="155" spans="1:4" ht="15" customHeight="1" x14ac:dyDescent="0.3">
      <c r="A155" s="15">
        <v>14055</v>
      </c>
      <c r="B155" s="17" t="s">
        <v>155</v>
      </c>
      <c r="C155" s="12">
        <v>367</v>
      </c>
      <c r="D155" s="11" t="str">
        <f>_xlfn.IFNA(IF(VLOOKUP(Tabela2[[#This Row],[CÓDIGO]],Aguardando_exclusão!A$4:A$4003,1,FALSE),"sim",""),"")</f>
        <v/>
      </c>
    </row>
    <row r="156" spans="1:4" ht="15" customHeight="1" x14ac:dyDescent="0.3">
      <c r="A156" s="15">
        <v>14056</v>
      </c>
      <c r="B156" s="17" t="s">
        <v>156</v>
      </c>
      <c r="C156" s="12">
        <v>367</v>
      </c>
      <c r="D156" s="11" t="str">
        <f>_xlfn.IFNA(IF(VLOOKUP(Tabela2[[#This Row],[CÓDIGO]],Aguardando_exclusão!A$4:A$4003,1,FALSE),"sim",""),"")</f>
        <v/>
      </c>
    </row>
    <row r="157" spans="1:4" x14ac:dyDescent="0.3">
      <c r="A157" s="15">
        <v>14121</v>
      </c>
      <c r="B157" s="17" t="s">
        <v>157</v>
      </c>
      <c r="C157" s="12">
        <v>367</v>
      </c>
      <c r="D157" s="11" t="str">
        <f>_xlfn.IFNA(IF(VLOOKUP(Tabela2[[#This Row],[CÓDIGO]],Aguardando_exclusão!A$4:A$4003,1,FALSE),"sim",""),"")</f>
        <v/>
      </c>
    </row>
    <row r="158" spans="1:4" x14ac:dyDescent="0.3">
      <c r="A158" s="15">
        <v>14154</v>
      </c>
      <c r="B158" s="17" t="s">
        <v>158</v>
      </c>
      <c r="C158" s="12">
        <v>367</v>
      </c>
      <c r="D158" s="11" t="str">
        <f>_xlfn.IFNA(IF(VLOOKUP(Tabela2[[#This Row],[CÓDIGO]],Aguardando_exclusão!A$4:A$4003,1,FALSE),"sim",""),"")</f>
        <v/>
      </c>
    </row>
    <row r="159" spans="1:4" x14ac:dyDescent="0.3">
      <c r="A159" s="15">
        <v>14199</v>
      </c>
      <c r="B159" s="17" t="s">
        <v>159</v>
      </c>
      <c r="C159" s="12">
        <v>367</v>
      </c>
      <c r="D159" s="11" t="str">
        <f>_xlfn.IFNA(IF(VLOOKUP(Tabela2[[#This Row],[CÓDIGO]],Aguardando_exclusão!A$4:A$4003,1,FALSE),"sim",""),"")</f>
        <v/>
      </c>
    </row>
    <row r="160" spans="1:4" x14ac:dyDescent="0.3">
      <c r="A160" s="15">
        <v>14662</v>
      </c>
      <c r="B160" s="17" t="s">
        <v>160</v>
      </c>
      <c r="C160" s="12">
        <v>367</v>
      </c>
      <c r="D160" s="11" t="str">
        <f>_xlfn.IFNA(IF(VLOOKUP(Tabela2[[#This Row],[CÓDIGO]],Aguardando_exclusão!A$4:A$4003,1,FALSE),"sim",""),"")</f>
        <v/>
      </c>
    </row>
    <row r="161" spans="1:4" x14ac:dyDescent="0.3">
      <c r="A161" s="15">
        <v>14737</v>
      </c>
      <c r="B161" s="17" t="s">
        <v>161</v>
      </c>
      <c r="C161" s="12">
        <v>367</v>
      </c>
      <c r="D161" s="11" t="str">
        <f>_xlfn.IFNA(IF(VLOOKUP(Tabela2[[#This Row],[CÓDIGO]],Aguardando_exclusão!A$4:A$4003,1,FALSE),"sim",""),"")</f>
        <v/>
      </c>
    </row>
    <row r="162" spans="1:4" x14ac:dyDescent="0.3">
      <c r="A162" s="15">
        <v>14754</v>
      </c>
      <c r="B162" s="17" t="s">
        <v>162</v>
      </c>
      <c r="C162" s="12">
        <v>367</v>
      </c>
      <c r="D162" s="11" t="str">
        <f>_xlfn.IFNA(IF(VLOOKUP(Tabela2[[#This Row],[CÓDIGO]],Aguardando_exclusão!A$4:A$4003,1,FALSE),"sim",""),"")</f>
        <v/>
      </c>
    </row>
    <row r="163" spans="1:4" x14ac:dyDescent="0.3">
      <c r="A163" s="15">
        <v>14784</v>
      </c>
      <c r="B163" s="17" t="s">
        <v>163</v>
      </c>
      <c r="C163" s="12">
        <v>367</v>
      </c>
      <c r="D163" s="11" t="str">
        <f>_xlfn.IFNA(IF(VLOOKUP(Tabela2[[#This Row],[CÓDIGO]],Aguardando_exclusão!A$4:A$4003,1,FALSE),"sim",""),"")</f>
        <v/>
      </c>
    </row>
    <row r="164" spans="1:4" ht="15" customHeight="1" x14ac:dyDescent="0.3">
      <c r="A164" s="15">
        <v>14831</v>
      </c>
      <c r="B164" s="17" t="s">
        <v>164</v>
      </c>
      <c r="C164" s="12">
        <v>367</v>
      </c>
      <c r="D164" s="11" t="str">
        <f>_xlfn.IFNA(IF(VLOOKUP(Tabela2[[#This Row],[CÓDIGO]],Aguardando_exclusão!A$4:A$4003,1,FALSE),"sim",""),"")</f>
        <v/>
      </c>
    </row>
    <row r="165" spans="1:4" ht="15" customHeight="1" x14ac:dyDescent="0.3">
      <c r="A165" s="15">
        <v>14885</v>
      </c>
      <c r="B165" s="17" t="s">
        <v>165</v>
      </c>
      <c r="C165" s="12">
        <v>367</v>
      </c>
      <c r="D165" s="11" t="str">
        <f>_xlfn.IFNA(IF(VLOOKUP(Tabela2[[#This Row],[CÓDIGO]],Aguardando_exclusão!A$4:A$4003,1,FALSE),"sim",""),"")</f>
        <v/>
      </c>
    </row>
    <row r="166" spans="1:4" ht="15" customHeight="1" x14ac:dyDescent="0.3">
      <c r="A166" s="15">
        <v>14887</v>
      </c>
      <c r="B166" s="17" t="s">
        <v>166</v>
      </c>
      <c r="C166" s="12">
        <v>367</v>
      </c>
      <c r="D166" s="11" t="str">
        <f>_xlfn.IFNA(IF(VLOOKUP(Tabela2[[#This Row],[CÓDIGO]],Aguardando_exclusão!A$4:A$4003,1,FALSE),"sim",""),"")</f>
        <v/>
      </c>
    </row>
    <row r="167" spans="1:4" ht="15" customHeight="1" x14ac:dyDescent="0.3">
      <c r="A167" s="15">
        <v>14895</v>
      </c>
      <c r="B167" s="17" t="s">
        <v>167</v>
      </c>
      <c r="C167" s="12">
        <v>367</v>
      </c>
      <c r="D167" s="11" t="str">
        <f>_xlfn.IFNA(IF(VLOOKUP(Tabela2[[#This Row],[CÓDIGO]],Aguardando_exclusão!A$4:A$4003,1,FALSE),"sim",""),"")</f>
        <v>sim</v>
      </c>
    </row>
    <row r="168" spans="1:4" x14ac:dyDescent="0.3">
      <c r="A168" s="15">
        <v>14921</v>
      </c>
      <c r="B168" s="17" t="s">
        <v>168</v>
      </c>
      <c r="C168" s="12">
        <v>367</v>
      </c>
      <c r="D168" s="11" t="str">
        <f>_xlfn.IFNA(IF(VLOOKUP(Tabela2[[#This Row],[CÓDIGO]],Aguardando_exclusão!A$4:A$4003,1,FALSE),"sim",""),"")</f>
        <v/>
      </c>
    </row>
    <row r="169" spans="1:4" ht="15" customHeight="1" x14ac:dyDescent="0.3">
      <c r="A169" s="15">
        <v>14977</v>
      </c>
      <c r="B169" s="17" t="s">
        <v>169</v>
      </c>
      <c r="C169" s="12">
        <v>367</v>
      </c>
      <c r="D169" s="11" t="str">
        <f>_xlfn.IFNA(IF(VLOOKUP(Tabela2[[#This Row],[CÓDIGO]],Aguardando_exclusão!A$4:A$4003,1,FALSE),"sim",""),"")</f>
        <v/>
      </c>
    </row>
    <row r="170" spans="1:4" x14ac:dyDescent="0.3">
      <c r="A170" s="15">
        <v>15029</v>
      </c>
      <c r="B170" s="17" t="s">
        <v>170</v>
      </c>
      <c r="C170" s="12">
        <v>367</v>
      </c>
      <c r="D170" s="11" t="str">
        <f>_xlfn.IFNA(IF(VLOOKUP(Tabela2[[#This Row],[CÓDIGO]],Aguardando_exclusão!A$4:A$4003,1,FALSE),"sim",""),"")</f>
        <v/>
      </c>
    </row>
    <row r="171" spans="1:4" x14ac:dyDescent="0.3">
      <c r="A171" s="15">
        <v>15051</v>
      </c>
      <c r="B171" s="17" t="s">
        <v>171</v>
      </c>
      <c r="C171" s="12">
        <v>367</v>
      </c>
      <c r="D171" s="11" t="str">
        <f>_xlfn.IFNA(IF(VLOOKUP(Tabela2[[#This Row],[CÓDIGO]],Aguardando_exclusão!A$4:A$4003,1,FALSE),"sim",""),"")</f>
        <v/>
      </c>
    </row>
    <row r="172" spans="1:4" x14ac:dyDescent="0.3">
      <c r="A172" s="15">
        <v>15066</v>
      </c>
      <c r="B172" s="17" t="s">
        <v>172</v>
      </c>
      <c r="C172" s="12">
        <v>367</v>
      </c>
      <c r="D172" s="11" t="str">
        <f>_xlfn.IFNA(IF(VLOOKUP(Tabela2[[#This Row],[CÓDIGO]],Aguardando_exclusão!A$4:A$4003,1,FALSE),"sim",""),"")</f>
        <v/>
      </c>
    </row>
    <row r="173" spans="1:4" x14ac:dyDescent="0.3">
      <c r="A173" s="15">
        <v>15085</v>
      </c>
      <c r="B173" s="17" t="s">
        <v>173</v>
      </c>
      <c r="C173" s="12">
        <v>367</v>
      </c>
      <c r="D173" s="11" t="str">
        <f>_xlfn.IFNA(IF(VLOOKUP(Tabela2[[#This Row],[CÓDIGO]],Aguardando_exclusão!A$4:A$4003,1,FALSE),"sim",""),"")</f>
        <v/>
      </c>
    </row>
    <row r="174" spans="1:4" x14ac:dyDescent="0.3">
      <c r="A174" s="15">
        <v>15128</v>
      </c>
      <c r="B174" s="17" t="s">
        <v>174</v>
      </c>
      <c r="C174" s="12">
        <v>367</v>
      </c>
      <c r="D174" s="11" t="str">
        <f>_xlfn.IFNA(IF(VLOOKUP(Tabela2[[#This Row],[CÓDIGO]],Aguardando_exclusão!A$4:A$4003,1,FALSE),"sim",""),"")</f>
        <v>sim</v>
      </c>
    </row>
    <row r="175" spans="1:4" ht="15" customHeight="1" x14ac:dyDescent="0.3">
      <c r="A175" s="15">
        <v>15167</v>
      </c>
      <c r="B175" s="17" t="s">
        <v>175</v>
      </c>
      <c r="C175" s="12">
        <v>367</v>
      </c>
      <c r="D175" s="11" t="str">
        <f>_xlfn.IFNA(IF(VLOOKUP(Tabela2[[#This Row],[CÓDIGO]],Aguardando_exclusão!A$4:A$4003,1,FALSE),"sim",""),"")</f>
        <v/>
      </c>
    </row>
    <row r="176" spans="1:4" x14ac:dyDescent="0.3">
      <c r="A176" s="15">
        <v>15267</v>
      </c>
      <c r="B176" s="17" t="s">
        <v>176</v>
      </c>
      <c r="C176" s="12">
        <v>367</v>
      </c>
      <c r="D176" s="11" t="str">
        <f>_xlfn.IFNA(IF(VLOOKUP(Tabela2[[#This Row],[CÓDIGO]],Aguardando_exclusão!A$4:A$4003,1,FALSE),"sim",""),"")</f>
        <v/>
      </c>
    </row>
    <row r="177" spans="1:4" x14ac:dyDescent="0.3">
      <c r="A177" s="15">
        <v>15271</v>
      </c>
      <c r="B177" s="17" t="s">
        <v>177</v>
      </c>
      <c r="C177" s="12">
        <v>367</v>
      </c>
      <c r="D177" s="11" t="str">
        <f>_xlfn.IFNA(IF(VLOOKUP(Tabela2[[#This Row],[CÓDIGO]],Aguardando_exclusão!A$4:A$4003,1,FALSE),"sim",""),"")</f>
        <v/>
      </c>
    </row>
    <row r="178" spans="1:4" x14ac:dyDescent="0.3">
      <c r="A178" s="15">
        <v>15272</v>
      </c>
      <c r="B178" s="17" t="s">
        <v>178</v>
      </c>
      <c r="C178" s="12">
        <v>367</v>
      </c>
      <c r="D178" s="11" t="str">
        <f>_xlfn.IFNA(IF(VLOOKUP(Tabela2[[#This Row],[CÓDIGO]],Aguardando_exclusão!A$4:A$4003,1,FALSE),"sim",""),"")</f>
        <v/>
      </c>
    </row>
    <row r="179" spans="1:4" x14ac:dyDescent="0.3">
      <c r="A179" s="15">
        <v>15299</v>
      </c>
      <c r="B179" s="17" t="s">
        <v>179</v>
      </c>
      <c r="C179" s="12">
        <v>367</v>
      </c>
      <c r="D179" s="11" t="str">
        <f>_xlfn.IFNA(IF(VLOOKUP(Tabela2[[#This Row],[CÓDIGO]],Aguardando_exclusão!A$4:A$4003,1,FALSE),"sim",""),"")</f>
        <v/>
      </c>
    </row>
    <row r="180" spans="1:4" ht="15" customHeight="1" x14ac:dyDescent="0.3">
      <c r="A180" s="15">
        <v>15436</v>
      </c>
      <c r="B180" s="17" t="s">
        <v>180</v>
      </c>
      <c r="C180" s="12">
        <v>367</v>
      </c>
      <c r="D180" s="11" t="str">
        <f>_xlfn.IFNA(IF(VLOOKUP(Tabela2[[#This Row],[CÓDIGO]],Aguardando_exclusão!A$4:A$4003,1,FALSE),"sim",""),"")</f>
        <v/>
      </c>
    </row>
    <row r="181" spans="1:4" x14ac:dyDescent="0.3">
      <c r="A181" s="15">
        <v>15438</v>
      </c>
      <c r="B181" s="17" t="s">
        <v>181</v>
      </c>
      <c r="C181" s="12">
        <v>367</v>
      </c>
      <c r="D181" s="11" t="str">
        <f>_xlfn.IFNA(IF(VLOOKUP(Tabela2[[#This Row],[CÓDIGO]],Aguardando_exclusão!A$4:A$4003,1,FALSE),"sim",""),"")</f>
        <v>sim</v>
      </c>
    </row>
    <row r="182" spans="1:4" x14ac:dyDescent="0.3">
      <c r="A182" s="15">
        <v>15464</v>
      </c>
      <c r="B182" s="17" t="s">
        <v>177</v>
      </c>
      <c r="C182" s="12">
        <v>367</v>
      </c>
      <c r="D182" s="11" t="str">
        <f>_xlfn.IFNA(IF(VLOOKUP(Tabela2[[#This Row],[CÓDIGO]],Aguardando_exclusão!A$4:A$4003,1,FALSE),"sim",""),"")</f>
        <v/>
      </c>
    </row>
    <row r="183" spans="1:4" x14ac:dyDescent="0.3">
      <c r="A183" s="15">
        <v>15465</v>
      </c>
      <c r="B183" s="17" t="s">
        <v>182</v>
      </c>
      <c r="C183" s="12">
        <v>367</v>
      </c>
      <c r="D183" s="11" t="str">
        <f>_xlfn.IFNA(IF(VLOOKUP(Tabela2[[#This Row],[CÓDIGO]],Aguardando_exclusão!A$4:A$4003,1,FALSE),"sim",""),"")</f>
        <v/>
      </c>
    </row>
    <row r="184" spans="1:4" x14ac:dyDescent="0.3">
      <c r="A184" s="15">
        <v>15466</v>
      </c>
      <c r="B184" s="17" t="s">
        <v>183</v>
      </c>
      <c r="C184" s="12">
        <v>367</v>
      </c>
      <c r="D184" s="11" t="str">
        <f>_xlfn.IFNA(IF(VLOOKUP(Tabela2[[#This Row],[CÓDIGO]],Aguardando_exclusão!A$4:A$4003,1,FALSE),"sim",""),"")</f>
        <v/>
      </c>
    </row>
    <row r="185" spans="1:4" x14ac:dyDescent="0.3">
      <c r="A185" s="15">
        <v>15467</v>
      </c>
      <c r="B185" s="17" t="s">
        <v>184</v>
      </c>
      <c r="C185" s="12">
        <v>367</v>
      </c>
      <c r="D185" s="11" t="str">
        <f>_xlfn.IFNA(IF(VLOOKUP(Tabela2[[#This Row],[CÓDIGO]],Aguardando_exclusão!A$4:A$4003,1,FALSE),"sim",""),"")</f>
        <v/>
      </c>
    </row>
    <row r="186" spans="1:4" ht="15" customHeight="1" x14ac:dyDescent="0.3">
      <c r="A186" s="15">
        <v>15469</v>
      </c>
      <c r="B186" s="17" t="s">
        <v>185</v>
      </c>
      <c r="C186" s="12">
        <v>367</v>
      </c>
      <c r="D186" s="11" t="str">
        <f>_xlfn.IFNA(IF(VLOOKUP(Tabela2[[#This Row],[CÓDIGO]],Aguardando_exclusão!A$4:A$4003,1,FALSE),"sim",""),"")</f>
        <v/>
      </c>
    </row>
    <row r="187" spans="1:4" x14ac:dyDescent="0.3">
      <c r="A187" s="15">
        <v>15473</v>
      </c>
      <c r="B187" s="17" t="s">
        <v>186</v>
      </c>
      <c r="C187" s="12">
        <v>367</v>
      </c>
      <c r="D187" s="11" t="str">
        <f>_xlfn.IFNA(IF(VLOOKUP(Tabela2[[#This Row],[CÓDIGO]],Aguardando_exclusão!A$4:A$4003,1,FALSE),"sim",""),"")</f>
        <v/>
      </c>
    </row>
    <row r="188" spans="1:4" x14ac:dyDescent="0.3">
      <c r="A188" s="15">
        <v>15475</v>
      </c>
      <c r="B188" s="17" t="s">
        <v>187</v>
      </c>
      <c r="C188" s="12">
        <v>367</v>
      </c>
      <c r="D188" s="11" t="str">
        <f>_xlfn.IFNA(IF(VLOOKUP(Tabela2[[#This Row],[CÓDIGO]],Aguardando_exclusão!A$4:A$4003,1,FALSE),"sim",""),"")</f>
        <v/>
      </c>
    </row>
    <row r="189" spans="1:4" x14ac:dyDescent="0.3">
      <c r="A189" s="15">
        <v>15530</v>
      </c>
      <c r="B189" s="17" t="s">
        <v>188</v>
      </c>
      <c r="C189" s="12">
        <v>367</v>
      </c>
      <c r="D189" s="11" t="str">
        <f>_xlfn.IFNA(IF(VLOOKUP(Tabela2[[#This Row],[CÓDIGO]],Aguardando_exclusão!A$4:A$4003,1,FALSE),"sim",""),"")</f>
        <v>sim</v>
      </c>
    </row>
    <row r="190" spans="1:4" x14ac:dyDescent="0.3">
      <c r="A190" s="15">
        <v>15648</v>
      </c>
      <c r="B190" s="17" t="s">
        <v>189</v>
      </c>
      <c r="C190" s="12">
        <v>367</v>
      </c>
      <c r="D190" s="11" t="str">
        <f>_xlfn.IFNA(IF(VLOOKUP(Tabela2[[#This Row],[CÓDIGO]],Aguardando_exclusão!A$4:A$4003,1,FALSE),"sim",""),"")</f>
        <v/>
      </c>
    </row>
    <row r="191" spans="1:4" x14ac:dyDescent="0.3">
      <c r="A191" s="15">
        <v>15656</v>
      </c>
      <c r="B191" s="17" t="s">
        <v>190</v>
      </c>
      <c r="C191" s="12">
        <v>367</v>
      </c>
      <c r="D191" s="11" t="str">
        <f>_xlfn.IFNA(IF(VLOOKUP(Tabela2[[#This Row],[CÓDIGO]],Aguardando_exclusão!A$4:A$4003,1,FALSE),"sim",""),"")</f>
        <v/>
      </c>
    </row>
    <row r="192" spans="1:4" x14ac:dyDescent="0.3">
      <c r="A192" s="15">
        <v>15664</v>
      </c>
      <c r="B192" s="17" t="s">
        <v>191</v>
      </c>
      <c r="C192" s="12">
        <v>367</v>
      </c>
      <c r="D192" s="11" t="str">
        <f>_xlfn.IFNA(IF(VLOOKUP(Tabela2[[#This Row],[CÓDIGO]],Aguardando_exclusão!A$4:A$4003,1,FALSE),"sim",""),"")</f>
        <v/>
      </c>
    </row>
    <row r="193" spans="1:4" x14ac:dyDescent="0.3">
      <c r="A193" s="15">
        <v>15668</v>
      </c>
      <c r="B193" s="17" t="s">
        <v>192</v>
      </c>
      <c r="C193" s="12">
        <v>367</v>
      </c>
      <c r="D193" s="11" t="str">
        <f>_xlfn.IFNA(IF(VLOOKUP(Tabela2[[#This Row],[CÓDIGO]],Aguardando_exclusão!A$4:A$4003,1,FALSE),"sim",""),"")</f>
        <v/>
      </c>
    </row>
    <row r="194" spans="1:4" x14ac:dyDescent="0.3">
      <c r="A194" s="15">
        <v>15672</v>
      </c>
      <c r="B194" s="17" t="s">
        <v>193</v>
      </c>
      <c r="C194" s="12">
        <v>367</v>
      </c>
      <c r="D194" s="11" t="str">
        <f>_xlfn.IFNA(IF(VLOOKUP(Tabela2[[#This Row],[CÓDIGO]],Aguardando_exclusão!A$4:A$4003,1,FALSE),"sim",""),"")</f>
        <v/>
      </c>
    </row>
    <row r="195" spans="1:4" ht="15" customHeight="1" x14ac:dyDescent="0.3">
      <c r="A195" s="15">
        <v>15673</v>
      </c>
      <c r="B195" s="17" t="s">
        <v>194</v>
      </c>
      <c r="C195" s="12">
        <v>367</v>
      </c>
      <c r="D195" s="11" t="str">
        <f>_xlfn.IFNA(IF(VLOOKUP(Tabela2[[#This Row],[CÓDIGO]],Aguardando_exclusão!A$4:A$4003,1,FALSE),"sim",""),"")</f>
        <v/>
      </c>
    </row>
    <row r="196" spans="1:4" ht="15" customHeight="1" x14ac:dyDescent="0.3">
      <c r="A196" s="15">
        <v>15680</v>
      </c>
      <c r="B196" s="17" t="s">
        <v>195</v>
      </c>
      <c r="C196" s="12">
        <v>367</v>
      </c>
      <c r="D196" s="11" t="str">
        <f>_xlfn.IFNA(IF(VLOOKUP(Tabela2[[#This Row],[CÓDIGO]],Aguardando_exclusão!A$4:A$4003,1,FALSE),"sim",""),"")</f>
        <v/>
      </c>
    </row>
    <row r="197" spans="1:4" ht="15" customHeight="1" x14ac:dyDescent="0.3">
      <c r="A197" s="15">
        <v>15761</v>
      </c>
      <c r="B197" s="17" t="s">
        <v>196</v>
      </c>
      <c r="C197" s="12">
        <v>367</v>
      </c>
      <c r="D197" s="11" t="str">
        <f>_xlfn.IFNA(IF(VLOOKUP(Tabela2[[#This Row],[CÓDIGO]],Aguardando_exclusão!A$4:A$4003,1,FALSE),"sim",""),"")</f>
        <v/>
      </c>
    </row>
    <row r="198" spans="1:4" x14ac:dyDescent="0.3">
      <c r="A198" s="15">
        <v>15813</v>
      </c>
      <c r="B198" s="17" t="s">
        <v>197</v>
      </c>
      <c r="C198" s="12">
        <v>367</v>
      </c>
      <c r="D198" s="11" t="str">
        <f>_xlfn.IFNA(IF(VLOOKUP(Tabela2[[#This Row],[CÓDIGO]],Aguardando_exclusão!A$4:A$4003,1,FALSE),"sim",""),"")</f>
        <v/>
      </c>
    </row>
    <row r="199" spans="1:4" ht="15" customHeight="1" x14ac:dyDescent="0.3">
      <c r="A199" s="15">
        <v>15840</v>
      </c>
      <c r="B199" s="17" t="s">
        <v>198</v>
      </c>
      <c r="C199" s="12">
        <v>367</v>
      </c>
      <c r="D199" s="11" t="str">
        <f>_xlfn.IFNA(IF(VLOOKUP(Tabela2[[#This Row],[CÓDIGO]],Aguardando_exclusão!A$4:A$4003,1,FALSE),"sim",""),"")</f>
        <v/>
      </c>
    </row>
    <row r="200" spans="1:4" ht="15" customHeight="1" x14ac:dyDescent="0.3">
      <c r="A200" s="15">
        <v>15845</v>
      </c>
      <c r="B200" s="17" t="s">
        <v>199</v>
      </c>
      <c r="C200" s="12">
        <v>367</v>
      </c>
      <c r="D200" s="11" t="str">
        <f>_xlfn.IFNA(IF(VLOOKUP(Tabela2[[#This Row],[CÓDIGO]],Aguardando_exclusão!A$4:A$4003,1,FALSE),"sim",""),"")</f>
        <v/>
      </c>
    </row>
    <row r="201" spans="1:4" ht="15" customHeight="1" x14ac:dyDescent="0.3">
      <c r="A201" s="15">
        <v>15847</v>
      </c>
      <c r="B201" s="17" t="s">
        <v>200</v>
      </c>
      <c r="C201" s="12">
        <v>367</v>
      </c>
      <c r="D201" s="11" t="str">
        <f>_xlfn.IFNA(IF(VLOOKUP(Tabela2[[#This Row],[CÓDIGO]],Aguardando_exclusão!A$4:A$4003,1,FALSE),"sim",""),"")</f>
        <v/>
      </c>
    </row>
    <row r="202" spans="1:4" ht="15" customHeight="1" x14ac:dyDescent="0.3">
      <c r="A202" s="15">
        <v>15900</v>
      </c>
      <c r="B202" s="17" t="s">
        <v>201</v>
      </c>
      <c r="C202" s="12">
        <v>367</v>
      </c>
      <c r="D202" s="11" t="str">
        <f>_xlfn.IFNA(IF(VLOOKUP(Tabela2[[#This Row],[CÓDIGO]],Aguardando_exclusão!A$4:A$4003,1,FALSE),"sim",""),"")</f>
        <v/>
      </c>
    </row>
    <row r="203" spans="1:4" ht="15" customHeight="1" x14ac:dyDescent="0.3">
      <c r="A203" s="15">
        <v>16053</v>
      </c>
      <c r="B203" s="17" t="s">
        <v>202</v>
      </c>
      <c r="C203" s="12">
        <v>367</v>
      </c>
      <c r="D203" s="11" t="str">
        <f>_xlfn.IFNA(IF(VLOOKUP(Tabela2[[#This Row],[CÓDIGO]],Aguardando_exclusão!A$4:A$4003,1,FALSE),"sim",""),"")</f>
        <v/>
      </c>
    </row>
    <row r="204" spans="1:4" x14ac:dyDescent="0.3">
      <c r="A204" s="15">
        <v>16300</v>
      </c>
      <c r="B204" s="17" t="s">
        <v>203</v>
      </c>
      <c r="C204" s="12">
        <v>367</v>
      </c>
      <c r="D204" s="11" t="str">
        <f>_xlfn.IFNA(IF(VLOOKUP(Tabela2[[#This Row],[CÓDIGO]],Aguardando_exclusão!A$4:A$4003,1,FALSE),"sim",""),"")</f>
        <v>sim</v>
      </c>
    </row>
    <row r="205" spans="1:4" ht="15" customHeight="1" x14ac:dyDescent="0.3">
      <c r="A205" s="15">
        <v>16363</v>
      </c>
      <c r="B205" s="17" t="s">
        <v>204</v>
      </c>
      <c r="C205" s="12">
        <v>367</v>
      </c>
      <c r="D205" s="11" t="str">
        <f>_xlfn.IFNA(IF(VLOOKUP(Tabela2[[#This Row],[CÓDIGO]],Aguardando_exclusão!A$4:A$4003,1,FALSE),"sim",""),"")</f>
        <v/>
      </c>
    </row>
    <row r="206" spans="1:4" x14ac:dyDescent="0.3">
      <c r="A206" s="15">
        <v>16365</v>
      </c>
      <c r="B206" s="17" t="s">
        <v>205</v>
      </c>
      <c r="C206" s="12">
        <v>367</v>
      </c>
      <c r="D206" s="11" t="str">
        <f>_xlfn.IFNA(IF(VLOOKUP(Tabela2[[#This Row],[CÓDIGO]],Aguardando_exclusão!A$4:A$4003,1,FALSE),"sim",""),"")</f>
        <v/>
      </c>
    </row>
    <row r="207" spans="1:4" x14ac:dyDescent="0.3">
      <c r="A207" s="15">
        <v>16427</v>
      </c>
      <c r="B207" s="17" t="s">
        <v>206</v>
      </c>
      <c r="C207" s="12">
        <v>367</v>
      </c>
      <c r="D207" s="11" t="str">
        <f>_xlfn.IFNA(IF(VLOOKUP(Tabela2[[#This Row],[CÓDIGO]],Aguardando_exclusão!A$4:A$4003,1,FALSE),"sim",""),"")</f>
        <v>sim</v>
      </c>
    </row>
    <row r="208" spans="1:4" x14ac:dyDescent="0.3">
      <c r="A208" s="15">
        <v>16512</v>
      </c>
      <c r="B208" s="17" t="s">
        <v>207</v>
      </c>
      <c r="C208" s="12">
        <v>367</v>
      </c>
      <c r="D208" s="11" t="str">
        <f>_xlfn.IFNA(IF(VLOOKUP(Tabela2[[#This Row],[CÓDIGO]],Aguardando_exclusão!A$4:A$4003,1,FALSE),"sim",""),"")</f>
        <v/>
      </c>
    </row>
    <row r="209" spans="1:4" ht="15" customHeight="1" x14ac:dyDescent="0.3">
      <c r="A209" s="15">
        <v>16528</v>
      </c>
      <c r="B209" s="17" t="s">
        <v>208</v>
      </c>
      <c r="C209" s="12">
        <v>367</v>
      </c>
      <c r="D209" s="11" t="str">
        <f>_xlfn.IFNA(IF(VLOOKUP(Tabela2[[#This Row],[CÓDIGO]],Aguardando_exclusão!A$4:A$4003,1,FALSE),"sim",""),"")</f>
        <v/>
      </c>
    </row>
    <row r="210" spans="1:4" x14ac:dyDescent="0.3">
      <c r="A210" s="15">
        <v>16532</v>
      </c>
      <c r="B210" s="17" t="s">
        <v>209</v>
      </c>
      <c r="C210" s="12">
        <v>367</v>
      </c>
      <c r="D210" s="11" t="str">
        <f>_xlfn.IFNA(IF(VLOOKUP(Tabela2[[#This Row],[CÓDIGO]],Aguardando_exclusão!A$4:A$4003,1,FALSE),"sim",""),"")</f>
        <v>sim</v>
      </c>
    </row>
    <row r="211" spans="1:4" ht="15" customHeight="1" x14ac:dyDescent="0.3">
      <c r="A211" s="15">
        <v>16571</v>
      </c>
      <c r="B211" s="17" t="s">
        <v>210</v>
      </c>
      <c r="C211" s="12">
        <v>367</v>
      </c>
      <c r="D211" s="11" t="str">
        <f>_xlfn.IFNA(IF(VLOOKUP(Tabela2[[#This Row],[CÓDIGO]],Aguardando_exclusão!A$4:A$4003,1,FALSE),"sim",""),"")</f>
        <v/>
      </c>
    </row>
    <row r="212" spans="1:4" ht="15" customHeight="1" x14ac:dyDescent="0.3">
      <c r="A212" s="15">
        <v>16688</v>
      </c>
      <c r="B212" s="17" t="s">
        <v>211</v>
      </c>
      <c r="C212" s="12">
        <v>367</v>
      </c>
      <c r="D212" s="11" t="str">
        <f>_xlfn.IFNA(IF(VLOOKUP(Tabela2[[#This Row],[CÓDIGO]],Aguardando_exclusão!A$4:A$4003,1,FALSE),"sim",""),"")</f>
        <v>sim</v>
      </c>
    </row>
    <row r="213" spans="1:4" ht="15" customHeight="1" x14ac:dyDescent="0.3">
      <c r="A213" s="15">
        <v>16691</v>
      </c>
      <c r="B213" s="17" t="s">
        <v>212</v>
      </c>
      <c r="C213" s="12">
        <v>367</v>
      </c>
      <c r="D213" s="11" t="str">
        <f>_xlfn.IFNA(IF(VLOOKUP(Tabela2[[#This Row],[CÓDIGO]],Aguardando_exclusão!A$4:A$4003,1,FALSE),"sim",""),"")</f>
        <v>sim</v>
      </c>
    </row>
    <row r="214" spans="1:4" ht="15" customHeight="1" x14ac:dyDescent="0.3">
      <c r="A214" s="15">
        <v>16692</v>
      </c>
      <c r="B214" s="17" t="s">
        <v>213</v>
      </c>
      <c r="C214" s="12">
        <v>367</v>
      </c>
      <c r="D214" s="11" t="str">
        <f>_xlfn.IFNA(IF(VLOOKUP(Tabela2[[#This Row],[CÓDIGO]],Aguardando_exclusão!A$4:A$4003,1,FALSE),"sim",""),"")</f>
        <v>sim</v>
      </c>
    </row>
    <row r="215" spans="1:4" x14ac:dyDescent="0.3">
      <c r="A215" s="15">
        <v>16729</v>
      </c>
      <c r="B215" s="17" t="s">
        <v>214</v>
      </c>
      <c r="C215" s="12">
        <v>367</v>
      </c>
      <c r="D215" s="11" t="str">
        <f>_xlfn.IFNA(IF(VLOOKUP(Tabela2[[#This Row],[CÓDIGO]],Aguardando_exclusão!A$4:A$4003,1,FALSE),"sim",""),"")</f>
        <v>sim</v>
      </c>
    </row>
    <row r="216" spans="1:4" x14ac:dyDescent="0.3">
      <c r="A216" s="15">
        <v>16736</v>
      </c>
      <c r="B216" s="17" t="s">
        <v>215</v>
      </c>
      <c r="C216" s="12">
        <v>367</v>
      </c>
      <c r="D216" s="11" t="str">
        <f>_xlfn.IFNA(IF(VLOOKUP(Tabela2[[#This Row],[CÓDIGO]],Aguardando_exclusão!A$4:A$4003,1,FALSE),"sim",""),"")</f>
        <v>sim</v>
      </c>
    </row>
    <row r="217" spans="1:4" ht="15" customHeight="1" x14ac:dyDescent="0.3">
      <c r="A217" s="15">
        <v>16737</v>
      </c>
      <c r="B217" s="17" t="s">
        <v>216</v>
      </c>
      <c r="C217" s="12">
        <v>367</v>
      </c>
      <c r="D217" s="11" t="str">
        <f>_xlfn.IFNA(IF(VLOOKUP(Tabela2[[#This Row],[CÓDIGO]],Aguardando_exclusão!A$4:A$4003,1,FALSE),"sim",""),"")</f>
        <v>sim</v>
      </c>
    </row>
    <row r="218" spans="1:4" x14ac:dyDescent="0.3">
      <c r="A218" s="15">
        <v>16757</v>
      </c>
      <c r="B218" s="17" t="s">
        <v>217</v>
      </c>
      <c r="C218" s="12">
        <v>367</v>
      </c>
      <c r="D218" s="11" t="str">
        <f>_xlfn.IFNA(IF(VLOOKUP(Tabela2[[#This Row],[CÓDIGO]],Aguardando_exclusão!A$4:A$4003,1,FALSE),"sim",""),"")</f>
        <v>sim</v>
      </c>
    </row>
    <row r="219" spans="1:4" x14ac:dyDescent="0.3">
      <c r="A219" s="15">
        <v>16763</v>
      </c>
      <c r="B219" s="17" t="s">
        <v>218</v>
      </c>
      <c r="C219" s="12">
        <v>367</v>
      </c>
      <c r="D219" s="11" t="str">
        <f>_xlfn.IFNA(IF(VLOOKUP(Tabela2[[#This Row],[CÓDIGO]],Aguardando_exclusão!A$4:A$4003,1,FALSE),"sim",""),"")</f>
        <v>sim</v>
      </c>
    </row>
    <row r="220" spans="1:4" ht="15" customHeight="1" x14ac:dyDescent="0.3">
      <c r="A220" s="15">
        <v>16808</v>
      </c>
      <c r="B220" s="17" t="s">
        <v>219</v>
      </c>
      <c r="C220" s="12">
        <v>367</v>
      </c>
      <c r="D220" s="11" t="str">
        <f>_xlfn.IFNA(IF(VLOOKUP(Tabela2[[#This Row],[CÓDIGO]],Aguardando_exclusão!A$4:A$4003,1,FALSE),"sim",""),"")</f>
        <v>sim</v>
      </c>
    </row>
    <row r="221" spans="1:4" ht="15" customHeight="1" x14ac:dyDescent="0.3">
      <c r="A221" s="15">
        <v>16813</v>
      </c>
      <c r="B221" s="17" t="s">
        <v>220</v>
      </c>
      <c r="C221" s="12">
        <v>367</v>
      </c>
      <c r="D221" s="11" t="str">
        <f>_xlfn.IFNA(IF(VLOOKUP(Tabela2[[#This Row],[CÓDIGO]],Aguardando_exclusão!A$4:A$4003,1,FALSE),"sim",""),"")</f>
        <v>sim</v>
      </c>
    </row>
    <row r="222" spans="1:4" x14ac:dyDescent="0.3">
      <c r="A222" s="15">
        <v>16827</v>
      </c>
      <c r="B222" s="17" t="s">
        <v>221</v>
      </c>
      <c r="C222" s="12">
        <v>367</v>
      </c>
      <c r="D222" s="11" t="str">
        <f>_xlfn.IFNA(IF(VLOOKUP(Tabela2[[#This Row],[CÓDIGO]],Aguardando_exclusão!A$4:A$4003,1,FALSE),"sim",""),"")</f>
        <v>sim</v>
      </c>
    </row>
    <row r="223" spans="1:4" x14ac:dyDescent="0.3">
      <c r="A223" s="15">
        <v>16835</v>
      </c>
      <c r="B223" s="17" t="s">
        <v>222</v>
      </c>
      <c r="C223" s="12">
        <v>367</v>
      </c>
      <c r="D223" s="11" t="str">
        <f>_xlfn.IFNA(IF(VLOOKUP(Tabela2[[#This Row],[CÓDIGO]],Aguardando_exclusão!A$4:A$4003,1,FALSE),"sim",""),"")</f>
        <v>sim</v>
      </c>
    </row>
    <row r="224" spans="1:4" ht="15" customHeight="1" x14ac:dyDescent="0.3">
      <c r="A224" s="15">
        <v>16846</v>
      </c>
      <c r="B224" s="17" t="s">
        <v>223</v>
      </c>
      <c r="C224" s="12">
        <v>367</v>
      </c>
      <c r="D224" s="11" t="str">
        <f>_xlfn.IFNA(IF(VLOOKUP(Tabela2[[#This Row],[CÓDIGO]],Aguardando_exclusão!A$4:A$4003,1,FALSE),"sim",""),"")</f>
        <v>sim</v>
      </c>
    </row>
    <row r="225" spans="1:4" x14ac:dyDescent="0.3">
      <c r="A225" s="15">
        <v>16956</v>
      </c>
      <c r="B225" s="17" t="s">
        <v>224</v>
      </c>
      <c r="C225" s="12">
        <v>367</v>
      </c>
      <c r="D225" s="11" t="str">
        <f>_xlfn.IFNA(IF(VLOOKUP(Tabela2[[#This Row],[CÓDIGO]],Aguardando_exclusão!A$4:A$4003,1,FALSE),"sim",""),"")</f>
        <v/>
      </c>
    </row>
    <row r="226" spans="1:4" x14ac:dyDescent="0.3">
      <c r="A226" s="15">
        <v>16978</v>
      </c>
      <c r="B226" s="17" t="s">
        <v>225</v>
      </c>
      <c r="C226" s="12">
        <v>367</v>
      </c>
      <c r="D226" s="11" t="str">
        <f>_xlfn.IFNA(IF(VLOOKUP(Tabela2[[#This Row],[CÓDIGO]],Aguardando_exclusão!A$4:A$4003,1,FALSE),"sim",""),"")</f>
        <v/>
      </c>
    </row>
    <row r="227" spans="1:4" x14ac:dyDescent="0.3">
      <c r="A227" s="15">
        <v>17026</v>
      </c>
      <c r="B227" s="17" t="s">
        <v>226</v>
      </c>
      <c r="C227" s="12">
        <v>367</v>
      </c>
      <c r="D227" s="11" t="str">
        <f>_xlfn.IFNA(IF(VLOOKUP(Tabela2[[#This Row],[CÓDIGO]],Aguardando_exclusão!A$4:A$4003,1,FALSE),"sim",""),"")</f>
        <v>sim</v>
      </c>
    </row>
    <row r="228" spans="1:4" x14ac:dyDescent="0.3">
      <c r="A228" s="15">
        <v>17033</v>
      </c>
      <c r="B228" s="17" t="s">
        <v>227</v>
      </c>
      <c r="C228" s="12">
        <v>367</v>
      </c>
      <c r="D228" s="11" t="str">
        <f>_xlfn.IFNA(IF(VLOOKUP(Tabela2[[#This Row],[CÓDIGO]],Aguardando_exclusão!A$4:A$4003,1,FALSE),"sim",""),"")</f>
        <v>sim</v>
      </c>
    </row>
    <row r="229" spans="1:4" x14ac:dyDescent="0.3">
      <c r="A229" s="15">
        <v>17064</v>
      </c>
      <c r="B229" s="17" t="s">
        <v>228</v>
      </c>
      <c r="C229" s="12">
        <v>367</v>
      </c>
      <c r="D229" s="11" t="str">
        <f>_xlfn.IFNA(IF(VLOOKUP(Tabela2[[#This Row],[CÓDIGO]],Aguardando_exclusão!A$4:A$4003,1,FALSE),"sim",""),"")</f>
        <v>sim</v>
      </c>
    </row>
    <row r="230" spans="1:4" ht="15" customHeight="1" x14ac:dyDescent="0.3">
      <c r="A230" s="15">
        <v>17105</v>
      </c>
      <c r="B230" s="17" t="s">
        <v>229</v>
      </c>
      <c r="C230" s="12">
        <v>367</v>
      </c>
      <c r="D230" s="11" t="str">
        <f>_xlfn.IFNA(IF(VLOOKUP(Tabela2[[#This Row],[CÓDIGO]],Aguardando_exclusão!A$4:A$4003,1,FALSE),"sim",""),"")</f>
        <v>sim</v>
      </c>
    </row>
    <row r="231" spans="1:4" ht="15" customHeight="1" x14ac:dyDescent="0.3">
      <c r="A231" s="15">
        <v>17115</v>
      </c>
      <c r="B231" s="17" t="s">
        <v>230</v>
      </c>
      <c r="C231" s="12">
        <v>367</v>
      </c>
      <c r="D231" s="11" t="str">
        <f>_xlfn.IFNA(IF(VLOOKUP(Tabela2[[#This Row],[CÓDIGO]],Aguardando_exclusão!A$4:A$4003,1,FALSE),"sim",""),"")</f>
        <v/>
      </c>
    </row>
    <row r="232" spans="1:4" x14ac:dyDescent="0.3">
      <c r="A232" s="15">
        <v>17132</v>
      </c>
      <c r="B232" s="17" t="s">
        <v>231</v>
      </c>
      <c r="C232" s="12">
        <v>367</v>
      </c>
      <c r="D232" s="11" t="str">
        <f>_xlfn.IFNA(IF(VLOOKUP(Tabela2[[#This Row],[CÓDIGO]],Aguardando_exclusão!A$4:A$4003,1,FALSE),"sim",""),"")</f>
        <v/>
      </c>
    </row>
    <row r="233" spans="1:4" x14ac:dyDescent="0.3">
      <c r="A233" s="15">
        <v>17135</v>
      </c>
      <c r="B233" s="17" t="s">
        <v>232</v>
      </c>
      <c r="C233" s="12">
        <v>367</v>
      </c>
      <c r="D233" s="11" t="str">
        <f>_xlfn.IFNA(IF(VLOOKUP(Tabela2[[#This Row],[CÓDIGO]],Aguardando_exclusão!A$4:A$4003,1,FALSE),"sim",""),"")</f>
        <v/>
      </c>
    </row>
    <row r="234" spans="1:4" x14ac:dyDescent="0.3">
      <c r="A234" s="15">
        <v>17136</v>
      </c>
      <c r="B234" s="17" t="s">
        <v>233</v>
      </c>
      <c r="C234" s="12">
        <v>367</v>
      </c>
      <c r="D234" s="11" t="str">
        <f>_xlfn.IFNA(IF(VLOOKUP(Tabela2[[#This Row],[CÓDIGO]],Aguardando_exclusão!A$4:A$4003,1,FALSE),"sim",""),"")</f>
        <v/>
      </c>
    </row>
    <row r="235" spans="1:4" x14ac:dyDescent="0.3">
      <c r="A235" s="15">
        <v>17299</v>
      </c>
      <c r="B235" s="17" t="s">
        <v>234</v>
      </c>
      <c r="C235" s="12">
        <v>367</v>
      </c>
      <c r="D235" s="11" t="str">
        <f>_xlfn.IFNA(IF(VLOOKUP(Tabela2[[#This Row],[CÓDIGO]],Aguardando_exclusão!A$4:A$4003,1,FALSE),"sim",""),"")</f>
        <v/>
      </c>
    </row>
    <row r="236" spans="1:4" x14ac:dyDescent="0.3">
      <c r="A236" s="15">
        <v>17362</v>
      </c>
      <c r="B236" s="17" t="s">
        <v>235</v>
      </c>
      <c r="C236" s="12">
        <v>367</v>
      </c>
      <c r="D236" s="11" t="str">
        <f>_xlfn.IFNA(IF(VLOOKUP(Tabela2[[#This Row],[CÓDIGO]],Aguardando_exclusão!A$4:A$4003,1,FALSE),"sim",""),"")</f>
        <v/>
      </c>
    </row>
    <row r="237" spans="1:4" x14ac:dyDescent="0.3">
      <c r="A237" s="15">
        <v>17370</v>
      </c>
      <c r="B237" s="17" t="s">
        <v>236</v>
      </c>
      <c r="C237" s="12">
        <v>367</v>
      </c>
      <c r="D237" s="11" t="str">
        <f>_xlfn.IFNA(IF(VLOOKUP(Tabela2[[#This Row],[CÓDIGO]],Aguardando_exclusão!A$4:A$4003,1,FALSE),"sim",""),"")</f>
        <v/>
      </c>
    </row>
    <row r="238" spans="1:4" x14ac:dyDescent="0.3">
      <c r="A238" s="15">
        <v>17371</v>
      </c>
      <c r="B238" s="17" t="s">
        <v>237</v>
      </c>
      <c r="C238" s="12">
        <v>367</v>
      </c>
      <c r="D238" s="11" t="str">
        <f>_xlfn.IFNA(IF(VLOOKUP(Tabela2[[#This Row],[CÓDIGO]],Aguardando_exclusão!A$4:A$4003,1,FALSE),"sim",""),"")</f>
        <v/>
      </c>
    </row>
    <row r="239" spans="1:4" x14ac:dyDescent="0.3">
      <c r="A239" s="15">
        <v>17422</v>
      </c>
      <c r="B239" s="17" t="s">
        <v>238</v>
      </c>
      <c r="C239" s="12">
        <v>367</v>
      </c>
      <c r="D239" s="11" t="str">
        <f>_xlfn.IFNA(IF(VLOOKUP(Tabela2[[#This Row],[CÓDIGO]],Aguardando_exclusão!A$4:A$4003,1,FALSE),"sim",""),"")</f>
        <v/>
      </c>
    </row>
    <row r="240" spans="1:4" x14ac:dyDescent="0.3">
      <c r="A240" s="15">
        <v>17426</v>
      </c>
      <c r="B240" s="17" t="s">
        <v>239</v>
      </c>
      <c r="C240" s="12">
        <v>367</v>
      </c>
      <c r="D240" s="11" t="str">
        <f>_xlfn.IFNA(IF(VLOOKUP(Tabela2[[#This Row],[CÓDIGO]],Aguardando_exclusão!A$4:A$4003,1,FALSE),"sim",""),"")</f>
        <v/>
      </c>
    </row>
    <row r="241" spans="1:4" x14ac:dyDescent="0.3">
      <c r="A241" s="15">
        <v>17454</v>
      </c>
      <c r="B241" s="17" t="s">
        <v>240</v>
      </c>
      <c r="C241" s="12">
        <v>367</v>
      </c>
      <c r="D241" s="11" t="str">
        <f>_xlfn.IFNA(IF(VLOOKUP(Tabela2[[#This Row],[CÓDIGO]],Aguardando_exclusão!A$4:A$4003,1,FALSE),"sim",""),"")</f>
        <v/>
      </c>
    </row>
    <row r="242" spans="1:4" ht="15" customHeight="1" x14ac:dyDescent="0.3">
      <c r="A242" s="15">
        <v>17562</v>
      </c>
      <c r="B242" s="17" t="s">
        <v>241</v>
      </c>
      <c r="C242" s="12">
        <v>367</v>
      </c>
      <c r="D242" s="11" t="str">
        <f>_xlfn.IFNA(IF(VLOOKUP(Tabela2[[#This Row],[CÓDIGO]],Aguardando_exclusão!A$4:A$4003,1,FALSE),"sim",""),"")</f>
        <v/>
      </c>
    </row>
    <row r="243" spans="1:4" x14ac:dyDescent="0.3">
      <c r="A243" s="15">
        <v>17659</v>
      </c>
      <c r="B243" s="17" t="s">
        <v>242</v>
      </c>
      <c r="C243" s="12">
        <v>367</v>
      </c>
      <c r="D243" s="11" t="str">
        <f>_xlfn.IFNA(IF(VLOOKUP(Tabela2[[#This Row],[CÓDIGO]],Aguardando_exclusão!A$4:A$4003,1,FALSE),"sim",""),"")</f>
        <v/>
      </c>
    </row>
    <row r="244" spans="1:4" x14ac:dyDescent="0.3">
      <c r="A244" s="15">
        <v>17662</v>
      </c>
      <c r="B244" s="17" t="s">
        <v>243</v>
      </c>
      <c r="C244" s="12">
        <v>367</v>
      </c>
      <c r="D244" s="11" t="str">
        <f>_xlfn.IFNA(IF(VLOOKUP(Tabela2[[#This Row],[CÓDIGO]],Aguardando_exclusão!A$4:A$4003,1,FALSE),"sim",""),"")</f>
        <v/>
      </c>
    </row>
    <row r="245" spans="1:4" x14ac:dyDescent="0.3">
      <c r="A245" s="15">
        <v>17663</v>
      </c>
      <c r="B245" s="17" t="s">
        <v>244</v>
      </c>
      <c r="C245" s="12">
        <v>367</v>
      </c>
      <c r="D245" s="11" t="str">
        <f>_xlfn.IFNA(IF(VLOOKUP(Tabela2[[#This Row],[CÓDIGO]],Aguardando_exclusão!A$4:A$4003,1,FALSE),"sim",""),"")</f>
        <v/>
      </c>
    </row>
    <row r="246" spans="1:4" x14ac:dyDescent="0.3">
      <c r="A246" s="15">
        <v>17670</v>
      </c>
      <c r="B246" s="17" t="s">
        <v>245</v>
      </c>
      <c r="C246" s="12">
        <v>367</v>
      </c>
      <c r="D246" s="11" t="str">
        <f>_xlfn.IFNA(IF(VLOOKUP(Tabela2[[#This Row],[CÓDIGO]],Aguardando_exclusão!A$4:A$4003,1,FALSE),"sim",""),"")</f>
        <v>sim</v>
      </c>
    </row>
    <row r="247" spans="1:4" x14ac:dyDescent="0.3">
      <c r="A247" s="15">
        <v>17696</v>
      </c>
      <c r="B247" s="17" t="s">
        <v>246</v>
      </c>
      <c r="C247" s="12">
        <v>367</v>
      </c>
      <c r="D247" s="11" t="str">
        <f>_xlfn.IFNA(IF(VLOOKUP(Tabela2[[#This Row],[CÓDIGO]],Aguardando_exclusão!A$4:A$4003,1,FALSE),"sim",""),"")</f>
        <v/>
      </c>
    </row>
    <row r="248" spans="1:4" ht="15" customHeight="1" x14ac:dyDescent="0.3">
      <c r="A248" s="15">
        <v>17698</v>
      </c>
      <c r="B248" s="17" t="s">
        <v>247</v>
      </c>
      <c r="C248" s="12">
        <v>367</v>
      </c>
      <c r="D248" s="11" t="str">
        <f>_xlfn.IFNA(IF(VLOOKUP(Tabela2[[#This Row],[CÓDIGO]],Aguardando_exclusão!A$4:A$4003,1,FALSE),"sim",""),"")</f>
        <v/>
      </c>
    </row>
    <row r="249" spans="1:4" ht="15" customHeight="1" x14ac:dyDescent="0.3">
      <c r="A249" s="15">
        <v>17704</v>
      </c>
      <c r="B249" s="17" t="s">
        <v>248</v>
      </c>
      <c r="C249" s="12">
        <v>367</v>
      </c>
      <c r="D249" s="11" t="str">
        <f>_xlfn.IFNA(IF(VLOOKUP(Tabela2[[#This Row],[CÓDIGO]],Aguardando_exclusão!A$4:A$4003,1,FALSE),"sim",""),"")</f>
        <v/>
      </c>
    </row>
    <row r="250" spans="1:4" x14ac:dyDescent="0.3">
      <c r="A250" s="15">
        <v>17946</v>
      </c>
      <c r="B250" s="17" t="s">
        <v>249</v>
      </c>
      <c r="C250" s="12">
        <v>367</v>
      </c>
      <c r="D250" s="11" t="str">
        <f>_xlfn.IFNA(IF(VLOOKUP(Tabela2[[#This Row],[CÓDIGO]],Aguardando_exclusão!A$4:A$4003,1,FALSE),"sim",""),"")</f>
        <v/>
      </c>
    </row>
    <row r="251" spans="1:4" x14ac:dyDescent="0.3">
      <c r="A251" s="15">
        <v>18342</v>
      </c>
      <c r="B251" s="17" t="s">
        <v>250</v>
      </c>
      <c r="C251" s="12">
        <v>367</v>
      </c>
      <c r="D251" s="11" t="str">
        <f>_xlfn.IFNA(IF(VLOOKUP(Tabela2[[#This Row],[CÓDIGO]],Aguardando_exclusão!A$4:A$4003,1,FALSE),"sim",""),"")</f>
        <v>sim</v>
      </c>
    </row>
    <row r="252" spans="1:4" x14ac:dyDescent="0.3">
      <c r="A252" s="15">
        <v>18346</v>
      </c>
      <c r="B252" s="17" t="s">
        <v>251</v>
      </c>
      <c r="C252" s="12">
        <v>367</v>
      </c>
      <c r="D252" s="11" t="str">
        <f>_xlfn.IFNA(IF(VLOOKUP(Tabela2[[#This Row],[CÓDIGO]],Aguardando_exclusão!A$4:A$4003,1,FALSE),"sim",""),"")</f>
        <v/>
      </c>
    </row>
    <row r="253" spans="1:4" x14ac:dyDescent="0.3">
      <c r="A253" s="15">
        <v>18351</v>
      </c>
      <c r="B253" s="17" t="s">
        <v>252</v>
      </c>
      <c r="C253" s="12">
        <v>367</v>
      </c>
      <c r="D253" s="11" t="str">
        <f>_xlfn.IFNA(IF(VLOOKUP(Tabela2[[#This Row],[CÓDIGO]],Aguardando_exclusão!A$4:A$4003,1,FALSE),"sim",""),"")</f>
        <v>sim</v>
      </c>
    </row>
    <row r="254" spans="1:4" x14ac:dyDescent="0.3">
      <c r="A254" s="15">
        <v>18353</v>
      </c>
      <c r="B254" s="17" t="s">
        <v>253</v>
      </c>
      <c r="C254" s="12">
        <v>367</v>
      </c>
      <c r="D254" s="11" t="str">
        <f>_xlfn.IFNA(IF(VLOOKUP(Tabela2[[#This Row],[CÓDIGO]],Aguardando_exclusão!A$4:A$4003,1,FALSE),"sim",""),"")</f>
        <v/>
      </c>
    </row>
    <row r="255" spans="1:4" ht="15" customHeight="1" x14ac:dyDescent="0.3">
      <c r="A255" s="15">
        <v>18357</v>
      </c>
      <c r="B255" s="17" t="s">
        <v>254</v>
      </c>
      <c r="C255" s="12">
        <v>367</v>
      </c>
      <c r="D255" s="11" t="str">
        <f>_xlfn.IFNA(IF(VLOOKUP(Tabela2[[#This Row],[CÓDIGO]],Aguardando_exclusão!A$4:A$4003,1,FALSE),"sim",""),"")</f>
        <v/>
      </c>
    </row>
    <row r="256" spans="1:4" x14ac:dyDescent="0.3">
      <c r="A256" s="15">
        <v>18358</v>
      </c>
      <c r="B256" s="17" t="s">
        <v>255</v>
      </c>
      <c r="C256" s="12">
        <v>367</v>
      </c>
      <c r="D256" s="11" t="str">
        <f>_xlfn.IFNA(IF(VLOOKUP(Tabela2[[#This Row],[CÓDIGO]],Aguardando_exclusão!A$4:A$4003,1,FALSE),"sim",""),"")</f>
        <v/>
      </c>
    </row>
    <row r="257" spans="1:4" ht="15" customHeight="1" x14ac:dyDescent="0.3">
      <c r="A257" s="15">
        <v>19842</v>
      </c>
      <c r="B257" s="17" t="s">
        <v>256</v>
      </c>
      <c r="C257" s="12">
        <v>367</v>
      </c>
      <c r="D257" s="11" t="str">
        <f>_xlfn.IFNA(IF(VLOOKUP(Tabela2[[#This Row],[CÓDIGO]],Aguardando_exclusão!A$4:A$4003,1,FALSE),"sim",""),"")</f>
        <v/>
      </c>
    </row>
    <row r="258" spans="1:4" x14ac:dyDescent="0.3">
      <c r="A258" s="15">
        <v>19871</v>
      </c>
      <c r="B258" s="17" t="s">
        <v>257</v>
      </c>
      <c r="C258" s="12">
        <v>367</v>
      </c>
      <c r="D258" s="11" t="str">
        <f>_xlfn.IFNA(IF(VLOOKUP(Tabela2[[#This Row],[CÓDIGO]],Aguardando_exclusão!A$4:A$4003,1,FALSE),"sim",""),"")</f>
        <v/>
      </c>
    </row>
    <row r="259" spans="1:4" x14ac:dyDescent="0.3">
      <c r="A259" s="15">
        <v>19872</v>
      </c>
      <c r="B259" s="17" t="s">
        <v>258</v>
      </c>
      <c r="C259" s="12">
        <v>367</v>
      </c>
      <c r="D259" s="11" t="str">
        <f>_xlfn.IFNA(IF(VLOOKUP(Tabela2[[#This Row],[CÓDIGO]],Aguardando_exclusão!A$4:A$4003,1,FALSE),"sim",""),"")</f>
        <v>sim</v>
      </c>
    </row>
    <row r="260" spans="1:4" x14ac:dyDescent="0.3">
      <c r="A260" s="15">
        <v>19881</v>
      </c>
      <c r="B260" s="17" t="s">
        <v>259</v>
      </c>
      <c r="C260" s="12">
        <v>367</v>
      </c>
      <c r="D260" s="11" t="str">
        <f>_xlfn.IFNA(IF(VLOOKUP(Tabela2[[#This Row],[CÓDIGO]],Aguardando_exclusão!A$4:A$4003,1,FALSE),"sim",""),"")</f>
        <v>sim</v>
      </c>
    </row>
    <row r="261" spans="1:4" x14ac:dyDescent="0.3">
      <c r="A261" s="15">
        <v>19882</v>
      </c>
      <c r="B261" s="17" t="s">
        <v>260</v>
      </c>
      <c r="C261" s="12">
        <v>367</v>
      </c>
      <c r="D261" s="11" t="str">
        <f>_xlfn.IFNA(IF(VLOOKUP(Tabela2[[#This Row],[CÓDIGO]],Aguardando_exclusão!A$4:A$4003,1,FALSE),"sim",""),"")</f>
        <v/>
      </c>
    </row>
    <row r="262" spans="1:4" x14ac:dyDescent="0.3">
      <c r="A262" s="15">
        <v>19883</v>
      </c>
      <c r="B262" s="17" t="s">
        <v>261</v>
      </c>
      <c r="C262" s="12">
        <v>367</v>
      </c>
      <c r="D262" s="11" t="str">
        <f>_xlfn.IFNA(IF(VLOOKUP(Tabela2[[#This Row],[CÓDIGO]],Aguardando_exclusão!A$4:A$4003,1,FALSE),"sim",""),"")</f>
        <v/>
      </c>
    </row>
    <row r="263" spans="1:4" x14ac:dyDescent="0.3">
      <c r="A263" s="15">
        <v>19884</v>
      </c>
      <c r="B263" s="17" t="s">
        <v>262</v>
      </c>
      <c r="C263" s="12">
        <v>367</v>
      </c>
      <c r="D263" s="11" t="str">
        <f>_xlfn.IFNA(IF(VLOOKUP(Tabela2[[#This Row],[CÓDIGO]],Aguardando_exclusão!A$4:A$4003,1,FALSE),"sim",""),"")</f>
        <v>sim</v>
      </c>
    </row>
    <row r="264" spans="1:4" x14ac:dyDescent="0.3">
      <c r="A264" s="15">
        <v>19998</v>
      </c>
      <c r="B264" s="17" t="s">
        <v>263</v>
      </c>
      <c r="C264" s="12">
        <v>367</v>
      </c>
      <c r="D264" s="11" t="str">
        <f>_xlfn.IFNA(IF(VLOOKUP(Tabela2[[#This Row],[CÓDIGO]],Aguardando_exclusão!A$4:A$4003,1,FALSE),"sim",""),"")</f>
        <v/>
      </c>
    </row>
    <row r="265" spans="1:4" ht="15" customHeight="1" x14ac:dyDescent="0.3">
      <c r="A265" s="15">
        <v>20001</v>
      </c>
      <c r="B265" s="17" t="s">
        <v>264</v>
      </c>
      <c r="C265" s="12">
        <v>367</v>
      </c>
      <c r="D265" s="11" t="str">
        <f>_xlfn.IFNA(IF(VLOOKUP(Tabela2[[#This Row],[CÓDIGO]],Aguardando_exclusão!A$4:A$4003,1,FALSE),"sim",""),"")</f>
        <v/>
      </c>
    </row>
    <row r="266" spans="1:4" x14ac:dyDescent="0.3">
      <c r="A266" s="15">
        <v>20034</v>
      </c>
      <c r="B266" s="17" t="s">
        <v>265</v>
      </c>
      <c r="C266" s="12">
        <v>367</v>
      </c>
      <c r="D266" s="11" t="str">
        <f>_xlfn.IFNA(IF(VLOOKUP(Tabela2[[#This Row],[CÓDIGO]],Aguardando_exclusão!A$4:A$4003,1,FALSE),"sim",""),"")</f>
        <v/>
      </c>
    </row>
    <row r="267" spans="1:4" x14ac:dyDescent="0.3">
      <c r="A267" s="15">
        <v>20035</v>
      </c>
      <c r="B267" s="17" t="s">
        <v>266</v>
      </c>
      <c r="C267" s="12">
        <v>367</v>
      </c>
      <c r="D267" s="11" t="str">
        <f>_xlfn.IFNA(IF(VLOOKUP(Tabela2[[#This Row],[CÓDIGO]],Aguardando_exclusão!A$4:A$4003,1,FALSE),"sim",""),"")</f>
        <v/>
      </c>
    </row>
    <row r="268" spans="1:4" x14ac:dyDescent="0.3">
      <c r="A268" s="15">
        <v>20037</v>
      </c>
      <c r="B268" s="17" t="s">
        <v>267</v>
      </c>
      <c r="C268" s="12">
        <v>367</v>
      </c>
      <c r="D268" s="11" t="str">
        <f>_xlfn.IFNA(IF(VLOOKUP(Tabela2[[#This Row],[CÓDIGO]],Aguardando_exclusão!A$4:A$4003,1,FALSE),"sim",""),"")</f>
        <v/>
      </c>
    </row>
    <row r="269" spans="1:4" x14ac:dyDescent="0.3">
      <c r="A269" s="15">
        <v>20104</v>
      </c>
      <c r="B269" s="17" t="s">
        <v>268</v>
      </c>
      <c r="C269" s="12">
        <v>367</v>
      </c>
      <c r="D269" s="11" t="str">
        <f>_xlfn.IFNA(IF(VLOOKUP(Tabela2[[#This Row],[CÓDIGO]],Aguardando_exclusão!A$4:A$4003,1,FALSE),"sim",""),"")</f>
        <v/>
      </c>
    </row>
    <row r="270" spans="1:4" x14ac:dyDescent="0.3">
      <c r="A270" s="15">
        <v>20106</v>
      </c>
      <c r="B270" s="17" t="s">
        <v>269</v>
      </c>
      <c r="C270" s="12">
        <v>367</v>
      </c>
      <c r="D270" s="11" t="str">
        <f>_xlfn.IFNA(IF(VLOOKUP(Tabela2[[#This Row],[CÓDIGO]],Aguardando_exclusão!A$4:A$4003,1,FALSE),"sim",""),"")</f>
        <v/>
      </c>
    </row>
    <row r="271" spans="1:4" x14ac:dyDescent="0.3">
      <c r="A271" s="15">
        <v>20135</v>
      </c>
      <c r="B271" s="17" t="s">
        <v>270</v>
      </c>
      <c r="C271" s="12">
        <v>367</v>
      </c>
      <c r="D271" s="11" t="str">
        <f>_xlfn.IFNA(IF(VLOOKUP(Tabela2[[#This Row],[CÓDIGO]],Aguardando_exclusão!A$4:A$4003,1,FALSE),"sim",""),"")</f>
        <v/>
      </c>
    </row>
    <row r="272" spans="1:4" ht="15" customHeight="1" x14ac:dyDescent="0.3">
      <c r="A272" s="15">
        <v>20144</v>
      </c>
      <c r="B272" s="17" t="s">
        <v>271</v>
      </c>
      <c r="C272" s="12">
        <v>367</v>
      </c>
      <c r="D272" s="11" t="str">
        <f>_xlfn.IFNA(IF(VLOOKUP(Tabela2[[#This Row],[CÓDIGO]],Aguardando_exclusão!A$4:A$4003,1,FALSE),"sim",""),"")</f>
        <v/>
      </c>
    </row>
    <row r="273" spans="1:4" ht="15" customHeight="1" x14ac:dyDescent="0.3">
      <c r="A273" s="15">
        <v>20167</v>
      </c>
      <c r="B273" s="17" t="s">
        <v>272</v>
      </c>
      <c r="C273" s="12">
        <v>367</v>
      </c>
      <c r="D273" s="11" t="str">
        <f>_xlfn.IFNA(IF(VLOOKUP(Tabela2[[#This Row],[CÓDIGO]],Aguardando_exclusão!A$4:A$4003,1,FALSE),"sim",""),"")</f>
        <v/>
      </c>
    </row>
    <row r="274" spans="1:4" x14ac:dyDescent="0.3">
      <c r="A274" s="15">
        <v>20169</v>
      </c>
      <c r="B274" s="17" t="s">
        <v>273</v>
      </c>
      <c r="C274" s="12">
        <v>367</v>
      </c>
      <c r="D274" s="11" t="str">
        <f>_xlfn.IFNA(IF(VLOOKUP(Tabela2[[#This Row],[CÓDIGO]],Aguardando_exclusão!A$4:A$4003,1,FALSE),"sim",""),"")</f>
        <v>sim</v>
      </c>
    </row>
    <row r="275" spans="1:4" x14ac:dyDescent="0.3">
      <c r="A275" s="15">
        <v>20537</v>
      </c>
      <c r="B275" s="17" t="s">
        <v>274</v>
      </c>
      <c r="C275" s="12">
        <v>367</v>
      </c>
      <c r="D275" s="11" t="str">
        <f>_xlfn.IFNA(IF(VLOOKUP(Tabela2[[#This Row],[CÓDIGO]],Aguardando_exclusão!A$4:A$4003,1,FALSE),"sim",""),"")</f>
        <v/>
      </c>
    </row>
    <row r="276" spans="1:4" x14ac:dyDescent="0.3">
      <c r="A276" s="15">
        <v>20539</v>
      </c>
      <c r="B276" s="17" t="s">
        <v>275</v>
      </c>
      <c r="C276" s="12">
        <v>367</v>
      </c>
      <c r="D276" s="11" t="str">
        <f>_xlfn.IFNA(IF(VLOOKUP(Tabela2[[#This Row],[CÓDIGO]],Aguardando_exclusão!A$4:A$4003,1,FALSE),"sim",""),"")</f>
        <v>sim</v>
      </c>
    </row>
    <row r="277" spans="1:4" x14ac:dyDescent="0.3">
      <c r="A277" s="15">
        <v>20540</v>
      </c>
      <c r="B277" s="17" t="s">
        <v>276</v>
      </c>
      <c r="C277" s="12">
        <v>367</v>
      </c>
      <c r="D277" s="11" t="str">
        <f>_xlfn.IFNA(IF(VLOOKUP(Tabela2[[#This Row],[CÓDIGO]],Aguardando_exclusão!A$4:A$4003,1,FALSE),"sim",""),"")</f>
        <v>sim</v>
      </c>
    </row>
    <row r="278" spans="1:4" x14ac:dyDescent="0.3">
      <c r="A278" s="15">
        <v>20554</v>
      </c>
      <c r="B278" s="17" t="s">
        <v>277</v>
      </c>
      <c r="C278" s="12">
        <v>367</v>
      </c>
      <c r="D278" s="11" t="str">
        <f>_xlfn.IFNA(IF(VLOOKUP(Tabela2[[#This Row],[CÓDIGO]],Aguardando_exclusão!A$4:A$4003,1,FALSE),"sim",""),"")</f>
        <v/>
      </c>
    </row>
    <row r="279" spans="1:4" x14ac:dyDescent="0.3">
      <c r="A279" s="15">
        <v>20558</v>
      </c>
      <c r="B279" s="17" t="s">
        <v>278</v>
      </c>
      <c r="C279" s="12">
        <v>367</v>
      </c>
      <c r="D279" s="11" t="str">
        <f>_xlfn.IFNA(IF(VLOOKUP(Tabela2[[#This Row],[CÓDIGO]],Aguardando_exclusão!A$4:A$4003,1,FALSE),"sim",""),"")</f>
        <v/>
      </c>
    </row>
    <row r="280" spans="1:4" x14ac:dyDescent="0.3">
      <c r="A280" s="15">
        <v>20576</v>
      </c>
      <c r="B280" s="17" t="s">
        <v>279</v>
      </c>
      <c r="C280" s="12">
        <v>367</v>
      </c>
      <c r="D280" s="11" t="str">
        <f>_xlfn.IFNA(IF(VLOOKUP(Tabela2[[#This Row],[CÓDIGO]],Aguardando_exclusão!A$4:A$4003,1,FALSE),"sim",""),"")</f>
        <v/>
      </c>
    </row>
    <row r="281" spans="1:4" x14ac:dyDescent="0.3">
      <c r="A281" s="15">
        <v>20583</v>
      </c>
      <c r="B281" s="17" t="s">
        <v>280</v>
      </c>
      <c r="C281" s="12">
        <v>367</v>
      </c>
      <c r="D281" s="11" t="str">
        <f>_xlfn.IFNA(IF(VLOOKUP(Tabela2[[#This Row],[CÓDIGO]],Aguardando_exclusão!A$4:A$4003,1,FALSE),"sim",""),"")</f>
        <v/>
      </c>
    </row>
    <row r="282" spans="1:4" x14ac:dyDescent="0.3">
      <c r="A282" s="15">
        <v>20584</v>
      </c>
      <c r="B282" s="17" t="s">
        <v>281</v>
      </c>
      <c r="C282" s="12">
        <v>367</v>
      </c>
      <c r="D282" s="11" t="str">
        <f>_xlfn.IFNA(IF(VLOOKUP(Tabela2[[#This Row],[CÓDIGO]],Aguardando_exclusão!A$4:A$4003,1,FALSE),"sim",""),"")</f>
        <v/>
      </c>
    </row>
    <row r="283" spans="1:4" x14ac:dyDescent="0.3">
      <c r="A283" s="15">
        <v>20760</v>
      </c>
      <c r="B283" s="17" t="s">
        <v>282</v>
      </c>
      <c r="C283" s="12">
        <v>367</v>
      </c>
      <c r="D283" s="11" t="str">
        <f>_xlfn.IFNA(IF(VLOOKUP(Tabela2[[#This Row],[CÓDIGO]],Aguardando_exclusão!A$4:A$4003,1,FALSE),"sim",""),"")</f>
        <v/>
      </c>
    </row>
    <row r="284" spans="1:4" x14ac:dyDescent="0.3">
      <c r="A284" s="15">
        <v>20763</v>
      </c>
      <c r="B284" s="17" t="s">
        <v>283</v>
      </c>
      <c r="C284" s="12">
        <v>367</v>
      </c>
      <c r="D284" s="11" t="str">
        <f>_xlfn.IFNA(IF(VLOOKUP(Tabela2[[#This Row],[CÓDIGO]],Aguardando_exclusão!A$4:A$4003,1,FALSE),"sim",""),"")</f>
        <v/>
      </c>
    </row>
    <row r="285" spans="1:4" x14ac:dyDescent="0.3">
      <c r="A285" s="15">
        <v>23581</v>
      </c>
      <c r="B285" s="17" t="s">
        <v>284</v>
      </c>
      <c r="C285" s="12">
        <v>367</v>
      </c>
      <c r="D285" s="11" t="str">
        <f>_xlfn.IFNA(IF(VLOOKUP(Tabela2[[#This Row],[CÓDIGO]],Aguardando_exclusão!A$4:A$4003,1,FALSE),"sim",""),"")</f>
        <v/>
      </c>
    </row>
    <row r="286" spans="1:4" x14ac:dyDescent="0.3">
      <c r="A286" s="15">
        <v>23607</v>
      </c>
      <c r="B286" s="17" t="s">
        <v>285</v>
      </c>
      <c r="C286" s="12">
        <v>367</v>
      </c>
      <c r="D286" s="11" t="str">
        <f>_xlfn.IFNA(IF(VLOOKUP(Tabela2[[#This Row],[CÓDIGO]],Aguardando_exclusão!A$4:A$4003,1,FALSE),"sim",""),"")</f>
        <v/>
      </c>
    </row>
    <row r="287" spans="1:4" x14ac:dyDescent="0.3">
      <c r="A287" s="15">
        <v>23676</v>
      </c>
      <c r="B287" s="17" t="s">
        <v>286</v>
      </c>
      <c r="C287" s="12">
        <v>367</v>
      </c>
      <c r="D287" s="11" t="str">
        <f>_xlfn.IFNA(IF(VLOOKUP(Tabela2[[#This Row],[CÓDIGO]],Aguardando_exclusão!A$4:A$4003,1,FALSE),"sim",""),"")</f>
        <v/>
      </c>
    </row>
    <row r="288" spans="1:4" x14ac:dyDescent="0.3">
      <c r="A288" s="15">
        <v>23687</v>
      </c>
      <c r="B288" s="17" t="s">
        <v>287</v>
      </c>
      <c r="C288" s="12">
        <v>367</v>
      </c>
      <c r="D288" s="11" t="str">
        <f>_xlfn.IFNA(IF(VLOOKUP(Tabela2[[#This Row],[CÓDIGO]],Aguardando_exclusão!A$4:A$4003,1,FALSE),"sim",""),"")</f>
        <v/>
      </c>
    </row>
    <row r="289" spans="1:4" x14ac:dyDescent="0.3">
      <c r="A289" s="15">
        <v>23692</v>
      </c>
      <c r="B289" s="17" t="s">
        <v>288</v>
      </c>
      <c r="C289" s="12">
        <v>367</v>
      </c>
      <c r="D289" s="11" t="str">
        <f>_xlfn.IFNA(IF(VLOOKUP(Tabela2[[#This Row],[CÓDIGO]],Aguardando_exclusão!A$4:A$4003,1,FALSE),"sim",""),"")</f>
        <v/>
      </c>
    </row>
    <row r="290" spans="1:4" x14ac:dyDescent="0.3">
      <c r="A290" s="15">
        <v>23778</v>
      </c>
      <c r="B290" s="17" t="s">
        <v>289</v>
      </c>
      <c r="C290" s="12">
        <v>367</v>
      </c>
      <c r="D290" s="11" t="str">
        <f>_xlfn.IFNA(IF(VLOOKUP(Tabela2[[#This Row],[CÓDIGO]],Aguardando_exclusão!A$4:A$4003,1,FALSE),"sim",""),"")</f>
        <v/>
      </c>
    </row>
    <row r="291" spans="1:4" ht="15" customHeight="1" x14ac:dyDescent="0.3">
      <c r="A291" s="15">
        <v>23846</v>
      </c>
      <c r="B291" s="17" t="s">
        <v>290</v>
      </c>
      <c r="C291" s="12">
        <v>367</v>
      </c>
      <c r="D291" s="11" t="str">
        <f>_xlfn.IFNA(IF(VLOOKUP(Tabela2[[#This Row],[CÓDIGO]],Aguardando_exclusão!A$4:A$4003,1,FALSE),"sim",""),"")</f>
        <v/>
      </c>
    </row>
    <row r="292" spans="1:4" x14ac:dyDescent="0.3">
      <c r="A292" s="15">
        <v>23862</v>
      </c>
      <c r="B292" s="17" t="s">
        <v>291</v>
      </c>
      <c r="C292" s="12">
        <v>367</v>
      </c>
      <c r="D292" s="11" t="str">
        <f>_xlfn.IFNA(IF(VLOOKUP(Tabela2[[#This Row],[CÓDIGO]],Aguardando_exclusão!A$4:A$4003,1,FALSE),"sim",""),"")</f>
        <v/>
      </c>
    </row>
    <row r="293" spans="1:4" x14ac:dyDescent="0.3">
      <c r="A293" s="15">
        <v>23875</v>
      </c>
      <c r="B293" s="17" t="s">
        <v>292</v>
      </c>
      <c r="C293" s="12">
        <v>367</v>
      </c>
      <c r="D293" s="11" t="str">
        <f>_xlfn.IFNA(IF(VLOOKUP(Tabela2[[#This Row],[CÓDIGO]],Aguardando_exclusão!A$4:A$4003,1,FALSE),"sim",""),"")</f>
        <v/>
      </c>
    </row>
    <row r="294" spans="1:4" x14ac:dyDescent="0.3">
      <c r="A294" s="15">
        <v>23986</v>
      </c>
      <c r="B294" s="17" t="s">
        <v>293</v>
      </c>
      <c r="C294" s="12">
        <v>367</v>
      </c>
      <c r="D294" s="11" t="str">
        <f>_xlfn.IFNA(IF(VLOOKUP(Tabela2[[#This Row],[CÓDIGO]],Aguardando_exclusão!A$4:A$4003,1,FALSE),"sim",""),"")</f>
        <v/>
      </c>
    </row>
    <row r="295" spans="1:4" ht="15" customHeight="1" x14ac:dyDescent="0.3">
      <c r="A295" s="15">
        <v>23989</v>
      </c>
      <c r="B295" s="17" t="s">
        <v>294</v>
      </c>
      <c r="C295" s="12">
        <v>367</v>
      </c>
      <c r="D295" s="11" t="str">
        <f>_xlfn.IFNA(IF(VLOOKUP(Tabela2[[#This Row],[CÓDIGO]],Aguardando_exclusão!A$4:A$4003,1,FALSE),"sim",""),"")</f>
        <v/>
      </c>
    </row>
    <row r="296" spans="1:4" ht="15" customHeight="1" x14ac:dyDescent="0.3">
      <c r="A296" s="15">
        <v>23992</v>
      </c>
      <c r="B296" s="17" t="s">
        <v>295</v>
      </c>
      <c r="C296" s="12">
        <v>367</v>
      </c>
      <c r="D296" s="11" t="str">
        <f>_xlfn.IFNA(IF(VLOOKUP(Tabela2[[#This Row],[CÓDIGO]],Aguardando_exclusão!A$4:A$4003,1,FALSE),"sim",""),"")</f>
        <v>sim</v>
      </c>
    </row>
    <row r="297" spans="1:4" ht="15" customHeight="1" x14ac:dyDescent="0.3">
      <c r="A297" s="15">
        <v>23993</v>
      </c>
      <c r="B297" s="17" t="s">
        <v>296</v>
      </c>
      <c r="C297" s="12">
        <v>367</v>
      </c>
      <c r="D297" s="11" t="str">
        <f>_xlfn.IFNA(IF(VLOOKUP(Tabela2[[#This Row],[CÓDIGO]],Aguardando_exclusão!A$4:A$4003,1,FALSE),"sim",""),"")</f>
        <v/>
      </c>
    </row>
    <row r="298" spans="1:4" x14ac:dyDescent="0.3">
      <c r="A298" s="15">
        <v>23996</v>
      </c>
      <c r="B298" s="17" t="s">
        <v>297</v>
      </c>
      <c r="C298" s="12">
        <v>367</v>
      </c>
      <c r="D298" s="11" t="str">
        <f>_xlfn.IFNA(IF(VLOOKUP(Tabela2[[#This Row],[CÓDIGO]],Aguardando_exclusão!A$4:A$4003,1,FALSE),"sim",""),"")</f>
        <v/>
      </c>
    </row>
    <row r="299" spans="1:4" x14ac:dyDescent="0.3">
      <c r="A299" s="15">
        <v>24204</v>
      </c>
      <c r="B299" s="17" t="s">
        <v>298</v>
      </c>
      <c r="C299" s="12">
        <v>367</v>
      </c>
      <c r="D299" s="11" t="str">
        <f>_xlfn.IFNA(IF(VLOOKUP(Tabela2[[#This Row],[CÓDIGO]],Aguardando_exclusão!A$4:A$4003,1,FALSE),"sim",""),"")</f>
        <v/>
      </c>
    </row>
    <row r="300" spans="1:4" x14ac:dyDescent="0.3">
      <c r="A300" s="15">
        <v>24205</v>
      </c>
      <c r="B300" s="17" t="s">
        <v>299</v>
      </c>
      <c r="C300" s="12">
        <v>367</v>
      </c>
      <c r="D300" s="11" t="str">
        <f>_xlfn.IFNA(IF(VLOOKUP(Tabela2[[#This Row],[CÓDIGO]],Aguardando_exclusão!A$4:A$4003,1,FALSE),"sim",""),"")</f>
        <v/>
      </c>
    </row>
    <row r="301" spans="1:4" ht="15" customHeight="1" x14ac:dyDescent="0.3">
      <c r="A301" s="15">
        <v>24219</v>
      </c>
      <c r="B301" s="17" t="s">
        <v>300</v>
      </c>
      <c r="C301" s="12">
        <v>367</v>
      </c>
      <c r="D301" s="11" t="str">
        <f>_xlfn.IFNA(IF(VLOOKUP(Tabela2[[#This Row],[CÓDIGO]],Aguardando_exclusão!A$4:A$4003,1,FALSE),"sim",""),"")</f>
        <v/>
      </c>
    </row>
    <row r="302" spans="1:4" ht="15" customHeight="1" x14ac:dyDescent="0.3">
      <c r="A302" s="15">
        <v>24371</v>
      </c>
      <c r="B302" s="17" t="s">
        <v>301</v>
      </c>
      <c r="C302" s="12">
        <v>367</v>
      </c>
      <c r="D302" s="11" t="str">
        <f>_xlfn.IFNA(IF(VLOOKUP(Tabela2[[#This Row],[CÓDIGO]],Aguardando_exclusão!A$4:A$4003,1,FALSE),"sim",""),"")</f>
        <v/>
      </c>
    </row>
    <row r="303" spans="1:4" ht="15" customHeight="1" x14ac:dyDescent="0.3">
      <c r="A303" s="15">
        <v>24476</v>
      </c>
      <c r="B303" s="17" t="s">
        <v>302</v>
      </c>
      <c r="C303" s="12">
        <v>367</v>
      </c>
      <c r="D303" s="11" t="str">
        <f>_xlfn.IFNA(IF(VLOOKUP(Tabela2[[#This Row],[CÓDIGO]],Aguardando_exclusão!A$4:A$4003,1,FALSE),"sim",""),"")</f>
        <v/>
      </c>
    </row>
    <row r="304" spans="1:4" ht="15" customHeight="1" x14ac:dyDescent="0.3">
      <c r="A304" s="15">
        <v>24477</v>
      </c>
      <c r="B304" s="17" t="s">
        <v>303</v>
      </c>
      <c r="C304" s="12">
        <v>367</v>
      </c>
      <c r="D304" s="11" t="str">
        <f>_xlfn.IFNA(IF(VLOOKUP(Tabela2[[#This Row],[CÓDIGO]],Aguardando_exclusão!A$4:A$4003,1,FALSE),"sim",""),"")</f>
        <v/>
      </c>
    </row>
    <row r="305" spans="1:4" ht="15" customHeight="1" x14ac:dyDescent="0.3">
      <c r="A305" s="15">
        <v>24500</v>
      </c>
      <c r="B305" s="17" t="s">
        <v>304</v>
      </c>
      <c r="C305" s="12">
        <v>367</v>
      </c>
      <c r="D305" s="11" t="str">
        <f>_xlfn.IFNA(IF(VLOOKUP(Tabela2[[#This Row],[CÓDIGO]],Aguardando_exclusão!A$4:A$4003,1,FALSE),"sim",""),"")</f>
        <v/>
      </c>
    </row>
    <row r="306" spans="1:4" x14ac:dyDescent="0.3">
      <c r="A306" s="15">
        <v>24542</v>
      </c>
      <c r="B306" s="17" t="s">
        <v>305</v>
      </c>
      <c r="C306" s="12">
        <v>367</v>
      </c>
      <c r="D306" s="11" t="str">
        <f>_xlfn.IFNA(IF(VLOOKUP(Tabela2[[#This Row],[CÓDIGO]],Aguardando_exclusão!A$4:A$4003,1,FALSE),"sim",""),"")</f>
        <v>sim</v>
      </c>
    </row>
    <row r="307" spans="1:4" ht="15" customHeight="1" x14ac:dyDescent="0.3">
      <c r="A307" s="15">
        <v>24551</v>
      </c>
      <c r="B307" s="17" t="s">
        <v>306</v>
      </c>
      <c r="C307" s="12">
        <v>367</v>
      </c>
      <c r="D307" s="11" t="str">
        <f>_xlfn.IFNA(IF(VLOOKUP(Tabela2[[#This Row],[CÓDIGO]],Aguardando_exclusão!A$4:A$4003,1,FALSE),"sim",""),"")</f>
        <v/>
      </c>
    </row>
    <row r="308" spans="1:4" x14ac:dyDescent="0.3">
      <c r="A308" s="15">
        <v>24888</v>
      </c>
      <c r="B308" s="17" t="s">
        <v>307</v>
      </c>
      <c r="C308" s="12">
        <v>367</v>
      </c>
      <c r="D308" s="11" t="str">
        <f>_xlfn.IFNA(IF(VLOOKUP(Tabela2[[#This Row],[CÓDIGO]],Aguardando_exclusão!A$4:A$4003,1,FALSE),"sim",""),"")</f>
        <v/>
      </c>
    </row>
    <row r="309" spans="1:4" x14ac:dyDescent="0.3">
      <c r="A309" s="15">
        <v>24890</v>
      </c>
      <c r="B309" s="17" t="s">
        <v>308</v>
      </c>
      <c r="C309" s="12">
        <v>367</v>
      </c>
      <c r="D309" s="11" t="str">
        <f>_xlfn.IFNA(IF(VLOOKUP(Tabela2[[#This Row],[CÓDIGO]],Aguardando_exclusão!A$4:A$4003,1,FALSE),"sim",""),"")</f>
        <v>sim</v>
      </c>
    </row>
    <row r="310" spans="1:4" ht="15" customHeight="1" x14ac:dyDescent="0.3">
      <c r="A310" s="15">
        <v>25489</v>
      </c>
      <c r="B310" s="17" t="s">
        <v>309</v>
      </c>
      <c r="C310" s="12">
        <v>367</v>
      </c>
      <c r="D310" s="11" t="str">
        <f>_xlfn.IFNA(IF(VLOOKUP(Tabela2[[#This Row],[CÓDIGO]],Aguardando_exclusão!A$4:A$4003,1,FALSE),"sim",""),"")</f>
        <v>sim</v>
      </c>
    </row>
    <row r="311" spans="1:4" ht="15" customHeight="1" x14ac:dyDescent="0.3">
      <c r="A311" s="15">
        <v>25519</v>
      </c>
      <c r="B311" s="17" t="s">
        <v>310</v>
      </c>
      <c r="C311" s="12">
        <v>367</v>
      </c>
      <c r="D311" s="11" t="str">
        <f>_xlfn.IFNA(IF(VLOOKUP(Tabela2[[#This Row],[CÓDIGO]],Aguardando_exclusão!A$4:A$4003,1,FALSE),"sim",""),"")</f>
        <v>sim</v>
      </c>
    </row>
    <row r="312" spans="1:4" x14ac:dyDescent="0.3">
      <c r="A312" s="15">
        <v>25523</v>
      </c>
      <c r="B312" s="17" t="s">
        <v>311</v>
      </c>
      <c r="C312" s="12">
        <v>367</v>
      </c>
      <c r="D312" s="11" t="str">
        <f>_xlfn.IFNA(IF(VLOOKUP(Tabela2[[#This Row],[CÓDIGO]],Aguardando_exclusão!A$4:A$4003,1,FALSE),"sim",""),"")</f>
        <v/>
      </c>
    </row>
    <row r="313" spans="1:4" x14ac:dyDescent="0.3">
      <c r="A313" s="15">
        <v>25536</v>
      </c>
      <c r="B313" s="17" t="s">
        <v>312</v>
      </c>
      <c r="C313" s="12">
        <v>367</v>
      </c>
      <c r="D313" s="11" t="str">
        <f>_xlfn.IFNA(IF(VLOOKUP(Tabela2[[#This Row],[CÓDIGO]],Aguardando_exclusão!A$4:A$4003,1,FALSE),"sim",""),"")</f>
        <v>sim</v>
      </c>
    </row>
    <row r="314" spans="1:4" x14ac:dyDescent="0.3">
      <c r="A314" s="15">
        <v>25559</v>
      </c>
      <c r="B314" s="17" t="s">
        <v>313</v>
      </c>
      <c r="C314" s="12">
        <v>367</v>
      </c>
      <c r="D314" s="11" t="str">
        <f>_xlfn.IFNA(IF(VLOOKUP(Tabela2[[#This Row],[CÓDIGO]],Aguardando_exclusão!A$4:A$4003,1,FALSE),"sim",""),"")</f>
        <v/>
      </c>
    </row>
    <row r="315" spans="1:4" x14ac:dyDescent="0.3">
      <c r="A315" s="15">
        <v>25630</v>
      </c>
      <c r="B315" s="17" t="s">
        <v>314</v>
      </c>
      <c r="C315" s="12">
        <v>367</v>
      </c>
      <c r="D315" s="11" t="str">
        <f>_xlfn.IFNA(IF(VLOOKUP(Tabela2[[#This Row],[CÓDIGO]],Aguardando_exclusão!A$4:A$4003,1,FALSE),"sim",""),"")</f>
        <v/>
      </c>
    </row>
    <row r="316" spans="1:4" x14ac:dyDescent="0.3">
      <c r="A316" s="15">
        <v>25756</v>
      </c>
      <c r="B316" s="17" t="s">
        <v>315</v>
      </c>
      <c r="C316" s="12">
        <v>367</v>
      </c>
      <c r="D316" s="11" t="str">
        <f>_xlfn.IFNA(IF(VLOOKUP(Tabela2[[#This Row],[CÓDIGO]],Aguardando_exclusão!A$4:A$4003,1,FALSE),"sim",""),"")</f>
        <v/>
      </c>
    </row>
    <row r="317" spans="1:4" ht="15" customHeight="1" x14ac:dyDescent="0.3">
      <c r="A317" s="15">
        <v>26215</v>
      </c>
      <c r="B317" s="17" t="s">
        <v>316</v>
      </c>
      <c r="C317" s="12">
        <v>367</v>
      </c>
      <c r="D317" s="11" t="str">
        <f>_xlfn.IFNA(IF(VLOOKUP(Tabela2[[#This Row],[CÓDIGO]],Aguardando_exclusão!A$4:A$4003,1,FALSE),"sim",""),"")</f>
        <v/>
      </c>
    </row>
    <row r="318" spans="1:4" x14ac:dyDescent="0.3">
      <c r="A318" s="15">
        <v>26282</v>
      </c>
      <c r="B318" s="17" t="s">
        <v>317</v>
      </c>
      <c r="C318" s="12">
        <v>367</v>
      </c>
      <c r="D318" s="11" t="str">
        <f>_xlfn.IFNA(IF(VLOOKUP(Tabela2[[#This Row],[CÓDIGO]],Aguardando_exclusão!A$4:A$4003,1,FALSE),"sim",""),"")</f>
        <v/>
      </c>
    </row>
    <row r="319" spans="1:4" x14ac:dyDescent="0.3">
      <c r="A319" s="15">
        <v>26368</v>
      </c>
      <c r="B319" s="17" t="s">
        <v>318</v>
      </c>
      <c r="C319" s="12">
        <v>367</v>
      </c>
      <c r="D319" s="11" t="str">
        <f>_xlfn.IFNA(IF(VLOOKUP(Tabela2[[#This Row],[CÓDIGO]],Aguardando_exclusão!A$4:A$4003,1,FALSE),"sim",""),"")</f>
        <v/>
      </c>
    </row>
    <row r="320" spans="1:4" x14ac:dyDescent="0.3">
      <c r="A320" s="15">
        <v>26503</v>
      </c>
      <c r="B320" s="17" t="s">
        <v>319</v>
      </c>
      <c r="C320" s="12">
        <v>367</v>
      </c>
      <c r="D320" s="11" t="str">
        <f>_xlfn.IFNA(IF(VLOOKUP(Tabela2[[#This Row],[CÓDIGO]],Aguardando_exclusão!A$4:A$4003,1,FALSE),"sim",""),"")</f>
        <v/>
      </c>
    </row>
    <row r="321" spans="1:4" x14ac:dyDescent="0.3">
      <c r="A321" s="15">
        <v>26504</v>
      </c>
      <c r="B321" s="17" t="s">
        <v>320</v>
      </c>
      <c r="C321" s="12">
        <v>367</v>
      </c>
      <c r="D321" s="11" t="str">
        <f>_xlfn.IFNA(IF(VLOOKUP(Tabela2[[#This Row],[CÓDIGO]],Aguardando_exclusão!A$4:A$4003,1,FALSE),"sim",""),"")</f>
        <v/>
      </c>
    </row>
    <row r="322" spans="1:4" x14ac:dyDescent="0.3">
      <c r="A322" s="15">
        <v>26506</v>
      </c>
      <c r="B322" s="17" t="s">
        <v>321</v>
      </c>
      <c r="C322" s="12">
        <v>367</v>
      </c>
      <c r="D322" s="11" t="str">
        <f>_xlfn.IFNA(IF(VLOOKUP(Tabela2[[#This Row],[CÓDIGO]],Aguardando_exclusão!A$4:A$4003,1,FALSE),"sim",""),"")</f>
        <v/>
      </c>
    </row>
    <row r="323" spans="1:4" x14ac:dyDescent="0.3">
      <c r="A323" s="15">
        <v>26508</v>
      </c>
      <c r="B323" s="17" t="s">
        <v>322</v>
      </c>
      <c r="C323" s="12">
        <v>367</v>
      </c>
      <c r="D323" s="11" t="str">
        <f>_xlfn.IFNA(IF(VLOOKUP(Tabela2[[#This Row],[CÓDIGO]],Aguardando_exclusão!A$4:A$4003,1,FALSE),"sim",""),"")</f>
        <v/>
      </c>
    </row>
    <row r="324" spans="1:4" x14ac:dyDescent="0.3">
      <c r="A324" s="15">
        <v>27136</v>
      </c>
      <c r="B324" s="17" t="s">
        <v>323</v>
      </c>
      <c r="C324" s="12">
        <v>367</v>
      </c>
      <c r="D324" s="11" t="str">
        <f>_xlfn.IFNA(IF(VLOOKUP(Tabela2[[#This Row],[CÓDIGO]],Aguardando_exclusão!A$4:A$4003,1,FALSE),"sim",""),"")</f>
        <v/>
      </c>
    </row>
    <row r="325" spans="1:4" x14ac:dyDescent="0.3">
      <c r="A325" s="15">
        <v>27137</v>
      </c>
      <c r="B325" s="17" t="s">
        <v>324</v>
      </c>
      <c r="C325" s="12">
        <v>367</v>
      </c>
      <c r="D325" s="11" t="str">
        <f>_xlfn.IFNA(IF(VLOOKUP(Tabela2[[#This Row],[CÓDIGO]],Aguardando_exclusão!A$4:A$4003,1,FALSE),"sim",""),"")</f>
        <v/>
      </c>
    </row>
    <row r="326" spans="1:4" x14ac:dyDescent="0.3">
      <c r="A326" s="15">
        <v>27138</v>
      </c>
      <c r="B326" s="17" t="s">
        <v>325</v>
      </c>
      <c r="C326" s="12">
        <v>367</v>
      </c>
      <c r="D326" s="11" t="str">
        <f>_xlfn.IFNA(IF(VLOOKUP(Tabela2[[#This Row],[CÓDIGO]],Aguardando_exclusão!A$4:A$4003,1,FALSE),"sim",""),"")</f>
        <v/>
      </c>
    </row>
    <row r="327" spans="1:4" x14ac:dyDescent="0.3">
      <c r="A327" s="15">
        <v>27139</v>
      </c>
      <c r="B327" s="17" t="s">
        <v>326</v>
      </c>
      <c r="C327" s="12">
        <v>367</v>
      </c>
      <c r="D327" s="11" t="str">
        <f>_xlfn.IFNA(IF(VLOOKUP(Tabela2[[#This Row],[CÓDIGO]],Aguardando_exclusão!A$4:A$4003,1,FALSE),"sim",""),"")</f>
        <v/>
      </c>
    </row>
    <row r="328" spans="1:4" x14ac:dyDescent="0.3">
      <c r="A328" s="15">
        <v>27140</v>
      </c>
      <c r="B328" s="17" t="s">
        <v>327</v>
      </c>
      <c r="C328" s="12">
        <v>367</v>
      </c>
      <c r="D328" s="11" t="str">
        <f>_xlfn.IFNA(IF(VLOOKUP(Tabela2[[#This Row],[CÓDIGO]],Aguardando_exclusão!A$4:A$4003,1,FALSE),"sim",""),"")</f>
        <v/>
      </c>
    </row>
    <row r="329" spans="1:4" x14ac:dyDescent="0.3">
      <c r="A329" s="15">
        <v>27287</v>
      </c>
      <c r="B329" s="17" t="s">
        <v>328</v>
      </c>
      <c r="C329" s="12">
        <v>367</v>
      </c>
      <c r="D329" s="11" t="str">
        <f>_xlfn.IFNA(IF(VLOOKUP(Tabela2[[#This Row],[CÓDIGO]],Aguardando_exclusão!A$4:A$4003,1,FALSE),"sim",""),"")</f>
        <v/>
      </c>
    </row>
    <row r="330" spans="1:4" x14ac:dyDescent="0.3">
      <c r="A330" s="15">
        <v>27353</v>
      </c>
      <c r="B330" s="17" t="s">
        <v>329</v>
      </c>
      <c r="C330" s="12">
        <v>367</v>
      </c>
      <c r="D330" s="11" t="str">
        <f>_xlfn.IFNA(IF(VLOOKUP(Tabela2[[#This Row],[CÓDIGO]],Aguardando_exclusão!A$4:A$4003,1,FALSE),"sim",""),"")</f>
        <v/>
      </c>
    </row>
    <row r="331" spans="1:4" x14ac:dyDescent="0.3">
      <c r="A331" s="15">
        <v>27479</v>
      </c>
      <c r="B331" s="17" t="s">
        <v>330</v>
      </c>
      <c r="C331" s="12">
        <v>367</v>
      </c>
      <c r="D331" s="11" t="str">
        <f>_xlfn.IFNA(IF(VLOOKUP(Tabela2[[#This Row],[CÓDIGO]],Aguardando_exclusão!A$4:A$4003,1,FALSE),"sim",""),"")</f>
        <v/>
      </c>
    </row>
    <row r="332" spans="1:4" x14ac:dyDescent="0.3">
      <c r="A332" s="15">
        <v>27759</v>
      </c>
      <c r="B332" s="17" t="s">
        <v>331</v>
      </c>
      <c r="C332" s="12">
        <v>367</v>
      </c>
      <c r="D332" s="11" t="str">
        <f>_xlfn.IFNA(IF(VLOOKUP(Tabela2[[#This Row],[CÓDIGO]],Aguardando_exclusão!A$4:A$4003,1,FALSE),"sim",""),"")</f>
        <v/>
      </c>
    </row>
    <row r="333" spans="1:4" x14ac:dyDescent="0.3">
      <c r="A333" s="15">
        <v>27760</v>
      </c>
      <c r="B333" s="17" t="s">
        <v>332</v>
      </c>
      <c r="C333" s="12">
        <v>367</v>
      </c>
      <c r="D333" s="11" t="str">
        <f>_xlfn.IFNA(IF(VLOOKUP(Tabela2[[#This Row],[CÓDIGO]],Aguardando_exclusão!A$4:A$4003,1,FALSE),"sim",""),"")</f>
        <v/>
      </c>
    </row>
    <row r="334" spans="1:4" x14ac:dyDescent="0.3">
      <c r="A334" s="15">
        <v>27761</v>
      </c>
      <c r="B334" s="17" t="s">
        <v>333</v>
      </c>
      <c r="C334" s="12">
        <v>367</v>
      </c>
      <c r="D334" s="11" t="str">
        <f>_xlfn.IFNA(IF(VLOOKUP(Tabela2[[#This Row],[CÓDIGO]],Aguardando_exclusão!A$4:A$4003,1,FALSE),"sim",""),"")</f>
        <v/>
      </c>
    </row>
    <row r="335" spans="1:4" x14ac:dyDescent="0.3">
      <c r="A335" s="15">
        <v>27764</v>
      </c>
      <c r="B335" s="17" t="s">
        <v>334</v>
      </c>
      <c r="C335" s="12">
        <v>367</v>
      </c>
      <c r="D335" s="11" t="str">
        <f>_xlfn.IFNA(IF(VLOOKUP(Tabela2[[#This Row],[CÓDIGO]],Aguardando_exclusão!A$4:A$4003,1,FALSE),"sim",""),"")</f>
        <v/>
      </c>
    </row>
    <row r="336" spans="1:4" x14ac:dyDescent="0.3">
      <c r="A336" s="15">
        <v>28040</v>
      </c>
      <c r="B336" s="17" t="s">
        <v>335</v>
      </c>
      <c r="C336" s="12">
        <v>367</v>
      </c>
      <c r="D336" s="11" t="str">
        <f>_xlfn.IFNA(IF(VLOOKUP(Tabela2[[#This Row],[CÓDIGO]],Aguardando_exclusão!A$4:A$4003,1,FALSE),"sim",""),"")</f>
        <v>sim</v>
      </c>
    </row>
    <row r="337" spans="1:4" x14ac:dyDescent="0.3">
      <c r="A337" s="15">
        <v>28093</v>
      </c>
      <c r="B337" s="17" t="s">
        <v>336</v>
      </c>
      <c r="C337" s="12">
        <v>367</v>
      </c>
      <c r="D337" s="11" t="str">
        <f>_xlfn.IFNA(IF(VLOOKUP(Tabela2[[#This Row],[CÓDIGO]],Aguardando_exclusão!A$4:A$4003,1,FALSE),"sim",""),"")</f>
        <v/>
      </c>
    </row>
    <row r="338" spans="1:4" x14ac:dyDescent="0.3">
      <c r="A338" s="15">
        <v>28181</v>
      </c>
      <c r="B338" s="17" t="s">
        <v>337</v>
      </c>
      <c r="C338" s="12">
        <v>367</v>
      </c>
      <c r="D338" s="11" t="str">
        <f>_xlfn.IFNA(IF(VLOOKUP(Tabela2[[#This Row],[CÓDIGO]],Aguardando_exclusão!A$4:A$4003,1,FALSE),"sim",""),"")</f>
        <v/>
      </c>
    </row>
    <row r="339" spans="1:4" x14ac:dyDescent="0.3">
      <c r="A339" s="15">
        <v>28184</v>
      </c>
      <c r="B339" s="17" t="s">
        <v>338</v>
      </c>
      <c r="C339" s="12">
        <v>367</v>
      </c>
      <c r="D339" s="11" t="str">
        <f>_xlfn.IFNA(IF(VLOOKUP(Tabela2[[#This Row],[CÓDIGO]],Aguardando_exclusão!A$4:A$4003,1,FALSE),"sim",""),"")</f>
        <v/>
      </c>
    </row>
    <row r="340" spans="1:4" x14ac:dyDescent="0.3">
      <c r="A340" s="15">
        <v>28306</v>
      </c>
      <c r="B340" s="17" t="s">
        <v>339</v>
      </c>
      <c r="C340" s="12">
        <v>367</v>
      </c>
      <c r="D340" s="11" t="str">
        <f>_xlfn.IFNA(IF(VLOOKUP(Tabela2[[#This Row],[CÓDIGO]],Aguardando_exclusão!A$4:A$4003,1,FALSE),"sim",""),"")</f>
        <v/>
      </c>
    </row>
    <row r="341" spans="1:4" x14ac:dyDescent="0.3">
      <c r="A341" s="15">
        <v>28307</v>
      </c>
      <c r="B341" s="17" t="s">
        <v>340</v>
      </c>
      <c r="C341" s="12">
        <v>367</v>
      </c>
      <c r="D341" s="11" t="str">
        <f>_xlfn.IFNA(IF(VLOOKUP(Tabela2[[#This Row],[CÓDIGO]],Aguardando_exclusão!A$4:A$4003,1,FALSE),"sim",""),"")</f>
        <v/>
      </c>
    </row>
    <row r="342" spans="1:4" x14ac:dyDescent="0.3">
      <c r="A342" s="15">
        <v>28308</v>
      </c>
      <c r="B342" s="17" t="s">
        <v>341</v>
      </c>
      <c r="C342" s="12">
        <v>367</v>
      </c>
      <c r="D342" s="11" t="str">
        <f>_xlfn.IFNA(IF(VLOOKUP(Tabela2[[#This Row],[CÓDIGO]],Aguardando_exclusão!A$4:A$4003,1,FALSE),"sim",""),"")</f>
        <v/>
      </c>
    </row>
    <row r="343" spans="1:4" x14ac:dyDescent="0.3">
      <c r="A343" s="15">
        <v>28512</v>
      </c>
      <c r="B343" s="17" t="s">
        <v>342</v>
      </c>
      <c r="C343" s="12">
        <v>367</v>
      </c>
      <c r="D343" s="11" t="str">
        <f>_xlfn.IFNA(IF(VLOOKUP(Tabela2[[#This Row],[CÓDIGO]],Aguardando_exclusão!A$4:A$4003,1,FALSE),"sim",""),"")</f>
        <v/>
      </c>
    </row>
    <row r="344" spans="1:4" x14ac:dyDescent="0.3">
      <c r="A344" s="15">
        <v>28781</v>
      </c>
      <c r="B344" s="17" t="s">
        <v>343</v>
      </c>
      <c r="C344" s="12">
        <v>367</v>
      </c>
      <c r="D344" s="11" t="str">
        <f>_xlfn.IFNA(IF(VLOOKUP(Tabela2[[#This Row],[CÓDIGO]],Aguardando_exclusão!A$4:A$4003,1,FALSE),"sim",""),"")</f>
        <v>sim</v>
      </c>
    </row>
    <row r="345" spans="1:4" x14ac:dyDescent="0.3">
      <c r="A345" s="15">
        <v>28782</v>
      </c>
      <c r="B345" s="17" t="s">
        <v>344</v>
      </c>
      <c r="C345" s="12">
        <v>367</v>
      </c>
      <c r="D345" s="11" t="str">
        <f>_xlfn.IFNA(IF(VLOOKUP(Tabela2[[#This Row],[CÓDIGO]],Aguardando_exclusão!A$4:A$4003,1,FALSE),"sim",""),"")</f>
        <v>sim</v>
      </c>
    </row>
    <row r="346" spans="1:4" x14ac:dyDescent="0.3">
      <c r="A346" s="15">
        <v>29288</v>
      </c>
      <c r="B346" s="17" t="s">
        <v>345</v>
      </c>
      <c r="C346" s="12">
        <v>367</v>
      </c>
      <c r="D346" s="11" t="str">
        <f>_xlfn.IFNA(IF(VLOOKUP(Tabela2[[#This Row],[CÓDIGO]],Aguardando_exclusão!A$4:A$4003,1,FALSE),"sim",""),"")</f>
        <v/>
      </c>
    </row>
    <row r="347" spans="1:4" x14ac:dyDescent="0.3">
      <c r="A347" s="15">
        <v>29293</v>
      </c>
      <c r="B347" s="17" t="s">
        <v>346</v>
      </c>
      <c r="C347" s="12">
        <v>367</v>
      </c>
      <c r="D347" s="11" t="str">
        <f>_xlfn.IFNA(IF(VLOOKUP(Tabela2[[#This Row],[CÓDIGO]],Aguardando_exclusão!A$4:A$4003,1,FALSE),"sim",""),"")</f>
        <v/>
      </c>
    </row>
    <row r="348" spans="1:4" x14ac:dyDescent="0.3">
      <c r="A348" s="15">
        <v>29294</v>
      </c>
      <c r="B348" s="17" t="s">
        <v>347</v>
      </c>
      <c r="C348" s="12">
        <v>367</v>
      </c>
      <c r="D348" s="11" t="str">
        <f>_xlfn.IFNA(IF(VLOOKUP(Tabela2[[#This Row],[CÓDIGO]],Aguardando_exclusão!A$4:A$4003,1,FALSE),"sim",""),"")</f>
        <v>sim</v>
      </c>
    </row>
    <row r="349" spans="1:4" x14ac:dyDescent="0.3">
      <c r="A349" s="15">
        <v>29296</v>
      </c>
      <c r="B349" s="17" t="s">
        <v>348</v>
      </c>
      <c r="C349" s="12">
        <v>367</v>
      </c>
      <c r="D349" s="11" t="str">
        <f>_xlfn.IFNA(IF(VLOOKUP(Tabela2[[#This Row],[CÓDIGO]],Aguardando_exclusão!A$4:A$4003,1,FALSE),"sim",""),"")</f>
        <v/>
      </c>
    </row>
    <row r="350" spans="1:4" x14ac:dyDescent="0.3">
      <c r="A350" s="15">
        <v>29435</v>
      </c>
      <c r="B350" s="17" t="s">
        <v>349</v>
      </c>
      <c r="C350" s="12">
        <v>367</v>
      </c>
      <c r="D350" s="11" t="str">
        <f>_xlfn.IFNA(IF(VLOOKUP(Tabela2[[#This Row],[CÓDIGO]],Aguardando_exclusão!A$4:A$4003,1,FALSE),"sim",""),"")</f>
        <v/>
      </c>
    </row>
    <row r="351" spans="1:4" x14ac:dyDescent="0.3">
      <c r="A351" s="15">
        <v>29437</v>
      </c>
      <c r="B351" s="17" t="s">
        <v>350</v>
      </c>
      <c r="C351" s="12">
        <v>367</v>
      </c>
      <c r="D351" s="11" t="str">
        <f>_xlfn.IFNA(IF(VLOOKUP(Tabela2[[#This Row],[CÓDIGO]],Aguardando_exclusão!A$4:A$4003,1,FALSE),"sim",""),"")</f>
        <v/>
      </c>
    </row>
    <row r="352" spans="1:4" x14ac:dyDescent="0.3">
      <c r="A352" s="15">
        <v>29524</v>
      </c>
      <c r="B352" s="17" t="s">
        <v>351</v>
      </c>
      <c r="C352" s="12">
        <v>367</v>
      </c>
      <c r="D352" s="11" t="str">
        <f>_xlfn.IFNA(IF(VLOOKUP(Tabela2[[#This Row],[CÓDIGO]],Aguardando_exclusão!A$4:A$4003,1,FALSE),"sim",""),"")</f>
        <v>sim</v>
      </c>
    </row>
    <row r="353" spans="1:4" x14ac:dyDescent="0.3">
      <c r="A353" s="15">
        <v>29526</v>
      </c>
      <c r="B353" s="17" t="s">
        <v>352</v>
      </c>
      <c r="C353" s="12">
        <v>367</v>
      </c>
      <c r="D353" s="11" t="str">
        <f>_xlfn.IFNA(IF(VLOOKUP(Tabela2[[#This Row],[CÓDIGO]],Aguardando_exclusão!A$4:A$4003,1,FALSE),"sim",""),"")</f>
        <v>sim</v>
      </c>
    </row>
    <row r="354" spans="1:4" x14ac:dyDescent="0.3">
      <c r="A354" s="15">
        <v>29537</v>
      </c>
      <c r="B354" s="17" t="s">
        <v>353</v>
      </c>
      <c r="C354" s="12">
        <v>367</v>
      </c>
      <c r="D354" s="11" t="str">
        <f>_xlfn.IFNA(IF(VLOOKUP(Tabela2[[#This Row],[CÓDIGO]],Aguardando_exclusão!A$4:A$4003,1,FALSE),"sim",""),"")</f>
        <v>sim</v>
      </c>
    </row>
    <row r="355" spans="1:4" x14ac:dyDescent="0.3">
      <c r="A355" s="15">
        <v>29829</v>
      </c>
      <c r="B355" s="17" t="s">
        <v>354</v>
      </c>
      <c r="C355" s="12">
        <v>367</v>
      </c>
      <c r="D355" s="11" t="str">
        <f>_xlfn.IFNA(IF(VLOOKUP(Tabela2[[#This Row],[CÓDIGO]],Aguardando_exclusão!A$4:A$4003,1,FALSE),"sim",""),"")</f>
        <v>sim</v>
      </c>
    </row>
    <row r="356" spans="1:4" x14ac:dyDescent="0.3">
      <c r="A356" s="15">
        <v>29935</v>
      </c>
      <c r="B356" s="17" t="s">
        <v>355</v>
      </c>
      <c r="C356" s="12">
        <v>367</v>
      </c>
      <c r="D356" s="11" t="str">
        <f>_xlfn.IFNA(IF(VLOOKUP(Tabela2[[#This Row],[CÓDIGO]],Aguardando_exclusão!A$4:A$4003,1,FALSE),"sim",""),"")</f>
        <v/>
      </c>
    </row>
    <row r="357" spans="1:4" x14ac:dyDescent="0.3">
      <c r="A357" s="15">
        <v>29952</v>
      </c>
      <c r="B357" s="17" t="s">
        <v>356</v>
      </c>
      <c r="C357" s="12">
        <v>367</v>
      </c>
      <c r="D357" s="11" t="str">
        <f>_xlfn.IFNA(IF(VLOOKUP(Tabela2[[#This Row],[CÓDIGO]],Aguardando_exclusão!A$4:A$4003,1,FALSE),"sim",""),"")</f>
        <v/>
      </c>
    </row>
    <row r="358" spans="1:4" x14ac:dyDescent="0.3">
      <c r="A358" s="15">
        <v>29956</v>
      </c>
      <c r="B358" s="17" t="s">
        <v>357</v>
      </c>
      <c r="C358" s="12">
        <v>367</v>
      </c>
      <c r="D358" s="11" t="str">
        <f>_xlfn.IFNA(IF(VLOOKUP(Tabela2[[#This Row],[CÓDIGO]],Aguardando_exclusão!A$4:A$4003,1,FALSE),"sim",""),"")</f>
        <v/>
      </c>
    </row>
    <row r="359" spans="1:4" x14ac:dyDescent="0.3">
      <c r="A359" s="15">
        <v>29959</v>
      </c>
      <c r="B359" s="17" t="s">
        <v>358</v>
      </c>
      <c r="C359" s="12">
        <v>367</v>
      </c>
      <c r="D359" s="11" t="str">
        <f>_xlfn.IFNA(IF(VLOOKUP(Tabela2[[#This Row],[CÓDIGO]],Aguardando_exclusão!A$4:A$4003,1,FALSE),"sim",""),"")</f>
        <v/>
      </c>
    </row>
    <row r="360" spans="1:4" x14ac:dyDescent="0.3">
      <c r="A360" s="15">
        <v>29960</v>
      </c>
      <c r="B360" s="17" t="s">
        <v>359</v>
      </c>
      <c r="C360" s="12">
        <v>367</v>
      </c>
      <c r="D360" s="11" t="str">
        <f>_xlfn.IFNA(IF(VLOOKUP(Tabela2[[#This Row],[CÓDIGO]],Aguardando_exclusão!A$4:A$4003,1,FALSE),"sim",""),"")</f>
        <v>sim</v>
      </c>
    </row>
    <row r="361" spans="1:4" x14ac:dyDescent="0.3">
      <c r="A361" s="15">
        <v>29961</v>
      </c>
      <c r="B361" s="17" t="s">
        <v>360</v>
      </c>
      <c r="C361" s="12">
        <v>367</v>
      </c>
      <c r="D361" s="11" t="str">
        <f>_xlfn.IFNA(IF(VLOOKUP(Tabela2[[#This Row],[CÓDIGO]],Aguardando_exclusão!A$4:A$4003,1,FALSE),"sim",""),"")</f>
        <v/>
      </c>
    </row>
    <row r="362" spans="1:4" x14ac:dyDescent="0.3">
      <c r="A362" s="15">
        <v>29962</v>
      </c>
      <c r="B362" s="17" t="s">
        <v>361</v>
      </c>
      <c r="C362" s="12">
        <v>367</v>
      </c>
      <c r="D362" s="11" t="str">
        <f>_xlfn.IFNA(IF(VLOOKUP(Tabela2[[#This Row],[CÓDIGO]],Aguardando_exclusão!A$4:A$4003,1,FALSE),"sim",""),"")</f>
        <v/>
      </c>
    </row>
    <row r="363" spans="1:4" x14ac:dyDescent="0.3">
      <c r="A363" s="15">
        <v>29964</v>
      </c>
      <c r="B363" s="17" t="s">
        <v>362</v>
      </c>
      <c r="C363" s="12">
        <v>367</v>
      </c>
      <c r="D363" s="11" t="str">
        <f>_xlfn.IFNA(IF(VLOOKUP(Tabela2[[#This Row],[CÓDIGO]],Aguardando_exclusão!A$4:A$4003,1,FALSE),"sim",""),"")</f>
        <v/>
      </c>
    </row>
    <row r="364" spans="1:4" x14ac:dyDescent="0.3">
      <c r="A364" s="15">
        <v>30165</v>
      </c>
      <c r="B364" s="17" t="s">
        <v>363</v>
      </c>
      <c r="C364" s="12">
        <v>367</v>
      </c>
      <c r="D364" s="11" t="str">
        <f>_xlfn.IFNA(IF(VLOOKUP(Tabela2[[#This Row],[CÓDIGO]],Aguardando_exclusão!A$4:A$4003,1,FALSE),"sim",""),"")</f>
        <v/>
      </c>
    </row>
    <row r="365" spans="1:4" x14ac:dyDescent="0.3">
      <c r="A365" s="15">
        <v>30171</v>
      </c>
      <c r="B365" s="17" t="s">
        <v>364</v>
      </c>
      <c r="C365" s="12">
        <v>367</v>
      </c>
      <c r="D365" s="11" t="str">
        <f>_xlfn.IFNA(IF(VLOOKUP(Tabela2[[#This Row],[CÓDIGO]],Aguardando_exclusão!A$4:A$4003,1,FALSE),"sim",""),"")</f>
        <v/>
      </c>
    </row>
    <row r="366" spans="1:4" x14ac:dyDescent="0.3">
      <c r="A366" s="15">
        <v>30658</v>
      </c>
      <c r="B366" s="17" t="s">
        <v>365</v>
      </c>
      <c r="C366" s="12">
        <v>367</v>
      </c>
      <c r="D366" s="11" t="str">
        <f>_xlfn.IFNA(IF(VLOOKUP(Tabela2[[#This Row],[CÓDIGO]],Aguardando_exclusão!A$4:A$4003,1,FALSE),"sim",""),"")</f>
        <v/>
      </c>
    </row>
    <row r="367" spans="1:4" ht="15" customHeight="1" x14ac:dyDescent="0.3">
      <c r="A367" s="15">
        <v>30772</v>
      </c>
      <c r="B367" s="17" t="s">
        <v>366</v>
      </c>
      <c r="C367" s="12">
        <v>367</v>
      </c>
      <c r="D367" s="11" t="str">
        <f>_xlfn.IFNA(IF(VLOOKUP(Tabela2[[#This Row],[CÓDIGO]],Aguardando_exclusão!A$4:A$4003,1,FALSE),"sim",""),"")</f>
        <v/>
      </c>
    </row>
    <row r="368" spans="1:4" x14ac:dyDescent="0.3">
      <c r="A368" s="15">
        <v>31321</v>
      </c>
      <c r="B368" s="17" t="s">
        <v>367</v>
      </c>
      <c r="C368" s="12">
        <v>367</v>
      </c>
      <c r="D368" s="11" t="str">
        <f>_xlfn.IFNA(IF(VLOOKUP(Tabela2[[#This Row],[CÓDIGO]],Aguardando_exclusão!A$4:A$4003,1,FALSE),"sim",""),"")</f>
        <v/>
      </c>
    </row>
    <row r="369" spans="1:4" x14ac:dyDescent="0.3">
      <c r="A369" s="15">
        <v>31427</v>
      </c>
      <c r="B369" s="17" t="s">
        <v>368</v>
      </c>
      <c r="C369" s="12">
        <v>367</v>
      </c>
      <c r="D369" s="11" t="str">
        <f>_xlfn.IFNA(IF(VLOOKUP(Tabela2[[#This Row],[CÓDIGO]],Aguardando_exclusão!A$4:A$4003,1,FALSE),"sim",""),"")</f>
        <v>sim</v>
      </c>
    </row>
    <row r="370" spans="1:4" ht="15" customHeight="1" x14ac:dyDescent="0.3">
      <c r="A370" s="15">
        <v>31428</v>
      </c>
      <c r="B370" s="17" t="s">
        <v>369</v>
      </c>
      <c r="C370" s="12">
        <v>367</v>
      </c>
      <c r="D370" s="11" t="str">
        <f>_xlfn.IFNA(IF(VLOOKUP(Tabela2[[#This Row],[CÓDIGO]],Aguardando_exclusão!A$4:A$4003,1,FALSE),"sim",""),"")</f>
        <v>sim</v>
      </c>
    </row>
    <row r="371" spans="1:4" ht="15" customHeight="1" x14ac:dyDescent="0.3">
      <c r="A371" s="15">
        <v>31555</v>
      </c>
      <c r="B371" s="17" t="s">
        <v>370</v>
      </c>
      <c r="C371" s="12">
        <v>367</v>
      </c>
      <c r="D371" s="11" t="str">
        <f>_xlfn.IFNA(IF(VLOOKUP(Tabela2[[#This Row],[CÓDIGO]],Aguardando_exclusão!A$4:A$4003,1,FALSE),"sim",""),"")</f>
        <v/>
      </c>
    </row>
    <row r="372" spans="1:4" x14ac:dyDescent="0.3">
      <c r="A372" s="15">
        <v>31580</v>
      </c>
      <c r="B372" s="17" t="s">
        <v>371</v>
      </c>
      <c r="C372" s="12">
        <v>367</v>
      </c>
      <c r="D372" s="11" t="str">
        <f>_xlfn.IFNA(IF(VLOOKUP(Tabela2[[#This Row],[CÓDIGO]],Aguardando_exclusão!A$4:A$4003,1,FALSE),"sim",""),"")</f>
        <v/>
      </c>
    </row>
    <row r="373" spans="1:4" ht="15" customHeight="1" x14ac:dyDescent="0.3">
      <c r="A373" s="15">
        <v>32487</v>
      </c>
      <c r="B373" s="17" t="s">
        <v>372</v>
      </c>
      <c r="C373" s="12">
        <v>367</v>
      </c>
      <c r="D373" s="11" t="str">
        <f>_xlfn.IFNA(IF(VLOOKUP(Tabela2[[#This Row],[CÓDIGO]],Aguardando_exclusão!A$4:A$4003,1,FALSE),"sim",""),"")</f>
        <v/>
      </c>
    </row>
    <row r="374" spans="1:4" ht="15" customHeight="1" x14ac:dyDescent="0.3">
      <c r="A374" s="15">
        <v>32648</v>
      </c>
      <c r="B374" s="17" t="s">
        <v>373</v>
      </c>
      <c r="C374" s="12">
        <v>367</v>
      </c>
      <c r="D374" s="11" t="str">
        <f>_xlfn.IFNA(IF(VLOOKUP(Tabela2[[#This Row],[CÓDIGO]],Aguardando_exclusão!A$4:A$4003,1,FALSE),"sim",""),"")</f>
        <v>sim</v>
      </c>
    </row>
    <row r="375" spans="1:4" x14ac:dyDescent="0.3">
      <c r="A375" s="15">
        <v>32752</v>
      </c>
      <c r="B375" s="17" t="s">
        <v>374</v>
      </c>
      <c r="C375" s="12">
        <v>367</v>
      </c>
      <c r="D375" s="11" t="str">
        <f>_xlfn.IFNA(IF(VLOOKUP(Tabela2[[#This Row],[CÓDIGO]],Aguardando_exclusão!A$4:A$4003,1,FALSE),"sim",""),"")</f>
        <v>sim</v>
      </c>
    </row>
    <row r="376" spans="1:4" x14ac:dyDescent="0.3">
      <c r="A376" s="15">
        <v>32759</v>
      </c>
      <c r="B376" s="17" t="s">
        <v>375</v>
      </c>
      <c r="C376" s="12">
        <v>367</v>
      </c>
      <c r="D376" s="11" t="str">
        <f>_xlfn.IFNA(IF(VLOOKUP(Tabela2[[#This Row],[CÓDIGO]],Aguardando_exclusão!A$4:A$4003,1,FALSE),"sim",""),"")</f>
        <v>sim</v>
      </c>
    </row>
    <row r="377" spans="1:4" x14ac:dyDescent="0.3">
      <c r="A377" s="15">
        <v>32761</v>
      </c>
      <c r="B377" s="17" t="s">
        <v>376</v>
      </c>
      <c r="C377" s="12">
        <v>367</v>
      </c>
      <c r="D377" s="11" t="str">
        <f>_xlfn.IFNA(IF(VLOOKUP(Tabela2[[#This Row],[CÓDIGO]],Aguardando_exclusão!A$4:A$4003,1,FALSE),"sim",""),"")</f>
        <v>sim</v>
      </c>
    </row>
    <row r="378" spans="1:4" x14ac:dyDescent="0.3">
      <c r="A378" s="15">
        <v>32927</v>
      </c>
      <c r="B378" s="17" t="s">
        <v>377</v>
      </c>
      <c r="C378" s="12">
        <v>367</v>
      </c>
      <c r="D378" s="11" t="str">
        <f>_xlfn.IFNA(IF(VLOOKUP(Tabela2[[#This Row],[CÓDIGO]],Aguardando_exclusão!A$4:A$4003,1,FALSE),"sim",""),"")</f>
        <v/>
      </c>
    </row>
    <row r="379" spans="1:4" x14ac:dyDescent="0.3">
      <c r="A379" s="15">
        <v>32933</v>
      </c>
      <c r="B379" s="17" t="s">
        <v>378</v>
      </c>
      <c r="C379" s="12">
        <v>367</v>
      </c>
      <c r="D379" s="11" t="str">
        <f>_xlfn.IFNA(IF(VLOOKUP(Tabela2[[#This Row],[CÓDIGO]],Aguardando_exclusão!A$4:A$4003,1,FALSE),"sim",""),"")</f>
        <v/>
      </c>
    </row>
    <row r="380" spans="1:4" ht="15" customHeight="1" x14ac:dyDescent="0.3">
      <c r="A380" s="15">
        <v>33609</v>
      </c>
      <c r="B380" s="17" t="s">
        <v>379</v>
      </c>
      <c r="C380" s="12">
        <v>367</v>
      </c>
      <c r="D380" s="11" t="str">
        <f>_xlfn.IFNA(IF(VLOOKUP(Tabela2[[#This Row],[CÓDIGO]],Aguardando_exclusão!A$4:A$4003,1,FALSE),"sim",""),"")</f>
        <v/>
      </c>
    </row>
    <row r="381" spans="1:4" ht="15" customHeight="1" x14ac:dyDescent="0.3">
      <c r="A381" s="15">
        <v>33623</v>
      </c>
      <c r="B381" s="17" t="s">
        <v>380</v>
      </c>
      <c r="C381" s="12">
        <v>367</v>
      </c>
      <c r="D381" s="11" t="str">
        <f>_xlfn.IFNA(IF(VLOOKUP(Tabela2[[#This Row],[CÓDIGO]],Aguardando_exclusão!A$4:A$4003,1,FALSE),"sim",""),"")</f>
        <v/>
      </c>
    </row>
    <row r="382" spans="1:4" x14ac:dyDescent="0.3">
      <c r="A382" s="15">
        <v>34214</v>
      </c>
      <c r="B382" s="17" t="s">
        <v>381</v>
      </c>
      <c r="C382" s="12">
        <v>367</v>
      </c>
      <c r="D382" s="11" t="str">
        <f>_xlfn.IFNA(IF(VLOOKUP(Tabela2[[#This Row],[CÓDIGO]],Aguardando_exclusão!A$4:A$4003,1,FALSE),"sim",""),"")</f>
        <v/>
      </c>
    </row>
    <row r="383" spans="1:4" x14ac:dyDescent="0.3">
      <c r="A383" s="15">
        <v>34801</v>
      </c>
      <c r="B383" s="17" t="s">
        <v>382</v>
      </c>
      <c r="C383" s="12">
        <v>367</v>
      </c>
      <c r="D383" s="11" t="str">
        <f>_xlfn.IFNA(IF(VLOOKUP(Tabela2[[#This Row],[CÓDIGO]],Aguardando_exclusão!A$4:A$4003,1,FALSE),"sim",""),"")</f>
        <v/>
      </c>
    </row>
    <row r="384" spans="1:4" ht="15" customHeight="1" x14ac:dyDescent="0.3">
      <c r="A384" s="15">
        <v>35224</v>
      </c>
      <c r="B384" s="17" t="s">
        <v>383</v>
      </c>
      <c r="C384" s="12">
        <v>367</v>
      </c>
      <c r="D384" s="11" t="str">
        <f>_xlfn.IFNA(IF(VLOOKUP(Tabela2[[#This Row],[CÓDIGO]],Aguardando_exclusão!A$4:A$4003,1,FALSE),"sim",""),"")</f>
        <v/>
      </c>
    </row>
    <row r="385" spans="1:4" x14ac:dyDescent="0.3">
      <c r="A385" s="15">
        <v>35227</v>
      </c>
      <c r="B385" s="17" t="s">
        <v>384</v>
      </c>
      <c r="C385" s="12">
        <v>367</v>
      </c>
      <c r="D385" s="11" t="str">
        <f>_xlfn.IFNA(IF(VLOOKUP(Tabela2[[#This Row],[CÓDIGO]],Aguardando_exclusão!A$4:A$4003,1,FALSE),"sim",""),"")</f>
        <v/>
      </c>
    </row>
    <row r="386" spans="1:4" x14ac:dyDescent="0.3">
      <c r="A386" s="15">
        <v>35238</v>
      </c>
      <c r="B386" s="17" t="s">
        <v>385</v>
      </c>
      <c r="C386" s="12">
        <v>367</v>
      </c>
      <c r="D386" s="11" t="str">
        <f>_xlfn.IFNA(IF(VLOOKUP(Tabela2[[#This Row],[CÓDIGO]],Aguardando_exclusão!A$4:A$4003,1,FALSE),"sim",""),"")</f>
        <v/>
      </c>
    </row>
    <row r="387" spans="1:4" x14ac:dyDescent="0.3">
      <c r="A387" s="15">
        <v>35256</v>
      </c>
      <c r="B387" s="17" t="s">
        <v>386</v>
      </c>
      <c r="C387" s="12">
        <v>367</v>
      </c>
      <c r="D387" s="11" t="str">
        <f>_xlfn.IFNA(IF(VLOOKUP(Tabela2[[#This Row],[CÓDIGO]],Aguardando_exclusão!A$4:A$4003,1,FALSE),"sim",""),"")</f>
        <v/>
      </c>
    </row>
    <row r="388" spans="1:4" ht="15" customHeight="1" x14ac:dyDescent="0.3">
      <c r="A388" s="15">
        <v>35331</v>
      </c>
      <c r="B388" s="17" t="s">
        <v>387</v>
      </c>
      <c r="C388" s="12">
        <v>367</v>
      </c>
      <c r="D388" s="11" t="str">
        <f>_xlfn.IFNA(IF(VLOOKUP(Tabela2[[#This Row],[CÓDIGO]],Aguardando_exclusão!A$4:A$4003,1,FALSE),"sim",""),"")</f>
        <v/>
      </c>
    </row>
    <row r="389" spans="1:4" x14ac:dyDescent="0.3">
      <c r="A389" s="15">
        <v>35359</v>
      </c>
      <c r="B389" s="17" t="s">
        <v>388</v>
      </c>
      <c r="C389" s="12">
        <v>367</v>
      </c>
      <c r="D389" s="11" t="str">
        <f>_xlfn.IFNA(IF(VLOOKUP(Tabela2[[#This Row],[CÓDIGO]],Aguardando_exclusão!A$4:A$4003,1,FALSE),"sim",""),"")</f>
        <v/>
      </c>
    </row>
    <row r="390" spans="1:4" x14ac:dyDescent="0.3">
      <c r="A390" s="15">
        <v>35550</v>
      </c>
      <c r="B390" s="17" t="s">
        <v>389</v>
      </c>
      <c r="C390" s="12">
        <v>367</v>
      </c>
      <c r="D390" s="11" t="str">
        <f>_xlfn.IFNA(IF(VLOOKUP(Tabela2[[#This Row],[CÓDIGO]],Aguardando_exclusão!A$4:A$4003,1,FALSE),"sim",""),"")</f>
        <v/>
      </c>
    </row>
    <row r="391" spans="1:4" x14ac:dyDescent="0.3">
      <c r="A391" s="15">
        <v>35554</v>
      </c>
      <c r="B391" s="17" t="s">
        <v>390</v>
      </c>
      <c r="C391" s="12">
        <v>367</v>
      </c>
      <c r="D391" s="11" t="str">
        <f>_xlfn.IFNA(IF(VLOOKUP(Tabela2[[#This Row],[CÓDIGO]],Aguardando_exclusão!A$4:A$4003,1,FALSE),"sim",""),"")</f>
        <v/>
      </c>
    </row>
    <row r="392" spans="1:4" x14ac:dyDescent="0.3">
      <c r="A392" s="15">
        <v>35555</v>
      </c>
      <c r="B392" s="17" t="s">
        <v>391</v>
      </c>
      <c r="C392" s="12">
        <v>367</v>
      </c>
      <c r="D392" s="11" t="str">
        <f>_xlfn.IFNA(IF(VLOOKUP(Tabela2[[#This Row],[CÓDIGO]],Aguardando_exclusão!A$4:A$4003,1,FALSE),"sim",""),"")</f>
        <v/>
      </c>
    </row>
    <row r="393" spans="1:4" x14ac:dyDescent="0.3">
      <c r="A393" s="15">
        <v>36011</v>
      </c>
      <c r="B393" s="17" t="s">
        <v>392</v>
      </c>
      <c r="C393" s="12">
        <v>367</v>
      </c>
      <c r="D393" s="11" t="str">
        <f>_xlfn.IFNA(IF(VLOOKUP(Tabela2[[#This Row],[CÓDIGO]],Aguardando_exclusão!A$4:A$4003,1,FALSE),"sim",""),"")</f>
        <v/>
      </c>
    </row>
    <row r="394" spans="1:4" x14ac:dyDescent="0.3">
      <c r="A394" s="15">
        <v>36031</v>
      </c>
      <c r="B394" s="17" t="s">
        <v>393</v>
      </c>
      <c r="C394" s="12">
        <v>367</v>
      </c>
      <c r="D394" s="11" t="str">
        <f>_xlfn.IFNA(IF(VLOOKUP(Tabela2[[#This Row],[CÓDIGO]],Aguardando_exclusão!A$4:A$4003,1,FALSE),"sim",""),"")</f>
        <v/>
      </c>
    </row>
    <row r="395" spans="1:4" x14ac:dyDescent="0.3">
      <c r="A395" s="15">
        <v>36033</v>
      </c>
      <c r="B395" s="17" t="s">
        <v>394</v>
      </c>
      <c r="C395" s="12">
        <v>367</v>
      </c>
      <c r="D395" s="11" t="str">
        <f>_xlfn.IFNA(IF(VLOOKUP(Tabela2[[#This Row],[CÓDIGO]],Aguardando_exclusão!A$4:A$4003,1,FALSE),"sim",""),"")</f>
        <v>sim</v>
      </c>
    </row>
    <row r="396" spans="1:4" x14ac:dyDescent="0.3">
      <c r="A396" s="15">
        <v>36107</v>
      </c>
      <c r="B396" s="17" t="s">
        <v>395</v>
      </c>
      <c r="C396" s="12">
        <v>367</v>
      </c>
      <c r="D396" s="11" t="str">
        <f>_xlfn.IFNA(IF(VLOOKUP(Tabela2[[#This Row],[CÓDIGO]],Aguardando_exclusão!A$4:A$4003,1,FALSE),"sim",""),"")</f>
        <v>sim</v>
      </c>
    </row>
    <row r="397" spans="1:4" x14ac:dyDescent="0.3">
      <c r="A397" s="15">
        <v>36399</v>
      </c>
      <c r="B397" s="17" t="s">
        <v>396</v>
      </c>
      <c r="C397" s="12">
        <v>367</v>
      </c>
      <c r="D397" s="11" t="str">
        <f>_xlfn.IFNA(IF(VLOOKUP(Tabela2[[#This Row],[CÓDIGO]],Aguardando_exclusão!A$4:A$4003,1,FALSE),"sim",""),"")</f>
        <v/>
      </c>
    </row>
    <row r="398" spans="1:4" x14ac:dyDescent="0.3">
      <c r="A398" s="15">
        <v>36400</v>
      </c>
      <c r="B398" s="17" t="s">
        <v>397</v>
      </c>
      <c r="C398" s="12">
        <v>367</v>
      </c>
      <c r="D398" s="11" t="str">
        <f>_xlfn.IFNA(IF(VLOOKUP(Tabela2[[#This Row],[CÓDIGO]],Aguardando_exclusão!A$4:A$4003,1,FALSE),"sim",""),"")</f>
        <v/>
      </c>
    </row>
    <row r="399" spans="1:4" x14ac:dyDescent="0.3">
      <c r="A399" s="15">
        <v>37518</v>
      </c>
      <c r="B399" s="17" t="s">
        <v>398</v>
      </c>
      <c r="C399" s="12">
        <v>367</v>
      </c>
      <c r="D399" s="11" t="str">
        <f>_xlfn.IFNA(IF(VLOOKUP(Tabela2[[#This Row],[CÓDIGO]],Aguardando_exclusão!A$4:A$4003,1,FALSE),"sim",""),"")</f>
        <v/>
      </c>
    </row>
    <row r="400" spans="1:4" ht="15" customHeight="1" x14ac:dyDescent="0.3">
      <c r="A400" s="15">
        <v>37519</v>
      </c>
      <c r="B400" s="17" t="s">
        <v>399</v>
      </c>
      <c r="C400" s="12">
        <v>367</v>
      </c>
      <c r="D400" s="11" t="str">
        <f>_xlfn.IFNA(IF(VLOOKUP(Tabela2[[#This Row],[CÓDIGO]],Aguardando_exclusão!A$4:A$4003,1,FALSE),"sim",""),"")</f>
        <v/>
      </c>
    </row>
    <row r="401" spans="1:4" x14ac:dyDescent="0.3">
      <c r="A401" s="15">
        <v>37528</v>
      </c>
      <c r="B401" s="17" t="s">
        <v>400</v>
      </c>
      <c r="C401" s="12">
        <v>367</v>
      </c>
      <c r="D401" s="11" t="str">
        <f>_xlfn.IFNA(IF(VLOOKUP(Tabela2[[#This Row],[CÓDIGO]],Aguardando_exclusão!A$4:A$4003,1,FALSE),"sim",""),"")</f>
        <v/>
      </c>
    </row>
    <row r="402" spans="1:4" x14ac:dyDescent="0.3">
      <c r="A402" s="15">
        <v>37847</v>
      </c>
      <c r="B402" s="17" t="s">
        <v>401</v>
      </c>
      <c r="C402" s="12">
        <v>367</v>
      </c>
      <c r="D402" s="11" t="str">
        <f>_xlfn.IFNA(IF(VLOOKUP(Tabela2[[#This Row],[CÓDIGO]],Aguardando_exclusão!A$4:A$4003,1,FALSE),"sim",""),"")</f>
        <v/>
      </c>
    </row>
    <row r="403" spans="1:4" ht="15" customHeight="1" x14ac:dyDescent="0.3">
      <c r="A403" s="15">
        <v>38079</v>
      </c>
      <c r="B403" s="17" t="s">
        <v>402</v>
      </c>
      <c r="C403" s="12">
        <v>367</v>
      </c>
      <c r="D403" s="11" t="str">
        <f>_xlfn.IFNA(IF(VLOOKUP(Tabela2[[#This Row],[CÓDIGO]],Aguardando_exclusão!A$4:A$4003,1,FALSE),"sim",""),"")</f>
        <v>sim</v>
      </c>
    </row>
    <row r="404" spans="1:4" ht="15" customHeight="1" x14ac:dyDescent="0.3">
      <c r="A404" s="15">
        <v>38534</v>
      </c>
      <c r="B404" s="17" t="s">
        <v>403</v>
      </c>
      <c r="C404" s="12">
        <v>367</v>
      </c>
      <c r="D404" s="11" t="str">
        <f>_xlfn.IFNA(IF(VLOOKUP(Tabela2[[#This Row],[CÓDIGO]],Aguardando_exclusão!A$4:A$4003,1,FALSE),"sim",""),"")</f>
        <v/>
      </c>
    </row>
    <row r="405" spans="1:4" ht="15" customHeight="1" x14ac:dyDescent="0.3">
      <c r="A405" s="15">
        <v>38648</v>
      </c>
      <c r="B405" s="17" t="s">
        <v>404</v>
      </c>
      <c r="C405" s="12">
        <v>367</v>
      </c>
      <c r="D405" s="11" t="str">
        <f>_xlfn.IFNA(IF(VLOOKUP(Tabela2[[#This Row],[CÓDIGO]],Aguardando_exclusão!A$4:A$4003,1,FALSE),"sim",""),"")</f>
        <v/>
      </c>
    </row>
    <row r="406" spans="1:4" ht="15" customHeight="1" x14ac:dyDescent="0.3">
      <c r="A406" s="15">
        <v>38930</v>
      </c>
      <c r="B406" s="17" t="s">
        <v>405</v>
      </c>
      <c r="C406" s="12">
        <v>367</v>
      </c>
      <c r="D406" s="11" t="str">
        <f>_xlfn.IFNA(IF(VLOOKUP(Tabela2[[#This Row],[CÓDIGO]],Aguardando_exclusão!A$4:A$4003,1,FALSE),"sim",""),"")</f>
        <v/>
      </c>
    </row>
    <row r="407" spans="1:4" ht="15" customHeight="1" x14ac:dyDescent="0.3">
      <c r="A407" s="15">
        <v>39378</v>
      </c>
      <c r="B407" s="17" t="s">
        <v>406</v>
      </c>
      <c r="C407" s="12">
        <v>367</v>
      </c>
      <c r="D407" s="11" t="str">
        <f>_xlfn.IFNA(IF(VLOOKUP(Tabela2[[#This Row],[CÓDIGO]],Aguardando_exclusão!A$4:A$4003,1,FALSE),"sim",""),"")</f>
        <v/>
      </c>
    </row>
    <row r="408" spans="1:4" ht="15" customHeight="1" x14ac:dyDescent="0.3">
      <c r="A408" s="15">
        <v>40086</v>
      </c>
      <c r="B408" s="17" t="s">
        <v>407</v>
      </c>
      <c r="C408" s="12">
        <v>367</v>
      </c>
      <c r="D408" s="11" t="str">
        <f>_xlfn.IFNA(IF(VLOOKUP(Tabela2[[#This Row],[CÓDIGO]],Aguardando_exclusão!A$4:A$4003,1,FALSE),"sim",""),"")</f>
        <v/>
      </c>
    </row>
    <row r="409" spans="1:4" x14ac:dyDescent="0.3">
      <c r="A409" s="15">
        <v>40251</v>
      </c>
      <c r="B409" s="17" t="s">
        <v>408</v>
      </c>
      <c r="C409" s="12">
        <v>367</v>
      </c>
      <c r="D409" s="11" t="str">
        <f>_xlfn.IFNA(IF(VLOOKUP(Tabela2[[#This Row],[CÓDIGO]],Aguardando_exclusão!A$4:A$4003,1,FALSE),"sim",""),"")</f>
        <v/>
      </c>
    </row>
    <row r="410" spans="1:4" ht="15" customHeight="1" x14ac:dyDescent="0.3">
      <c r="A410" s="15">
        <v>40685</v>
      </c>
      <c r="B410" s="17" t="s">
        <v>409</v>
      </c>
      <c r="C410" s="12">
        <v>367</v>
      </c>
      <c r="D410" s="11" t="str">
        <f>_xlfn.IFNA(IF(VLOOKUP(Tabela2[[#This Row],[CÓDIGO]],Aguardando_exclusão!A$4:A$4003,1,FALSE),"sim",""),"")</f>
        <v/>
      </c>
    </row>
    <row r="411" spans="1:4" ht="15" customHeight="1" x14ac:dyDescent="0.3">
      <c r="A411" s="15">
        <v>40688</v>
      </c>
      <c r="B411" s="17" t="s">
        <v>410</v>
      </c>
      <c r="C411" s="12">
        <v>367</v>
      </c>
      <c r="D411" s="11" t="str">
        <f>_xlfn.IFNA(IF(VLOOKUP(Tabela2[[#This Row],[CÓDIGO]],Aguardando_exclusão!A$4:A$4003,1,FALSE),"sim",""),"")</f>
        <v>sim</v>
      </c>
    </row>
    <row r="412" spans="1:4" x14ac:dyDescent="0.3">
      <c r="A412" s="15">
        <v>40689</v>
      </c>
      <c r="B412" s="17" t="s">
        <v>411</v>
      </c>
      <c r="C412" s="12">
        <v>367</v>
      </c>
      <c r="D412" s="11" t="str">
        <f>_xlfn.IFNA(IF(VLOOKUP(Tabela2[[#This Row],[CÓDIGO]],Aguardando_exclusão!A$4:A$4003,1,FALSE),"sim",""),"")</f>
        <v>sim</v>
      </c>
    </row>
    <row r="413" spans="1:4" ht="15" customHeight="1" x14ac:dyDescent="0.3">
      <c r="A413" s="15">
        <v>40772</v>
      </c>
      <c r="B413" s="17" t="s">
        <v>412</v>
      </c>
      <c r="C413" s="12">
        <v>367</v>
      </c>
      <c r="D413" s="11" t="str">
        <f>_xlfn.IFNA(IF(VLOOKUP(Tabela2[[#This Row],[CÓDIGO]],Aguardando_exclusão!A$4:A$4003,1,FALSE),"sim",""),"")</f>
        <v/>
      </c>
    </row>
    <row r="414" spans="1:4" ht="15" customHeight="1" x14ac:dyDescent="0.3">
      <c r="A414" s="15">
        <v>42566</v>
      </c>
      <c r="B414" s="17" t="s">
        <v>413</v>
      </c>
      <c r="C414" s="12">
        <v>367</v>
      </c>
      <c r="D414" s="11" t="str">
        <f>_xlfn.IFNA(IF(VLOOKUP(Tabela2[[#This Row],[CÓDIGO]],Aguardando_exclusão!A$4:A$4003,1,FALSE),"sim",""),"")</f>
        <v/>
      </c>
    </row>
    <row r="415" spans="1:4" ht="15" customHeight="1" x14ac:dyDescent="0.3">
      <c r="A415" s="15">
        <v>42681</v>
      </c>
      <c r="B415" s="17" t="s">
        <v>414</v>
      </c>
      <c r="C415" s="12">
        <v>367</v>
      </c>
      <c r="D415" s="11" t="str">
        <f>_xlfn.IFNA(IF(VLOOKUP(Tabela2[[#This Row],[CÓDIGO]],Aguardando_exclusão!A$4:A$4003,1,FALSE),"sim",""),"")</f>
        <v/>
      </c>
    </row>
    <row r="416" spans="1:4" x14ac:dyDescent="0.3">
      <c r="A416" s="15">
        <v>42854</v>
      </c>
      <c r="B416" s="17" t="s">
        <v>415</v>
      </c>
      <c r="C416" s="12">
        <v>367</v>
      </c>
      <c r="D416" s="11" t="str">
        <f>_xlfn.IFNA(IF(VLOOKUP(Tabela2[[#This Row],[CÓDIGO]],Aguardando_exclusão!A$4:A$4003,1,FALSE),"sim",""),"")</f>
        <v/>
      </c>
    </row>
    <row r="417" spans="1:4" ht="15" customHeight="1" x14ac:dyDescent="0.3">
      <c r="A417" s="15">
        <v>43648</v>
      </c>
      <c r="B417" s="17" t="s">
        <v>416</v>
      </c>
      <c r="C417" s="12">
        <v>367</v>
      </c>
      <c r="D417" s="11" t="str">
        <f>_xlfn.IFNA(IF(VLOOKUP(Tabela2[[#This Row],[CÓDIGO]],Aguardando_exclusão!A$4:A$4003,1,FALSE),"sim",""),"")</f>
        <v>sim</v>
      </c>
    </row>
    <row r="418" spans="1:4" x14ac:dyDescent="0.3">
      <c r="A418" s="15">
        <v>43794</v>
      </c>
      <c r="B418" s="17" t="s">
        <v>417</v>
      </c>
      <c r="C418" s="12">
        <v>367</v>
      </c>
      <c r="D418" s="11" t="str">
        <f>_xlfn.IFNA(IF(VLOOKUP(Tabela2[[#This Row],[CÓDIGO]],Aguardando_exclusão!A$4:A$4003,1,FALSE),"sim",""),"")</f>
        <v>sim</v>
      </c>
    </row>
    <row r="419" spans="1:4" ht="15" customHeight="1" x14ac:dyDescent="0.3">
      <c r="A419" s="15">
        <v>44398</v>
      </c>
      <c r="B419" s="17" t="s">
        <v>418</v>
      </c>
      <c r="C419" s="12">
        <v>367</v>
      </c>
      <c r="D419" s="11" t="str">
        <f>_xlfn.IFNA(IF(VLOOKUP(Tabela2[[#This Row],[CÓDIGO]],Aguardando_exclusão!A$4:A$4003,1,FALSE),"sim",""),"")</f>
        <v/>
      </c>
    </row>
    <row r="420" spans="1:4" ht="15" customHeight="1" x14ac:dyDescent="0.3">
      <c r="A420" s="15">
        <v>44789</v>
      </c>
      <c r="B420" s="17" t="s">
        <v>419</v>
      </c>
      <c r="C420" s="12">
        <v>367</v>
      </c>
      <c r="D420" s="11" t="str">
        <f>_xlfn.IFNA(IF(VLOOKUP(Tabela2[[#This Row],[CÓDIGO]],Aguardando_exclusão!A$4:A$4003,1,FALSE),"sim",""),"")</f>
        <v/>
      </c>
    </row>
    <row r="421" spans="1:4" ht="15" customHeight="1" x14ac:dyDescent="0.3">
      <c r="A421" s="15">
        <v>45067</v>
      </c>
      <c r="B421" s="17" t="s">
        <v>420</v>
      </c>
      <c r="C421" s="12">
        <v>367</v>
      </c>
      <c r="D421" s="11" t="str">
        <f>_xlfn.IFNA(IF(VLOOKUP(Tabela2[[#This Row],[CÓDIGO]],Aguardando_exclusão!A$4:A$4003,1,FALSE),"sim",""),"")</f>
        <v>sim</v>
      </c>
    </row>
    <row r="422" spans="1:4" x14ac:dyDescent="0.3">
      <c r="A422" s="15">
        <v>45195</v>
      </c>
      <c r="B422" s="17" t="s">
        <v>421</v>
      </c>
      <c r="C422" s="12">
        <v>367</v>
      </c>
      <c r="D422" s="11" t="str">
        <f>_xlfn.IFNA(IF(VLOOKUP(Tabela2[[#This Row],[CÓDIGO]],Aguardando_exclusão!A$4:A$4003,1,FALSE),"sim",""),"")</f>
        <v>sim</v>
      </c>
    </row>
    <row r="423" spans="1:4" x14ac:dyDescent="0.3">
      <c r="A423" s="15">
        <v>45607</v>
      </c>
      <c r="B423" s="17" t="s">
        <v>422</v>
      </c>
      <c r="C423" s="12">
        <v>367</v>
      </c>
      <c r="D423" s="11" t="str">
        <f>_xlfn.IFNA(IF(VLOOKUP(Tabela2[[#This Row],[CÓDIGO]],Aguardando_exclusão!A$4:A$4003,1,FALSE),"sim",""),"")</f>
        <v>sim</v>
      </c>
    </row>
    <row r="424" spans="1:4" x14ac:dyDescent="0.3">
      <c r="A424" s="15">
        <v>45637</v>
      </c>
      <c r="B424" s="17" t="s">
        <v>423</v>
      </c>
      <c r="C424" s="12">
        <v>367</v>
      </c>
      <c r="D424" s="11" t="str">
        <f>_xlfn.IFNA(IF(VLOOKUP(Tabela2[[#This Row],[CÓDIGO]],Aguardando_exclusão!A$4:A$4003,1,FALSE),"sim",""),"")</f>
        <v/>
      </c>
    </row>
    <row r="425" spans="1:4" ht="15" customHeight="1" x14ac:dyDescent="0.3">
      <c r="A425" s="15">
        <v>45651</v>
      </c>
      <c r="B425" s="17" t="s">
        <v>424</v>
      </c>
      <c r="C425" s="12">
        <v>367</v>
      </c>
      <c r="D425" s="11" t="str">
        <f>_xlfn.IFNA(IF(VLOOKUP(Tabela2[[#This Row],[CÓDIGO]],Aguardando_exclusão!A$4:A$4003,1,FALSE),"sim",""),"")</f>
        <v>sim</v>
      </c>
    </row>
    <row r="426" spans="1:4" ht="15" customHeight="1" x14ac:dyDescent="0.3">
      <c r="A426" s="15">
        <v>46420</v>
      </c>
      <c r="B426" s="17" t="s">
        <v>425</v>
      </c>
      <c r="C426" s="12">
        <v>367</v>
      </c>
      <c r="D426" s="11" t="str">
        <f>_xlfn.IFNA(IF(VLOOKUP(Tabela2[[#This Row],[CÓDIGO]],Aguardando_exclusão!A$4:A$4003,1,FALSE),"sim",""),"")</f>
        <v/>
      </c>
    </row>
    <row r="427" spans="1:4" ht="15" customHeight="1" x14ac:dyDescent="0.3">
      <c r="A427" s="15">
        <v>47447</v>
      </c>
      <c r="B427" s="17" t="s">
        <v>426</v>
      </c>
      <c r="C427" s="12">
        <v>367</v>
      </c>
      <c r="D427" s="11" t="str">
        <f>_xlfn.IFNA(IF(VLOOKUP(Tabela2[[#This Row],[CÓDIGO]],Aguardando_exclusão!A$4:A$4003,1,FALSE),"sim",""),"")</f>
        <v/>
      </c>
    </row>
    <row r="428" spans="1:4" ht="15" customHeight="1" x14ac:dyDescent="0.3">
      <c r="A428" s="15">
        <v>48178</v>
      </c>
      <c r="B428" s="17" t="s">
        <v>427</v>
      </c>
      <c r="C428" s="12">
        <v>367</v>
      </c>
      <c r="D428" s="11" t="str">
        <f>_xlfn.IFNA(IF(VLOOKUP(Tabela2[[#This Row],[CÓDIGO]],Aguardando_exclusão!A$4:A$4003,1,FALSE),"sim",""),"")</f>
        <v>sim</v>
      </c>
    </row>
    <row r="429" spans="1:4" x14ac:dyDescent="0.3">
      <c r="A429" s="15">
        <v>48714</v>
      </c>
      <c r="B429" s="17" t="s">
        <v>428</v>
      </c>
      <c r="C429" s="12">
        <v>367</v>
      </c>
      <c r="D429" s="11" t="str">
        <f>_xlfn.IFNA(IF(VLOOKUP(Tabela2[[#This Row],[CÓDIGO]],Aguardando_exclusão!A$4:A$4003,1,FALSE),"sim",""),"")</f>
        <v>sim</v>
      </c>
    </row>
    <row r="430" spans="1:4" ht="15" customHeight="1" x14ac:dyDescent="0.3">
      <c r="A430" s="15">
        <v>48901</v>
      </c>
      <c r="B430" s="17" t="s">
        <v>429</v>
      </c>
      <c r="C430" s="12">
        <v>367</v>
      </c>
      <c r="D430" s="11" t="str">
        <f>_xlfn.IFNA(IF(VLOOKUP(Tabela2[[#This Row],[CÓDIGO]],Aguardando_exclusão!A$4:A$4003,1,FALSE),"sim",""),"")</f>
        <v/>
      </c>
    </row>
    <row r="431" spans="1:4" x14ac:dyDescent="0.3">
      <c r="A431" s="15">
        <v>49033</v>
      </c>
      <c r="B431" s="17" t="s">
        <v>430</v>
      </c>
      <c r="C431" s="12">
        <v>367</v>
      </c>
      <c r="D431" s="11" t="str">
        <f>_xlfn.IFNA(IF(VLOOKUP(Tabela2[[#This Row],[CÓDIGO]],Aguardando_exclusão!A$4:A$4003,1,FALSE),"sim",""),"")</f>
        <v/>
      </c>
    </row>
    <row r="432" spans="1:4" x14ac:dyDescent="0.3">
      <c r="A432" s="15">
        <v>49099</v>
      </c>
      <c r="B432" s="17" t="s">
        <v>431</v>
      </c>
      <c r="C432" s="12">
        <v>367</v>
      </c>
      <c r="D432" s="11" t="str">
        <f>_xlfn.IFNA(IF(VLOOKUP(Tabela2[[#This Row],[CÓDIGO]],Aguardando_exclusão!A$4:A$4003,1,FALSE),"sim",""),"")</f>
        <v>sim</v>
      </c>
    </row>
    <row r="433" spans="1:4" ht="15" customHeight="1" x14ac:dyDescent="0.3">
      <c r="A433" s="15">
        <v>49184</v>
      </c>
      <c r="B433" s="17" t="s">
        <v>432</v>
      </c>
      <c r="C433" s="12">
        <v>367</v>
      </c>
      <c r="D433" s="11" t="str">
        <f>_xlfn.IFNA(IF(VLOOKUP(Tabela2[[#This Row],[CÓDIGO]],Aguardando_exclusão!A$4:A$4003,1,FALSE),"sim",""),"")</f>
        <v>sim</v>
      </c>
    </row>
    <row r="434" spans="1:4" ht="15" customHeight="1" x14ac:dyDescent="0.3">
      <c r="A434" s="15">
        <v>49188</v>
      </c>
      <c r="B434" s="17" t="s">
        <v>433</v>
      </c>
      <c r="C434" s="12">
        <v>367</v>
      </c>
      <c r="D434" s="11" t="str">
        <f>_xlfn.IFNA(IF(VLOOKUP(Tabela2[[#This Row],[CÓDIGO]],Aguardando_exclusão!A$4:A$4003,1,FALSE),"sim",""),"")</f>
        <v>sim</v>
      </c>
    </row>
    <row r="435" spans="1:4" ht="15" customHeight="1" x14ac:dyDescent="0.3">
      <c r="A435" s="15">
        <v>49254</v>
      </c>
      <c r="B435" s="17" t="s">
        <v>434</v>
      </c>
      <c r="C435" s="12">
        <v>367</v>
      </c>
      <c r="D435" s="11" t="str">
        <f>_xlfn.IFNA(IF(VLOOKUP(Tabela2[[#This Row],[CÓDIGO]],Aguardando_exclusão!A$4:A$4003,1,FALSE),"sim",""),"")</f>
        <v/>
      </c>
    </row>
    <row r="436" spans="1:4" ht="15" customHeight="1" x14ac:dyDescent="0.3">
      <c r="A436" s="15">
        <v>49695</v>
      </c>
      <c r="B436" s="17" t="s">
        <v>435</v>
      </c>
      <c r="C436" s="12">
        <v>367</v>
      </c>
      <c r="D436" s="11" t="str">
        <f>_xlfn.IFNA(IF(VLOOKUP(Tabela2[[#This Row],[CÓDIGO]],Aguardando_exclusão!A$4:A$4003,1,FALSE),"sim",""),"")</f>
        <v/>
      </c>
    </row>
    <row r="437" spans="1:4" x14ac:dyDescent="0.3">
      <c r="A437" s="15">
        <v>49858</v>
      </c>
      <c r="B437" s="17" t="s">
        <v>436</v>
      </c>
      <c r="C437" s="12">
        <v>367</v>
      </c>
      <c r="D437" s="11" t="str">
        <f>_xlfn.IFNA(IF(VLOOKUP(Tabela2[[#This Row],[CÓDIGO]],Aguardando_exclusão!A$4:A$4003,1,FALSE),"sim",""),"")</f>
        <v/>
      </c>
    </row>
    <row r="438" spans="1:4" x14ac:dyDescent="0.3">
      <c r="A438" s="15">
        <v>49864</v>
      </c>
      <c r="B438" s="17" t="s">
        <v>437</v>
      </c>
      <c r="C438" s="12">
        <v>367</v>
      </c>
      <c r="D438" s="11" t="str">
        <f>_xlfn.IFNA(IF(VLOOKUP(Tabela2[[#This Row],[CÓDIGO]],Aguardando_exclusão!A$4:A$4003,1,FALSE),"sim",""),"")</f>
        <v>sim</v>
      </c>
    </row>
    <row r="439" spans="1:4" ht="15" customHeight="1" x14ac:dyDescent="0.3">
      <c r="A439" s="15">
        <v>49866</v>
      </c>
      <c r="B439" s="17" t="s">
        <v>438</v>
      </c>
      <c r="C439" s="12">
        <v>367</v>
      </c>
      <c r="D439" s="11" t="str">
        <f>_xlfn.IFNA(IF(VLOOKUP(Tabela2[[#This Row],[CÓDIGO]],Aguardando_exclusão!A$4:A$4003,1,FALSE),"sim",""),"")</f>
        <v>sim</v>
      </c>
    </row>
    <row r="440" spans="1:4" x14ac:dyDescent="0.3">
      <c r="A440" s="15">
        <v>49867</v>
      </c>
      <c r="B440" s="17" t="s">
        <v>439</v>
      </c>
      <c r="C440" s="12">
        <v>367</v>
      </c>
      <c r="D440" s="11" t="str">
        <f>_xlfn.IFNA(IF(VLOOKUP(Tabela2[[#This Row],[CÓDIGO]],Aguardando_exclusão!A$4:A$4003,1,FALSE),"sim",""),"")</f>
        <v>sim</v>
      </c>
    </row>
    <row r="441" spans="1:4" x14ac:dyDescent="0.3">
      <c r="A441" s="15">
        <v>49984</v>
      </c>
      <c r="B441" s="17" t="s">
        <v>440</v>
      </c>
      <c r="C441" s="12">
        <v>367</v>
      </c>
      <c r="D441" s="11" t="str">
        <f>_xlfn.IFNA(IF(VLOOKUP(Tabela2[[#This Row],[CÓDIGO]],Aguardando_exclusão!A$4:A$4003,1,FALSE),"sim",""),"")</f>
        <v>sim</v>
      </c>
    </row>
    <row r="442" spans="1:4" x14ac:dyDescent="0.3">
      <c r="A442" s="15">
        <v>49988</v>
      </c>
      <c r="B442" s="17" t="s">
        <v>440</v>
      </c>
      <c r="C442" s="12">
        <v>367</v>
      </c>
      <c r="D442" s="11" t="str">
        <f>_xlfn.IFNA(IF(VLOOKUP(Tabela2[[#This Row],[CÓDIGO]],Aguardando_exclusão!A$4:A$4003,1,FALSE),"sim",""),"")</f>
        <v>sim</v>
      </c>
    </row>
    <row r="443" spans="1:4" x14ac:dyDescent="0.3">
      <c r="A443" s="15">
        <v>50294</v>
      </c>
      <c r="B443" s="17" t="s">
        <v>441</v>
      </c>
      <c r="C443" s="12">
        <v>367</v>
      </c>
      <c r="D443" s="11" t="str">
        <f>_xlfn.IFNA(IF(VLOOKUP(Tabela2[[#This Row],[CÓDIGO]],Aguardando_exclusão!A$4:A$4003,1,FALSE),"sim",""),"")</f>
        <v>sim</v>
      </c>
    </row>
    <row r="444" spans="1:4" ht="15" customHeight="1" x14ac:dyDescent="0.3">
      <c r="A444" s="15">
        <v>50475</v>
      </c>
      <c r="B444" s="17" t="s">
        <v>442</v>
      </c>
      <c r="C444" s="12">
        <v>367</v>
      </c>
      <c r="D444" s="11" t="str">
        <f>_xlfn.IFNA(IF(VLOOKUP(Tabela2[[#This Row],[CÓDIGO]],Aguardando_exclusão!A$4:A$4003,1,FALSE),"sim",""),"")</f>
        <v/>
      </c>
    </row>
    <row r="445" spans="1:4" x14ac:dyDescent="0.3">
      <c r="A445" s="15">
        <v>50476</v>
      </c>
      <c r="B445" s="17" t="s">
        <v>443</v>
      </c>
      <c r="C445" s="12">
        <v>367</v>
      </c>
      <c r="D445" s="11" t="str">
        <f>_xlfn.IFNA(IF(VLOOKUP(Tabela2[[#This Row],[CÓDIGO]],Aguardando_exclusão!A$4:A$4003,1,FALSE),"sim",""),"")</f>
        <v>sim</v>
      </c>
    </row>
    <row r="446" spans="1:4" x14ac:dyDescent="0.3">
      <c r="A446" s="15">
        <v>50591</v>
      </c>
      <c r="B446" s="17" t="s">
        <v>444</v>
      </c>
      <c r="C446" s="12">
        <v>367</v>
      </c>
      <c r="D446" s="11" t="str">
        <f>_xlfn.IFNA(IF(VLOOKUP(Tabela2[[#This Row],[CÓDIGO]],Aguardando_exclusão!A$4:A$4003,1,FALSE),"sim",""),"")</f>
        <v/>
      </c>
    </row>
    <row r="447" spans="1:4" x14ac:dyDescent="0.3">
      <c r="A447" s="15">
        <v>50797</v>
      </c>
      <c r="B447" s="17" t="s">
        <v>445</v>
      </c>
      <c r="C447" s="12">
        <v>367</v>
      </c>
      <c r="D447" s="11" t="str">
        <f>_xlfn.IFNA(IF(VLOOKUP(Tabela2[[#This Row],[CÓDIGO]],Aguardando_exclusão!A$4:A$4003,1,FALSE),"sim",""),"")</f>
        <v/>
      </c>
    </row>
    <row r="448" spans="1:4" x14ac:dyDescent="0.3">
      <c r="A448" s="15">
        <v>51013</v>
      </c>
      <c r="B448" s="17" t="s">
        <v>446</v>
      </c>
      <c r="C448" s="12">
        <v>367</v>
      </c>
      <c r="D448" s="11" t="str">
        <f>_xlfn.IFNA(IF(VLOOKUP(Tabela2[[#This Row],[CÓDIGO]],Aguardando_exclusão!A$4:A$4003,1,FALSE),"sim",""),"")</f>
        <v>sim</v>
      </c>
    </row>
    <row r="449" spans="1:4" ht="15" customHeight="1" x14ac:dyDescent="0.3">
      <c r="A449" s="15">
        <v>51222</v>
      </c>
      <c r="B449" s="17" t="s">
        <v>447</v>
      </c>
      <c r="C449" s="12">
        <v>367</v>
      </c>
      <c r="D449" s="11" t="str">
        <f>_xlfn.IFNA(IF(VLOOKUP(Tabela2[[#This Row],[CÓDIGO]],Aguardando_exclusão!A$4:A$4003,1,FALSE),"sim",""),"")</f>
        <v/>
      </c>
    </row>
    <row r="450" spans="1:4" x14ac:dyDescent="0.3">
      <c r="A450" s="15">
        <v>51223</v>
      </c>
      <c r="B450" s="17" t="s">
        <v>448</v>
      </c>
      <c r="C450" s="12">
        <v>367</v>
      </c>
      <c r="D450" s="11" t="str">
        <f>_xlfn.IFNA(IF(VLOOKUP(Tabela2[[#This Row],[CÓDIGO]],Aguardando_exclusão!A$4:A$4003,1,FALSE),"sim",""),"")</f>
        <v>sim</v>
      </c>
    </row>
    <row r="451" spans="1:4" x14ac:dyDescent="0.3">
      <c r="A451" s="15">
        <v>51579</v>
      </c>
      <c r="B451" s="17" t="s">
        <v>449</v>
      </c>
      <c r="C451" s="12">
        <v>367</v>
      </c>
      <c r="D451" s="11" t="str">
        <f>_xlfn.IFNA(IF(VLOOKUP(Tabela2[[#This Row],[CÓDIGO]],Aguardando_exclusão!A$4:A$4003,1,FALSE),"sim",""),"")</f>
        <v/>
      </c>
    </row>
    <row r="452" spans="1:4" x14ac:dyDescent="0.3">
      <c r="A452" s="15">
        <v>52129</v>
      </c>
      <c r="B452" s="17" t="s">
        <v>450</v>
      </c>
      <c r="C452" s="12">
        <v>367</v>
      </c>
      <c r="D452" s="11" t="str">
        <f>_xlfn.IFNA(IF(VLOOKUP(Tabela2[[#This Row],[CÓDIGO]],Aguardando_exclusão!A$4:A$4003,1,FALSE),"sim",""),"")</f>
        <v/>
      </c>
    </row>
    <row r="453" spans="1:4" x14ac:dyDescent="0.3">
      <c r="A453" s="15">
        <v>52994</v>
      </c>
      <c r="B453" s="17" t="s">
        <v>451</v>
      </c>
      <c r="C453" s="12">
        <v>367</v>
      </c>
      <c r="D453" s="11" t="str">
        <f>_xlfn.IFNA(IF(VLOOKUP(Tabela2[[#This Row],[CÓDIGO]],Aguardando_exclusão!A$4:A$4003,1,FALSE),"sim",""),"")</f>
        <v/>
      </c>
    </row>
    <row r="454" spans="1:4" x14ac:dyDescent="0.3">
      <c r="A454" s="15">
        <v>52995</v>
      </c>
      <c r="B454" s="17" t="s">
        <v>452</v>
      </c>
      <c r="C454" s="12">
        <v>367</v>
      </c>
      <c r="D454" s="11" t="str">
        <f>_xlfn.IFNA(IF(VLOOKUP(Tabela2[[#This Row],[CÓDIGO]],Aguardando_exclusão!A$4:A$4003,1,FALSE),"sim",""),"")</f>
        <v>sim</v>
      </c>
    </row>
    <row r="455" spans="1:4" ht="15" customHeight="1" x14ac:dyDescent="0.3">
      <c r="A455" s="15">
        <v>53446</v>
      </c>
      <c r="B455" s="17" t="s">
        <v>453</v>
      </c>
      <c r="C455" s="12">
        <v>367</v>
      </c>
      <c r="D455" s="11" t="str">
        <f>_xlfn.IFNA(IF(VLOOKUP(Tabela2[[#This Row],[CÓDIGO]],Aguardando_exclusão!A$4:A$4003,1,FALSE),"sim",""),"")</f>
        <v/>
      </c>
    </row>
    <row r="456" spans="1:4" x14ac:dyDescent="0.3">
      <c r="A456" s="15">
        <v>53810</v>
      </c>
      <c r="B456" s="17" t="s">
        <v>454</v>
      </c>
      <c r="C456" s="12">
        <v>367</v>
      </c>
      <c r="D456" s="11" t="str">
        <f>_xlfn.IFNA(IF(VLOOKUP(Tabela2[[#This Row],[CÓDIGO]],Aguardando_exclusão!A$4:A$4003,1,FALSE),"sim",""),"")</f>
        <v>sim</v>
      </c>
    </row>
    <row r="457" spans="1:4" x14ac:dyDescent="0.3">
      <c r="A457" s="15">
        <v>53813</v>
      </c>
      <c r="B457" s="17" t="s">
        <v>455</v>
      </c>
      <c r="C457" s="12">
        <v>367</v>
      </c>
      <c r="D457" s="11" t="str">
        <f>_xlfn.IFNA(IF(VLOOKUP(Tabela2[[#This Row],[CÓDIGO]],Aguardando_exclusão!A$4:A$4003,1,FALSE),"sim",""),"")</f>
        <v/>
      </c>
    </row>
    <row r="458" spans="1:4" x14ac:dyDescent="0.3">
      <c r="A458" s="15">
        <v>53814</v>
      </c>
      <c r="B458" s="17" t="s">
        <v>456</v>
      </c>
      <c r="C458" s="12">
        <v>367</v>
      </c>
      <c r="D458" s="11" t="str">
        <f>_xlfn.IFNA(IF(VLOOKUP(Tabela2[[#This Row],[CÓDIGO]],Aguardando_exclusão!A$4:A$4003,1,FALSE),"sim",""),"")</f>
        <v/>
      </c>
    </row>
    <row r="459" spans="1:4" x14ac:dyDescent="0.3">
      <c r="A459" s="15">
        <v>53849</v>
      </c>
      <c r="B459" s="17" t="s">
        <v>457</v>
      </c>
      <c r="C459" s="12">
        <v>367</v>
      </c>
      <c r="D459" s="11" t="str">
        <f>_xlfn.IFNA(IF(VLOOKUP(Tabela2[[#This Row],[CÓDIGO]],Aguardando_exclusão!A$4:A$4003,1,FALSE),"sim",""),"")</f>
        <v/>
      </c>
    </row>
    <row r="460" spans="1:4" x14ac:dyDescent="0.3">
      <c r="A460" s="15">
        <v>54017</v>
      </c>
      <c r="B460" s="17" t="s">
        <v>458</v>
      </c>
      <c r="C460" s="12">
        <v>367</v>
      </c>
      <c r="D460" s="11" t="str">
        <f>_xlfn.IFNA(IF(VLOOKUP(Tabela2[[#This Row],[CÓDIGO]],Aguardando_exclusão!A$4:A$4003,1,FALSE),"sim",""),"")</f>
        <v/>
      </c>
    </row>
    <row r="461" spans="1:4" x14ac:dyDescent="0.3">
      <c r="A461" s="15">
        <v>54018</v>
      </c>
      <c r="B461" s="17" t="s">
        <v>459</v>
      </c>
      <c r="C461" s="12">
        <v>367</v>
      </c>
      <c r="D461" s="11" t="str">
        <f>_xlfn.IFNA(IF(VLOOKUP(Tabela2[[#This Row],[CÓDIGO]],Aguardando_exclusão!A$4:A$4003,1,FALSE),"sim",""),"")</f>
        <v/>
      </c>
    </row>
    <row r="462" spans="1:4" ht="15" customHeight="1" x14ac:dyDescent="0.3">
      <c r="A462" s="15">
        <v>54019</v>
      </c>
      <c r="B462" s="17" t="s">
        <v>460</v>
      </c>
      <c r="C462" s="12">
        <v>367</v>
      </c>
      <c r="D462" s="11" t="str">
        <f>_xlfn.IFNA(IF(VLOOKUP(Tabela2[[#This Row],[CÓDIGO]],Aguardando_exclusão!A$4:A$4003,1,FALSE),"sim",""),"")</f>
        <v/>
      </c>
    </row>
    <row r="463" spans="1:4" x14ac:dyDescent="0.3">
      <c r="A463" s="15">
        <v>54026</v>
      </c>
      <c r="B463" s="17" t="s">
        <v>461</v>
      </c>
      <c r="C463" s="12">
        <v>367</v>
      </c>
      <c r="D463" s="11" t="str">
        <f>_xlfn.IFNA(IF(VLOOKUP(Tabela2[[#This Row],[CÓDIGO]],Aguardando_exclusão!A$4:A$4003,1,FALSE),"sim",""),"")</f>
        <v/>
      </c>
    </row>
    <row r="464" spans="1:4" x14ac:dyDescent="0.3">
      <c r="A464" s="15">
        <v>54029</v>
      </c>
      <c r="B464" s="17" t="s">
        <v>462</v>
      </c>
      <c r="C464" s="12">
        <v>367</v>
      </c>
      <c r="D464" s="11" t="str">
        <f>_xlfn.IFNA(IF(VLOOKUP(Tabela2[[#This Row],[CÓDIGO]],Aguardando_exclusão!A$4:A$4003,1,FALSE),"sim",""),"")</f>
        <v/>
      </c>
    </row>
    <row r="465" spans="1:4" x14ac:dyDescent="0.3">
      <c r="A465" s="15">
        <v>54032</v>
      </c>
      <c r="B465" s="17" t="s">
        <v>463</v>
      </c>
      <c r="C465" s="12">
        <v>367</v>
      </c>
      <c r="D465" s="11" t="str">
        <f>_xlfn.IFNA(IF(VLOOKUP(Tabela2[[#This Row],[CÓDIGO]],Aguardando_exclusão!A$4:A$4003,1,FALSE),"sim",""),"")</f>
        <v/>
      </c>
    </row>
    <row r="466" spans="1:4" x14ac:dyDescent="0.3">
      <c r="A466" s="15">
        <v>54144</v>
      </c>
      <c r="B466" s="17" t="s">
        <v>464</v>
      </c>
      <c r="C466" s="12">
        <v>367</v>
      </c>
      <c r="D466" s="11" t="str">
        <f>_xlfn.IFNA(IF(VLOOKUP(Tabela2[[#This Row],[CÓDIGO]],Aguardando_exclusão!A$4:A$4003,1,FALSE),"sim",""),"")</f>
        <v/>
      </c>
    </row>
    <row r="467" spans="1:4" x14ac:dyDescent="0.3">
      <c r="A467" s="15">
        <v>54550</v>
      </c>
      <c r="B467" s="17" t="s">
        <v>465</v>
      </c>
      <c r="C467" s="12">
        <v>367</v>
      </c>
      <c r="D467" s="11" t="str">
        <f>_xlfn.IFNA(IF(VLOOKUP(Tabela2[[#This Row],[CÓDIGO]],Aguardando_exclusão!A$4:A$4003,1,FALSE),"sim",""),"")</f>
        <v/>
      </c>
    </row>
    <row r="468" spans="1:4" x14ac:dyDescent="0.3">
      <c r="A468" s="15">
        <v>54552</v>
      </c>
      <c r="B468" s="17" t="s">
        <v>466</v>
      </c>
      <c r="C468" s="12">
        <v>367</v>
      </c>
      <c r="D468" s="11" t="str">
        <f>_xlfn.IFNA(IF(VLOOKUP(Tabela2[[#This Row],[CÓDIGO]],Aguardando_exclusão!A$4:A$4003,1,FALSE),"sim",""),"")</f>
        <v/>
      </c>
    </row>
    <row r="469" spans="1:4" x14ac:dyDescent="0.3">
      <c r="A469" s="15">
        <v>54586</v>
      </c>
      <c r="B469" s="17" t="s">
        <v>467</v>
      </c>
      <c r="C469" s="12">
        <v>367</v>
      </c>
      <c r="D469" s="11" t="str">
        <f>_xlfn.IFNA(IF(VLOOKUP(Tabela2[[#This Row],[CÓDIGO]],Aguardando_exclusão!A$4:A$4003,1,FALSE),"sim",""),"")</f>
        <v/>
      </c>
    </row>
    <row r="470" spans="1:4" x14ac:dyDescent="0.3">
      <c r="A470" s="15">
        <v>54587</v>
      </c>
      <c r="B470" s="17" t="s">
        <v>468</v>
      </c>
      <c r="C470" s="12">
        <v>367</v>
      </c>
      <c r="D470" s="11" t="str">
        <f>_xlfn.IFNA(IF(VLOOKUP(Tabela2[[#This Row],[CÓDIGO]],Aguardando_exclusão!A$4:A$4003,1,FALSE),"sim",""),"")</f>
        <v/>
      </c>
    </row>
    <row r="471" spans="1:4" x14ac:dyDescent="0.3">
      <c r="A471" s="15">
        <v>54668</v>
      </c>
      <c r="B471" s="17" t="s">
        <v>469</v>
      </c>
      <c r="C471" s="12">
        <v>367</v>
      </c>
      <c r="D471" s="11" t="str">
        <f>_xlfn.IFNA(IF(VLOOKUP(Tabela2[[#This Row],[CÓDIGO]],Aguardando_exclusão!A$4:A$4003,1,FALSE),"sim",""),"")</f>
        <v/>
      </c>
    </row>
    <row r="472" spans="1:4" x14ac:dyDescent="0.3">
      <c r="A472" s="15">
        <v>54682</v>
      </c>
      <c r="B472" s="17" t="s">
        <v>470</v>
      </c>
      <c r="C472" s="12">
        <v>367</v>
      </c>
      <c r="D472" s="11" t="str">
        <f>_xlfn.IFNA(IF(VLOOKUP(Tabela2[[#This Row],[CÓDIGO]],Aguardando_exclusão!A$4:A$4003,1,FALSE),"sim",""),"")</f>
        <v/>
      </c>
    </row>
    <row r="473" spans="1:4" x14ac:dyDescent="0.3">
      <c r="A473" s="15">
        <v>54969</v>
      </c>
      <c r="B473" s="17" t="s">
        <v>471</v>
      </c>
      <c r="C473" s="12">
        <v>367</v>
      </c>
      <c r="D473" s="11" t="str">
        <f>_xlfn.IFNA(IF(VLOOKUP(Tabela2[[#This Row],[CÓDIGO]],Aguardando_exclusão!A$4:A$4003,1,FALSE),"sim",""),"")</f>
        <v>sim</v>
      </c>
    </row>
    <row r="474" spans="1:4" x14ac:dyDescent="0.3">
      <c r="A474" s="15">
        <v>55836</v>
      </c>
      <c r="B474" s="17" t="s">
        <v>472</v>
      </c>
      <c r="C474" s="12">
        <v>367</v>
      </c>
      <c r="D474" s="11" t="str">
        <f>_xlfn.IFNA(IF(VLOOKUP(Tabela2[[#This Row],[CÓDIGO]],Aguardando_exclusão!A$4:A$4003,1,FALSE),"sim",""),"")</f>
        <v/>
      </c>
    </row>
    <row r="475" spans="1:4" x14ac:dyDescent="0.3">
      <c r="A475" s="15">
        <v>56519</v>
      </c>
      <c r="B475" s="17" t="s">
        <v>473</v>
      </c>
      <c r="C475" s="12">
        <v>367</v>
      </c>
      <c r="D475" s="11" t="str">
        <f>_xlfn.IFNA(IF(VLOOKUP(Tabela2[[#This Row],[CÓDIGO]],Aguardando_exclusão!A$4:A$4003,1,FALSE),"sim",""),"")</f>
        <v/>
      </c>
    </row>
    <row r="476" spans="1:4" x14ac:dyDescent="0.3">
      <c r="A476" s="15">
        <v>56520</v>
      </c>
      <c r="B476" s="17" t="s">
        <v>474</v>
      </c>
      <c r="C476" s="12">
        <v>367</v>
      </c>
      <c r="D476" s="11" t="str">
        <f>_xlfn.IFNA(IF(VLOOKUP(Tabela2[[#This Row],[CÓDIGO]],Aguardando_exclusão!A$4:A$4003,1,FALSE),"sim",""),"")</f>
        <v/>
      </c>
    </row>
    <row r="477" spans="1:4" x14ac:dyDescent="0.3">
      <c r="A477" s="15">
        <v>57444</v>
      </c>
      <c r="B477" s="17" t="s">
        <v>475</v>
      </c>
      <c r="C477" s="12">
        <v>367</v>
      </c>
      <c r="D477" s="11" t="str">
        <f>_xlfn.IFNA(IF(VLOOKUP(Tabela2[[#This Row],[CÓDIGO]],Aguardando_exclusão!A$4:A$4003,1,FALSE),"sim",""),"")</f>
        <v/>
      </c>
    </row>
    <row r="478" spans="1:4" x14ac:dyDescent="0.3">
      <c r="A478" s="15">
        <v>57598</v>
      </c>
      <c r="B478" s="17" t="s">
        <v>476</v>
      </c>
      <c r="C478" s="12">
        <v>367</v>
      </c>
      <c r="D478" s="11" t="str">
        <f>_xlfn.IFNA(IF(VLOOKUP(Tabela2[[#This Row],[CÓDIGO]],Aguardando_exclusão!A$4:A$4003,1,FALSE),"sim",""),"")</f>
        <v/>
      </c>
    </row>
    <row r="479" spans="1:4" ht="15" customHeight="1" x14ac:dyDescent="0.3">
      <c r="A479" s="15">
        <v>57895</v>
      </c>
      <c r="B479" s="17" t="s">
        <v>477</v>
      </c>
      <c r="C479" s="12">
        <v>367</v>
      </c>
      <c r="D479" s="11" t="str">
        <f>_xlfn.IFNA(IF(VLOOKUP(Tabela2[[#This Row],[CÓDIGO]],Aguardando_exclusão!A$4:A$4003,1,FALSE),"sim",""),"")</f>
        <v>sim</v>
      </c>
    </row>
    <row r="480" spans="1:4" x14ac:dyDescent="0.3">
      <c r="A480" s="15">
        <v>57900</v>
      </c>
      <c r="B480" s="17" t="s">
        <v>478</v>
      </c>
      <c r="C480" s="12">
        <v>367</v>
      </c>
      <c r="D480" s="11" t="str">
        <f>_xlfn.IFNA(IF(VLOOKUP(Tabela2[[#This Row],[CÓDIGO]],Aguardando_exclusão!A$4:A$4003,1,FALSE),"sim",""),"")</f>
        <v/>
      </c>
    </row>
    <row r="481" spans="1:4" x14ac:dyDescent="0.3">
      <c r="A481" s="15">
        <v>58116</v>
      </c>
      <c r="B481" s="17" t="s">
        <v>479</v>
      </c>
      <c r="C481" s="12">
        <v>367</v>
      </c>
      <c r="D481" s="11" t="str">
        <f>_xlfn.IFNA(IF(VLOOKUP(Tabela2[[#This Row],[CÓDIGO]],Aguardando_exclusão!A$4:A$4003,1,FALSE),"sim",""),"")</f>
        <v/>
      </c>
    </row>
    <row r="482" spans="1:4" x14ac:dyDescent="0.3">
      <c r="A482" s="15">
        <v>58117</v>
      </c>
      <c r="B482" s="17" t="s">
        <v>480</v>
      </c>
      <c r="C482" s="12">
        <v>367</v>
      </c>
      <c r="D482" s="11" t="str">
        <f>_xlfn.IFNA(IF(VLOOKUP(Tabela2[[#This Row],[CÓDIGO]],Aguardando_exclusão!A$4:A$4003,1,FALSE),"sim",""),"")</f>
        <v/>
      </c>
    </row>
    <row r="483" spans="1:4" x14ac:dyDescent="0.3">
      <c r="A483" s="15">
        <v>58436</v>
      </c>
      <c r="B483" s="17" t="s">
        <v>481</v>
      </c>
      <c r="C483" s="12">
        <v>367</v>
      </c>
      <c r="D483" s="11" t="str">
        <f>_xlfn.IFNA(IF(VLOOKUP(Tabela2[[#This Row],[CÓDIGO]],Aguardando_exclusão!A$4:A$4003,1,FALSE),"sim",""),"")</f>
        <v/>
      </c>
    </row>
    <row r="484" spans="1:4" ht="15" customHeight="1" x14ac:dyDescent="0.3">
      <c r="A484" s="15">
        <v>58647</v>
      </c>
      <c r="B484" s="17" t="s">
        <v>482</v>
      </c>
      <c r="C484" s="12">
        <v>367</v>
      </c>
      <c r="D484" s="11" t="str">
        <f>_xlfn.IFNA(IF(VLOOKUP(Tabela2[[#This Row],[CÓDIGO]],Aguardando_exclusão!A$4:A$4003,1,FALSE),"sim",""),"")</f>
        <v/>
      </c>
    </row>
    <row r="485" spans="1:4" x14ac:dyDescent="0.3">
      <c r="A485" s="15">
        <v>58706</v>
      </c>
      <c r="B485" s="17" t="s">
        <v>483</v>
      </c>
      <c r="C485" s="12">
        <v>367</v>
      </c>
      <c r="D485" s="11" t="str">
        <f>_xlfn.IFNA(IF(VLOOKUP(Tabela2[[#This Row],[CÓDIGO]],Aguardando_exclusão!A$4:A$4003,1,FALSE),"sim",""),"")</f>
        <v/>
      </c>
    </row>
    <row r="486" spans="1:4" x14ac:dyDescent="0.3">
      <c r="A486" s="15">
        <v>58977</v>
      </c>
      <c r="B486" s="17" t="s">
        <v>484</v>
      </c>
      <c r="C486" s="12">
        <v>367</v>
      </c>
      <c r="D486" s="11" t="str">
        <f>_xlfn.IFNA(IF(VLOOKUP(Tabela2[[#This Row],[CÓDIGO]],Aguardando_exclusão!A$4:A$4003,1,FALSE),"sim",""),"")</f>
        <v/>
      </c>
    </row>
    <row r="487" spans="1:4" x14ac:dyDescent="0.3">
      <c r="A487" s="15">
        <v>59018</v>
      </c>
      <c r="B487" s="17" t="s">
        <v>485</v>
      </c>
      <c r="C487" s="12">
        <v>367</v>
      </c>
      <c r="D487" s="11" t="str">
        <f>_xlfn.IFNA(IF(VLOOKUP(Tabela2[[#This Row],[CÓDIGO]],Aguardando_exclusão!A$4:A$4003,1,FALSE),"sim",""),"")</f>
        <v/>
      </c>
    </row>
    <row r="488" spans="1:4" x14ac:dyDescent="0.3">
      <c r="A488" s="15">
        <v>59069</v>
      </c>
      <c r="B488" s="17" t="s">
        <v>486</v>
      </c>
      <c r="C488" s="12">
        <v>367</v>
      </c>
      <c r="D488" s="11" t="str">
        <f>_xlfn.IFNA(IF(VLOOKUP(Tabela2[[#This Row],[CÓDIGO]],Aguardando_exclusão!A$4:A$4003,1,FALSE),"sim",""),"")</f>
        <v/>
      </c>
    </row>
    <row r="489" spans="1:4" x14ac:dyDescent="0.3">
      <c r="A489" s="15">
        <v>59074</v>
      </c>
      <c r="B489" s="17" t="s">
        <v>487</v>
      </c>
      <c r="C489" s="12">
        <v>367</v>
      </c>
      <c r="D489" s="11" t="str">
        <f>_xlfn.IFNA(IF(VLOOKUP(Tabela2[[#This Row],[CÓDIGO]],Aguardando_exclusão!A$4:A$4003,1,FALSE),"sim",""),"")</f>
        <v/>
      </c>
    </row>
    <row r="490" spans="1:4" x14ac:dyDescent="0.3">
      <c r="A490" s="15">
        <v>59097</v>
      </c>
      <c r="B490" s="17" t="s">
        <v>488</v>
      </c>
      <c r="C490" s="12">
        <v>367</v>
      </c>
      <c r="D490" s="11" t="str">
        <f>_xlfn.IFNA(IF(VLOOKUP(Tabela2[[#This Row],[CÓDIGO]],Aguardando_exclusão!A$4:A$4003,1,FALSE),"sim",""),"")</f>
        <v/>
      </c>
    </row>
    <row r="491" spans="1:4" ht="15" customHeight="1" x14ac:dyDescent="0.3">
      <c r="A491" s="15">
        <v>59882</v>
      </c>
      <c r="B491" s="17" t="s">
        <v>489</v>
      </c>
      <c r="C491" s="12">
        <v>367</v>
      </c>
      <c r="D491" s="11" t="str">
        <f>_xlfn.IFNA(IF(VLOOKUP(Tabela2[[#This Row],[CÓDIGO]],Aguardando_exclusão!A$4:A$4003,1,FALSE),"sim",""),"")</f>
        <v/>
      </c>
    </row>
    <row r="492" spans="1:4" x14ac:dyDescent="0.3">
      <c r="A492" s="15">
        <v>59942</v>
      </c>
      <c r="B492" s="17" t="s">
        <v>490</v>
      </c>
      <c r="C492" s="12">
        <v>367</v>
      </c>
      <c r="D492" s="11" t="str">
        <f>_xlfn.IFNA(IF(VLOOKUP(Tabela2[[#This Row],[CÓDIGO]],Aguardando_exclusão!A$4:A$4003,1,FALSE),"sim",""),"")</f>
        <v/>
      </c>
    </row>
    <row r="493" spans="1:4" x14ac:dyDescent="0.3">
      <c r="A493" s="15">
        <v>60108</v>
      </c>
      <c r="B493" s="17" t="s">
        <v>491</v>
      </c>
      <c r="C493" s="12">
        <v>367</v>
      </c>
      <c r="D493" s="11" t="str">
        <f>_xlfn.IFNA(IF(VLOOKUP(Tabela2[[#This Row],[CÓDIGO]],Aguardando_exclusão!A$4:A$4003,1,FALSE),"sim",""),"")</f>
        <v>sim</v>
      </c>
    </row>
    <row r="494" spans="1:4" x14ac:dyDescent="0.3">
      <c r="A494" s="15">
        <v>60110</v>
      </c>
      <c r="B494" s="17" t="s">
        <v>492</v>
      </c>
      <c r="C494" s="12">
        <v>367</v>
      </c>
      <c r="D494" s="11" t="str">
        <f>_xlfn.IFNA(IF(VLOOKUP(Tabela2[[#This Row],[CÓDIGO]],Aguardando_exclusão!A$4:A$4003,1,FALSE),"sim",""),"")</f>
        <v>sim</v>
      </c>
    </row>
    <row r="495" spans="1:4" x14ac:dyDescent="0.3">
      <c r="A495" s="15">
        <v>60116</v>
      </c>
      <c r="B495" s="17" t="s">
        <v>493</v>
      </c>
      <c r="C495" s="12">
        <v>367</v>
      </c>
      <c r="D495" s="11" t="str">
        <f>_xlfn.IFNA(IF(VLOOKUP(Tabela2[[#This Row],[CÓDIGO]],Aguardando_exclusão!A$4:A$4003,1,FALSE),"sim",""),"")</f>
        <v/>
      </c>
    </row>
    <row r="496" spans="1:4" x14ac:dyDescent="0.3">
      <c r="A496" s="15">
        <v>60517</v>
      </c>
      <c r="B496" s="17" t="s">
        <v>494</v>
      </c>
      <c r="C496" s="12">
        <v>367</v>
      </c>
      <c r="D496" s="11" t="str">
        <f>_xlfn.IFNA(IF(VLOOKUP(Tabela2[[#This Row],[CÓDIGO]],Aguardando_exclusão!A$4:A$4003,1,FALSE),"sim",""),"")</f>
        <v/>
      </c>
    </row>
    <row r="497" spans="1:4" x14ac:dyDescent="0.3">
      <c r="A497" s="15">
        <v>60830</v>
      </c>
      <c r="B497" s="17" t="s">
        <v>495</v>
      </c>
      <c r="C497" s="12">
        <v>367</v>
      </c>
      <c r="D497" s="11" t="str">
        <f>_xlfn.IFNA(IF(VLOOKUP(Tabela2[[#This Row],[CÓDIGO]],Aguardando_exclusão!A$4:A$4003,1,FALSE),"sim",""),"")</f>
        <v/>
      </c>
    </row>
    <row r="498" spans="1:4" ht="15" customHeight="1" x14ac:dyDescent="0.3">
      <c r="A498" s="15">
        <v>60854</v>
      </c>
      <c r="B498" s="17" t="s">
        <v>496</v>
      </c>
      <c r="C498" s="12">
        <v>367</v>
      </c>
      <c r="D498" s="11" t="str">
        <f>_xlfn.IFNA(IF(VLOOKUP(Tabela2[[#This Row],[CÓDIGO]],Aguardando_exclusão!A$4:A$4003,1,FALSE),"sim",""),"")</f>
        <v>sim</v>
      </c>
    </row>
    <row r="499" spans="1:4" x14ac:dyDescent="0.3">
      <c r="A499" s="15">
        <v>60889</v>
      </c>
      <c r="B499" s="17" t="s">
        <v>497</v>
      </c>
      <c r="C499" s="12">
        <v>367</v>
      </c>
      <c r="D499" s="11" t="str">
        <f>_xlfn.IFNA(IF(VLOOKUP(Tabela2[[#This Row],[CÓDIGO]],Aguardando_exclusão!A$4:A$4003,1,FALSE),"sim",""),"")</f>
        <v/>
      </c>
    </row>
    <row r="500" spans="1:4" x14ac:dyDescent="0.3">
      <c r="A500" s="15">
        <v>60973</v>
      </c>
      <c r="B500" s="17" t="s">
        <v>498</v>
      </c>
      <c r="C500" s="12">
        <v>367</v>
      </c>
      <c r="D500" s="11" t="str">
        <f>_xlfn.IFNA(IF(VLOOKUP(Tabela2[[#This Row],[CÓDIGO]],Aguardando_exclusão!A$4:A$4003,1,FALSE),"sim",""),"")</f>
        <v/>
      </c>
    </row>
    <row r="501" spans="1:4" x14ac:dyDescent="0.3">
      <c r="A501" s="15">
        <v>61046</v>
      </c>
      <c r="B501" s="17" t="s">
        <v>499</v>
      </c>
      <c r="C501" s="12">
        <v>367</v>
      </c>
      <c r="D501" s="11" t="str">
        <f>_xlfn.IFNA(IF(VLOOKUP(Tabela2[[#This Row],[CÓDIGO]],Aguardando_exclusão!A$4:A$4003,1,FALSE),"sim",""),"")</f>
        <v/>
      </c>
    </row>
    <row r="502" spans="1:4" x14ac:dyDescent="0.3">
      <c r="A502" s="15">
        <v>61167</v>
      </c>
      <c r="B502" s="17" t="s">
        <v>500</v>
      </c>
      <c r="C502" s="12">
        <v>367</v>
      </c>
      <c r="D502" s="11" t="str">
        <f>_xlfn.IFNA(IF(VLOOKUP(Tabela2[[#This Row],[CÓDIGO]],Aguardando_exclusão!A$4:A$4003,1,FALSE),"sim",""),"")</f>
        <v>sim</v>
      </c>
    </row>
    <row r="503" spans="1:4" x14ac:dyDescent="0.3">
      <c r="A503" s="15">
        <v>61200</v>
      </c>
      <c r="B503" s="17" t="s">
        <v>501</v>
      </c>
      <c r="C503" s="12">
        <v>367</v>
      </c>
      <c r="D503" s="11" t="str">
        <f>_xlfn.IFNA(IF(VLOOKUP(Tabela2[[#This Row],[CÓDIGO]],Aguardando_exclusão!A$4:A$4003,1,FALSE),"sim",""),"")</f>
        <v/>
      </c>
    </row>
    <row r="504" spans="1:4" x14ac:dyDescent="0.3">
      <c r="A504" s="15">
        <v>61201</v>
      </c>
      <c r="B504" s="17" t="s">
        <v>502</v>
      </c>
      <c r="C504" s="12">
        <v>367</v>
      </c>
      <c r="D504" s="11" t="str">
        <f>_xlfn.IFNA(IF(VLOOKUP(Tabela2[[#This Row],[CÓDIGO]],Aguardando_exclusão!A$4:A$4003,1,FALSE),"sim",""),"")</f>
        <v/>
      </c>
    </row>
    <row r="505" spans="1:4" x14ac:dyDescent="0.3">
      <c r="A505" s="15">
        <v>62365</v>
      </c>
      <c r="B505" s="17" t="s">
        <v>503</v>
      </c>
      <c r="C505" s="12">
        <v>367</v>
      </c>
      <c r="D505" s="11" t="str">
        <f>_xlfn.IFNA(IF(VLOOKUP(Tabela2[[#This Row],[CÓDIGO]],Aguardando_exclusão!A$4:A$4003,1,FALSE),"sim",""),"")</f>
        <v>sim</v>
      </c>
    </row>
    <row r="506" spans="1:4" x14ac:dyDescent="0.3">
      <c r="A506" s="15">
        <v>62625</v>
      </c>
      <c r="B506" s="17" t="s">
        <v>504</v>
      </c>
      <c r="C506" s="12">
        <v>367</v>
      </c>
      <c r="D506" s="11" t="str">
        <f>_xlfn.IFNA(IF(VLOOKUP(Tabela2[[#This Row],[CÓDIGO]],Aguardando_exclusão!A$4:A$4003,1,FALSE),"sim",""),"")</f>
        <v/>
      </c>
    </row>
    <row r="507" spans="1:4" x14ac:dyDescent="0.3">
      <c r="A507" s="15">
        <v>63031</v>
      </c>
      <c r="B507" s="17" t="s">
        <v>505</v>
      </c>
      <c r="C507" s="12">
        <v>367</v>
      </c>
      <c r="D507" s="11" t="str">
        <f>_xlfn.IFNA(IF(VLOOKUP(Tabela2[[#This Row],[CÓDIGO]],Aguardando_exclusão!A$4:A$4003,1,FALSE),"sim",""),"")</f>
        <v/>
      </c>
    </row>
    <row r="508" spans="1:4" x14ac:dyDescent="0.3">
      <c r="A508" s="15">
        <v>63252</v>
      </c>
      <c r="B508" s="17" t="s">
        <v>506</v>
      </c>
      <c r="C508" s="12">
        <v>367</v>
      </c>
      <c r="D508" s="11" t="str">
        <f>_xlfn.IFNA(IF(VLOOKUP(Tabela2[[#This Row],[CÓDIGO]],Aguardando_exclusão!A$4:A$4003,1,FALSE),"sim",""),"")</f>
        <v/>
      </c>
    </row>
    <row r="509" spans="1:4" x14ac:dyDescent="0.3">
      <c r="A509" s="15">
        <v>63382</v>
      </c>
      <c r="B509" s="17" t="s">
        <v>507</v>
      </c>
      <c r="C509" s="12">
        <v>367</v>
      </c>
      <c r="D509" s="11" t="str">
        <f>_xlfn.IFNA(IF(VLOOKUP(Tabela2[[#This Row],[CÓDIGO]],Aguardando_exclusão!A$4:A$4003,1,FALSE),"sim",""),"")</f>
        <v/>
      </c>
    </row>
    <row r="510" spans="1:4" x14ac:dyDescent="0.3">
      <c r="A510" s="15">
        <v>63383</v>
      </c>
      <c r="B510" s="17" t="s">
        <v>508</v>
      </c>
      <c r="C510" s="12">
        <v>367</v>
      </c>
      <c r="D510" s="11" t="str">
        <f>_xlfn.IFNA(IF(VLOOKUP(Tabela2[[#This Row],[CÓDIGO]],Aguardando_exclusão!A$4:A$4003,1,FALSE),"sim",""),"")</f>
        <v>sim</v>
      </c>
    </row>
    <row r="511" spans="1:4" x14ac:dyDescent="0.3">
      <c r="A511" s="15">
        <v>63384</v>
      </c>
      <c r="B511" s="17" t="s">
        <v>509</v>
      </c>
      <c r="C511" s="12">
        <v>367</v>
      </c>
      <c r="D511" s="11" t="str">
        <f>_xlfn.IFNA(IF(VLOOKUP(Tabela2[[#This Row],[CÓDIGO]],Aguardando_exclusão!A$4:A$4003,1,FALSE),"sim",""),"")</f>
        <v>sim</v>
      </c>
    </row>
    <row r="512" spans="1:4" x14ac:dyDescent="0.3">
      <c r="A512" s="15">
        <v>63385</v>
      </c>
      <c r="B512" s="17" t="s">
        <v>510</v>
      </c>
      <c r="C512" s="12">
        <v>367</v>
      </c>
      <c r="D512" s="11" t="str">
        <f>_xlfn.IFNA(IF(VLOOKUP(Tabela2[[#This Row],[CÓDIGO]],Aguardando_exclusão!A$4:A$4003,1,FALSE),"sim",""),"")</f>
        <v/>
      </c>
    </row>
    <row r="513" spans="1:4" x14ac:dyDescent="0.3">
      <c r="A513" s="15">
        <v>63591</v>
      </c>
      <c r="B513" s="17" t="s">
        <v>511</v>
      </c>
      <c r="C513" s="12">
        <v>367</v>
      </c>
      <c r="D513" s="11" t="str">
        <f>_xlfn.IFNA(IF(VLOOKUP(Tabela2[[#This Row],[CÓDIGO]],Aguardando_exclusão!A$4:A$4003,1,FALSE),"sim",""),"")</f>
        <v/>
      </c>
    </row>
    <row r="514" spans="1:4" ht="15" customHeight="1" x14ac:dyDescent="0.3">
      <c r="A514" s="15">
        <v>63839</v>
      </c>
      <c r="B514" s="17" t="s">
        <v>512</v>
      </c>
      <c r="C514" s="12">
        <v>367</v>
      </c>
      <c r="D514" s="11" t="str">
        <f>_xlfn.IFNA(IF(VLOOKUP(Tabela2[[#This Row],[CÓDIGO]],Aguardando_exclusão!A$4:A$4003,1,FALSE),"sim",""),"")</f>
        <v/>
      </c>
    </row>
    <row r="515" spans="1:4" x14ac:dyDescent="0.3">
      <c r="A515" s="15">
        <v>63991</v>
      </c>
      <c r="B515" s="17" t="s">
        <v>513</v>
      </c>
      <c r="C515" s="12">
        <v>367</v>
      </c>
      <c r="D515" s="11" t="str">
        <f>_xlfn.IFNA(IF(VLOOKUP(Tabela2[[#This Row],[CÓDIGO]],Aguardando_exclusão!A$4:A$4003,1,FALSE),"sim",""),"")</f>
        <v/>
      </c>
    </row>
    <row r="516" spans="1:4" x14ac:dyDescent="0.3">
      <c r="A516" s="15">
        <v>64253</v>
      </c>
      <c r="B516" s="17" t="s">
        <v>514</v>
      </c>
      <c r="C516" s="12">
        <v>367</v>
      </c>
      <c r="D516" s="11" t="str">
        <f>_xlfn.IFNA(IF(VLOOKUP(Tabela2[[#This Row],[CÓDIGO]],Aguardando_exclusão!A$4:A$4003,1,FALSE),"sim",""),"")</f>
        <v/>
      </c>
    </row>
    <row r="517" spans="1:4" x14ac:dyDescent="0.3">
      <c r="A517" s="15">
        <v>64302</v>
      </c>
      <c r="B517" s="17" t="s">
        <v>515</v>
      </c>
      <c r="C517" s="12">
        <v>367</v>
      </c>
      <c r="D517" s="11" t="str">
        <f>_xlfn.IFNA(IF(VLOOKUP(Tabela2[[#This Row],[CÓDIGO]],Aguardando_exclusão!A$4:A$4003,1,FALSE),"sim",""),"")</f>
        <v/>
      </c>
    </row>
    <row r="518" spans="1:4" x14ac:dyDescent="0.3">
      <c r="A518" s="15">
        <v>64460</v>
      </c>
      <c r="B518" s="17" t="s">
        <v>516</v>
      </c>
      <c r="C518" s="12">
        <v>367</v>
      </c>
      <c r="D518" s="11" t="str">
        <f>_xlfn.IFNA(IF(VLOOKUP(Tabela2[[#This Row],[CÓDIGO]],Aguardando_exclusão!A$4:A$4003,1,FALSE),"sim",""),"")</f>
        <v>sim</v>
      </c>
    </row>
    <row r="519" spans="1:4" x14ac:dyDescent="0.3">
      <c r="A519" s="15">
        <v>64461</v>
      </c>
      <c r="B519" s="17" t="s">
        <v>517</v>
      </c>
      <c r="C519" s="12">
        <v>367</v>
      </c>
      <c r="D519" s="11" t="str">
        <f>_xlfn.IFNA(IF(VLOOKUP(Tabela2[[#This Row],[CÓDIGO]],Aguardando_exclusão!A$4:A$4003,1,FALSE),"sim",""),"")</f>
        <v>sim</v>
      </c>
    </row>
    <row r="520" spans="1:4" x14ac:dyDescent="0.3">
      <c r="A520" s="15">
        <v>64462</v>
      </c>
      <c r="B520" s="17" t="s">
        <v>518</v>
      </c>
      <c r="C520" s="12">
        <v>367</v>
      </c>
      <c r="D520" s="11" t="str">
        <f>_xlfn.IFNA(IF(VLOOKUP(Tabela2[[#This Row],[CÓDIGO]],Aguardando_exclusão!A$4:A$4003,1,FALSE),"sim",""),"")</f>
        <v>sim</v>
      </c>
    </row>
    <row r="521" spans="1:4" ht="15" customHeight="1" x14ac:dyDescent="0.3">
      <c r="A521" s="15">
        <v>64463</v>
      </c>
      <c r="B521" s="17" t="s">
        <v>519</v>
      </c>
      <c r="C521" s="12">
        <v>367</v>
      </c>
      <c r="D521" s="11" t="str">
        <f>_xlfn.IFNA(IF(VLOOKUP(Tabela2[[#This Row],[CÓDIGO]],Aguardando_exclusão!A$4:A$4003,1,FALSE),"sim",""),"")</f>
        <v>sim</v>
      </c>
    </row>
    <row r="522" spans="1:4" ht="15" customHeight="1" x14ac:dyDescent="0.3">
      <c r="A522" s="15">
        <v>64466</v>
      </c>
      <c r="B522" s="17" t="s">
        <v>520</v>
      </c>
      <c r="C522" s="12">
        <v>367</v>
      </c>
      <c r="D522" s="11" t="str">
        <f>_xlfn.IFNA(IF(VLOOKUP(Tabela2[[#This Row],[CÓDIGO]],Aguardando_exclusão!A$4:A$4003,1,FALSE),"sim",""),"")</f>
        <v/>
      </c>
    </row>
    <row r="523" spans="1:4" ht="15" customHeight="1" x14ac:dyDescent="0.3">
      <c r="A523" s="15">
        <v>64604</v>
      </c>
      <c r="B523" s="17" t="s">
        <v>521</v>
      </c>
      <c r="C523" s="12">
        <v>367</v>
      </c>
      <c r="D523" s="11" t="str">
        <f>_xlfn.IFNA(IF(VLOOKUP(Tabela2[[#This Row],[CÓDIGO]],Aguardando_exclusão!A$4:A$4003,1,FALSE),"sim",""),"")</f>
        <v/>
      </c>
    </row>
    <row r="524" spans="1:4" ht="15" customHeight="1" x14ac:dyDescent="0.3">
      <c r="A524" s="15">
        <v>64605</v>
      </c>
      <c r="B524" s="17" t="s">
        <v>522</v>
      </c>
      <c r="C524" s="12">
        <v>367</v>
      </c>
      <c r="D524" s="11" t="str">
        <f>_xlfn.IFNA(IF(VLOOKUP(Tabela2[[#This Row],[CÓDIGO]],Aguardando_exclusão!A$4:A$4003,1,FALSE),"sim",""),"")</f>
        <v/>
      </c>
    </row>
    <row r="525" spans="1:4" x14ac:dyDescent="0.3">
      <c r="A525" s="15">
        <v>64607</v>
      </c>
      <c r="B525" s="17" t="s">
        <v>523</v>
      </c>
      <c r="C525" s="12">
        <v>367</v>
      </c>
      <c r="D525" s="11" t="str">
        <f>_xlfn.IFNA(IF(VLOOKUP(Tabela2[[#This Row],[CÓDIGO]],Aguardando_exclusão!A$4:A$4003,1,FALSE),"sim",""),"")</f>
        <v/>
      </c>
    </row>
    <row r="526" spans="1:4" x14ac:dyDescent="0.3">
      <c r="A526" s="15">
        <v>64608</v>
      </c>
      <c r="B526" s="17" t="s">
        <v>524</v>
      </c>
      <c r="C526" s="12">
        <v>367</v>
      </c>
      <c r="D526" s="11" t="str">
        <f>_xlfn.IFNA(IF(VLOOKUP(Tabela2[[#This Row],[CÓDIGO]],Aguardando_exclusão!A$4:A$4003,1,FALSE),"sim",""),"")</f>
        <v>sim</v>
      </c>
    </row>
    <row r="527" spans="1:4" x14ac:dyDescent="0.3">
      <c r="A527" s="15">
        <v>64609</v>
      </c>
      <c r="B527" s="17" t="s">
        <v>525</v>
      </c>
      <c r="C527" s="12">
        <v>367</v>
      </c>
      <c r="D527" s="11" t="str">
        <f>_xlfn.IFNA(IF(VLOOKUP(Tabela2[[#This Row],[CÓDIGO]],Aguardando_exclusão!A$4:A$4003,1,FALSE),"sim",""),"")</f>
        <v/>
      </c>
    </row>
    <row r="528" spans="1:4" x14ac:dyDescent="0.3">
      <c r="A528" s="15">
        <v>64610</v>
      </c>
      <c r="B528" s="17" t="s">
        <v>526</v>
      </c>
      <c r="C528" s="12">
        <v>367</v>
      </c>
      <c r="D528" s="11" t="str">
        <f>_xlfn.IFNA(IF(VLOOKUP(Tabela2[[#This Row],[CÓDIGO]],Aguardando_exclusão!A$4:A$4003,1,FALSE),"sim",""),"")</f>
        <v/>
      </c>
    </row>
    <row r="529" spans="1:4" x14ac:dyDescent="0.3">
      <c r="A529" s="15">
        <v>64625</v>
      </c>
      <c r="B529" s="17" t="s">
        <v>527</v>
      </c>
      <c r="C529" s="12">
        <v>367</v>
      </c>
      <c r="D529" s="11" t="str">
        <f>_xlfn.IFNA(IF(VLOOKUP(Tabela2[[#This Row],[CÓDIGO]],Aguardando_exclusão!A$4:A$4003,1,FALSE),"sim",""),"")</f>
        <v/>
      </c>
    </row>
    <row r="530" spans="1:4" x14ac:dyDescent="0.3">
      <c r="A530" s="15">
        <v>64626</v>
      </c>
      <c r="B530" s="17" t="s">
        <v>528</v>
      </c>
      <c r="C530" s="12">
        <v>367</v>
      </c>
      <c r="D530" s="11" t="str">
        <f>_xlfn.IFNA(IF(VLOOKUP(Tabela2[[#This Row],[CÓDIGO]],Aguardando_exclusão!A$4:A$4003,1,FALSE),"sim",""),"")</f>
        <v/>
      </c>
    </row>
    <row r="531" spans="1:4" ht="15" customHeight="1" x14ac:dyDescent="0.3">
      <c r="A531" s="15">
        <v>64627</v>
      </c>
      <c r="B531" s="17" t="s">
        <v>529</v>
      </c>
      <c r="C531" s="12">
        <v>367</v>
      </c>
      <c r="D531" s="11" t="str">
        <f>_xlfn.IFNA(IF(VLOOKUP(Tabela2[[#This Row],[CÓDIGO]],Aguardando_exclusão!A$4:A$4003,1,FALSE),"sim",""),"")</f>
        <v/>
      </c>
    </row>
    <row r="532" spans="1:4" x14ac:dyDescent="0.3">
      <c r="A532" s="15">
        <v>64630</v>
      </c>
      <c r="B532" s="17" t="s">
        <v>530</v>
      </c>
      <c r="C532" s="12">
        <v>367</v>
      </c>
      <c r="D532" s="11" t="str">
        <f>_xlfn.IFNA(IF(VLOOKUP(Tabela2[[#This Row],[CÓDIGO]],Aguardando_exclusão!A$4:A$4003,1,FALSE),"sim",""),"")</f>
        <v/>
      </c>
    </row>
    <row r="533" spans="1:4" x14ac:dyDescent="0.3">
      <c r="A533" s="15">
        <v>64631</v>
      </c>
      <c r="B533" s="17" t="s">
        <v>531</v>
      </c>
      <c r="C533" s="12">
        <v>367</v>
      </c>
      <c r="D533" s="11" t="str">
        <f>_xlfn.IFNA(IF(VLOOKUP(Tabela2[[#This Row],[CÓDIGO]],Aguardando_exclusão!A$4:A$4003,1,FALSE),"sim",""),"")</f>
        <v>sim</v>
      </c>
    </row>
    <row r="534" spans="1:4" x14ac:dyDescent="0.3">
      <c r="A534" s="15">
        <v>64633</v>
      </c>
      <c r="B534" s="17" t="s">
        <v>532</v>
      </c>
      <c r="C534" s="12">
        <v>367</v>
      </c>
      <c r="D534" s="11" t="str">
        <f>_xlfn.IFNA(IF(VLOOKUP(Tabela2[[#This Row],[CÓDIGO]],Aguardando_exclusão!A$4:A$4003,1,FALSE),"sim",""),"")</f>
        <v>sim</v>
      </c>
    </row>
    <row r="535" spans="1:4" x14ac:dyDescent="0.3">
      <c r="A535" s="15">
        <v>64634</v>
      </c>
      <c r="B535" s="17" t="s">
        <v>533</v>
      </c>
      <c r="C535" s="12">
        <v>367</v>
      </c>
      <c r="D535" s="11" t="str">
        <f>_xlfn.IFNA(IF(VLOOKUP(Tabela2[[#This Row],[CÓDIGO]],Aguardando_exclusão!A$4:A$4003,1,FALSE),"sim",""),"")</f>
        <v/>
      </c>
    </row>
    <row r="536" spans="1:4" x14ac:dyDescent="0.3">
      <c r="A536" s="15">
        <v>64635</v>
      </c>
      <c r="B536" s="17" t="s">
        <v>534</v>
      </c>
      <c r="C536" s="12">
        <v>367</v>
      </c>
      <c r="D536" s="11" t="str">
        <f>_xlfn.IFNA(IF(VLOOKUP(Tabela2[[#This Row],[CÓDIGO]],Aguardando_exclusão!A$4:A$4003,1,FALSE),"sim",""),"")</f>
        <v/>
      </c>
    </row>
    <row r="537" spans="1:4" x14ac:dyDescent="0.3">
      <c r="A537" s="15">
        <v>64636</v>
      </c>
      <c r="B537" s="17" t="s">
        <v>535</v>
      </c>
      <c r="C537" s="12">
        <v>367</v>
      </c>
      <c r="D537" s="11" t="str">
        <f>_xlfn.IFNA(IF(VLOOKUP(Tabela2[[#This Row],[CÓDIGO]],Aguardando_exclusão!A$4:A$4003,1,FALSE),"sim",""),"")</f>
        <v/>
      </c>
    </row>
    <row r="538" spans="1:4" x14ac:dyDescent="0.3">
      <c r="A538" s="15">
        <v>64646</v>
      </c>
      <c r="B538" s="17" t="s">
        <v>536</v>
      </c>
      <c r="C538" s="12">
        <v>367</v>
      </c>
      <c r="D538" s="11" t="str">
        <f>_xlfn.IFNA(IF(VLOOKUP(Tabela2[[#This Row],[CÓDIGO]],Aguardando_exclusão!A$4:A$4003,1,FALSE),"sim",""),"")</f>
        <v>sim</v>
      </c>
    </row>
    <row r="539" spans="1:4" x14ac:dyDescent="0.3">
      <c r="A539" s="15">
        <v>64647</v>
      </c>
      <c r="B539" s="17" t="s">
        <v>537</v>
      </c>
      <c r="C539" s="12">
        <v>367</v>
      </c>
      <c r="D539" s="11" t="str">
        <f>_xlfn.IFNA(IF(VLOOKUP(Tabela2[[#This Row],[CÓDIGO]],Aguardando_exclusão!A$4:A$4003,1,FALSE),"sim",""),"")</f>
        <v/>
      </c>
    </row>
    <row r="540" spans="1:4" x14ac:dyDescent="0.3">
      <c r="A540" s="15">
        <v>64648</v>
      </c>
      <c r="B540" s="17" t="s">
        <v>538</v>
      </c>
      <c r="C540" s="12">
        <v>367</v>
      </c>
      <c r="D540" s="11" t="str">
        <f>_xlfn.IFNA(IF(VLOOKUP(Tabela2[[#This Row],[CÓDIGO]],Aguardando_exclusão!A$4:A$4003,1,FALSE),"sim",""),"")</f>
        <v/>
      </c>
    </row>
    <row r="541" spans="1:4" x14ac:dyDescent="0.3">
      <c r="A541" s="15">
        <v>64817</v>
      </c>
      <c r="B541" s="17" t="s">
        <v>539</v>
      </c>
      <c r="C541" s="12">
        <v>367</v>
      </c>
      <c r="D541" s="11" t="str">
        <f>_xlfn.IFNA(IF(VLOOKUP(Tabela2[[#This Row],[CÓDIGO]],Aguardando_exclusão!A$4:A$4003,1,FALSE),"sim",""),"")</f>
        <v/>
      </c>
    </row>
    <row r="542" spans="1:4" x14ac:dyDescent="0.3">
      <c r="A542" s="15">
        <v>64818</v>
      </c>
      <c r="B542" s="17" t="s">
        <v>540</v>
      </c>
      <c r="C542" s="12">
        <v>367</v>
      </c>
      <c r="D542" s="11" t="str">
        <f>_xlfn.IFNA(IF(VLOOKUP(Tabela2[[#This Row],[CÓDIGO]],Aguardando_exclusão!A$4:A$4003,1,FALSE),"sim",""),"")</f>
        <v>sim</v>
      </c>
    </row>
    <row r="543" spans="1:4" x14ac:dyDescent="0.3">
      <c r="A543" s="15">
        <v>64819</v>
      </c>
      <c r="B543" s="17" t="s">
        <v>541</v>
      </c>
      <c r="C543" s="12">
        <v>367</v>
      </c>
      <c r="D543" s="11" t="str">
        <f>_xlfn.IFNA(IF(VLOOKUP(Tabela2[[#This Row],[CÓDIGO]],Aguardando_exclusão!A$4:A$4003,1,FALSE),"sim",""),"")</f>
        <v/>
      </c>
    </row>
    <row r="544" spans="1:4" x14ac:dyDescent="0.3">
      <c r="A544" s="15">
        <v>64821</v>
      </c>
      <c r="B544" s="17" t="s">
        <v>542</v>
      </c>
      <c r="C544" s="12">
        <v>367</v>
      </c>
      <c r="D544" s="11" t="str">
        <f>_xlfn.IFNA(IF(VLOOKUP(Tabela2[[#This Row],[CÓDIGO]],Aguardando_exclusão!A$4:A$4003,1,FALSE),"sim",""),"")</f>
        <v/>
      </c>
    </row>
    <row r="545" spans="1:4" x14ac:dyDescent="0.3">
      <c r="A545" s="15">
        <v>64822</v>
      </c>
      <c r="B545" s="17" t="s">
        <v>543</v>
      </c>
      <c r="C545" s="12">
        <v>367</v>
      </c>
      <c r="D545" s="11" t="str">
        <f>_xlfn.IFNA(IF(VLOOKUP(Tabela2[[#This Row],[CÓDIGO]],Aguardando_exclusão!A$4:A$4003,1,FALSE),"sim",""),"")</f>
        <v/>
      </c>
    </row>
    <row r="546" spans="1:4" x14ac:dyDescent="0.3">
      <c r="A546" s="15">
        <v>64860</v>
      </c>
      <c r="B546" s="17" t="s">
        <v>544</v>
      </c>
      <c r="C546" s="12">
        <v>367</v>
      </c>
      <c r="D546" s="11" t="str">
        <f>_xlfn.IFNA(IF(VLOOKUP(Tabela2[[#This Row],[CÓDIGO]],Aguardando_exclusão!A$4:A$4003,1,FALSE),"sim",""),"")</f>
        <v/>
      </c>
    </row>
    <row r="547" spans="1:4" x14ac:dyDescent="0.3">
      <c r="A547" s="15">
        <v>64861</v>
      </c>
      <c r="B547" s="17" t="s">
        <v>545</v>
      </c>
      <c r="C547" s="12">
        <v>367</v>
      </c>
      <c r="D547" s="11" t="str">
        <f>_xlfn.IFNA(IF(VLOOKUP(Tabela2[[#This Row],[CÓDIGO]],Aguardando_exclusão!A$4:A$4003,1,FALSE),"sim",""),"")</f>
        <v/>
      </c>
    </row>
    <row r="548" spans="1:4" x14ac:dyDescent="0.3">
      <c r="A548" s="15">
        <v>65173</v>
      </c>
      <c r="B548" s="17" t="s">
        <v>546</v>
      </c>
      <c r="C548" s="12">
        <v>367</v>
      </c>
      <c r="D548" s="11" t="str">
        <f>_xlfn.IFNA(IF(VLOOKUP(Tabela2[[#This Row],[CÓDIGO]],Aguardando_exclusão!A$4:A$4003,1,FALSE),"sim",""),"")</f>
        <v/>
      </c>
    </row>
    <row r="549" spans="1:4" x14ac:dyDescent="0.3">
      <c r="A549" s="15">
        <v>65609</v>
      </c>
      <c r="B549" s="17" t="s">
        <v>547</v>
      </c>
      <c r="C549" s="12">
        <v>367</v>
      </c>
      <c r="D549" s="11" t="str">
        <f>_xlfn.IFNA(IF(VLOOKUP(Tabela2[[#This Row],[CÓDIGO]],Aguardando_exclusão!A$4:A$4003,1,FALSE),"sim",""),"")</f>
        <v>sim</v>
      </c>
    </row>
    <row r="550" spans="1:4" x14ac:dyDescent="0.3">
      <c r="A550" s="15">
        <v>65610</v>
      </c>
      <c r="B550" s="17" t="s">
        <v>548</v>
      </c>
      <c r="C550" s="12">
        <v>367</v>
      </c>
      <c r="D550" s="11" t="str">
        <f>_xlfn.IFNA(IF(VLOOKUP(Tabela2[[#This Row],[CÓDIGO]],Aguardando_exclusão!A$4:A$4003,1,FALSE),"sim",""),"")</f>
        <v>sim</v>
      </c>
    </row>
    <row r="551" spans="1:4" x14ac:dyDescent="0.3">
      <c r="A551" s="15">
        <v>65748</v>
      </c>
      <c r="B551" s="17" t="s">
        <v>549</v>
      </c>
      <c r="C551" s="12">
        <v>367</v>
      </c>
      <c r="D551" s="11" t="str">
        <f>_xlfn.IFNA(IF(VLOOKUP(Tabela2[[#This Row],[CÓDIGO]],Aguardando_exclusão!A$4:A$4003,1,FALSE),"sim",""),"")</f>
        <v/>
      </c>
    </row>
    <row r="552" spans="1:4" x14ac:dyDescent="0.3">
      <c r="A552" s="15">
        <v>66168</v>
      </c>
      <c r="B552" s="17" t="s">
        <v>550</v>
      </c>
      <c r="C552" s="12">
        <v>367</v>
      </c>
      <c r="D552" s="11" t="str">
        <f>_xlfn.IFNA(IF(VLOOKUP(Tabela2[[#This Row],[CÓDIGO]],Aguardando_exclusão!A$4:A$4003,1,FALSE),"sim",""),"")</f>
        <v/>
      </c>
    </row>
    <row r="553" spans="1:4" x14ac:dyDescent="0.3">
      <c r="A553" s="15">
        <v>66308</v>
      </c>
      <c r="B553" s="17" t="s">
        <v>551</v>
      </c>
      <c r="C553" s="12">
        <v>367</v>
      </c>
      <c r="D553" s="11" t="str">
        <f>_xlfn.IFNA(IF(VLOOKUP(Tabela2[[#This Row],[CÓDIGO]],Aguardando_exclusão!A$4:A$4003,1,FALSE),"sim",""),"")</f>
        <v/>
      </c>
    </row>
    <row r="554" spans="1:4" x14ac:dyDescent="0.3">
      <c r="A554" s="15">
        <v>66786</v>
      </c>
      <c r="B554" s="17" t="s">
        <v>552</v>
      </c>
      <c r="C554" s="12">
        <v>367</v>
      </c>
      <c r="D554" s="11" t="str">
        <f>_xlfn.IFNA(IF(VLOOKUP(Tabela2[[#This Row],[CÓDIGO]],Aguardando_exclusão!A$4:A$4003,1,FALSE),"sim",""),"")</f>
        <v/>
      </c>
    </row>
    <row r="555" spans="1:4" x14ac:dyDescent="0.3">
      <c r="A555" s="15">
        <v>67375</v>
      </c>
      <c r="B555" s="17" t="s">
        <v>553</v>
      </c>
      <c r="C555" s="12">
        <v>367</v>
      </c>
      <c r="D555" s="11" t="str">
        <f>_xlfn.IFNA(IF(VLOOKUP(Tabela2[[#This Row],[CÓDIGO]],Aguardando_exclusão!A$4:A$4003,1,FALSE),"sim",""),"")</f>
        <v>sim</v>
      </c>
    </row>
    <row r="556" spans="1:4" ht="15" customHeight="1" x14ac:dyDescent="0.3">
      <c r="A556" s="15">
        <v>67376</v>
      </c>
      <c r="B556" s="17" t="s">
        <v>554</v>
      </c>
      <c r="C556" s="12">
        <v>367</v>
      </c>
      <c r="D556" s="11" t="str">
        <f>_xlfn.IFNA(IF(VLOOKUP(Tabela2[[#This Row],[CÓDIGO]],Aguardando_exclusão!A$4:A$4003,1,FALSE),"sim",""),"")</f>
        <v>sim</v>
      </c>
    </row>
    <row r="557" spans="1:4" x14ac:dyDescent="0.3">
      <c r="A557" s="15">
        <v>67862</v>
      </c>
      <c r="B557" s="17" t="s">
        <v>555</v>
      </c>
      <c r="C557" s="12">
        <v>367</v>
      </c>
      <c r="D557" s="11" t="str">
        <f>_xlfn.IFNA(IF(VLOOKUP(Tabela2[[#This Row],[CÓDIGO]],Aguardando_exclusão!A$4:A$4003,1,FALSE),"sim",""),"")</f>
        <v>sim</v>
      </c>
    </row>
    <row r="558" spans="1:4" x14ac:dyDescent="0.3">
      <c r="A558" s="15">
        <v>67892</v>
      </c>
      <c r="B558" s="17" t="s">
        <v>556</v>
      </c>
      <c r="C558" s="12">
        <v>367</v>
      </c>
      <c r="D558" s="11" t="str">
        <f>_xlfn.IFNA(IF(VLOOKUP(Tabela2[[#This Row],[CÓDIGO]],Aguardando_exclusão!A$4:A$4003,1,FALSE),"sim",""),"")</f>
        <v>sim</v>
      </c>
    </row>
    <row r="559" spans="1:4" x14ac:dyDescent="0.3">
      <c r="A559" s="15">
        <v>68351</v>
      </c>
      <c r="B559" s="17" t="s">
        <v>557</v>
      </c>
      <c r="C559" s="12">
        <v>367</v>
      </c>
      <c r="D559" s="11" t="str">
        <f>_xlfn.IFNA(IF(VLOOKUP(Tabela2[[#This Row],[CÓDIGO]],Aguardando_exclusão!A$4:A$4003,1,FALSE),"sim",""),"")</f>
        <v/>
      </c>
    </row>
    <row r="560" spans="1:4" x14ac:dyDescent="0.3">
      <c r="A560" s="15">
        <v>69222</v>
      </c>
      <c r="B560" s="17" t="s">
        <v>558</v>
      </c>
      <c r="C560" s="12">
        <v>367</v>
      </c>
      <c r="D560" s="11" t="str">
        <f>_xlfn.IFNA(IF(VLOOKUP(Tabela2[[#This Row],[CÓDIGO]],Aguardando_exclusão!A$4:A$4003,1,FALSE),"sim",""),"")</f>
        <v/>
      </c>
    </row>
    <row r="561" spans="1:4" x14ac:dyDescent="0.3">
      <c r="A561" s="15">
        <v>69229</v>
      </c>
      <c r="B561" s="17" t="s">
        <v>282</v>
      </c>
      <c r="C561" s="12">
        <v>367</v>
      </c>
      <c r="D561" s="11" t="str">
        <f>_xlfn.IFNA(IF(VLOOKUP(Tabela2[[#This Row],[CÓDIGO]],Aguardando_exclusão!A$4:A$4003,1,FALSE),"sim",""),"")</f>
        <v/>
      </c>
    </row>
    <row r="562" spans="1:4" x14ac:dyDescent="0.3">
      <c r="A562" s="15">
        <v>69339</v>
      </c>
      <c r="B562" s="17" t="s">
        <v>559</v>
      </c>
      <c r="C562" s="12">
        <v>367</v>
      </c>
      <c r="D562" s="11" t="str">
        <f>_xlfn.IFNA(IF(VLOOKUP(Tabela2[[#This Row],[CÓDIGO]],Aguardando_exclusão!A$4:A$4003,1,FALSE),"sim",""),"")</f>
        <v/>
      </c>
    </row>
    <row r="563" spans="1:4" x14ac:dyDescent="0.3">
      <c r="A563" s="15">
        <v>70379</v>
      </c>
      <c r="B563" s="17" t="s">
        <v>560</v>
      </c>
      <c r="C563" s="12">
        <v>367</v>
      </c>
      <c r="D563" s="11" t="str">
        <f>_xlfn.IFNA(IF(VLOOKUP(Tabela2[[#This Row],[CÓDIGO]],Aguardando_exclusão!A$4:A$4003,1,FALSE),"sim",""),"")</f>
        <v/>
      </c>
    </row>
    <row r="564" spans="1:4" x14ac:dyDescent="0.3">
      <c r="A564" s="15">
        <v>70967</v>
      </c>
      <c r="B564" s="17" t="s">
        <v>561</v>
      </c>
      <c r="C564" s="12">
        <v>367</v>
      </c>
      <c r="D564" s="11" t="str">
        <f>_xlfn.IFNA(IF(VLOOKUP(Tabela2[[#This Row],[CÓDIGO]],Aguardando_exclusão!A$4:A$4003,1,FALSE),"sim",""),"")</f>
        <v/>
      </c>
    </row>
    <row r="565" spans="1:4" x14ac:dyDescent="0.3">
      <c r="A565" s="15">
        <v>71053</v>
      </c>
      <c r="B565" s="17" t="s">
        <v>562</v>
      </c>
      <c r="C565" s="12">
        <v>367</v>
      </c>
      <c r="D565" s="11" t="str">
        <f>_xlfn.IFNA(IF(VLOOKUP(Tabela2[[#This Row],[CÓDIGO]],Aguardando_exclusão!A$4:A$4003,1,FALSE),"sim",""),"")</f>
        <v/>
      </c>
    </row>
    <row r="566" spans="1:4" x14ac:dyDescent="0.3">
      <c r="A566" s="15">
        <v>71189</v>
      </c>
      <c r="B566" s="17" t="s">
        <v>563</v>
      </c>
      <c r="C566" s="12">
        <v>367</v>
      </c>
      <c r="D566" s="11" t="str">
        <f>_xlfn.IFNA(IF(VLOOKUP(Tabela2[[#This Row],[CÓDIGO]],Aguardando_exclusão!A$4:A$4003,1,FALSE),"sim",""),"")</f>
        <v>sim</v>
      </c>
    </row>
    <row r="567" spans="1:4" x14ac:dyDescent="0.3">
      <c r="A567" s="15">
        <v>71190</v>
      </c>
      <c r="B567" s="17" t="s">
        <v>563</v>
      </c>
      <c r="C567" s="12">
        <v>367</v>
      </c>
      <c r="D567" s="11" t="str">
        <f>_xlfn.IFNA(IF(VLOOKUP(Tabela2[[#This Row],[CÓDIGO]],Aguardando_exclusão!A$4:A$4003,1,FALSE),"sim",""),"")</f>
        <v/>
      </c>
    </row>
    <row r="568" spans="1:4" x14ac:dyDescent="0.3">
      <c r="A568" s="15">
        <v>71697</v>
      </c>
      <c r="B568" s="17" t="s">
        <v>564</v>
      </c>
      <c r="C568" s="12">
        <v>367</v>
      </c>
      <c r="D568" s="11" t="str">
        <f>_xlfn.IFNA(IF(VLOOKUP(Tabela2[[#This Row],[CÓDIGO]],Aguardando_exclusão!A$4:A$4003,1,FALSE),"sim",""),"")</f>
        <v/>
      </c>
    </row>
    <row r="569" spans="1:4" x14ac:dyDescent="0.3">
      <c r="A569" s="15">
        <v>71874</v>
      </c>
      <c r="B569" s="17" t="s">
        <v>565</v>
      </c>
      <c r="C569" s="12">
        <v>367</v>
      </c>
      <c r="D569" s="11" t="str">
        <f>_xlfn.IFNA(IF(VLOOKUP(Tabela2[[#This Row],[CÓDIGO]],Aguardando_exclusão!A$4:A$4003,1,FALSE),"sim",""),"")</f>
        <v/>
      </c>
    </row>
    <row r="570" spans="1:4" x14ac:dyDescent="0.3">
      <c r="A570" s="15">
        <v>72052</v>
      </c>
      <c r="B570" s="17" t="s">
        <v>566</v>
      </c>
      <c r="C570" s="12">
        <v>367</v>
      </c>
      <c r="D570" s="11" t="str">
        <f>_xlfn.IFNA(IF(VLOOKUP(Tabela2[[#This Row],[CÓDIGO]],Aguardando_exclusão!A$4:A$4003,1,FALSE),"sim",""),"")</f>
        <v/>
      </c>
    </row>
    <row r="571" spans="1:4" ht="15" customHeight="1" x14ac:dyDescent="0.3">
      <c r="A571" s="15">
        <v>72184</v>
      </c>
      <c r="B571" s="17" t="s">
        <v>567</v>
      </c>
      <c r="C571" s="12">
        <v>367</v>
      </c>
      <c r="D571" s="11" t="str">
        <f>_xlfn.IFNA(IF(VLOOKUP(Tabela2[[#This Row],[CÓDIGO]],Aguardando_exclusão!A$4:A$4003,1,FALSE),"sim",""),"")</f>
        <v/>
      </c>
    </row>
    <row r="572" spans="1:4" x14ac:dyDescent="0.3">
      <c r="A572" s="15">
        <v>72222</v>
      </c>
      <c r="B572" s="17" t="s">
        <v>568</v>
      </c>
      <c r="C572" s="12">
        <v>367</v>
      </c>
      <c r="D572" s="11" t="str">
        <f>_xlfn.IFNA(IF(VLOOKUP(Tabela2[[#This Row],[CÓDIGO]],Aguardando_exclusão!A$4:A$4003,1,FALSE),"sim",""),"")</f>
        <v/>
      </c>
    </row>
    <row r="573" spans="1:4" ht="15" customHeight="1" x14ac:dyDescent="0.3">
      <c r="A573" s="15">
        <v>74124</v>
      </c>
      <c r="B573" s="17" t="s">
        <v>569</v>
      </c>
      <c r="C573" s="12">
        <v>37799</v>
      </c>
      <c r="D573" s="11" t="str">
        <f>_xlfn.IFNA(IF(VLOOKUP(Tabela2[[#This Row],[CÓDIGO]],Aguardando_exclusão!A$4:A$4003,1,FALSE),"sim",""),"")</f>
        <v/>
      </c>
    </row>
    <row r="574" spans="1:4" x14ac:dyDescent="0.3">
      <c r="A574" s="15">
        <v>74491</v>
      </c>
      <c r="B574" s="17" t="s">
        <v>570</v>
      </c>
      <c r="C574" s="12">
        <v>37823</v>
      </c>
      <c r="D574" s="11" t="str">
        <f>_xlfn.IFNA(IF(VLOOKUP(Tabela2[[#This Row],[CÓDIGO]],Aguardando_exclusão!A$4:A$4003,1,FALSE),"sim",""),"")</f>
        <v>sim</v>
      </c>
    </row>
    <row r="575" spans="1:4" x14ac:dyDescent="0.3">
      <c r="A575" s="15">
        <v>74492</v>
      </c>
      <c r="B575" s="17" t="s">
        <v>571</v>
      </c>
      <c r="C575" s="12">
        <v>37823</v>
      </c>
      <c r="D575" s="11" t="str">
        <f>_xlfn.IFNA(IF(VLOOKUP(Tabela2[[#This Row],[CÓDIGO]],Aguardando_exclusão!A$4:A$4003,1,FALSE),"sim",""),"")</f>
        <v>sim</v>
      </c>
    </row>
    <row r="576" spans="1:4" x14ac:dyDescent="0.3">
      <c r="A576" s="15">
        <v>74907</v>
      </c>
      <c r="B576" s="17" t="s">
        <v>572</v>
      </c>
      <c r="C576" s="12">
        <v>37845</v>
      </c>
      <c r="D576" s="11" t="str">
        <f>_xlfn.IFNA(IF(VLOOKUP(Tabela2[[#This Row],[CÓDIGO]],Aguardando_exclusão!A$4:A$4003,1,FALSE),"sim",""),"")</f>
        <v/>
      </c>
    </row>
    <row r="577" spans="1:4" ht="15" customHeight="1" x14ac:dyDescent="0.3">
      <c r="A577" s="15">
        <v>74908</v>
      </c>
      <c r="B577" s="17" t="s">
        <v>573</v>
      </c>
      <c r="C577" s="12">
        <v>37845</v>
      </c>
      <c r="D577" s="11" t="str">
        <f>_xlfn.IFNA(IF(VLOOKUP(Tabela2[[#This Row],[CÓDIGO]],Aguardando_exclusão!A$4:A$4003,1,FALSE),"sim",""),"")</f>
        <v/>
      </c>
    </row>
    <row r="578" spans="1:4" ht="15" customHeight="1" x14ac:dyDescent="0.3">
      <c r="A578" s="15">
        <v>74909</v>
      </c>
      <c r="B578" s="17" t="s">
        <v>574</v>
      </c>
      <c r="C578" s="12">
        <v>37845</v>
      </c>
      <c r="D578" s="11" t="str">
        <f>_xlfn.IFNA(IF(VLOOKUP(Tabela2[[#This Row],[CÓDIGO]],Aguardando_exclusão!A$4:A$4003,1,FALSE),"sim",""),"")</f>
        <v/>
      </c>
    </row>
    <row r="579" spans="1:4" ht="15" customHeight="1" x14ac:dyDescent="0.3">
      <c r="A579" s="15">
        <v>74911</v>
      </c>
      <c r="B579" s="17" t="s">
        <v>575</v>
      </c>
      <c r="C579" s="12">
        <v>37845</v>
      </c>
      <c r="D579" s="11" t="str">
        <f>_xlfn.IFNA(IF(VLOOKUP(Tabela2[[#This Row],[CÓDIGO]],Aguardando_exclusão!A$4:A$4003,1,FALSE),"sim",""),"")</f>
        <v/>
      </c>
    </row>
    <row r="580" spans="1:4" x14ac:dyDescent="0.3">
      <c r="A580" s="15">
        <v>74976</v>
      </c>
      <c r="B580" s="17" t="s">
        <v>576</v>
      </c>
      <c r="C580" s="12">
        <v>37847</v>
      </c>
      <c r="D580" s="11" t="str">
        <f>_xlfn.IFNA(IF(VLOOKUP(Tabela2[[#This Row],[CÓDIGO]],Aguardando_exclusão!A$4:A$4003,1,FALSE),"sim",""),"")</f>
        <v/>
      </c>
    </row>
    <row r="581" spans="1:4" ht="15" customHeight="1" x14ac:dyDescent="0.3">
      <c r="A581" s="15">
        <v>74979</v>
      </c>
      <c r="B581" s="17" t="s">
        <v>577</v>
      </c>
      <c r="C581" s="12">
        <v>37847</v>
      </c>
      <c r="D581" s="11" t="str">
        <f>_xlfn.IFNA(IF(VLOOKUP(Tabela2[[#This Row],[CÓDIGO]],Aguardando_exclusão!A$4:A$4003,1,FALSE),"sim",""),"")</f>
        <v/>
      </c>
    </row>
    <row r="582" spans="1:4" x14ac:dyDescent="0.3">
      <c r="A582" s="15">
        <v>75324</v>
      </c>
      <c r="B582" s="17" t="s">
        <v>578</v>
      </c>
      <c r="C582" s="12">
        <v>37879</v>
      </c>
      <c r="D582" s="11" t="str">
        <f>_xlfn.IFNA(IF(VLOOKUP(Tabela2[[#This Row],[CÓDIGO]],Aguardando_exclusão!A$4:A$4003,1,FALSE),"sim",""),"")</f>
        <v/>
      </c>
    </row>
    <row r="583" spans="1:4" x14ac:dyDescent="0.3">
      <c r="A583" s="15">
        <v>75334</v>
      </c>
      <c r="B583" s="17" t="s">
        <v>579</v>
      </c>
      <c r="C583" s="12">
        <v>37879</v>
      </c>
      <c r="D583" s="11" t="str">
        <f>_xlfn.IFNA(IF(VLOOKUP(Tabela2[[#This Row],[CÓDIGO]],Aguardando_exclusão!A$4:A$4003,1,FALSE),"sim",""),"")</f>
        <v/>
      </c>
    </row>
    <row r="584" spans="1:4" x14ac:dyDescent="0.3">
      <c r="A584" s="15">
        <v>75915</v>
      </c>
      <c r="B584" s="17" t="s">
        <v>580</v>
      </c>
      <c r="C584" s="12">
        <v>37929</v>
      </c>
      <c r="D584" s="11" t="str">
        <f>_xlfn.IFNA(IF(VLOOKUP(Tabela2[[#This Row],[CÓDIGO]],Aguardando_exclusão!A$4:A$4003,1,FALSE),"sim",""),"")</f>
        <v/>
      </c>
    </row>
    <row r="585" spans="1:4" x14ac:dyDescent="0.3">
      <c r="A585" s="15">
        <v>75938</v>
      </c>
      <c r="B585" s="17" t="s">
        <v>581</v>
      </c>
      <c r="C585" s="12">
        <v>37931</v>
      </c>
      <c r="D585" s="11" t="str">
        <f>_xlfn.IFNA(IF(VLOOKUP(Tabela2[[#This Row],[CÓDIGO]],Aguardando_exclusão!A$4:A$4003,1,FALSE),"sim",""),"")</f>
        <v/>
      </c>
    </row>
    <row r="586" spans="1:4" x14ac:dyDescent="0.3">
      <c r="A586" s="15">
        <v>76217</v>
      </c>
      <c r="B586" s="17" t="s">
        <v>582</v>
      </c>
      <c r="C586" s="12">
        <v>37956</v>
      </c>
      <c r="D586" s="11" t="str">
        <f>_xlfn.IFNA(IF(VLOOKUP(Tabela2[[#This Row],[CÓDIGO]],Aguardando_exclusão!A$4:A$4003,1,FALSE),"sim",""),"")</f>
        <v/>
      </c>
    </row>
    <row r="587" spans="1:4" x14ac:dyDescent="0.3">
      <c r="A587" s="15">
        <v>76218</v>
      </c>
      <c r="B587" s="17" t="s">
        <v>583</v>
      </c>
      <c r="C587" s="12">
        <v>37956</v>
      </c>
      <c r="D587" s="11" t="str">
        <f>_xlfn.IFNA(IF(VLOOKUP(Tabela2[[#This Row],[CÓDIGO]],Aguardando_exclusão!A$4:A$4003,1,FALSE),"sim",""),"")</f>
        <v/>
      </c>
    </row>
    <row r="588" spans="1:4" x14ac:dyDescent="0.3">
      <c r="A588" s="15">
        <v>76430</v>
      </c>
      <c r="B588" s="17" t="s">
        <v>584</v>
      </c>
      <c r="C588" s="12">
        <v>37972</v>
      </c>
      <c r="D588" s="11" t="str">
        <f>_xlfn.IFNA(IF(VLOOKUP(Tabela2[[#This Row],[CÓDIGO]],Aguardando_exclusão!A$4:A$4003,1,FALSE),"sim",""),"")</f>
        <v/>
      </c>
    </row>
    <row r="589" spans="1:4" x14ac:dyDescent="0.3">
      <c r="A589" s="15">
        <v>76583</v>
      </c>
      <c r="B589" s="17" t="s">
        <v>585</v>
      </c>
      <c r="C589" s="12">
        <v>37995</v>
      </c>
      <c r="D589" s="11" t="str">
        <f>_xlfn.IFNA(IF(VLOOKUP(Tabela2[[#This Row],[CÓDIGO]],Aguardando_exclusão!A$4:A$4003,1,FALSE),"sim",""),"")</f>
        <v/>
      </c>
    </row>
    <row r="590" spans="1:4" ht="15" customHeight="1" x14ac:dyDescent="0.3">
      <c r="A590" s="15">
        <v>76776</v>
      </c>
      <c r="B590" s="17" t="s">
        <v>586</v>
      </c>
      <c r="C590" s="12">
        <v>38014</v>
      </c>
      <c r="D590" s="11" t="str">
        <f>_xlfn.IFNA(IF(VLOOKUP(Tabela2[[#This Row],[CÓDIGO]],Aguardando_exclusão!A$4:A$4003,1,FALSE),"sim",""),"")</f>
        <v/>
      </c>
    </row>
    <row r="591" spans="1:4" x14ac:dyDescent="0.3">
      <c r="A591" s="15">
        <v>76777</v>
      </c>
      <c r="B591" s="17" t="s">
        <v>587</v>
      </c>
      <c r="C591" s="12">
        <v>38014</v>
      </c>
      <c r="D591" s="11" t="str">
        <f>_xlfn.IFNA(IF(VLOOKUP(Tabela2[[#This Row],[CÓDIGO]],Aguardando_exclusão!A$4:A$4003,1,FALSE),"sim",""),"")</f>
        <v/>
      </c>
    </row>
    <row r="592" spans="1:4" x14ac:dyDescent="0.3">
      <c r="A592" s="15">
        <v>76780</v>
      </c>
      <c r="B592" s="17" t="s">
        <v>588</v>
      </c>
      <c r="C592" s="12">
        <v>38014</v>
      </c>
      <c r="D592" s="11" t="str">
        <f>_xlfn.IFNA(IF(VLOOKUP(Tabela2[[#This Row],[CÓDIGO]],Aguardando_exclusão!A$4:A$4003,1,FALSE),"sim",""),"")</f>
        <v/>
      </c>
    </row>
    <row r="593" spans="1:4" x14ac:dyDescent="0.3">
      <c r="A593" s="15">
        <v>76781</v>
      </c>
      <c r="B593" s="17" t="s">
        <v>589</v>
      </c>
      <c r="C593" s="12">
        <v>38014</v>
      </c>
      <c r="D593" s="11" t="str">
        <f>_xlfn.IFNA(IF(VLOOKUP(Tabela2[[#This Row],[CÓDIGO]],Aguardando_exclusão!A$4:A$4003,1,FALSE),"sim",""),"")</f>
        <v/>
      </c>
    </row>
    <row r="594" spans="1:4" x14ac:dyDescent="0.3">
      <c r="A594" s="15">
        <v>76806</v>
      </c>
      <c r="B594" s="17" t="s">
        <v>590</v>
      </c>
      <c r="C594" s="12">
        <v>38014</v>
      </c>
      <c r="D594" s="11" t="str">
        <f>_xlfn.IFNA(IF(VLOOKUP(Tabela2[[#This Row],[CÓDIGO]],Aguardando_exclusão!A$4:A$4003,1,FALSE),"sim",""),"")</f>
        <v/>
      </c>
    </row>
    <row r="595" spans="1:4" x14ac:dyDescent="0.3">
      <c r="A595" s="15">
        <v>77109</v>
      </c>
      <c r="B595" s="17" t="s">
        <v>591</v>
      </c>
      <c r="C595" s="12">
        <v>38028</v>
      </c>
      <c r="D595" s="11" t="str">
        <f>_xlfn.IFNA(IF(VLOOKUP(Tabela2[[#This Row],[CÓDIGO]],Aguardando_exclusão!A$4:A$4003,1,FALSE),"sim",""),"")</f>
        <v/>
      </c>
    </row>
    <row r="596" spans="1:4" x14ac:dyDescent="0.3">
      <c r="A596" s="15">
        <v>77110</v>
      </c>
      <c r="B596" s="17" t="s">
        <v>592</v>
      </c>
      <c r="C596" s="12">
        <v>38028</v>
      </c>
      <c r="D596" s="11" t="str">
        <f>_xlfn.IFNA(IF(VLOOKUP(Tabela2[[#This Row],[CÓDIGO]],Aguardando_exclusão!A$4:A$4003,1,FALSE),"sim",""),"")</f>
        <v/>
      </c>
    </row>
    <row r="597" spans="1:4" x14ac:dyDescent="0.3">
      <c r="A597" s="15">
        <v>77493</v>
      </c>
      <c r="B597" s="17" t="s">
        <v>593</v>
      </c>
      <c r="C597" s="12">
        <v>38054</v>
      </c>
      <c r="D597" s="11" t="str">
        <f>_xlfn.IFNA(IF(VLOOKUP(Tabela2[[#This Row],[CÓDIGO]],Aguardando_exclusão!A$4:A$4003,1,FALSE),"sim",""),"")</f>
        <v/>
      </c>
    </row>
    <row r="598" spans="1:4" x14ac:dyDescent="0.3">
      <c r="A598" s="15">
        <v>77554</v>
      </c>
      <c r="B598" s="17" t="s">
        <v>594</v>
      </c>
      <c r="C598" s="12">
        <v>38054</v>
      </c>
      <c r="D598" s="11" t="str">
        <f>_xlfn.IFNA(IF(VLOOKUP(Tabela2[[#This Row],[CÓDIGO]],Aguardando_exclusão!A$4:A$4003,1,FALSE),"sim",""),"")</f>
        <v/>
      </c>
    </row>
    <row r="599" spans="1:4" x14ac:dyDescent="0.3">
      <c r="A599" s="15">
        <v>77556</v>
      </c>
      <c r="B599" s="17" t="s">
        <v>595</v>
      </c>
      <c r="C599" s="12">
        <v>38056</v>
      </c>
      <c r="D599" s="11" t="str">
        <f>_xlfn.IFNA(IF(VLOOKUP(Tabela2[[#This Row],[CÓDIGO]],Aguardando_exclusão!A$4:A$4003,1,FALSE),"sim",""),"")</f>
        <v/>
      </c>
    </row>
    <row r="600" spans="1:4" x14ac:dyDescent="0.3">
      <c r="A600" s="15">
        <v>77557</v>
      </c>
      <c r="B600" s="17" t="s">
        <v>596</v>
      </c>
      <c r="C600" s="12">
        <v>38056</v>
      </c>
      <c r="D600" s="11" t="str">
        <f>_xlfn.IFNA(IF(VLOOKUP(Tabela2[[#This Row],[CÓDIGO]],Aguardando_exclusão!A$4:A$4003,1,FALSE),"sim",""),"")</f>
        <v/>
      </c>
    </row>
    <row r="601" spans="1:4" x14ac:dyDescent="0.3">
      <c r="A601" s="15">
        <v>77562</v>
      </c>
      <c r="B601" s="17" t="s">
        <v>597</v>
      </c>
      <c r="C601" s="12">
        <v>38056</v>
      </c>
      <c r="D601" s="11" t="str">
        <f>_xlfn.IFNA(IF(VLOOKUP(Tabela2[[#This Row],[CÓDIGO]],Aguardando_exclusão!A$4:A$4003,1,FALSE),"sim",""),"")</f>
        <v/>
      </c>
    </row>
    <row r="602" spans="1:4" x14ac:dyDescent="0.3">
      <c r="A602" s="15">
        <v>77755</v>
      </c>
      <c r="B602" s="17" t="s">
        <v>598</v>
      </c>
      <c r="C602" s="12">
        <v>38063</v>
      </c>
      <c r="D602" s="11" t="str">
        <f>_xlfn.IFNA(IF(VLOOKUP(Tabela2[[#This Row],[CÓDIGO]],Aguardando_exclusão!A$4:A$4003,1,FALSE),"sim",""),"")</f>
        <v/>
      </c>
    </row>
    <row r="603" spans="1:4" x14ac:dyDescent="0.3">
      <c r="A603" s="15">
        <v>77786</v>
      </c>
      <c r="B603" s="17" t="s">
        <v>599</v>
      </c>
      <c r="C603" s="12">
        <v>38064</v>
      </c>
      <c r="D603" s="11" t="str">
        <f>_xlfn.IFNA(IF(VLOOKUP(Tabela2[[#This Row],[CÓDIGO]],Aguardando_exclusão!A$4:A$4003,1,FALSE),"sim",""),"")</f>
        <v/>
      </c>
    </row>
    <row r="604" spans="1:4" x14ac:dyDescent="0.3">
      <c r="A604" s="15">
        <v>77788</v>
      </c>
      <c r="B604" s="17" t="s">
        <v>600</v>
      </c>
      <c r="C604" s="12">
        <v>38064</v>
      </c>
      <c r="D604" s="11" t="str">
        <f>_xlfn.IFNA(IF(VLOOKUP(Tabela2[[#This Row],[CÓDIGO]],Aguardando_exclusão!A$4:A$4003,1,FALSE),"sim",""),"")</f>
        <v/>
      </c>
    </row>
    <row r="605" spans="1:4" x14ac:dyDescent="0.3">
      <c r="A605" s="15">
        <v>77819</v>
      </c>
      <c r="B605" s="17" t="s">
        <v>601</v>
      </c>
      <c r="C605" s="12">
        <v>38065</v>
      </c>
      <c r="D605" s="11" t="str">
        <f>_xlfn.IFNA(IF(VLOOKUP(Tabela2[[#This Row],[CÓDIGO]],Aguardando_exclusão!A$4:A$4003,1,FALSE),"sim",""),"")</f>
        <v/>
      </c>
    </row>
    <row r="606" spans="1:4" x14ac:dyDescent="0.3">
      <c r="A606" s="15">
        <v>77821</v>
      </c>
      <c r="B606" s="17" t="s">
        <v>602</v>
      </c>
      <c r="C606" s="12">
        <v>38065</v>
      </c>
      <c r="D606" s="11" t="str">
        <f>_xlfn.IFNA(IF(VLOOKUP(Tabela2[[#This Row],[CÓDIGO]],Aguardando_exclusão!A$4:A$4003,1,FALSE),"sim",""),"")</f>
        <v/>
      </c>
    </row>
    <row r="607" spans="1:4" ht="15" customHeight="1" x14ac:dyDescent="0.3">
      <c r="A607" s="15">
        <v>77822</v>
      </c>
      <c r="B607" s="17" t="s">
        <v>603</v>
      </c>
      <c r="C607" s="12">
        <v>38065</v>
      </c>
      <c r="D607" s="11" t="str">
        <f>_xlfn.IFNA(IF(VLOOKUP(Tabela2[[#This Row],[CÓDIGO]],Aguardando_exclusão!A$4:A$4003,1,FALSE),"sim",""),"")</f>
        <v/>
      </c>
    </row>
    <row r="608" spans="1:4" x14ac:dyDescent="0.3">
      <c r="A608" s="15">
        <v>77823</v>
      </c>
      <c r="B608" s="17" t="s">
        <v>604</v>
      </c>
      <c r="C608" s="12">
        <v>38065</v>
      </c>
      <c r="D608" s="11" t="str">
        <f>_xlfn.IFNA(IF(VLOOKUP(Tabela2[[#This Row],[CÓDIGO]],Aguardando_exclusão!A$4:A$4003,1,FALSE),"sim",""),"")</f>
        <v/>
      </c>
    </row>
    <row r="609" spans="1:4" x14ac:dyDescent="0.3">
      <c r="A609" s="15">
        <v>77992</v>
      </c>
      <c r="B609" s="17" t="s">
        <v>605</v>
      </c>
      <c r="C609" s="12">
        <v>38070</v>
      </c>
      <c r="D609" s="11" t="str">
        <f>_xlfn.IFNA(IF(VLOOKUP(Tabela2[[#This Row],[CÓDIGO]],Aguardando_exclusão!A$4:A$4003,1,FALSE),"sim",""),"")</f>
        <v/>
      </c>
    </row>
    <row r="610" spans="1:4" x14ac:dyDescent="0.3">
      <c r="A610" s="15">
        <v>78024</v>
      </c>
      <c r="B610" s="17" t="s">
        <v>606</v>
      </c>
      <c r="C610" s="12">
        <v>38071</v>
      </c>
      <c r="D610" s="11" t="str">
        <f>_xlfn.IFNA(IF(VLOOKUP(Tabela2[[#This Row],[CÓDIGO]],Aguardando_exclusão!A$4:A$4003,1,FALSE),"sim",""),"")</f>
        <v/>
      </c>
    </row>
    <row r="611" spans="1:4" x14ac:dyDescent="0.3">
      <c r="A611" s="15">
        <v>78025</v>
      </c>
      <c r="B611" s="17" t="s">
        <v>607</v>
      </c>
      <c r="C611" s="12">
        <v>38071</v>
      </c>
      <c r="D611" s="11" t="str">
        <f>_xlfn.IFNA(IF(VLOOKUP(Tabela2[[#This Row],[CÓDIGO]],Aguardando_exclusão!A$4:A$4003,1,FALSE),"sim",""),"")</f>
        <v/>
      </c>
    </row>
    <row r="612" spans="1:4" x14ac:dyDescent="0.3">
      <c r="A612" s="15">
        <v>78026</v>
      </c>
      <c r="B612" s="17" t="s">
        <v>608</v>
      </c>
      <c r="C612" s="12">
        <v>38071</v>
      </c>
      <c r="D612" s="11" t="str">
        <f>_xlfn.IFNA(IF(VLOOKUP(Tabela2[[#This Row],[CÓDIGO]],Aguardando_exclusão!A$4:A$4003,1,FALSE),"sim",""),"")</f>
        <v/>
      </c>
    </row>
    <row r="613" spans="1:4" x14ac:dyDescent="0.3">
      <c r="A613" s="15">
        <v>78027</v>
      </c>
      <c r="B613" s="17" t="s">
        <v>609</v>
      </c>
      <c r="C613" s="12">
        <v>38071</v>
      </c>
      <c r="D613" s="11" t="str">
        <f>_xlfn.IFNA(IF(VLOOKUP(Tabela2[[#This Row],[CÓDIGO]],Aguardando_exclusão!A$4:A$4003,1,FALSE),"sim",""),"")</f>
        <v>sim</v>
      </c>
    </row>
    <row r="614" spans="1:4" x14ac:dyDescent="0.3">
      <c r="A614" s="15">
        <v>78043</v>
      </c>
      <c r="B614" s="17" t="s">
        <v>610</v>
      </c>
      <c r="C614" s="12">
        <v>38071</v>
      </c>
      <c r="D614" s="11" t="str">
        <f>_xlfn.IFNA(IF(VLOOKUP(Tabela2[[#This Row],[CÓDIGO]],Aguardando_exclusão!A$4:A$4003,1,FALSE),"sim",""),"")</f>
        <v>sim</v>
      </c>
    </row>
    <row r="615" spans="1:4" x14ac:dyDescent="0.3">
      <c r="A615" s="15">
        <v>78055</v>
      </c>
      <c r="B615" s="17" t="s">
        <v>611</v>
      </c>
      <c r="C615" s="12">
        <v>38072</v>
      </c>
      <c r="D615" s="11" t="str">
        <f>_xlfn.IFNA(IF(VLOOKUP(Tabela2[[#This Row],[CÓDIGO]],Aguardando_exclusão!A$4:A$4003,1,FALSE),"sim",""),"")</f>
        <v/>
      </c>
    </row>
    <row r="616" spans="1:4" x14ac:dyDescent="0.3">
      <c r="A616" s="15">
        <v>78057</v>
      </c>
      <c r="B616" s="17" t="s">
        <v>612</v>
      </c>
      <c r="C616" s="12">
        <v>38072</v>
      </c>
      <c r="D616" s="11" t="str">
        <f>_xlfn.IFNA(IF(VLOOKUP(Tabela2[[#This Row],[CÓDIGO]],Aguardando_exclusão!A$4:A$4003,1,FALSE),"sim",""),"")</f>
        <v/>
      </c>
    </row>
    <row r="617" spans="1:4" ht="15" customHeight="1" x14ac:dyDescent="0.3">
      <c r="A617" s="15">
        <v>78181</v>
      </c>
      <c r="B617" s="17" t="s">
        <v>613</v>
      </c>
      <c r="C617" s="12">
        <v>38079</v>
      </c>
      <c r="D617" s="11" t="str">
        <f>_xlfn.IFNA(IF(VLOOKUP(Tabela2[[#This Row],[CÓDIGO]],Aguardando_exclusão!A$4:A$4003,1,FALSE),"sim",""),"")</f>
        <v/>
      </c>
    </row>
    <row r="618" spans="1:4" x14ac:dyDescent="0.3">
      <c r="A618" s="15">
        <v>78303</v>
      </c>
      <c r="B618" s="17" t="s">
        <v>614</v>
      </c>
      <c r="C618" s="12">
        <v>38085</v>
      </c>
      <c r="D618" s="11" t="str">
        <f>_xlfn.IFNA(IF(VLOOKUP(Tabela2[[#This Row],[CÓDIGO]],Aguardando_exclusão!A$4:A$4003,1,FALSE),"sim",""),"")</f>
        <v/>
      </c>
    </row>
    <row r="619" spans="1:4" x14ac:dyDescent="0.3">
      <c r="A619" s="15">
        <v>78304</v>
      </c>
      <c r="B619" s="17" t="s">
        <v>615</v>
      </c>
      <c r="C619" s="12">
        <v>38085</v>
      </c>
      <c r="D619" s="11" t="str">
        <f>_xlfn.IFNA(IF(VLOOKUP(Tabela2[[#This Row],[CÓDIGO]],Aguardando_exclusão!A$4:A$4003,1,FALSE),"sim",""),"")</f>
        <v>sim</v>
      </c>
    </row>
    <row r="620" spans="1:4" x14ac:dyDescent="0.3">
      <c r="A620" s="15">
        <v>78306</v>
      </c>
      <c r="B620" s="17" t="s">
        <v>616</v>
      </c>
      <c r="C620" s="12">
        <v>38085</v>
      </c>
      <c r="D620" s="11" t="str">
        <f>_xlfn.IFNA(IF(VLOOKUP(Tabela2[[#This Row],[CÓDIGO]],Aguardando_exclusão!A$4:A$4003,1,FALSE),"sim",""),"")</f>
        <v/>
      </c>
    </row>
    <row r="621" spans="1:4" x14ac:dyDescent="0.3">
      <c r="A621" s="15">
        <v>78307</v>
      </c>
      <c r="B621" s="17" t="s">
        <v>617</v>
      </c>
      <c r="C621" s="12">
        <v>38085</v>
      </c>
      <c r="D621" s="11" t="str">
        <f>_xlfn.IFNA(IF(VLOOKUP(Tabela2[[#This Row],[CÓDIGO]],Aguardando_exclusão!A$4:A$4003,1,FALSE),"sim",""),"")</f>
        <v/>
      </c>
    </row>
    <row r="622" spans="1:4" x14ac:dyDescent="0.3">
      <c r="A622" s="15">
        <v>78398</v>
      </c>
      <c r="B622" s="17" t="s">
        <v>618</v>
      </c>
      <c r="C622" s="12">
        <v>38096</v>
      </c>
      <c r="D622" s="11" t="str">
        <f>_xlfn.IFNA(IF(VLOOKUP(Tabela2[[#This Row],[CÓDIGO]],Aguardando_exclusão!A$4:A$4003,1,FALSE),"sim",""),"")</f>
        <v/>
      </c>
    </row>
    <row r="623" spans="1:4" x14ac:dyDescent="0.3">
      <c r="A623" s="15">
        <v>78399</v>
      </c>
      <c r="B623" s="17" t="s">
        <v>619</v>
      </c>
      <c r="C623" s="12">
        <v>38096</v>
      </c>
      <c r="D623" s="11" t="str">
        <f>_xlfn.IFNA(IF(VLOOKUP(Tabela2[[#This Row],[CÓDIGO]],Aguardando_exclusão!A$4:A$4003,1,FALSE),"sim",""),"")</f>
        <v/>
      </c>
    </row>
    <row r="624" spans="1:4" x14ac:dyDescent="0.3">
      <c r="A624" s="15">
        <v>78416</v>
      </c>
      <c r="B624" s="17" t="s">
        <v>620</v>
      </c>
      <c r="C624" s="12">
        <v>38097</v>
      </c>
      <c r="D624" s="11" t="str">
        <f>_xlfn.IFNA(IF(VLOOKUP(Tabela2[[#This Row],[CÓDIGO]],Aguardando_exclusão!A$4:A$4003,1,FALSE),"sim",""),"")</f>
        <v/>
      </c>
    </row>
    <row r="625" spans="1:4" ht="15" customHeight="1" x14ac:dyDescent="0.3">
      <c r="A625" s="15">
        <v>78418</v>
      </c>
      <c r="B625" s="17" t="s">
        <v>621</v>
      </c>
      <c r="C625" s="12">
        <v>38097</v>
      </c>
      <c r="D625" s="11" t="str">
        <f>_xlfn.IFNA(IF(VLOOKUP(Tabela2[[#This Row],[CÓDIGO]],Aguardando_exclusão!A$4:A$4003,1,FALSE),"sim",""),"")</f>
        <v/>
      </c>
    </row>
    <row r="626" spans="1:4" x14ac:dyDescent="0.3">
      <c r="A626" s="16">
        <v>78509</v>
      </c>
      <c r="B626" s="18" t="s">
        <v>622</v>
      </c>
      <c r="C626" s="13">
        <v>38100</v>
      </c>
      <c r="D626" s="11" t="str">
        <f>_xlfn.IFNA(IF(VLOOKUP(Tabela2[[#This Row],[CÓDIGO]],Aguardando_exclusão!A$4:A$4003,1,FALSE),"sim",""),"")</f>
        <v/>
      </c>
    </row>
    <row r="627" spans="1:4" x14ac:dyDescent="0.3">
      <c r="A627" s="15">
        <v>78641</v>
      </c>
      <c r="B627" s="17" t="s">
        <v>623</v>
      </c>
      <c r="C627" s="12">
        <v>38104</v>
      </c>
      <c r="D627" s="11" t="str">
        <f>_xlfn.IFNA(IF(VLOOKUP(Tabela2[[#This Row],[CÓDIGO]],Aguardando_exclusão!A$4:A$4003,1,FALSE),"sim",""),"")</f>
        <v/>
      </c>
    </row>
    <row r="628" spans="1:4" x14ac:dyDescent="0.3">
      <c r="A628" s="15">
        <v>78642</v>
      </c>
      <c r="B628" s="17" t="s">
        <v>624</v>
      </c>
      <c r="C628" s="12">
        <v>38104</v>
      </c>
      <c r="D628" s="11" t="str">
        <f>_xlfn.IFNA(IF(VLOOKUP(Tabela2[[#This Row],[CÓDIGO]],Aguardando_exclusão!A$4:A$4003,1,FALSE),"sim",""),"")</f>
        <v/>
      </c>
    </row>
    <row r="629" spans="1:4" x14ac:dyDescent="0.3">
      <c r="A629" s="15">
        <v>78643</v>
      </c>
      <c r="B629" s="17" t="s">
        <v>625</v>
      </c>
      <c r="C629" s="12">
        <v>38104</v>
      </c>
      <c r="D629" s="11" t="str">
        <f>_xlfn.IFNA(IF(VLOOKUP(Tabela2[[#This Row],[CÓDIGO]],Aguardando_exclusão!A$4:A$4003,1,FALSE),"sim",""),"")</f>
        <v/>
      </c>
    </row>
    <row r="630" spans="1:4" x14ac:dyDescent="0.3">
      <c r="A630" s="15">
        <v>78646</v>
      </c>
      <c r="B630" s="17" t="s">
        <v>626</v>
      </c>
      <c r="C630" s="12">
        <v>38104</v>
      </c>
      <c r="D630" s="11" t="str">
        <f>_xlfn.IFNA(IF(VLOOKUP(Tabela2[[#This Row],[CÓDIGO]],Aguardando_exclusão!A$4:A$4003,1,FALSE),"sim",""),"")</f>
        <v/>
      </c>
    </row>
    <row r="631" spans="1:4" x14ac:dyDescent="0.3">
      <c r="A631" s="15">
        <v>78920</v>
      </c>
      <c r="B631" s="17" t="s">
        <v>627</v>
      </c>
      <c r="C631" s="12">
        <v>38113</v>
      </c>
      <c r="D631" s="11" t="str">
        <f>_xlfn.IFNA(IF(VLOOKUP(Tabela2[[#This Row],[CÓDIGO]],Aguardando_exclusão!A$4:A$4003,1,FALSE),"sim",""),"")</f>
        <v/>
      </c>
    </row>
    <row r="632" spans="1:4" x14ac:dyDescent="0.3">
      <c r="A632" s="15">
        <v>79635</v>
      </c>
      <c r="B632" s="17" t="s">
        <v>628</v>
      </c>
      <c r="C632" s="12">
        <v>38135</v>
      </c>
      <c r="D632" s="11" t="str">
        <f>_xlfn.IFNA(IF(VLOOKUP(Tabela2[[#This Row],[CÓDIGO]],Aguardando_exclusão!A$4:A$4003,1,FALSE),"sim",""),"")</f>
        <v/>
      </c>
    </row>
    <row r="633" spans="1:4" x14ac:dyDescent="0.3">
      <c r="A633" s="15">
        <v>79687</v>
      </c>
      <c r="B633" s="17" t="s">
        <v>629</v>
      </c>
      <c r="C633" s="12">
        <v>38138</v>
      </c>
      <c r="D633" s="11" t="str">
        <f>_xlfn.IFNA(IF(VLOOKUP(Tabela2[[#This Row],[CÓDIGO]],Aguardando_exclusão!A$4:A$4003,1,FALSE),"sim",""),"")</f>
        <v/>
      </c>
    </row>
    <row r="634" spans="1:4" x14ac:dyDescent="0.3">
      <c r="A634" s="15">
        <v>79688</v>
      </c>
      <c r="B634" s="17" t="s">
        <v>630</v>
      </c>
      <c r="C634" s="12">
        <v>38138</v>
      </c>
      <c r="D634" s="11" t="str">
        <f>_xlfn.IFNA(IF(VLOOKUP(Tabela2[[#This Row],[CÓDIGO]],Aguardando_exclusão!A$4:A$4003,1,FALSE),"sim",""),"")</f>
        <v/>
      </c>
    </row>
    <row r="635" spans="1:4" x14ac:dyDescent="0.3">
      <c r="A635" s="15">
        <v>80297</v>
      </c>
      <c r="B635" s="17" t="s">
        <v>631</v>
      </c>
      <c r="C635" s="12">
        <v>38166</v>
      </c>
      <c r="D635" s="11" t="str">
        <f>_xlfn.IFNA(IF(VLOOKUP(Tabela2[[#This Row],[CÓDIGO]],Aguardando_exclusão!A$4:A$4003,1,FALSE),"sim",""),"")</f>
        <v>sim</v>
      </c>
    </row>
    <row r="636" spans="1:4" x14ac:dyDescent="0.3">
      <c r="A636" s="15">
        <v>80298</v>
      </c>
      <c r="B636" s="17" t="s">
        <v>632</v>
      </c>
      <c r="C636" s="12">
        <v>38166</v>
      </c>
      <c r="D636" s="11" t="str">
        <f>_xlfn.IFNA(IF(VLOOKUP(Tabela2[[#This Row],[CÓDIGO]],Aguardando_exclusão!A$4:A$4003,1,FALSE),"sim",""),"")</f>
        <v/>
      </c>
    </row>
    <row r="637" spans="1:4" x14ac:dyDescent="0.3">
      <c r="A637" s="15">
        <v>80300</v>
      </c>
      <c r="B637" s="17" t="s">
        <v>633</v>
      </c>
      <c r="C637" s="12">
        <v>38166</v>
      </c>
      <c r="D637" s="11" t="str">
        <f>_xlfn.IFNA(IF(VLOOKUP(Tabela2[[#This Row],[CÓDIGO]],Aguardando_exclusão!A$4:A$4003,1,FALSE),"sim",""),"")</f>
        <v/>
      </c>
    </row>
    <row r="638" spans="1:4" x14ac:dyDescent="0.3">
      <c r="A638" s="15">
        <v>80384</v>
      </c>
      <c r="B638" s="17" t="s">
        <v>634</v>
      </c>
      <c r="C638" s="12">
        <v>38169</v>
      </c>
      <c r="D638" s="11" t="str">
        <f>_xlfn.IFNA(IF(VLOOKUP(Tabela2[[#This Row],[CÓDIGO]],Aguardando_exclusão!A$4:A$4003,1,FALSE),"sim",""),"")</f>
        <v/>
      </c>
    </row>
    <row r="639" spans="1:4" x14ac:dyDescent="0.3">
      <c r="A639" s="15">
        <v>80385</v>
      </c>
      <c r="B639" s="17" t="s">
        <v>635</v>
      </c>
      <c r="C639" s="12">
        <v>38169</v>
      </c>
      <c r="D639" s="11" t="str">
        <f>_xlfn.IFNA(IF(VLOOKUP(Tabela2[[#This Row],[CÓDIGO]],Aguardando_exclusão!A$4:A$4003,1,FALSE),"sim",""),"")</f>
        <v/>
      </c>
    </row>
    <row r="640" spans="1:4" x14ac:dyDescent="0.3">
      <c r="A640" s="15">
        <v>80387</v>
      </c>
      <c r="B640" s="17" t="s">
        <v>636</v>
      </c>
      <c r="C640" s="12">
        <v>38169</v>
      </c>
      <c r="D640" s="11" t="str">
        <f>_xlfn.IFNA(IF(VLOOKUP(Tabela2[[#This Row],[CÓDIGO]],Aguardando_exclusão!A$4:A$4003,1,FALSE),"sim",""),"")</f>
        <v/>
      </c>
    </row>
    <row r="641" spans="1:4" x14ac:dyDescent="0.3">
      <c r="A641" s="15">
        <v>80388</v>
      </c>
      <c r="B641" s="17" t="s">
        <v>637</v>
      </c>
      <c r="C641" s="12">
        <v>38169</v>
      </c>
      <c r="D641" s="11" t="str">
        <f>_xlfn.IFNA(IF(VLOOKUP(Tabela2[[#This Row],[CÓDIGO]],Aguardando_exclusão!A$4:A$4003,1,FALSE),"sim",""),"")</f>
        <v>sim</v>
      </c>
    </row>
    <row r="642" spans="1:4" x14ac:dyDescent="0.3">
      <c r="A642" s="15">
        <v>80390</v>
      </c>
      <c r="B642" s="17" t="s">
        <v>638</v>
      </c>
      <c r="C642" s="12">
        <v>38169</v>
      </c>
      <c r="D642" s="11" t="str">
        <f>_xlfn.IFNA(IF(VLOOKUP(Tabela2[[#This Row],[CÓDIGO]],Aguardando_exclusão!A$4:A$4003,1,FALSE),"sim",""),"")</f>
        <v/>
      </c>
    </row>
    <row r="643" spans="1:4" ht="15" customHeight="1" x14ac:dyDescent="0.3">
      <c r="A643" s="15">
        <v>80391</v>
      </c>
      <c r="B643" s="17" t="s">
        <v>639</v>
      </c>
      <c r="C643" s="12">
        <v>38169</v>
      </c>
      <c r="D643" s="11" t="str">
        <f>_xlfn.IFNA(IF(VLOOKUP(Tabela2[[#This Row],[CÓDIGO]],Aguardando_exclusão!A$4:A$4003,1,FALSE),"sim",""),"")</f>
        <v>sim</v>
      </c>
    </row>
    <row r="644" spans="1:4" x14ac:dyDescent="0.3">
      <c r="A644" s="15">
        <v>80575</v>
      </c>
      <c r="B644" s="17" t="s">
        <v>640</v>
      </c>
      <c r="C644" s="12">
        <v>38180</v>
      </c>
      <c r="D644" s="11" t="str">
        <f>_xlfn.IFNA(IF(VLOOKUP(Tabela2[[#This Row],[CÓDIGO]],Aguardando_exclusão!A$4:A$4003,1,FALSE),"sim",""),"")</f>
        <v>sim</v>
      </c>
    </row>
    <row r="645" spans="1:4" x14ac:dyDescent="0.3">
      <c r="A645" s="15">
        <v>80650</v>
      </c>
      <c r="B645" s="17" t="s">
        <v>641</v>
      </c>
      <c r="C645" s="12">
        <v>38187</v>
      </c>
      <c r="D645" s="11" t="str">
        <f>_xlfn.IFNA(IF(VLOOKUP(Tabela2[[#This Row],[CÓDIGO]],Aguardando_exclusão!A$4:A$4003,1,FALSE),"sim",""),"")</f>
        <v/>
      </c>
    </row>
    <row r="646" spans="1:4" x14ac:dyDescent="0.3">
      <c r="A646" s="15">
        <v>80749</v>
      </c>
      <c r="B646" s="17" t="s">
        <v>642</v>
      </c>
      <c r="C646" s="12">
        <v>38189</v>
      </c>
      <c r="D646" s="11" t="str">
        <f>_xlfn.IFNA(IF(VLOOKUP(Tabela2[[#This Row],[CÓDIGO]],Aguardando_exclusão!A$4:A$4003,1,FALSE),"sim",""),"")</f>
        <v>sim</v>
      </c>
    </row>
    <row r="647" spans="1:4" ht="15" customHeight="1" x14ac:dyDescent="0.3">
      <c r="A647" s="15">
        <v>80872</v>
      </c>
      <c r="B647" s="17" t="s">
        <v>643</v>
      </c>
      <c r="C647" s="12">
        <v>38170</v>
      </c>
      <c r="D647" s="11" t="str">
        <f>_xlfn.IFNA(IF(VLOOKUP(Tabela2[[#This Row],[CÓDIGO]],Aguardando_exclusão!A$4:A$4003,1,FALSE),"sim",""),"")</f>
        <v/>
      </c>
    </row>
    <row r="648" spans="1:4" ht="15" customHeight="1" x14ac:dyDescent="0.3">
      <c r="A648" s="15">
        <v>80874</v>
      </c>
      <c r="B648" s="17" t="s">
        <v>644</v>
      </c>
      <c r="C648" s="12">
        <v>38196</v>
      </c>
      <c r="D648" s="11" t="str">
        <f>_xlfn.IFNA(IF(VLOOKUP(Tabela2[[#This Row],[CÓDIGO]],Aguardando_exclusão!A$4:A$4003,1,FALSE),"sim",""),"")</f>
        <v/>
      </c>
    </row>
    <row r="649" spans="1:4" x14ac:dyDescent="0.3">
      <c r="A649" s="15">
        <v>81131</v>
      </c>
      <c r="B649" s="17" t="s">
        <v>645</v>
      </c>
      <c r="C649" s="12">
        <v>38205</v>
      </c>
      <c r="D649" s="11" t="str">
        <f>_xlfn.IFNA(IF(VLOOKUP(Tabela2[[#This Row],[CÓDIGO]],Aguardando_exclusão!A$4:A$4003,1,FALSE),"sim",""),"")</f>
        <v/>
      </c>
    </row>
    <row r="650" spans="1:4" ht="15" customHeight="1" x14ac:dyDescent="0.3">
      <c r="A650" s="15">
        <v>81152</v>
      </c>
      <c r="B650" s="17" t="s">
        <v>646</v>
      </c>
      <c r="C650" s="12">
        <v>38208</v>
      </c>
      <c r="D650" s="11" t="str">
        <f>_xlfn.IFNA(IF(VLOOKUP(Tabela2[[#This Row],[CÓDIGO]],Aguardando_exclusão!A$4:A$4003,1,FALSE),"sim",""),"")</f>
        <v/>
      </c>
    </row>
    <row r="651" spans="1:4" x14ac:dyDescent="0.3">
      <c r="A651" s="15">
        <v>81370</v>
      </c>
      <c r="B651" s="17" t="s">
        <v>647</v>
      </c>
      <c r="C651" s="12">
        <v>38217</v>
      </c>
      <c r="D651" s="11" t="str">
        <f>_xlfn.IFNA(IF(VLOOKUP(Tabela2[[#This Row],[CÓDIGO]],Aguardando_exclusão!A$4:A$4003,1,FALSE),"sim",""),"")</f>
        <v/>
      </c>
    </row>
    <row r="652" spans="1:4" x14ac:dyDescent="0.3">
      <c r="A652" s="15">
        <v>81371</v>
      </c>
      <c r="B652" s="17" t="s">
        <v>648</v>
      </c>
      <c r="C652" s="12">
        <v>38217</v>
      </c>
      <c r="D652" s="11" t="str">
        <f>_xlfn.IFNA(IF(VLOOKUP(Tabela2[[#This Row],[CÓDIGO]],Aguardando_exclusão!A$4:A$4003,1,FALSE),"sim",""),"")</f>
        <v/>
      </c>
    </row>
    <row r="653" spans="1:4" x14ac:dyDescent="0.3">
      <c r="A653" s="15">
        <v>81455</v>
      </c>
      <c r="B653" s="17" t="s">
        <v>649</v>
      </c>
      <c r="C653" s="12">
        <v>38223</v>
      </c>
      <c r="D653" s="11" t="str">
        <f>_xlfn.IFNA(IF(VLOOKUP(Tabela2[[#This Row],[CÓDIGO]],Aguardando_exclusão!A$4:A$4003,1,FALSE),"sim",""),"")</f>
        <v/>
      </c>
    </row>
    <row r="654" spans="1:4" ht="15" customHeight="1" x14ac:dyDescent="0.3">
      <c r="A654" s="15">
        <v>81493</v>
      </c>
      <c r="B654" s="17" t="s">
        <v>650</v>
      </c>
      <c r="C654" s="12">
        <v>38225</v>
      </c>
      <c r="D654" s="11" t="str">
        <f>_xlfn.IFNA(IF(VLOOKUP(Tabela2[[#This Row],[CÓDIGO]],Aguardando_exclusão!A$4:A$4003,1,FALSE),"sim",""),"")</f>
        <v/>
      </c>
    </row>
    <row r="655" spans="1:4" x14ac:dyDescent="0.3">
      <c r="A655" s="15">
        <v>81509</v>
      </c>
      <c r="B655" s="17" t="s">
        <v>651</v>
      </c>
      <c r="C655" s="12">
        <v>38225</v>
      </c>
      <c r="D655" s="11" t="str">
        <f>_xlfn.IFNA(IF(VLOOKUP(Tabela2[[#This Row],[CÓDIGO]],Aguardando_exclusão!A$4:A$4003,1,FALSE),"sim",""),"")</f>
        <v>sim</v>
      </c>
    </row>
    <row r="656" spans="1:4" x14ac:dyDescent="0.3">
      <c r="A656" s="15">
        <v>81514</v>
      </c>
      <c r="B656" s="17" t="s">
        <v>652</v>
      </c>
      <c r="C656" s="12">
        <v>38226</v>
      </c>
      <c r="D656" s="11" t="str">
        <f>_xlfn.IFNA(IF(VLOOKUP(Tabela2[[#This Row],[CÓDIGO]],Aguardando_exclusão!A$4:A$4003,1,FALSE),"sim",""),"")</f>
        <v/>
      </c>
    </row>
    <row r="657" spans="1:4" x14ac:dyDescent="0.3">
      <c r="A657" s="15">
        <v>81563</v>
      </c>
      <c r="B657" s="17" t="s">
        <v>653</v>
      </c>
      <c r="C657" s="12">
        <v>38231</v>
      </c>
      <c r="D657" s="11" t="str">
        <f>_xlfn.IFNA(IF(VLOOKUP(Tabela2[[#This Row],[CÓDIGO]],Aguardando_exclusão!A$4:A$4003,1,FALSE),"sim",""),"")</f>
        <v/>
      </c>
    </row>
    <row r="658" spans="1:4" x14ac:dyDescent="0.3">
      <c r="A658" s="15">
        <v>81564</v>
      </c>
      <c r="B658" s="17" t="s">
        <v>654</v>
      </c>
      <c r="C658" s="12">
        <v>38231</v>
      </c>
      <c r="D658" s="11" t="str">
        <f>_xlfn.IFNA(IF(VLOOKUP(Tabela2[[#This Row],[CÓDIGO]],Aguardando_exclusão!A$4:A$4003,1,FALSE),"sim",""),"")</f>
        <v/>
      </c>
    </row>
    <row r="659" spans="1:4" x14ac:dyDescent="0.3">
      <c r="A659" s="15">
        <v>81565</v>
      </c>
      <c r="B659" s="17" t="s">
        <v>655</v>
      </c>
      <c r="C659" s="12">
        <v>38231</v>
      </c>
      <c r="D659" s="11" t="str">
        <f>_xlfn.IFNA(IF(VLOOKUP(Tabela2[[#This Row],[CÓDIGO]],Aguardando_exclusão!A$4:A$4003,1,FALSE),"sim",""),"")</f>
        <v/>
      </c>
    </row>
    <row r="660" spans="1:4" x14ac:dyDescent="0.3">
      <c r="A660" s="15">
        <v>81566</v>
      </c>
      <c r="B660" s="17" t="s">
        <v>656</v>
      </c>
      <c r="C660" s="12">
        <v>38231</v>
      </c>
      <c r="D660" s="11" t="str">
        <f>_xlfn.IFNA(IF(VLOOKUP(Tabela2[[#This Row],[CÓDIGO]],Aguardando_exclusão!A$4:A$4003,1,FALSE),"sim",""),"")</f>
        <v/>
      </c>
    </row>
    <row r="661" spans="1:4" ht="15" customHeight="1" x14ac:dyDescent="0.3">
      <c r="A661" s="15">
        <v>81807</v>
      </c>
      <c r="B661" s="17" t="s">
        <v>657</v>
      </c>
      <c r="C661" s="12">
        <v>38246</v>
      </c>
      <c r="D661" s="11" t="str">
        <f>_xlfn.IFNA(IF(VLOOKUP(Tabela2[[#This Row],[CÓDIGO]],Aguardando_exclusão!A$4:A$4003,1,FALSE),"sim",""),"")</f>
        <v/>
      </c>
    </row>
    <row r="662" spans="1:4" ht="15" customHeight="1" x14ac:dyDescent="0.3">
      <c r="A662" s="15">
        <v>81808</v>
      </c>
      <c r="B662" s="17" t="s">
        <v>658</v>
      </c>
      <c r="C662" s="12">
        <v>38246</v>
      </c>
      <c r="D662" s="11" t="str">
        <f>_xlfn.IFNA(IF(VLOOKUP(Tabela2[[#This Row],[CÓDIGO]],Aguardando_exclusão!A$4:A$4003,1,FALSE),"sim",""),"")</f>
        <v/>
      </c>
    </row>
    <row r="663" spans="1:4" x14ac:dyDescent="0.3">
      <c r="A663" s="15">
        <v>82185</v>
      </c>
      <c r="B663" s="17" t="s">
        <v>659</v>
      </c>
      <c r="C663" s="12">
        <v>38273</v>
      </c>
      <c r="D663" s="11" t="str">
        <f>_xlfn.IFNA(IF(VLOOKUP(Tabela2[[#This Row],[CÓDIGO]],Aguardando_exclusão!A$4:A$4003,1,FALSE),"sim",""),"")</f>
        <v/>
      </c>
    </row>
    <row r="664" spans="1:4" ht="15" customHeight="1" x14ac:dyDescent="0.3">
      <c r="A664" s="15">
        <v>82452</v>
      </c>
      <c r="B664" s="17" t="s">
        <v>660</v>
      </c>
      <c r="C664" s="12">
        <v>38296</v>
      </c>
      <c r="D664" s="11" t="str">
        <f>_xlfn.IFNA(IF(VLOOKUP(Tabela2[[#This Row],[CÓDIGO]],Aguardando_exclusão!A$4:A$4003,1,FALSE),"sim",""),"")</f>
        <v/>
      </c>
    </row>
    <row r="665" spans="1:4" ht="15" customHeight="1" x14ac:dyDescent="0.3">
      <c r="A665" s="15">
        <v>82732</v>
      </c>
      <c r="B665" s="17" t="s">
        <v>661</v>
      </c>
      <c r="C665" s="12">
        <v>38310</v>
      </c>
      <c r="D665" s="11" t="str">
        <f>_xlfn.IFNA(IF(VLOOKUP(Tabela2[[#This Row],[CÓDIGO]],Aguardando_exclusão!A$4:A$4003,1,FALSE),"sim",""),"")</f>
        <v/>
      </c>
    </row>
    <row r="666" spans="1:4" x14ac:dyDescent="0.3">
      <c r="A666" s="15">
        <v>82829</v>
      </c>
      <c r="B666" s="17" t="s">
        <v>662</v>
      </c>
      <c r="C666" s="12">
        <v>38313</v>
      </c>
      <c r="D666" s="11" t="str">
        <f>_xlfn.IFNA(IF(VLOOKUP(Tabela2[[#This Row],[CÓDIGO]],Aguardando_exclusão!A$4:A$4003,1,FALSE),"sim",""),"")</f>
        <v>sim</v>
      </c>
    </row>
    <row r="667" spans="1:4" ht="15" customHeight="1" x14ac:dyDescent="0.3">
      <c r="A667" s="15">
        <v>82916</v>
      </c>
      <c r="B667" s="17" t="s">
        <v>663</v>
      </c>
      <c r="C667" s="12">
        <v>38315</v>
      </c>
      <c r="D667" s="11" t="str">
        <f>_xlfn.IFNA(IF(VLOOKUP(Tabela2[[#This Row],[CÓDIGO]],Aguardando_exclusão!A$4:A$4003,1,FALSE),"sim",""),"")</f>
        <v/>
      </c>
    </row>
    <row r="668" spans="1:4" x14ac:dyDescent="0.3">
      <c r="A668" s="15">
        <v>82995</v>
      </c>
      <c r="B668" s="17" t="s">
        <v>664</v>
      </c>
      <c r="C668" s="12">
        <v>38317</v>
      </c>
      <c r="D668" s="11" t="str">
        <f>_xlfn.IFNA(IF(VLOOKUP(Tabela2[[#This Row],[CÓDIGO]],Aguardando_exclusão!A$4:A$4003,1,FALSE),"sim",""),"")</f>
        <v/>
      </c>
    </row>
    <row r="669" spans="1:4" x14ac:dyDescent="0.3">
      <c r="A669" s="15">
        <v>82996</v>
      </c>
      <c r="B669" s="17" t="s">
        <v>665</v>
      </c>
      <c r="C669" s="12">
        <v>38317</v>
      </c>
      <c r="D669" s="11" t="str">
        <f>_xlfn.IFNA(IF(VLOOKUP(Tabela2[[#This Row],[CÓDIGO]],Aguardando_exclusão!A$4:A$4003,1,FALSE),"sim",""),"")</f>
        <v/>
      </c>
    </row>
    <row r="670" spans="1:4" x14ac:dyDescent="0.3">
      <c r="A670" s="15">
        <v>83627</v>
      </c>
      <c r="B670" s="17" t="s">
        <v>666</v>
      </c>
      <c r="C670" s="12">
        <v>38369</v>
      </c>
      <c r="D670" s="11" t="str">
        <f>_xlfn.IFNA(IF(VLOOKUP(Tabela2[[#This Row],[CÓDIGO]],Aguardando_exclusão!A$4:A$4003,1,FALSE),"sim",""),"")</f>
        <v/>
      </c>
    </row>
    <row r="671" spans="1:4" x14ac:dyDescent="0.3">
      <c r="A671" s="15">
        <v>83788</v>
      </c>
      <c r="B671" s="17" t="s">
        <v>667</v>
      </c>
      <c r="C671" s="12">
        <v>38379</v>
      </c>
      <c r="D671" s="11" t="str">
        <f>_xlfn.IFNA(IF(VLOOKUP(Tabela2[[#This Row],[CÓDIGO]],Aguardando_exclusão!A$4:A$4003,1,FALSE),"sim",""),"")</f>
        <v>sim</v>
      </c>
    </row>
    <row r="672" spans="1:4" x14ac:dyDescent="0.3">
      <c r="A672" s="15">
        <v>83838</v>
      </c>
      <c r="B672" s="17" t="s">
        <v>668</v>
      </c>
      <c r="C672" s="12">
        <v>38384</v>
      </c>
      <c r="D672" s="11" t="str">
        <f>_xlfn.IFNA(IF(VLOOKUP(Tabela2[[#This Row],[CÓDIGO]],Aguardando_exclusão!A$4:A$4003,1,FALSE),"sim",""),"")</f>
        <v/>
      </c>
    </row>
    <row r="673" spans="1:4" x14ac:dyDescent="0.3">
      <c r="A673" s="15">
        <v>83839</v>
      </c>
      <c r="B673" s="17" t="s">
        <v>669</v>
      </c>
      <c r="C673" s="12">
        <v>38384</v>
      </c>
      <c r="D673" s="11" t="str">
        <f>_xlfn.IFNA(IF(VLOOKUP(Tabela2[[#This Row],[CÓDIGO]],Aguardando_exclusão!A$4:A$4003,1,FALSE),"sim",""),"")</f>
        <v/>
      </c>
    </row>
    <row r="674" spans="1:4" ht="15" customHeight="1" x14ac:dyDescent="0.3">
      <c r="A674" s="15">
        <v>84878</v>
      </c>
      <c r="B674" s="17" t="s">
        <v>670</v>
      </c>
      <c r="C674" s="12">
        <v>38448</v>
      </c>
      <c r="D674" s="11" t="str">
        <f>_xlfn.IFNA(IF(VLOOKUP(Tabela2[[#This Row],[CÓDIGO]],Aguardando_exclusão!A$4:A$4003,1,FALSE),"sim",""),"")</f>
        <v/>
      </c>
    </row>
    <row r="675" spans="1:4" x14ac:dyDescent="0.3">
      <c r="A675" s="15">
        <v>86030</v>
      </c>
      <c r="B675" s="17" t="s">
        <v>671</v>
      </c>
      <c r="C675" s="12">
        <v>38514</v>
      </c>
      <c r="D675" s="11" t="str">
        <f>_xlfn.IFNA(IF(VLOOKUP(Tabela2[[#This Row],[CÓDIGO]],Aguardando_exclusão!A$4:A$4003,1,FALSE),"sim",""),"")</f>
        <v/>
      </c>
    </row>
    <row r="676" spans="1:4" x14ac:dyDescent="0.3">
      <c r="A676" s="15">
        <v>86118</v>
      </c>
      <c r="B676" s="17" t="s">
        <v>672</v>
      </c>
      <c r="C676" s="12">
        <v>38520</v>
      </c>
      <c r="D676" s="11" t="str">
        <f>_xlfn.IFNA(IF(VLOOKUP(Tabela2[[#This Row],[CÓDIGO]],Aguardando_exclusão!A$4:A$4003,1,FALSE),"sim",""),"")</f>
        <v/>
      </c>
    </row>
    <row r="677" spans="1:4" x14ac:dyDescent="0.3">
      <c r="A677" s="15">
        <v>86891</v>
      </c>
      <c r="B677" s="17" t="s">
        <v>673</v>
      </c>
      <c r="C677" s="12">
        <v>38567</v>
      </c>
      <c r="D677" s="11" t="str">
        <f>_xlfn.IFNA(IF(VLOOKUP(Tabela2[[#This Row],[CÓDIGO]],Aguardando_exclusão!A$4:A$4003,1,FALSE),"sim",""),"")</f>
        <v>sim</v>
      </c>
    </row>
    <row r="678" spans="1:4" x14ac:dyDescent="0.3">
      <c r="A678" s="15">
        <v>87157</v>
      </c>
      <c r="B678" s="17" t="s">
        <v>674</v>
      </c>
      <c r="C678" s="12">
        <v>38580</v>
      </c>
      <c r="D678" s="11" t="str">
        <f>_xlfn.IFNA(IF(VLOOKUP(Tabela2[[#This Row],[CÓDIGO]],Aguardando_exclusão!A$4:A$4003,1,FALSE),"sim",""),"")</f>
        <v>sim</v>
      </c>
    </row>
    <row r="679" spans="1:4" x14ac:dyDescent="0.3">
      <c r="A679" s="15">
        <v>87160</v>
      </c>
      <c r="B679" s="17" t="s">
        <v>675</v>
      </c>
      <c r="C679" s="12">
        <v>38580</v>
      </c>
      <c r="D679" s="11" t="str">
        <f>_xlfn.IFNA(IF(VLOOKUP(Tabela2[[#This Row],[CÓDIGO]],Aguardando_exclusão!A$4:A$4003,1,FALSE),"sim",""),"")</f>
        <v>sim</v>
      </c>
    </row>
    <row r="680" spans="1:4" x14ac:dyDescent="0.3">
      <c r="A680" s="15">
        <v>87247</v>
      </c>
      <c r="B680" s="17" t="s">
        <v>676</v>
      </c>
      <c r="C680" s="12">
        <v>38581</v>
      </c>
      <c r="D680" s="11" t="str">
        <f>_xlfn.IFNA(IF(VLOOKUP(Tabela2[[#This Row],[CÓDIGO]],Aguardando_exclusão!A$4:A$4003,1,FALSE),"sim",""),"")</f>
        <v/>
      </c>
    </row>
    <row r="681" spans="1:4" ht="15" customHeight="1" x14ac:dyDescent="0.3">
      <c r="A681" s="15">
        <v>87348</v>
      </c>
      <c r="B681" s="17" t="s">
        <v>677</v>
      </c>
      <c r="C681" s="12">
        <v>38583</v>
      </c>
      <c r="D681" s="11" t="str">
        <f>_xlfn.IFNA(IF(VLOOKUP(Tabela2[[#This Row],[CÓDIGO]],Aguardando_exclusão!A$4:A$4003,1,FALSE),"sim",""),"")</f>
        <v/>
      </c>
    </row>
    <row r="682" spans="1:4" x14ac:dyDescent="0.3">
      <c r="A682" s="15">
        <v>87465</v>
      </c>
      <c r="B682" s="17" t="s">
        <v>678</v>
      </c>
      <c r="C682" s="12">
        <v>38594</v>
      </c>
      <c r="D682" s="11" t="str">
        <f>_xlfn.IFNA(IF(VLOOKUP(Tabela2[[#This Row],[CÓDIGO]],Aguardando_exclusão!A$4:A$4003,1,FALSE),"sim",""),"")</f>
        <v/>
      </c>
    </row>
    <row r="683" spans="1:4" x14ac:dyDescent="0.3">
      <c r="A683" s="15">
        <v>87586</v>
      </c>
      <c r="B683" s="17" t="s">
        <v>679</v>
      </c>
      <c r="C683" s="12">
        <v>38603</v>
      </c>
      <c r="D683" s="11" t="str">
        <f>_xlfn.IFNA(IF(VLOOKUP(Tabela2[[#This Row],[CÓDIGO]],Aguardando_exclusão!A$4:A$4003,1,FALSE),"sim",""),"")</f>
        <v/>
      </c>
    </row>
    <row r="684" spans="1:4" x14ac:dyDescent="0.3">
      <c r="A684" s="15">
        <v>87698</v>
      </c>
      <c r="B684" s="17" t="s">
        <v>680</v>
      </c>
      <c r="C684" s="12">
        <v>38611</v>
      </c>
      <c r="D684" s="11" t="str">
        <f>_xlfn.IFNA(IF(VLOOKUP(Tabela2[[#This Row],[CÓDIGO]],Aguardando_exclusão!A$4:A$4003,1,FALSE),"sim",""),"")</f>
        <v/>
      </c>
    </row>
    <row r="685" spans="1:4" x14ac:dyDescent="0.3">
      <c r="A685" s="15">
        <v>87699</v>
      </c>
      <c r="B685" s="17" t="s">
        <v>681</v>
      </c>
      <c r="C685" s="12">
        <v>38611</v>
      </c>
      <c r="D685" s="11" t="str">
        <f>_xlfn.IFNA(IF(VLOOKUP(Tabela2[[#This Row],[CÓDIGO]],Aguardando_exclusão!A$4:A$4003,1,FALSE),"sim",""),"")</f>
        <v/>
      </c>
    </row>
    <row r="686" spans="1:4" x14ac:dyDescent="0.3">
      <c r="A686" s="15">
        <v>88718</v>
      </c>
      <c r="B686" s="17" t="s">
        <v>682</v>
      </c>
      <c r="C686" s="12">
        <v>38656</v>
      </c>
      <c r="D686" s="11" t="str">
        <f>_xlfn.IFNA(IF(VLOOKUP(Tabela2[[#This Row],[CÓDIGO]],Aguardando_exclusão!A$4:A$4003,1,FALSE),"sim",""),"")</f>
        <v/>
      </c>
    </row>
    <row r="687" spans="1:4" ht="15" customHeight="1" x14ac:dyDescent="0.3">
      <c r="A687" s="15">
        <v>88719</v>
      </c>
      <c r="B687" s="17" t="s">
        <v>683</v>
      </c>
      <c r="C687" s="12">
        <v>38656</v>
      </c>
      <c r="D687" s="11" t="str">
        <f>_xlfn.IFNA(IF(VLOOKUP(Tabela2[[#This Row],[CÓDIGO]],Aguardando_exclusão!A$4:A$4003,1,FALSE),"sim",""),"")</f>
        <v/>
      </c>
    </row>
    <row r="688" spans="1:4" ht="15" customHeight="1" x14ac:dyDescent="0.3">
      <c r="A688" s="15">
        <v>88726</v>
      </c>
      <c r="B688" s="17" t="s">
        <v>684</v>
      </c>
      <c r="C688" s="12">
        <v>38656</v>
      </c>
      <c r="D688" s="11" t="str">
        <f>_xlfn.IFNA(IF(VLOOKUP(Tabela2[[#This Row],[CÓDIGO]],Aguardando_exclusão!A$4:A$4003,1,FALSE),"sim",""),"")</f>
        <v/>
      </c>
    </row>
    <row r="689" spans="1:4" x14ac:dyDescent="0.3">
      <c r="A689" s="15">
        <v>88727</v>
      </c>
      <c r="B689" s="17" t="s">
        <v>685</v>
      </c>
      <c r="C689" s="12">
        <v>38656</v>
      </c>
      <c r="D689" s="11" t="str">
        <f>_xlfn.IFNA(IF(VLOOKUP(Tabela2[[#This Row],[CÓDIGO]],Aguardando_exclusão!A$4:A$4003,1,FALSE),"sim",""),"")</f>
        <v/>
      </c>
    </row>
    <row r="690" spans="1:4" x14ac:dyDescent="0.3">
      <c r="A690" s="15">
        <v>88728</v>
      </c>
      <c r="B690" s="17" t="s">
        <v>686</v>
      </c>
      <c r="C690" s="12">
        <v>38656</v>
      </c>
      <c r="D690" s="11" t="str">
        <f>_xlfn.IFNA(IF(VLOOKUP(Tabela2[[#This Row],[CÓDIGO]],Aguardando_exclusão!A$4:A$4003,1,FALSE),"sim",""),"")</f>
        <v/>
      </c>
    </row>
    <row r="691" spans="1:4" x14ac:dyDescent="0.3">
      <c r="A691" s="15">
        <v>88729</v>
      </c>
      <c r="B691" s="17" t="s">
        <v>687</v>
      </c>
      <c r="C691" s="12">
        <v>38656</v>
      </c>
      <c r="D691" s="11" t="str">
        <f>_xlfn.IFNA(IF(VLOOKUP(Tabela2[[#This Row],[CÓDIGO]],Aguardando_exclusão!A$4:A$4003,1,FALSE),"sim",""),"")</f>
        <v/>
      </c>
    </row>
    <row r="692" spans="1:4" ht="15" customHeight="1" x14ac:dyDescent="0.3">
      <c r="A692" s="15">
        <v>88730</v>
      </c>
      <c r="B692" s="17" t="s">
        <v>688</v>
      </c>
      <c r="C692" s="12">
        <v>38656</v>
      </c>
      <c r="D692" s="11" t="str">
        <f>_xlfn.IFNA(IF(VLOOKUP(Tabela2[[#This Row],[CÓDIGO]],Aguardando_exclusão!A$4:A$4003,1,FALSE),"sim",""),"")</f>
        <v/>
      </c>
    </row>
    <row r="693" spans="1:4" x14ac:dyDescent="0.3">
      <c r="A693" s="15">
        <v>88731</v>
      </c>
      <c r="B693" s="17" t="s">
        <v>689</v>
      </c>
      <c r="C693" s="12">
        <v>38656</v>
      </c>
      <c r="D693" s="11" t="str">
        <f>_xlfn.IFNA(IF(VLOOKUP(Tabela2[[#This Row],[CÓDIGO]],Aguardando_exclusão!A$4:A$4003,1,FALSE),"sim",""),"")</f>
        <v/>
      </c>
    </row>
    <row r="694" spans="1:4" ht="15" customHeight="1" x14ac:dyDescent="0.3">
      <c r="A694" s="15">
        <v>88732</v>
      </c>
      <c r="B694" s="17" t="s">
        <v>690</v>
      </c>
      <c r="C694" s="12">
        <v>38656</v>
      </c>
      <c r="D694" s="11" t="str">
        <f>_xlfn.IFNA(IF(VLOOKUP(Tabela2[[#This Row],[CÓDIGO]],Aguardando_exclusão!A$4:A$4003,1,FALSE),"sim",""),"")</f>
        <v/>
      </c>
    </row>
    <row r="695" spans="1:4" ht="15" customHeight="1" x14ac:dyDescent="0.3">
      <c r="A695" s="15">
        <v>88733</v>
      </c>
      <c r="B695" s="17" t="s">
        <v>691</v>
      </c>
      <c r="C695" s="12">
        <v>38656</v>
      </c>
      <c r="D695" s="11" t="str">
        <f>_xlfn.IFNA(IF(VLOOKUP(Tabela2[[#This Row],[CÓDIGO]],Aguardando_exclusão!A$4:A$4003,1,FALSE),"sim",""),"")</f>
        <v/>
      </c>
    </row>
    <row r="696" spans="1:4" ht="15" customHeight="1" x14ac:dyDescent="0.3">
      <c r="A696" s="15">
        <v>88734</v>
      </c>
      <c r="B696" s="17" t="s">
        <v>692</v>
      </c>
      <c r="C696" s="12">
        <v>38656</v>
      </c>
      <c r="D696" s="11" t="str">
        <f>_xlfn.IFNA(IF(VLOOKUP(Tabela2[[#This Row],[CÓDIGO]],Aguardando_exclusão!A$4:A$4003,1,FALSE),"sim",""),"")</f>
        <v/>
      </c>
    </row>
    <row r="697" spans="1:4" ht="15" customHeight="1" x14ac:dyDescent="0.3">
      <c r="A697" s="15">
        <v>88735</v>
      </c>
      <c r="B697" s="17" t="s">
        <v>693</v>
      </c>
      <c r="C697" s="12">
        <v>38656</v>
      </c>
      <c r="D697" s="11" t="str">
        <f>_xlfn.IFNA(IF(VLOOKUP(Tabela2[[#This Row],[CÓDIGO]],Aguardando_exclusão!A$4:A$4003,1,FALSE),"sim",""),"")</f>
        <v/>
      </c>
    </row>
    <row r="698" spans="1:4" ht="15" customHeight="1" x14ac:dyDescent="0.3">
      <c r="A698" s="15">
        <v>88740</v>
      </c>
      <c r="B698" s="17" t="s">
        <v>694</v>
      </c>
      <c r="C698" s="12">
        <v>38656</v>
      </c>
      <c r="D698" s="11" t="str">
        <f>_xlfn.IFNA(IF(VLOOKUP(Tabela2[[#This Row],[CÓDIGO]],Aguardando_exclusão!A$4:A$4003,1,FALSE),"sim",""),"")</f>
        <v/>
      </c>
    </row>
    <row r="699" spans="1:4" x14ac:dyDescent="0.3">
      <c r="A699" s="15">
        <v>88741</v>
      </c>
      <c r="B699" s="17" t="s">
        <v>695</v>
      </c>
      <c r="C699" s="12">
        <v>38656</v>
      </c>
      <c r="D699" s="11" t="str">
        <f>_xlfn.IFNA(IF(VLOOKUP(Tabela2[[#This Row],[CÓDIGO]],Aguardando_exclusão!A$4:A$4003,1,FALSE),"sim",""),"")</f>
        <v>sim</v>
      </c>
    </row>
    <row r="700" spans="1:4" x14ac:dyDescent="0.3">
      <c r="A700" s="15">
        <v>88742</v>
      </c>
      <c r="B700" s="17" t="s">
        <v>696</v>
      </c>
      <c r="C700" s="12">
        <v>38656</v>
      </c>
      <c r="D700" s="11" t="str">
        <f>_xlfn.IFNA(IF(VLOOKUP(Tabela2[[#This Row],[CÓDIGO]],Aguardando_exclusão!A$4:A$4003,1,FALSE),"sim",""),"")</f>
        <v>sim</v>
      </c>
    </row>
    <row r="701" spans="1:4" ht="15" customHeight="1" x14ac:dyDescent="0.3">
      <c r="A701" s="15">
        <v>88744</v>
      </c>
      <c r="B701" s="17" t="s">
        <v>697</v>
      </c>
      <c r="C701" s="12">
        <v>38656</v>
      </c>
      <c r="D701" s="11" t="str">
        <f>_xlfn.IFNA(IF(VLOOKUP(Tabela2[[#This Row],[CÓDIGO]],Aguardando_exclusão!A$4:A$4003,1,FALSE),"sim",""),"")</f>
        <v/>
      </c>
    </row>
    <row r="702" spans="1:4" ht="15" customHeight="1" x14ac:dyDescent="0.3">
      <c r="A702" s="15">
        <v>88745</v>
      </c>
      <c r="B702" s="17" t="s">
        <v>698</v>
      </c>
      <c r="C702" s="12">
        <v>38656</v>
      </c>
      <c r="D702" s="11" t="str">
        <f>_xlfn.IFNA(IF(VLOOKUP(Tabela2[[#This Row],[CÓDIGO]],Aguardando_exclusão!A$4:A$4003,1,FALSE),"sim",""),"")</f>
        <v/>
      </c>
    </row>
    <row r="703" spans="1:4" ht="15" customHeight="1" x14ac:dyDescent="0.3">
      <c r="A703" s="15">
        <v>88746</v>
      </c>
      <c r="B703" s="17" t="s">
        <v>699</v>
      </c>
      <c r="C703" s="12">
        <v>38656</v>
      </c>
      <c r="D703" s="11" t="str">
        <f>_xlfn.IFNA(IF(VLOOKUP(Tabela2[[#This Row],[CÓDIGO]],Aguardando_exclusão!A$4:A$4003,1,FALSE),"sim",""),"")</f>
        <v/>
      </c>
    </row>
    <row r="704" spans="1:4" ht="15" customHeight="1" x14ac:dyDescent="0.3">
      <c r="A704" s="15">
        <v>88747</v>
      </c>
      <c r="B704" s="17" t="s">
        <v>700</v>
      </c>
      <c r="C704" s="12">
        <v>38656</v>
      </c>
      <c r="D704" s="11" t="str">
        <f>_xlfn.IFNA(IF(VLOOKUP(Tabela2[[#This Row],[CÓDIGO]],Aguardando_exclusão!A$4:A$4003,1,FALSE),"sim",""),"")</f>
        <v/>
      </c>
    </row>
    <row r="705" spans="1:4" x14ac:dyDescent="0.3">
      <c r="A705" s="15">
        <v>88838</v>
      </c>
      <c r="B705" s="17" t="s">
        <v>701</v>
      </c>
      <c r="C705" s="12">
        <v>38663</v>
      </c>
      <c r="D705" s="11" t="str">
        <f>_xlfn.IFNA(IF(VLOOKUP(Tabela2[[#This Row],[CÓDIGO]],Aguardando_exclusão!A$4:A$4003,1,FALSE),"sim",""),"")</f>
        <v/>
      </c>
    </row>
    <row r="706" spans="1:4" ht="15" customHeight="1" x14ac:dyDescent="0.3">
      <c r="A706" s="15">
        <v>88839</v>
      </c>
      <c r="B706" s="17" t="s">
        <v>702</v>
      </c>
      <c r="C706" s="12">
        <v>38663</v>
      </c>
      <c r="D706" s="11" t="str">
        <f>_xlfn.IFNA(IF(VLOOKUP(Tabela2[[#This Row],[CÓDIGO]],Aguardando_exclusão!A$4:A$4003,1,FALSE),"sim",""),"")</f>
        <v/>
      </c>
    </row>
    <row r="707" spans="1:4" x14ac:dyDescent="0.3">
      <c r="A707" s="15">
        <v>88849</v>
      </c>
      <c r="B707" s="17" t="s">
        <v>703</v>
      </c>
      <c r="C707" s="12">
        <v>38664</v>
      </c>
      <c r="D707" s="11" t="str">
        <f>_xlfn.IFNA(IF(VLOOKUP(Tabela2[[#This Row],[CÓDIGO]],Aguardando_exclusão!A$4:A$4003,1,FALSE),"sim",""),"")</f>
        <v/>
      </c>
    </row>
    <row r="708" spans="1:4" ht="15" customHeight="1" x14ac:dyDescent="0.3">
      <c r="A708" s="15">
        <v>88856</v>
      </c>
      <c r="B708" s="17" t="s">
        <v>704</v>
      </c>
      <c r="C708" s="12">
        <v>38664</v>
      </c>
      <c r="D708" s="11" t="str">
        <f>_xlfn.IFNA(IF(VLOOKUP(Tabela2[[#This Row],[CÓDIGO]],Aguardando_exclusão!A$4:A$4003,1,FALSE),"sim",""),"")</f>
        <v/>
      </c>
    </row>
    <row r="709" spans="1:4" x14ac:dyDescent="0.3">
      <c r="A709" s="15">
        <v>88876</v>
      </c>
      <c r="B709" s="17" t="s">
        <v>705</v>
      </c>
      <c r="C709" s="12">
        <v>38664</v>
      </c>
      <c r="D709" s="11" t="str">
        <f>_xlfn.IFNA(IF(VLOOKUP(Tabela2[[#This Row],[CÓDIGO]],Aguardando_exclusão!A$4:A$4003,1,FALSE),"sim",""),"")</f>
        <v/>
      </c>
    </row>
    <row r="710" spans="1:4" ht="15" customHeight="1" x14ac:dyDescent="0.3">
      <c r="A710" s="15">
        <v>88989</v>
      </c>
      <c r="B710" s="17" t="s">
        <v>706</v>
      </c>
      <c r="C710" s="12">
        <v>38674</v>
      </c>
      <c r="D710" s="11" t="str">
        <f>_xlfn.IFNA(IF(VLOOKUP(Tabela2[[#This Row],[CÓDIGO]],Aguardando_exclusão!A$4:A$4003,1,FALSE),"sim",""),"")</f>
        <v/>
      </c>
    </row>
    <row r="711" spans="1:4" ht="15" customHeight="1" x14ac:dyDescent="0.3">
      <c r="A711" s="15">
        <v>88992</v>
      </c>
      <c r="B711" s="17" t="s">
        <v>707</v>
      </c>
      <c r="C711" s="12">
        <v>38674</v>
      </c>
      <c r="D711" s="11" t="str">
        <f>_xlfn.IFNA(IF(VLOOKUP(Tabela2[[#This Row],[CÓDIGO]],Aguardando_exclusão!A$4:A$4003,1,FALSE),"sim",""),"")</f>
        <v/>
      </c>
    </row>
    <row r="712" spans="1:4" ht="15" customHeight="1" x14ac:dyDescent="0.3">
      <c r="A712" s="15">
        <v>88993</v>
      </c>
      <c r="B712" s="17" t="s">
        <v>708</v>
      </c>
      <c r="C712" s="12">
        <v>38674</v>
      </c>
      <c r="D712" s="11" t="str">
        <f>_xlfn.IFNA(IF(VLOOKUP(Tabela2[[#This Row],[CÓDIGO]],Aguardando_exclusão!A$4:A$4003,1,FALSE),"sim",""),"")</f>
        <v/>
      </c>
    </row>
    <row r="713" spans="1:4" x14ac:dyDescent="0.3">
      <c r="A713" s="15">
        <v>89818</v>
      </c>
      <c r="B713" s="17" t="s">
        <v>709</v>
      </c>
      <c r="C713" s="12">
        <v>38742</v>
      </c>
      <c r="D713" s="11" t="str">
        <f>_xlfn.IFNA(IF(VLOOKUP(Tabela2[[#This Row],[CÓDIGO]],Aguardando_exclusão!A$4:A$4003,1,FALSE),"sim",""),"")</f>
        <v/>
      </c>
    </row>
    <row r="714" spans="1:4" x14ac:dyDescent="0.3">
      <c r="A714" s="15">
        <v>89855</v>
      </c>
      <c r="B714" s="17" t="s">
        <v>710</v>
      </c>
      <c r="C714" s="12">
        <v>38743</v>
      </c>
      <c r="D714" s="11" t="str">
        <f>_xlfn.IFNA(IF(VLOOKUP(Tabela2[[#This Row],[CÓDIGO]],Aguardando_exclusão!A$4:A$4003,1,FALSE),"sim",""),"")</f>
        <v/>
      </c>
    </row>
    <row r="715" spans="1:4" ht="15" customHeight="1" x14ac:dyDescent="0.3">
      <c r="A715" s="15">
        <v>89860</v>
      </c>
      <c r="B715" s="17" t="s">
        <v>711</v>
      </c>
      <c r="C715" s="12">
        <v>38743</v>
      </c>
      <c r="D715" s="11" t="str">
        <f>_xlfn.IFNA(IF(VLOOKUP(Tabela2[[#This Row],[CÓDIGO]],Aguardando_exclusão!A$4:A$4003,1,FALSE),"sim",""),"")</f>
        <v>sim</v>
      </c>
    </row>
    <row r="716" spans="1:4" x14ac:dyDescent="0.3">
      <c r="A716" s="15">
        <v>89863</v>
      </c>
      <c r="B716" s="17" t="s">
        <v>712</v>
      </c>
      <c r="C716" s="12">
        <v>38743</v>
      </c>
      <c r="D716" s="11" t="str">
        <f>_xlfn.IFNA(IF(VLOOKUP(Tabela2[[#This Row],[CÓDIGO]],Aguardando_exclusão!A$4:A$4003,1,FALSE),"sim",""),"")</f>
        <v/>
      </c>
    </row>
    <row r="717" spans="1:4" x14ac:dyDescent="0.3">
      <c r="A717" s="15">
        <v>89864</v>
      </c>
      <c r="B717" s="17" t="s">
        <v>713</v>
      </c>
      <c r="C717" s="12">
        <v>38743</v>
      </c>
      <c r="D717" s="11" t="str">
        <f>_xlfn.IFNA(IF(VLOOKUP(Tabela2[[#This Row],[CÓDIGO]],Aguardando_exclusão!A$4:A$4003,1,FALSE),"sim",""),"")</f>
        <v/>
      </c>
    </row>
    <row r="718" spans="1:4" x14ac:dyDescent="0.3">
      <c r="A718" s="15">
        <v>89865</v>
      </c>
      <c r="B718" s="17" t="s">
        <v>714</v>
      </c>
      <c r="C718" s="12">
        <v>38743</v>
      </c>
      <c r="D718" s="11" t="str">
        <f>_xlfn.IFNA(IF(VLOOKUP(Tabela2[[#This Row],[CÓDIGO]],Aguardando_exclusão!A$4:A$4003,1,FALSE),"sim",""),"")</f>
        <v/>
      </c>
    </row>
    <row r="719" spans="1:4" ht="15" customHeight="1" x14ac:dyDescent="0.3">
      <c r="A719" s="15">
        <v>89866</v>
      </c>
      <c r="B719" s="17" t="s">
        <v>715</v>
      </c>
      <c r="C719" s="12">
        <v>38743</v>
      </c>
      <c r="D719" s="11" t="str">
        <f>_xlfn.IFNA(IF(VLOOKUP(Tabela2[[#This Row],[CÓDIGO]],Aguardando_exclusão!A$4:A$4003,1,FALSE),"sim",""),"")</f>
        <v>sim</v>
      </c>
    </row>
    <row r="720" spans="1:4" ht="15" customHeight="1" x14ac:dyDescent="0.3">
      <c r="A720" s="15">
        <v>90469</v>
      </c>
      <c r="B720" s="17" t="s">
        <v>716</v>
      </c>
      <c r="C720" s="12">
        <v>38768</v>
      </c>
      <c r="D720" s="11" t="str">
        <f>_xlfn.IFNA(IF(VLOOKUP(Tabela2[[#This Row],[CÓDIGO]],Aguardando_exclusão!A$4:A$4003,1,FALSE),"sim",""),"")</f>
        <v/>
      </c>
    </row>
    <row r="721" spans="1:4" x14ac:dyDescent="0.3">
      <c r="A721" s="15">
        <v>90500</v>
      </c>
      <c r="B721" s="17" t="s">
        <v>717</v>
      </c>
      <c r="C721" s="12">
        <v>38769</v>
      </c>
      <c r="D721" s="11" t="str">
        <f>_xlfn.IFNA(IF(VLOOKUP(Tabela2[[#This Row],[CÓDIGO]],Aguardando_exclusão!A$4:A$4003,1,FALSE),"sim",""),"")</f>
        <v/>
      </c>
    </row>
    <row r="722" spans="1:4" x14ac:dyDescent="0.3">
      <c r="A722" s="15">
        <v>90502</v>
      </c>
      <c r="B722" s="17" t="s">
        <v>718</v>
      </c>
      <c r="C722" s="12">
        <v>38769</v>
      </c>
      <c r="D722" s="11" t="str">
        <f>_xlfn.IFNA(IF(VLOOKUP(Tabela2[[#This Row],[CÓDIGO]],Aguardando_exclusão!A$4:A$4003,1,FALSE),"sim",""),"")</f>
        <v/>
      </c>
    </row>
    <row r="723" spans="1:4" x14ac:dyDescent="0.3">
      <c r="A723" s="15">
        <v>90884</v>
      </c>
      <c r="B723" s="17" t="s">
        <v>719</v>
      </c>
      <c r="C723" s="12">
        <v>31493</v>
      </c>
      <c r="D723" s="11" t="str">
        <f>_xlfn.IFNA(IF(VLOOKUP(Tabela2[[#This Row],[CÓDIGO]],Aguardando_exclusão!A$4:A$4003,1,FALSE),"sim",""),"")</f>
        <v>sim</v>
      </c>
    </row>
    <row r="724" spans="1:4" x14ac:dyDescent="0.3">
      <c r="A724" s="15">
        <v>91250</v>
      </c>
      <c r="B724" s="17" t="s">
        <v>720</v>
      </c>
      <c r="C724" s="12">
        <v>38820</v>
      </c>
      <c r="D724" s="11" t="str">
        <f>_xlfn.IFNA(IF(VLOOKUP(Tabela2[[#This Row],[CÓDIGO]],Aguardando_exclusão!A$4:A$4003,1,FALSE),"sim",""),"")</f>
        <v/>
      </c>
    </row>
    <row r="725" spans="1:4" x14ac:dyDescent="0.3">
      <c r="A725" s="15">
        <v>91669</v>
      </c>
      <c r="B725" s="17" t="s">
        <v>721</v>
      </c>
      <c r="C725" s="12">
        <v>38847</v>
      </c>
      <c r="D725" s="11" t="str">
        <f>_xlfn.IFNA(IF(VLOOKUP(Tabela2[[#This Row],[CÓDIGO]],Aguardando_exclusão!A$4:A$4003,1,FALSE),"sim",""),"")</f>
        <v/>
      </c>
    </row>
    <row r="726" spans="1:4" x14ac:dyDescent="0.3">
      <c r="A726" s="15">
        <v>91811</v>
      </c>
      <c r="B726" s="17" t="s">
        <v>722</v>
      </c>
      <c r="C726" s="12">
        <v>38852</v>
      </c>
      <c r="D726" s="11" t="str">
        <f>_xlfn.IFNA(IF(VLOOKUP(Tabela2[[#This Row],[CÓDIGO]],Aguardando_exclusão!A$4:A$4003,1,FALSE),"sim",""),"")</f>
        <v/>
      </c>
    </row>
    <row r="727" spans="1:4" x14ac:dyDescent="0.3">
      <c r="A727" s="15">
        <v>91868</v>
      </c>
      <c r="B727" s="17" t="s">
        <v>723</v>
      </c>
      <c r="C727" s="12">
        <v>38852</v>
      </c>
      <c r="D727" s="11" t="str">
        <f>_xlfn.IFNA(IF(VLOOKUP(Tabela2[[#This Row],[CÓDIGO]],Aguardando_exclusão!A$4:A$4003,1,FALSE),"sim",""),"")</f>
        <v/>
      </c>
    </row>
    <row r="728" spans="1:4" x14ac:dyDescent="0.3">
      <c r="A728" s="15">
        <v>92111</v>
      </c>
      <c r="B728" s="17" t="s">
        <v>724</v>
      </c>
      <c r="C728" s="12">
        <v>38863</v>
      </c>
      <c r="D728" s="11" t="str">
        <f>_xlfn.IFNA(IF(VLOOKUP(Tabela2[[#This Row],[CÓDIGO]],Aguardando_exclusão!A$4:A$4003,1,FALSE),"sim",""),"")</f>
        <v/>
      </c>
    </row>
    <row r="729" spans="1:4" x14ac:dyDescent="0.3">
      <c r="A729" s="15">
        <v>92842</v>
      </c>
      <c r="B729" s="17" t="s">
        <v>725</v>
      </c>
      <c r="C729" s="12">
        <v>38902</v>
      </c>
      <c r="D729" s="11" t="str">
        <f>_xlfn.IFNA(IF(VLOOKUP(Tabela2[[#This Row],[CÓDIGO]],Aguardando_exclusão!A$4:A$4003,1,FALSE),"sim",""),"")</f>
        <v/>
      </c>
    </row>
    <row r="730" spans="1:4" ht="15" customHeight="1" x14ac:dyDescent="0.3">
      <c r="A730" s="15">
        <v>92906</v>
      </c>
      <c r="B730" s="17" t="s">
        <v>726</v>
      </c>
      <c r="C730" s="12">
        <v>38904</v>
      </c>
      <c r="D730" s="11" t="str">
        <f>_xlfn.IFNA(IF(VLOOKUP(Tabela2[[#This Row],[CÓDIGO]],Aguardando_exclusão!A$4:A$4003,1,FALSE),"sim",""),"")</f>
        <v/>
      </c>
    </row>
    <row r="731" spans="1:4" ht="15" customHeight="1" x14ac:dyDescent="0.3">
      <c r="A731" s="15">
        <v>92907</v>
      </c>
      <c r="B731" s="17" t="s">
        <v>727</v>
      </c>
      <c r="C731" s="12">
        <v>38904</v>
      </c>
      <c r="D731" s="11" t="str">
        <f>_xlfn.IFNA(IF(VLOOKUP(Tabela2[[#This Row],[CÓDIGO]],Aguardando_exclusão!A$4:A$4003,1,FALSE),"sim",""),"")</f>
        <v/>
      </c>
    </row>
    <row r="732" spans="1:4" ht="15" customHeight="1" x14ac:dyDescent="0.3">
      <c r="A732" s="15">
        <v>92908</v>
      </c>
      <c r="B732" s="17" t="s">
        <v>728</v>
      </c>
      <c r="C732" s="12">
        <v>38904</v>
      </c>
      <c r="D732" s="11" t="str">
        <f>_xlfn.IFNA(IF(VLOOKUP(Tabela2[[#This Row],[CÓDIGO]],Aguardando_exclusão!A$4:A$4003,1,FALSE),"sim",""),"")</f>
        <v/>
      </c>
    </row>
    <row r="733" spans="1:4" x14ac:dyDescent="0.3">
      <c r="A733" s="15">
        <v>93139</v>
      </c>
      <c r="B733" s="17" t="s">
        <v>729</v>
      </c>
      <c r="C733" s="12">
        <v>38912</v>
      </c>
      <c r="D733" s="11" t="str">
        <f>_xlfn.IFNA(IF(VLOOKUP(Tabela2[[#This Row],[CÓDIGO]],Aguardando_exclusão!A$4:A$4003,1,FALSE),"sim",""),"")</f>
        <v/>
      </c>
    </row>
    <row r="734" spans="1:4" x14ac:dyDescent="0.3">
      <c r="A734" s="15">
        <v>93325</v>
      </c>
      <c r="B734" s="17" t="s">
        <v>730</v>
      </c>
      <c r="C734" s="12">
        <v>38919</v>
      </c>
      <c r="D734" s="11" t="str">
        <f>_xlfn.IFNA(IF(VLOOKUP(Tabela2[[#This Row],[CÓDIGO]],Aguardando_exclusão!A$4:A$4003,1,FALSE),"sim",""),"")</f>
        <v/>
      </c>
    </row>
    <row r="735" spans="1:4" ht="15" customHeight="1" x14ac:dyDescent="0.3">
      <c r="A735" s="15">
        <v>93327</v>
      </c>
      <c r="B735" s="17" t="s">
        <v>731</v>
      </c>
      <c r="C735" s="12">
        <v>38919</v>
      </c>
      <c r="D735" s="11" t="str">
        <f>_xlfn.IFNA(IF(VLOOKUP(Tabela2[[#This Row],[CÓDIGO]],Aguardando_exclusão!A$4:A$4003,1,FALSE),"sim",""),"")</f>
        <v/>
      </c>
    </row>
    <row r="736" spans="1:4" x14ac:dyDescent="0.3">
      <c r="A736" s="15">
        <v>93329</v>
      </c>
      <c r="B736" s="17" t="s">
        <v>732</v>
      </c>
      <c r="C736" s="12">
        <v>38919</v>
      </c>
      <c r="D736" s="11" t="str">
        <f>_xlfn.IFNA(IF(VLOOKUP(Tabela2[[#This Row],[CÓDIGO]],Aguardando_exclusão!A$4:A$4003,1,FALSE),"sim",""),"")</f>
        <v/>
      </c>
    </row>
    <row r="737" spans="1:4" x14ac:dyDescent="0.3">
      <c r="A737" s="15">
        <v>93332</v>
      </c>
      <c r="B737" s="17" t="s">
        <v>733</v>
      </c>
      <c r="C737" s="12">
        <v>38919</v>
      </c>
      <c r="D737" s="11" t="str">
        <f>_xlfn.IFNA(IF(VLOOKUP(Tabela2[[#This Row],[CÓDIGO]],Aguardando_exclusão!A$4:A$4003,1,FALSE),"sim",""),"")</f>
        <v/>
      </c>
    </row>
    <row r="738" spans="1:4" x14ac:dyDescent="0.3">
      <c r="A738" s="15">
        <v>93333</v>
      </c>
      <c r="B738" s="17" t="s">
        <v>734</v>
      </c>
      <c r="C738" s="12">
        <v>38919</v>
      </c>
      <c r="D738" s="11" t="str">
        <f>_xlfn.IFNA(IF(VLOOKUP(Tabela2[[#This Row],[CÓDIGO]],Aguardando_exclusão!A$4:A$4003,1,FALSE),"sim",""),"")</f>
        <v>sim</v>
      </c>
    </row>
    <row r="739" spans="1:4" ht="15" customHeight="1" x14ac:dyDescent="0.3">
      <c r="A739" s="15">
        <v>93334</v>
      </c>
      <c r="B739" s="17" t="s">
        <v>735</v>
      </c>
      <c r="C739" s="12">
        <v>38919</v>
      </c>
      <c r="D739" s="11" t="str">
        <f>_xlfn.IFNA(IF(VLOOKUP(Tabela2[[#This Row],[CÓDIGO]],Aguardando_exclusão!A$4:A$4003,1,FALSE),"sim",""),"")</f>
        <v/>
      </c>
    </row>
    <row r="740" spans="1:4" x14ac:dyDescent="0.3">
      <c r="A740" s="15">
        <v>93335</v>
      </c>
      <c r="B740" s="17" t="s">
        <v>736</v>
      </c>
      <c r="C740" s="12">
        <v>38919</v>
      </c>
      <c r="D740" s="11" t="str">
        <f>_xlfn.IFNA(IF(VLOOKUP(Tabela2[[#This Row],[CÓDIGO]],Aguardando_exclusão!A$4:A$4003,1,FALSE),"sim",""),"")</f>
        <v/>
      </c>
    </row>
    <row r="741" spans="1:4" ht="15" customHeight="1" x14ac:dyDescent="0.3">
      <c r="A741" s="15">
        <v>93344</v>
      </c>
      <c r="B741" s="17" t="s">
        <v>737</v>
      </c>
      <c r="C741" s="12">
        <v>38919</v>
      </c>
      <c r="D741" s="11" t="str">
        <f>_xlfn.IFNA(IF(VLOOKUP(Tabela2[[#This Row],[CÓDIGO]],Aguardando_exclusão!A$4:A$4003,1,FALSE),"sim",""),"")</f>
        <v/>
      </c>
    </row>
    <row r="742" spans="1:4" ht="15" customHeight="1" x14ac:dyDescent="0.3">
      <c r="A742" s="15">
        <v>93453</v>
      </c>
      <c r="B742" s="17" t="s">
        <v>738</v>
      </c>
      <c r="C742" s="12">
        <v>38930</v>
      </c>
      <c r="D742" s="11" t="str">
        <f>_xlfn.IFNA(IF(VLOOKUP(Tabela2[[#This Row],[CÓDIGO]],Aguardando_exclusão!A$4:A$4003,1,FALSE),"sim",""),"")</f>
        <v/>
      </c>
    </row>
    <row r="743" spans="1:4" ht="15" customHeight="1" x14ac:dyDescent="0.3">
      <c r="A743" s="15">
        <v>93454</v>
      </c>
      <c r="B743" s="17" t="s">
        <v>739</v>
      </c>
      <c r="C743" s="12">
        <v>38930</v>
      </c>
      <c r="D743" s="11" t="str">
        <f>_xlfn.IFNA(IF(VLOOKUP(Tabela2[[#This Row],[CÓDIGO]],Aguardando_exclusão!A$4:A$4003,1,FALSE),"sim",""),"")</f>
        <v/>
      </c>
    </row>
    <row r="744" spans="1:4" ht="15" customHeight="1" x14ac:dyDescent="0.3">
      <c r="A744" s="15">
        <v>93456</v>
      </c>
      <c r="B744" s="17" t="s">
        <v>740</v>
      </c>
      <c r="C744" s="12">
        <v>38930</v>
      </c>
      <c r="D744" s="11" t="str">
        <f>_xlfn.IFNA(IF(VLOOKUP(Tabela2[[#This Row],[CÓDIGO]],Aguardando_exclusão!A$4:A$4003,1,FALSE),"sim",""),"")</f>
        <v/>
      </c>
    </row>
    <row r="745" spans="1:4" ht="15" customHeight="1" x14ac:dyDescent="0.3">
      <c r="A745" s="15">
        <v>93461</v>
      </c>
      <c r="B745" s="17" t="s">
        <v>741</v>
      </c>
      <c r="C745" s="12">
        <v>38930</v>
      </c>
      <c r="D745" s="11" t="str">
        <f>_xlfn.IFNA(IF(VLOOKUP(Tabela2[[#This Row],[CÓDIGO]],Aguardando_exclusão!A$4:A$4003,1,FALSE),"sim",""),"")</f>
        <v/>
      </c>
    </row>
    <row r="746" spans="1:4" x14ac:dyDescent="0.3">
      <c r="A746" s="15">
        <v>93462</v>
      </c>
      <c r="B746" s="17" t="s">
        <v>742</v>
      </c>
      <c r="C746" s="12">
        <v>38930</v>
      </c>
      <c r="D746" s="11" t="str">
        <f>_xlfn.IFNA(IF(VLOOKUP(Tabela2[[#This Row],[CÓDIGO]],Aguardando_exclusão!A$4:A$4003,1,FALSE),"sim",""),"")</f>
        <v/>
      </c>
    </row>
    <row r="747" spans="1:4" x14ac:dyDescent="0.3">
      <c r="A747" s="15">
        <v>93486</v>
      </c>
      <c r="B747" s="17" t="s">
        <v>743</v>
      </c>
      <c r="C747" s="12">
        <v>38930</v>
      </c>
      <c r="D747" s="11" t="str">
        <f>_xlfn.IFNA(IF(VLOOKUP(Tabela2[[#This Row],[CÓDIGO]],Aguardando_exclusão!A$4:A$4003,1,FALSE),"sim",""),"")</f>
        <v/>
      </c>
    </row>
    <row r="748" spans="1:4" ht="15" customHeight="1" x14ac:dyDescent="0.3">
      <c r="A748" s="15">
        <v>93487</v>
      </c>
      <c r="B748" s="17" t="s">
        <v>744</v>
      </c>
      <c r="C748" s="12">
        <v>38930</v>
      </c>
      <c r="D748" s="11" t="str">
        <f>_xlfn.IFNA(IF(VLOOKUP(Tabela2[[#This Row],[CÓDIGO]],Aguardando_exclusão!A$4:A$4003,1,FALSE),"sim",""),"")</f>
        <v/>
      </c>
    </row>
    <row r="749" spans="1:4" x14ac:dyDescent="0.3">
      <c r="A749" s="15">
        <v>93488</v>
      </c>
      <c r="B749" s="17" t="s">
        <v>745</v>
      </c>
      <c r="C749" s="12">
        <v>38930</v>
      </c>
      <c r="D749" s="11" t="str">
        <f>_xlfn.IFNA(IF(VLOOKUP(Tabela2[[#This Row],[CÓDIGO]],Aguardando_exclusão!A$4:A$4003,1,FALSE),"sim",""),"")</f>
        <v/>
      </c>
    </row>
    <row r="750" spans="1:4" x14ac:dyDescent="0.3">
      <c r="A750" s="15">
        <v>94013</v>
      </c>
      <c r="B750" s="17" t="s">
        <v>746</v>
      </c>
      <c r="C750" s="12">
        <v>38951</v>
      </c>
      <c r="D750" s="11" t="str">
        <f>_xlfn.IFNA(IF(VLOOKUP(Tabela2[[#This Row],[CÓDIGO]],Aguardando_exclusão!A$4:A$4003,1,FALSE),"sim",""),"")</f>
        <v/>
      </c>
    </row>
    <row r="751" spans="1:4" x14ac:dyDescent="0.3">
      <c r="A751" s="15">
        <v>94615</v>
      </c>
      <c r="B751" s="17" t="s">
        <v>747</v>
      </c>
      <c r="C751" s="12">
        <v>38978</v>
      </c>
      <c r="D751" s="11" t="str">
        <f>_xlfn.IFNA(IF(VLOOKUP(Tabela2[[#This Row],[CÓDIGO]],Aguardando_exclusão!A$4:A$4003,1,FALSE),"sim",""),"")</f>
        <v/>
      </c>
    </row>
    <row r="752" spans="1:4" x14ac:dyDescent="0.3">
      <c r="A752" s="15">
        <v>94616</v>
      </c>
      <c r="B752" s="17" t="s">
        <v>748</v>
      </c>
      <c r="C752" s="12">
        <v>38978</v>
      </c>
      <c r="D752" s="11" t="str">
        <f>_xlfn.IFNA(IF(VLOOKUP(Tabela2[[#This Row],[CÓDIGO]],Aguardando_exclusão!A$4:A$4003,1,FALSE),"sim",""),"")</f>
        <v/>
      </c>
    </row>
    <row r="753" spans="1:4" x14ac:dyDescent="0.3">
      <c r="A753" s="15">
        <v>94617</v>
      </c>
      <c r="B753" s="17" t="s">
        <v>749</v>
      </c>
      <c r="C753" s="12">
        <v>38978</v>
      </c>
      <c r="D753" s="11" t="str">
        <f>_xlfn.IFNA(IF(VLOOKUP(Tabela2[[#This Row],[CÓDIGO]],Aguardando_exclusão!A$4:A$4003,1,FALSE),"sim",""),"")</f>
        <v/>
      </c>
    </row>
    <row r="754" spans="1:4" x14ac:dyDescent="0.3">
      <c r="A754" s="15">
        <v>94618</v>
      </c>
      <c r="B754" s="17" t="s">
        <v>750</v>
      </c>
      <c r="C754" s="12">
        <v>38978</v>
      </c>
      <c r="D754" s="11" t="str">
        <f>_xlfn.IFNA(IF(VLOOKUP(Tabela2[[#This Row],[CÓDIGO]],Aguardando_exclusão!A$4:A$4003,1,FALSE),"sim",""),"")</f>
        <v/>
      </c>
    </row>
    <row r="755" spans="1:4" x14ac:dyDescent="0.3">
      <c r="A755" s="15">
        <v>94627</v>
      </c>
      <c r="B755" s="17" t="s">
        <v>751</v>
      </c>
      <c r="C755" s="12">
        <v>38979</v>
      </c>
      <c r="D755" s="11" t="str">
        <f>_xlfn.IFNA(IF(VLOOKUP(Tabela2[[#This Row],[CÓDIGO]],Aguardando_exclusão!A$4:A$4003,1,FALSE),"sim",""),"")</f>
        <v/>
      </c>
    </row>
    <row r="756" spans="1:4" ht="15" customHeight="1" x14ac:dyDescent="0.3">
      <c r="A756" s="15">
        <v>94787</v>
      </c>
      <c r="B756" s="17" t="s">
        <v>752</v>
      </c>
      <c r="C756" s="12">
        <v>39716</v>
      </c>
      <c r="D756" s="11" t="str">
        <f>_xlfn.IFNA(IF(VLOOKUP(Tabela2[[#This Row],[CÓDIGO]],Aguardando_exclusão!A$4:A$4003,1,FALSE),"sim",""),"")</f>
        <v>sim</v>
      </c>
    </row>
    <row r="757" spans="1:4" x14ac:dyDescent="0.3">
      <c r="A757" s="15">
        <v>95121</v>
      </c>
      <c r="B757" s="17" t="s">
        <v>753</v>
      </c>
      <c r="C757" s="12">
        <v>39001</v>
      </c>
      <c r="D757" s="11" t="str">
        <f>_xlfn.IFNA(IF(VLOOKUP(Tabela2[[#This Row],[CÓDIGO]],Aguardando_exclusão!A$4:A$4003,1,FALSE),"sim",""),"")</f>
        <v/>
      </c>
    </row>
    <row r="758" spans="1:4" x14ac:dyDescent="0.3">
      <c r="A758" s="15">
        <v>95209</v>
      </c>
      <c r="B758" s="17" t="s">
        <v>754</v>
      </c>
      <c r="C758" s="12">
        <v>38985</v>
      </c>
      <c r="D758" s="11" t="str">
        <f>_xlfn.IFNA(IF(VLOOKUP(Tabela2[[#This Row],[CÓDIGO]],Aguardando_exclusão!A$4:A$4003,1,FALSE),"sim",""),"")</f>
        <v/>
      </c>
    </row>
    <row r="759" spans="1:4" x14ac:dyDescent="0.3">
      <c r="A759" s="15">
        <v>95456</v>
      </c>
      <c r="B759" s="17" t="s">
        <v>755</v>
      </c>
      <c r="C759" s="12">
        <v>39014</v>
      </c>
      <c r="D759" s="11" t="str">
        <f>_xlfn.IFNA(IF(VLOOKUP(Tabela2[[#This Row],[CÓDIGO]],Aguardando_exclusão!A$4:A$4003,1,FALSE),"sim",""),"")</f>
        <v/>
      </c>
    </row>
    <row r="760" spans="1:4" x14ac:dyDescent="0.3">
      <c r="A760" s="15">
        <v>95513</v>
      </c>
      <c r="B760" s="17" t="s">
        <v>756</v>
      </c>
      <c r="C760" s="12">
        <v>39015</v>
      </c>
      <c r="D760" s="11" t="str">
        <f>_xlfn.IFNA(IF(VLOOKUP(Tabela2[[#This Row],[CÓDIGO]],Aguardando_exclusão!A$4:A$4003,1,FALSE),"sim",""),"")</f>
        <v/>
      </c>
    </row>
    <row r="761" spans="1:4" x14ac:dyDescent="0.3">
      <c r="A761" s="15">
        <v>95970</v>
      </c>
      <c r="B761" s="17" t="s">
        <v>757</v>
      </c>
      <c r="C761" s="12">
        <v>39037</v>
      </c>
      <c r="D761" s="11" t="str">
        <f>_xlfn.IFNA(IF(VLOOKUP(Tabela2[[#This Row],[CÓDIGO]],Aguardando_exclusão!A$4:A$4003,1,FALSE),"sim",""),"")</f>
        <v>sim</v>
      </c>
    </row>
    <row r="762" spans="1:4" x14ac:dyDescent="0.3">
      <c r="A762" s="15">
        <v>96516</v>
      </c>
      <c r="B762" s="17" t="s">
        <v>758</v>
      </c>
      <c r="C762" s="12">
        <v>39063</v>
      </c>
      <c r="D762" s="11" t="str">
        <f>_xlfn.IFNA(IF(VLOOKUP(Tabela2[[#This Row],[CÓDIGO]],Aguardando_exclusão!A$4:A$4003,1,FALSE),"sim",""),"")</f>
        <v/>
      </c>
    </row>
    <row r="763" spans="1:4" x14ac:dyDescent="0.3">
      <c r="A763" s="15">
        <v>97965</v>
      </c>
      <c r="B763" s="17" t="s">
        <v>759</v>
      </c>
      <c r="C763" s="12">
        <v>39149</v>
      </c>
      <c r="D763" s="11" t="str">
        <f>_xlfn.IFNA(IF(VLOOKUP(Tabela2[[#This Row],[CÓDIGO]],Aguardando_exclusão!A$4:A$4003,1,FALSE),"sim",""),"")</f>
        <v/>
      </c>
    </row>
    <row r="764" spans="1:4" x14ac:dyDescent="0.3">
      <c r="A764" s="15">
        <v>98080</v>
      </c>
      <c r="B764" s="17" t="s">
        <v>760</v>
      </c>
      <c r="C764" s="12">
        <v>39154</v>
      </c>
      <c r="D764" s="11" t="str">
        <f>_xlfn.IFNA(IF(VLOOKUP(Tabela2[[#This Row],[CÓDIGO]],Aguardando_exclusão!A$4:A$4003,1,FALSE),"sim",""),"")</f>
        <v/>
      </c>
    </row>
    <row r="765" spans="1:4" x14ac:dyDescent="0.3">
      <c r="A765" s="15">
        <v>98359</v>
      </c>
      <c r="B765" s="17" t="s">
        <v>761</v>
      </c>
      <c r="C765" s="12">
        <v>39168</v>
      </c>
      <c r="D765" s="11" t="str">
        <f>_xlfn.IFNA(IF(VLOOKUP(Tabela2[[#This Row],[CÓDIGO]],Aguardando_exclusão!A$4:A$4003,1,FALSE),"sim",""),"")</f>
        <v/>
      </c>
    </row>
    <row r="766" spans="1:4" x14ac:dyDescent="0.3">
      <c r="A766" s="15">
        <v>98360</v>
      </c>
      <c r="B766" s="17" t="s">
        <v>762</v>
      </c>
      <c r="C766" s="12">
        <v>39168</v>
      </c>
      <c r="D766" s="11" t="str">
        <f>_xlfn.IFNA(IF(VLOOKUP(Tabela2[[#This Row],[CÓDIGO]],Aguardando_exclusão!A$4:A$4003,1,FALSE),"sim",""),"")</f>
        <v>sim</v>
      </c>
    </row>
    <row r="767" spans="1:4" ht="15" customHeight="1" x14ac:dyDescent="0.3">
      <c r="A767" s="15">
        <v>98702</v>
      </c>
      <c r="B767" s="17" t="s">
        <v>763</v>
      </c>
      <c r="C767" s="12">
        <v>39183</v>
      </c>
      <c r="D767" s="11" t="str">
        <f>_xlfn.IFNA(IF(VLOOKUP(Tabela2[[#This Row],[CÓDIGO]],Aguardando_exclusão!A$4:A$4003,1,FALSE),"sim",""),"")</f>
        <v/>
      </c>
    </row>
    <row r="768" spans="1:4" x14ac:dyDescent="0.3">
      <c r="A768" s="15">
        <v>98703</v>
      </c>
      <c r="B768" s="17" t="s">
        <v>764</v>
      </c>
      <c r="C768" s="12">
        <v>39183</v>
      </c>
      <c r="D768" s="11" t="str">
        <f>_xlfn.IFNA(IF(VLOOKUP(Tabela2[[#This Row],[CÓDIGO]],Aguardando_exclusão!A$4:A$4003,1,FALSE),"sim",""),"")</f>
        <v/>
      </c>
    </row>
    <row r="769" spans="1:4" ht="15" customHeight="1" x14ac:dyDescent="0.3">
      <c r="A769" s="15">
        <v>98704</v>
      </c>
      <c r="B769" s="17" t="s">
        <v>765</v>
      </c>
      <c r="C769" s="12">
        <v>39183</v>
      </c>
      <c r="D769" s="11" t="str">
        <f>_xlfn.IFNA(IF(VLOOKUP(Tabela2[[#This Row],[CÓDIGO]],Aguardando_exclusão!A$4:A$4003,1,FALSE),"sim",""),"")</f>
        <v/>
      </c>
    </row>
    <row r="770" spans="1:4" ht="15" customHeight="1" x14ac:dyDescent="0.3">
      <c r="A770" s="15">
        <v>98732</v>
      </c>
      <c r="B770" s="17" t="s">
        <v>766</v>
      </c>
      <c r="C770" s="12">
        <v>39184</v>
      </c>
      <c r="D770" s="11" t="str">
        <f>_xlfn.IFNA(IF(VLOOKUP(Tabela2[[#This Row],[CÓDIGO]],Aguardando_exclusão!A$4:A$4003,1,FALSE),"sim",""),"")</f>
        <v/>
      </c>
    </row>
    <row r="771" spans="1:4" x14ac:dyDescent="0.3">
      <c r="A771" s="15">
        <v>98733</v>
      </c>
      <c r="B771" s="17" t="s">
        <v>767</v>
      </c>
      <c r="C771" s="12">
        <v>39184</v>
      </c>
      <c r="D771" s="11" t="str">
        <f>_xlfn.IFNA(IF(VLOOKUP(Tabela2[[#This Row],[CÓDIGO]],Aguardando_exclusão!A$4:A$4003,1,FALSE),"sim",""),"")</f>
        <v/>
      </c>
    </row>
    <row r="772" spans="1:4" x14ac:dyDescent="0.3">
      <c r="A772" s="15">
        <v>98734</v>
      </c>
      <c r="B772" s="17" t="s">
        <v>1329</v>
      </c>
      <c r="C772" s="12">
        <v>39184</v>
      </c>
      <c r="D772" s="11" t="str">
        <f>_xlfn.IFNA(IF(VLOOKUP(Tabela2[[#This Row],[CÓDIGO]],Aguardando_exclusão!A$4:A$4003,1,FALSE),"sim",""),"")</f>
        <v/>
      </c>
    </row>
    <row r="773" spans="1:4" x14ac:dyDescent="0.3">
      <c r="A773" s="15">
        <v>99787</v>
      </c>
      <c r="B773" s="17" t="s">
        <v>768</v>
      </c>
      <c r="C773" s="12">
        <v>39227</v>
      </c>
      <c r="D773" s="11" t="str">
        <f>_xlfn.IFNA(IF(VLOOKUP(Tabela2[[#This Row],[CÓDIGO]],Aguardando_exclusão!A$4:A$4003,1,FALSE),"sim",""),"")</f>
        <v/>
      </c>
    </row>
    <row r="774" spans="1:4" x14ac:dyDescent="0.3">
      <c r="A774" s="15">
        <v>99788</v>
      </c>
      <c r="B774" s="17" t="s">
        <v>769</v>
      </c>
      <c r="C774" s="12">
        <v>39227</v>
      </c>
      <c r="D774" s="11" t="str">
        <f>_xlfn.IFNA(IF(VLOOKUP(Tabela2[[#This Row],[CÓDIGO]],Aguardando_exclusão!A$4:A$4003,1,FALSE),"sim",""),"")</f>
        <v/>
      </c>
    </row>
    <row r="775" spans="1:4" x14ac:dyDescent="0.3">
      <c r="A775" s="15">
        <v>99790</v>
      </c>
      <c r="B775" s="17" t="s">
        <v>770</v>
      </c>
      <c r="C775" s="12">
        <v>39227</v>
      </c>
      <c r="D775" s="11" t="str">
        <f>_xlfn.IFNA(IF(VLOOKUP(Tabela2[[#This Row],[CÓDIGO]],Aguardando_exclusão!A$4:A$4003,1,FALSE),"sim",""),"")</f>
        <v>sim</v>
      </c>
    </row>
    <row r="776" spans="1:4" ht="15" customHeight="1" x14ac:dyDescent="0.3">
      <c r="A776" s="15">
        <v>99796</v>
      </c>
      <c r="B776" s="17" t="s">
        <v>771</v>
      </c>
      <c r="C776" s="12">
        <v>39227</v>
      </c>
      <c r="D776" s="11" t="str">
        <f>_xlfn.IFNA(IF(VLOOKUP(Tabela2[[#This Row],[CÓDIGO]],Aguardando_exclusão!A$4:A$4003,1,FALSE),"sim",""),"")</f>
        <v/>
      </c>
    </row>
    <row r="777" spans="1:4" x14ac:dyDescent="0.3">
      <c r="A777" s="15">
        <v>99810</v>
      </c>
      <c r="B777" s="17" t="s">
        <v>772</v>
      </c>
      <c r="C777" s="12">
        <v>39227</v>
      </c>
      <c r="D777" s="11" t="str">
        <f>_xlfn.IFNA(IF(VLOOKUP(Tabela2[[#This Row],[CÓDIGO]],Aguardando_exclusão!A$4:A$4003,1,FALSE),"sim",""),"")</f>
        <v/>
      </c>
    </row>
    <row r="778" spans="1:4" x14ac:dyDescent="0.3">
      <c r="A778" s="15">
        <v>100383</v>
      </c>
      <c r="B778" s="17" t="s">
        <v>773</v>
      </c>
      <c r="C778" s="12">
        <v>39260</v>
      </c>
      <c r="D778" s="11" t="str">
        <f>_xlfn.IFNA(IF(VLOOKUP(Tabela2[[#This Row],[CÓDIGO]],Aguardando_exclusão!A$4:A$4003,1,FALSE),"sim",""),"")</f>
        <v/>
      </c>
    </row>
    <row r="779" spans="1:4" ht="15" customHeight="1" x14ac:dyDescent="0.3">
      <c r="A779" s="15">
        <v>100802</v>
      </c>
      <c r="B779" s="17" t="s">
        <v>774</v>
      </c>
      <c r="C779" s="12">
        <v>39275</v>
      </c>
      <c r="D779" s="11" t="str">
        <f>_xlfn.IFNA(IF(VLOOKUP(Tabela2[[#This Row],[CÓDIGO]],Aguardando_exclusão!A$4:A$4003,1,FALSE),"sim",""),"")</f>
        <v/>
      </c>
    </row>
    <row r="780" spans="1:4" x14ac:dyDescent="0.3">
      <c r="A780" s="15">
        <v>100907</v>
      </c>
      <c r="B780" s="17" t="s">
        <v>775</v>
      </c>
      <c r="C780" s="12">
        <v>39281</v>
      </c>
      <c r="D780" s="11" t="str">
        <f>_xlfn.IFNA(IF(VLOOKUP(Tabela2[[#This Row],[CÓDIGO]],Aguardando_exclusão!A$4:A$4003,1,FALSE),"sim",""),"")</f>
        <v/>
      </c>
    </row>
    <row r="781" spans="1:4" x14ac:dyDescent="0.3">
      <c r="A781" s="15">
        <v>101867</v>
      </c>
      <c r="B781" s="17" t="s">
        <v>776</v>
      </c>
      <c r="C781" s="12">
        <v>39328</v>
      </c>
      <c r="D781" s="11" t="str">
        <f>_xlfn.IFNA(IF(VLOOKUP(Tabela2[[#This Row],[CÓDIGO]],Aguardando_exclusão!A$4:A$4003,1,FALSE),"sim",""),"")</f>
        <v/>
      </c>
    </row>
    <row r="782" spans="1:4" x14ac:dyDescent="0.3">
      <c r="A782" s="15">
        <v>101868</v>
      </c>
      <c r="B782" s="17" t="s">
        <v>777</v>
      </c>
      <c r="C782" s="12">
        <v>39328</v>
      </c>
      <c r="D782" s="11" t="str">
        <f>_xlfn.IFNA(IF(VLOOKUP(Tabela2[[#This Row],[CÓDIGO]],Aguardando_exclusão!A$4:A$4003,1,FALSE),"sim",""),"")</f>
        <v/>
      </c>
    </row>
    <row r="783" spans="1:4" x14ac:dyDescent="0.3">
      <c r="A783" s="15">
        <v>101891</v>
      </c>
      <c r="B783" s="17" t="s">
        <v>778</v>
      </c>
      <c r="C783" s="12">
        <v>39330</v>
      </c>
      <c r="D783" s="11" t="str">
        <f>_xlfn.IFNA(IF(VLOOKUP(Tabela2[[#This Row],[CÓDIGO]],Aguardando_exclusão!A$4:A$4003,1,FALSE),"sim",""),"")</f>
        <v/>
      </c>
    </row>
    <row r="784" spans="1:4" x14ac:dyDescent="0.3">
      <c r="A784" s="15">
        <v>101917</v>
      </c>
      <c r="B784" s="17" t="s">
        <v>779</v>
      </c>
      <c r="C784" s="12">
        <v>39335</v>
      </c>
      <c r="D784" s="11" t="str">
        <f>_xlfn.IFNA(IF(VLOOKUP(Tabela2[[#This Row],[CÓDIGO]],Aguardando_exclusão!A$4:A$4003,1,FALSE),"sim",""),"")</f>
        <v/>
      </c>
    </row>
    <row r="785" spans="1:4" ht="15" customHeight="1" x14ac:dyDescent="0.3">
      <c r="A785" s="15">
        <v>101938</v>
      </c>
      <c r="B785" s="17" t="s">
        <v>780</v>
      </c>
      <c r="C785" s="12">
        <v>39336</v>
      </c>
      <c r="D785" s="11" t="str">
        <f>_xlfn.IFNA(IF(VLOOKUP(Tabela2[[#This Row],[CÓDIGO]],Aguardando_exclusão!A$4:A$4003,1,FALSE),"sim",""),"")</f>
        <v/>
      </c>
    </row>
    <row r="786" spans="1:4" ht="15" customHeight="1" x14ac:dyDescent="0.3">
      <c r="A786" s="15">
        <v>102000</v>
      </c>
      <c r="B786" s="17" t="s">
        <v>781</v>
      </c>
      <c r="C786" s="12">
        <v>39339</v>
      </c>
      <c r="D786" s="11" t="str">
        <f>_xlfn.IFNA(IF(VLOOKUP(Tabela2[[#This Row],[CÓDIGO]],Aguardando_exclusão!A$4:A$4003,1,FALSE),"sim",""),"")</f>
        <v/>
      </c>
    </row>
    <row r="787" spans="1:4" ht="15" customHeight="1" x14ac:dyDescent="0.3">
      <c r="A787" s="15">
        <v>102234</v>
      </c>
      <c r="B787" s="17" t="s">
        <v>782</v>
      </c>
      <c r="C787" s="12">
        <v>39350</v>
      </c>
      <c r="D787" s="11" t="str">
        <f>_xlfn.IFNA(IF(VLOOKUP(Tabela2[[#This Row],[CÓDIGO]],Aguardando_exclusão!A$4:A$4003,1,FALSE),"sim",""),"")</f>
        <v/>
      </c>
    </row>
    <row r="788" spans="1:4" x14ac:dyDescent="0.3">
      <c r="A788" s="15">
        <v>102276</v>
      </c>
      <c r="B788" s="17" t="s">
        <v>783</v>
      </c>
      <c r="C788" s="12">
        <v>39352</v>
      </c>
      <c r="D788" s="11" t="str">
        <f>_xlfn.IFNA(IF(VLOOKUP(Tabela2[[#This Row],[CÓDIGO]],Aguardando_exclusão!A$4:A$4003,1,FALSE),"sim",""),"")</f>
        <v/>
      </c>
    </row>
    <row r="789" spans="1:4" x14ac:dyDescent="0.3">
      <c r="A789" s="15">
        <v>102277</v>
      </c>
      <c r="B789" s="17" t="s">
        <v>784</v>
      </c>
      <c r="C789" s="12">
        <v>39352</v>
      </c>
      <c r="D789" s="11" t="str">
        <f>_xlfn.IFNA(IF(VLOOKUP(Tabela2[[#This Row],[CÓDIGO]],Aguardando_exclusão!A$4:A$4003,1,FALSE),"sim",""),"")</f>
        <v/>
      </c>
    </row>
    <row r="790" spans="1:4" x14ac:dyDescent="0.3">
      <c r="A790" s="15">
        <v>102278</v>
      </c>
      <c r="B790" s="17" t="s">
        <v>785</v>
      </c>
      <c r="C790" s="12">
        <v>39352</v>
      </c>
      <c r="D790" s="11" t="str">
        <f>_xlfn.IFNA(IF(VLOOKUP(Tabela2[[#This Row],[CÓDIGO]],Aguardando_exclusão!A$4:A$4003,1,FALSE),"sim",""),"")</f>
        <v/>
      </c>
    </row>
    <row r="791" spans="1:4" x14ac:dyDescent="0.3">
      <c r="A791" s="15">
        <v>102279</v>
      </c>
      <c r="B791" s="17" t="s">
        <v>786</v>
      </c>
      <c r="C791" s="12">
        <v>39352</v>
      </c>
      <c r="D791" s="11" t="str">
        <f>_xlfn.IFNA(IF(VLOOKUP(Tabela2[[#This Row],[CÓDIGO]],Aguardando_exclusão!A$4:A$4003,1,FALSE),"sim",""),"")</f>
        <v/>
      </c>
    </row>
    <row r="792" spans="1:4" x14ac:dyDescent="0.3">
      <c r="A792" s="15">
        <v>102443</v>
      </c>
      <c r="B792" s="17" t="s">
        <v>787</v>
      </c>
      <c r="C792" s="12">
        <v>39360</v>
      </c>
      <c r="D792" s="11" t="str">
        <f>_xlfn.IFNA(IF(VLOOKUP(Tabela2[[#This Row],[CÓDIGO]],Aguardando_exclusão!A$4:A$4003,1,FALSE),"sim",""),"")</f>
        <v>sim</v>
      </c>
    </row>
    <row r="793" spans="1:4" ht="15" customHeight="1" x14ac:dyDescent="0.3">
      <c r="A793" s="15">
        <v>102588</v>
      </c>
      <c r="B793" s="17" t="s">
        <v>788</v>
      </c>
      <c r="C793" s="12">
        <v>39365</v>
      </c>
      <c r="D793" s="11" t="str">
        <f>_xlfn.IFNA(IF(VLOOKUP(Tabela2[[#This Row],[CÓDIGO]],Aguardando_exclusão!A$4:A$4003,1,FALSE),"sim",""),"")</f>
        <v/>
      </c>
    </row>
    <row r="794" spans="1:4" x14ac:dyDescent="0.3">
      <c r="A794" s="15">
        <v>102634</v>
      </c>
      <c r="B794" s="17" t="s">
        <v>789</v>
      </c>
      <c r="C794" s="12">
        <v>39366</v>
      </c>
      <c r="D794" s="11" t="str">
        <f>_xlfn.IFNA(IF(VLOOKUP(Tabela2[[#This Row],[CÓDIGO]],Aguardando_exclusão!A$4:A$4003,1,FALSE),"sim",""),"")</f>
        <v>sim</v>
      </c>
    </row>
    <row r="795" spans="1:4" ht="15" customHeight="1" x14ac:dyDescent="0.3">
      <c r="A795" s="15">
        <v>102684</v>
      </c>
      <c r="B795" s="17" t="s">
        <v>790</v>
      </c>
      <c r="C795" s="12">
        <v>39371</v>
      </c>
      <c r="D795" s="11" t="str">
        <f>_xlfn.IFNA(IF(VLOOKUP(Tabela2[[#This Row],[CÓDIGO]],Aguardando_exclusão!A$4:A$4003,1,FALSE),"sim",""),"")</f>
        <v>sim</v>
      </c>
    </row>
    <row r="796" spans="1:4" ht="15" customHeight="1" x14ac:dyDescent="0.3">
      <c r="A796" s="15">
        <v>102685</v>
      </c>
      <c r="B796" s="17" t="s">
        <v>791</v>
      </c>
      <c r="C796" s="12">
        <v>39371</v>
      </c>
      <c r="D796" s="11" t="str">
        <f>_xlfn.IFNA(IF(VLOOKUP(Tabela2[[#This Row],[CÓDIGO]],Aguardando_exclusão!A$4:A$4003,1,FALSE),"sim",""),"")</f>
        <v>sim</v>
      </c>
    </row>
    <row r="797" spans="1:4" ht="15" customHeight="1" x14ac:dyDescent="0.3">
      <c r="A797" s="15">
        <v>102686</v>
      </c>
      <c r="B797" s="17" t="s">
        <v>792</v>
      </c>
      <c r="C797" s="12">
        <v>39371</v>
      </c>
      <c r="D797" s="11" t="str">
        <f>_xlfn.IFNA(IF(VLOOKUP(Tabela2[[#This Row],[CÓDIGO]],Aguardando_exclusão!A$4:A$4003,1,FALSE),"sim",""),"")</f>
        <v>sim</v>
      </c>
    </row>
    <row r="798" spans="1:4" x14ac:dyDescent="0.3">
      <c r="A798" s="15">
        <v>102687</v>
      </c>
      <c r="B798" s="17" t="s">
        <v>793</v>
      </c>
      <c r="C798" s="12">
        <v>39371</v>
      </c>
      <c r="D798" s="11" t="str">
        <f>_xlfn.IFNA(IF(VLOOKUP(Tabela2[[#This Row],[CÓDIGO]],Aguardando_exclusão!A$4:A$4003,1,FALSE),"sim",""),"")</f>
        <v>sim</v>
      </c>
    </row>
    <row r="799" spans="1:4" ht="15" customHeight="1" x14ac:dyDescent="0.3">
      <c r="A799" s="15">
        <v>102688</v>
      </c>
      <c r="B799" s="17" t="s">
        <v>794</v>
      </c>
      <c r="C799" s="12">
        <v>39371</v>
      </c>
      <c r="D799" s="11" t="str">
        <f>_xlfn.IFNA(IF(VLOOKUP(Tabela2[[#This Row],[CÓDIGO]],Aguardando_exclusão!A$4:A$4003,1,FALSE),"sim",""),"")</f>
        <v>sim</v>
      </c>
    </row>
    <row r="800" spans="1:4" x14ac:dyDescent="0.3">
      <c r="A800" s="15">
        <v>102690</v>
      </c>
      <c r="B800" s="17" t="s">
        <v>795</v>
      </c>
      <c r="C800" s="12">
        <v>39371</v>
      </c>
      <c r="D800" s="11" t="str">
        <f>_xlfn.IFNA(IF(VLOOKUP(Tabela2[[#This Row],[CÓDIGO]],Aguardando_exclusão!A$4:A$4003,1,FALSE),"sim",""),"")</f>
        <v/>
      </c>
    </row>
    <row r="801" spans="1:4" x14ac:dyDescent="0.3">
      <c r="A801" s="15">
        <v>102691</v>
      </c>
      <c r="B801" s="17" t="s">
        <v>796</v>
      </c>
      <c r="C801" s="12">
        <v>39371</v>
      </c>
      <c r="D801" s="11" t="str">
        <f>_xlfn.IFNA(IF(VLOOKUP(Tabela2[[#This Row],[CÓDIGO]],Aguardando_exclusão!A$4:A$4003,1,FALSE),"sim",""),"")</f>
        <v/>
      </c>
    </row>
    <row r="802" spans="1:4" x14ac:dyDescent="0.3">
      <c r="A802" s="15">
        <v>102692</v>
      </c>
      <c r="B802" s="17" t="s">
        <v>797</v>
      </c>
      <c r="C802" s="12">
        <v>39371</v>
      </c>
      <c r="D802" s="11" t="str">
        <f>_xlfn.IFNA(IF(VLOOKUP(Tabela2[[#This Row],[CÓDIGO]],Aguardando_exclusão!A$4:A$4003,1,FALSE),"sim",""),"")</f>
        <v>sim</v>
      </c>
    </row>
    <row r="803" spans="1:4" ht="15" customHeight="1" x14ac:dyDescent="0.3">
      <c r="A803" s="15">
        <v>102693</v>
      </c>
      <c r="B803" s="17" t="s">
        <v>798</v>
      </c>
      <c r="C803" s="12">
        <v>39371</v>
      </c>
      <c r="D803" s="11" t="str">
        <f>_xlfn.IFNA(IF(VLOOKUP(Tabela2[[#This Row],[CÓDIGO]],Aguardando_exclusão!A$4:A$4003,1,FALSE),"sim",""),"")</f>
        <v>sim</v>
      </c>
    </row>
    <row r="804" spans="1:4" x14ac:dyDescent="0.3">
      <c r="A804" s="15">
        <v>102694</v>
      </c>
      <c r="B804" s="17" t="s">
        <v>799</v>
      </c>
      <c r="C804" s="12">
        <v>39371</v>
      </c>
      <c r="D804" s="11" t="str">
        <f>_xlfn.IFNA(IF(VLOOKUP(Tabela2[[#This Row],[CÓDIGO]],Aguardando_exclusão!A$4:A$4003,1,FALSE),"sim",""),"")</f>
        <v/>
      </c>
    </row>
    <row r="805" spans="1:4" x14ac:dyDescent="0.3">
      <c r="A805" s="15">
        <v>102695</v>
      </c>
      <c r="B805" s="17" t="s">
        <v>800</v>
      </c>
      <c r="C805" s="12">
        <v>39371</v>
      </c>
      <c r="D805" s="11" t="str">
        <f>_xlfn.IFNA(IF(VLOOKUP(Tabela2[[#This Row],[CÓDIGO]],Aguardando_exclusão!A$4:A$4003,1,FALSE),"sim",""),"")</f>
        <v>sim</v>
      </c>
    </row>
    <row r="806" spans="1:4" x14ac:dyDescent="0.3">
      <c r="A806" s="15">
        <v>102696</v>
      </c>
      <c r="B806" s="17" t="s">
        <v>801</v>
      </c>
      <c r="C806" s="12">
        <v>39371</v>
      </c>
      <c r="D806" s="11" t="str">
        <f>_xlfn.IFNA(IF(VLOOKUP(Tabela2[[#This Row],[CÓDIGO]],Aguardando_exclusão!A$4:A$4003,1,FALSE),"sim",""),"")</f>
        <v>sim</v>
      </c>
    </row>
    <row r="807" spans="1:4" x14ac:dyDescent="0.3">
      <c r="A807" s="15">
        <v>102697</v>
      </c>
      <c r="B807" s="17" t="s">
        <v>802</v>
      </c>
      <c r="C807" s="12">
        <v>39371</v>
      </c>
      <c r="D807" s="11" t="str">
        <f>_xlfn.IFNA(IF(VLOOKUP(Tabela2[[#This Row],[CÓDIGO]],Aguardando_exclusão!A$4:A$4003,1,FALSE),"sim",""),"")</f>
        <v>sim</v>
      </c>
    </row>
    <row r="808" spans="1:4" x14ac:dyDescent="0.3">
      <c r="A808" s="15">
        <v>102698</v>
      </c>
      <c r="B808" s="17" t="s">
        <v>803</v>
      </c>
      <c r="C808" s="12">
        <v>39371</v>
      </c>
      <c r="D808" s="11" t="str">
        <f>_xlfn.IFNA(IF(VLOOKUP(Tabela2[[#This Row],[CÓDIGO]],Aguardando_exclusão!A$4:A$4003,1,FALSE),"sim",""),"")</f>
        <v>sim</v>
      </c>
    </row>
    <row r="809" spans="1:4" x14ac:dyDescent="0.3">
      <c r="A809" s="15">
        <v>102699</v>
      </c>
      <c r="B809" s="17" t="s">
        <v>804</v>
      </c>
      <c r="C809" s="12">
        <v>39371</v>
      </c>
      <c r="D809" s="11" t="str">
        <f>_xlfn.IFNA(IF(VLOOKUP(Tabela2[[#This Row],[CÓDIGO]],Aguardando_exclusão!A$4:A$4003,1,FALSE),"sim",""),"")</f>
        <v>sim</v>
      </c>
    </row>
    <row r="810" spans="1:4" ht="15" customHeight="1" x14ac:dyDescent="0.3">
      <c r="A810" s="15">
        <v>102702</v>
      </c>
      <c r="B810" s="17" t="s">
        <v>805</v>
      </c>
      <c r="C810" s="12">
        <v>39371</v>
      </c>
      <c r="D810" s="11" t="str">
        <f>_xlfn.IFNA(IF(VLOOKUP(Tabela2[[#This Row],[CÓDIGO]],Aguardando_exclusão!A$4:A$4003,1,FALSE),"sim",""),"")</f>
        <v/>
      </c>
    </row>
    <row r="811" spans="1:4" x14ac:dyDescent="0.3">
      <c r="A811" s="15">
        <v>102723</v>
      </c>
      <c r="B811" s="17" t="s">
        <v>806</v>
      </c>
      <c r="C811" s="12">
        <v>40766</v>
      </c>
      <c r="D811" s="11" t="str">
        <f>_xlfn.IFNA(IF(VLOOKUP(Tabela2[[#This Row],[CÓDIGO]],Aguardando_exclusão!A$4:A$4003,1,FALSE),"sim",""),"")</f>
        <v/>
      </c>
    </row>
    <row r="812" spans="1:4" x14ac:dyDescent="0.3">
      <c r="A812" s="15">
        <v>102726</v>
      </c>
      <c r="B812" s="17" t="s">
        <v>807</v>
      </c>
      <c r="C812" s="12">
        <v>40766</v>
      </c>
      <c r="D812" s="11" t="str">
        <f>_xlfn.IFNA(IF(VLOOKUP(Tabela2[[#This Row],[CÓDIGO]],Aguardando_exclusão!A$4:A$4003,1,FALSE),"sim",""),"")</f>
        <v>sim</v>
      </c>
    </row>
    <row r="813" spans="1:4" x14ac:dyDescent="0.3">
      <c r="A813" s="15">
        <v>102728</v>
      </c>
      <c r="B813" s="17" t="s">
        <v>808</v>
      </c>
      <c r="C813" s="12">
        <v>39371</v>
      </c>
      <c r="D813" s="11" t="str">
        <f>_xlfn.IFNA(IF(VLOOKUP(Tabela2[[#This Row],[CÓDIGO]],Aguardando_exclusão!A$4:A$4003,1,FALSE),"sim",""),"")</f>
        <v/>
      </c>
    </row>
    <row r="814" spans="1:4" x14ac:dyDescent="0.3">
      <c r="A814" s="15">
        <v>102775</v>
      </c>
      <c r="B814" s="17" t="s">
        <v>809</v>
      </c>
      <c r="C814" s="12">
        <v>39373</v>
      </c>
      <c r="D814" s="11" t="str">
        <f>_xlfn.IFNA(IF(VLOOKUP(Tabela2[[#This Row],[CÓDIGO]],Aguardando_exclusão!A$4:A$4003,1,FALSE),"sim",""),"")</f>
        <v/>
      </c>
    </row>
    <row r="815" spans="1:4" ht="15" customHeight="1" x14ac:dyDescent="0.3">
      <c r="A815" s="15">
        <v>102776</v>
      </c>
      <c r="B815" s="17" t="s">
        <v>810</v>
      </c>
      <c r="C815" s="12">
        <v>39373</v>
      </c>
      <c r="D815" s="11" t="str">
        <f>_xlfn.IFNA(IF(VLOOKUP(Tabela2[[#This Row],[CÓDIGO]],Aguardando_exclusão!A$4:A$4003,1,FALSE),"sim",""),"")</f>
        <v/>
      </c>
    </row>
    <row r="816" spans="1:4" x14ac:dyDescent="0.3">
      <c r="A816" s="15">
        <v>102777</v>
      </c>
      <c r="B816" s="17" t="s">
        <v>811</v>
      </c>
      <c r="C816" s="12">
        <v>39373</v>
      </c>
      <c r="D816" s="11" t="str">
        <f>_xlfn.IFNA(IF(VLOOKUP(Tabela2[[#This Row],[CÓDIGO]],Aguardando_exclusão!A$4:A$4003,1,FALSE),"sim",""),"")</f>
        <v>sim</v>
      </c>
    </row>
    <row r="817" spans="1:4" x14ac:dyDescent="0.3">
      <c r="A817" s="15">
        <v>102782</v>
      </c>
      <c r="B817" s="17" t="s">
        <v>812</v>
      </c>
      <c r="C817" s="12">
        <v>39373</v>
      </c>
      <c r="D817" s="11" t="str">
        <f>_xlfn.IFNA(IF(VLOOKUP(Tabela2[[#This Row],[CÓDIGO]],Aguardando_exclusão!A$4:A$4003,1,FALSE),"sim",""),"")</f>
        <v>sim</v>
      </c>
    </row>
    <row r="818" spans="1:4" x14ac:dyDescent="0.3">
      <c r="A818" s="15">
        <v>102791</v>
      </c>
      <c r="B818" s="17" t="s">
        <v>813</v>
      </c>
      <c r="C818" s="12">
        <v>39373</v>
      </c>
      <c r="D818" s="11" t="str">
        <f>_xlfn.IFNA(IF(VLOOKUP(Tabela2[[#This Row],[CÓDIGO]],Aguardando_exclusão!A$4:A$4003,1,FALSE),"sim",""),"")</f>
        <v/>
      </c>
    </row>
    <row r="819" spans="1:4" x14ac:dyDescent="0.3">
      <c r="A819" s="15">
        <v>102814</v>
      </c>
      <c r="B819" s="17" t="s">
        <v>814</v>
      </c>
      <c r="C819" s="12">
        <v>39374</v>
      </c>
      <c r="D819" s="11" t="str">
        <f>_xlfn.IFNA(IF(VLOOKUP(Tabela2[[#This Row],[CÓDIGO]],Aguardando_exclusão!A$4:A$4003,1,FALSE),"sim",""),"")</f>
        <v/>
      </c>
    </row>
    <row r="820" spans="1:4" x14ac:dyDescent="0.3">
      <c r="A820" s="15">
        <v>102819</v>
      </c>
      <c r="B820" s="17" t="s">
        <v>815</v>
      </c>
      <c r="C820" s="12">
        <v>39374</v>
      </c>
      <c r="D820" s="11" t="str">
        <f>_xlfn.IFNA(IF(VLOOKUP(Tabela2[[#This Row],[CÓDIGO]],Aguardando_exclusão!A$4:A$4003,1,FALSE),"sim",""),"")</f>
        <v/>
      </c>
    </row>
    <row r="821" spans="1:4" x14ac:dyDescent="0.3">
      <c r="A821" s="15">
        <v>102820</v>
      </c>
      <c r="B821" s="17" t="s">
        <v>816</v>
      </c>
      <c r="C821" s="12">
        <v>39374</v>
      </c>
      <c r="D821" s="11" t="str">
        <f>_xlfn.IFNA(IF(VLOOKUP(Tabela2[[#This Row],[CÓDIGO]],Aguardando_exclusão!A$4:A$4003,1,FALSE),"sim",""),"")</f>
        <v/>
      </c>
    </row>
    <row r="822" spans="1:4" x14ac:dyDescent="0.3">
      <c r="A822" s="15">
        <v>102822</v>
      </c>
      <c r="B822" s="17" t="s">
        <v>817</v>
      </c>
      <c r="C822" s="12">
        <v>39374</v>
      </c>
      <c r="D822" s="11" t="str">
        <f>_xlfn.IFNA(IF(VLOOKUP(Tabela2[[#This Row],[CÓDIGO]],Aguardando_exclusão!A$4:A$4003,1,FALSE),"sim",""),"")</f>
        <v/>
      </c>
    </row>
    <row r="823" spans="1:4" x14ac:dyDescent="0.3">
      <c r="A823" s="15">
        <v>102833</v>
      </c>
      <c r="B823" s="17" t="s">
        <v>818</v>
      </c>
      <c r="C823" s="12">
        <v>39377</v>
      </c>
      <c r="D823" s="11" t="str">
        <f>_xlfn.IFNA(IF(VLOOKUP(Tabela2[[#This Row],[CÓDIGO]],Aguardando_exclusão!A$4:A$4003,1,FALSE),"sim",""),"")</f>
        <v/>
      </c>
    </row>
    <row r="824" spans="1:4" x14ac:dyDescent="0.3">
      <c r="A824" s="15">
        <v>102922</v>
      </c>
      <c r="B824" s="17" t="s">
        <v>819</v>
      </c>
      <c r="C824" s="12">
        <v>39379</v>
      </c>
      <c r="D824" s="11" t="str">
        <f>_xlfn.IFNA(IF(VLOOKUP(Tabela2[[#This Row],[CÓDIGO]],Aguardando_exclusão!A$4:A$4003,1,FALSE),"sim",""),"")</f>
        <v/>
      </c>
    </row>
    <row r="825" spans="1:4" ht="15" customHeight="1" x14ac:dyDescent="0.3">
      <c r="A825" s="15">
        <v>103142</v>
      </c>
      <c r="B825" s="17" t="s">
        <v>820</v>
      </c>
      <c r="C825" s="12">
        <v>39393</v>
      </c>
      <c r="D825" s="11" t="str">
        <f>_xlfn.IFNA(IF(VLOOKUP(Tabela2[[#This Row],[CÓDIGO]],Aguardando_exclusão!A$4:A$4003,1,FALSE),"sim",""),"")</f>
        <v/>
      </c>
    </row>
    <row r="826" spans="1:4" x14ac:dyDescent="0.3">
      <c r="A826" s="15">
        <v>103251</v>
      </c>
      <c r="B826" s="17" t="s">
        <v>821</v>
      </c>
      <c r="C826" s="12">
        <v>39395</v>
      </c>
      <c r="D826" s="11" t="str">
        <f>_xlfn.IFNA(IF(VLOOKUP(Tabela2[[#This Row],[CÓDIGO]],Aguardando_exclusão!A$4:A$4003,1,FALSE),"sim",""),"")</f>
        <v/>
      </c>
    </row>
    <row r="827" spans="1:4" x14ac:dyDescent="0.3">
      <c r="A827" s="15">
        <v>103298</v>
      </c>
      <c r="B827" s="17" t="s">
        <v>822</v>
      </c>
      <c r="C827" s="12">
        <v>39399</v>
      </c>
      <c r="D827" s="11" t="str">
        <f>_xlfn.IFNA(IF(VLOOKUP(Tabela2[[#This Row],[CÓDIGO]],Aguardando_exclusão!A$4:A$4003,1,FALSE),"sim",""),"")</f>
        <v>sim</v>
      </c>
    </row>
    <row r="828" spans="1:4" ht="15" customHeight="1" x14ac:dyDescent="0.3">
      <c r="A828" s="15">
        <v>103299</v>
      </c>
      <c r="B828" s="17" t="s">
        <v>823</v>
      </c>
      <c r="C828" s="12">
        <v>39399</v>
      </c>
      <c r="D828" s="11" t="str">
        <f>_xlfn.IFNA(IF(VLOOKUP(Tabela2[[#This Row],[CÓDIGO]],Aguardando_exclusão!A$4:A$4003,1,FALSE),"sim",""),"")</f>
        <v>sim</v>
      </c>
    </row>
    <row r="829" spans="1:4" x14ac:dyDescent="0.3">
      <c r="A829" s="15">
        <v>103344</v>
      </c>
      <c r="B829" s="17" t="s">
        <v>824</v>
      </c>
      <c r="C829" s="12">
        <v>39400</v>
      </c>
      <c r="D829" s="11" t="str">
        <f>_xlfn.IFNA(IF(VLOOKUP(Tabela2[[#This Row],[CÓDIGO]],Aguardando_exclusão!A$4:A$4003,1,FALSE),"sim",""),"")</f>
        <v/>
      </c>
    </row>
    <row r="830" spans="1:4" ht="15" customHeight="1" x14ac:dyDescent="0.3">
      <c r="A830" s="15">
        <v>103405</v>
      </c>
      <c r="B830" s="17" t="s">
        <v>825</v>
      </c>
      <c r="C830" s="12">
        <v>39407</v>
      </c>
      <c r="D830" s="11" t="str">
        <f>_xlfn.IFNA(IF(VLOOKUP(Tabela2[[#This Row],[CÓDIGO]],Aguardando_exclusão!A$4:A$4003,1,FALSE),"sim",""),"")</f>
        <v/>
      </c>
    </row>
    <row r="831" spans="1:4" ht="15" customHeight="1" x14ac:dyDescent="0.3">
      <c r="A831" s="15">
        <v>103444</v>
      </c>
      <c r="B831" s="17" t="s">
        <v>826</v>
      </c>
      <c r="C831" s="12">
        <v>39407</v>
      </c>
      <c r="D831" s="11" t="str">
        <f>_xlfn.IFNA(IF(VLOOKUP(Tabela2[[#This Row],[CÓDIGO]],Aguardando_exclusão!A$4:A$4003,1,FALSE),"sim",""),"")</f>
        <v>sim</v>
      </c>
    </row>
    <row r="832" spans="1:4" x14ac:dyDescent="0.3">
      <c r="A832" s="15">
        <v>103490</v>
      </c>
      <c r="B832" s="17" t="s">
        <v>827</v>
      </c>
      <c r="C832" s="12">
        <v>39407</v>
      </c>
      <c r="D832" s="11" t="str">
        <f>_xlfn.IFNA(IF(VLOOKUP(Tabela2[[#This Row],[CÓDIGO]],Aguardando_exclusão!A$4:A$4003,1,FALSE),"sim",""),"")</f>
        <v/>
      </c>
    </row>
    <row r="833" spans="1:4" x14ac:dyDescent="0.3">
      <c r="A833" s="15">
        <v>104625</v>
      </c>
      <c r="B833" s="17" t="s">
        <v>828</v>
      </c>
      <c r="C833" s="12">
        <v>39470</v>
      </c>
      <c r="D833" s="11" t="str">
        <f>_xlfn.IFNA(IF(VLOOKUP(Tabela2[[#This Row],[CÓDIGO]],Aguardando_exclusão!A$4:A$4003,1,FALSE),"sim",""),"")</f>
        <v/>
      </c>
    </row>
    <row r="834" spans="1:4" ht="15" customHeight="1" x14ac:dyDescent="0.3">
      <c r="A834" s="15">
        <v>104639</v>
      </c>
      <c r="B834" s="17" t="s">
        <v>829</v>
      </c>
      <c r="C834" s="12">
        <v>39471</v>
      </c>
      <c r="D834" s="11" t="str">
        <f>_xlfn.IFNA(IF(VLOOKUP(Tabela2[[#This Row],[CÓDIGO]],Aguardando_exclusão!A$4:A$4003,1,FALSE),"sim",""),"")</f>
        <v/>
      </c>
    </row>
    <row r="835" spans="1:4" ht="15" customHeight="1" x14ac:dyDescent="0.3">
      <c r="A835" s="15">
        <v>104640</v>
      </c>
      <c r="B835" s="17" t="s">
        <v>830</v>
      </c>
      <c r="C835" s="12">
        <v>39471</v>
      </c>
      <c r="D835" s="11" t="str">
        <f>_xlfn.IFNA(IF(VLOOKUP(Tabela2[[#This Row],[CÓDIGO]],Aguardando_exclusão!A$4:A$4003,1,FALSE),"sim",""),"")</f>
        <v/>
      </c>
    </row>
    <row r="836" spans="1:4" x14ac:dyDescent="0.3">
      <c r="A836" s="15">
        <v>104641</v>
      </c>
      <c r="B836" s="17" t="s">
        <v>831</v>
      </c>
      <c r="C836" s="12">
        <v>39471</v>
      </c>
      <c r="D836" s="11" t="str">
        <f>_xlfn.IFNA(IF(VLOOKUP(Tabela2[[#This Row],[CÓDIGO]],Aguardando_exclusão!A$4:A$4003,1,FALSE),"sim",""),"")</f>
        <v/>
      </c>
    </row>
    <row r="837" spans="1:4" x14ac:dyDescent="0.3">
      <c r="A837" s="15">
        <v>104642</v>
      </c>
      <c r="B837" s="17" t="s">
        <v>832</v>
      </c>
      <c r="C837" s="12">
        <v>39471</v>
      </c>
      <c r="D837" s="11" t="str">
        <f>_xlfn.IFNA(IF(VLOOKUP(Tabela2[[#This Row],[CÓDIGO]],Aguardando_exclusão!A$4:A$4003,1,FALSE),"sim",""),"")</f>
        <v/>
      </c>
    </row>
    <row r="838" spans="1:4" x14ac:dyDescent="0.3">
      <c r="A838" s="15">
        <v>104655</v>
      </c>
      <c r="B838" s="17" t="s">
        <v>833</v>
      </c>
      <c r="C838" s="12">
        <v>39471</v>
      </c>
      <c r="D838" s="11" t="str">
        <f>_xlfn.IFNA(IF(VLOOKUP(Tabela2[[#This Row],[CÓDIGO]],Aguardando_exclusão!A$4:A$4003,1,FALSE),"sim",""),"")</f>
        <v/>
      </c>
    </row>
    <row r="839" spans="1:4" x14ac:dyDescent="0.3">
      <c r="A839" s="15">
        <v>104665</v>
      </c>
      <c r="B839" s="17" t="s">
        <v>834</v>
      </c>
      <c r="C839" s="12">
        <v>39471</v>
      </c>
      <c r="D839" s="11" t="str">
        <f>_xlfn.IFNA(IF(VLOOKUP(Tabela2[[#This Row],[CÓDIGO]],Aguardando_exclusão!A$4:A$4003,1,FALSE),"sim",""),"")</f>
        <v/>
      </c>
    </row>
    <row r="840" spans="1:4" x14ac:dyDescent="0.3">
      <c r="A840" s="15">
        <v>104667</v>
      </c>
      <c r="B840" s="17" t="s">
        <v>835</v>
      </c>
      <c r="C840" s="12">
        <v>39472</v>
      </c>
      <c r="D840" s="11" t="str">
        <f>_xlfn.IFNA(IF(VLOOKUP(Tabela2[[#This Row],[CÓDIGO]],Aguardando_exclusão!A$4:A$4003,1,FALSE),"sim",""),"")</f>
        <v/>
      </c>
    </row>
    <row r="841" spans="1:4" x14ac:dyDescent="0.3">
      <c r="A841" s="15">
        <v>104755</v>
      </c>
      <c r="B841" s="17" t="s">
        <v>836</v>
      </c>
      <c r="C841" s="12">
        <v>39479</v>
      </c>
      <c r="D841" s="11" t="str">
        <f>_xlfn.IFNA(IF(VLOOKUP(Tabela2[[#This Row],[CÓDIGO]],Aguardando_exclusão!A$4:A$4003,1,FALSE),"sim",""),"")</f>
        <v/>
      </c>
    </row>
    <row r="842" spans="1:4" x14ac:dyDescent="0.3">
      <c r="A842" s="15">
        <v>104832</v>
      </c>
      <c r="B842" s="17" t="s">
        <v>837</v>
      </c>
      <c r="C842" s="12">
        <v>39485</v>
      </c>
      <c r="D842" s="11" t="str">
        <f>_xlfn.IFNA(IF(VLOOKUP(Tabela2[[#This Row],[CÓDIGO]],Aguardando_exclusão!A$4:A$4003,1,FALSE),"sim",""),"")</f>
        <v/>
      </c>
    </row>
    <row r="843" spans="1:4" x14ac:dyDescent="0.3">
      <c r="A843" s="15">
        <v>104911</v>
      </c>
      <c r="B843" s="17" t="s">
        <v>838</v>
      </c>
      <c r="C843" s="12">
        <v>39490</v>
      </c>
      <c r="D843" s="11" t="str">
        <f>_xlfn.IFNA(IF(VLOOKUP(Tabela2[[#This Row],[CÓDIGO]],Aguardando_exclusão!A$4:A$4003,1,FALSE),"sim",""),"")</f>
        <v/>
      </c>
    </row>
    <row r="844" spans="1:4" x14ac:dyDescent="0.3">
      <c r="A844" s="15">
        <v>105106</v>
      </c>
      <c r="B844" s="17" t="s">
        <v>839</v>
      </c>
      <c r="C844" s="12">
        <v>39499</v>
      </c>
      <c r="D844" s="11" t="str">
        <f>_xlfn.IFNA(IF(VLOOKUP(Tabela2[[#This Row],[CÓDIGO]],Aguardando_exclusão!A$4:A$4003,1,FALSE),"sim",""),"")</f>
        <v/>
      </c>
    </row>
    <row r="845" spans="1:4" x14ac:dyDescent="0.3">
      <c r="A845" s="15">
        <v>105107</v>
      </c>
      <c r="B845" s="17" t="s">
        <v>840</v>
      </c>
      <c r="C845" s="12">
        <v>39499</v>
      </c>
      <c r="D845" s="11" t="str">
        <f>_xlfn.IFNA(IF(VLOOKUP(Tabela2[[#This Row],[CÓDIGO]],Aguardando_exclusão!A$4:A$4003,1,FALSE),"sim",""),"")</f>
        <v/>
      </c>
    </row>
    <row r="846" spans="1:4" x14ac:dyDescent="0.3">
      <c r="A846" s="15">
        <v>105108</v>
      </c>
      <c r="B846" s="17" t="s">
        <v>841</v>
      </c>
      <c r="C846" s="12">
        <v>39499</v>
      </c>
      <c r="D846" s="11" t="str">
        <f>_xlfn.IFNA(IF(VLOOKUP(Tabela2[[#This Row],[CÓDIGO]],Aguardando_exclusão!A$4:A$4003,1,FALSE),"sim",""),"")</f>
        <v/>
      </c>
    </row>
    <row r="847" spans="1:4" x14ac:dyDescent="0.3">
      <c r="A847" s="15">
        <v>105109</v>
      </c>
      <c r="B847" s="17" t="s">
        <v>842</v>
      </c>
      <c r="C847" s="12">
        <v>39499</v>
      </c>
      <c r="D847" s="11" t="str">
        <f>_xlfn.IFNA(IF(VLOOKUP(Tabela2[[#This Row],[CÓDIGO]],Aguardando_exclusão!A$4:A$4003,1,FALSE),"sim",""),"")</f>
        <v/>
      </c>
    </row>
    <row r="848" spans="1:4" x14ac:dyDescent="0.3">
      <c r="A848" s="15">
        <v>105110</v>
      </c>
      <c r="B848" s="17" t="s">
        <v>843</v>
      </c>
      <c r="C848" s="12">
        <v>39499</v>
      </c>
      <c r="D848" s="11" t="str">
        <f>_xlfn.IFNA(IF(VLOOKUP(Tabela2[[#This Row],[CÓDIGO]],Aguardando_exclusão!A$4:A$4003,1,FALSE),"sim",""),"")</f>
        <v/>
      </c>
    </row>
    <row r="849" spans="1:4" x14ac:dyDescent="0.3">
      <c r="A849" s="15">
        <v>105112</v>
      </c>
      <c r="B849" s="17" t="s">
        <v>844</v>
      </c>
      <c r="C849" s="12">
        <v>39499</v>
      </c>
      <c r="D849" s="11" t="str">
        <f>_xlfn.IFNA(IF(VLOOKUP(Tabela2[[#This Row],[CÓDIGO]],Aguardando_exclusão!A$4:A$4003,1,FALSE),"sim",""),"")</f>
        <v/>
      </c>
    </row>
    <row r="850" spans="1:4" x14ac:dyDescent="0.3">
      <c r="A850" s="15">
        <v>105113</v>
      </c>
      <c r="B850" s="17" t="s">
        <v>845</v>
      </c>
      <c r="C850" s="12">
        <v>39499</v>
      </c>
      <c r="D850" s="11" t="str">
        <f>_xlfn.IFNA(IF(VLOOKUP(Tabela2[[#This Row],[CÓDIGO]],Aguardando_exclusão!A$4:A$4003,1,FALSE),"sim",""),"")</f>
        <v/>
      </c>
    </row>
    <row r="851" spans="1:4" x14ac:dyDescent="0.3">
      <c r="A851" s="15">
        <v>105114</v>
      </c>
      <c r="B851" s="17" t="s">
        <v>846</v>
      </c>
      <c r="C851" s="12">
        <v>39499</v>
      </c>
      <c r="D851" s="11" t="str">
        <f>_xlfn.IFNA(IF(VLOOKUP(Tabela2[[#This Row],[CÓDIGO]],Aguardando_exclusão!A$4:A$4003,1,FALSE),"sim",""),"")</f>
        <v/>
      </c>
    </row>
    <row r="852" spans="1:4" x14ac:dyDescent="0.3">
      <c r="A852" s="15">
        <v>105115</v>
      </c>
      <c r="B852" s="17" t="s">
        <v>847</v>
      </c>
      <c r="C852" s="12">
        <v>39499</v>
      </c>
      <c r="D852" s="11" t="str">
        <f>_xlfn.IFNA(IF(VLOOKUP(Tabela2[[#This Row],[CÓDIGO]],Aguardando_exclusão!A$4:A$4003,1,FALSE),"sim",""),"")</f>
        <v/>
      </c>
    </row>
    <row r="853" spans="1:4" x14ac:dyDescent="0.3">
      <c r="A853" s="15">
        <v>105116</v>
      </c>
      <c r="B853" s="17" t="s">
        <v>848</v>
      </c>
      <c r="C853" s="12">
        <v>39499</v>
      </c>
      <c r="D853" s="11" t="str">
        <f>_xlfn.IFNA(IF(VLOOKUP(Tabela2[[#This Row],[CÓDIGO]],Aguardando_exclusão!A$4:A$4003,1,FALSE),"sim",""),"")</f>
        <v/>
      </c>
    </row>
    <row r="854" spans="1:4" ht="15" customHeight="1" x14ac:dyDescent="0.3">
      <c r="A854" s="15">
        <v>105117</v>
      </c>
      <c r="B854" s="17" t="s">
        <v>849</v>
      </c>
      <c r="C854" s="12">
        <v>39499</v>
      </c>
      <c r="D854" s="11" t="str">
        <f>_xlfn.IFNA(IF(VLOOKUP(Tabela2[[#This Row],[CÓDIGO]],Aguardando_exclusão!A$4:A$4003,1,FALSE),"sim",""),"")</f>
        <v/>
      </c>
    </row>
    <row r="855" spans="1:4" x14ac:dyDescent="0.3">
      <c r="A855" s="15">
        <v>105118</v>
      </c>
      <c r="B855" s="17" t="s">
        <v>850</v>
      </c>
      <c r="C855" s="12">
        <v>39499</v>
      </c>
      <c r="D855" s="11" t="str">
        <f>_xlfn.IFNA(IF(VLOOKUP(Tabela2[[#This Row],[CÓDIGO]],Aguardando_exclusão!A$4:A$4003,1,FALSE),"sim",""),"")</f>
        <v/>
      </c>
    </row>
    <row r="856" spans="1:4" x14ac:dyDescent="0.3">
      <c r="A856" s="15">
        <v>105128</v>
      </c>
      <c r="B856" s="17" t="s">
        <v>851</v>
      </c>
      <c r="C856" s="12">
        <v>39499</v>
      </c>
      <c r="D856" s="11" t="str">
        <f>_xlfn.IFNA(IF(VLOOKUP(Tabela2[[#This Row],[CÓDIGO]],Aguardando_exclusão!A$4:A$4003,1,FALSE),"sim",""),"")</f>
        <v/>
      </c>
    </row>
    <row r="857" spans="1:4" ht="15" customHeight="1" x14ac:dyDescent="0.3">
      <c r="A857" s="15">
        <v>105259</v>
      </c>
      <c r="B857" s="17" t="s">
        <v>852</v>
      </c>
      <c r="C857" s="12">
        <v>39505</v>
      </c>
      <c r="D857" s="11" t="str">
        <f>_xlfn.IFNA(IF(VLOOKUP(Tabela2[[#This Row],[CÓDIGO]],Aguardando_exclusão!A$4:A$4003,1,FALSE),"sim",""),"")</f>
        <v/>
      </c>
    </row>
    <row r="858" spans="1:4" ht="15" customHeight="1" x14ac:dyDescent="0.3">
      <c r="A858" s="15">
        <v>105293</v>
      </c>
      <c r="B858" s="17" t="s">
        <v>853</v>
      </c>
      <c r="C858" s="12">
        <v>39506</v>
      </c>
      <c r="D858" s="11" t="str">
        <f>_xlfn.IFNA(IF(VLOOKUP(Tabela2[[#This Row],[CÓDIGO]],Aguardando_exclusão!A$4:A$4003,1,FALSE),"sim",""),"")</f>
        <v/>
      </c>
    </row>
    <row r="859" spans="1:4" x14ac:dyDescent="0.3">
      <c r="A859" s="15">
        <v>105294</v>
      </c>
      <c r="B859" s="17" t="s">
        <v>854</v>
      </c>
      <c r="C859" s="12">
        <v>39506</v>
      </c>
      <c r="D859" s="11" t="str">
        <f>_xlfn.IFNA(IF(VLOOKUP(Tabela2[[#This Row],[CÓDIGO]],Aguardando_exclusão!A$4:A$4003,1,FALSE),"sim",""),"")</f>
        <v/>
      </c>
    </row>
    <row r="860" spans="1:4" x14ac:dyDescent="0.3">
      <c r="A860" s="15">
        <v>105342</v>
      </c>
      <c r="B860" s="17" t="s">
        <v>855</v>
      </c>
      <c r="C860" s="12">
        <v>39512</v>
      </c>
      <c r="D860" s="11" t="str">
        <f>_xlfn.IFNA(IF(VLOOKUP(Tabela2[[#This Row],[CÓDIGO]],Aguardando_exclusão!A$4:A$4003,1,FALSE),"sim",""),"")</f>
        <v/>
      </c>
    </row>
    <row r="861" spans="1:4" x14ac:dyDescent="0.3">
      <c r="A861" s="15">
        <v>105343</v>
      </c>
      <c r="B861" s="17" t="s">
        <v>856</v>
      </c>
      <c r="C861" s="12">
        <v>39512</v>
      </c>
      <c r="D861" s="11" t="str">
        <f>_xlfn.IFNA(IF(VLOOKUP(Tabela2[[#This Row],[CÓDIGO]],Aguardando_exclusão!A$4:A$4003,1,FALSE),"sim",""),"")</f>
        <v/>
      </c>
    </row>
    <row r="862" spans="1:4" x14ac:dyDescent="0.3">
      <c r="A862" s="15">
        <v>105348</v>
      </c>
      <c r="B862" s="17" t="s">
        <v>857</v>
      </c>
      <c r="C862" s="12">
        <v>39512</v>
      </c>
      <c r="D862" s="11" t="str">
        <f>_xlfn.IFNA(IF(VLOOKUP(Tabela2[[#This Row],[CÓDIGO]],Aguardando_exclusão!A$4:A$4003,1,FALSE),"sim",""),"")</f>
        <v/>
      </c>
    </row>
    <row r="863" spans="1:4" ht="15" customHeight="1" x14ac:dyDescent="0.3">
      <c r="A863" s="15">
        <v>105419</v>
      </c>
      <c r="B863" s="17" t="s">
        <v>858</v>
      </c>
      <c r="C863" s="12">
        <v>39517</v>
      </c>
      <c r="D863" s="11" t="str">
        <f>_xlfn.IFNA(IF(VLOOKUP(Tabela2[[#This Row],[CÓDIGO]],Aguardando_exclusão!A$4:A$4003,1,FALSE),"sim",""),"")</f>
        <v>sim</v>
      </c>
    </row>
    <row r="864" spans="1:4" ht="15" customHeight="1" x14ac:dyDescent="0.3">
      <c r="A864" s="15">
        <v>105489</v>
      </c>
      <c r="B864" s="17" t="s">
        <v>859</v>
      </c>
      <c r="C864" s="12">
        <v>39521</v>
      </c>
      <c r="D864" s="11" t="str">
        <f>_xlfn.IFNA(IF(VLOOKUP(Tabela2[[#This Row],[CÓDIGO]],Aguardando_exclusão!A$4:A$4003,1,FALSE),"sim",""),"")</f>
        <v/>
      </c>
    </row>
    <row r="865" spans="1:4" ht="15" customHeight="1" x14ac:dyDescent="0.3">
      <c r="A865" s="15">
        <v>105491</v>
      </c>
      <c r="B865" s="17" t="s">
        <v>860</v>
      </c>
      <c r="C865" s="12">
        <v>39521</v>
      </c>
      <c r="D865" s="11" t="str">
        <f>_xlfn.IFNA(IF(VLOOKUP(Tabela2[[#This Row],[CÓDIGO]],Aguardando_exclusão!A$4:A$4003,1,FALSE),"sim",""),"")</f>
        <v/>
      </c>
    </row>
    <row r="866" spans="1:4" x14ac:dyDescent="0.3">
      <c r="A866" s="15">
        <v>105492</v>
      </c>
      <c r="B866" s="17" t="s">
        <v>861</v>
      </c>
      <c r="C866" s="12">
        <v>39521</v>
      </c>
      <c r="D866" s="11" t="str">
        <f>_xlfn.IFNA(IF(VLOOKUP(Tabela2[[#This Row],[CÓDIGO]],Aguardando_exclusão!A$4:A$4003,1,FALSE),"sim",""),"")</f>
        <v/>
      </c>
    </row>
    <row r="867" spans="1:4" ht="15" customHeight="1" x14ac:dyDescent="0.3">
      <c r="A867" s="15">
        <v>105493</v>
      </c>
      <c r="B867" s="17" t="s">
        <v>862</v>
      </c>
      <c r="C867" s="12">
        <v>39521</v>
      </c>
      <c r="D867" s="11" t="str">
        <f>_xlfn.IFNA(IF(VLOOKUP(Tabela2[[#This Row],[CÓDIGO]],Aguardando_exclusão!A$4:A$4003,1,FALSE),"sim",""),"")</f>
        <v>sim</v>
      </c>
    </row>
    <row r="868" spans="1:4" ht="15" customHeight="1" x14ac:dyDescent="0.3">
      <c r="A868" s="15">
        <v>105704</v>
      </c>
      <c r="B868" s="17" t="s">
        <v>863</v>
      </c>
      <c r="C868" s="12">
        <v>39538</v>
      </c>
      <c r="D868" s="11" t="str">
        <f>_xlfn.IFNA(IF(VLOOKUP(Tabela2[[#This Row],[CÓDIGO]],Aguardando_exclusão!A$4:A$4003,1,FALSE),"sim",""),"")</f>
        <v/>
      </c>
    </row>
    <row r="869" spans="1:4" x14ac:dyDescent="0.3">
      <c r="A869" s="15">
        <v>105709</v>
      </c>
      <c r="B869" s="17" t="s">
        <v>864</v>
      </c>
      <c r="C869" s="12">
        <v>39538</v>
      </c>
      <c r="D869" s="11" t="str">
        <f>_xlfn.IFNA(IF(VLOOKUP(Tabela2[[#This Row],[CÓDIGO]],Aguardando_exclusão!A$4:A$4003,1,FALSE),"sim",""),"")</f>
        <v/>
      </c>
    </row>
    <row r="870" spans="1:4" ht="15" customHeight="1" x14ac:dyDescent="0.3">
      <c r="A870" s="15">
        <v>105889</v>
      </c>
      <c r="B870" s="17" t="s">
        <v>865</v>
      </c>
      <c r="C870" s="12">
        <v>39546</v>
      </c>
      <c r="D870" s="11" t="str">
        <f>_xlfn.IFNA(IF(VLOOKUP(Tabela2[[#This Row],[CÓDIGO]],Aguardando_exclusão!A$4:A$4003,1,FALSE),"sim",""),"")</f>
        <v/>
      </c>
    </row>
    <row r="871" spans="1:4" ht="15" customHeight="1" x14ac:dyDescent="0.3">
      <c r="A871" s="15">
        <v>105993</v>
      </c>
      <c r="B871" s="17" t="s">
        <v>866</v>
      </c>
      <c r="C871" s="12">
        <v>39552</v>
      </c>
      <c r="D871" s="11" t="str">
        <f>_xlfn.IFNA(IF(VLOOKUP(Tabela2[[#This Row],[CÓDIGO]],Aguardando_exclusão!A$4:A$4003,1,FALSE),"sim",""),"")</f>
        <v/>
      </c>
    </row>
    <row r="872" spans="1:4" ht="15" customHeight="1" x14ac:dyDescent="0.3">
      <c r="A872" s="15">
        <v>105994</v>
      </c>
      <c r="B872" s="17" t="s">
        <v>867</v>
      </c>
      <c r="C872" s="12">
        <v>39552</v>
      </c>
      <c r="D872" s="11" t="str">
        <f>_xlfn.IFNA(IF(VLOOKUP(Tabela2[[#This Row],[CÓDIGO]],Aguardando_exclusão!A$4:A$4003,1,FALSE),"sim",""),"")</f>
        <v/>
      </c>
    </row>
    <row r="873" spans="1:4" x14ac:dyDescent="0.3">
      <c r="A873" s="15">
        <v>106027</v>
      </c>
      <c r="B873" s="17" t="s">
        <v>868</v>
      </c>
      <c r="C873" s="12">
        <v>39553</v>
      </c>
      <c r="D873" s="11" t="str">
        <f>_xlfn.IFNA(IF(VLOOKUP(Tabela2[[#This Row],[CÓDIGO]],Aguardando_exclusão!A$4:A$4003,1,FALSE),"sim",""),"")</f>
        <v/>
      </c>
    </row>
    <row r="874" spans="1:4" ht="15" customHeight="1" x14ac:dyDescent="0.3">
      <c r="A874" s="15">
        <v>106038</v>
      </c>
      <c r="B874" s="17" t="s">
        <v>869</v>
      </c>
      <c r="C874" s="12">
        <v>39554</v>
      </c>
      <c r="D874" s="11" t="str">
        <f>_xlfn.IFNA(IF(VLOOKUP(Tabela2[[#This Row],[CÓDIGO]],Aguardando_exclusão!A$4:A$4003,1,FALSE),"sim",""),"")</f>
        <v/>
      </c>
    </row>
    <row r="875" spans="1:4" x14ac:dyDescent="0.3">
      <c r="A875" s="15">
        <v>106039</v>
      </c>
      <c r="B875" s="17" t="s">
        <v>870</v>
      </c>
      <c r="C875" s="12">
        <v>39554</v>
      </c>
      <c r="D875" s="11" t="str">
        <f>_xlfn.IFNA(IF(VLOOKUP(Tabela2[[#This Row],[CÓDIGO]],Aguardando_exclusão!A$4:A$4003,1,FALSE),"sim",""),"")</f>
        <v>sim</v>
      </c>
    </row>
    <row r="876" spans="1:4" ht="15" customHeight="1" x14ac:dyDescent="0.3">
      <c r="A876" s="15">
        <v>106128</v>
      </c>
      <c r="B876" s="17" t="s">
        <v>871</v>
      </c>
      <c r="C876" s="12">
        <v>39562</v>
      </c>
      <c r="D876" s="11" t="str">
        <f>_xlfn.IFNA(IF(VLOOKUP(Tabela2[[#This Row],[CÓDIGO]],Aguardando_exclusão!A$4:A$4003,1,FALSE),"sim",""),"")</f>
        <v/>
      </c>
    </row>
    <row r="877" spans="1:4" ht="15" customHeight="1" x14ac:dyDescent="0.3">
      <c r="A877" s="15">
        <v>106129</v>
      </c>
      <c r="B877" s="17" t="s">
        <v>872</v>
      </c>
      <c r="C877" s="12">
        <v>39562</v>
      </c>
      <c r="D877" s="11" t="str">
        <f>_xlfn.IFNA(IF(VLOOKUP(Tabela2[[#This Row],[CÓDIGO]],Aguardando_exclusão!A$4:A$4003,1,FALSE),"sim",""),"")</f>
        <v/>
      </c>
    </row>
    <row r="878" spans="1:4" x14ac:dyDescent="0.3">
      <c r="A878" s="15">
        <v>106130</v>
      </c>
      <c r="B878" s="17" t="s">
        <v>873</v>
      </c>
      <c r="C878" s="12">
        <v>39563</v>
      </c>
      <c r="D878" s="11" t="str">
        <f>_xlfn.IFNA(IF(VLOOKUP(Tabela2[[#This Row],[CÓDIGO]],Aguardando_exclusão!A$4:A$4003,1,FALSE),"sim",""),"")</f>
        <v/>
      </c>
    </row>
    <row r="879" spans="1:4" ht="15" customHeight="1" x14ac:dyDescent="0.3">
      <c r="A879" s="15">
        <v>106131</v>
      </c>
      <c r="B879" s="17" t="s">
        <v>874</v>
      </c>
      <c r="C879" s="12">
        <v>39562</v>
      </c>
      <c r="D879" s="11" t="str">
        <f>_xlfn.IFNA(IF(VLOOKUP(Tabela2[[#This Row],[CÓDIGO]],Aguardando_exclusão!A$4:A$4003,1,FALSE),"sim",""),"")</f>
        <v/>
      </c>
    </row>
    <row r="880" spans="1:4" ht="15" customHeight="1" x14ac:dyDescent="0.3">
      <c r="A880" s="15">
        <v>106375</v>
      </c>
      <c r="B880" s="17" t="s">
        <v>875</v>
      </c>
      <c r="C880" s="12">
        <v>39580</v>
      </c>
      <c r="D880" s="11" t="str">
        <f>_xlfn.IFNA(IF(VLOOKUP(Tabela2[[#This Row],[CÓDIGO]],Aguardando_exclusão!A$4:A$4003,1,FALSE),"sim",""),"")</f>
        <v/>
      </c>
    </row>
    <row r="881" spans="1:4" x14ac:dyDescent="0.3">
      <c r="A881" s="15">
        <v>106376</v>
      </c>
      <c r="B881" s="17" t="s">
        <v>876</v>
      </c>
      <c r="C881" s="12">
        <v>39580</v>
      </c>
      <c r="D881" s="11" t="str">
        <f>_xlfn.IFNA(IF(VLOOKUP(Tabela2[[#This Row],[CÓDIGO]],Aguardando_exclusão!A$4:A$4003,1,FALSE),"sim",""),"")</f>
        <v/>
      </c>
    </row>
    <row r="882" spans="1:4" x14ac:dyDescent="0.3">
      <c r="A882" s="15">
        <v>106408</v>
      </c>
      <c r="B882" s="17" t="s">
        <v>877</v>
      </c>
      <c r="C882" s="12">
        <v>39581</v>
      </c>
      <c r="D882" s="11" t="str">
        <f>_xlfn.IFNA(IF(VLOOKUP(Tabela2[[#This Row],[CÓDIGO]],Aguardando_exclusão!A$4:A$4003,1,FALSE),"sim",""),"")</f>
        <v/>
      </c>
    </row>
    <row r="883" spans="1:4" x14ac:dyDescent="0.3">
      <c r="A883" s="15">
        <v>106414</v>
      </c>
      <c r="B883" s="17" t="s">
        <v>878</v>
      </c>
      <c r="C883" s="12">
        <v>39581</v>
      </c>
      <c r="D883" s="11" t="str">
        <f>_xlfn.IFNA(IF(VLOOKUP(Tabela2[[#This Row],[CÓDIGO]],Aguardando_exclusão!A$4:A$4003,1,FALSE),"sim",""),"")</f>
        <v/>
      </c>
    </row>
    <row r="884" spans="1:4" x14ac:dyDescent="0.3">
      <c r="A884" s="15">
        <v>106544</v>
      </c>
      <c r="B884" s="17" t="s">
        <v>879</v>
      </c>
      <c r="C884" s="12">
        <v>39589</v>
      </c>
      <c r="D884" s="11" t="str">
        <f>_xlfn.IFNA(IF(VLOOKUP(Tabela2[[#This Row],[CÓDIGO]],Aguardando_exclusão!A$4:A$4003,1,FALSE),"sim",""),"")</f>
        <v/>
      </c>
    </row>
    <row r="885" spans="1:4" x14ac:dyDescent="0.3">
      <c r="A885" s="15">
        <v>106546</v>
      </c>
      <c r="B885" s="17" t="s">
        <v>880</v>
      </c>
      <c r="C885" s="12">
        <v>39589</v>
      </c>
      <c r="D885" s="11" t="str">
        <f>_xlfn.IFNA(IF(VLOOKUP(Tabela2[[#This Row],[CÓDIGO]],Aguardando_exclusão!A$4:A$4003,1,FALSE),"sim",""),"")</f>
        <v/>
      </c>
    </row>
    <row r="886" spans="1:4" x14ac:dyDescent="0.3">
      <c r="A886" s="15">
        <v>106631</v>
      </c>
      <c r="B886" s="17" t="s">
        <v>881</v>
      </c>
      <c r="C886" s="12">
        <v>39595</v>
      </c>
      <c r="D886" s="11" t="str">
        <f>_xlfn.IFNA(IF(VLOOKUP(Tabela2[[#This Row],[CÓDIGO]],Aguardando_exclusão!A$4:A$4003,1,FALSE),"sim",""),"")</f>
        <v/>
      </c>
    </row>
    <row r="887" spans="1:4" x14ac:dyDescent="0.3">
      <c r="A887" s="15">
        <v>106697</v>
      </c>
      <c r="B887" s="17" t="s">
        <v>882</v>
      </c>
      <c r="C887" s="12">
        <v>39598</v>
      </c>
      <c r="D887" s="11" t="str">
        <f>_xlfn.IFNA(IF(VLOOKUP(Tabela2[[#This Row],[CÓDIGO]],Aguardando_exclusão!A$4:A$4003,1,FALSE),"sim",""),"")</f>
        <v/>
      </c>
    </row>
    <row r="888" spans="1:4" x14ac:dyDescent="0.3">
      <c r="A888" s="15">
        <v>106765</v>
      </c>
      <c r="B888" s="17" t="s">
        <v>883</v>
      </c>
      <c r="C888" s="12">
        <v>39610</v>
      </c>
      <c r="D888" s="11" t="str">
        <f>_xlfn.IFNA(IF(VLOOKUP(Tabela2[[#This Row],[CÓDIGO]],Aguardando_exclusão!A$4:A$4003,1,FALSE),"sim",""),"")</f>
        <v>sim</v>
      </c>
    </row>
    <row r="889" spans="1:4" x14ac:dyDescent="0.3">
      <c r="A889" s="15">
        <v>107401</v>
      </c>
      <c r="B889" s="17" t="s">
        <v>884</v>
      </c>
      <c r="C889" s="12">
        <v>39671</v>
      </c>
      <c r="D889" s="11" t="str">
        <f>_xlfn.IFNA(IF(VLOOKUP(Tabela2[[#This Row],[CÓDIGO]],Aguardando_exclusão!A$4:A$4003,1,FALSE),"sim",""),"")</f>
        <v/>
      </c>
    </row>
    <row r="890" spans="1:4" ht="15" customHeight="1" x14ac:dyDescent="0.3">
      <c r="A890" s="15">
        <v>107483</v>
      </c>
      <c r="B890" s="17" t="s">
        <v>885</v>
      </c>
      <c r="C890" s="12">
        <v>39679</v>
      </c>
      <c r="D890" s="11" t="str">
        <f>_xlfn.IFNA(IF(VLOOKUP(Tabela2[[#This Row],[CÓDIGO]],Aguardando_exclusão!A$4:A$4003,1,FALSE),"sim",""),"")</f>
        <v/>
      </c>
    </row>
    <row r="891" spans="1:4" ht="15" customHeight="1" x14ac:dyDescent="0.3">
      <c r="A891" s="15">
        <v>107736</v>
      </c>
      <c r="B891" s="17" t="s">
        <v>886</v>
      </c>
      <c r="C891" s="12">
        <v>39699</v>
      </c>
      <c r="D891" s="11" t="str">
        <f>_xlfn.IFNA(IF(VLOOKUP(Tabela2[[#This Row],[CÓDIGO]],Aguardando_exclusão!A$4:A$4003,1,FALSE),"sim",""),"")</f>
        <v>sim</v>
      </c>
    </row>
    <row r="892" spans="1:4" ht="15" customHeight="1" x14ac:dyDescent="0.3">
      <c r="A892" s="15">
        <v>107737</v>
      </c>
      <c r="B892" s="17" t="s">
        <v>887</v>
      </c>
      <c r="C892" s="12">
        <v>39699</v>
      </c>
      <c r="D892" s="11" t="str">
        <f>_xlfn.IFNA(IF(VLOOKUP(Tabela2[[#This Row],[CÓDIGO]],Aguardando_exclusão!A$4:A$4003,1,FALSE),"sim",""),"")</f>
        <v>sim</v>
      </c>
    </row>
    <row r="893" spans="1:4" x14ac:dyDescent="0.3">
      <c r="A893" s="15">
        <v>107790</v>
      </c>
      <c r="B893" s="17" t="s">
        <v>888</v>
      </c>
      <c r="C893" s="12">
        <v>39700</v>
      </c>
      <c r="D893" s="11" t="str">
        <f>_xlfn.IFNA(IF(VLOOKUP(Tabela2[[#This Row],[CÓDIGO]],Aguardando_exclusão!A$4:A$4003,1,FALSE),"sim",""),"")</f>
        <v/>
      </c>
    </row>
    <row r="894" spans="1:4" x14ac:dyDescent="0.3">
      <c r="A894" s="15">
        <v>107889</v>
      </c>
      <c r="B894" s="17" t="s">
        <v>889</v>
      </c>
      <c r="C894" s="12">
        <v>39709</v>
      </c>
      <c r="D894" s="11" t="str">
        <f>_xlfn.IFNA(IF(VLOOKUP(Tabela2[[#This Row],[CÓDIGO]],Aguardando_exclusão!A$4:A$4003,1,FALSE),"sim",""),"")</f>
        <v/>
      </c>
    </row>
    <row r="895" spans="1:4" ht="15" customHeight="1" x14ac:dyDescent="0.3">
      <c r="A895" s="15">
        <v>107909</v>
      </c>
      <c r="B895" s="17" t="s">
        <v>890</v>
      </c>
      <c r="C895" s="12">
        <v>39710</v>
      </c>
      <c r="D895" s="11" t="str">
        <f>_xlfn.IFNA(IF(VLOOKUP(Tabela2[[#This Row],[CÓDIGO]],Aguardando_exclusão!A$4:A$4003,1,FALSE),"sim",""),"")</f>
        <v>sim</v>
      </c>
    </row>
    <row r="896" spans="1:4" ht="15" customHeight="1" x14ac:dyDescent="0.3">
      <c r="A896" s="15">
        <v>107925</v>
      </c>
      <c r="B896" s="17" t="s">
        <v>891</v>
      </c>
      <c r="C896" s="12">
        <v>39710</v>
      </c>
      <c r="D896" s="11" t="str">
        <f>_xlfn.IFNA(IF(VLOOKUP(Tabela2[[#This Row],[CÓDIGO]],Aguardando_exclusão!A$4:A$4003,1,FALSE),"sim",""),"")</f>
        <v>sim</v>
      </c>
    </row>
    <row r="897" spans="1:4" ht="15" customHeight="1" x14ac:dyDescent="0.3">
      <c r="A897" s="15">
        <v>107926</v>
      </c>
      <c r="B897" s="17" t="s">
        <v>892</v>
      </c>
      <c r="C897" s="12">
        <v>39710</v>
      </c>
      <c r="D897" s="11" t="str">
        <f>_xlfn.IFNA(IF(VLOOKUP(Tabela2[[#This Row],[CÓDIGO]],Aguardando_exclusão!A$4:A$4003,1,FALSE),"sim",""),"")</f>
        <v/>
      </c>
    </row>
    <row r="898" spans="1:4" x14ac:dyDescent="0.3">
      <c r="A898" s="15">
        <v>108393</v>
      </c>
      <c r="B898" s="17" t="s">
        <v>893</v>
      </c>
      <c r="C898" s="12">
        <v>39737</v>
      </c>
      <c r="D898" s="11" t="str">
        <f>_xlfn.IFNA(IF(VLOOKUP(Tabela2[[#This Row],[CÓDIGO]],Aguardando_exclusão!A$4:A$4003,1,FALSE),"sim",""),"")</f>
        <v/>
      </c>
    </row>
    <row r="899" spans="1:4" x14ac:dyDescent="0.3">
      <c r="A899" s="15">
        <v>108398</v>
      </c>
      <c r="B899" s="17" t="s">
        <v>894</v>
      </c>
      <c r="C899" s="12">
        <v>39737</v>
      </c>
      <c r="D899" s="11" t="str">
        <f>_xlfn.IFNA(IF(VLOOKUP(Tabela2[[#This Row],[CÓDIGO]],Aguardando_exclusão!A$4:A$4003,1,FALSE),"sim",""),"")</f>
        <v/>
      </c>
    </row>
    <row r="900" spans="1:4" x14ac:dyDescent="0.3">
      <c r="A900" s="15">
        <v>108440</v>
      </c>
      <c r="B900" s="17" t="s">
        <v>895</v>
      </c>
      <c r="C900" s="12">
        <v>39738</v>
      </c>
      <c r="D900" s="11" t="str">
        <f>_xlfn.IFNA(IF(VLOOKUP(Tabela2[[#This Row],[CÓDIGO]],Aguardando_exclusão!A$4:A$4003,1,FALSE),"sim",""),"")</f>
        <v/>
      </c>
    </row>
    <row r="901" spans="1:4" x14ac:dyDescent="0.3">
      <c r="A901" s="15">
        <v>108441</v>
      </c>
      <c r="B901" s="17" t="s">
        <v>896</v>
      </c>
      <c r="C901" s="12">
        <v>39738</v>
      </c>
      <c r="D901" s="11" t="str">
        <f>_xlfn.IFNA(IF(VLOOKUP(Tabela2[[#This Row],[CÓDIGO]],Aguardando_exclusão!A$4:A$4003,1,FALSE),"sim",""),"")</f>
        <v/>
      </c>
    </row>
    <row r="902" spans="1:4" x14ac:dyDescent="0.3">
      <c r="A902" s="15">
        <v>108463</v>
      </c>
      <c r="B902" s="17" t="s">
        <v>897</v>
      </c>
      <c r="C902" s="12">
        <v>39741</v>
      </c>
      <c r="D902" s="11" t="str">
        <f>_xlfn.IFNA(IF(VLOOKUP(Tabela2[[#This Row],[CÓDIGO]],Aguardando_exclusão!A$4:A$4003,1,FALSE),"sim",""),"")</f>
        <v/>
      </c>
    </row>
    <row r="903" spans="1:4" x14ac:dyDescent="0.3">
      <c r="A903" s="15">
        <v>108697</v>
      </c>
      <c r="B903" s="17" t="s">
        <v>898</v>
      </c>
      <c r="C903" s="12">
        <v>39759</v>
      </c>
      <c r="D903" s="11" t="str">
        <f>_xlfn.IFNA(IF(VLOOKUP(Tabela2[[#This Row],[CÓDIGO]],Aguardando_exclusão!A$4:A$4003,1,FALSE),"sim",""),"")</f>
        <v/>
      </c>
    </row>
    <row r="904" spans="1:4" x14ac:dyDescent="0.3">
      <c r="A904" s="15">
        <v>108711</v>
      </c>
      <c r="B904" s="17" t="s">
        <v>899</v>
      </c>
      <c r="C904" s="12">
        <v>39762</v>
      </c>
      <c r="D904" s="11" t="str">
        <f>_xlfn.IFNA(IF(VLOOKUP(Tabela2[[#This Row],[CÓDIGO]],Aguardando_exclusão!A$4:A$4003,1,FALSE),"sim",""),"")</f>
        <v/>
      </c>
    </row>
    <row r="905" spans="1:4" x14ac:dyDescent="0.3">
      <c r="A905" s="15">
        <v>108732</v>
      </c>
      <c r="B905" s="17" t="s">
        <v>900</v>
      </c>
      <c r="C905" s="12">
        <v>39762</v>
      </c>
      <c r="D905" s="11" t="str">
        <f>_xlfn.IFNA(IF(VLOOKUP(Tabela2[[#This Row],[CÓDIGO]],Aguardando_exclusão!A$4:A$4003,1,FALSE),"sim",""),"")</f>
        <v/>
      </c>
    </row>
    <row r="906" spans="1:4" ht="15" customHeight="1" x14ac:dyDescent="0.3">
      <c r="A906" s="15">
        <v>108734</v>
      </c>
      <c r="B906" s="17" t="s">
        <v>901</v>
      </c>
      <c r="C906" s="12">
        <v>39762</v>
      </c>
      <c r="D906" s="11" t="str">
        <f>_xlfn.IFNA(IF(VLOOKUP(Tabela2[[#This Row],[CÓDIGO]],Aguardando_exclusão!A$4:A$4003,1,FALSE),"sim",""),"")</f>
        <v/>
      </c>
    </row>
    <row r="907" spans="1:4" ht="15" customHeight="1" x14ac:dyDescent="0.3">
      <c r="A907" s="15">
        <v>108735</v>
      </c>
      <c r="B907" s="17" t="s">
        <v>902</v>
      </c>
      <c r="C907" s="12">
        <v>39762</v>
      </c>
      <c r="D907" s="11" t="str">
        <f>_xlfn.IFNA(IF(VLOOKUP(Tabela2[[#This Row],[CÓDIGO]],Aguardando_exclusão!A$4:A$4003,1,FALSE),"sim",""),"")</f>
        <v/>
      </c>
    </row>
    <row r="908" spans="1:4" ht="15" customHeight="1" x14ac:dyDescent="0.3">
      <c r="A908" s="15">
        <v>108736</v>
      </c>
      <c r="B908" s="17" t="s">
        <v>903</v>
      </c>
      <c r="C908" s="12">
        <v>39640</v>
      </c>
      <c r="D908" s="11" t="str">
        <f>_xlfn.IFNA(IF(VLOOKUP(Tabela2[[#This Row],[CÓDIGO]],Aguardando_exclusão!A$4:A$4003,1,FALSE),"sim",""),"")</f>
        <v/>
      </c>
    </row>
    <row r="909" spans="1:4" ht="15" customHeight="1" x14ac:dyDescent="0.3">
      <c r="A909" s="15">
        <v>109163</v>
      </c>
      <c r="B909" s="17" t="s">
        <v>904</v>
      </c>
      <c r="C909" s="12">
        <v>39784</v>
      </c>
      <c r="D909" s="11" t="str">
        <f>_xlfn.IFNA(IF(VLOOKUP(Tabela2[[#This Row],[CÓDIGO]],Aguardando_exclusão!A$4:A$4003,1,FALSE),"sim",""),"")</f>
        <v/>
      </c>
    </row>
    <row r="910" spans="1:4" ht="15" customHeight="1" x14ac:dyDescent="0.3">
      <c r="A910" s="15">
        <v>109848</v>
      </c>
      <c r="B910" s="17" t="s">
        <v>905</v>
      </c>
      <c r="C910" s="12">
        <v>39857</v>
      </c>
      <c r="D910" s="11" t="str">
        <f>_xlfn.IFNA(IF(VLOOKUP(Tabela2[[#This Row],[CÓDIGO]],Aguardando_exclusão!A$4:A$4003,1,FALSE),"sim",""),"")</f>
        <v/>
      </c>
    </row>
    <row r="911" spans="1:4" ht="15" customHeight="1" x14ac:dyDescent="0.3">
      <c r="A911" s="15">
        <v>109944</v>
      </c>
      <c r="B911" s="17" t="s">
        <v>906</v>
      </c>
      <c r="C911" s="12">
        <v>39875</v>
      </c>
      <c r="D911" s="11" t="str">
        <f>_xlfn.IFNA(IF(VLOOKUP(Tabela2[[#This Row],[CÓDIGO]],Aguardando_exclusão!A$4:A$4003,1,FALSE),"sim",""),"")</f>
        <v/>
      </c>
    </row>
    <row r="912" spans="1:4" ht="15" customHeight="1" x14ac:dyDescent="0.3">
      <c r="A912" s="15">
        <v>110216</v>
      </c>
      <c r="B912" s="17" t="s">
        <v>907</v>
      </c>
      <c r="C912" s="12">
        <v>39892</v>
      </c>
      <c r="D912" s="11" t="str">
        <f>_xlfn.IFNA(IF(VLOOKUP(Tabela2[[#This Row],[CÓDIGO]],Aguardando_exclusão!A$4:A$4003,1,FALSE),"sim",""),"")</f>
        <v>sim</v>
      </c>
    </row>
    <row r="913" spans="1:4" ht="15" customHeight="1" x14ac:dyDescent="0.3">
      <c r="A913" s="15">
        <v>110503</v>
      </c>
      <c r="B913" s="17" t="s">
        <v>908</v>
      </c>
      <c r="C913" s="12">
        <v>39910</v>
      </c>
      <c r="D913" s="11" t="str">
        <f>_xlfn.IFNA(IF(VLOOKUP(Tabela2[[#This Row],[CÓDIGO]],Aguardando_exclusão!A$4:A$4003,1,FALSE),"sim",""),"")</f>
        <v/>
      </c>
    </row>
    <row r="914" spans="1:4" ht="15" customHeight="1" x14ac:dyDescent="0.3">
      <c r="A914" s="15">
        <v>110578</v>
      </c>
      <c r="B914" s="17" t="s">
        <v>909</v>
      </c>
      <c r="C914" s="12">
        <v>39916</v>
      </c>
      <c r="D914" s="11" t="str">
        <f>_xlfn.IFNA(IF(VLOOKUP(Tabela2[[#This Row],[CÓDIGO]],Aguardando_exclusão!A$4:A$4003,1,FALSE),"sim",""),"")</f>
        <v/>
      </c>
    </row>
    <row r="915" spans="1:4" ht="15" customHeight="1" x14ac:dyDescent="0.3">
      <c r="A915" s="15">
        <v>110702</v>
      </c>
      <c r="B915" s="17" t="s">
        <v>910</v>
      </c>
      <c r="C915" s="12">
        <v>39927</v>
      </c>
      <c r="D915" s="11" t="str">
        <f>_xlfn.IFNA(IF(VLOOKUP(Tabela2[[#This Row],[CÓDIGO]],Aguardando_exclusão!A$4:A$4003,1,FALSE),"sim",""),"")</f>
        <v/>
      </c>
    </row>
    <row r="916" spans="1:4" ht="15" customHeight="1" x14ac:dyDescent="0.3">
      <c r="A916" s="15">
        <v>110771</v>
      </c>
      <c r="B916" s="17" t="s">
        <v>911</v>
      </c>
      <c r="C916" s="12">
        <v>39933</v>
      </c>
      <c r="D916" s="11" t="str">
        <f>_xlfn.IFNA(IF(VLOOKUP(Tabela2[[#This Row],[CÓDIGO]],Aguardando_exclusão!A$4:A$4003,1,FALSE),"sim",""),"")</f>
        <v/>
      </c>
    </row>
    <row r="917" spans="1:4" ht="15" customHeight="1" x14ac:dyDescent="0.3">
      <c r="A917" s="15">
        <v>110888</v>
      </c>
      <c r="B917" s="17" t="s">
        <v>912</v>
      </c>
      <c r="C917" s="12">
        <v>39944</v>
      </c>
      <c r="D917" s="11" t="str">
        <f>_xlfn.IFNA(IF(VLOOKUP(Tabela2[[#This Row],[CÓDIGO]],Aguardando_exclusão!A$4:A$4003,1,FALSE),"sim",""),"")</f>
        <v/>
      </c>
    </row>
    <row r="918" spans="1:4" ht="15" customHeight="1" x14ac:dyDescent="0.3">
      <c r="A918" s="15">
        <v>110889</v>
      </c>
      <c r="B918" s="17" t="s">
        <v>913</v>
      </c>
      <c r="C918" s="12">
        <v>39944</v>
      </c>
      <c r="D918" s="11" t="str">
        <f>_xlfn.IFNA(IF(VLOOKUP(Tabela2[[#This Row],[CÓDIGO]],Aguardando_exclusão!A$4:A$4003,1,FALSE),"sim",""),"")</f>
        <v/>
      </c>
    </row>
    <row r="919" spans="1:4" ht="15" customHeight="1" x14ac:dyDescent="0.3">
      <c r="A919" s="15">
        <v>110890</v>
      </c>
      <c r="B919" s="17" t="s">
        <v>914</v>
      </c>
      <c r="C919" s="12">
        <v>39944</v>
      </c>
      <c r="D919" s="11" t="str">
        <f>_xlfn.IFNA(IF(VLOOKUP(Tabela2[[#This Row],[CÓDIGO]],Aguardando_exclusão!A$4:A$4003,1,FALSE),"sim",""),"")</f>
        <v/>
      </c>
    </row>
    <row r="920" spans="1:4" ht="15" customHeight="1" x14ac:dyDescent="0.3">
      <c r="A920" s="15">
        <v>110891</v>
      </c>
      <c r="B920" s="17" t="s">
        <v>915</v>
      </c>
      <c r="C920" s="12">
        <v>39944</v>
      </c>
      <c r="D920" s="11" t="str">
        <f>_xlfn.IFNA(IF(VLOOKUP(Tabela2[[#This Row],[CÓDIGO]],Aguardando_exclusão!A$4:A$4003,1,FALSE),"sim",""),"")</f>
        <v/>
      </c>
    </row>
    <row r="921" spans="1:4" ht="15" customHeight="1" x14ac:dyDescent="0.3">
      <c r="A921" s="15">
        <v>110892</v>
      </c>
      <c r="B921" s="17" t="s">
        <v>916</v>
      </c>
      <c r="C921" s="12">
        <v>39944</v>
      </c>
      <c r="D921" s="11" t="str">
        <f>_xlfn.IFNA(IF(VLOOKUP(Tabela2[[#This Row],[CÓDIGO]],Aguardando_exclusão!A$4:A$4003,1,FALSE),"sim",""),"")</f>
        <v/>
      </c>
    </row>
    <row r="922" spans="1:4" ht="15" customHeight="1" x14ac:dyDescent="0.3">
      <c r="A922" s="15">
        <v>110893</v>
      </c>
      <c r="B922" s="17" t="s">
        <v>917</v>
      </c>
      <c r="C922" s="12">
        <v>39944</v>
      </c>
      <c r="D922" s="11" t="str">
        <f>_xlfn.IFNA(IF(VLOOKUP(Tabela2[[#This Row],[CÓDIGO]],Aguardando_exclusão!A$4:A$4003,1,FALSE),"sim",""),"")</f>
        <v/>
      </c>
    </row>
    <row r="923" spans="1:4" ht="15" customHeight="1" x14ac:dyDescent="0.3">
      <c r="A923" s="15">
        <v>110895</v>
      </c>
      <c r="B923" s="17" t="s">
        <v>918</v>
      </c>
      <c r="C923" s="12">
        <v>39944</v>
      </c>
      <c r="D923" s="11" t="str">
        <f>_xlfn.IFNA(IF(VLOOKUP(Tabela2[[#This Row],[CÓDIGO]],Aguardando_exclusão!A$4:A$4003,1,FALSE),"sim",""),"")</f>
        <v/>
      </c>
    </row>
    <row r="924" spans="1:4" ht="15" customHeight="1" x14ac:dyDescent="0.3">
      <c r="A924" s="15">
        <v>110896</v>
      </c>
      <c r="B924" s="17" t="s">
        <v>919</v>
      </c>
      <c r="C924" s="12">
        <v>39944</v>
      </c>
      <c r="D924" s="11" t="str">
        <f>_xlfn.IFNA(IF(VLOOKUP(Tabela2[[#This Row],[CÓDIGO]],Aguardando_exclusão!A$4:A$4003,1,FALSE),"sim",""),"")</f>
        <v/>
      </c>
    </row>
    <row r="925" spans="1:4" ht="15" customHeight="1" x14ac:dyDescent="0.3">
      <c r="A925" s="15">
        <v>111336</v>
      </c>
      <c r="B925" s="17" t="s">
        <v>920</v>
      </c>
      <c r="C925" s="12">
        <v>39981</v>
      </c>
      <c r="D925" s="11" t="str">
        <f>_xlfn.IFNA(IF(VLOOKUP(Tabela2[[#This Row],[CÓDIGO]],Aguardando_exclusão!A$4:A$4003,1,FALSE),"sim",""),"")</f>
        <v/>
      </c>
    </row>
    <row r="926" spans="1:4" ht="15" customHeight="1" x14ac:dyDescent="0.3">
      <c r="A926" s="15">
        <v>111524</v>
      </c>
      <c r="B926" s="17" t="s">
        <v>921</v>
      </c>
      <c r="C926" s="12">
        <v>39988</v>
      </c>
      <c r="D926" s="11" t="str">
        <f>_xlfn.IFNA(IF(VLOOKUP(Tabela2[[#This Row],[CÓDIGO]],Aguardando_exclusão!A$4:A$4003,1,FALSE),"sim",""),"")</f>
        <v/>
      </c>
    </row>
    <row r="927" spans="1:4" ht="15" customHeight="1" x14ac:dyDescent="0.3">
      <c r="A927" s="15">
        <v>111756</v>
      </c>
      <c r="B927" s="17" t="s">
        <v>922</v>
      </c>
      <c r="C927" s="12">
        <v>40002</v>
      </c>
      <c r="D927" s="11" t="str">
        <f>_xlfn.IFNA(IF(VLOOKUP(Tabela2[[#This Row],[CÓDIGO]],Aguardando_exclusão!A$4:A$4003,1,FALSE),"sim",""),"")</f>
        <v>sim</v>
      </c>
    </row>
    <row r="928" spans="1:4" ht="15" customHeight="1" x14ac:dyDescent="0.3">
      <c r="A928" s="15">
        <v>111806</v>
      </c>
      <c r="B928" s="17" t="s">
        <v>923</v>
      </c>
      <c r="C928" s="12">
        <v>40011</v>
      </c>
      <c r="D928" s="11" t="str">
        <f>_xlfn.IFNA(IF(VLOOKUP(Tabela2[[#This Row],[CÓDIGO]],Aguardando_exclusão!A$4:A$4003,1,FALSE),"sim",""),"")</f>
        <v/>
      </c>
    </row>
    <row r="929" spans="1:4" ht="15" customHeight="1" x14ac:dyDescent="0.3">
      <c r="A929" s="15">
        <v>111841</v>
      </c>
      <c r="B929" s="17" t="s">
        <v>924</v>
      </c>
      <c r="C929" s="12">
        <v>40015</v>
      </c>
      <c r="D929" s="11" t="str">
        <f>_xlfn.IFNA(IF(VLOOKUP(Tabela2[[#This Row],[CÓDIGO]],Aguardando_exclusão!A$4:A$4003,1,FALSE),"sim",""),"")</f>
        <v/>
      </c>
    </row>
    <row r="930" spans="1:4" ht="15" customHeight="1" x14ac:dyDescent="0.3">
      <c r="A930" s="15">
        <v>112064</v>
      </c>
      <c r="B930" s="17" t="s">
        <v>925</v>
      </c>
      <c r="C930" s="12">
        <v>40037</v>
      </c>
      <c r="D930" s="11" t="str">
        <f>_xlfn.IFNA(IF(VLOOKUP(Tabela2[[#This Row],[CÓDIGO]],Aguardando_exclusão!A$4:A$4003,1,FALSE),"sim",""),"")</f>
        <v/>
      </c>
    </row>
    <row r="931" spans="1:4" ht="15" customHeight="1" x14ac:dyDescent="0.3">
      <c r="A931" s="15">
        <v>112109</v>
      </c>
      <c r="B931" s="17" t="s">
        <v>926</v>
      </c>
      <c r="C931" s="12">
        <v>40043</v>
      </c>
      <c r="D931" s="11" t="str">
        <f>_xlfn.IFNA(IF(VLOOKUP(Tabela2[[#This Row],[CÓDIGO]],Aguardando_exclusão!A$4:A$4003,1,FALSE),"sim",""),"")</f>
        <v/>
      </c>
    </row>
    <row r="932" spans="1:4" ht="15" customHeight="1" x14ac:dyDescent="0.3">
      <c r="A932" s="15">
        <v>112154</v>
      </c>
      <c r="B932" s="17" t="s">
        <v>927</v>
      </c>
      <c r="C932" s="12">
        <v>40045</v>
      </c>
      <c r="D932" s="11" t="str">
        <f>_xlfn.IFNA(IF(VLOOKUP(Tabela2[[#This Row],[CÓDIGO]],Aguardando_exclusão!A$4:A$4003,1,FALSE),"sim",""),"")</f>
        <v/>
      </c>
    </row>
    <row r="933" spans="1:4" ht="15" customHeight="1" x14ac:dyDescent="0.3">
      <c r="A933" s="15">
        <v>112155</v>
      </c>
      <c r="B933" s="17" t="s">
        <v>928</v>
      </c>
      <c r="C933" s="12">
        <v>40045</v>
      </c>
      <c r="D933" s="11" t="str">
        <f>_xlfn.IFNA(IF(VLOOKUP(Tabela2[[#This Row],[CÓDIGO]],Aguardando_exclusão!A$4:A$4003,1,FALSE),"sim",""),"")</f>
        <v/>
      </c>
    </row>
    <row r="934" spans="1:4" ht="15" customHeight="1" x14ac:dyDescent="0.3">
      <c r="A934" s="15">
        <v>112156</v>
      </c>
      <c r="B934" s="17" t="s">
        <v>929</v>
      </c>
      <c r="C934" s="12">
        <v>40045</v>
      </c>
      <c r="D934" s="11" t="str">
        <f>_xlfn.IFNA(IF(VLOOKUP(Tabela2[[#This Row],[CÓDIGO]],Aguardando_exclusão!A$4:A$4003,1,FALSE),"sim",""),"")</f>
        <v/>
      </c>
    </row>
    <row r="935" spans="1:4" ht="15" customHeight="1" x14ac:dyDescent="0.3">
      <c r="A935" s="15">
        <v>112157</v>
      </c>
      <c r="B935" s="17" t="s">
        <v>930</v>
      </c>
      <c r="C935" s="12">
        <v>40045</v>
      </c>
      <c r="D935" s="11" t="str">
        <f>_xlfn.IFNA(IF(VLOOKUP(Tabela2[[#This Row],[CÓDIGO]],Aguardando_exclusão!A$4:A$4003,1,FALSE),"sim",""),"")</f>
        <v/>
      </c>
    </row>
    <row r="936" spans="1:4" ht="15" customHeight="1" x14ac:dyDescent="0.3">
      <c r="A936" s="15">
        <v>112158</v>
      </c>
      <c r="B936" s="17" t="s">
        <v>931</v>
      </c>
      <c r="C936" s="12">
        <v>40045</v>
      </c>
      <c r="D936" s="11" t="str">
        <f>_xlfn.IFNA(IF(VLOOKUP(Tabela2[[#This Row],[CÓDIGO]],Aguardando_exclusão!A$4:A$4003,1,FALSE),"sim",""),"")</f>
        <v/>
      </c>
    </row>
    <row r="937" spans="1:4" ht="15" customHeight="1" x14ac:dyDescent="0.3">
      <c r="A937" s="15">
        <v>112159</v>
      </c>
      <c r="B937" s="17" t="s">
        <v>932</v>
      </c>
      <c r="C937" s="12">
        <v>40045</v>
      </c>
      <c r="D937" s="11" t="str">
        <f>_xlfn.IFNA(IF(VLOOKUP(Tabela2[[#This Row],[CÓDIGO]],Aguardando_exclusão!A$4:A$4003,1,FALSE),"sim",""),"")</f>
        <v/>
      </c>
    </row>
    <row r="938" spans="1:4" ht="15" customHeight="1" x14ac:dyDescent="0.3">
      <c r="A938" s="15">
        <v>112160</v>
      </c>
      <c r="B938" s="17" t="s">
        <v>933</v>
      </c>
      <c r="C938" s="12">
        <v>40045</v>
      </c>
      <c r="D938" s="11" t="str">
        <f>_xlfn.IFNA(IF(VLOOKUP(Tabela2[[#This Row],[CÓDIGO]],Aguardando_exclusão!A$4:A$4003,1,FALSE),"sim",""),"")</f>
        <v/>
      </c>
    </row>
    <row r="939" spans="1:4" ht="15" customHeight="1" x14ac:dyDescent="0.3">
      <c r="A939" s="15">
        <v>112162</v>
      </c>
      <c r="B939" s="17" t="s">
        <v>934</v>
      </c>
      <c r="C939" s="12">
        <v>40045</v>
      </c>
      <c r="D939" s="11" t="str">
        <f>_xlfn.IFNA(IF(VLOOKUP(Tabela2[[#This Row],[CÓDIGO]],Aguardando_exclusão!A$4:A$4003,1,FALSE),"sim",""),"")</f>
        <v/>
      </c>
    </row>
    <row r="940" spans="1:4" ht="15" customHeight="1" x14ac:dyDescent="0.3">
      <c r="A940" s="15">
        <v>112163</v>
      </c>
      <c r="B940" s="17" t="s">
        <v>935</v>
      </c>
      <c r="C940" s="12">
        <v>40045</v>
      </c>
      <c r="D940" s="11" t="str">
        <f>_xlfn.IFNA(IF(VLOOKUP(Tabela2[[#This Row],[CÓDIGO]],Aguardando_exclusão!A$4:A$4003,1,FALSE),"sim",""),"")</f>
        <v/>
      </c>
    </row>
    <row r="941" spans="1:4" ht="15" customHeight="1" x14ac:dyDescent="0.3">
      <c r="A941" s="15">
        <v>112164</v>
      </c>
      <c r="B941" s="17" t="s">
        <v>936</v>
      </c>
      <c r="C941" s="12">
        <v>40045</v>
      </c>
      <c r="D941" s="11" t="str">
        <f>_xlfn.IFNA(IF(VLOOKUP(Tabela2[[#This Row],[CÓDIGO]],Aguardando_exclusão!A$4:A$4003,1,FALSE),"sim",""),"")</f>
        <v>sim</v>
      </c>
    </row>
    <row r="942" spans="1:4" ht="15" customHeight="1" x14ac:dyDescent="0.3">
      <c r="A942" s="15">
        <v>112226</v>
      </c>
      <c r="B942" s="17" t="s">
        <v>842</v>
      </c>
      <c r="C942" s="12">
        <v>40049</v>
      </c>
      <c r="D942" s="11" t="str">
        <f>_xlfn.IFNA(IF(VLOOKUP(Tabela2[[#This Row],[CÓDIGO]],Aguardando_exclusão!A$4:A$4003,1,FALSE),"sim",""),"")</f>
        <v/>
      </c>
    </row>
    <row r="943" spans="1:4" ht="15" customHeight="1" x14ac:dyDescent="0.3">
      <c r="A943" s="15">
        <v>112494</v>
      </c>
      <c r="B943" s="17" t="s">
        <v>937</v>
      </c>
      <c r="C943" s="12">
        <v>40064</v>
      </c>
      <c r="D943" s="11" t="str">
        <f>_xlfn.IFNA(IF(VLOOKUP(Tabela2[[#This Row],[CÓDIGO]],Aguardando_exclusão!A$4:A$4003,1,FALSE),"sim",""),"")</f>
        <v/>
      </c>
    </row>
    <row r="944" spans="1:4" ht="15" customHeight="1" x14ac:dyDescent="0.3">
      <c r="A944" s="15">
        <v>112965</v>
      </c>
      <c r="B944" s="17" t="s">
        <v>938</v>
      </c>
      <c r="C944" s="12">
        <v>40084</v>
      </c>
      <c r="D944" s="11" t="str">
        <f>_xlfn.IFNA(IF(VLOOKUP(Tabela2[[#This Row],[CÓDIGO]],Aguardando_exclusão!A$4:A$4003,1,FALSE),"sim",""),"")</f>
        <v/>
      </c>
    </row>
    <row r="945" spans="1:4" ht="15" customHeight="1" x14ac:dyDescent="0.3">
      <c r="A945" s="15">
        <v>113180</v>
      </c>
      <c r="B945" s="17" t="s">
        <v>939</v>
      </c>
      <c r="C945" s="12">
        <v>40106</v>
      </c>
      <c r="D945" s="11" t="str">
        <f>_xlfn.IFNA(IF(VLOOKUP(Tabela2[[#This Row],[CÓDIGO]],Aguardando_exclusão!A$4:A$4003,1,FALSE),"sim",""),"")</f>
        <v/>
      </c>
    </row>
    <row r="946" spans="1:4" ht="15" customHeight="1" x14ac:dyDescent="0.3">
      <c r="A946" s="15">
        <v>113207</v>
      </c>
      <c r="B946" s="17" t="s">
        <v>940</v>
      </c>
      <c r="C946" s="12">
        <v>40108</v>
      </c>
      <c r="D946" s="11" t="str">
        <f>_xlfn.IFNA(IF(VLOOKUP(Tabela2[[#This Row],[CÓDIGO]],Aguardando_exclusão!A$4:A$4003,1,FALSE),"sim",""),"")</f>
        <v>sim</v>
      </c>
    </row>
    <row r="947" spans="1:4" ht="15" customHeight="1" x14ac:dyDescent="0.3">
      <c r="A947" s="15">
        <v>113238</v>
      </c>
      <c r="B947" s="17" t="s">
        <v>941</v>
      </c>
      <c r="C947" s="12">
        <v>40113</v>
      </c>
      <c r="D947" s="11" t="str">
        <f>_xlfn.IFNA(IF(VLOOKUP(Tabela2[[#This Row],[CÓDIGO]],Aguardando_exclusão!A$4:A$4003,1,FALSE),"sim",""),"")</f>
        <v/>
      </c>
    </row>
    <row r="948" spans="1:4" ht="15" customHeight="1" x14ac:dyDescent="0.3">
      <c r="A948" s="15">
        <v>113242</v>
      </c>
      <c r="B948" s="17" t="s">
        <v>942</v>
      </c>
      <c r="C948" s="12">
        <v>40113</v>
      </c>
      <c r="D948" s="11" t="str">
        <f>_xlfn.IFNA(IF(VLOOKUP(Tabela2[[#This Row],[CÓDIGO]],Aguardando_exclusão!A$4:A$4003,1,FALSE),"sim",""),"")</f>
        <v/>
      </c>
    </row>
    <row r="949" spans="1:4" ht="15" customHeight="1" x14ac:dyDescent="0.3">
      <c r="A949" s="15">
        <v>113581</v>
      </c>
      <c r="B949" s="17" t="s">
        <v>943</v>
      </c>
      <c r="C949" s="12">
        <v>40143</v>
      </c>
      <c r="D949" s="11" t="str">
        <f>_xlfn.IFNA(IF(VLOOKUP(Tabela2[[#This Row],[CÓDIGO]],Aguardando_exclusão!A$4:A$4003,1,FALSE),"sim",""),"")</f>
        <v/>
      </c>
    </row>
    <row r="950" spans="1:4" ht="15" customHeight="1" x14ac:dyDescent="0.3">
      <c r="A950" s="15">
        <v>113611</v>
      </c>
      <c r="B950" s="17" t="s">
        <v>944</v>
      </c>
      <c r="C950" s="12">
        <v>40147</v>
      </c>
      <c r="D950" s="11" t="str">
        <f>_xlfn.IFNA(IF(VLOOKUP(Tabela2[[#This Row],[CÓDIGO]],Aguardando_exclusão!A$4:A$4003,1,FALSE),"sim",""),"")</f>
        <v/>
      </c>
    </row>
    <row r="951" spans="1:4" ht="15" customHeight="1" x14ac:dyDescent="0.3">
      <c r="A951" s="15">
        <v>113634</v>
      </c>
      <c r="B951" s="17" t="s">
        <v>945</v>
      </c>
      <c r="C951" s="12">
        <v>40150</v>
      </c>
      <c r="D951" s="11" t="str">
        <f>_xlfn.IFNA(IF(VLOOKUP(Tabela2[[#This Row],[CÓDIGO]],Aguardando_exclusão!A$4:A$4003,1,FALSE),"sim",""),"")</f>
        <v/>
      </c>
    </row>
    <row r="952" spans="1:4" ht="15" customHeight="1" x14ac:dyDescent="0.3">
      <c r="A952" s="15">
        <v>113846</v>
      </c>
      <c r="B952" s="17" t="s">
        <v>946</v>
      </c>
      <c r="C952" s="12">
        <v>40198</v>
      </c>
      <c r="D952" s="11" t="str">
        <f>_xlfn.IFNA(IF(VLOOKUP(Tabela2[[#This Row],[CÓDIGO]],Aguardando_exclusão!A$4:A$4003,1,FALSE),"sim",""),"")</f>
        <v/>
      </c>
    </row>
    <row r="953" spans="1:4" ht="15" customHeight="1" x14ac:dyDescent="0.3">
      <c r="A953" s="15">
        <v>114255</v>
      </c>
      <c r="B953" s="17" t="s">
        <v>947</v>
      </c>
      <c r="C953" s="12">
        <v>40234</v>
      </c>
      <c r="D953" s="11" t="str">
        <f>_xlfn.IFNA(IF(VLOOKUP(Tabela2[[#This Row],[CÓDIGO]],Aguardando_exclusão!A$4:A$4003,1,FALSE),"sim",""),"")</f>
        <v/>
      </c>
    </row>
    <row r="954" spans="1:4" ht="15" customHeight="1" x14ac:dyDescent="0.3">
      <c r="A954" s="15">
        <v>114297</v>
      </c>
      <c r="B954" s="17" t="s">
        <v>948</v>
      </c>
      <c r="C954" s="12">
        <v>40240</v>
      </c>
      <c r="D954" s="11" t="str">
        <f>_xlfn.IFNA(IF(VLOOKUP(Tabela2[[#This Row],[CÓDIGO]],Aguardando_exclusão!A$4:A$4003,1,FALSE),"sim",""),"")</f>
        <v/>
      </c>
    </row>
    <row r="955" spans="1:4" ht="15" customHeight="1" x14ac:dyDescent="0.3">
      <c r="A955" s="15">
        <v>114299</v>
      </c>
      <c r="B955" s="17" t="s">
        <v>949</v>
      </c>
      <c r="C955" s="12">
        <v>40240</v>
      </c>
      <c r="D955" s="11" t="str">
        <f>_xlfn.IFNA(IF(VLOOKUP(Tabela2[[#This Row],[CÓDIGO]],Aguardando_exclusão!A$4:A$4003,1,FALSE),"sim",""),"")</f>
        <v/>
      </c>
    </row>
    <row r="956" spans="1:4" ht="15" customHeight="1" x14ac:dyDescent="0.3">
      <c r="A956" s="15">
        <v>114430</v>
      </c>
      <c r="B956" s="17" t="s">
        <v>950</v>
      </c>
      <c r="C956" s="12">
        <v>40249</v>
      </c>
      <c r="D956" s="11" t="str">
        <f>_xlfn.IFNA(IF(VLOOKUP(Tabela2[[#This Row],[CÓDIGO]],Aguardando_exclusão!A$4:A$4003,1,FALSE),"sim",""),"")</f>
        <v/>
      </c>
    </row>
    <row r="957" spans="1:4" ht="15" customHeight="1" x14ac:dyDescent="0.3">
      <c r="A957" s="15">
        <v>114771</v>
      </c>
      <c r="B957" s="17" t="s">
        <v>951</v>
      </c>
      <c r="C957" s="12">
        <v>40275</v>
      </c>
      <c r="D957" s="11" t="str">
        <f>_xlfn.IFNA(IF(VLOOKUP(Tabela2[[#This Row],[CÓDIGO]],Aguardando_exclusão!A$4:A$4003,1,FALSE),"sim",""),"")</f>
        <v/>
      </c>
    </row>
    <row r="958" spans="1:4" ht="15" customHeight="1" x14ac:dyDescent="0.3">
      <c r="A958" s="15">
        <v>114772</v>
      </c>
      <c r="B958" s="17" t="s">
        <v>952</v>
      </c>
      <c r="C958" s="12">
        <v>40275</v>
      </c>
      <c r="D958" s="11" t="str">
        <f>_xlfn.IFNA(IF(VLOOKUP(Tabela2[[#This Row],[CÓDIGO]],Aguardando_exclusão!A$4:A$4003,1,FALSE),"sim",""),"")</f>
        <v/>
      </c>
    </row>
    <row r="959" spans="1:4" ht="15" customHeight="1" x14ac:dyDescent="0.3">
      <c r="A959" s="15">
        <v>114773</v>
      </c>
      <c r="B959" s="17" t="s">
        <v>953</v>
      </c>
      <c r="C959" s="12">
        <v>40275</v>
      </c>
      <c r="D959" s="11" t="str">
        <f>_xlfn.IFNA(IF(VLOOKUP(Tabela2[[#This Row],[CÓDIGO]],Aguardando_exclusão!A$4:A$4003,1,FALSE),"sim",""),"")</f>
        <v/>
      </c>
    </row>
    <row r="960" spans="1:4" ht="15" customHeight="1" x14ac:dyDescent="0.3">
      <c r="A960" s="15">
        <v>114822</v>
      </c>
      <c r="B960" s="17" t="s">
        <v>954</v>
      </c>
      <c r="C960" s="12">
        <v>40277</v>
      </c>
      <c r="D960" s="11" t="str">
        <f>_xlfn.IFNA(IF(VLOOKUP(Tabela2[[#This Row],[CÓDIGO]],Aguardando_exclusão!A$4:A$4003,1,FALSE),"sim",""),"")</f>
        <v/>
      </c>
    </row>
    <row r="961" spans="1:4" ht="15" customHeight="1" x14ac:dyDescent="0.3">
      <c r="A961" s="15">
        <v>114852</v>
      </c>
      <c r="B961" s="17" t="s">
        <v>955</v>
      </c>
      <c r="C961" s="12">
        <v>40280</v>
      </c>
      <c r="D961" s="11" t="str">
        <f>_xlfn.IFNA(IF(VLOOKUP(Tabela2[[#This Row],[CÓDIGO]],Aguardando_exclusão!A$4:A$4003,1,FALSE),"sim",""),"")</f>
        <v/>
      </c>
    </row>
    <row r="962" spans="1:4" ht="15" customHeight="1" x14ac:dyDescent="0.3">
      <c r="A962" s="15">
        <v>114853</v>
      </c>
      <c r="B962" s="17" t="s">
        <v>956</v>
      </c>
      <c r="C962" s="12">
        <v>40280</v>
      </c>
      <c r="D962" s="11" t="str">
        <f>_xlfn.IFNA(IF(VLOOKUP(Tabela2[[#This Row],[CÓDIGO]],Aguardando_exclusão!A$4:A$4003,1,FALSE),"sim",""),"")</f>
        <v/>
      </c>
    </row>
    <row r="963" spans="1:4" ht="15" customHeight="1" x14ac:dyDescent="0.3">
      <c r="A963" s="15">
        <v>114923</v>
      </c>
      <c r="B963" s="17" t="s">
        <v>957</v>
      </c>
      <c r="C963" s="12">
        <v>40288</v>
      </c>
      <c r="D963" s="11" t="str">
        <f>_xlfn.IFNA(IF(VLOOKUP(Tabela2[[#This Row],[CÓDIGO]],Aguardando_exclusão!A$4:A$4003,1,FALSE),"sim",""),"")</f>
        <v/>
      </c>
    </row>
    <row r="964" spans="1:4" ht="15" customHeight="1" x14ac:dyDescent="0.3">
      <c r="A964" s="15">
        <v>114928</v>
      </c>
      <c r="B964" s="17" t="s">
        <v>958</v>
      </c>
      <c r="C964" s="12">
        <v>40288</v>
      </c>
      <c r="D964" s="11" t="str">
        <f>_xlfn.IFNA(IF(VLOOKUP(Tabela2[[#This Row],[CÓDIGO]],Aguardando_exclusão!A$4:A$4003,1,FALSE),"sim",""),"")</f>
        <v/>
      </c>
    </row>
    <row r="965" spans="1:4" ht="15" customHeight="1" x14ac:dyDescent="0.3">
      <c r="A965" s="15">
        <v>114976</v>
      </c>
      <c r="B965" s="17" t="s">
        <v>959</v>
      </c>
      <c r="C965" s="12">
        <v>40291</v>
      </c>
      <c r="D965" s="11" t="str">
        <f>_xlfn.IFNA(IF(VLOOKUP(Tabela2[[#This Row],[CÓDIGO]],Aguardando_exclusão!A$4:A$4003,1,FALSE),"sim",""),"")</f>
        <v/>
      </c>
    </row>
    <row r="966" spans="1:4" ht="15" customHeight="1" x14ac:dyDescent="0.3">
      <c r="A966" s="15">
        <v>115060</v>
      </c>
      <c r="B966" s="17" t="s">
        <v>960</v>
      </c>
      <c r="C966" s="12">
        <v>40295</v>
      </c>
      <c r="D966" s="11" t="str">
        <f>_xlfn.IFNA(IF(VLOOKUP(Tabela2[[#This Row],[CÓDIGO]],Aguardando_exclusão!A$4:A$4003,1,FALSE),"sim",""),"")</f>
        <v/>
      </c>
    </row>
    <row r="967" spans="1:4" ht="15" customHeight="1" x14ac:dyDescent="0.3">
      <c r="A967" s="15">
        <v>115135</v>
      </c>
      <c r="B967" s="17" t="s">
        <v>961</v>
      </c>
      <c r="C967" s="12">
        <v>40303</v>
      </c>
      <c r="D967" s="11" t="str">
        <f>_xlfn.IFNA(IF(VLOOKUP(Tabela2[[#This Row],[CÓDIGO]],Aguardando_exclusão!A$4:A$4003,1,FALSE),"sim",""),"")</f>
        <v>sim</v>
      </c>
    </row>
    <row r="968" spans="1:4" ht="15" customHeight="1" x14ac:dyDescent="0.3">
      <c r="A968" s="15">
        <v>115146</v>
      </c>
      <c r="B968" s="17" t="s">
        <v>962</v>
      </c>
      <c r="C968" s="12">
        <v>40303</v>
      </c>
      <c r="D968" s="11" t="str">
        <f>_xlfn.IFNA(IF(VLOOKUP(Tabela2[[#This Row],[CÓDIGO]],Aguardando_exclusão!A$4:A$4003,1,FALSE),"sim",""),"")</f>
        <v>sim</v>
      </c>
    </row>
    <row r="969" spans="1:4" ht="15" customHeight="1" x14ac:dyDescent="0.3">
      <c r="A969" s="15">
        <v>115149</v>
      </c>
      <c r="B969" s="17" t="s">
        <v>963</v>
      </c>
      <c r="C969" s="12">
        <v>40303</v>
      </c>
      <c r="D969" s="11" t="str">
        <f>_xlfn.IFNA(IF(VLOOKUP(Tabela2[[#This Row],[CÓDIGO]],Aguardando_exclusão!A$4:A$4003,1,FALSE),"sim",""),"")</f>
        <v>sim</v>
      </c>
    </row>
    <row r="970" spans="1:4" ht="15" customHeight="1" x14ac:dyDescent="0.3">
      <c r="A970" s="15">
        <v>115151</v>
      </c>
      <c r="B970" s="17" t="s">
        <v>964</v>
      </c>
      <c r="C970" s="12">
        <v>40303</v>
      </c>
      <c r="D970" s="11" t="str">
        <f>_xlfn.IFNA(IF(VLOOKUP(Tabela2[[#This Row],[CÓDIGO]],Aguardando_exclusão!A$4:A$4003,1,FALSE),"sim",""),"")</f>
        <v>sim</v>
      </c>
    </row>
    <row r="971" spans="1:4" ht="15" customHeight="1" x14ac:dyDescent="0.3">
      <c r="A971" s="15">
        <v>115154</v>
      </c>
      <c r="B971" s="17" t="s">
        <v>965</v>
      </c>
      <c r="C971" s="12">
        <v>40303</v>
      </c>
      <c r="D971" s="11" t="str">
        <f>_xlfn.IFNA(IF(VLOOKUP(Tabela2[[#This Row],[CÓDIGO]],Aguardando_exclusão!A$4:A$4003,1,FALSE),"sim",""),"")</f>
        <v>sim</v>
      </c>
    </row>
    <row r="972" spans="1:4" ht="15" customHeight="1" x14ac:dyDescent="0.3">
      <c r="A972" s="15">
        <v>115282</v>
      </c>
      <c r="B972" s="17" t="s">
        <v>966</v>
      </c>
      <c r="C972" s="12">
        <v>40312</v>
      </c>
      <c r="D972" s="11" t="str">
        <f>_xlfn.IFNA(IF(VLOOKUP(Tabela2[[#This Row],[CÓDIGO]],Aguardando_exclusão!A$4:A$4003,1,FALSE),"sim",""),"")</f>
        <v/>
      </c>
    </row>
    <row r="973" spans="1:4" ht="15" customHeight="1" x14ac:dyDescent="0.3">
      <c r="A973" s="15">
        <v>115781</v>
      </c>
      <c r="B973" s="17" t="s">
        <v>967</v>
      </c>
      <c r="C973" s="12">
        <v>40351</v>
      </c>
      <c r="D973" s="11" t="str">
        <f>_xlfn.IFNA(IF(VLOOKUP(Tabela2[[#This Row],[CÓDIGO]],Aguardando_exclusão!A$4:A$4003,1,FALSE),"sim",""),"")</f>
        <v/>
      </c>
    </row>
    <row r="974" spans="1:4" ht="15" customHeight="1" x14ac:dyDescent="0.3">
      <c r="A974" s="15">
        <v>115807</v>
      </c>
      <c r="B974" s="17" t="s">
        <v>968</v>
      </c>
      <c r="C974" s="12">
        <v>40352</v>
      </c>
      <c r="D974" s="11" t="str">
        <f>_xlfn.IFNA(IF(VLOOKUP(Tabela2[[#This Row],[CÓDIGO]],Aguardando_exclusão!A$4:A$4003,1,FALSE),"sim",""),"")</f>
        <v/>
      </c>
    </row>
    <row r="975" spans="1:4" ht="15" customHeight="1" x14ac:dyDescent="0.3">
      <c r="A975" s="15">
        <v>115840</v>
      </c>
      <c r="B975" s="17" t="s">
        <v>969</v>
      </c>
      <c r="C975" s="12">
        <v>40357</v>
      </c>
      <c r="D975" s="11" t="str">
        <f>_xlfn.IFNA(IF(VLOOKUP(Tabela2[[#This Row],[CÓDIGO]],Aguardando_exclusão!A$4:A$4003,1,FALSE),"sim",""),"")</f>
        <v/>
      </c>
    </row>
    <row r="976" spans="1:4" ht="15" customHeight="1" x14ac:dyDescent="0.3">
      <c r="A976" s="15">
        <v>115841</v>
      </c>
      <c r="B976" s="17" t="s">
        <v>970</v>
      </c>
      <c r="C976" s="12">
        <v>40357</v>
      </c>
      <c r="D976" s="11" t="str">
        <f>_xlfn.IFNA(IF(VLOOKUP(Tabela2[[#This Row],[CÓDIGO]],Aguardando_exclusão!A$4:A$4003,1,FALSE),"sim",""),"")</f>
        <v/>
      </c>
    </row>
    <row r="977" spans="1:4" ht="15" customHeight="1" x14ac:dyDescent="0.3">
      <c r="A977" s="15">
        <v>116466</v>
      </c>
      <c r="B977" s="17" t="s">
        <v>971</v>
      </c>
      <c r="C977" s="12">
        <v>40382</v>
      </c>
      <c r="D977" s="11" t="str">
        <f>_xlfn.IFNA(IF(VLOOKUP(Tabela2[[#This Row],[CÓDIGO]],Aguardando_exclusão!A$4:A$4003,1,FALSE),"sim",""),"")</f>
        <v/>
      </c>
    </row>
    <row r="978" spans="1:4" ht="15" customHeight="1" x14ac:dyDescent="0.3">
      <c r="A978" s="15">
        <v>116751</v>
      </c>
      <c r="B978" s="17" t="s">
        <v>972</v>
      </c>
      <c r="C978" s="12">
        <v>40395</v>
      </c>
      <c r="D978" s="11" t="str">
        <f>_xlfn.IFNA(IF(VLOOKUP(Tabela2[[#This Row],[CÓDIGO]],Aguardando_exclusão!A$4:A$4003,1,FALSE),"sim",""),"")</f>
        <v/>
      </c>
    </row>
    <row r="979" spans="1:4" ht="15" customHeight="1" x14ac:dyDescent="0.3">
      <c r="A979" s="15">
        <v>116754</v>
      </c>
      <c r="B979" s="17" t="s">
        <v>973</v>
      </c>
      <c r="C979" s="12">
        <v>40395</v>
      </c>
      <c r="D979" s="11" t="str">
        <f>_xlfn.IFNA(IF(VLOOKUP(Tabela2[[#This Row],[CÓDIGO]],Aguardando_exclusão!A$4:A$4003,1,FALSE),"sim",""),"")</f>
        <v/>
      </c>
    </row>
    <row r="980" spans="1:4" ht="15" customHeight="1" x14ac:dyDescent="0.3">
      <c r="A980" s="15">
        <v>116771</v>
      </c>
      <c r="B980" s="17" t="s">
        <v>974</v>
      </c>
      <c r="C980" s="12">
        <v>40396</v>
      </c>
      <c r="D980" s="11" t="str">
        <f>_xlfn.IFNA(IF(VLOOKUP(Tabela2[[#This Row],[CÓDIGO]],Aguardando_exclusão!A$4:A$4003,1,FALSE),"sim",""),"")</f>
        <v>sim</v>
      </c>
    </row>
    <row r="981" spans="1:4" ht="15" customHeight="1" x14ac:dyDescent="0.3">
      <c r="A981" s="15">
        <v>116874</v>
      </c>
      <c r="B981" s="17" t="s">
        <v>975</v>
      </c>
      <c r="C981" s="12">
        <v>40406</v>
      </c>
      <c r="D981" s="11" t="str">
        <f>_xlfn.IFNA(IF(VLOOKUP(Tabela2[[#This Row],[CÓDIGO]],Aguardando_exclusão!A$4:A$4003,1,FALSE),"sim",""),"")</f>
        <v/>
      </c>
    </row>
    <row r="982" spans="1:4" ht="15" customHeight="1" x14ac:dyDescent="0.3">
      <c r="A982" s="15">
        <v>117734</v>
      </c>
      <c r="B982" s="17" t="s">
        <v>976</v>
      </c>
      <c r="C982" s="12">
        <v>40432</v>
      </c>
      <c r="D982" s="11" t="str">
        <f>_xlfn.IFNA(IF(VLOOKUP(Tabela2[[#This Row],[CÓDIGO]],Aguardando_exclusão!A$4:A$4003,1,FALSE),"sim",""),"")</f>
        <v/>
      </c>
    </row>
    <row r="983" spans="1:4" ht="15" customHeight="1" x14ac:dyDescent="0.3">
      <c r="A983" s="15">
        <v>118243</v>
      </c>
      <c r="B983" s="17" t="s">
        <v>977</v>
      </c>
      <c r="C983" s="12">
        <v>40466</v>
      </c>
      <c r="D983" s="11" t="str">
        <f>_xlfn.IFNA(IF(VLOOKUP(Tabela2[[#This Row],[CÓDIGO]],Aguardando_exclusão!A$4:A$4003,1,FALSE),"sim",""),"")</f>
        <v/>
      </c>
    </row>
    <row r="984" spans="1:4" ht="15" customHeight="1" x14ac:dyDescent="0.3">
      <c r="A984" s="15">
        <v>118244</v>
      </c>
      <c r="B984" s="17" t="s">
        <v>978</v>
      </c>
      <c r="C984" s="12">
        <v>41816</v>
      </c>
      <c r="D984" s="11" t="str">
        <f>_xlfn.IFNA(IF(VLOOKUP(Tabela2[[#This Row],[CÓDIGO]],Aguardando_exclusão!A$4:A$4003,1,FALSE),"sim",""),"")</f>
        <v/>
      </c>
    </row>
    <row r="985" spans="1:4" ht="15" customHeight="1" x14ac:dyDescent="0.3">
      <c r="A985" s="15">
        <v>118245</v>
      </c>
      <c r="B985" s="17" t="s">
        <v>979</v>
      </c>
      <c r="C985" s="12">
        <v>40466</v>
      </c>
      <c r="D985" s="11" t="str">
        <f>_xlfn.IFNA(IF(VLOOKUP(Tabela2[[#This Row],[CÓDIGO]],Aguardando_exclusão!A$4:A$4003,1,FALSE),"sim",""),"")</f>
        <v/>
      </c>
    </row>
    <row r="986" spans="1:4" ht="15" customHeight="1" x14ac:dyDescent="0.3">
      <c r="A986" s="15">
        <v>118246</v>
      </c>
      <c r="B986" s="17" t="s">
        <v>980</v>
      </c>
      <c r="C986" s="12">
        <v>40466</v>
      </c>
      <c r="D986" s="11" t="str">
        <f>_xlfn.IFNA(IF(VLOOKUP(Tabela2[[#This Row],[CÓDIGO]],Aguardando_exclusão!A$4:A$4003,1,FALSE),"sim",""),"")</f>
        <v/>
      </c>
    </row>
    <row r="987" spans="1:4" ht="15" customHeight="1" x14ac:dyDescent="0.3">
      <c r="A987" s="15">
        <v>118248</v>
      </c>
      <c r="B987" s="17" t="s">
        <v>981</v>
      </c>
      <c r="C987" s="12">
        <v>40466</v>
      </c>
      <c r="D987" s="11" t="str">
        <f>_xlfn.IFNA(IF(VLOOKUP(Tabela2[[#This Row],[CÓDIGO]],Aguardando_exclusão!A$4:A$4003,1,FALSE),"sim",""),"")</f>
        <v>sim</v>
      </c>
    </row>
    <row r="988" spans="1:4" ht="15" customHeight="1" x14ac:dyDescent="0.3">
      <c r="A988" s="15">
        <v>118427</v>
      </c>
      <c r="B988" s="17" t="s">
        <v>982</v>
      </c>
      <c r="C988" s="12">
        <v>40488</v>
      </c>
      <c r="D988" s="11" t="str">
        <f>_xlfn.IFNA(IF(VLOOKUP(Tabela2[[#This Row],[CÓDIGO]],Aguardando_exclusão!A$4:A$4003,1,FALSE),"sim",""),"")</f>
        <v/>
      </c>
    </row>
    <row r="989" spans="1:4" ht="15" customHeight="1" x14ac:dyDescent="0.3">
      <c r="A989" s="15">
        <v>118515</v>
      </c>
      <c r="B989" s="17" t="s">
        <v>983</v>
      </c>
      <c r="C989" s="12">
        <v>40498</v>
      </c>
      <c r="D989" s="11" t="str">
        <f>_xlfn.IFNA(IF(VLOOKUP(Tabela2[[#This Row],[CÓDIGO]],Aguardando_exclusão!A$4:A$4003,1,FALSE),"sim",""),"")</f>
        <v/>
      </c>
    </row>
    <row r="990" spans="1:4" ht="15" customHeight="1" x14ac:dyDescent="0.3">
      <c r="A990" s="15">
        <v>118577</v>
      </c>
      <c r="B990" s="17" t="s">
        <v>984</v>
      </c>
      <c r="C990" s="12">
        <v>40501</v>
      </c>
      <c r="D990" s="11" t="str">
        <f>_xlfn.IFNA(IF(VLOOKUP(Tabela2[[#This Row],[CÓDIGO]],Aguardando_exclusão!A$4:A$4003,1,FALSE),"sim",""),"")</f>
        <v/>
      </c>
    </row>
    <row r="991" spans="1:4" ht="15" customHeight="1" x14ac:dyDescent="0.3">
      <c r="A991" s="15">
        <v>118578</v>
      </c>
      <c r="B991" s="17" t="s">
        <v>985</v>
      </c>
      <c r="C991" s="12">
        <v>40501</v>
      </c>
      <c r="D991" s="11" t="str">
        <f>_xlfn.IFNA(IF(VLOOKUP(Tabela2[[#This Row],[CÓDIGO]],Aguardando_exclusão!A$4:A$4003,1,FALSE),"sim",""),"")</f>
        <v>sim</v>
      </c>
    </row>
    <row r="992" spans="1:4" ht="15" customHeight="1" x14ac:dyDescent="0.3">
      <c r="A992" s="15">
        <v>118580</v>
      </c>
      <c r="B992" s="17" t="s">
        <v>986</v>
      </c>
      <c r="C992" s="12">
        <v>40501</v>
      </c>
      <c r="D992" s="11" t="str">
        <f>_xlfn.IFNA(IF(VLOOKUP(Tabela2[[#This Row],[CÓDIGO]],Aguardando_exclusão!A$4:A$4003,1,FALSE),"sim",""),"")</f>
        <v>sim</v>
      </c>
    </row>
    <row r="993" spans="1:4" ht="15" customHeight="1" x14ac:dyDescent="0.3">
      <c r="A993" s="15">
        <v>118660</v>
      </c>
      <c r="B993" s="17" t="s">
        <v>987</v>
      </c>
      <c r="C993" s="12">
        <v>40508</v>
      </c>
      <c r="D993" s="11" t="str">
        <f>_xlfn.IFNA(IF(VLOOKUP(Tabela2[[#This Row],[CÓDIGO]],Aguardando_exclusão!A$4:A$4003,1,FALSE),"sim",""),"")</f>
        <v/>
      </c>
    </row>
    <row r="994" spans="1:4" ht="15" customHeight="1" x14ac:dyDescent="0.3">
      <c r="A994" s="15">
        <v>118779</v>
      </c>
      <c r="B994" s="17" t="s">
        <v>988</v>
      </c>
      <c r="C994" s="12">
        <v>40549</v>
      </c>
      <c r="D994" s="11" t="str">
        <f>_xlfn.IFNA(IF(VLOOKUP(Tabela2[[#This Row],[CÓDIGO]],Aguardando_exclusão!A$4:A$4003,1,FALSE),"sim",""),"")</f>
        <v>sim</v>
      </c>
    </row>
    <row r="995" spans="1:4" ht="15" customHeight="1" x14ac:dyDescent="0.3">
      <c r="A995" s="15">
        <v>118843</v>
      </c>
      <c r="B995" s="17" t="s">
        <v>989</v>
      </c>
      <c r="C995" s="12">
        <v>40557</v>
      </c>
      <c r="D995" s="11" t="str">
        <f>_xlfn.IFNA(IF(VLOOKUP(Tabela2[[#This Row],[CÓDIGO]],Aguardando_exclusão!A$4:A$4003,1,FALSE),"sim",""),"")</f>
        <v>sim</v>
      </c>
    </row>
    <row r="996" spans="1:4" ht="15" customHeight="1" x14ac:dyDescent="0.3">
      <c r="A996" s="15">
        <v>118864</v>
      </c>
      <c r="B996" s="17" t="s">
        <v>990</v>
      </c>
      <c r="C996" s="12">
        <v>40561</v>
      </c>
      <c r="D996" s="11" t="str">
        <f>_xlfn.IFNA(IF(VLOOKUP(Tabela2[[#This Row],[CÓDIGO]],Aguardando_exclusão!A$4:A$4003,1,FALSE),"sim",""),"")</f>
        <v>sim</v>
      </c>
    </row>
    <row r="997" spans="1:4" ht="15" customHeight="1" x14ac:dyDescent="0.3">
      <c r="A997" s="15">
        <v>118865</v>
      </c>
      <c r="B997" s="17" t="s">
        <v>991</v>
      </c>
      <c r="C997" s="12">
        <v>40561</v>
      </c>
      <c r="D997" s="11" t="str">
        <f>_xlfn.IFNA(IF(VLOOKUP(Tabela2[[#This Row],[CÓDIGO]],Aguardando_exclusão!A$4:A$4003,1,FALSE),"sim",""),"")</f>
        <v/>
      </c>
    </row>
    <row r="998" spans="1:4" ht="15" customHeight="1" x14ac:dyDescent="0.3">
      <c r="A998" s="15">
        <v>118993</v>
      </c>
      <c r="B998" s="17" t="s">
        <v>992</v>
      </c>
      <c r="C998" s="12">
        <v>40568</v>
      </c>
      <c r="D998" s="11" t="str">
        <f>_xlfn.IFNA(IF(VLOOKUP(Tabela2[[#This Row],[CÓDIGO]],Aguardando_exclusão!A$4:A$4003,1,FALSE),"sim",""),"")</f>
        <v>sim</v>
      </c>
    </row>
    <row r="999" spans="1:4" ht="15" customHeight="1" x14ac:dyDescent="0.3">
      <c r="A999" s="15">
        <v>118994</v>
      </c>
      <c r="B999" s="17" t="s">
        <v>993</v>
      </c>
      <c r="C999" s="12">
        <v>40568</v>
      </c>
      <c r="D999" s="11" t="str">
        <f>_xlfn.IFNA(IF(VLOOKUP(Tabela2[[#This Row],[CÓDIGO]],Aguardando_exclusão!A$4:A$4003,1,FALSE),"sim",""),"")</f>
        <v>sim</v>
      </c>
    </row>
    <row r="1000" spans="1:4" ht="15" customHeight="1" x14ac:dyDescent="0.3">
      <c r="A1000" s="15">
        <v>119008</v>
      </c>
      <c r="B1000" s="17" t="s">
        <v>994</v>
      </c>
      <c r="C1000" s="12">
        <v>40570</v>
      </c>
      <c r="D1000" s="11" t="str">
        <f>_xlfn.IFNA(IF(VLOOKUP(Tabela2[[#This Row],[CÓDIGO]],Aguardando_exclusão!A$4:A$4003,1,FALSE),"sim",""),"")</f>
        <v/>
      </c>
    </row>
    <row r="1001" spans="1:4" ht="15" customHeight="1" x14ac:dyDescent="0.3">
      <c r="A1001" s="15">
        <v>119087</v>
      </c>
      <c r="B1001" s="17" t="s">
        <v>995</v>
      </c>
      <c r="C1001" s="12">
        <v>40575</v>
      </c>
      <c r="D1001" s="11" t="str">
        <f>_xlfn.IFNA(IF(VLOOKUP(Tabela2[[#This Row],[CÓDIGO]],Aguardando_exclusão!A$4:A$4003,1,FALSE),"sim",""),"")</f>
        <v/>
      </c>
    </row>
    <row r="1002" spans="1:4" ht="15" customHeight="1" x14ac:dyDescent="0.3">
      <c r="A1002" s="15">
        <v>119177</v>
      </c>
      <c r="B1002" s="17" t="s">
        <v>996</v>
      </c>
      <c r="C1002" s="12">
        <v>40581</v>
      </c>
      <c r="D1002" s="11" t="str">
        <f>_xlfn.IFNA(IF(VLOOKUP(Tabela2[[#This Row],[CÓDIGO]],Aguardando_exclusão!A$4:A$4003,1,FALSE),"sim",""),"")</f>
        <v/>
      </c>
    </row>
    <row r="1003" spans="1:4" ht="15" customHeight="1" x14ac:dyDescent="0.3">
      <c r="A1003" s="15">
        <v>119178</v>
      </c>
      <c r="B1003" s="17" t="s">
        <v>997</v>
      </c>
      <c r="C1003" s="12">
        <v>40581</v>
      </c>
      <c r="D1003" s="11" t="str">
        <f>_xlfn.IFNA(IF(VLOOKUP(Tabela2[[#This Row],[CÓDIGO]],Aguardando_exclusão!A$4:A$4003,1,FALSE),"sim",""),"")</f>
        <v/>
      </c>
    </row>
    <row r="1004" spans="1:4" ht="15" customHeight="1" x14ac:dyDescent="0.3">
      <c r="A1004" s="15">
        <v>119180</v>
      </c>
      <c r="B1004" s="17" t="s">
        <v>998</v>
      </c>
      <c r="C1004" s="12">
        <v>40581</v>
      </c>
      <c r="D1004" s="11" t="str">
        <f>_xlfn.IFNA(IF(VLOOKUP(Tabela2[[#This Row],[CÓDIGO]],Aguardando_exclusão!A$4:A$4003,1,FALSE),"sim",""),"")</f>
        <v/>
      </c>
    </row>
    <row r="1005" spans="1:4" ht="15" customHeight="1" x14ac:dyDescent="0.3">
      <c r="A1005" s="15">
        <v>119181</v>
      </c>
      <c r="B1005" s="17" t="s">
        <v>999</v>
      </c>
      <c r="C1005" s="12">
        <v>40581</v>
      </c>
      <c r="D1005" s="11" t="str">
        <f>_xlfn.IFNA(IF(VLOOKUP(Tabela2[[#This Row],[CÓDIGO]],Aguardando_exclusão!A$4:A$4003,1,FALSE),"sim",""),"")</f>
        <v/>
      </c>
    </row>
    <row r="1006" spans="1:4" ht="15" customHeight="1" x14ac:dyDescent="0.3">
      <c r="A1006" s="15">
        <v>119182</v>
      </c>
      <c r="B1006" s="17" t="s">
        <v>1000</v>
      </c>
      <c r="C1006" s="12">
        <v>40581</v>
      </c>
      <c r="D1006" s="11" t="str">
        <f>_xlfn.IFNA(IF(VLOOKUP(Tabela2[[#This Row],[CÓDIGO]],Aguardando_exclusão!A$4:A$4003,1,FALSE),"sim",""),"")</f>
        <v/>
      </c>
    </row>
    <row r="1007" spans="1:4" ht="15" customHeight="1" x14ac:dyDescent="0.3">
      <c r="A1007" s="15">
        <v>119183</v>
      </c>
      <c r="B1007" s="17" t="s">
        <v>1001</v>
      </c>
      <c r="C1007" s="12">
        <v>40581</v>
      </c>
      <c r="D1007" s="11" t="str">
        <f>_xlfn.IFNA(IF(VLOOKUP(Tabela2[[#This Row],[CÓDIGO]],Aguardando_exclusão!A$4:A$4003,1,FALSE),"sim",""),"")</f>
        <v>sim</v>
      </c>
    </row>
    <row r="1008" spans="1:4" ht="15" customHeight="1" x14ac:dyDescent="0.3">
      <c r="A1008" s="15">
        <v>119318</v>
      </c>
      <c r="B1008" s="17" t="s">
        <v>1002</v>
      </c>
      <c r="C1008" s="12">
        <v>40598</v>
      </c>
      <c r="D1008" s="11" t="str">
        <f>_xlfn.IFNA(IF(VLOOKUP(Tabela2[[#This Row],[CÓDIGO]],Aguardando_exclusão!A$4:A$4003,1,FALSE),"sim",""),"")</f>
        <v/>
      </c>
    </row>
    <row r="1009" spans="1:4" ht="15" customHeight="1" x14ac:dyDescent="0.3">
      <c r="A1009" s="15">
        <v>119407</v>
      </c>
      <c r="B1009" s="17" t="s">
        <v>1003</v>
      </c>
      <c r="C1009" s="12">
        <v>40606</v>
      </c>
      <c r="D1009" s="11" t="str">
        <f>_xlfn.IFNA(IF(VLOOKUP(Tabela2[[#This Row],[CÓDIGO]],Aguardando_exclusão!A$4:A$4003,1,FALSE),"sim",""),"")</f>
        <v/>
      </c>
    </row>
    <row r="1010" spans="1:4" ht="15" customHeight="1" x14ac:dyDescent="0.3">
      <c r="A1010" s="15">
        <v>119514</v>
      </c>
      <c r="B1010" s="17" t="s">
        <v>1004</v>
      </c>
      <c r="C1010" s="12">
        <v>40625</v>
      </c>
      <c r="D1010" s="11" t="str">
        <f>_xlfn.IFNA(IF(VLOOKUP(Tabela2[[#This Row],[CÓDIGO]],Aguardando_exclusão!A$4:A$4003,1,FALSE),"sim",""),"")</f>
        <v/>
      </c>
    </row>
    <row r="1011" spans="1:4" ht="15" customHeight="1" x14ac:dyDescent="0.3">
      <c r="A1011" s="15">
        <v>119554</v>
      </c>
      <c r="B1011" s="17" t="s">
        <v>1005</v>
      </c>
      <c r="C1011" s="12">
        <v>40632</v>
      </c>
      <c r="D1011" s="11" t="str">
        <f>_xlfn.IFNA(IF(VLOOKUP(Tabela2[[#This Row],[CÓDIGO]],Aguardando_exclusão!A$4:A$4003,1,FALSE),"sim",""),"")</f>
        <v/>
      </c>
    </row>
    <row r="1012" spans="1:4" ht="15" customHeight="1" x14ac:dyDescent="0.3">
      <c r="A1012" s="15">
        <v>119595</v>
      </c>
      <c r="B1012" s="17" t="s">
        <v>1006</v>
      </c>
      <c r="C1012" s="12">
        <v>40638</v>
      </c>
      <c r="D1012" s="11" t="str">
        <f>_xlfn.IFNA(IF(VLOOKUP(Tabela2[[#This Row],[CÓDIGO]],Aguardando_exclusão!A$4:A$4003,1,FALSE),"sim",""),"")</f>
        <v/>
      </c>
    </row>
    <row r="1013" spans="1:4" ht="15" customHeight="1" x14ac:dyDescent="0.3">
      <c r="A1013" s="15">
        <v>119621</v>
      </c>
      <c r="B1013" s="17" t="s">
        <v>1007</v>
      </c>
      <c r="C1013" s="12">
        <v>40641</v>
      </c>
      <c r="D1013" s="11" t="str">
        <f>_xlfn.IFNA(IF(VLOOKUP(Tabela2[[#This Row],[CÓDIGO]],Aguardando_exclusão!A$4:A$4003,1,FALSE),"sim",""),"")</f>
        <v/>
      </c>
    </row>
    <row r="1014" spans="1:4" ht="15" customHeight="1" x14ac:dyDescent="0.3">
      <c r="A1014" s="15">
        <v>119626</v>
      </c>
      <c r="B1014" s="17" t="s">
        <v>1008</v>
      </c>
      <c r="C1014" s="12">
        <v>40641</v>
      </c>
      <c r="D1014" s="11" t="str">
        <f>_xlfn.IFNA(IF(VLOOKUP(Tabela2[[#This Row],[CÓDIGO]],Aguardando_exclusão!A$4:A$4003,1,FALSE),"sim",""),"")</f>
        <v>sim</v>
      </c>
    </row>
    <row r="1015" spans="1:4" ht="15" customHeight="1" x14ac:dyDescent="0.3">
      <c r="A1015" s="15">
        <v>119627</v>
      </c>
      <c r="B1015" s="17" t="s">
        <v>1009</v>
      </c>
      <c r="C1015" s="12">
        <v>40641</v>
      </c>
      <c r="D1015" s="11" t="str">
        <f>_xlfn.IFNA(IF(VLOOKUP(Tabela2[[#This Row],[CÓDIGO]],Aguardando_exclusão!A$4:A$4003,1,FALSE),"sim",""),"")</f>
        <v/>
      </c>
    </row>
    <row r="1016" spans="1:4" ht="15" customHeight="1" x14ac:dyDescent="0.3">
      <c r="A1016" s="15">
        <v>119628</v>
      </c>
      <c r="B1016" s="17" t="s">
        <v>1010</v>
      </c>
      <c r="C1016" s="12">
        <v>40641</v>
      </c>
      <c r="D1016" s="11" t="str">
        <f>_xlfn.IFNA(IF(VLOOKUP(Tabela2[[#This Row],[CÓDIGO]],Aguardando_exclusão!A$4:A$4003,1,FALSE),"sim",""),"")</f>
        <v/>
      </c>
    </row>
    <row r="1017" spans="1:4" ht="15" customHeight="1" x14ac:dyDescent="0.3">
      <c r="A1017" s="15">
        <v>119794</v>
      </c>
      <c r="B1017" s="17" t="s">
        <v>1011</v>
      </c>
      <c r="C1017" s="12">
        <v>40660</v>
      </c>
      <c r="D1017" s="11" t="str">
        <f>_xlfn.IFNA(IF(VLOOKUP(Tabela2[[#This Row],[CÓDIGO]],Aguardando_exclusão!A$4:A$4003,1,FALSE),"sim",""),"")</f>
        <v>sim</v>
      </c>
    </row>
    <row r="1018" spans="1:4" ht="15" customHeight="1" x14ac:dyDescent="0.3">
      <c r="A1018" s="15">
        <v>119795</v>
      </c>
      <c r="B1018" s="17" t="s">
        <v>1012</v>
      </c>
      <c r="C1018" s="12">
        <v>40660</v>
      </c>
      <c r="D1018" s="11" t="str">
        <f>_xlfn.IFNA(IF(VLOOKUP(Tabela2[[#This Row],[CÓDIGO]],Aguardando_exclusão!A$4:A$4003,1,FALSE),"sim",""),"")</f>
        <v>sim</v>
      </c>
    </row>
    <row r="1019" spans="1:4" ht="15" customHeight="1" x14ac:dyDescent="0.3">
      <c r="A1019" s="15">
        <v>119796</v>
      </c>
      <c r="B1019" s="17" t="s">
        <v>1013</v>
      </c>
      <c r="C1019" s="12">
        <v>40660</v>
      </c>
      <c r="D1019" s="11" t="str">
        <f>_xlfn.IFNA(IF(VLOOKUP(Tabela2[[#This Row],[CÓDIGO]],Aguardando_exclusão!A$4:A$4003,1,FALSE),"sim",""),"")</f>
        <v>sim</v>
      </c>
    </row>
    <row r="1020" spans="1:4" ht="15" customHeight="1" x14ac:dyDescent="0.3">
      <c r="A1020" s="15">
        <v>119798</v>
      </c>
      <c r="B1020" s="17" t="s">
        <v>1014</v>
      </c>
      <c r="C1020" s="12">
        <v>40660</v>
      </c>
      <c r="D1020" s="11" t="str">
        <f>_xlfn.IFNA(IF(VLOOKUP(Tabela2[[#This Row],[CÓDIGO]],Aguardando_exclusão!A$4:A$4003,1,FALSE),"sim",""),"")</f>
        <v>sim</v>
      </c>
    </row>
    <row r="1021" spans="1:4" ht="15" customHeight="1" x14ac:dyDescent="0.3">
      <c r="A1021" s="15">
        <v>119810</v>
      </c>
      <c r="B1021" s="17" t="s">
        <v>1015</v>
      </c>
      <c r="C1021" s="12">
        <v>40661</v>
      </c>
      <c r="D1021" s="11" t="str">
        <f>_xlfn.IFNA(IF(VLOOKUP(Tabela2[[#This Row],[CÓDIGO]],Aguardando_exclusão!A$4:A$4003,1,FALSE),"sim",""),"")</f>
        <v/>
      </c>
    </row>
    <row r="1022" spans="1:4" ht="15" customHeight="1" x14ac:dyDescent="0.3">
      <c r="A1022" s="15">
        <v>119811</v>
      </c>
      <c r="B1022" s="17" t="s">
        <v>1016</v>
      </c>
      <c r="C1022" s="12">
        <v>40661</v>
      </c>
      <c r="D1022" s="11" t="str">
        <f>_xlfn.IFNA(IF(VLOOKUP(Tabela2[[#This Row],[CÓDIGO]],Aguardando_exclusão!A$4:A$4003,1,FALSE),"sim",""),"")</f>
        <v/>
      </c>
    </row>
    <row r="1023" spans="1:4" ht="15" customHeight="1" x14ac:dyDescent="0.3">
      <c r="A1023" s="15">
        <v>120071</v>
      </c>
      <c r="B1023" s="17" t="s">
        <v>1017</v>
      </c>
      <c r="C1023" s="12">
        <v>40687</v>
      </c>
      <c r="D1023" s="11" t="str">
        <f>_xlfn.IFNA(IF(VLOOKUP(Tabela2[[#This Row],[CÓDIGO]],Aguardando_exclusão!A$4:A$4003,1,FALSE),"sim",""),"")</f>
        <v/>
      </c>
    </row>
    <row r="1024" spans="1:4" ht="15" customHeight="1" x14ac:dyDescent="0.3">
      <c r="A1024" s="15">
        <v>120477</v>
      </c>
      <c r="B1024" s="17" t="s">
        <v>1018</v>
      </c>
      <c r="C1024" s="12">
        <v>40737</v>
      </c>
      <c r="D1024" s="11" t="str">
        <f>_xlfn.IFNA(IF(VLOOKUP(Tabela2[[#This Row],[CÓDIGO]],Aguardando_exclusão!A$4:A$4003,1,FALSE),"sim",""),"")</f>
        <v/>
      </c>
    </row>
    <row r="1025" spans="1:4" ht="15" customHeight="1" x14ac:dyDescent="0.3">
      <c r="A1025" s="15">
        <v>120615</v>
      </c>
      <c r="B1025" s="17" t="s">
        <v>1019</v>
      </c>
      <c r="C1025" s="12">
        <v>40756</v>
      </c>
      <c r="D1025" s="11" t="str">
        <f>_xlfn.IFNA(IF(VLOOKUP(Tabela2[[#This Row],[CÓDIGO]],Aguardando_exclusão!A$4:A$4003,1,FALSE),"sim",""),"")</f>
        <v/>
      </c>
    </row>
    <row r="1026" spans="1:4" ht="15" customHeight="1" x14ac:dyDescent="0.3">
      <c r="A1026" s="15">
        <v>120995</v>
      </c>
      <c r="B1026" s="17" t="s">
        <v>1020</v>
      </c>
      <c r="C1026" s="12">
        <v>40794</v>
      </c>
      <c r="D1026" s="11" t="str">
        <f>_xlfn.IFNA(IF(VLOOKUP(Tabela2[[#This Row],[CÓDIGO]],Aguardando_exclusão!A$4:A$4003,1,FALSE),"sim",""),"")</f>
        <v/>
      </c>
    </row>
    <row r="1027" spans="1:4" ht="15" customHeight="1" x14ac:dyDescent="0.3">
      <c r="A1027" s="15">
        <v>121054</v>
      </c>
      <c r="B1027" s="17" t="s">
        <v>1021</v>
      </c>
      <c r="C1027" s="12">
        <v>40805</v>
      </c>
      <c r="D1027" s="11" t="str">
        <f>_xlfn.IFNA(IF(VLOOKUP(Tabela2[[#This Row],[CÓDIGO]],Aguardando_exclusão!A$4:A$4003,1,FALSE),"sim",""),"")</f>
        <v/>
      </c>
    </row>
    <row r="1028" spans="1:4" ht="15" customHeight="1" x14ac:dyDescent="0.3">
      <c r="A1028" s="15">
        <v>121086</v>
      </c>
      <c r="B1028" s="17" t="s">
        <v>1022</v>
      </c>
      <c r="C1028" s="12">
        <v>40807</v>
      </c>
      <c r="D1028" s="11" t="str">
        <f>_xlfn.IFNA(IF(VLOOKUP(Tabela2[[#This Row],[CÓDIGO]],Aguardando_exclusão!A$4:A$4003,1,FALSE),"sim",""),"")</f>
        <v/>
      </c>
    </row>
    <row r="1029" spans="1:4" ht="15" customHeight="1" x14ac:dyDescent="0.3">
      <c r="A1029" s="15">
        <v>121126</v>
      </c>
      <c r="B1029" s="17" t="s">
        <v>1023</v>
      </c>
      <c r="C1029" s="12">
        <v>40814</v>
      </c>
      <c r="D1029" s="11" t="str">
        <f>_xlfn.IFNA(IF(VLOOKUP(Tabela2[[#This Row],[CÓDIGO]],Aguardando_exclusão!A$4:A$4003,1,FALSE),"sim",""),"")</f>
        <v/>
      </c>
    </row>
    <row r="1030" spans="1:4" ht="15" customHeight="1" x14ac:dyDescent="0.3">
      <c r="A1030" s="15">
        <v>121214</v>
      </c>
      <c r="B1030" s="17" t="s">
        <v>1024</v>
      </c>
      <c r="C1030" s="12">
        <v>40827</v>
      </c>
      <c r="D1030" s="11" t="str">
        <f>_xlfn.IFNA(IF(VLOOKUP(Tabela2[[#This Row],[CÓDIGO]],Aguardando_exclusão!A$4:A$4003,1,FALSE),"sim",""),"")</f>
        <v/>
      </c>
    </row>
    <row r="1031" spans="1:4" ht="15" customHeight="1" x14ac:dyDescent="0.3">
      <c r="A1031" s="15">
        <v>121292</v>
      </c>
      <c r="B1031" s="17" t="s">
        <v>1025</v>
      </c>
      <c r="C1031" s="12">
        <v>40836</v>
      </c>
      <c r="D1031" s="11" t="str">
        <f>_xlfn.IFNA(IF(VLOOKUP(Tabela2[[#This Row],[CÓDIGO]],Aguardando_exclusão!A$4:A$4003,1,FALSE),"sim",""),"")</f>
        <v/>
      </c>
    </row>
    <row r="1032" spans="1:4" ht="15" customHeight="1" x14ac:dyDescent="0.3">
      <c r="A1032" s="15">
        <v>122153</v>
      </c>
      <c r="B1032" s="17" t="s">
        <v>1026</v>
      </c>
      <c r="C1032" s="12">
        <v>40920</v>
      </c>
      <c r="D1032" s="11" t="str">
        <f>_xlfn.IFNA(IF(VLOOKUP(Tabela2[[#This Row],[CÓDIGO]],Aguardando_exclusão!A$4:A$4003,1,FALSE),"sim",""),"")</f>
        <v>sim</v>
      </c>
    </row>
    <row r="1033" spans="1:4" ht="15" customHeight="1" x14ac:dyDescent="0.3">
      <c r="A1033" s="15">
        <v>122154</v>
      </c>
      <c r="B1033" s="17" t="s">
        <v>1027</v>
      </c>
      <c r="C1033" s="12">
        <v>40920</v>
      </c>
      <c r="D1033" s="11" t="str">
        <f>_xlfn.IFNA(IF(VLOOKUP(Tabela2[[#This Row],[CÓDIGO]],Aguardando_exclusão!A$4:A$4003,1,FALSE),"sim",""),"")</f>
        <v>sim</v>
      </c>
    </row>
    <row r="1034" spans="1:4" ht="15" customHeight="1" x14ac:dyDescent="0.3">
      <c r="A1034" s="15">
        <v>122304</v>
      </c>
      <c r="B1034" s="17" t="s">
        <v>1028</v>
      </c>
      <c r="C1034" s="12">
        <v>40946</v>
      </c>
      <c r="D1034" s="11" t="str">
        <f>_xlfn.IFNA(IF(VLOOKUP(Tabela2[[#This Row],[CÓDIGO]],Aguardando_exclusão!A$4:A$4003,1,FALSE),"sim",""),"")</f>
        <v/>
      </c>
    </row>
    <row r="1035" spans="1:4" ht="15" customHeight="1" x14ac:dyDescent="0.3">
      <c r="A1035" s="15">
        <v>122305</v>
      </c>
      <c r="B1035" s="17" t="s">
        <v>1029</v>
      </c>
      <c r="C1035" s="12">
        <v>40946</v>
      </c>
      <c r="D1035" s="11" t="str">
        <f>_xlfn.IFNA(IF(VLOOKUP(Tabela2[[#This Row],[CÓDIGO]],Aguardando_exclusão!A$4:A$4003,1,FALSE),"sim",""),"")</f>
        <v/>
      </c>
    </row>
    <row r="1036" spans="1:4" ht="15" customHeight="1" x14ac:dyDescent="0.3">
      <c r="A1036" s="15">
        <v>122545</v>
      </c>
      <c r="B1036" s="17" t="s">
        <v>1030</v>
      </c>
      <c r="C1036" s="12">
        <v>40969</v>
      </c>
      <c r="D1036" s="11" t="str">
        <f>_xlfn.IFNA(IF(VLOOKUP(Tabela2[[#This Row],[CÓDIGO]],Aguardando_exclusão!A$4:A$4003,1,FALSE),"sim",""),"")</f>
        <v>sim</v>
      </c>
    </row>
    <row r="1037" spans="1:4" ht="15" customHeight="1" x14ac:dyDescent="0.3">
      <c r="A1037" s="15">
        <v>122818</v>
      </c>
      <c r="B1037" s="17" t="s">
        <v>1031</v>
      </c>
      <c r="C1037" s="12">
        <v>41003</v>
      </c>
      <c r="D1037" s="11" t="str">
        <f>_xlfn.IFNA(IF(VLOOKUP(Tabela2[[#This Row],[CÓDIGO]],Aguardando_exclusão!A$4:A$4003,1,FALSE),"sim",""),"")</f>
        <v/>
      </c>
    </row>
    <row r="1038" spans="1:4" ht="15" customHeight="1" x14ac:dyDescent="0.3">
      <c r="A1038" s="15">
        <v>123131</v>
      </c>
      <c r="B1038" s="17" t="s">
        <v>1032</v>
      </c>
      <c r="C1038" s="12">
        <v>41053</v>
      </c>
      <c r="D1038" s="11" t="str">
        <f>_xlfn.IFNA(IF(VLOOKUP(Tabela2[[#This Row],[CÓDIGO]],Aguardando_exclusão!A$4:A$4003,1,FALSE),"sim",""),"")</f>
        <v/>
      </c>
    </row>
    <row r="1039" spans="1:4" ht="15" customHeight="1" x14ac:dyDescent="0.3">
      <c r="A1039" s="15">
        <v>123132</v>
      </c>
      <c r="B1039" s="17" t="s">
        <v>1033</v>
      </c>
      <c r="C1039" s="12">
        <v>41053</v>
      </c>
      <c r="D1039" s="11" t="str">
        <f>_xlfn.IFNA(IF(VLOOKUP(Tabela2[[#This Row],[CÓDIGO]],Aguardando_exclusão!A$4:A$4003,1,FALSE),"sim",""),"")</f>
        <v/>
      </c>
    </row>
    <row r="1040" spans="1:4" ht="15" customHeight="1" x14ac:dyDescent="0.3">
      <c r="A1040" s="15">
        <v>123133</v>
      </c>
      <c r="B1040" s="17" t="s">
        <v>1034</v>
      </c>
      <c r="C1040" s="12">
        <v>41053</v>
      </c>
      <c r="D1040" s="11" t="str">
        <f>_xlfn.IFNA(IF(VLOOKUP(Tabela2[[#This Row],[CÓDIGO]],Aguardando_exclusão!A$4:A$4003,1,FALSE),"sim",""),"")</f>
        <v/>
      </c>
    </row>
    <row r="1041" spans="1:4" ht="15" customHeight="1" x14ac:dyDescent="0.3">
      <c r="A1041" s="15">
        <v>123146</v>
      </c>
      <c r="B1041" s="17" t="s">
        <v>1035</v>
      </c>
      <c r="C1041" s="12">
        <v>41057</v>
      </c>
      <c r="D1041" s="11" t="str">
        <f>_xlfn.IFNA(IF(VLOOKUP(Tabela2[[#This Row],[CÓDIGO]],Aguardando_exclusão!A$4:A$4003,1,FALSE),"sim",""),"")</f>
        <v/>
      </c>
    </row>
    <row r="1042" spans="1:4" ht="15" customHeight="1" x14ac:dyDescent="0.3">
      <c r="A1042" s="15">
        <v>123347</v>
      </c>
      <c r="B1042" s="17" t="s">
        <v>1036</v>
      </c>
      <c r="C1042" s="12">
        <v>41096</v>
      </c>
      <c r="D1042" s="11" t="str">
        <f>_xlfn.IFNA(IF(VLOOKUP(Tabela2[[#This Row],[CÓDIGO]],Aguardando_exclusão!A$4:A$4003,1,FALSE),"sim",""),"")</f>
        <v>sim</v>
      </c>
    </row>
    <row r="1043" spans="1:4" ht="15" customHeight="1" x14ac:dyDescent="0.3">
      <c r="A1043" s="15">
        <v>123348</v>
      </c>
      <c r="B1043" s="17" t="s">
        <v>1037</v>
      </c>
      <c r="C1043" s="12">
        <v>41096</v>
      </c>
      <c r="D1043" s="11" t="str">
        <f>_xlfn.IFNA(IF(VLOOKUP(Tabela2[[#This Row],[CÓDIGO]],Aguardando_exclusão!A$4:A$4003,1,FALSE),"sim",""),"")</f>
        <v>sim</v>
      </c>
    </row>
    <row r="1044" spans="1:4" ht="15" customHeight="1" x14ac:dyDescent="0.3">
      <c r="A1044" s="15">
        <v>123350</v>
      </c>
      <c r="B1044" s="17" t="s">
        <v>1038</v>
      </c>
      <c r="C1044" s="12">
        <v>41096</v>
      </c>
      <c r="D1044" s="11" t="str">
        <f>_xlfn.IFNA(IF(VLOOKUP(Tabela2[[#This Row],[CÓDIGO]],Aguardando_exclusão!A$4:A$4003,1,FALSE),"sim",""),"")</f>
        <v/>
      </c>
    </row>
    <row r="1045" spans="1:4" ht="15" customHeight="1" x14ac:dyDescent="0.3">
      <c r="A1045" s="15">
        <v>123351</v>
      </c>
      <c r="B1045" s="17" t="s">
        <v>1039</v>
      </c>
      <c r="C1045" s="12">
        <v>41096</v>
      </c>
      <c r="D1045" s="11" t="str">
        <f>_xlfn.IFNA(IF(VLOOKUP(Tabela2[[#This Row],[CÓDIGO]],Aguardando_exclusão!A$4:A$4003,1,FALSE),"sim",""),"")</f>
        <v>sim</v>
      </c>
    </row>
    <row r="1046" spans="1:4" ht="15" customHeight="1" x14ac:dyDescent="0.3">
      <c r="A1046" s="15">
        <v>123352</v>
      </c>
      <c r="B1046" s="17" t="s">
        <v>1040</v>
      </c>
      <c r="C1046" s="12">
        <v>41096</v>
      </c>
      <c r="D1046" s="11" t="str">
        <f>_xlfn.IFNA(IF(VLOOKUP(Tabela2[[#This Row],[CÓDIGO]],Aguardando_exclusão!A$4:A$4003,1,FALSE),"sim",""),"")</f>
        <v>sim</v>
      </c>
    </row>
    <row r="1047" spans="1:4" ht="15" customHeight="1" x14ac:dyDescent="0.3">
      <c r="A1047" s="15">
        <v>123353</v>
      </c>
      <c r="B1047" s="17" t="s">
        <v>1041</v>
      </c>
      <c r="C1047" s="12">
        <v>41096</v>
      </c>
      <c r="D1047" s="11" t="str">
        <f>_xlfn.IFNA(IF(VLOOKUP(Tabela2[[#This Row],[CÓDIGO]],Aguardando_exclusão!A$4:A$4003,1,FALSE),"sim",""),"")</f>
        <v>sim</v>
      </c>
    </row>
    <row r="1048" spans="1:4" ht="15" customHeight="1" x14ac:dyDescent="0.3">
      <c r="A1048" s="15">
        <v>123370</v>
      </c>
      <c r="B1048" s="17" t="s">
        <v>1042</v>
      </c>
      <c r="C1048" s="12">
        <v>41101</v>
      </c>
      <c r="D1048" s="11" t="str">
        <f>_xlfn.IFNA(IF(VLOOKUP(Tabela2[[#This Row],[CÓDIGO]],Aguardando_exclusão!A$4:A$4003,1,FALSE),"sim",""),"")</f>
        <v/>
      </c>
    </row>
    <row r="1049" spans="1:4" ht="15" customHeight="1" x14ac:dyDescent="0.3">
      <c r="A1049" s="15">
        <v>123371</v>
      </c>
      <c r="B1049" s="17" t="s">
        <v>1043</v>
      </c>
      <c r="C1049" s="12">
        <v>41101</v>
      </c>
      <c r="D1049" s="11" t="str">
        <f>_xlfn.IFNA(IF(VLOOKUP(Tabela2[[#This Row],[CÓDIGO]],Aguardando_exclusão!A$4:A$4003,1,FALSE),"sim",""),"")</f>
        <v/>
      </c>
    </row>
    <row r="1050" spans="1:4" ht="15" customHeight="1" x14ac:dyDescent="0.3">
      <c r="A1050" s="15">
        <v>123372</v>
      </c>
      <c r="B1050" s="17" t="s">
        <v>1044</v>
      </c>
      <c r="C1050" s="12">
        <v>41101</v>
      </c>
      <c r="D1050" s="11" t="str">
        <f>_xlfn.IFNA(IF(VLOOKUP(Tabela2[[#This Row],[CÓDIGO]],Aguardando_exclusão!A$4:A$4003,1,FALSE),"sim",""),"")</f>
        <v/>
      </c>
    </row>
    <row r="1051" spans="1:4" ht="15" customHeight="1" x14ac:dyDescent="0.3">
      <c r="A1051" s="15">
        <v>123373</v>
      </c>
      <c r="B1051" s="17" t="s">
        <v>1045</v>
      </c>
      <c r="C1051" s="12">
        <v>41101</v>
      </c>
      <c r="D1051" s="11" t="str">
        <f>_xlfn.IFNA(IF(VLOOKUP(Tabela2[[#This Row],[CÓDIGO]],Aguardando_exclusão!A$4:A$4003,1,FALSE),"sim",""),"")</f>
        <v/>
      </c>
    </row>
    <row r="1052" spans="1:4" ht="15" customHeight="1" x14ac:dyDescent="0.3">
      <c r="A1052" s="15">
        <v>123618</v>
      </c>
      <c r="B1052" s="17" t="s">
        <v>1046</v>
      </c>
      <c r="C1052" s="12">
        <v>41142</v>
      </c>
      <c r="D1052" s="11" t="str">
        <f>_xlfn.IFNA(IF(VLOOKUP(Tabela2[[#This Row],[CÓDIGO]],Aguardando_exclusão!A$4:A$4003,1,FALSE),"sim",""),"")</f>
        <v/>
      </c>
    </row>
    <row r="1053" spans="1:4" ht="15" customHeight="1" x14ac:dyDescent="0.3">
      <c r="A1053" s="15">
        <v>123710</v>
      </c>
      <c r="B1053" s="17" t="s">
        <v>1047</v>
      </c>
      <c r="C1053" s="12">
        <v>41143</v>
      </c>
      <c r="D1053" s="11" t="str">
        <f>_xlfn.IFNA(IF(VLOOKUP(Tabela2[[#This Row],[CÓDIGO]],Aguardando_exclusão!A$4:A$4003,1,FALSE),"sim",""),"")</f>
        <v/>
      </c>
    </row>
    <row r="1054" spans="1:4" ht="15" customHeight="1" x14ac:dyDescent="0.3">
      <c r="A1054" s="15">
        <v>124241</v>
      </c>
      <c r="B1054" s="17" t="s">
        <v>1048</v>
      </c>
      <c r="C1054" s="12">
        <v>41164</v>
      </c>
      <c r="D1054" s="11" t="str">
        <f>_xlfn.IFNA(IF(VLOOKUP(Tabela2[[#This Row],[CÓDIGO]],Aguardando_exclusão!A$4:A$4003,1,FALSE),"sim",""),"")</f>
        <v/>
      </c>
    </row>
    <row r="1055" spans="1:4" ht="15" customHeight="1" x14ac:dyDescent="0.3">
      <c r="A1055" s="15">
        <v>124261</v>
      </c>
      <c r="B1055" s="17" t="s">
        <v>1049</v>
      </c>
      <c r="C1055" s="12">
        <v>41170</v>
      </c>
      <c r="D1055" s="11" t="str">
        <f>_xlfn.IFNA(IF(VLOOKUP(Tabela2[[#This Row],[CÓDIGO]],Aguardando_exclusão!A$4:A$4003,1,FALSE),"sim",""),"")</f>
        <v/>
      </c>
    </row>
    <row r="1056" spans="1:4" ht="15" customHeight="1" x14ac:dyDescent="0.3">
      <c r="A1056" s="15">
        <v>124335</v>
      </c>
      <c r="B1056" s="17" t="s">
        <v>1050</v>
      </c>
      <c r="C1056" s="12">
        <v>41184</v>
      </c>
      <c r="D1056" s="11" t="str">
        <f>_xlfn.IFNA(IF(VLOOKUP(Tabela2[[#This Row],[CÓDIGO]],Aguardando_exclusão!A$4:A$4003,1,FALSE),"sim",""),"")</f>
        <v/>
      </c>
    </row>
    <row r="1057" spans="1:4" ht="15" customHeight="1" x14ac:dyDescent="0.3">
      <c r="A1057" s="15">
        <v>124963</v>
      </c>
      <c r="B1057" s="17" t="s">
        <v>1051</v>
      </c>
      <c r="C1057" s="12">
        <v>41309</v>
      </c>
      <c r="D1057" s="11" t="str">
        <f>_xlfn.IFNA(IF(VLOOKUP(Tabela2[[#This Row],[CÓDIGO]],Aguardando_exclusão!A$4:A$4003,1,FALSE),"sim",""),"")</f>
        <v/>
      </c>
    </row>
    <row r="1058" spans="1:4" ht="15" customHeight="1" x14ac:dyDescent="0.3">
      <c r="A1058" s="15">
        <v>124980</v>
      </c>
      <c r="B1058" s="17" t="s">
        <v>1052</v>
      </c>
      <c r="C1058" s="12">
        <v>41312</v>
      </c>
      <c r="D1058" s="11" t="str">
        <f>_xlfn.IFNA(IF(VLOOKUP(Tabela2[[#This Row],[CÓDIGO]],Aguardando_exclusão!A$4:A$4003,1,FALSE),"sim",""),"")</f>
        <v/>
      </c>
    </row>
    <row r="1059" spans="1:4" ht="15" customHeight="1" x14ac:dyDescent="0.3">
      <c r="A1059" s="15">
        <v>125173</v>
      </c>
      <c r="B1059" s="17" t="s">
        <v>1053</v>
      </c>
      <c r="C1059" s="12">
        <v>41345</v>
      </c>
      <c r="D1059" s="11" t="str">
        <f>_xlfn.IFNA(IF(VLOOKUP(Tabela2[[#This Row],[CÓDIGO]],Aguardando_exclusão!A$4:A$4003,1,FALSE),"sim",""),"")</f>
        <v/>
      </c>
    </row>
    <row r="1060" spans="1:4" ht="15" customHeight="1" x14ac:dyDescent="0.3">
      <c r="A1060" s="15">
        <v>125201</v>
      </c>
      <c r="B1060" s="17" t="s">
        <v>1054</v>
      </c>
      <c r="C1060" s="12">
        <v>41348</v>
      </c>
      <c r="D1060" s="11" t="str">
        <f>_xlfn.IFNA(IF(VLOOKUP(Tabela2[[#This Row],[CÓDIGO]],Aguardando_exclusão!A$4:A$4003,1,FALSE),"sim",""),"")</f>
        <v/>
      </c>
    </row>
    <row r="1061" spans="1:4" ht="15" customHeight="1" x14ac:dyDescent="0.3">
      <c r="A1061" s="15">
        <v>125260</v>
      </c>
      <c r="B1061" s="17" t="s">
        <v>1055</v>
      </c>
      <c r="C1061" s="12">
        <v>41366</v>
      </c>
      <c r="D1061" s="11" t="str">
        <f>_xlfn.IFNA(IF(VLOOKUP(Tabela2[[#This Row],[CÓDIGO]],Aguardando_exclusão!A$4:A$4003,1,FALSE),"sim",""),"")</f>
        <v/>
      </c>
    </row>
    <row r="1062" spans="1:4" ht="15" customHeight="1" x14ac:dyDescent="0.3">
      <c r="A1062" s="15">
        <v>125262</v>
      </c>
      <c r="B1062" s="17" t="s">
        <v>1056</v>
      </c>
      <c r="C1062" s="12">
        <v>41366</v>
      </c>
      <c r="D1062" s="11" t="str">
        <f>_xlfn.IFNA(IF(VLOOKUP(Tabela2[[#This Row],[CÓDIGO]],Aguardando_exclusão!A$4:A$4003,1,FALSE),"sim",""),"")</f>
        <v/>
      </c>
    </row>
    <row r="1063" spans="1:4" ht="15" customHeight="1" x14ac:dyDescent="0.3">
      <c r="A1063" s="15">
        <v>125269</v>
      </c>
      <c r="B1063" s="17" t="s">
        <v>1057</v>
      </c>
      <c r="C1063" s="12">
        <v>41368</v>
      </c>
      <c r="D1063" s="11" t="str">
        <f>_xlfn.IFNA(IF(VLOOKUP(Tabela2[[#This Row],[CÓDIGO]],Aguardando_exclusão!A$4:A$4003,1,FALSE),"sim",""),"")</f>
        <v/>
      </c>
    </row>
    <row r="1064" spans="1:4" ht="15" customHeight="1" x14ac:dyDescent="0.3">
      <c r="A1064" s="15">
        <v>125443</v>
      </c>
      <c r="B1064" s="17" t="s">
        <v>1058</v>
      </c>
      <c r="C1064" s="12">
        <v>41396</v>
      </c>
      <c r="D1064" s="11" t="str">
        <f>_xlfn.IFNA(IF(VLOOKUP(Tabela2[[#This Row],[CÓDIGO]],Aguardando_exclusão!A$4:A$4003,1,FALSE),"sim",""),"")</f>
        <v>sim</v>
      </c>
    </row>
    <row r="1065" spans="1:4" ht="15" customHeight="1" x14ac:dyDescent="0.3">
      <c r="A1065" s="15">
        <v>125576</v>
      </c>
      <c r="B1065" s="17" t="s">
        <v>1059</v>
      </c>
      <c r="C1065" s="12">
        <v>41422</v>
      </c>
      <c r="D1065" s="11" t="str">
        <f>_xlfn.IFNA(IF(VLOOKUP(Tabela2[[#This Row],[CÓDIGO]],Aguardando_exclusão!A$4:A$4003,1,FALSE),"sim",""),"")</f>
        <v>sim</v>
      </c>
    </row>
    <row r="1066" spans="1:4" ht="15" customHeight="1" x14ac:dyDescent="0.3">
      <c r="A1066" s="15">
        <v>125641</v>
      </c>
      <c r="B1066" s="17" t="s">
        <v>1060</v>
      </c>
      <c r="C1066" s="12">
        <v>41439</v>
      </c>
      <c r="D1066" s="11" t="str">
        <f>_xlfn.IFNA(IF(VLOOKUP(Tabela2[[#This Row],[CÓDIGO]],Aguardando_exclusão!A$4:A$4003,1,FALSE),"sim",""),"")</f>
        <v/>
      </c>
    </row>
    <row r="1067" spans="1:4" ht="15" customHeight="1" x14ac:dyDescent="0.3">
      <c r="A1067" s="15">
        <v>126044</v>
      </c>
      <c r="B1067" s="17" t="s">
        <v>1061</v>
      </c>
      <c r="C1067" s="12">
        <v>41508</v>
      </c>
      <c r="D1067" s="11" t="str">
        <f>_xlfn.IFNA(IF(VLOOKUP(Tabela2[[#This Row],[CÓDIGO]],Aguardando_exclusão!A$4:A$4003,1,FALSE),"sim",""),"")</f>
        <v/>
      </c>
    </row>
    <row r="1068" spans="1:4" ht="15" customHeight="1" x14ac:dyDescent="0.3">
      <c r="A1068" s="15">
        <v>126059</v>
      </c>
      <c r="B1068" s="17" t="s">
        <v>1062</v>
      </c>
      <c r="C1068" s="12">
        <v>41509</v>
      </c>
      <c r="D1068" s="11" t="str">
        <f>_xlfn.IFNA(IF(VLOOKUP(Tabela2[[#This Row],[CÓDIGO]],Aguardando_exclusão!A$4:A$4003,1,FALSE),"sim",""),"")</f>
        <v/>
      </c>
    </row>
    <row r="1069" spans="1:4" ht="15" customHeight="1" x14ac:dyDescent="0.3">
      <c r="A1069" s="15">
        <v>126060</v>
      </c>
      <c r="B1069" s="17" t="s">
        <v>1063</v>
      </c>
      <c r="C1069" s="12">
        <v>41509</v>
      </c>
      <c r="D1069" s="11" t="str">
        <f>_xlfn.IFNA(IF(VLOOKUP(Tabela2[[#This Row],[CÓDIGO]],Aguardando_exclusão!A$4:A$4003,1,FALSE),"sim",""),"")</f>
        <v/>
      </c>
    </row>
    <row r="1070" spans="1:4" ht="15" customHeight="1" x14ac:dyDescent="0.3">
      <c r="A1070" s="15">
        <v>126076</v>
      </c>
      <c r="B1070" s="17" t="s">
        <v>1064</v>
      </c>
      <c r="C1070" s="12">
        <v>41513</v>
      </c>
      <c r="D1070" s="11" t="str">
        <f>_xlfn.IFNA(IF(VLOOKUP(Tabela2[[#This Row],[CÓDIGO]],Aguardando_exclusão!A$4:A$4003,1,FALSE),"sim",""),"")</f>
        <v/>
      </c>
    </row>
    <row r="1071" spans="1:4" ht="15" customHeight="1" x14ac:dyDescent="0.3">
      <c r="A1071" s="15">
        <v>126078</v>
      </c>
      <c r="B1071" s="17" t="s">
        <v>1065</v>
      </c>
      <c r="C1071" s="12">
        <v>41513</v>
      </c>
      <c r="D1071" s="11" t="str">
        <f>_xlfn.IFNA(IF(VLOOKUP(Tabela2[[#This Row],[CÓDIGO]],Aguardando_exclusão!A$4:A$4003,1,FALSE),"sim",""),"")</f>
        <v>sim</v>
      </c>
    </row>
    <row r="1072" spans="1:4" ht="15" customHeight="1" x14ac:dyDescent="0.3">
      <c r="A1072" s="15">
        <v>126080</v>
      </c>
      <c r="B1072" s="17" t="s">
        <v>1066</v>
      </c>
      <c r="C1072" s="12">
        <v>41513</v>
      </c>
      <c r="D1072" s="11" t="str">
        <f>_xlfn.IFNA(IF(VLOOKUP(Tabela2[[#This Row],[CÓDIGO]],Aguardando_exclusão!A$4:A$4003,1,FALSE),"sim",""),"")</f>
        <v>sim</v>
      </c>
    </row>
    <row r="1073" spans="1:4" ht="15" customHeight="1" x14ac:dyDescent="0.3">
      <c r="A1073" s="15">
        <v>126127</v>
      </c>
      <c r="B1073" s="17" t="s">
        <v>1067</v>
      </c>
      <c r="C1073" s="12">
        <v>41516</v>
      </c>
      <c r="D1073" s="11" t="str">
        <f>_xlfn.IFNA(IF(VLOOKUP(Tabela2[[#This Row],[CÓDIGO]],Aguardando_exclusão!A$4:A$4003,1,FALSE),"sim",""),"")</f>
        <v>sim</v>
      </c>
    </row>
    <row r="1074" spans="1:4" ht="15" customHeight="1" x14ac:dyDescent="0.3">
      <c r="A1074" s="15">
        <v>126224</v>
      </c>
      <c r="B1074" s="17" t="s">
        <v>1068</v>
      </c>
      <c r="C1074" s="12">
        <v>41535</v>
      </c>
      <c r="D1074" s="11" t="str">
        <f>_xlfn.IFNA(IF(VLOOKUP(Tabela2[[#This Row],[CÓDIGO]],Aguardando_exclusão!A$4:A$4003,1,FALSE),"sim",""),"")</f>
        <v/>
      </c>
    </row>
    <row r="1075" spans="1:4" ht="15" customHeight="1" x14ac:dyDescent="0.3">
      <c r="A1075" s="15">
        <v>126344</v>
      </c>
      <c r="B1075" s="17" t="s">
        <v>1069</v>
      </c>
      <c r="C1075" s="12">
        <v>41541</v>
      </c>
      <c r="D1075" s="11" t="str">
        <f>_xlfn.IFNA(IF(VLOOKUP(Tabela2[[#This Row],[CÓDIGO]],Aguardando_exclusão!A$4:A$4003,1,FALSE),"sim",""),"")</f>
        <v>sim</v>
      </c>
    </row>
    <row r="1076" spans="1:4" ht="15" customHeight="1" x14ac:dyDescent="0.3">
      <c r="A1076" s="15">
        <v>126345</v>
      </c>
      <c r="B1076" s="17" t="s">
        <v>1070</v>
      </c>
      <c r="C1076" s="12">
        <v>41543</v>
      </c>
      <c r="D1076" s="11" t="str">
        <f>_xlfn.IFNA(IF(VLOOKUP(Tabela2[[#This Row],[CÓDIGO]],Aguardando_exclusão!A$4:A$4003,1,FALSE),"sim",""),"")</f>
        <v/>
      </c>
    </row>
    <row r="1077" spans="1:4" ht="15" customHeight="1" x14ac:dyDescent="0.3">
      <c r="A1077" s="15">
        <v>126837</v>
      </c>
      <c r="B1077" s="17" t="s">
        <v>1071</v>
      </c>
      <c r="C1077" s="12">
        <v>41596</v>
      </c>
      <c r="D1077" s="11" t="str">
        <f>_xlfn.IFNA(IF(VLOOKUP(Tabela2[[#This Row],[CÓDIGO]],Aguardando_exclusão!A$4:A$4003,1,FALSE),"sim",""),"")</f>
        <v/>
      </c>
    </row>
    <row r="1078" spans="1:4" ht="15" customHeight="1" x14ac:dyDescent="0.3">
      <c r="A1078" s="15">
        <v>126838</v>
      </c>
      <c r="B1078" s="17" t="s">
        <v>1072</v>
      </c>
      <c r="C1078" s="12">
        <v>41596</v>
      </c>
      <c r="D1078" s="11" t="str">
        <f>_xlfn.IFNA(IF(VLOOKUP(Tabela2[[#This Row],[CÓDIGO]],Aguardando_exclusão!A$4:A$4003,1,FALSE),"sim",""),"")</f>
        <v/>
      </c>
    </row>
    <row r="1079" spans="1:4" ht="15" customHeight="1" x14ac:dyDescent="0.3">
      <c r="A1079" s="15">
        <v>127106</v>
      </c>
      <c r="B1079" s="17" t="s">
        <v>1073</v>
      </c>
      <c r="C1079" s="12">
        <v>41648</v>
      </c>
      <c r="D1079" s="11" t="str">
        <f>_xlfn.IFNA(IF(VLOOKUP(Tabela2[[#This Row],[CÓDIGO]],Aguardando_exclusão!A$4:A$4003,1,FALSE),"sim",""),"")</f>
        <v/>
      </c>
    </row>
    <row r="1080" spans="1:4" ht="15" customHeight="1" x14ac:dyDescent="0.3">
      <c r="A1080" s="15">
        <v>127107</v>
      </c>
      <c r="B1080" s="17" t="s">
        <v>1074</v>
      </c>
      <c r="C1080" s="12">
        <v>41648</v>
      </c>
      <c r="D1080" s="11" t="str">
        <f>_xlfn.IFNA(IF(VLOOKUP(Tabela2[[#This Row],[CÓDIGO]],Aguardando_exclusão!A$4:A$4003,1,FALSE),"sim",""),"")</f>
        <v/>
      </c>
    </row>
    <row r="1081" spans="1:4" ht="15" customHeight="1" x14ac:dyDescent="0.3">
      <c r="A1081" s="15">
        <v>127331</v>
      </c>
      <c r="B1081" s="17" t="s">
        <v>1075</v>
      </c>
      <c r="C1081" s="12">
        <v>41682</v>
      </c>
      <c r="D1081" s="11" t="str">
        <f>_xlfn.IFNA(IF(VLOOKUP(Tabela2[[#This Row],[CÓDIGO]],Aguardando_exclusão!A$4:A$4003,1,FALSE),"sim",""),"")</f>
        <v/>
      </c>
    </row>
    <row r="1082" spans="1:4" ht="15" customHeight="1" x14ac:dyDescent="0.3">
      <c r="A1082" s="15">
        <v>127384</v>
      </c>
      <c r="B1082" s="17" t="s">
        <v>1076</v>
      </c>
      <c r="C1082" s="12">
        <v>41688</v>
      </c>
      <c r="D1082" s="11" t="str">
        <f>_xlfn.IFNA(IF(VLOOKUP(Tabela2[[#This Row],[CÓDIGO]],Aguardando_exclusão!A$4:A$4003,1,FALSE),"sim",""),"")</f>
        <v/>
      </c>
    </row>
    <row r="1083" spans="1:4" ht="15" customHeight="1" x14ac:dyDescent="0.3">
      <c r="A1083" s="15">
        <v>127664</v>
      </c>
      <c r="B1083" s="17" t="s">
        <v>1077</v>
      </c>
      <c r="C1083" s="12">
        <v>41733</v>
      </c>
      <c r="D1083" s="11" t="str">
        <f>_xlfn.IFNA(IF(VLOOKUP(Tabela2[[#This Row],[CÓDIGO]],Aguardando_exclusão!A$4:A$4003,1,FALSE),"sim",""),"")</f>
        <v/>
      </c>
    </row>
    <row r="1084" spans="1:4" ht="15" customHeight="1" x14ac:dyDescent="0.3">
      <c r="A1084" s="15">
        <v>127963</v>
      </c>
      <c r="B1084" s="17" t="s">
        <v>1078</v>
      </c>
      <c r="C1084" s="12">
        <v>41778</v>
      </c>
      <c r="D1084" s="11" t="str">
        <f>_xlfn.IFNA(IF(VLOOKUP(Tabela2[[#This Row],[CÓDIGO]],Aguardando_exclusão!A$4:A$4003,1,FALSE),"sim",""),"")</f>
        <v/>
      </c>
    </row>
    <row r="1085" spans="1:4" ht="15" customHeight="1" x14ac:dyDescent="0.3">
      <c r="A1085" s="15">
        <v>128229</v>
      </c>
      <c r="B1085" s="17" t="s">
        <v>1079</v>
      </c>
      <c r="C1085" s="12">
        <v>41814</v>
      </c>
      <c r="D1085" s="11" t="str">
        <f>_xlfn.IFNA(IF(VLOOKUP(Tabela2[[#This Row],[CÓDIGO]],Aguardando_exclusão!A$4:A$4003,1,FALSE),"sim",""),"")</f>
        <v/>
      </c>
    </row>
    <row r="1086" spans="1:4" ht="15" customHeight="1" x14ac:dyDescent="0.3">
      <c r="A1086" s="15">
        <v>128287</v>
      </c>
      <c r="B1086" s="17" t="s">
        <v>1080</v>
      </c>
      <c r="C1086" s="12">
        <v>41828</v>
      </c>
      <c r="D1086" s="11" t="str">
        <f>_xlfn.IFNA(IF(VLOOKUP(Tabela2[[#This Row],[CÓDIGO]],Aguardando_exclusão!A$4:A$4003,1,FALSE),"sim",""),"")</f>
        <v/>
      </c>
    </row>
    <row r="1087" spans="1:4" ht="15" customHeight="1" x14ac:dyDescent="0.3">
      <c r="A1087" s="15">
        <v>128288</v>
      </c>
      <c r="B1087" s="17" t="s">
        <v>1081</v>
      </c>
      <c r="C1087" s="12">
        <v>41830</v>
      </c>
      <c r="D1087" s="11" t="str">
        <f>_xlfn.IFNA(IF(VLOOKUP(Tabela2[[#This Row],[CÓDIGO]],Aguardando_exclusão!A$4:A$4003,1,FALSE),"sim",""),"")</f>
        <v/>
      </c>
    </row>
    <row r="1088" spans="1:4" ht="15" customHeight="1" x14ac:dyDescent="0.3">
      <c r="A1088" s="15">
        <v>128301</v>
      </c>
      <c r="B1088" s="17" t="s">
        <v>1082</v>
      </c>
      <c r="C1088" s="12">
        <v>41836</v>
      </c>
      <c r="D1088" s="11" t="str">
        <f>_xlfn.IFNA(IF(VLOOKUP(Tabela2[[#This Row],[CÓDIGO]],Aguardando_exclusão!A$4:A$4003,1,FALSE),"sim",""),"")</f>
        <v/>
      </c>
    </row>
    <row r="1089" spans="1:4" ht="15" customHeight="1" x14ac:dyDescent="0.3">
      <c r="A1089" s="15">
        <v>128302</v>
      </c>
      <c r="B1089" s="17" t="s">
        <v>1083</v>
      </c>
      <c r="C1089" s="12">
        <v>41836</v>
      </c>
      <c r="D1089" s="11" t="str">
        <f>_xlfn.IFNA(IF(VLOOKUP(Tabela2[[#This Row],[CÓDIGO]],Aguardando_exclusão!A$4:A$4003,1,FALSE),"sim",""),"")</f>
        <v/>
      </c>
    </row>
    <row r="1090" spans="1:4" ht="15" customHeight="1" x14ac:dyDescent="0.3">
      <c r="A1090" s="15">
        <v>128304</v>
      </c>
      <c r="B1090" s="17" t="s">
        <v>1084</v>
      </c>
      <c r="C1090" s="12">
        <v>41836</v>
      </c>
      <c r="D1090" s="11" t="str">
        <f>_xlfn.IFNA(IF(VLOOKUP(Tabela2[[#This Row],[CÓDIGO]],Aguardando_exclusão!A$4:A$4003,1,FALSE),"sim",""),"")</f>
        <v/>
      </c>
    </row>
    <row r="1091" spans="1:4" ht="15" customHeight="1" x14ac:dyDescent="0.3">
      <c r="A1091" s="15">
        <v>128305</v>
      </c>
      <c r="B1091" s="17" t="s">
        <v>1085</v>
      </c>
      <c r="C1091" s="12">
        <v>41836</v>
      </c>
      <c r="D1091" s="11" t="str">
        <f>_xlfn.IFNA(IF(VLOOKUP(Tabela2[[#This Row],[CÓDIGO]],Aguardando_exclusão!A$4:A$4003,1,FALSE),"sim",""),"")</f>
        <v/>
      </c>
    </row>
    <row r="1092" spans="1:4" ht="15" customHeight="1" x14ac:dyDescent="0.3">
      <c r="A1092" s="15">
        <v>128306</v>
      </c>
      <c r="B1092" s="17" t="s">
        <v>1086</v>
      </c>
      <c r="C1092" s="12">
        <v>41836</v>
      </c>
      <c r="D1092" s="11" t="str">
        <f>_xlfn.IFNA(IF(VLOOKUP(Tabela2[[#This Row],[CÓDIGO]],Aguardando_exclusão!A$4:A$4003,1,FALSE),"sim",""),"")</f>
        <v/>
      </c>
    </row>
    <row r="1093" spans="1:4" ht="15" customHeight="1" x14ac:dyDescent="0.3">
      <c r="A1093" s="15">
        <v>128307</v>
      </c>
      <c r="B1093" s="17" t="s">
        <v>1087</v>
      </c>
      <c r="C1093" s="12">
        <v>41836</v>
      </c>
      <c r="D1093" s="11" t="str">
        <f>_xlfn.IFNA(IF(VLOOKUP(Tabela2[[#This Row],[CÓDIGO]],Aguardando_exclusão!A$4:A$4003,1,FALSE),"sim",""),"")</f>
        <v/>
      </c>
    </row>
    <row r="1094" spans="1:4" ht="15" customHeight="1" x14ac:dyDescent="0.3">
      <c r="A1094" s="15">
        <v>128308</v>
      </c>
      <c r="B1094" s="17" t="s">
        <v>1088</v>
      </c>
      <c r="C1094" s="12">
        <v>41836</v>
      </c>
      <c r="D1094" s="11" t="str">
        <f>_xlfn.IFNA(IF(VLOOKUP(Tabela2[[#This Row],[CÓDIGO]],Aguardando_exclusão!A$4:A$4003,1,FALSE),"sim",""),"")</f>
        <v/>
      </c>
    </row>
    <row r="1095" spans="1:4" ht="15" customHeight="1" x14ac:dyDescent="0.3">
      <c r="A1095" s="15">
        <v>128309</v>
      </c>
      <c r="B1095" s="17" t="s">
        <v>1089</v>
      </c>
      <c r="C1095" s="12">
        <v>41836</v>
      </c>
      <c r="D1095" s="11" t="str">
        <f>_xlfn.IFNA(IF(VLOOKUP(Tabela2[[#This Row],[CÓDIGO]],Aguardando_exclusão!A$4:A$4003,1,FALSE),"sim",""),"")</f>
        <v/>
      </c>
    </row>
    <row r="1096" spans="1:4" ht="15" customHeight="1" x14ac:dyDescent="0.3">
      <c r="A1096" s="15">
        <v>128389</v>
      </c>
      <c r="B1096" s="17" t="s">
        <v>1090</v>
      </c>
      <c r="C1096" s="12">
        <v>41848</v>
      </c>
      <c r="D1096" s="11" t="str">
        <f>_xlfn.IFNA(IF(VLOOKUP(Tabela2[[#This Row],[CÓDIGO]],Aguardando_exclusão!A$4:A$4003,1,FALSE),"sim",""),"")</f>
        <v/>
      </c>
    </row>
    <row r="1097" spans="1:4" ht="15" customHeight="1" x14ac:dyDescent="0.3">
      <c r="A1097" s="15">
        <v>128392</v>
      </c>
      <c r="B1097" s="17" t="s">
        <v>1091</v>
      </c>
      <c r="C1097" s="12">
        <v>41851</v>
      </c>
      <c r="D1097" s="11" t="str">
        <f>_xlfn.IFNA(IF(VLOOKUP(Tabela2[[#This Row],[CÓDIGO]],Aguardando_exclusão!A$4:A$4003,1,FALSE),"sim",""),"")</f>
        <v>sim</v>
      </c>
    </row>
    <row r="1098" spans="1:4" ht="15" customHeight="1" x14ac:dyDescent="0.3">
      <c r="A1098" s="15">
        <v>128458</v>
      </c>
      <c r="B1098" s="17" t="s">
        <v>1092</v>
      </c>
      <c r="C1098" s="12">
        <v>41865</v>
      </c>
      <c r="D1098" s="11" t="str">
        <f>_xlfn.IFNA(IF(VLOOKUP(Tabela2[[#This Row],[CÓDIGO]],Aguardando_exclusão!A$4:A$4003,1,FALSE),"sim",""),"")</f>
        <v/>
      </c>
    </row>
    <row r="1099" spans="1:4" ht="15" customHeight="1" x14ac:dyDescent="0.3">
      <c r="A1099" s="15">
        <v>128782</v>
      </c>
      <c r="B1099" s="17" t="s">
        <v>1093</v>
      </c>
      <c r="C1099" s="12">
        <v>41914</v>
      </c>
      <c r="D1099" s="11" t="str">
        <f>_xlfn.IFNA(IF(VLOOKUP(Tabela2[[#This Row],[CÓDIGO]],Aguardando_exclusão!A$4:A$4003,1,FALSE),"sim",""),"")</f>
        <v/>
      </c>
    </row>
    <row r="1100" spans="1:4" ht="15" customHeight="1" x14ac:dyDescent="0.3">
      <c r="A1100" s="15">
        <v>128815</v>
      </c>
      <c r="B1100" s="17" t="s">
        <v>1094</v>
      </c>
      <c r="C1100" s="12">
        <v>41926</v>
      </c>
      <c r="D1100" s="11" t="str">
        <f>_xlfn.IFNA(IF(VLOOKUP(Tabela2[[#This Row],[CÓDIGO]],Aguardando_exclusão!A$4:A$4003,1,FALSE),"sim",""),"")</f>
        <v/>
      </c>
    </row>
    <row r="1101" spans="1:4" ht="15" customHeight="1" x14ac:dyDescent="0.3">
      <c r="A1101" s="15">
        <v>128816</v>
      </c>
      <c r="B1101" s="17" t="s">
        <v>1095</v>
      </c>
      <c r="C1101" s="12">
        <v>41926</v>
      </c>
      <c r="D1101" s="11" t="str">
        <f>_xlfn.IFNA(IF(VLOOKUP(Tabela2[[#This Row],[CÓDIGO]],Aguardando_exclusão!A$4:A$4003,1,FALSE),"sim",""),"")</f>
        <v/>
      </c>
    </row>
    <row r="1102" spans="1:4" ht="15" customHeight="1" x14ac:dyDescent="0.3">
      <c r="A1102" s="15">
        <v>128817</v>
      </c>
      <c r="B1102" s="17" t="s">
        <v>1096</v>
      </c>
      <c r="C1102" s="12">
        <v>41926</v>
      </c>
      <c r="D1102" s="11" t="str">
        <f>_xlfn.IFNA(IF(VLOOKUP(Tabela2[[#This Row],[CÓDIGO]],Aguardando_exclusão!A$4:A$4003,1,FALSE),"sim",""),"")</f>
        <v/>
      </c>
    </row>
    <row r="1103" spans="1:4" ht="15" customHeight="1" x14ac:dyDescent="0.3">
      <c r="A1103" s="15">
        <v>128818</v>
      </c>
      <c r="B1103" s="17" t="s">
        <v>1097</v>
      </c>
      <c r="C1103" s="12">
        <v>41926</v>
      </c>
      <c r="D1103" s="11" t="str">
        <f>_xlfn.IFNA(IF(VLOOKUP(Tabela2[[#This Row],[CÓDIGO]],Aguardando_exclusão!A$4:A$4003,1,FALSE),"sim",""),"")</f>
        <v/>
      </c>
    </row>
    <row r="1104" spans="1:4" ht="15" customHeight="1" x14ac:dyDescent="0.3">
      <c r="A1104" s="15">
        <v>128819</v>
      </c>
      <c r="B1104" s="17" t="s">
        <v>1098</v>
      </c>
      <c r="C1104" s="12">
        <v>41926</v>
      </c>
      <c r="D1104" s="11" t="str">
        <f>_xlfn.IFNA(IF(VLOOKUP(Tabela2[[#This Row],[CÓDIGO]],Aguardando_exclusão!A$4:A$4003,1,FALSE),"sim",""),"")</f>
        <v/>
      </c>
    </row>
    <row r="1105" spans="1:4" ht="15" customHeight="1" x14ac:dyDescent="0.3">
      <c r="A1105" s="15">
        <v>128832</v>
      </c>
      <c r="B1105" s="17" t="s">
        <v>1099</v>
      </c>
      <c r="C1105" s="12">
        <v>41932</v>
      </c>
      <c r="D1105" s="11" t="str">
        <f>_xlfn.IFNA(IF(VLOOKUP(Tabela2[[#This Row],[CÓDIGO]],Aguardando_exclusão!A$4:A$4003,1,FALSE),"sim",""),"")</f>
        <v>sim</v>
      </c>
    </row>
    <row r="1106" spans="1:4" ht="15" customHeight="1" x14ac:dyDescent="0.3">
      <c r="A1106" s="15">
        <v>129959</v>
      </c>
      <c r="B1106" s="17" t="s">
        <v>1100</v>
      </c>
      <c r="C1106" s="12">
        <v>42046</v>
      </c>
      <c r="D1106" s="11" t="str">
        <f>_xlfn.IFNA(IF(VLOOKUP(Tabela2[[#This Row],[CÓDIGO]],Aguardando_exclusão!A$4:A$4003,1,FALSE),"sim",""),"")</f>
        <v/>
      </c>
    </row>
    <row r="1107" spans="1:4" ht="15" customHeight="1" x14ac:dyDescent="0.3">
      <c r="A1107" s="15">
        <v>129960</v>
      </c>
      <c r="B1107" s="17" t="s">
        <v>1101</v>
      </c>
      <c r="C1107" s="12">
        <v>42046</v>
      </c>
      <c r="D1107" s="11" t="str">
        <f>_xlfn.IFNA(IF(VLOOKUP(Tabela2[[#This Row],[CÓDIGO]],Aguardando_exclusão!A$4:A$4003,1,FALSE),"sim",""),"")</f>
        <v/>
      </c>
    </row>
    <row r="1108" spans="1:4" ht="15" customHeight="1" x14ac:dyDescent="0.3">
      <c r="A1108" s="15">
        <v>129961</v>
      </c>
      <c r="B1108" s="17" t="s">
        <v>1102</v>
      </c>
      <c r="C1108" s="12">
        <v>42046</v>
      </c>
      <c r="D1108" s="11" t="str">
        <f>_xlfn.IFNA(IF(VLOOKUP(Tabela2[[#This Row],[CÓDIGO]],Aguardando_exclusão!A$4:A$4003,1,FALSE),"sim",""),"")</f>
        <v/>
      </c>
    </row>
    <row r="1109" spans="1:4" ht="15" customHeight="1" x14ac:dyDescent="0.3">
      <c r="A1109" s="15">
        <v>129962</v>
      </c>
      <c r="B1109" s="17" t="s">
        <v>1103</v>
      </c>
      <c r="C1109" s="12">
        <v>42046</v>
      </c>
      <c r="D1109" s="11" t="str">
        <f>_xlfn.IFNA(IF(VLOOKUP(Tabela2[[#This Row],[CÓDIGO]],Aguardando_exclusão!A$4:A$4003,1,FALSE),"sim",""),"")</f>
        <v/>
      </c>
    </row>
    <row r="1110" spans="1:4" ht="15" customHeight="1" x14ac:dyDescent="0.3">
      <c r="A1110" s="15">
        <v>129977</v>
      </c>
      <c r="B1110" s="17" t="s">
        <v>1104</v>
      </c>
      <c r="C1110" s="12">
        <v>42048</v>
      </c>
      <c r="D1110" s="11" t="str">
        <f>_xlfn.IFNA(IF(VLOOKUP(Tabela2[[#This Row],[CÓDIGO]],Aguardando_exclusão!A$4:A$4003,1,FALSE),"sim",""),"")</f>
        <v/>
      </c>
    </row>
    <row r="1111" spans="1:4" ht="15" customHeight="1" x14ac:dyDescent="0.3">
      <c r="A1111" s="15">
        <v>129979</v>
      </c>
      <c r="B1111" s="17" t="s">
        <v>1105</v>
      </c>
      <c r="C1111" s="12">
        <v>42048</v>
      </c>
      <c r="D1111" s="11" t="str">
        <f>_xlfn.IFNA(IF(VLOOKUP(Tabela2[[#This Row],[CÓDIGO]],Aguardando_exclusão!A$4:A$4003,1,FALSE),"sim",""),"")</f>
        <v/>
      </c>
    </row>
    <row r="1112" spans="1:4" ht="15" customHeight="1" x14ac:dyDescent="0.3">
      <c r="A1112" s="15">
        <v>129991</v>
      </c>
      <c r="B1112" s="17" t="s">
        <v>1106</v>
      </c>
      <c r="C1112" s="12">
        <v>42055</v>
      </c>
      <c r="D1112" s="11" t="str">
        <f>_xlfn.IFNA(IF(VLOOKUP(Tabela2[[#This Row],[CÓDIGO]],Aguardando_exclusão!A$4:A$4003,1,FALSE),"sim",""),"")</f>
        <v/>
      </c>
    </row>
    <row r="1113" spans="1:4" ht="15" customHeight="1" x14ac:dyDescent="0.3">
      <c r="A1113" s="15">
        <v>130024</v>
      </c>
      <c r="B1113" s="17" t="s">
        <v>1107</v>
      </c>
      <c r="C1113" s="12">
        <v>42065</v>
      </c>
      <c r="D1113" s="11" t="str">
        <f>_xlfn.IFNA(IF(VLOOKUP(Tabela2[[#This Row],[CÓDIGO]],Aguardando_exclusão!A$4:A$4003,1,FALSE),"sim",""),"")</f>
        <v/>
      </c>
    </row>
    <row r="1114" spans="1:4" ht="15" customHeight="1" x14ac:dyDescent="0.3">
      <c r="A1114" s="15">
        <v>130157</v>
      </c>
      <c r="B1114" s="17" t="s">
        <v>1108</v>
      </c>
      <c r="C1114" s="12">
        <v>42090</v>
      </c>
      <c r="D1114" s="11" t="str">
        <f>_xlfn.IFNA(IF(VLOOKUP(Tabela2[[#This Row],[CÓDIGO]],Aguardando_exclusão!A$4:A$4003,1,FALSE),"sim",""),"")</f>
        <v/>
      </c>
    </row>
    <row r="1115" spans="1:4" ht="15" customHeight="1" x14ac:dyDescent="0.3">
      <c r="A1115" s="15">
        <v>130564</v>
      </c>
      <c r="B1115" s="17" t="s">
        <v>1109</v>
      </c>
      <c r="C1115" s="12">
        <v>42187</v>
      </c>
      <c r="D1115" s="11" t="str">
        <f>_xlfn.IFNA(IF(VLOOKUP(Tabela2[[#This Row],[CÓDIGO]],Aguardando_exclusão!A$4:A$4003,1,FALSE),"sim",""),"")</f>
        <v/>
      </c>
    </row>
    <row r="1116" spans="1:4" ht="15" customHeight="1" x14ac:dyDescent="0.3">
      <c r="A1116" s="15">
        <v>130614</v>
      </c>
      <c r="B1116" s="17" t="s">
        <v>1110</v>
      </c>
      <c r="C1116" s="12">
        <v>42201</v>
      </c>
      <c r="D1116" s="11" t="str">
        <f>_xlfn.IFNA(IF(VLOOKUP(Tabela2[[#This Row],[CÓDIGO]],Aguardando_exclusão!A$4:A$4003,1,FALSE),"sim",""),"")</f>
        <v/>
      </c>
    </row>
    <row r="1117" spans="1:4" ht="15" customHeight="1" x14ac:dyDescent="0.3">
      <c r="A1117" s="15">
        <v>130618</v>
      </c>
      <c r="B1117" s="17" t="s">
        <v>1111</v>
      </c>
      <c r="C1117" s="12">
        <v>42201</v>
      </c>
      <c r="D1117" s="11" t="str">
        <f>_xlfn.IFNA(IF(VLOOKUP(Tabela2[[#This Row],[CÓDIGO]],Aguardando_exclusão!A$4:A$4003,1,FALSE),"sim",""),"")</f>
        <v/>
      </c>
    </row>
    <row r="1118" spans="1:4" ht="15" customHeight="1" x14ac:dyDescent="0.3">
      <c r="A1118" s="15">
        <v>130624</v>
      </c>
      <c r="B1118" s="17" t="s">
        <v>1112</v>
      </c>
      <c r="C1118" s="12">
        <v>42205</v>
      </c>
      <c r="D1118" s="11" t="str">
        <f>_xlfn.IFNA(IF(VLOOKUP(Tabela2[[#This Row],[CÓDIGO]],Aguardando_exclusão!A$4:A$4003,1,FALSE),"sim",""),"")</f>
        <v/>
      </c>
    </row>
    <row r="1119" spans="1:4" ht="15" customHeight="1" x14ac:dyDescent="0.3">
      <c r="A1119" s="15">
        <v>130632</v>
      </c>
      <c r="B1119" s="17" t="s">
        <v>1113</v>
      </c>
      <c r="C1119" s="12">
        <v>42207</v>
      </c>
      <c r="D1119" s="11" t="str">
        <f>_xlfn.IFNA(IF(VLOOKUP(Tabela2[[#This Row],[CÓDIGO]],Aguardando_exclusão!A$4:A$4003,1,FALSE),"sim",""),"")</f>
        <v/>
      </c>
    </row>
    <row r="1120" spans="1:4" ht="15" customHeight="1" x14ac:dyDescent="0.3">
      <c r="A1120" s="15">
        <v>130634</v>
      </c>
      <c r="B1120" s="17" t="s">
        <v>1114</v>
      </c>
      <c r="C1120" s="12">
        <v>42208</v>
      </c>
      <c r="D1120" s="11" t="str">
        <f>_xlfn.IFNA(IF(VLOOKUP(Tabela2[[#This Row],[CÓDIGO]],Aguardando_exclusão!A$4:A$4003,1,FALSE),"sim",""),"")</f>
        <v/>
      </c>
    </row>
    <row r="1121" spans="1:4" ht="15" customHeight="1" x14ac:dyDescent="0.3">
      <c r="A1121" s="15">
        <v>130695</v>
      </c>
      <c r="B1121" s="17" t="s">
        <v>1115</v>
      </c>
      <c r="C1121" s="12">
        <v>42230</v>
      </c>
      <c r="D1121" s="11" t="str">
        <f>_xlfn.IFNA(IF(VLOOKUP(Tabela2[[#This Row],[CÓDIGO]],Aguardando_exclusão!A$4:A$4003,1,FALSE),"sim",""),"")</f>
        <v/>
      </c>
    </row>
    <row r="1122" spans="1:4" ht="15" customHeight="1" x14ac:dyDescent="0.3">
      <c r="A1122" s="15">
        <v>130740</v>
      </c>
      <c r="B1122" s="17" t="s">
        <v>1116</v>
      </c>
      <c r="C1122" s="12">
        <v>42241</v>
      </c>
      <c r="D1122" s="11" t="str">
        <f>_xlfn.IFNA(IF(VLOOKUP(Tabela2[[#This Row],[CÓDIGO]],Aguardando_exclusão!A$4:A$4003,1,FALSE),"sim",""),"")</f>
        <v/>
      </c>
    </row>
    <row r="1123" spans="1:4" ht="15" customHeight="1" x14ac:dyDescent="0.3">
      <c r="A1123" s="15">
        <v>131138</v>
      </c>
      <c r="B1123" s="17" t="s">
        <v>1117</v>
      </c>
      <c r="C1123" s="12">
        <v>42342</v>
      </c>
      <c r="D1123" s="11" t="str">
        <f>_xlfn.IFNA(IF(VLOOKUP(Tabela2[[#This Row],[CÓDIGO]],Aguardando_exclusão!A$4:A$4003,1,FALSE),"sim",""),"")</f>
        <v/>
      </c>
    </row>
    <row r="1124" spans="1:4" ht="15" customHeight="1" x14ac:dyDescent="0.3">
      <c r="A1124" s="15">
        <v>131195</v>
      </c>
      <c r="B1124" s="17" t="s">
        <v>1118</v>
      </c>
      <c r="C1124" s="12">
        <v>42695</v>
      </c>
      <c r="D1124" s="11" t="str">
        <f>_xlfn.IFNA(IF(VLOOKUP(Tabela2[[#This Row],[CÓDIGO]],Aguardando_exclusão!A$4:A$4003,1,FALSE),"sim",""),"")</f>
        <v>sim</v>
      </c>
    </row>
    <row r="1125" spans="1:4" ht="15" customHeight="1" x14ac:dyDescent="0.3">
      <c r="A1125" s="15">
        <v>131221</v>
      </c>
      <c r="B1125" s="17" t="s">
        <v>1119</v>
      </c>
      <c r="C1125" s="12">
        <v>42395</v>
      </c>
      <c r="D1125" s="11" t="str">
        <f>_xlfn.IFNA(IF(VLOOKUP(Tabela2[[#This Row],[CÓDIGO]],Aguardando_exclusão!A$4:A$4003,1,FALSE),"sim",""),"")</f>
        <v/>
      </c>
    </row>
    <row r="1126" spans="1:4" ht="15" customHeight="1" x14ac:dyDescent="0.3">
      <c r="A1126" s="15">
        <v>131344</v>
      </c>
      <c r="B1126" s="17" t="s">
        <v>1120</v>
      </c>
      <c r="C1126" s="12">
        <v>42442</v>
      </c>
      <c r="D1126" s="11" t="str">
        <f>_xlfn.IFNA(IF(VLOOKUP(Tabela2[[#This Row],[CÓDIGO]],Aguardando_exclusão!A$4:A$4003,1,FALSE),"sim",""),"")</f>
        <v/>
      </c>
    </row>
    <row r="1127" spans="1:4" ht="15" customHeight="1" x14ac:dyDescent="0.3">
      <c r="A1127" s="15">
        <v>131482</v>
      </c>
      <c r="B1127" s="17" t="s">
        <v>1121</v>
      </c>
      <c r="C1127" s="12">
        <v>42464</v>
      </c>
      <c r="D1127" s="11" t="str">
        <f>_xlfn.IFNA(IF(VLOOKUP(Tabela2[[#This Row],[CÓDIGO]],Aguardando_exclusão!A$4:A$4003,1,FALSE),"sim",""),"")</f>
        <v/>
      </c>
    </row>
    <row r="1128" spans="1:4" ht="15" customHeight="1" x14ac:dyDescent="0.3">
      <c r="A1128" s="15">
        <v>131579</v>
      </c>
      <c r="B1128" s="17" t="s">
        <v>1122</v>
      </c>
      <c r="C1128" s="12">
        <v>42488</v>
      </c>
      <c r="D1128" s="11" t="str">
        <f>_xlfn.IFNA(IF(VLOOKUP(Tabela2[[#This Row],[CÓDIGO]],Aguardando_exclusão!A$4:A$4003,1,FALSE),"sim",""),"")</f>
        <v/>
      </c>
    </row>
    <row r="1129" spans="1:4" ht="15" customHeight="1" x14ac:dyDescent="0.3">
      <c r="A1129" s="15">
        <v>131917</v>
      </c>
      <c r="B1129" s="17" t="s">
        <v>1123</v>
      </c>
      <c r="C1129" s="12">
        <v>42590</v>
      </c>
      <c r="D1129" s="11" t="str">
        <f>_xlfn.IFNA(IF(VLOOKUP(Tabela2[[#This Row],[CÓDIGO]],Aguardando_exclusão!A$4:A$4003,1,FALSE),"sim",""),"")</f>
        <v/>
      </c>
    </row>
    <row r="1130" spans="1:4" ht="15" customHeight="1" x14ac:dyDescent="0.3">
      <c r="A1130" s="15">
        <v>131926</v>
      </c>
      <c r="B1130" s="17" t="s">
        <v>1124</v>
      </c>
      <c r="C1130" s="12">
        <v>42590</v>
      </c>
      <c r="D1130" s="11" t="str">
        <f>_xlfn.IFNA(IF(VLOOKUP(Tabela2[[#This Row],[CÓDIGO]],Aguardando_exclusão!A$4:A$4003,1,FALSE),"sim",""),"")</f>
        <v/>
      </c>
    </row>
    <row r="1131" spans="1:4" ht="15" customHeight="1" x14ac:dyDescent="0.3">
      <c r="A1131" s="15">
        <v>131927</v>
      </c>
      <c r="B1131" s="17" t="s">
        <v>1125</v>
      </c>
      <c r="C1131" s="12">
        <v>42590</v>
      </c>
      <c r="D1131" s="11" t="str">
        <f>_xlfn.IFNA(IF(VLOOKUP(Tabela2[[#This Row],[CÓDIGO]],Aguardando_exclusão!A$4:A$4003,1,FALSE),"sim",""),"")</f>
        <v/>
      </c>
    </row>
    <row r="1132" spans="1:4" ht="15" customHeight="1" x14ac:dyDescent="0.3">
      <c r="A1132" s="15">
        <v>131930</v>
      </c>
      <c r="B1132" s="17" t="s">
        <v>1126</v>
      </c>
      <c r="C1132" s="12">
        <v>42590</v>
      </c>
      <c r="D1132" s="11" t="str">
        <f>_xlfn.IFNA(IF(VLOOKUP(Tabela2[[#This Row],[CÓDIGO]],Aguardando_exclusão!A$4:A$4003,1,FALSE),"sim",""),"")</f>
        <v/>
      </c>
    </row>
    <row r="1133" spans="1:4" ht="15" customHeight="1" x14ac:dyDescent="0.3">
      <c r="A1133" s="15">
        <v>131931</v>
      </c>
      <c r="B1133" s="17" t="s">
        <v>1127</v>
      </c>
      <c r="C1133" s="12">
        <v>42590</v>
      </c>
      <c r="D1133" s="11" t="str">
        <f>_xlfn.IFNA(IF(VLOOKUP(Tabela2[[#This Row],[CÓDIGO]],Aguardando_exclusão!A$4:A$4003,1,FALSE),"sim",""),"")</f>
        <v/>
      </c>
    </row>
    <row r="1134" spans="1:4" ht="15" customHeight="1" x14ac:dyDescent="0.3">
      <c r="A1134" s="15">
        <v>131933</v>
      </c>
      <c r="B1134" s="17" t="s">
        <v>1128</v>
      </c>
      <c r="C1134" s="12">
        <v>42590</v>
      </c>
      <c r="D1134" s="11" t="str">
        <f>_xlfn.IFNA(IF(VLOOKUP(Tabela2[[#This Row],[CÓDIGO]],Aguardando_exclusão!A$4:A$4003,1,FALSE),"sim",""),"")</f>
        <v/>
      </c>
    </row>
    <row r="1135" spans="1:4" ht="15" customHeight="1" x14ac:dyDescent="0.3">
      <c r="A1135" s="15">
        <v>131935</v>
      </c>
      <c r="B1135" s="17" t="s">
        <v>1129</v>
      </c>
      <c r="C1135" s="12">
        <v>42590</v>
      </c>
      <c r="D1135" s="11" t="str">
        <f>_xlfn.IFNA(IF(VLOOKUP(Tabela2[[#This Row],[CÓDIGO]],Aguardando_exclusão!A$4:A$4003,1,FALSE),"sim",""),"")</f>
        <v/>
      </c>
    </row>
    <row r="1136" spans="1:4" ht="15" customHeight="1" x14ac:dyDescent="0.3">
      <c r="A1136" s="15">
        <v>131937</v>
      </c>
      <c r="B1136" s="17" t="s">
        <v>1130</v>
      </c>
      <c r="C1136" s="12">
        <v>42590</v>
      </c>
      <c r="D1136" s="11" t="str">
        <f>_xlfn.IFNA(IF(VLOOKUP(Tabela2[[#This Row],[CÓDIGO]],Aguardando_exclusão!A$4:A$4003,1,FALSE),"sim",""),"")</f>
        <v/>
      </c>
    </row>
    <row r="1137" spans="1:4" ht="15" customHeight="1" x14ac:dyDescent="0.3">
      <c r="A1137" s="15">
        <v>131938</v>
      </c>
      <c r="B1137" s="17" t="s">
        <v>1131</v>
      </c>
      <c r="C1137" s="12">
        <v>42590</v>
      </c>
      <c r="D1137" s="11" t="str">
        <f>_xlfn.IFNA(IF(VLOOKUP(Tabela2[[#This Row],[CÓDIGO]],Aguardando_exclusão!A$4:A$4003,1,FALSE),"sim",""),"")</f>
        <v/>
      </c>
    </row>
    <row r="1138" spans="1:4" ht="15" customHeight="1" x14ac:dyDescent="0.3">
      <c r="A1138" s="15">
        <v>131939</v>
      </c>
      <c r="B1138" s="17" t="s">
        <v>1132</v>
      </c>
      <c r="C1138" s="12">
        <v>42590</v>
      </c>
      <c r="D1138" s="11" t="str">
        <f>_xlfn.IFNA(IF(VLOOKUP(Tabela2[[#This Row],[CÓDIGO]],Aguardando_exclusão!A$4:A$4003,1,FALSE),"sim",""),"")</f>
        <v/>
      </c>
    </row>
    <row r="1139" spans="1:4" ht="15" customHeight="1" x14ac:dyDescent="0.3">
      <c r="A1139" s="15">
        <v>131940</v>
      </c>
      <c r="B1139" s="17" t="s">
        <v>1133</v>
      </c>
      <c r="C1139" s="12">
        <v>42590</v>
      </c>
      <c r="D1139" s="11" t="str">
        <f>_xlfn.IFNA(IF(VLOOKUP(Tabela2[[#This Row],[CÓDIGO]],Aguardando_exclusão!A$4:A$4003,1,FALSE),"sim",""),"")</f>
        <v/>
      </c>
    </row>
    <row r="1140" spans="1:4" ht="15" customHeight="1" x14ac:dyDescent="0.3">
      <c r="A1140" s="15">
        <v>131942</v>
      </c>
      <c r="B1140" s="17" t="s">
        <v>1134</v>
      </c>
      <c r="C1140" s="12">
        <v>42590</v>
      </c>
      <c r="D1140" s="11" t="str">
        <f>_xlfn.IFNA(IF(VLOOKUP(Tabela2[[#This Row],[CÓDIGO]],Aguardando_exclusão!A$4:A$4003,1,FALSE),"sim",""),"")</f>
        <v/>
      </c>
    </row>
    <row r="1141" spans="1:4" ht="15" customHeight="1" x14ac:dyDescent="0.3">
      <c r="A1141" s="15">
        <v>132229</v>
      </c>
      <c r="B1141" s="17" t="s">
        <v>1135</v>
      </c>
      <c r="C1141" s="12">
        <v>42656</v>
      </c>
      <c r="D1141" s="11" t="str">
        <f>_xlfn.IFNA(IF(VLOOKUP(Tabela2[[#This Row],[CÓDIGO]],Aguardando_exclusão!A$4:A$4003,1,FALSE),"sim",""),"")</f>
        <v/>
      </c>
    </row>
    <row r="1142" spans="1:4" ht="15" customHeight="1" x14ac:dyDescent="0.3">
      <c r="A1142" s="15">
        <v>132230</v>
      </c>
      <c r="B1142" s="17" t="s">
        <v>1136</v>
      </c>
      <c r="C1142" s="12">
        <v>42656</v>
      </c>
      <c r="D1142" s="11" t="str">
        <f>_xlfn.IFNA(IF(VLOOKUP(Tabela2[[#This Row],[CÓDIGO]],Aguardando_exclusão!A$4:A$4003,1,FALSE),"sim",""),"")</f>
        <v/>
      </c>
    </row>
    <row r="1143" spans="1:4" ht="15" customHeight="1" x14ac:dyDescent="0.3">
      <c r="A1143" s="15">
        <v>132231</v>
      </c>
      <c r="B1143" s="17" t="s">
        <v>1137</v>
      </c>
      <c r="C1143" s="12">
        <v>42656</v>
      </c>
      <c r="D1143" s="11" t="str">
        <f>_xlfn.IFNA(IF(VLOOKUP(Tabela2[[#This Row],[CÓDIGO]],Aguardando_exclusão!A$4:A$4003,1,FALSE),"sim",""),"")</f>
        <v/>
      </c>
    </row>
    <row r="1144" spans="1:4" ht="15" customHeight="1" x14ac:dyDescent="0.3">
      <c r="A1144" s="15">
        <v>132232</v>
      </c>
      <c r="B1144" s="17" t="s">
        <v>1138</v>
      </c>
      <c r="C1144" s="12">
        <v>42656</v>
      </c>
      <c r="D1144" s="11" t="str">
        <f>_xlfn.IFNA(IF(VLOOKUP(Tabela2[[#This Row],[CÓDIGO]],Aguardando_exclusão!A$4:A$4003,1,FALSE),"sim",""),"")</f>
        <v/>
      </c>
    </row>
    <row r="1145" spans="1:4" ht="15" customHeight="1" x14ac:dyDescent="0.3">
      <c r="A1145" s="15">
        <v>132290</v>
      </c>
      <c r="B1145" s="17" t="s">
        <v>1139</v>
      </c>
      <c r="C1145" s="12">
        <v>42685</v>
      </c>
      <c r="D1145" s="11" t="str">
        <f>_xlfn.IFNA(IF(VLOOKUP(Tabela2[[#This Row],[CÓDIGO]],Aguardando_exclusão!A$4:A$4003,1,FALSE),"sim",""),"")</f>
        <v/>
      </c>
    </row>
    <row r="1146" spans="1:4" ht="15" customHeight="1" x14ac:dyDescent="0.3">
      <c r="A1146" s="15">
        <v>132296</v>
      </c>
      <c r="B1146" s="17" t="s">
        <v>1140</v>
      </c>
      <c r="C1146" s="12">
        <v>42685</v>
      </c>
      <c r="D1146" s="11" t="str">
        <f>_xlfn.IFNA(IF(VLOOKUP(Tabela2[[#This Row],[CÓDIGO]],Aguardando_exclusão!A$4:A$4003,1,FALSE),"sim",""),"")</f>
        <v/>
      </c>
    </row>
    <row r="1147" spans="1:4" ht="15" customHeight="1" x14ac:dyDescent="0.3">
      <c r="A1147" s="15">
        <v>132297</v>
      </c>
      <c r="B1147" s="17" t="s">
        <v>1141</v>
      </c>
      <c r="C1147" s="12">
        <v>42685</v>
      </c>
      <c r="D1147" s="11" t="str">
        <f>_xlfn.IFNA(IF(VLOOKUP(Tabela2[[#This Row],[CÓDIGO]],Aguardando_exclusão!A$4:A$4003,1,FALSE),"sim",""),"")</f>
        <v/>
      </c>
    </row>
    <row r="1148" spans="1:4" ht="15" customHeight="1" x14ac:dyDescent="0.3">
      <c r="A1148" s="15">
        <v>132300</v>
      </c>
      <c r="B1148" s="17" t="s">
        <v>1142</v>
      </c>
      <c r="C1148" s="12">
        <v>42685</v>
      </c>
      <c r="D1148" s="11" t="str">
        <f>_xlfn.IFNA(IF(VLOOKUP(Tabela2[[#This Row],[CÓDIGO]],Aguardando_exclusão!A$4:A$4003,1,FALSE),"sim",""),"")</f>
        <v/>
      </c>
    </row>
    <row r="1149" spans="1:4" ht="15" customHeight="1" x14ac:dyDescent="0.3">
      <c r="A1149" s="15">
        <v>132303</v>
      </c>
      <c r="B1149" s="17" t="s">
        <v>1143</v>
      </c>
      <c r="C1149" s="12">
        <v>42685</v>
      </c>
      <c r="D1149" s="11" t="str">
        <f>_xlfn.IFNA(IF(VLOOKUP(Tabela2[[#This Row],[CÓDIGO]],Aguardando_exclusão!A$4:A$4003,1,FALSE),"sim",""),"")</f>
        <v/>
      </c>
    </row>
    <row r="1150" spans="1:4" ht="15" customHeight="1" x14ac:dyDescent="0.3">
      <c r="A1150" s="15">
        <v>132305</v>
      </c>
      <c r="B1150" s="17" t="s">
        <v>1144</v>
      </c>
      <c r="C1150" s="12">
        <v>42685</v>
      </c>
      <c r="D1150" s="11" t="str">
        <f>_xlfn.IFNA(IF(VLOOKUP(Tabela2[[#This Row],[CÓDIGO]],Aguardando_exclusão!A$4:A$4003,1,FALSE),"sim",""),"")</f>
        <v/>
      </c>
    </row>
    <row r="1151" spans="1:4" ht="15" customHeight="1" x14ac:dyDescent="0.3">
      <c r="A1151" s="15">
        <v>132394</v>
      </c>
      <c r="B1151" s="17" t="s">
        <v>1145</v>
      </c>
      <c r="C1151" s="12">
        <v>42765</v>
      </c>
      <c r="D1151" s="11" t="str">
        <f>_xlfn.IFNA(IF(VLOOKUP(Tabela2[[#This Row],[CÓDIGO]],Aguardando_exclusão!A$4:A$4003,1,FALSE),"sim",""),"")</f>
        <v/>
      </c>
    </row>
    <row r="1152" spans="1:4" ht="15" customHeight="1" x14ac:dyDescent="0.3">
      <c r="A1152" s="15">
        <v>132395</v>
      </c>
      <c r="B1152" s="17" t="s">
        <v>1146</v>
      </c>
      <c r="C1152" s="12">
        <v>42765</v>
      </c>
      <c r="D1152" s="11" t="str">
        <f>_xlfn.IFNA(IF(VLOOKUP(Tabela2[[#This Row],[CÓDIGO]],Aguardando_exclusão!A$4:A$4003,1,FALSE),"sim",""),"")</f>
        <v/>
      </c>
    </row>
    <row r="1153" spans="1:4" ht="15" customHeight="1" x14ac:dyDescent="0.3">
      <c r="A1153" s="15">
        <v>132400</v>
      </c>
      <c r="B1153" s="17" t="s">
        <v>1147</v>
      </c>
      <c r="C1153" s="12">
        <v>42765</v>
      </c>
      <c r="D1153" s="11" t="str">
        <f>_xlfn.IFNA(IF(VLOOKUP(Tabela2[[#This Row],[CÓDIGO]],Aguardando_exclusão!A$4:A$4003,1,FALSE),"sim",""),"")</f>
        <v/>
      </c>
    </row>
    <row r="1154" spans="1:4" ht="15" customHeight="1" x14ac:dyDescent="0.3">
      <c r="A1154" s="15">
        <v>132405</v>
      </c>
      <c r="B1154" s="17" t="s">
        <v>1148</v>
      </c>
      <c r="C1154" s="12">
        <v>42773</v>
      </c>
      <c r="D1154" s="11" t="str">
        <f>_xlfn.IFNA(IF(VLOOKUP(Tabela2[[#This Row],[CÓDIGO]],Aguardando_exclusão!A$4:A$4003,1,FALSE),"sim",""),"")</f>
        <v/>
      </c>
    </row>
    <row r="1155" spans="1:4" ht="15" customHeight="1" x14ac:dyDescent="0.3">
      <c r="A1155" s="15">
        <v>132407</v>
      </c>
      <c r="B1155" s="17" t="s">
        <v>1149</v>
      </c>
      <c r="C1155" s="12">
        <v>42773</v>
      </c>
      <c r="D1155" s="11" t="str">
        <f>_xlfn.IFNA(IF(VLOOKUP(Tabela2[[#This Row],[CÓDIGO]],Aguardando_exclusão!A$4:A$4003,1,FALSE),"sim",""),"")</f>
        <v/>
      </c>
    </row>
    <row r="1156" spans="1:4" ht="15" customHeight="1" x14ac:dyDescent="0.3">
      <c r="A1156" s="15">
        <v>132447</v>
      </c>
      <c r="B1156" s="17" t="s">
        <v>1150</v>
      </c>
      <c r="C1156" s="12">
        <v>42787</v>
      </c>
      <c r="D1156" s="11" t="str">
        <f>_xlfn.IFNA(IF(VLOOKUP(Tabela2[[#This Row],[CÓDIGO]],Aguardando_exclusão!A$4:A$4003,1,FALSE),"sim",""),"")</f>
        <v>sim</v>
      </c>
    </row>
    <row r="1157" spans="1:4" ht="15" customHeight="1" x14ac:dyDescent="0.3">
      <c r="A1157" s="15">
        <v>132465</v>
      </c>
      <c r="B1157" s="17" t="s">
        <v>1151</v>
      </c>
      <c r="C1157" s="12">
        <v>42796</v>
      </c>
      <c r="D1157" s="11" t="str">
        <f>_xlfn.IFNA(IF(VLOOKUP(Tabela2[[#This Row],[CÓDIGO]],Aguardando_exclusão!A$4:A$4003,1,FALSE),"sim",""),"")</f>
        <v/>
      </c>
    </row>
    <row r="1158" spans="1:4" ht="15" customHeight="1" x14ac:dyDescent="0.3">
      <c r="A1158" s="15">
        <v>132612</v>
      </c>
      <c r="B1158" s="17" t="s">
        <v>1152</v>
      </c>
      <c r="C1158" s="12">
        <v>42844</v>
      </c>
      <c r="D1158" s="11" t="str">
        <f>_xlfn.IFNA(IF(VLOOKUP(Tabela2[[#This Row],[CÓDIGO]],Aguardando_exclusão!A$4:A$4003,1,FALSE),"sim",""),"")</f>
        <v/>
      </c>
    </row>
    <row r="1159" spans="1:4" ht="15" customHeight="1" x14ac:dyDescent="0.3">
      <c r="A1159" s="15">
        <v>132613</v>
      </c>
      <c r="B1159" s="17" t="s">
        <v>1153</v>
      </c>
      <c r="C1159" s="12">
        <v>42844</v>
      </c>
      <c r="D1159" s="11" t="str">
        <f>_xlfn.IFNA(IF(VLOOKUP(Tabela2[[#This Row],[CÓDIGO]],Aguardando_exclusão!A$4:A$4003,1,FALSE),"sim",""),"")</f>
        <v/>
      </c>
    </row>
    <row r="1160" spans="1:4" ht="15" customHeight="1" x14ac:dyDescent="0.3">
      <c r="A1160" s="15">
        <v>132623</v>
      </c>
      <c r="B1160" s="17" t="s">
        <v>1154</v>
      </c>
      <c r="C1160" s="12">
        <v>42850</v>
      </c>
      <c r="D1160" s="11" t="str">
        <f>_xlfn.IFNA(IF(VLOOKUP(Tabela2[[#This Row],[CÓDIGO]],Aguardando_exclusão!A$4:A$4003,1,FALSE),"sim",""),"")</f>
        <v/>
      </c>
    </row>
    <row r="1161" spans="1:4" ht="15" customHeight="1" x14ac:dyDescent="0.3">
      <c r="A1161" s="15">
        <v>132624</v>
      </c>
      <c r="B1161" s="17" t="s">
        <v>1155</v>
      </c>
      <c r="C1161" s="12">
        <v>42850</v>
      </c>
      <c r="D1161" s="11" t="str">
        <f>_xlfn.IFNA(IF(VLOOKUP(Tabela2[[#This Row],[CÓDIGO]],Aguardando_exclusão!A$4:A$4003,1,FALSE),"sim",""),"")</f>
        <v/>
      </c>
    </row>
    <row r="1162" spans="1:4" ht="15" customHeight="1" x14ac:dyDescent="0.3">
      <c r="A1162" s="15">
        <v>132646</v>
      </c>
      <c r="B1162" s="17" t="s">
        <v>1156</v>
      </c>
      <c r="C1162" s="12">
        <v>42860</v>
      </c>
      <c r="D1162" s="11" t="str">
        <f>_xlfn.IFNA(IF(VLOOKUP(Tabela2[[#This Row],[CÓDIGO]],Aguardando_exclusão!A$4:A$4003,1,FALSE),"sim",""),"")</f>
        <v/>
      </c>
    </row>
    <row r="1163" spans="1:4" ht="15" customHeight="1" x14ac:dyDescent="0.3">
      <c r="A1163" s="15">
        <v>132647</v>
      </c>
      <c r="B1163" s="17" t="s">
        <v>1157</v>
      </c>
      <c r="C1163" s="12">
        <v>42860</v>
      </c>
      <c r="D1163" s="11" t="str">
        <f>_xlfn.IFNA(IF(VLOOKUP(Tabela2[[#This Row],[CÓDIGO]],Aguardando_exclusão!A$4:A$4003,1,FALSE),"sim",""),"")</f>
        <v/>
      </c>
    </row>
    <row r="1164" spans="1:4" ht="15" customHeight="1" x14ac:dyDescent="0.3">
      <c r="A1164" s="15">
        <v>132649</v>
      </c>
      <c r="B1164" s="17" t="s">
        <v>1158</v>
      </c>
      <c r="C1164" s="12">
        <v>42860</v>
      </c>
      <c r="D1164" s="11" t="str">
        <f>_xlfn.IFNA(IF(VLOOKUP(Tabela2[[#This Row],[CÓDIGO]],Aguardando_exclusão!A$4:A$4003,1,FALSE),"sim",""),"")</f>
        <v/>
      </c>
    </row>
    <row r="1165" spans="1:4" ht="15" customHeight="1" x14ac:dyDescent="0.3">
      <c r="A1165" s="15">
        <v>132650</v>
      </c>
      <c r="B1165" s="17" t="s">
        <v>1159</v>
      </c>
      <c r="C1165" s="12">
        <v>42860</v>
      </c>
      <c r="D1165" s="11" t="str">
        <f>_xlfn.IFNA(IF(VLOOKUP(Tabela2[[#This Row],[CÓDIGO]],Aguardando_exclusão!A$4:A$4003,1,FALSE),"sim",""),"")</f>
        <v/>
      </c>
    </row>
    <row r="1166" spans="1:4" ht="15" customHeight="1" x14ac:dyDescent="0.3">
      <c r="A1166" s="15">
        <v>132655</v>
      </c>
      <c r="B1166" s="17" t="s">
        <v>1160</v>
      </c>
      <c r="C1166" s="12">
        <v>42860</v>
      </c>
      <c r="D1166" s="11" t="str">
        <f>_xlfn.IFNA(IF(VLOOKUP(Tabela2[[#This Row],[CÓDIGO]],Aguardando_exclusão!A$4:A$4003,1,FALSE),"sim",""),"")</f>
        <v/>
      </c>
    </row>
    <row r="1167" spans="1:4" ht="15" customHeight="1" x14ac:dyDescent="0.3">
      <c r="A1167" s="15">
        <v>132656</v>
      </c>
      <c r="B1167" s="17" t="s">
        <v>1161</v>
      </c>
      <c r="C1167" s="12">
        <v>42860</v>
      </c>
      <c r="D1167" s="11" t="str">
        <f>_xlfn.IFNA(IF(VLOOKUP(Tabela2[[#This Row],[CÓDIGO]],Aguardando_exclusão!A$4:A$4003,1,FALSE),"sim",""),"")</f>
        <v/>
      </c>
    </row>
    <row r="1168" spans="1:4" ht="15" customHeight="1" x14ac:dyDescent="0.3">
      <c r="A1168" s="15">
        <v>132714</v>
      </c>
      <c r="B1168" s="17" t="s">
        <v>1162</v>
      </c>
      <c r="C1168" s="12">
        <v>42880</v>
      </c>
      <c r="D1168" s="11" t="str">
        <f>_xlfn.IFNA(IF(VLOOKUP(Tabela2[[#This Row],[CÓDIGO]],Aguardando_exclusão!A$4:A$4003,1,FALSE),"sim",""),"")</f>
        <v/>
      </c>
    </row>
    <row r="1169" spans="1:4" ht="15" customHeight="1" x14ac:dyDescent="0.3">
      <c r="A1169" s="15">
        <v>132715</v>
      </c>
      <c r="B1169" s="17" t="s">
        <v>1163</v>
      </c>
      <c r="C1169" s="12">
        <v>42892</v>
      </c>
      <c r="D1169" s="11" t="str">
        <f>_xlfn.IFNA(IF(VLOOKUP(Tabela2[[#This Row],[CÓDIGO]],Aguardando_exclusão!A$4:A$4003,1,FALSE),"sim",""),"")</f>
        <v/>
      </c>
    </row>
    <row r="1170" spans="1:4" ht="15" customHeight="1" x14ac:dyDescent="0.3">
      <c r="A1170" s="15">
        <v>132751</v>
      </c>
      <c r="B1170" s="17" t="s">
        <v>1164</v>
      </c>
      <c r="C1170" s="12">
        <v>42892</v>
      </c>
      <c r="D1170" s="11" t="str">
        <f>_xlfn.IFNA(IF(VLOOKUP(Tabela2[[#This Row],[CÓDIGO]],Aguardando_exclusão!A$4:A$4003,1,FALSE),"sim",""),"")</f>
        <v/>
      </c>
    </row>
    <row r="1171" spans="1:4" ht="15" customHeight="1" x14ac:dyDescent="0.3">
      <c r="A1171" s="15">
        <v>132769</v>
      </c>
      <c r="B1171" s="17" t="s">
        <v>1165</v>
      </c>
      <c r="C1171" s="12">
        <v>42894</v>
      </c>
      <c r="D1171" s="11" t="str">
        <f>_xlfn.IFNA(IF(VLOOKUP(Tabela2[[#This Row],[CÓDIGO]],Aguardando_exclusão!A$4:A$4003,1,FALSE),"sim",""),"")</f>
        <v/>
      </c>
    </row>
    <row r="1172" spans="1:4" ht="15" customHeight="1" x14ac:dyDescent="0.3">
      <c r="A1172" s="15">
        <v>133042</v>
      </c>
      <c r="B1172" s="17" t="s">
        <v>1166</v>
      </c>
      <c r="C1172" s="12">
        <v>42930</v>
      </c>
      <c r="D1172" s="11" t="str">
        <f>_xlfn.IFNA(IF(VLOOKUP(Tabela2[[#This Row],[CÓDIGO]],Aguardando_exclusão!A$4:A$4003,1,FALSE),"sim",""),"")</f>
        <v>sim</v>
      </c>
    </row>
    <row r="1173" spans="1:4" ht="15" customHeight="1" x14ac:dyDescent="0.3">
      <c r="A1173" s="15">
        <v>133043</v>
      </c>
      <c r="B1173" s="17" t="s">
        <v>1167</v>
      </c>
      <c r="C1173" s="12">
        <v>42930</v>
      </c>
      <c r="D1173" s="11" t="str">
        <f>_xlfn.IFNA(IF(VLOOKUP(Tabela2[[#This Row],[CÓDIGO]],Aguardando_exclusão!A$4:A$4003,1,FALSE),"sim",""),"")</f>
        <v>sim</v>
      </c>
    </row>
    <row r="1174" spans="1:4" ht="15" customHeight="1" x14ac:dyDescent="0.3">
      <c r="A1174" s="15">
        <v>133191</v>
      </c>
      <c r="B1174" s="17" t="s">
        <v>1168</v>
      </c>
      <c r="C1174" s="12">
        <v>42968</v>
      </c>
      <c r="D1174" s="11" t="str">
        <f>_xlfn.IFNA(IF(VLOOKUP(Tabela2[[#This Row],[CÓDIGO]],Aguardando_exclusão!A$4:A$4003,1,FALSE),"sim",""),"")</f>
        <v/>
      </c>
    </row>
    <row r="1175" spans="1:4" ht="15" customHeight="1" x14ac:dyDescent="0.3">
      <c r="A1175" s="15">
        <v>133301</v>
      </c>
      <c r="B1175" s="17" t="s">
        <v>1169</v>
      </c>
      <c r="C1175" s="12">
        <v>42978</v>
      </c>
      <c r="D1175" s="11" t="str">
        <f>_xlfn.IFNA(IF(VLOOKUP(Tabela2[[#This Row],[CÓDIGO]],Aguardando_exclusão!A$4:A$4003,1,FALSE),"sim",""),"")</f>
        <v/>
      </c>
    </row>
    <row r="1176" spans="1:4" ht="15" customHeight="1" x14ac:dyDescent="0.3">
      <c r="A1176" s="15">
        <v>133366</v>
      </c>
      <c r="B1176" s="17" t="s">
        <v>1170</v>
      </c>
      <c r="C1176" s="12">
        <v>42982</v>
      </c>
      <c r="D1176" s="11" t="str">
        <f>_xlfn.IFNA(IF(VLOOKUP(Tabela2[[#This Row],[CÓDIGO]],Aguardando_exclusão!A$4:A$4003,1,FALSE),"sim",""),"")</f>
        <v/>
      </c>
    </row>
    <row r="1177" spans="1:4" ht="15" customHeight="1" x14ac:dyDescent="0.3">
      <c r="A1177" s="15">
        <v>133371</v>
      </c>
      <c r="B1177" s="17" t="s">
        <v>1171</v>
      </c>
      <c r="C1177" s="12">
        <v>42983</v>
      </c>
      <c r="D1177" s="11" t="str">
        <f>_xlfn.IFNA(IF(VLOOKUP(Tabela2[[#This Row],[CÓDIGO]],Aguardando_exclusão!A$4:A$4003,1,FALSE),"sim",""),"")</f>
        <v/>
      </c>
    </row>
    <row r="1178" spans="1:4" ht="15" customHeight="1" x14ac:dyDescent="0.3">
      <c r="A1178" s="15">
        <v>133433</v>
      </c>
      <c r="B1178" s="17" t="s">
        <v>1172</v>
      </c>
      <c r="C1178" s="12">
        <v>42996</v>
      </c>
      <c r="D1178" s="11" t="str">
        <f>_xlfn.IFNA(IF(VLOOKUP(Tabela2[[#This Row],[CÓDIGO]],Aguardando_exclusão!A$4:A$4003,1,FALSE),"sim",""),"")</f>
        <v/>
      </c>
    </row>
    <row r="1179" spans="1:4" ht="15" customHeight="1" x14ac:dyDescent="0.3">
      <c r="A1179" s="15">
        <v>133450</v>
      </c>
      <c r="B1179" s="17" t="s">
        <v>1173</v>
      </c>
      <c r="C1179" s="12">
        <v>42998</v>
      </c>
      <c r="D1179" s="11" t="str">
        <f>_xlfn.IFNA(IF(VLOOKUP(Tabela2[[#This Row],[CÓDIGO]],Aguardando_exclusão!A$4:A$4003,1,FALSE),"sim",""),"")</f>
        <v/>
      </c>
    </row>
    <row r="1180" spans="1:4" ht="15" customHeight="1" x14ac:dyDescent="0.3">
      <c r="A1180" s="15">
        <v>133451</v>
      </c>
      <c r="B1180" s="17" t="s">
        <v>1174</v>
      </c>
      <c r="C1180" s="12">
        <v>42998</v>
      </c>
      <c r="D1180" s="11" t="str">
        <f>_xlfn.IFNA(IF(VLOOKUP(Tabela2[[#This Row],[CÓDIGO]],Aguardando_exclusão!A$4:A$4003,1,FALSE),"sim",""),"")</f>
        <v/>
      </c>
    </row>
    <row r="1181" spans="1:4" ht="15" customHeight="1" x14ac:dyDescent="0.3">
      <c r="A1181" s="15">
        <v>133452</v>
      </c>
      <c r="B1181" s="17" t="s">
        <v>1175</v>
      </c>
      <c r="C1181" s="12">
        <v>42998</v>
      </c>
      <c r="D1181" s="11" t="str">
        <f>_xlfn.IFNA(IF(VLOOKUP(Tabela2[[#This Row],[CÓDIGO]],Aguardando_exclusão!A$4:A$4003,1,FALSE),"sim",""),"")</f>
        <v/>
      </c>
    </row>
    <row r="1182" spans="1:4" ht="15" customHeight="1" x14ac:dyDescent="0.3">
      <c r="A1182" s="15">
        <v>133777</v>
      </c>
      <c r="B1182" s="17" t="s">
        <v>1176</v>
      </c>
      <c r="C1182" s="12">
        <v>43038</v>
      </c>
      <c r="D1182" s="11" t="str">
        <f>_xlfn.IFNA(IF(VLOOKUP(Tabela2[[#This Row],[CÓDIGO]],Aguardando_exclusão!A$4:A$4003,1,FALSE),"sim",""),"")</f>
        <v/>
      </c>
    </row>
    <row r="1183" spans="1:4" ht="15" customHeight="1" x14ac:dyDescent="0.3">
      <c r="A1183" s="15">
        <v>133778</v>
      </c>
      <c r="B1183" s="17" t="s">
        <v>1177</v>
      </c>
      <c r="C1183" s="12">
        <v>43038</v>
      </c>
      <c r="D1183" s="11" t="str">
        <f>_xlfn.IFNA(IF(VLOOKUP(Tabela2[[#This Row],[CÓDIGO]],Aguardando_exclusão!A$4:A$4003,1,FALSE),"sim",""),"")</f>
        <v/>
      </c>
    </row>
    <row r="1184" spans="1:4" ht="15" customHeight="1" x14ac:dyDescent="0.3">
      <c r="A1184" s="15">
        <v>133779</v>
      </c>
      <c r="B1184" s="17" t="s">
        <v>1178</v>
      </c>
      <c r="C1184" s="12">
        <v>43038</v>
      </c>
      <c r="D1184" s="11" t="str">
        <f>_xlfn.IFNA(IF(VLOOKUP(Tabela2[[#This Row],[CÓDIGO]],Aguardando_exclusão!A$4:A$4003,1,FALSE),"sim",""),"")</f>
        <v/>
      </c>
    </row>
    <row r="1185" spans="1:4" ht="15" customHeight="1" x14ac:dyDescent="0.3">
      <c r="A1185" s="15">
        <v>133781</v>
      </c>
      <c r="B1185" s="17" t="s">
        <v>1179</v>
      </c>
      <c r="C1185" s="12">
        <v>43038</v>
      </c>
      <c r="D1185" s="11" t="str">
        <f>_xlfn.IFNA(IF(VLOOKUP(Tabela2[[#This Row],[CÓDIGO]],Aguardando_exclusão!A$4:A$4003,1,FALSE),"sim",""),"")</f>
        <v/>
      </c>
    </row>
    <row r="1186" spans="1:4" ht="15" customHeight="1" x14ac:dyDescent="0.3">
      <c r="A1186" s="15">
        <v>133782</v>
      </c>
      <c r="B1186" s="17" t="s">
        <v>1180</v>
      </c>
      <c r="C1186" s="12">
        <v>43038</v>
      </c>
      <c r="D1186" s="11" t="str">
        <f>_xlfn.IFNA(IF(VLOOKUP(Tabela2[[#This Row],[CÓDIGO]],Aguardando_exclusão!A$4:A$4003,1,FALSE),"sim",""),"")</f>
        <v/>
      </c>
    </row>
    <row r="1187" spans="1:4" ht="15" customHeight="1" x14ac:dyDescent="0.3">
      <c r="A1187" s="15">
        <v>133783</v>
      </c>
      <c r="B1187" s="17" t="s">
        <v>1181</v>
      </c>
      <c r="C1187" s="12">
        <v>43038</v>
      </c>
      <c r="D1187" s="11" t="str">
        <f>_xlfn.IFNA(IF(VLOOKUP(Tabela2[[#This Row],[CÓDIGO]],Aguardando_exclusão!A$4:A$4003,1,FALSE),"sim",""),"")</f>
        <v/>
      </c>
    </row>
    <row r="1188" spans="1:4" ht="15" customHeight="1" x14ac:dyDescent="0.3">
      <c r="A1188" s="15">
        <v>133787</v>
      </c>
      <c r="B1188" s="17" t="s">
        <v>1182</v>
      </c>
      <c r="C1188" s="12">
        <v>43038</v>
      </c>
      <c r="D1188" s="11" t="str">
        <f>_xlfn.IFNA(IF(VLOOKUP(Tabela2[[#This Row],[CÓDIGO]],Aguardando_exclusão!A$4:A$4003,1,FALSE),"sim",""),"")</f>
        <v/>
      </c>
    </row>
    <row r="1189" spans="1:4" ht="15" customHeight="1" x14ac:dyDescent="0.3">
      <c r="A1189" s="15">
        <v>133788</v>
      </c>
      <c r="B1189" s="17" t="s">
        <v>1183</v>
      </c>
      <c r="C1189" s="12">
        <v>43038</v>
      </c>
      <c r="D1189" s="11" t="str">
        <f>_xlfn.IFNA(IF(VLOOKUP(Tabela2[[#This Row],[CÓDIGO]],Aguardando_exclusão!A$4:A$4003,1,FALSE),"sim",""),"")</f>
        <v/>
      </c>
    </row>
    <row r="1190" spans="1:4" ht="15" customHeight="1" x14ac:dyDescent="0.3">
      <c r="A1190" s="15">
        <v>133790</v>
      </c>
      <c r="B1190" s="17" t="s">
        <v>1184</v>
      </c>
      <c r="C1190" s="12">
        <v>43038</v>
      </c>
      <c r="D1190" s="11" t="str">
        <f>_xlfn.IFNA(IF(VLOOKUP(Tabela2[[#This Row],[CÓDIGO]],Aguardando_exclusão!A$4:A$4003,1,FALSE),"sim",""),"")</f>
        <v/>
      </c>
    </row>
    <row r="1191" spans="1:4" ht="15" customHeight="1" x14ac:dyDescent="0.3">
      <c r="A1191" s="15">
        <v>133791</v>
      </c>
      <c r="B1191" s="17" t="s">
        <v>1185</v>
      </c>
      <c r="C1191" s="12">
        <v>43038</v>
      </c>
      <c r="D1191" s="11" t="str">
        <f>_xlfn.IFNA(IF(VLOOKUP(Tabela2[[#This Row],[CÓDIGO]],Aguardando_exclusão!A$4:A$4003,1,FALSE),"sim",""),"")</f>
        <v/>
      </c>
    </row>
    <row r="1192" spans="1:4" ht="15" customHeight="1" x14ac:dyDescent="0.3">
      <c r="A1192" s="15">
        <v>133793</v>
      </c>
      <c r="B1192" s="17" t="s">
        <v>1186</v>
      </c>
      <c r="C1192" s="12">
        <v>43038</v>
      </c>
      <c r="D1192" s="11" t="str">
        <f>_xlfn.IFNA(IF(VLOOKUP(Tabela2[[#This Row],[CÓDIGO]],Aguardando_exclusão!A$4:A$4003,1,FALSE),"sim",""),"")</f>
        <v/>
      </c>
    </row>
    <row r="1193" spans="1:4" ht="15" customHeight="1" x14ac:dyDescent="0.3">
      <c r="A1193" s="15">
        <v>133794</v>
      </c>
      <c r="B1193" s="17" t="s">
        <v>1187</v>
      </c>
      <c r="C1193" s="12">
        <v>43038</v>
      </c>
      <c r="D1193" s="11" t="str">
        <f>_xlfn.IFNA(IF(VLOOKUP(Tabela2[[#This Row],[CÓDIGO]],Aguardando_exclusão!A$4:A$4003,1,FALSE),"sim",""),"")</f>
        <v/>
      </c>
    </row>
    <row r="1194" spans="1:4" ht="15" customHeight="1" x14ac:dyDescent="0.3">
      <c r="A1194" s="15">
        <v>133812</v>
      </c>
      <c r="B1194" s="17" t="s">
        <v>1188</v>
      </c>
      <c r="C1194" s="12">
        <v>43047</v>
      </c>
      <c r="D1194" s="11" t="str">
        <f>_xlfn.IFNA(IF(VLOOKUP(Tabela2[[#This Row],[CÓDIGO]],Aguardando_exclusão!A$4:A$4003,1,FALSE),"sim",""),"")</f>
        <v/>
      </c>
    </row>
    <row r="1195" spans="1:4" ht="15" customHeight="1" x14ac:dyDescent="0.3">
      <c r="A1195" s="15">
        <v>133813</v>
      </c>
      <c r="B1195" s="17" t="s">
        <v>1189</v>
      </c>
      <c r="C1195" s="12">
        <v>43047</v>
      </c>
      <c r="D1195" s="11" t="str">
        <f>_xlfn.IFNA(IF(VLOOKUP(Tabela2[[#This Row],[CÓDIGO]],Aguardando_exclusão!A$4:A$4003,1,FALSE),"sim",""),"")</f>
        <v/>
      </c>
    </row>
    <row r="1196" spans="1:4" ht="15" customHeight="1" x14ac:dyDescent="0.3">
      <c r="A1196" s="15">
        <v>133819</v>
      </c>
      <c r="B1196" s="17" t="s">
        <v>1190</v>
      </c>
      <c r="C1196" s="12">
        <v>43052</v>
      </c>
      <c r="D1196" s="11" t="str">
        <f>_xlfn.IFNA(IF(VLOOKUP(Tabela2[[#This Row],[CÓDIGO]],Aguardando_exclusão!A$4:A$4003,1,FALSE),"sim",""),"")</f>
        <v/>
      </c>
    </row>
    <row r="1197" spans="1:4" ht="15" customHeight="1" x14ac:dyDescent="0.3">
      <c r="A1197" s="15">
        <v>133843</v>
      </c>
      <c r="B1197" s="17" t="s">
        <v>1191</v>
      </c>
      <c r="C1197" s="12">
        <v>43074</v>
      </c>
      <c r="D1197" s="11" t="str">
        <f>_xlfn.IFNA(IF(VLOOKUP(Tabela2[[#This Row],[CÓDIGO]],Aguardando_exclusão!A$4:A$4003,1,FALSE),"sim",""),"")</f>
        <v/>
      </c>
    </row>
    <row r="1198" spans="1:4" ht="15" customHeight="1" x14ac:dyDescent="0.3">
      <c r="A1198" s="15">
        <v>133844</v>
      </c>
      <c r="B1198" s="17" t="s">
        <v>1192</v>
      </c>
      <c r="C1198" s="12">
        <v>43074</v>
      </c>
      <c r="D1198" s="11" t="str">
        <f>_xlfn.IFNA(IF(VLOOKUP(Tabela2[[#This Row],[CÓDIGO]],Aguardando_exclusão!A$4:A$4003,1,FALSE),"sim",""),"")</f>
        <v/>
      </c>
    </row>
    <row r="1199" spans="1:4" ht="15" customHeight="1" x14ac:dyDescent="0.3">
      <c r="A1199" s="15">
        <v>133845</v>
      </c>
      <c r="B1199" s="17" t="s">
        <v>1193</v>
      </c>
      <c r="C1199" s="12">
        <v>43074</v>
      </c>
      <c r="D1199" s="11" t="str">
        <f>_xlfn.IFNA(IF(VLOOKUP(Tabela2[[#This Row],[CÓDIGO]],Aguardando_exclusão!A$4:A$4003,1,FALSE),"sim",""),"")</f>
        <v/>
      </c>
    </row>
    <row r="1200" spans="1:4" ht="15" customHeight="1" x14ac:dyDescent="0.3">
      <c r="A1200" s="15">
        <v>133846</v>
      </c>
      <c r="B1200" s="17" t="s">
        <v>1194</v>
      </c>
      <c r="C1200" s="12">
        <v>43074</v>
      </c>
      <c r="D1200" s="11" t="str">
        <f>_xlfn.IFNA(IF(VLOOKUP(Tabela2[[#This Row],[CÓDIGO]],Aguardando_exclusão!A$4:A$4003,1,FALSE),"sim",""),"")</f>
        <v/>
      </c>
    </row>
    <row r="1201" spans="1:4" ht="15" customHeight="1" x14ac:dyDescent="0.3">
      <c r="A1201" s="15">
        <v>133847</v>
      </c>
      <c r="B1201" s="17" t="s">
        <v>1195</v>
      </c>
      <c r="C1201" s="12">
        <v>43074</v>
      </c>
      <c r="D1201" s="11" t="str">
        <f>_xlfn.IFNA(IF(VLOOKUP(Tabela2[[#This Row],[CÓDIGO]],Aguardando_exclusão!A$4:A$4003,1,FALSE),"sim",""),"")</f>
        <v/>
      </c>
    </row>
    <row r="1202" spans="1:4" ht="15" customHeight="1" x14ac:dyDescent="0.3">
      <c r="A1202" s="15">
        <v>133848</v>
      </c>
      <c r="B1202" s="17" t="s">
        <v>1196</v>
      </c>
      <c r="C1202" s="12">
        <v>43074</v>
      </c>
      <c r="D1202" s="11" t="str">
        <f>_xlfn.IFNA(IF(VLOOKUP(Tabela2[[#This Row],[CÓDIGO]],Aguardando_exclusão!A$4:A$4003,1,FALSE),"sim",""),"")</f>
        <v/>
      </c>
    </row>
    <row r="1203" spans="1:4" ht="15" customHeight="1" x14ac:dyDescent="0.3">
      <c r="A1203" s="15">
        <v>133849</v>
      </c>
      <c r="B1203" s="17" t="s">
        <v>1197</v>
      </c>
      <c r="C1203" s="12">
        <v>43074</v>
      </c>
      <c r="D1203" s="11" t="str">
        <f>_xlfn.IFNA(IF(VLOOKUP(Tabela2[[#This Row],[CÓDIGO]],Aguardando_exclusão!A$4:A$4003,1,FALSE),"sim",""),"")</f>
        <v/>
      </c>
    </row>
    <row r="1204" spans="1:4" ht="15" customHeight="1" x14ac:dyDescent="0.3">
      <c r="A1204" s="15">
        <v>133850</v>
      </c>
      <c r="B1204" s="17" t="s">
        <v>1198</v>
      </c>
      <c r="C1204" s="12">
        <v>43074</v>
      </c>
      <c r="D1204" s="11" t="str">
        <f>_xlfn.IFNA(IF(VLOOKUP(Tabela2[[#This Row],[CÓDIGO]],Aguardando_exclusão!A$4:A$4003,1,FALSE),"sim",""),"")</f>
        <v/>
      </c>
    </row>
    <row r="1205" spans="1:4" ht="15" customHeight="1" x14ac:dyDescent="0.3">
      <c r="A1205" s="15">
        <v>133851</v>
      </c>
      <c r="B1205" s="17" t="s">
        <v>1199</v>
      </c>
      <c r="C1205" s="12">
        <v>43074</v>
      </c>
      <c r="D1205" s="11" t="str">
        <f>_xlfn.IFNA(IF(VLOOKUP(Tabela2[[#This Row],[CÓDIGO]],Aguardando_exclusão!A$4:A$4003,1,FALSE),"sim",""),"")</f>
        <v/>
      </c>
    </row>
    <row r="1206" spans="1:4" ht="15" customHeight="1" x14ac:dyDescent="0.3">
      <c r="A1206" s="15">
        <v>133950</v>
      </c>
      <c r="B1206" s="17" t="s">
        <v>1200</v>
      </c>
      <c r="C1206" s="12">
        <v>43103</v>
      </c>
      <c r="D1206" s="11" t="str">
        <f>_xlfn.IFNA(IF(VLOOKUP(Tabela2[[#This Row],[CÓDIGO]],Aguardando_exclusão!A$4:A$4003,1,FALSE),"sim",""),"")</f>
        <v/>
      </c>
    </row>
    <row r="1207" spans="1:4" ht="15" customHeight="1" x14ac:dyDescent="0.3">
      <c r="A1207" s="15">
        <v>133953</v>
      </c>
      <c r="B1207" s="17" t="s">
        <v>1201</v>
      </c>
      <c r="C1207" s="12">
        <v>43104</v>
      </c>
      <c r="D1207" s="11" t="str">
        <f>_xlfn.IFNA(IF(VLOOKUP(Tabela2[[#This Row],[CÓDIGO]],Aguardando_exclusão!A$4:A$4003,1,FALSE),"sim",""),"")</f>
        <v/>
      </c>
    </row>
    <row r="1208" spans="1:4" ht="15" customHeight="1" x14ac:dyDescent="0.3">
      <c r="A1208" s="15">
        <v>133954</v>
      </c>
      <c r="B1208" s="17" t="s">
        <v>1202</v>
      </c>
      <c r="C1208" s="12">
        <v>43105</v>
      </c>
      <c r="D1208" s="11" t="str">
        <f>_xlfn.IFNA(IF(VLOOKUP(Tabela2[[#This Row],[CÓDIGO]],Aguardando_exclusão!A$4:A$4003,1,FALSE),"sim",""),"")</f>
        <v/>
      </c>
    </row>
    <row r="1209" spans="1:4" ht="15" customHeight="1" x14ac:dyDescent="0.3">
      <c r="A1209" s="15">
        <v>133955</v>
      </c>
      <c r="B1209" s="17" t="s">
        <v>1203</v>
      </c>
      <c r="C1209" s="12">
        <v>43105</v>
      </c>
      <c r="D1209" s="11" t="str">
        <f>_xlfn.IFNA(IF(VLOOKUP(Tabela2[[#This Row],[CÓDIGO]],Aguardando_exclusão!A$4:A$4003,1,FALSE),"sim",""),"")</f>
        <v/>
      </c>
    </row>
    <row r="1210" spans="1:4" ht="15" customHeight="1" x14ac:dyDescent="0.3">
      <c r="A1210" s="15">
        <v>133956</v>
      </c>
      <c r="B1210" s="17" t="s">
        <v>1204</v>
      </c>
      <c r="C1210" s="12">
        <v>43105</v>
      </c>
      <c r="D1210" s="11" t="str">
        <f>_xlfn.IFNA(IF(VLOOKUP(Tabela2[[#This Row],[CÓDIGO]],Aguardando_exclusão!A$4:A$4003,1,FALSE),"sim",""),"")</f>
        <v/>
      </c>
    </row>
    <row r="1211" spans="1:4" ht="15" customHeight="1" x14ac:dyDescent="0.3">
      <c r="A1211" s="15">
        <v>133957</v>
      </c>
      <c r="B1211" s="17" t="s">
        <v>1205</v>
      </c>
      <c r="C1211" s="12">
        <v>43108</v>
      </c>
      <c r="D1211" s="11" t="str">
        <f>_xlfn.IFNA(IF(VLOOKUP(Tabela2[[#This Row],[CÓDIGO]],Aguardando_exclusão!A$4:A$4003,1,FALSE),"sim",""),"")</f>
        <v/>
      </c>
    </row>
    <row r="1212" spans="1:4" ht="15" customHeight="1" x14ac:dyDescent="0.3">
      <c r="A1212" s="15">
        <v>134045</v>
      </c>
      <c r="B1212" s="17" t="s">
        <v>1206</v>
      </c>
      <c r="C1212" s="12">
        <v>43117</v>
      </c>
      <c r="D1212" s="11" t="str">
        <f>_xlfn.IFNA(IF(VLOOKUP(Tabela2[[#This Row],[CÓDIGO]],Aguardando_exclusão!A$4:A$4003,1,FALSE),"sim",""),"")</f>
        <v/>
      </c>
    </row>
    <row r="1213" spans="1:4" ht="15" customHeight="1" x14ac:dyDescent="0.3">
      <c r="A1213" s="15">
        <v>134246</v>
      </c>
      <c r="B1213" s="17" t="s">
        <v>1207</v>
      </c>
      <c r="C1213" s="12">
        <v>43138</v>
      </c>
      <c r="D1213" s="11" t="str">
        <f>_xlfn.IFNA(IF(VLOOKUP(Tabela2[[#This Row],[CÓDIGO]],Aguardando_exclusão!A$4:A$4003,1,FALSE),"sim",""),"")</f>
        <v/>
      </c>
    </row>
    <row r="1214" spans="1:4" ht="15" customHeight="1" x14ac:dyDescent="0.3">
      <c r="A1214" s="15">
        <v>134247</v>
      </c>
      <c r="B1214" s="17" t="s">
        <v>1208</v>
      </c>
      <c r="C1214" s="12">
        <v>43138</v>
      </c>
      <c r="D1214" s="11" t="str">
        <f>_xlfn.IFNA(IF(VLOOKUP(Tabela2[[#This Row],[CÓDIGO]],Aguardando_exclusão!A$4:A$4003,1,FALSE),"sim",""),"")</f>
        <v/>
      </c>
    </row>
    <row r="1215" spans="1:4" ht="15" customHeight="1" x14ac:dyDescent="0.3">
      <c r="A1215" s="15">
        <v>134373</v>
      </c>
      <c r="B1215" s="17" t="s">
        <v>1209</v>
      </c>
      <c r="C1215" s="12">
        <v>43154</v>
      </c>
      <c r="D1215" s="11" t="str">
        <f>_xlfn.IFNA(IF(VLOOKUP(Tabela2[[#This Row],[CÓDIGO]],Aguardando_exclusão!A$4:A$4003,1,FALSE),"sim",""),"")</f>
        <v/>
      </c>
    </row>
    <row r="1216" spans="1:4" ht="15" customHeight="1" x14ac:dyDescent="0.3">
      <c r="A1216" s="15">
        <v>134542</v>
      </c>
      <c r="B1216" s="17" t="s">
        <v>1210</v>
      </c>
      <c r="C1216" s="12">
        <v>43172</v>
      </c>
      <c r="D1216" s="11" t="str">
        <f>_xlfn.IFNA(IF(VLOOKUP(Tabela2[[#This Row],[CÓDIGO]],Aguardando_exclusão!A$4:A$4003,1,FALSE),"sim",""),"")</f>
        <v/>
      </c>
    </row>
    <row r="1217" spans="1:4" ht="15" customHeight="1" x14ac:dyDescent="0.3">
      <c r="A1217" s="15">
        <v>134543</v>
      </c>
      <c r="B1217" s="17" t="s">
        <v>1211</v>
      </c>
      <c r="C1217" s="12">
        <v>43172</v>
      </c>
      <c r="D1217" s="11" t="str">
        <f>_xlfn.IFNA(IF(VLOOKUP(Tabela2[[#This Row],[CÓDIGO]],Aguardando_exclusão!A$4:A$4003,1,FALSE),"sim",""),"")</f>
        <v/>
      </c>
    </row>
    <row r="1218" spans="1:4" ht="15" customHeight="1" x14ac:dyDescent="0.3">
      <c r="A1218" s="15">
        <v>134544</v>
      </c>
      <c r="B1218" s="17" t="s">
        <v>1212</v>
      </c>
      <c r="C1218" s="12">
        <v>43172</v>
      </c>
      <c r="D1218" s="11" t="str">
        <f>_xlfn.IFNA(IF(VLOOKUP(Tabela2[[#This Row],[CÓDIGO]],Aguardando_exclusão!A$4:A$4003,1,FALSE),"sim",""),"")</f>
        <v/>
      </c>
    </row>
    <row r="1219" spans="1:4" ht="15" customHeight="1" x14ac:dyDescent="0.3">
      <c r="A1219" s="15">
        <v>134545</v>
      </c>
      <c r="B1219" s="17" t="s">
        <v>1213</v>
      </c>
      <c r="C1219" s="12">
        <v>43172</v>
      </c>
      <c r="D1219" s="11" t="str">
        <f>_xlfn.IFNA(IF(VLOOKUP(Tabela2[[#This Row],[CÓDIGO]],Aguardando_exclusão!A$4:A$4003,1,FALSE),"sim",""),"")</f>
        <v/>
      </c>
    </row>
    <row r="1220" spans="1:4" ht="15" customHeight="1" x14ac:dyDescent="0.3">
      <c r="A1220" s="15">
        <v>134546</v>
      </c>
      <c r="B1220" s="17" t="s">
        <v>1214</v>
      </c>
      <c r="C1220" s="12">
        <v>43172</v>
      </c>
      <c r="D1220" s="11" t="str">
        <f>_xlfn.IFNA(IF(VLOOKUP(Tabela2[[#This Row],[CÓDIGO]],Aguardando_exclusão!A$4:A$4003,1,FALSE),"sim",""),"")</f>
        <v/>
      </c>
    </row>
    <row r="1221" spans="1:4" ht="15" customHeight="1" x14ac:dyDescent="0.3">
      <c r="A1221" s="15">
        <v>134547</v>
      </c>
      <c r="B1221" s="17" t="s">
        <v>1215</v>
      </c>
      <c r="C1221" s="12">
        <v>43172</v>
      </c>
      <c r="D1221" s="11" t="str">
        <f>_xlfn.IFNA(IF(VLOOKUP(Tabela2[[#This Row],[CÓDIGO]],Aguardando_exclusão!A$4:A$4003,1,FALSE),"sim",""),"")</f>
        <v/>
      </c>
    </row>
    <row r="1222" spans="1:4" ht="15" customHeight="1" x14ac:dyDescent="0.3">
      <c r="A1222" s="15">
        <v>134548</v>
      </c>
      <c r="B1222" s="17" t="s">
        <v>1216</v>
      </c>
      <c r="C1222" s="12">
        <v>43174</v>
      </c>
      <c r="D1222" s="11" t="str">
        <f>_xlfn.IFNA(IF(VLOOKUP(Tabela2[[#This Row],[CÓDIGO]],Aguardando_exclusão!A$4:A$4003,1,FALSE),"sim",""),"")</f>
        <v/>
      </c>
    </row>
    <row r="1223" spans="1:4" ht="15" customHeight="1" x14ac:dyDescent="0.3">
      <c r="A1223" s="15">
        <v>134556</v>
      </c>
      <c r="B1223" s="17" t="s">
        <v>1217</v>
      </c>
      <c r="C1223" s="12">
        <v>43174</v>
      </c>
      <c r="D1223" s="11" t="str">
        <f>_xlfn.IFNA(IF(VLOOKUP(Tabela2[[#This Row],[CÓDIGO]],Aguardando_exclusão!A$4:A$4003,1,FALSE),"sim",""),"")</f>
        <v/>
      </c>
    </row>
    <row r="1224" spans="1:4" ht="15" customHeight="1" x14ac:dyDescent="0.3">
      <c r="A1224" s="15">
        <v>134557</v>
      </c>
      <c r="B1224" s="17" t="s">
        <v>1218</v>
      </c>
      <c r="C1224" s="12">
        <v>43174</v>
      </c>
      <c r="D1224" s="11" t="str">
        <f>_xlfn.IFNA(IF(VLOOKUP(Tabela2[[#This Row],[CÓDIGO]],Aguardando_exclusão!A$4:A$4003,1,FALSE),"sim",""),"")</f>
        <v/>
      </c>
    </row>
    <row r="1225" spans="1:4" ht="15" customHeight="1" x14ac:dyDescent="0.3">
      <c r="A1225" s="15">
        <v>134558</v>
      </c>
      <c r="B1225" s="17" t="s">
        <v>1219</v>
      </c>
      <c r="C1225" s="12">
        <v>43174</v>
      </c>
      <c r="D1225" s="11" t="str">
        <f>_xlfn.IFNA(IF(VLOOKUP(Tabela2[[#This Row],[CÓDIGO]],Aguardando_exclusão!A$4:A$4003,1,FALSE),"sim",""),"")</f>
        <v/>
      </c>
    </row>
    <row r="1226" spans="1:4" ht="15" customHeight="1" x14ac:dyDescent="0.3">
      <c r="A1226" s="15">
        <v>134559</v>
      </c>
      <c r="B1226" s="17" t="s">
        <v>1220</v>
      </c>
      <c r="C1226" s="12">
        <v>43174</v>
      </c>
      <c r="D1226" s="11" t="str">
        <f>_xlfn.IFNA(IF(VLOOKUP(Tabela2[[#This Row],[CÓDIGO]],Aguardando_exclusão!A$4:A$4003,1,FALSE),"sim",""),"")</f>
        <v/>
      </c>
    </row>
    <row r="1227" spans="1:4" ht="15" customHeight="1" x14ac:dyDescent="0.3">
      <c r="A1227" s="15">
        <v>134560</v>
      </c>
      <c r="B1227" s="17" t="s">
        <v>1221</v>
      </c>
      <c r="C1227" s="12">
        <v>43174</v>
      </c>
      <c r="D1227" s="11" t="str">
        <f>_xlfn.IFNA(IF(VLOOKUP(Tabela2[[#This Row],[CÓDIGO]],Aguardando_exclusão!A$4:A$4003,1,FALSE),"sim",""),"")</f>
        <v/>
      </c>
    </row>
    <row r="1228" spans="1:4" ht="15" customHeight="1" x14ac:dyDescent="0.3">
      <c r="A1228" s="15">
        <v>134561</v>
      </c>
      <c r="B1228" s="17" t="s">
        <v>1222</v>
      </c>
      <c r="C1228" s="12">
        <v>43174</v>
      </c>
      <c r="D1228" s="11" t="str">
        <f>_xlfn.IFNA(IF(VLOOKUP(Tabela2[[#This Row],[CÓDIGO]],Aguardando_exclusão!A$4:A$4003,1,FALSE),"sim",""),"")</f>
        <v/>
      </c>
    </row>
    <row r="1229" spans="1:4" ht="15" customHeight="1" x14ac:dyDescent="0.3">
      <c r="A1229" s="15">
        <v>134562</v>
      </c>
      <c r="B1229" s="17" t="s">
        <v>1223</v>
      </c>
      <c r="C1229" s="12">
        <v>43174</v>
      </c>
      <c r="D1229" s="11" t="str">
        <f>_xlfn.IFNA(IF(VLOOKUP(Tabela2[[#This Row],[CÓDIGO]],Aguardando_exclusão!A$4:A$4003,1,FALSE),"sim",""),"")</f>
        <v/>
      </c>
    </row>
    <row r="1230" spans="1:4" ht="15" customHeight="1" x14ac:dyDescent="0.3">
      <c r="A1230" s="15">
        <v>134563</v>
      </c>
      <c r="B1230" s="17" t="s">
        <v>1224</v>
      </c>
      <c r="C1230" s="12">
        <v>43174</v>
      </c>
      <c r="D1230" s="11" t="str">
        <f>_xlfn.IFNA(IF(VLOOKUP(Tabela2[[#This Row],[CÓDIGO]],Aguardando_exclusão!A$4:A$4003,1,FALSE),"sim",""),"")</f>
        <v/>
      </c>
    </row>
    <row r="1231" spans="1:4" ht="15" customHeight="1" x14ac:dyDescent="0.3">
      <c r="A1231" s="15">
        <v>134564</v>
      </c>
      <c r="B1231" s="17" t="s">
        <v>1225</v>
      </c>
      <c r="C1231" s="12">
        <v>43174</v>
      </c>
      <c r="D1231" s="11" t="str">
        <f>_xlfn.IFNA(IF(VLOOKUP(Tabela2[[#This Row],[CÓDIGO]],Aguardando_exclusão!A$4:A$4003,1,FALSE),"sim",""),"")</f>
        <v/>
      </c>
    </row>
    <row r="1232" spans="1:4" ht="15" customHeight="1" x14ac:dyDescent="0.3">
      <c r="A1232" s="15">
        <v>134565</v>
      </c>
      <c r="B1232" s="17" t="s">
        <v>1226</v>
      </c>
      <c r="C1232" s="12">
        <v>43174</v>
      </c>
      <c r="D1232" s="11" t="str">
        <f>_xlfn.IFNA(IF(VLOOKUP(Tabela2[[#This Row],[CÓDIGO]],Aguardando_exclusão!A$4:A$4003,1,FALSE),"sim",""),"")</f>
        <v/>
      </c>
    </row>
    <row r="1233" spans="1:4" ht="15" customHeight="1" x14ac:dyDescent="0.3">
      <c r="A1233" s="15">
        <v>134566</v>
      </c>
      <c r="B1233" s="17" t="s">
        <v>1227</v>
      </c>
      <c r="C1233" s="12">
        <v>43174</v>
      </c>
      <c r="D1233" s="11" t="str">
        <f>_xlfn.IFNA(IF(VLOOKUP(Tabela2[[#This Row],[CÓDIGO]],Aguardando_exclusão!A$4:A$4003,1,FALSE),"sim",""),"")</f>
        <v/>
      </c>
    </row>
    <row r="1234" spans="1:4" ht="15" customHeight="1" x14ac:dyDescent="0.3">
      <c r="A1234" s="15">
        <v>134567</v>
      </c>
      <c r="B1234" s="17" t="s">
        <v>1228</v>
      </c>
      <c r="C1234" s="12">
        <v>43174</v>
      </c>
      <c r="D1234" s="11" t="str">
        <f>_xlfn.IFNA(IF(VLOOKUP(Tabela2[[#This Row],[CÓDIGO]],Aguardando_exclusão!A$4:A$4003,1,FALSE),"sim",""),"")</f>
        <v/>
      </c>
    </row>
    <row r="1235" spans="1:4" ht="15" customHeight="1" x14ac:dyDescent="0.3">
      <c r="A1235" s="15">
        <v>134568</v>
      </c>
      <c r="B1235" s="17" t="s">
        <v>1229</v>
      </c>
      <c r="C1235" s="12">
        <v>43174</v>
      </c>
      <c r="D1235" s="11" t="str">
        <f>_xlfn.IFNA(IF(VLOOKUP(Tabela2[[#This Row],[CÓDIGO]],Aguardando_exclusão!A$4:A$4003,1,FALSE),"sim",""),"")</f>
        <v/>
      </c>
    </row>
    <row r="1236" spans="1:4" ht="15" customHeight="1" x14ac:dyDescent="0.3">
      <c r="A1236" s="15">
        <v>134569</v>
      </c>
      <c r="B1236" s="17" t="s">
        <v>1230</v>
      </c>
      <c r="C1236" s="12">
        <v>43174</v>
      </c>
      <c r="D1236" s="11" t="str">
        <f>_xlfn.IFNA(IF(VLOOKUP(Tabela2[[#This Row],[CÓDIGO]],Aguardando_exclusão!A$4:A$4003,1,FALSE),"sim",""),"")</f>
        <v/>
      </c>
    </row>
    <row r="1237" spans="1:4" ht="15" customHeight="1" x14ac:dyDescent="0.3">
      <c r="A1237" s="15">
        <v>134581</v>
      </c>
      <c r="B1237" s="17" t="s">
        <v>1231</v>
      </c>
      <c r="C1237" s="12">
        <v>43174</v>
      </c>
      <c r="D1237" s="11" t="str">
        <f>_xlfn.IFNA(IF(VLOOKUP(Tabela2[[#This Row],[CÓDIGO]],Aguardando_exclusão!A$4:A$4003,1,FALSE),"sim",""),"")</f>
        <v/>
      </c>
    </row>
    <row r="1238" spans="1:4" ht="15" customHeight="1" x14ac:dyDescent="0.3">
      <c r="A1238" s="15">
        <v>134582</v>
      </c>
      <c r="B1238" s="17" t="s">
        <v>1232</v>
      </c>
      <c r="C1238" s="12">
        <v>43174</v>
      </c>
      <c r="D1238" s="11" t="str">
        <f>_xlfn.IFNA(IF(VLOOKUP(Tabela2[[#This Row],[CÓDIGO]],Aguardando_exclusão!A$4:A$4003,1,FALSE),"sim",""),"")</f>
        <v/>
      </c>
    </row>
    <row r="1239" spans="1:4" ht="15" customHeight="1" x14ac:dyDescent="0.3">
      <c r="A1239" s="15">
        <v>135224</v>
      </c>
      <c r="B1239" s="17" t="s">
        <v>1233</v>
      </c>
      <c r="C1239" s="12">
        <v>43264</v>
      </c>
      <c r="D1239" s="11" t="str">
        <f>_xlfn.IFNA(IF(VLOOKUP(Tabela2[[#This Row],[CÓDIGO]],Aguardando_exclusão!A$4:A$4003,1,FALSE),"sim",""),"")</f>
        <v/>
      </c>
    </row>
    <row r="1240" spans="1:4" ht="15" customHeight="1" x14ac:dyDescent="0.3">
      <c r="A1240" s="15">
        <v>135225</v>
      </c>
      <c r="B1240" s="17" t="s">
        <v>1234</v>
      </c>
      <c r="C1240" s="12">
        <v>43264</v>
      </c>
      <c r="D1240" s="11" t="str">
        <f>_xlfn.IFNA(IF(VLOOKUP(Tabela2[[#This Row],[CÓDIGO]],Aguardando_exclusão!A$4:A$4003,1,FALSE),"sim",""),"")</f>
        <v/>
      </c>
    </row>
    <row r="1241" spans="1:4" ht="15" customHeight="1" x14ac:dyDescent="0.3">
      <c r="A1241" s="15">
        <v>135226</v>
      </c>
      <c r="B1241" s="17" t="s">
        <v>1235</v>
      </c>
      <c r="C1241" s="12">
        <v>43264</v>
      </c>
      <c r="D1241" s="11" t="str">
        <f>_xlfn.IFNA(IF(VLOOKUP(Tabela2[[#This Row],[CÓDIGO]],Aguardando_exclusão!A$4:A$4003,1,FALSE),"sim",""),"")</f>
        <v/>
      </c>
    </row>
    <row r="1242" spans="1:4" ht="15" customHeight="1" x14ac:dyDescent="0.3">
      <c r="A1242" s="15">
        <v>135227</v>
      </c>
      <c r="B1242" s="17" t="s">
        <v>1236</v>
      </c>
      <c r="C1242" s="12">
        <v>43264</v>
      </c>
      <c r="D1242" s="11" t="str">
        <f>_xlfn.IFNA(IF(VLOOKUP(Tabela2[[#This Row],[CÓDIGO]],Aguardando_exclusão!A$4:A$4003,1,FALSE),"sim",""),"")</f>
        <v/>
      </c>
    </row>
    <row r="1243" spans="1:4" ht="15" customHeight="1" x14ac:dyDescent="0.3">
      <c r="A1243" s="15">
        <v>135238</v>
      </c>
      <c r="B1243" s="17" t="s">
        <v>1237</v>
      </c>
      <c r="C1243" s="12">
        <v>43265</v>
      </c>
      <c r="D1243" s="11" t="str">
        <f>_xlfn.IFNA(IF(VLOOKUP(Tabela2[[#This Row],[CÓDIGO]],Aguardando_exclusão!A$4:A$4003,1,FALSE),"sim",""),"")</f>
        <v/>
      </c>
    </row>
    <row r="1244" spans="1:4" ht="15" customHeight="1" x14ac:dyDescent="0.3">
      <c r="A1244" s="15">
        <v>135239</v>
      </c>
      <c r="B1244" s="17" t="s">
        <v>1238</v>
      </c>
      <c r="C1244" s="12">
        <v>43265</v>
      </c>
      <c r="D1244" s="11" t="str">
        <f>_xlfn.IFNA(IF(VLOOKUP(Tabela2[[#This Row],[CÓDIGO]],Aguardando_exclusão!A$4:A$4003,1,FALSE),"sim",""),"")</f>
        <v/>
      </c>
    </row>
    <row r="1245" spans="1:4" ht="15" customHeight="1" x14ac:dyDescent="0.3">
      <c r="A1245" s="15">
        <v>135297</v>
      </c>
      <c r="B1245" s="17" t="s">
        <v>1239</v>
      </c>
      <c r="C1245" s="12">
        <v>43277</v>
      </c>
      <c r="D1245" s="11" t="str">
        <f>_xlfn.IFNA(IF(VLOOKUP(Tabela2[[#This Row],[CÓDIGO]],Aguardando_exclusão!A$4:A$4003,1,FALSE),"sim",""),"")</f>
        <v/>
      </c>
    </row>
    <row r="1246" spans="1:4" ht="15" customHeight="1" x14ac:dyDescent="0.3">
      <c r="A1246" s="15">
        <v>135299</v>
      </c>
      <c r="B1246" s="17" t="s">
        <v>1240</v>
      </c>
      <c r="C1246" s="12">
        <v>43277</v>
      </c>
      <c r="D1246" s="11" t="str">
        <f>_xlfn.IFNA(IF(VLOOKUP(Tabela2[[#This Row],[CÓDIGO]],Aguardando_exclusão!A$4:A$4003,1,FALSE),"sim",""),"")</f>
        <v/>
      </c>
    </row>
    <row r="1247" spans="1:4" ht="15" customHeight="1" x14ac:dyDescent="0.3">
      <c r="A1247" s="15">
        <v>135300</v>
      </c>
      <c r="B1247" s="17" t="s">
        <v>1241</v>
      </c>
      <c r="C1247" s="12">
        <v>43277</v>
      </c>
      <c r="D1247" s="11" t="str">
        <f>_xlfn.IFNA(IF(VLOOKUP(Tabela2[[#This Row],[CÓDIGO]],Aguardando_exclusão!A$4:A$4003,1,FALSE),"sim",""),"")</f>
        <v/>
      </c>
    </row>
    <row r="1248" spans="1:4" ht="15" customHeight="1" x14ac:dyDescent="0.3">
      <c r="A1248" s="15">
        <v>135301</v>
      </c>
      <c r="B1248" s="17" t="s">
        <v>1242</v>
      </c>
      <c r="C1248" s="12">
        <v>43277</v>
      </c>
      <c r="D1248" s="11" t="str">
        <f>_xlfn.IFNA(IF(VLOOKUP(Tabela2[[#This Row],[CÓDIGO]],Aguardando_exclusão!A$4:A$4003,1,FALSE),"sim",""),"")</f>
        <v/>
      </c>
    </row>
    <row r="1249" spans="1:4" ht="15" customHeight="1" x14ac:dyDescent="0.3">
      <c r="A1249" s="15">
        <v>135302</v>
      </c>
      <c r="B1249" s="17" t="s">
        <v>1243</v>
      </c>
      <c r="C1249" s="12">
        <v>43277</v>
      </c>
      <c r="D1249" s="11" t="str">
        <f>_xlfn.IFNA(IF(VLOOKUP(Tabela2[[#This Row],[CÓDIGO]],Aguardando_exclusão!A$4:A$4003,1,FALSE),"sim",""),"")</f>
        <v/>
      </c>
    </row>
    <row r="1250" spans="1:4" ht="15" customHeight="1" x14ac:dyDescent="0.3">
      <c r="A1250" s="15">
        <v>135303</v>
      </c>
      <c r="B1250" s="17" t="s">
        <v>1244</v>
      </c>
      <c r="C1250" s="12">
        <v>43277</v>
      </c>
      <c r="D1250" s="11" t="str">
        <f>_xlfn.IFNA(IF(VLOOKUP(Tabela2[[#This Row],[CÓDIGO]],Aguardando_exclusão!A$4:A$4003,1,FALSE),"sim",""),"")</f>
        <v/>
      </c>
    </row>
    <row r="1251" spans="1:4" ht="15" customHeight="1" x14ac:dyDescent="0.3">
      <c r="A1251" s="15">
        <v>135304</v>
      </c>
      <c r="B1251" s="17" t="s">
        <v>1245</v>
      </c>
      <c r="C1251" s="12">
        <v>43277</v>
      </c>
      <c r="D1251" s="11" t="str">
        <f>_xlfn.IFNA(IF(VLOOKUP(Tabela2[[#This Row],[CÓDIGO]],Aguardando_exclusão!A$4:A$4003,1,FALSE),"sim",""),"")</f>
        <v/>
      </c>
    </row>
    <row r="1252" spans="1:4" ht="15" customHeight="1" x14ac:dyDescent="0.3">
      <c r="A1252" s="15">
        <v>135700</v>
      </c>
      <c r="B1252" s="17" t="s">
        <v>1246</v>
      </c>
      <c r="C1252" s="12">
        <v>43333</v>
      </c>
      <c r="D1252" s="11" t="str">
        <f>_xlfn.IFNA(IF(VLOOKUP(Tabela2[[#This Row],[CÓDIGO]],Aguardando_exclusão!A$4:A$4003,1,FALSE),"sim",""),"")</f>
        <v/>
      </c>
    </row>
    <row r="1253" spans="1:4" ht="15" customHeight="1" x14ac:dyDescent="0.3">
      <c r="A1253" s="15">
        <v>136037</v>
      </c>
      <c r="B1253" s="17" t="s">
        <v>1247</v>
      </c>
      <c r="C1253" s="12">
        <v>43418</v>
      </c>
      <c r="D1253" s="11" t="str">
        <f>_xlfn.IFNA(IF(VLOOKUP(Tabela2[[#This Row],[CÓDIGO]],Aguardando_exclusão!A$4:A$4003,1,FALSE),"sim",""),"")</f>
        <v/>
      </c>
    </row>
    <row r="1254" spans="1:4" ht="15" customHeight="1" x14ac:dyDescent="0.3">
      <c r="A1254" s="15">
        <v>136038</v>
      </c>
      <c r="B1254" s="17" t="s">
        <v>1248</v>
      </c>
      <c r="C1254" s="12">
        <v>43418</v>
      </c>
      <c r="D1254" s="11" t="str">
        <f>_xlfn.IFNA(IF(VLOOKUP(Tabela2[[#This Row],[CÓDIGO]],Aguardando_exclusão!A$4:A$4003,1,FALSE),"sim",""),"")</f>
        <v/>
      </c>
    </row>
    <row r="1255" spans="1:4" ht="15" customHeight="1" x14ac:dyDescent="0.3">
      <c r="A1255" s="15">
        <v>136039</v>
      </c>
      <c r="B1255" s="17" t="s">
        <v>1249</v>
      </c>
      <c r="C1255" s="12">
        <v>43418</v>
      </c>
      <c r="D1255" s="11" t="str">
        <f>_xlfn.IFNA(IF(VLOOKUP(Tabela2[[#This Row],[CÓDIGO]],Aguardando_exclusão!A$4:A$4003,1,FALSE),"sim",""),"")</f>
        <v/>
      </c>
    </row>
    <row r="1256" spans="1:4" ht="15" customHeight="1" x14ac:dyDescent="0.3">
      <c r="A1256" s="15">
        <v>136040</v>
      </c>
      <c r="B1256" s="17" t="s">
        <v>1250</v>
      </c>
      <c r="C1256" s="12">
        <v>43418</v>
      </c>
      <c r="D1256" s="11" t="str">
        <f>_xlfn.IFNA(IF(VLOOKUP(Tabela2[[#This Row],[CÓDIGO]],Aguardando_exclusão!A$4:A$4003,1,FALSE),"sim",""),"")</f>
        <v/>
      </c>
    </row>
  </sheetData>
  <conditionalFormatting sqref="A2:D1998">
    <cfRule type="expression" dxfId="15" priority="1">
      <formula>$D2="sim"</formula>
    </cfRule>
  </conditionalFormatting>
  <conditionalFormatting sqref="A2:A1998">
    <cfRule type="duplicateValues" dxfId="14" priority="7"/>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G273"/>
  <sheetViews>
    <sheetView topLeftCell="A115" workbookViewId="0">
      <selection activeCell="A273" sqref="A273"/>
    </sheetView>
  </sheetViews>
  <sheetFormatPr defaultRowHeight="14.4" x14ac:dyDescent="0.3"/>
  <cols>
    <col min="2" max="2" width="129" customWidth="1"/>
    <col min="7" max="7" width="21.44140625" bestFit="1" customWidth="1"/>
  </cols>
  <sheetData>
    <row r="1" spans="1:7" ht="18" x14ac:dyDescent="0.35">
      <c r="A1" s="23" t="s">
        <v>1251</v>
      </c>
      <c r="B1" s="23"/>
      <c r="C1" s="23"/>
      <c r="D1" s="23"/>
      <c r="E1" s="23"/>
      <c r="F1" s="23"/>
      <c r="G1" s="23"/>
    </row>
    <row r="2" spans="1:7" x14ac:dyDescent="0.3">
      <c r="A2" s="2"/>
      <c r="B2" s="3"/>
      <c r="C2" s="2"/>
      <c r="D2" s="2"/>
      <c r="E2" s="2"/>
      <c r="F2" s="2"/>
      <c r="G2" s="2"/>
    </row>
    <row r="3" spans="1:7" x14ac:dyDescent="0.3">
      <c r="A3" s="4" t="s">
        <v>0</v>
      </c>
      <c r="B3" s="5" t="s">
        <v>1</v>
      </c>
      <c r="C3" s="6" t="s">
        <v>1252</v>
      </c>
      <c r="D3" s="4" t="s">
        <v>1253</v>
      </c>
      <c r="E3" s="4" t="s">
        <v>1254</v>
      </c>
      <c r="F3" s="4" t="s">
        <v>1255</v>
      </c>
      <c r="G3" s="5" t="s">
        <v>1256</v>
      </c>
    </row>
    <row r="4" spans="1:7" ht="15" customHeight="1" x14ac:dyDescent="0.3">
      <c r="A4" s="7">
        <v>102634</v>
      </c>
      <c r="B4" s="8" t="s">
        <v>789</v>
      </c>
      <c r="C4" s="7" t="s">
        <v>1257</v>
      </c>
      <c r="D4" s="7">
        <v>69</v>
      </c>
      <c r="E4" s="7">
        <v>5</v>
      </c>
      <c r="F4" s="9">
        <v>12</v>
      </c>
      <c r="G4" s="10" t="s">
        <v>1258</v>
      </c>
    </row>
    <row r="5" spans="1:7" ht="15" customHeight="1" x14ac:dyDescent="0.3">
      <c r="A5" s="7">
        <v>25536</v>
      </c>
      <c r="B5" s="8" t="s">
        <v>312</v>
      </c>
      <c r="C5" s="7" t="s">
        <v>1257</v>
      </c>
      <c r="D5" s="7">
        <v>55</v>
      </c>
      <c r="E5" s="7">
        <v>46</v>
      </c>
      <c r="F5" s="9">
        <v>438</v>
      </c>
      <c r="G5" s="10" t="s">
        <v>1258</v>
      </c>
    </row>
    <row r="6" spans="1:7" ht="15" customHeight="1" x14ac:dyDescent="0.3">
      <c r="A6" s="7">
        <v>14009</v>
      </c>
      <c r="B6" s="8" t="s">
        <v>150</v>
      </c>
      <c r="C6" s="7" t="s">
        <v>1257</v>
      </c>
      <c r="D6" s="7">
        <v>55</v>
      </c>
      <c r="E6" s="7">
        <v>46</v>
      </c>
      <c r="F6" s="9">
        <v>357</v>
      </c>
      <c r="G6" s="10" t="s">
        <v>1258</v>
      </c>
    </row>
    <row r="7" spans="1:7" ht="15" customHeight="1" x14ac:dyDescent="0.3">
      <c r="A7" s="7">
        <v>14010</v>
      </c>
      <c r="B7" s="8" t="s">
        <v>151</v>
      </c>
      <c r="C7" s="7" t="s">
        <v>1257</v>
      </c>
      <c r="D7" s="7">
        <v>55</v>
      </c>
      <c r="E7" s="7">
        <v>46</v>
      </c>
      <c r="F7" s="9">
        <v>139</v>
      </c>
      <c r="G7" s="10" t="s">
        <v>1258</v>
      </c>
    </row>
    <row r="8" spans="1:7" ht="15" customHeight="1" x14ac:dyDescent="0.3">
      <c r="A8" s="7">
        <v>28781</v>
      </c>
      <c r="B8" s="8" t="s">
        <v>343</v>
      </c>
      <c r="C8" s="7" t="s">
        <v>1257</v>
      </c>
      <c r="D8" s="7">
        <v>55</v>
      </c>
      <c r="E8" s="7">
        <v>46</v>
      </c>
      <c r="F8" s="9">
        <v>839</v>
      </c>
      <c r="G8" s="10" t="s">
        <v>1258</v>
      </c>
    </row>
    <row r="9" spans="1:7" ht="15" customHeight="1" x14ac:dyDescent="0.3">
      <c r="A9" s="7">
        <v>28782</v>
      </c>
      <c r="B9" s="8" t="s">
        <v>344</v>
      </c>
      <c r="C9" s="7" t="s">
        <v>1257</v>
      </c>
      <c r="D9" s="7">
        <v>55</v>
      </c>
      <c r="E9" s="7">
        <v>46</v>
      </c>
      <c r="F9" s="9">
        <v>142</v>
      </c>
      <c r="G9" s="10" t="s">
        <v>1258</v>
      </c>
    </row>
    <row r="10" spans="1:7" ht="15" customHeight="1" x14ac:dyDescent="0.3">
      <c r="A10" s="7">
        <v>38079</v>
      </c>
      <c r="B10" s="8" t="s">
        <v>402</v>
      </c>
      <c r="C10" s="7" t="s">
        <v>1257</v>
      </c>
      <c r="D10" s="7">
        <v>55</v>
      </c>
      <c r="E10" s="7">
        <v>46</v>
      </c>
      <c r="F10" s="9">
        <v>33</v>
      </c>
      <c r="G10" s="10" t="s">
        <v>1258</v>
      </c>
    </row>
    <row r="11" spans="1:7" ht="15" customHeight="1" x14ac:dyDescent="0.3">
      <c r="A11" s="7">
        <v>75027</v>
      </c>
      <c r="B11" s="8" t="s">
        <v>1259</v>
      </c>
      <c r="C11" s="7" t="s">
        <v>1260</v>
      </c>
      <c r="D11" s="7">
        <v>65</v>
      </c>
      <c r="E11" s="7">
        <v>26</v>
      </c>
      <c r="F11" s="9">
        <v>1</v>
      </c>
      <c r="G11" s="10"/>
    </row>
    <row r="12" spans="1:7" ht="15" customHeight="1" x14ac:dyDescent="0.3">
      <c r="A12" s="7">
        <v>32648</v>
      </c>
      <c r="B12" s="8" t="s">
        <v>373</v>
      </c>
      <c r="C12" s="7" t="s">
        <v>1261</v>
      </c>
      <c r="D12" s="7">
        <v>67</v>
      </c>
      <c r="E12" s="7">
        <v>14</v>
      </c>
      <c r="F12" s="9">
        <v>3</v>
      </c>
      <c r="G12" s="10" t="s">
        <v>1262</v>
      </c>
    </row>
    <row r="13" spans="1:7" ht="15" customHeight="1" x14ac:dyDescent="0.3">
      <c r="A13" s="7">
        <v>43648</v>
      </c>
      <c r="B13" s="8" t="s">
        <v>416</v>
      </c>
      <c r="C13" s="7" t="s">
        <v>1257</v>
      </c>
      <c r="D13" s="7">
        <v>55</v>
      </c>
      <c r="E13" s="7">
        <v>32</v>
      </c>
      <c r="F13" s="9">
        <v>546</v>
      </c>
      <c r="G13" s="10" t="s">
        <v>1263</v>
      </c>
    </row>
    <row r="14" spans="1:7" ht="15" customHeight="1" x14ac:dyDescent="0.3">
      <c r="A14" s="7">
        <v>17105</v>
      </c>
      <c r="B14" s="8" t="s">
        <v>229</v>
      </c>
      <c r="C14" s="7" t="s">
        <v>1257</v>
      </c>
      <c r="D14" s="7">
        <v>52</v>
      </c>
      <c r="E14" s="7">
        <v>5</v>
      </c>
      <c r="F14" s="9">
        <v>69</v>
      </c>
      <c r="G14" s="10" t="s">
        <v>1264</v>
      </c>
    </row>
    <row r="15" spans="1:7" ht="15" customHeight="1" x14ac:dyDescent="0.3">
      <c r="A15" s="7">
        <v>62365</v>
      </c>
      <c r="B15" s="8" t="s">
        <v>503</v>
      </c>
      <c r="C15" s="7" t="s">
        <v>1257</v>
      </c>
      <c r="D15" s="7">
        <v>52</v>
      </c>
      <c r="E15" s="7">
        <v>8</v>
      </c>
      <c r="F15" s="9">
        <v>90</v>
      </c>
      <c r="G15" s="10" t="s">
        <v>1264</v>
      </c>
    </row>
    <row r="16" spans="1:7" ht="15" customHeight="1" x14ac:dyDescent="0.3">
      <c r="A16" s="7">
        <v>64606</v>
      </c>
      <c r="B16" s="8" t="s">
        <v>1265</v>
      </c>
      <c r="C16" s="7" t="s">
        <v>1266</v>
      </c>
      <c r="D16" s="7">
        <v>69</v>
      </c>
      <c r="E16" s="7">
        <v>8</v>
      </c>
      <c r="F16" s="9">
        <v>67</v>
      </c>
      <c r="G16" s="10" t="s">
        <v>1262</v>
      </c>
    </row>
    <row r="17" spans="1:7" ht="15" customHeight="1" x14ac:dyDescent="0.3">
      <c r="A17" s="7">
        <v>51337</v>
      </c>
      <c r="B17" s="8" t="s">
        <v>1267</v>
      </c>
      <c r="C17" s="7" t="s">
        <v>1257</v>
      </c>
      <c r="D17" s="7">
        <v>74</v>
      </c>
      <c r="E17" s="7">
        <v>10</v>
      </c>
      <c r="F17" s="9">
        <v>2</v>
      </c>
      <c r="G17" s="10" t="s">
        <v>1262</v>
      </c>
    </row>
    <row r="18" spans="1:7" ht="15" customHeight="1" x14ac:dyDescent="0.3">
      <c r="A18" s="7">
        <v>53016</v>
      </c>
      <c r="B18" s="8" t="s">
        <v>1268</v>
      </c>
      <c r="C18" s="7" t="s">
        <v>1269</v>
      </c>
      <c r="D18" s="7">
        <v>74</v>
      </c>
      <c r="E18" s="7">
        <v>10</v>
      </c>
      <c r="F18" s="9">
        <v>10</v>
      </c>
      <c r="G18" s="10" t="s">
        <v>1262</v>
      </c>
    </row>
    <row r="19" spans="1:7" ht="15" customHeight="1" x14ac:dyDescent="0.3">
      <c r="A19" s="7">
        <v>32534</v>
      </c>
      <c r="B19" s="8" t="s">
        <v>1270</v>
      </c>
      <c r="C19" s="7" t="s">
        <v>1257</v>
      </c>
      <c r="D19" s="7">
        <v>51</v>
      </c>
      <c r="E19" s="7">
        <v>7</v>
      </c>
      <c r="F19" s="9">
        <v>2797</v>
      </c>
      <c r="G19" s="10" t="s">
        <v>1262</v>
      </c>
    </row>
    <row r="20" spans="1:7" ht="15" customHeight="1" x14ac:dyDescent="0.3">
      <c r="A20" s="7">
        <v>13070</v>
      </c>
      <c r="B20" s="8" t="s">
        <v>96</v>
      </c>
      <c r="C20" s="7" t="s">
        <v>1257</v>
      </c>
      <c r="D20" s="7">
        <v>61</v>
      </c>
      <c r="E20" s="7">
        <v>8</v>
      </c>
      <c r="F20" s="9">
        <v>28</v>
      </c>
      <c r="G20" s="10" t="s">
        <v>1271</v>
      </c>
    </row>
    <row r="21" spans="1:7" ht="15" customHeight="1" x14ac:dyDescent="0.3">
      <c r="A21" s="7">
        <v>19872</v>
      </c>
      <c r="B21" s="8" t="s">
        <v>258</v>
      </c>
      <c r="C21" s="7" t="s">
        <v>1257</v>
      </c>
      <c r="D21" s="7">
        <v>70</v>
      </c>
      <c r="E21" s="7">
        <v>31</v>
      </c>
      <c r="F21" s="9">
        <v>12</v>
      </c>
      <c r="G21" s="10" t="s">
        <v>1272</v>
      </c>
    </row>
    <row r="22" spans="1:7" ht="15" customHeight="1" x14ac:dyDescent="0.3">
      <c r="A22" s="7">
        <v>19881</v>
      </c>
      <c r="B22" s="8" t="s">
        <v>259</v>
      </c>
      <c r="C22" s="7" t="s">
        <v>1257</v>
      </c>
      <c r="D22" s="7">
        <v>70</v>
      </c>
      <c r="E22" s="7">
        <v>31</v>
      </c>
      <c r="F22" s="9">
        <v>30</v>
      </c>
      <c r="G22" s="10" t="s">
        <v>1272</v>
      </c>
    </row>
    <row r="23" spans="1:7" ht="15" customHeight="1" x14ac:dyDescent="0.3">
      <c r="A23" s="7">
        <v>19884</v>
      </c>
      <c r="B23" s="8" t="s">
        <v>262</v>
      </c>
      <c r="C23" s="7" t="s">
        <v>1257</v>
      </c>
      <c r="D23" s="7">
        <v>70</v>
      </c>
      <c r="E23" s="7">
        <v>31</v>
      </c>
      <c r="F23" s="9">
        <v>104</v>
      </c>
      <c r="G23" s="10" t="s">
        <v>1272</v>
      </c>
    </row>
    <row r="24" spans="1:7" ht="15" customHeight="1" x14ac:dyDescent="0.3">
      <c r="A24" s="7">
        <v>12720</v>
      </c>
      <c r="B24" s="8" t="s">
        <v>42</v>
      </c>
      <c r="C24" s="7" t="s">
        <v>1257</v>
      </c>
      <c r="D24" s="7">
        <v>72</v>
      </c>
      <c r="E24" s="7">
        <v>6</v>
      </c>
      <c r="F24" s="9">
        <v>31</v>
      </c>
      <c r="G24" s="10" t="s">
        <v>1273</v>
      </c>
    </row>
    <row r="25" spans="1:7" ht="15" customHeight="1" x14ac:dyDescent="0.3">
      <c r="A25" s="7">
        <v>29294</v>
      </c>
      <c r="B25" s="8" t="s">
        <v>347</v>
      </c>
      <c r="C25" s="7" t="s">
        <v>1257</v>
      </c>
      <c r="D25" s="7">
        <v>67</v>
      </c>
      <c r="E25" s="7">
        <v>9</v>
      </c>
      <c r="F25" s="9">
        <v>71</v>
      </c>
      <c r="G25" s="10" t="s">
        <v>1263</v>
      </c>
    </row>
    <row r="26" spans="1:7" ht="15" customHeight="1" x14ac:dyDescent="0.3">
      <c r="A26" s="7">
        <v>16763</v>
      </c>
      <c r="B26" s="8" t="s">
        <v>218</v>
      </c>
      <c r="C26" s="7" t="s">
        <v>1257</v>
      </c>
      <c r="D26" s="7">
        <v>52</v>
      </c>
      <c r="E26" s="7">
        <v>7</v>
      </c>
      <c r="F26" s="9">
        <v>9</v>
      </c>
      <c r="G26" s="10" t="s">
        <v>1264</v>
      </c>
    </row>
    <row r="27" spans="1:7" ht="15" customHeight="1" x14ac:dyDescent="0.3">
      <c r="A27" s="7">
        <v>11882</v>
      </c>
      <c r="B27" s="8" t="s">
        <v>22</v>
      </c>
      <c r="C27" s="7" t="s">
        <v>1274</v>
      </c>
      <c r="D27" s="7">
        <v>80</v>
      </c>
      <c r="E27" s="7">
        <v>1</v>
      </c>
      <c r="F27" s="9">
        <v>200</v>
      </c>
      <c r="G27" s="10" t="s">
        <v>1262</v>
      </c>
    </row>
    <row r="28" spans="1:7" ht="15" customHeight="1" x14ac:dyDescent="0.3">
      <c r="A28" s="7">
        <v>11956</v>
      </c>
      <c r="B28" s="8" t="s">
        <v>23</v>
      </c>
      <c r="C28" s="7" t="s">
        <v>1274</v>
      </c>
      <c r="D28" s="7">
        <v>80</v>
      </c>
      <c r="E28" s="7">
        <v>1</v>
      </c>
      <c r="F28" s="9">
        <v>100</v>
      </c>
      <c r="G28" s="10" t="s">
        <v>1262</v>
      </c>
    </row>
    <row r="29" spans="1:7" ht="15" customHeight="1" x14ac:dyDescent="0.3">
      <c r="A29" s="7">
        <v>49984</v>
      </c>
      <c r="B29" s="8" t="s">
        <v>440</v>
      </c>
      <c r="C29" s="7" t="s">
        <v>1257</v>
      </c>
      <c r="D29" s="7">
        <v>52</v>
      </c>
      <c r="E29" s="7">
        <v>7</v>
      </c>
      <c r="F29" s="9">
        <v>14</v>
      </c>
      <c r="G29" s="10" t="s">
        <v>1264</v>
      </c>
    </row>
    <row r="30" spans="1:7" ht="15" customHeight="1" x14ac:dyDescent="0.3">
      <c r="A30" s="7">
        <v>49988</v>
      </c>
      <c r="B30" s="8" t="s">
        <v>440</v>
      </c>
      <c r="C30" s="7" t="s">
        <v>1257</v>
      </c>
      <c r="D30" s="7">
        <v>52</v>
      </c>
      <c r="E30" s="7">
        <v>7</v>
      </c>
      <c r="F30" s="9">
        <v>36</v>
      </c>
      <c r="G30" s="10" t="s">
        <v>1264</v>
      </c>
    </row>
    <row r="31" spans="1:7" ht="15" customHeight="1" x14ac:dyDescent="0.3">
      <c r="A31" s="7">
        <v>49188</v>
      </c>
      <c r="B31" s="8" t="s">
        <v>433</v>
      </c>
      <c r="C31" s="7" t="s">
        <v>1257</v>
      </c>
      <c r="D31" s="7">
        <v>52</v>
      </c>
      <c r="E31" s="7">
        <v>7</v>
      </c>
      <c r="F31" s="9">
        <v>17</v>
      </c>
      <c r="G31" s="10" t="s">
        <v>1264</v>
      </c>
    </row>
    <row r="32" spans="1:7" ht="15" customHeight="1" x14ac:dyDescent="0.3">
      <c r="A32" s="7">
        <v>64608</v>
      </c>
      <c r="B32" s="8" t="s">
        <v>524</v>
      </c>
      <c r="C32" s="7" t="s">
        <v>1266</v>
      </c>
      <c r="D32" s="7">
        <v>69</v>
      </c>
      <c r="E32" s="7">
        <v>3</v>
      </c>
      <c r="F32" s="9">
        <v>50</v>
      </c>
      <c r="G32" s="10" t="s">
        <v>1275</v>
      </c>
    </row>
    <row r="33" spans="1:7" ht="15" customHeight="1" x14ac:dyDescent="0.3">
      <c r="A33" s="7">
        <v>17026</v>
      </c>
      <c r="B33" s="8" t="s">
        <v>226</v>
      </c>
      <c r="C33" s="7" t="s">
        <v>1257</v>
      </c>
      <c r="D33" s="7">
        <v>52</v>
      </c>
      <c r="E33" s="7">
        <v>7</v>
      </c>
      <c r="F33" s="9">
        <v>10</v>
      </c>
      <c r="G33" s="10" t="s">
        <v>1264</v>
      </c>
    </row>
    <row r="34" spans="1:7" ht="15" customHeight="1" x14ac:dyDescent="0.3">
      <c r="A34" s="7">
        <v>48178</v>
      </c>
      <c r="B34" s="8" t="s">
        <v>427</v>
      </c>
      <c r="C34" s="7" t="s">
        <v>1257</v>
      </c>
      <c r="D34" s="7">
        <v>74</v>
      </c>
      <c r="E34" s="7">
        <v>8</v>
      </c>
      <c r="F34" s="9">
        <v>18</v>
      </c>
      <c r="G34" s="10" t="s">
        <v>1263</v>
      </c>
    </row>
    <row r="35" spans="1:7" ht="15" customHeight="1" x14ac:dyDescent="0.3">
      <c r="A35" s="7">
        <v>43794</v>
      </c>
      <c r="B35" s="8" t="s">
        <v>417</v>
      </c>
      <c r="C35" s="7" t="s">
        <v>1257</v>
      </c>
      <c r="D35" s="7">
        <v>74</v>
      </c>
      <c r="E35" s="7">
        <v>8</v>
      </c>
      <c r="F35" s="9">
        <v>173</v>
      </c>
      <c r="G35" s="10" t="s">
        <v>1263</v>
      </c>
    </row>
    <row r="36" spans="1:7" ht="15" customHeight="1" x14ac:dyDescent="0.3">
      <c r="A36" s="7">
        <v>16300</v>
      </c>
      <c r="B36" s="8" t="s">
        <v>203</v>
      </c>
      <c r="C36" s="7" t="s">
        <v>1257</v>
      </c>
      <c r="D36" s="7">
        <v>74</v>
      </c>
      <c r="E36" s="7">
        <v>9</v>
      </c>
      <c r="F36" s="9">
        <v>69</v>
      </c>
      <c r="G36" s="10" t="s">
        <v>1263</v>
      </c>
    </row>
    <row r="37" spans="1:7" ht="15" customHeight="1" x14ac:dyDescent="0.3">
      <c r="A37" s="7">
        <v>36107</v>
      </c>
      <c r="B37" s="8" t="s">
        <v>395</v>
      </c>
      <c r="C37" s="7" t="s">
        <v>1257</v>
      </c>
      <c r="D37" s="7">
        <v>74</v>
      </c>
      <c r="E37" s="7">
        <v>9</v>
      </c>
      <c r="F37" s="9">
        <v>230</v>
      </c>
      <c r="G37" s="10" t="s">
        <v>1263</v>
      </c>
    </row>
    <row r="38" spans="1:7" ht="15" customHeight="1" x14ac:dyDescent="0.3">
      <c r="A38" s="7">
        <v>116771</v>
      </c>
      <c r="B38" s="8" t="s">
        <v>974</v>
      </c>
      <c r="C38" s="7" t="s">
        <v>1276</v>
      </c>
      <c r="D38" s="7">
        <v>69</v>
      </c>
      <c r="E38" s="7">
        <v>1</v>
      </c>
      <c r="F38" s="9">
        <v>141</v>
      </c>
      <c r="G38" s="10" t="s">
        <v>1263</v>
      </c>
    </row>
    <row r="39" spans="1:7" ht="15" customHeight="1" x14ac:dyDescent="0.3">
      <c r="A39" s="7">
        <v>16757</v>
      </c>
      <c r="B39" s="8" t="s">
        <v>217</v>
      </c>
      <c r="C39" s="7" t="s">
        <v>1257</v>
      </c>
      <c r="D39" s="7">
        <v>52</v>
      </c>
      <c r="E39" s="7">
        <v>8</v>
      </c>
      <c r="F39" s="9">
        <v>180</v>
      </c>
      <c r="G39" s="10" t="s">
        <v>1264</v>
      </c>
    </row>
    <row r="40" spans="1:7" ht="15" customHeight="1" x14ac:dyDescent="0.3">
      <c r="A40" s="7">
        <v>16729</v>
      </c>
      <c r="B40" s="8" t="s">
        <v>214</v>
      </c>
      <c r="C40" s="7" t="s">
        <v>1252</v>
      </c>
      <c r="D40" s="7">
        <v>52</v>
      </c>
      <c r="E40" s="7">
        <v>13</v>
      </c>
      <c r="F40" s="9">
        <v>2177</v>
      </c>
      <c r="G40" s="10" t="s">
        <v>1264</v>
      </c>
    </row>
    <row r="41" spans="1:7" ht="15" customHeight="1" x14ac:dyDescent="0.3">
      <c r="A41" s="7">
        <v>17033</v>
      </c>
      <c r="B41" s="8" t="s">
        <v>227</v>
      </c>
      <c r="C41" s="7" t="s">
        <v>1257</v>
      </c>
      <c r="D41" s="7">
        <v>52</v>
      </c>
      <c r="E41" s="7">
        <v>13</v>
      </c>
      <c r="F41" s="9">
        <v>426</v>
      </c>
      <c r="G41" s="10" t="s">
        <v>1264</v>
      </c>
    </row>
    <row r="42" spans="1:7" ht="15" customHeight="1" x14ac:dyDescent="0.3">
      <c r="A42" s="7">
        <v>25519</v>
      </c>
      <c r="B42" s="8" t="s">
        <v>310</v>
      </c>
      <c r="C42" s="7" t="s">
        <v>1257</v>
      </c>
      <c r="D42" s="7">
        <v>52</v>
      </c>
      <c r="E42" s="7">
        <v>13</v>
      </c>
      <c r="F42" s="9">
        <v>27</v>
      </c>
      <c r="G42" s="10" t="s">
        <v>1264</v>
      </c>
    </row>
    <row r="43" spans="1:7" ht="15" customHeight="1" x14ac:dyDescent="0.3">
      <c r="A43" s="7">
        <v>78027</v>
      </c>
      <c r="B43" s="8" t="s">
        <v>609</v>
      </c>
      <c r="C43" s="7" t="s">
        <v>1257</v>
      </c>
      <c r="D43" s="7">
        <v>52</v>
      </c>
      <c r="E43" s="7">
        <v>13</v>
      </c>
      <c r="F43" s="9">
        <v>44</v>
      </c>
      <c r="G43" s="10" t="s">
        <v>1264</v>
      </c>
    </row>
    <row r="44" spans="1:7" ht="15" customHeight="1" x14ac:dyDescent="0.3">
      <c r="A44" s="7">
        <v>17064</v>
      </c>
      <c r="B44" s="8" t="s">
        <v>228</v>
      </c>
      <c r="C44" s="7" t="s">
        <v>1257</v>
      </c>
      <c r="D44" s="7">
        <v>52</v>
      </c>
      <c r="E44" s="7">
        <v>13</v>
      </c>
      <c r="F44" s="9">
        <v>23</v>
      </c>
      <c r="G44" s="10" t="s">
        <v>1264</v>
      </c>
    </row>
    <row r="45" spans="1:7" ht="15" customHeight="1" x14ac:dyDescent="0.3">
      <c r="A45" s="7">
        <v>60854</v>
      </c>
      <c r="B45" s="8" t="s">
        <v>496</v>
      </c>
      <c r="C45" s="7" t="s">
        <v>1257</v>
      </c>
      <c r="D45" s="7">
        <v>55</v>
      </c>
      <c r="E45" s="7">
        <v>32</v>
      </c>
      <c r="F45" s="9">
        <v>36</v>
      </c>
      <c r="G45" s="10" t="s">
        <v>1258</v>
      </c>
    </row>
    <row r="46" spans="1:7" ht="15" customHeight="1" x14ac:dyDescent="0.3">
      <c r="A46" s="7">
        <v>118779</v>
      </c>
      <c r="B46" s="8" t="s">
        <v>988</v>
      </c>
      <c r="C46" s="7" t="s">
        <v>1257</v>
      </c>
      <c r="D46" s="7">
        <v>55</v>
      </c>
      <c r="E46" s="7">
        <v>32</v>
      </c>
      <c r="F46" s="9">
        <v>7</v>
      </c>
      <c r="G46" s="10" t="s">
        <v>1258</v>
      </c>
    </row>
    <row r="47" spans="1:7" ht="15" customHeight="1" x14ac:dyDescent="0.3">
      <c r="A47" s="7">
        <v>115149</v>
      </c>
      <c r="B47" s="8" t="s">
        <v>963</v>
      </c>
      <c r="C47" s="7" t="s">
        <v>1257</v>
      </c>
      <c r="D47" s="7">
        <v>55</v>
      </c>
      <c r="E47" s="7">
        <v>32</v>
      </c>
      <c r="F47" s="9">
        <v>131</v>
      </c>
      <c r="G47" s="10" t="s">
        <v>1258</v>
      </c>
    </row>
    <row r="48" spans="1:7" ht="15" customHeight="1" x14ac:dyDescent="0.3">
      <c r="A48" s="7">
        <v>115151</v>
      </c>
      <c r="B48" s="8" t="s">
        <v>964</v>
      </c>
      <c r="C48" s="7" t="s">
        <v>1257</v>
      </c>
      <c r="D48" s="7">
        <v>55</v>
      </c>
      <c r="E48" s="7">
        <v>32</v>
      </c>
      <c r="F48" s="9">
        <v>271</v>
      </c>
      <c r="G48" s="10" t="s">
        <v>1258</v>
      </c>
    </row>
    <row r="49" spans="1:7" ht="15" customHeight="1" x14ac:dyDescent="0.3">
      <c r="A49" s="7">
        <v>99790</v>
      </c>
      <c r="B49" s="8" t="s">
        <v>770</v>
      </c>
      <c r="C49" s="7" t="s">
        <v>1257</v>
      </c>
      <c r="D49" s="7">
        <v>55</v>
      </c>
      <c r="E49" s="7">
        <v>32</v>
      </c>
      <c r="F49" s="9">
        <v>23</v>
      </c>
      <c r="G49" s="10" t="s">
        <v>1258</v>
      </c>
    </row>
    <row r="50" spans="1:7" ht="15" customHeight="1" x14ac:dyDescent="0.3">
      <c r="A50" s="7">
        <v>115146</v>
      </c>
      <c r="B50" s="8" t="s">
        <v>962</v>
      </c>
      <c r="C50" s="7" t="s">
        <v>1257</v>
      </c>
      <c r="D50" s="7">
        <v>55</v>
      </c>
      <c r="E50" s="7">
        <v>32</v>
      </c>
      <c r="F50" s="9">
        <v>14</v>
      </c>
      <c r="G50" s="10" t="s">
        <v>1258</v>
      </c>
    </row>
    <row r="51" spans="1:7" ht="15" customHeight="1" x14ac:dyDescent="0.3">
      <c r="A51" s="7">
        <v>115152</v>
      </c>
      <c r="B51" s="8" t="s">
        <v>1277</v>
      </c>
      <c r="C51" s="7" t="s">
        <v>1257</v>
      </c>
      <c r="D51" s="7">
        <v>55</v>
      </c>
      <c r="E51" s="7">
        <v>32</v>
      </c>
      <c r="F51" s="9">
        <v>0</v>
      </c>
      <c r="G51" s="10" t="s">
        <v>1258</v>
      </c>
    </row>
    <row r="52" spans="1:7" ht="15" customHeight="1" x14ac:dyDescent="0.3">
      <c r="A52" s="7">
        <v>115154</v>
      </c>
      <c r="B52" s="8" t="s">
        <v>965</v>
      </c>
      <c r="C52" s="7" t="s">
        <v>1257</v>
      </c>
      <c r="D52" s="7">
        <v>55</v>
      </c>
      <c r="E52" s="7">
        <v>32</v>
      </c>
      <c r="F52" s="9">
        <v>21</v>
      </c>
      <c r="G52" s="10" t="s">
        <v>1258</v>
      </c>
    </row>
    <row r="53" spans="1:7" ht="15" customHeight="1" x14ac:dyDescent="0.3">
      <c r="A53" s="7">
        <v>102777</v>
      </c>
      <c r="B53" s="8" t="s">
        <v>811</v>
      </c>
      <c r="C53" s="7" t="s">
        <v>1257</v>
      </c>
      <c r="D53" s="7">
        <v>55</v>
      </c>
      <c r="E53" s="7">
        <v>32</v>
      </c>
      <c r="F53" s="9">
        <v>32</v>
      </c>
      <c r="G53" s="10" t="s">
        <v>1258</v>
      </c>
    </row>
    <row r="54" spans="1:7" ht="15" customHeight="1" x14ac:dyDescent="0.3">
      <c r="A54" s="7">
        <v>20169</v>
      </c>
      <c r="B54" s="8" t="s">
        <v>273</v>
      </c>
      <c r="C54" s="7" t="s">
        <v>1257</v>
      </c>
      <c r="D54" s="7">
        <v>52</v>
      </c>
      <c r="E54" s="7">
        <v>6</v>
      </c>
      <c r="F54" s="9">
        <v>117</v>
      </c>
      <c r="G54" s="10" t="s">
        <v>1264</v>
      </c>
    </row>
    <row r="55" spans="1:7" ht="15" customHeight="1" x14ac:dyDescent="0.3">
      <c r="A55" s="7">
        <v>36033</v>
      </c>
      <c r="B55" s="8" t="s">
        <v>394</v>
      </c>
      <c r="C55" s="7" t="s">
        <v>1274</v>
      </c>
      <c r="D55" s="7">
        <v>55</v>
      </c>
      <c r="E55" s="7">
        <v>19</v>
      </c>
      <c r="F55" s="9">
        <v>178</v>
      </c>
      <c r="G55" s="10" t="s">
        <v>1258</v>
      </c>
    </row>
    <row r="56" spans="1:7" ht="15" customHeight="1" x14ac:dyDescent="0.3">
      <c r="A56" s="7">
        <v>45067</v>
      </c>
      <c r="B56" s="8" t="s">
        <v>420</v>
      </c>
      <c r="C56" s="7" t="s">
        <v>1274</v>
      </c>
      <c r="D56" s="7">
        <v>55</v>
      </c>
      <c r="E56" s="7">
        <v>19</v>
      </c>
      <c r="F56" s="9">
        <v>200</v>
      </c>
      <c r="G56" s="10" t="s">
        <v>1258</v>
      </c>
    </row>
    <row r="57" spans="1:7" ht="15" customHeight="1" x14ac:dyDescent="0.3">
      <c r="A57" s="7">
        <v>74492</v>
      </c>
      <c r="B57" s="8" t="s">
        <v>571</v>
      </c>
      <c r="C57" s="7" t="s">
        <v>1278</v>
      </c>
      <c r="D57" s="7">
        <v>78</v>
      </c>
      <c r="E57" s="7">
        <v>2</v>
      </c>
      <c r="F57" s="9">
        <v>10</v>
      </c>
      <c r="G57" s="10" t="s">
        <v>1263</v>
      </c>
    </row>
    <row r="58" spans="1:7" ht="15" customHeight="1" x14ac:dyDescent="0.3">
      <c r="A58" s="7">
        <v>74491</v>
      </c>
      <c r="B58" s="8" t="s">
        <v>570</v>
      </c>
      <c r="C58" s="7" t="s">
        <v>1278</v>
      </c>
      <c r="D58" s="7">
        <v>78</v>
      </c>
      <c r="E58" s="7">
        <v>2</v>
      </c>
      <c r="F58" s="9">
        <v>171</v>
      </c>
      <c r="G58" s="10" t="s">
        <v>1263</v>
      </c>
    </row>
    <row r="59" spans="1:7" ht="15" customHeight="1" x14ac:dyDescent="0.3">
      <c r="A59" s="7">
        <v>80388</v>
      </c>
      <c r="B59" s="8" t="s">
        <v>637</v>
      </c>
      <c r="C59" s="7" t="s">
        <v>1278</v>
      </c>
      <c r="D59" s="7">
        <v>78</v>
      </c>
      <c r="E59" s="7">
        <v>2</v>
      </c>
      <c r="F59" s="9">
        <v>20</v>
      </c>
      <c r="G59" s="10" t="s">
        <v>1263</v>
      </c>
    </row>
    <row r="60" spans="1:7" ht="15" customHeight="1" x14ac:dyDescent="0.3">
      <c r="A60" s="7">
        <v>12888</v>
      </c>
      <c r="B60" s="8" t="s">
        <v>67</v>
      </c>
      <c r="C60" s="7" t="s">
        <v>1257</v>
      </c>
      <c r="D60" s="7">
        <v>61</v>
      </c>
      <c r="E60" s="7">
        <v>8</v>
      </c>
      <c r="F60" s="9">
        <v>55</v>
      </c>
      <c r="G60" s="10" t="s">
        <v>1271</v>
      </c>
    </row>
    <row r="61" spans="1:7" ht="15" customHeight="1" x14ac:dyDescent="0.3">
      <c r="A61" s="7">
        <v>29537</v>
      </c>
      <c r="B61" s="8" t="s">
        <v>353</v>
      </c>
      <c r="C61" s="7" t="s">
        <v>1257</v>
      </c>
      <c r="D61" s="7">
        <v>61</v>
      </c>
      <c r="E61" s="7">
        <v>8</v>
      </c>
      <c r="F61" s="9">
        <v>237</v>
      </c>
      <c r="G61" s="10" t="s">
        <v>1271</v>
      </c>
    </row>
    <row r="62" spans="1:7" ht="15" customHeight="1" x14ac:dyDescent="0.3">
      <c r="A62" s="7">
        <v>102692</v>
      </c>
      <c r="B62" s="8" t="s">
        <v>797</v>
      </c>
      <c r="C62" s="7" t="s">
        <v>1257</v>
      </c>
      <c r="D62" s="7">
        <v>69</v>
      </c>
      <c r="E62" s="7">
        <v>5</v>
      </c>
      <c r="F62" s="9">
        <v>8</v>
      </c>
      <c r="G62" s="10" t="s">
        <v>1258</v>
      </c>
    </row>
    <row r="63" spans="1:7" ht="15" customHeight="1" x14ac:dyDescent="0.3">
      <c r="A63" s="7">
        <v>122153</v>
      </c>
      <c r="B63" s="8" t="s">
        <v>1026</v>
      </c>
      <c r="C63" s="7" t="s">
        <v>1257</v>
      </c>
      <c r="D63" s="7">
        <v>55</v>
      </c>
      <c r="E63" s="7">
        <v>46</v>
      </c>
      <c r="F63" s="9">
        <v>11</v>
      </c>
      <c r="G63" s="10" t="s">
        <v>1258</v>
      </c>
    </row>
    <row r="64" spans="1:7" ht="15" customHeight="1" x14ac:dyDescent="0.3">
      <c r="A64" s="7">
        <v>65610</v>
      </c>
      <c r="B64" s="8" t="s">
        <v>548</v>
      </c>
      <c r="C64" s="7" t="s">
        <v>1257</v>
      </c>
      <c r="D64" s="7">
        <v>51</v>
      </c>
      <c r="E64" s="7">
        <v>17</v>
      </c>
      <c r="F64" s="9">
        <v>17</v>
      </c>
      <c r="G64" s="10" t="s">
        <v>1262</v>
      </c>
    </row>
    <row r="65" spans="1:7" ht="15" customHeight="1" x14ac:dyDescent="0.3">
      <c r="A65" s="7">
        <v>65609</v>
      </c>
      <c r="B65" s="8" t="s">
        <v>547</v>
      </c>
      <c r="C65" s="7" t="s">
        <v>1257</v>
      </c>
      <c r="D65" s="7">
        <v>51</v>
      </c>
      <c r="E65" s="7">
        <v>17</v>
      </c>
      <c r="F65" s="9">
        <v>5</v>
      </c>
      <c r="G65" s="10" t="s">
        <v>1262</v>
      </c>
    </row>
    <row r="66" spans="1:7" ht="15" customHeight="1" x14ac:dyDescent="0.3">
      <c r="A66" s="7">
        <v>67376</v>
      </c>
      <c r="B66" s="8" t="s">
        <v>554</v>
      </c>
      <c r="C66" s="7" t="s">
        <v>1257</v>
      </c>
      <c r="D66" s="7">
        <v>51</v>
      </c>
      <c r="E66" s="7">
        <v>17</v>
      </c>
      <c r="F66" s="9">
        <v>136</v>
      </c>
      <c r="G66" s="10" t="s">
        <v>1262</v>
      </c>
    </row>
    <row r="67" spans="1:7" ht="15" customHeight="1" x14ac:dyDescent="0.3">
      <c r="A67" s="7">
        <v>67375</v>
      </c>
      <c r="B67" s="8" t="s">
        <v>553</v>
      </c>
      <c r="C67" s="7" t="s">
        <v>1257</v>
      </c>
      <c r="D67" s="7">
        <v>51</v>
      </c>
      <c r="E67" s="7">
        <v>17</v>
      </c>
      <c r="F67" s="9">
        <v>147</v>
      </c>
      <c r="G67" s="10" t="s">
        <v>1262</v>
      </c>
    </row>
    <row r="68" spans="1:7" ht="15" customHeight="1" x14ac:dyDescent="0.3">
      <c r="A68" s="7">
        <v>115135</v>
      </c>
      <c r="B68" s="8" t="s">
        <v>961</v>
      </c>
      <c r="C68" s="7" t="s">
        <v>1257</v>
      </c>
      <c r="D68" s="7">
        <v>51</v>
      </c>
      <c r="E68" s="7">
        <v>17</v>
      </c>
      <c r="F68" s="9">
        <v>181</v>
      </c>
      <c r="G68" s="10" t="s">
        <v>1262</v>
      </c>
    </row>
    <row r="69" spans="1:7" ht="15" customHeight="1" x14ac:dyDescent="0.3">
      <c r="A69" s="7">
        <v>133043</v>
      </c>
      <c r="B69" s="8" t="s">
        <v>1167</v>
      </c>
      <c r="C69" s="7" t="s">
        <v>1252</v>
      </c>
      <c r="D69" s="7">
        <v>51</v>
      </c>
      <c r="E69" s="7">
        <v>17</v>
      </c>
      <c r="F69" s="9">
        <v>25</v>
      </c>
      <c r="G69" s="10" t="s">
        <v>1262</v>
      </c>
    </row>
    <row r="70" spans="1:7" ht="15" customHeight="1" x14ac:dyDescent="0.3">
      <c r="A70" s="7">
        <v>102688</v>
      </c>
      <c r="B70" s="8" t="s">
        <v>794</v>
      </c>
      <c r="C70" s="7" t="s">
        <v>1257</v>
      </c>
      <c r="D70" s="7">
        <v>69</v>
      </c>
      <c r="E70" s="7">
        <v>5</v>
      </c>
      <c r="F70" s="9">
        <v>10</v>
      </c>
      <c r="G70" s="10" t="s">
        <v>1258</v>
      </c>
    </row>
    <row r="71" spans="1:7" ht="15" customHeight="1" x14ac:dyDescent="0.3">
      <c r="A71" s="7">
        <v>24031</v>
      </c>
      <c r="B71" s="8" t="s">
        <v>1279</v>
      </c>
      <c r="C71" s="7" t="s">
        <v>1257</v>
      </c>
      <c r="D71" s="7">
        <v>70</v>
      </c>
      <c r="E71" s="7">
        <v>24</v>
      </c>
      <c r="F71" s="9">
        <v>0</v>
      </c>
      <c r="G71" s="10" t="s">
        <v>1272</v>
      </c>
    </row>
    <row r="72" spans="1:7" ht="15" customHeight="1" x14ac:dyDescent="0.3">
      <c r="A72" s="7">
        <v>102686</v>
      </c>
      <c r="B72" s="8" t="s">
        <v>792</v>
      </c>
      <c r="C72" s="7" t="s">
        <v>1257</v>
      </c>
      <c r="D72" s="7">
        <v>69</v>
      </c>
      <c r="E72" s="7">
        <v>5</v>
      </c>
      <c r="F72" s="9">
        <v>17</v>
      </c>
      <c r="G72" s="10" t="s">
        <v>1258</v>
      </c>
    </row>
    <row r="73" spans="1:7" ht="15" customHeight="1" x14ac:dyDescent="0.3">
      <c r="A73" s="7">
        <v>102695</v>
      </c>
      <c r="B73" s="8" t="s">
        <v>800</v>
      </c>
      <c r="C73" s="7" t="s">
        <v>1257</v>
      </c>
      <c r="D73" s="7">
        <v>69</v>
      </c>
      <c r="E73" s="7">
        <v>5</v>
      </c>
      <c r="F73" s="9">
        <v>25</v>
      </c>
      <c r="G73" s="10" t="s">
        <v>1258</v>
      </c>
    </row>
    <row r="74" spans="1:7" ht="15" customHeight="1" x14ac:dyDescent="0.3">
      <c r="A74" s="7">
        <v>102687</v>
      </c>
      <c r="B74" s="8" t="s">
        <v>793</v>
      </c>
      <c r="C74" s="7" t="s">
        <v>1257</v>
      </c>
      <c r="D74" s="7">
        <v>69</v>
      </c>
      <c r="E74" s="7">
        <v>5</v>
      </c>
      <c r="F74" s="9">
        <v>17</v>
      </c>
      <c r="G74" s="10" t="s">
        <v>1258</v>
      </c>
    </row>
    <row r="75" spans="1:7" ht="15" customHeight="1" x14ac:dyDescent="0.3">
      <c r="A75" s="7">
        <v>102696</v>
      </c>
      <c r="B75" s="8" t="s">
        <v>801</v>
      </c>
      <c r="C75" s="7" t="s">
        <v>1257</v>
      </c>
      <c r="D75" s="7">
        <v>69</v>
      </c>
      <c r="E75" s="7">
        <v>5</v>
      </c>
      <c r="F75" s="9">
        <v>15</v>
      </c>
      <c r="G75" s="10" t="s">
        <v>1258</v>
      </c>
    </row>
    <row r="76" spans="1:7" ht="15" customHeight="1" x14ac:dyDescent="0.3">
      <c r="A76" s="7">
        <v>64633</v>
      </c>
      <c r="B76" s="8" t="s">
        <v>532</v>
      </c>
      <c r="C76" s="7" t="s">
        <v>1257</v>
      </c>
      <c r="D76" s="7">
        <v>83</v>
      </c>
      <c r="E76" s="7">
        <v>10</v>
      </c>
      <c r="F76" s="9">
        <v>86</v>
      </c>
      <c r="G76" s="10" t="s">
        <v>1263</v>
      </c>
    </row>
    <row r="77" spans="1:7" ht="15" customHeight="1" x14ac:dyDescent="0.3">
      <c r="A77" s="7">
        <v>48714</v>
      </c>
      <c r="B77" s="8" t="s">
        <v>428</v>
      </c>
      <c r="C77" s="7" t="s">
        <v>1257</v>
      </c>
      <c r="D77" s="7">
        <v>83</v>
      </c>
      <c r="E77" s="7">
        <v>10</v>
      </c>
      <c r="F77" s="9">
        <v>105</v>
      </c>
      <c r="G77" s="10" t="s">
        <v>1263</v>
      </c>
    </row>
    <row r="78" spans="1:7" ht="15" customHeight="1" x14ac:dyDescent="0.3">
      <c r="A78" s="7">
        <v>88742</v>
      </c>
      <c r="B78" s="8" t="s">
        <v>696</v>
      </c>
      <c r="C78" s="7" t="s">
        <v>1257</v>
      </c>
      <c r="D78" s="7">
        <v>55</v>
      </c>
      <c r="E78" s="7">
        <v>26</v>
      </c>
      <c r="F78" s="9">
        <v>3</v>
      </c>
      <c r="G78" s="10" t="s">
        <v>1258</v>
      </c>
    </row>
    <row r="79" spans="1:7" ht="15" customHeight="1" x14ac:dyDescent="0.3">
      <c r="A79" s="7">
        <v>88741</v>
      </c>
      <c r="B79" s="8" t="s">
        <v>695</v>
      </c>
      <c r="C79" s="7" t="s">
        <v>1257</v>
      </c>
      <c r="D79" s="7">
        <v>55</v>
      </c>
      <c r="E79" s="7">
        <v>26</v>
      </c>
      <c r="F79" s="9">
        <v>27</v>
      </c>
      <c r="G79" s="10" t="s">
        <v>1258</v>
      </c>
    </row>
    <row r="80" spans="1:7" ht="15" customHeight="1" x14ac:dyDescent="0.3">
      <c r="A80" s="7">
        <v>12937</v>
      </c>
      <c r="B80" s="8" t="s">
        <v>71</v>
      </c>
      <c r="C80" s="7" t="s">
        <v>1257</v>
      </c>
      <c r="D80" s="7">
        <v>55</v>
      </c>
      <c r="E80" s="7">
        <v>26</v>
      </c>
      <c r="F80" s="9">
        <v>33</v>
      </c>
      <c r="G80" s="10" t="s">
        <v>1258</v>
      </c>
    </row>
    <row r="81" spans="1:7" ht="15" customHeight="1" x14ac:dyDescent="0.3">
      <c r="A81" s="7">
        <v>12938</v>
      </c>
      <c r="B81" s="8" t="s">
        <v>72</v>
      </c>
      <c r="C81" s="7" t="s">
        <v>1257</v>
      </c>
      <c r="D81" s="7">
        <v>55</v>
      </c>
      <c r="E81" s="7">
        <v>26</v>
      </c>
      <c r="F81" s="9">
        <v>88</v>
      </c>
      <c r="G81" s="10" t="s">
        <v>1258</v>
      </c>
    </row>
    <row r="82" spans="1:7" ht="15" customHeight="1" x14ac:dyDescent="0.3">
      <c r="A82" s="7">
        <v>71189</v>
      </c>
      <c r="B82" s="8" t="s">
        <v>563</v>
      </c>
      <c r="C82" s="7" t="s">
        <v>1257</v>
      </c>
      <c r="D82" s="7">
        <v>51</v>
      </c>
      <c r="E82" s="7">
        <v>10</v>
      </c>
      <c r="F82" s="9">
        <v>1540</v>
      </c>
      <c r="G82" s="10" t="s">
        <v>1263</v>
      </c>
    </row>
    <row r="83" spans="1:7" ht="15" customHeight="1" x14ac:dyDescent="0.3">
      <c r="A83" s="7">
        <v>13007</v>
      </c>
      <c r="B83" s="8" t="s">
        <v>83</v>
      </c>
      <c r="C83" s="7" t="s">
        <v>1274</v>
      </c>
      <c r="D83" s="7">
        <v>55</v>
      </c>
      <c r="E83" s="7">
        <v>32</v>
      </c>
      <c r="F83" s="9">
        <v>340</v>
      </c>
      <c r="G83" s="10" t="s">
        <v>1258</v>
      </c>
    </row>
    <row r="84" spans="1:7" ht="15" customHeight="1" x14ac:dyDescent="0.3">
      <c r="A84" s="7">
        <v>106039</v>
      </c>
      <c r="B84" s="8" t="s">
        <v>870</v>
      </c>
      <c r="C84" s="7" t="s">
        <v>1257</v>
      </c>
      <c r="D84" s="7">
        <v>52</v>
      </c>
      <c r="E84" s="7">
        <v>8</v>
      </c>
      <c r="F84" s="9">
        <v>9</v>
      </c>
      <c r="G84" s="10" t="s">
        <v>1264</v>
      </c>
    </row>
    <row r="85" spans="1:7" ht="15" customHeight="1" x14ac:dyDescent="0.3">
      <c r="A85" s="7">
        <v>49184</v>
      </c>
      <c r="B85" s="8" t="s">
        <v>432</v>
      </c>
      <c r="C85" s="7" t="s">
        <v>1257</v>
      </c>
      <c r="D85" s="7">
        <v>52</v>
      </c>
      <c r="E85" s="7">
        <v>8</v>
      </c>
      <c r="F85" s="9">
        <v>14</v>
      </c>
      <c r="G85" s="10" t="s">
        <v>1264</v>
      </c>
    </row>
    <row r="86" spans="1:7" ht="15" customHeight="1" x14ac:dyDescent="0.3">
      <c r="A86" s="7">
        <v>16737</v>
      </c>
      <c r="B86" s="8" t="s">
        <v>216</v>
      </c>
      <c r="C86" s="7" t="s">
        <v>1257</v>
      </c>
      <c r="D86" s="7">
        <v>52</v>
      </c>
      <c r="E86" s="7">
        <v>13</v>
      </c>
      <c r="F86" s="9">
        <v>20</v>
      </c>
      <c r="G86" s="10" t="s">
        <v>1264</v>
      </c>
    </row>
    <row r="87" spans="1:7" ht="15" customHeight="1" x14ac:dyDescent="0.3">
      <c r="A87" s="7">
        <v>16736</v>
      </c>
      <c r="B87" s="8" t="s">
        <v>215</v>
      </c>
      <c r="C87" s="7" t="s">
        <v>1257</v>
      </c>
      <c r="D87" s="7">
        <v>52</v>
      </c>
      <c r="E87" s="7">
        <v>13</v>
      </c>
      <c r="F87" s="9">
        <v>18</v>
      </c>
      <c r="G87" s="10" t="s">
        <v>1264</v>
      </c>
    </row>
    <row r="88" spans="1:7" ht="15" customHeight="1" x14ac:dyDescent="0.3">
      <c r="A88" s="7">
        <v>132713</v>
      </c>
      <c r="B88" s="8" t="s">
        <v>1280</v>
      </c>
      <c r="C88" s="7" t="s">
        <v>1257</v>
      </c>
      <c r="D88" s="7">
        <v>80</v>
      </c>
      <c r="E88" s="7">
        <v>12</v>
      </c>
      <c r="F88" s="9">
        <v>0</v>
      </c>
      <c r="G88" s="10" t="s">
        <v>1262</v>
      </c>
    </row>
    <row r="89" spans="1:7" ht="15" customHeight="1" x14ac:dyDescent="0.3">
      <c r="A89" s="7">
        <v>60108</v>
      </c>
      <c r="B89" s="8" t="s">
        <v>491</v>
      </c>
      <c r="C89" s="7" t="s">
        <v>1252</v>
      </c>
      <c r="D89" s="7">
        <v>52</v>
      </c>
      <c r="E89" s="7">
        <v>13</v>
      </c>
      <c r="F89" s="9">
        <v>176</v>
      </c>
      <c r="G89" s="10" t="s">
        <v>1264</v>
      </c>
    </row>
    <row r="90" spans="1:7" ht="15" customHeight="1" x14ac:dyDescent="0.3">
      <c r="A90" s="7">
        <v>16827</v>
      </c>
      <c r="B90" s="8" t="s">
        <v>221</v>
      </c>
      <c r="C90" s="7" t="s">
        <v>1257</v>
      </c>
      <c r="D90" s="7">
        <v>52</v>
      </c>
      <c r="E90" s="7">
        <v>13</v>
      </c>
      <c r="F90" s="9">
        <v>231</v>
      </c>
      <c r="G90" s="10" t="s">
        <v>1264</v>
      </c>
    </row>
    <row r="91" spans="1:7" ht="15" customHeight="1" x14ac:dyDescent="0.3">
      <c r="A91" s="7">
        <v>16835</v>
      </c>
      <c r="B91" s="8" t="s">
        <v>222</v>
      </c>
      <c r="C91" s="7" t="s">
        <v>1257</v>
      </c>
      <c r="D91" s="7">
        <v>52</v>
      </c>
      <c r="E91" s="7">
        <v>13</v>
      </c>
      <c r="F91" s="9">
        <v>612</v>
      </c>
      <c r="G91" s="10" t="s">
        <v>1264</v>
      </c>
    </row>
    <row r="92" spans="1:7" ht="15" customHeight="1" x14ac:dyDescent="0.3">
      <c r="A92" s="7">
        <v>16846</v>
      </c>
      <c r="B92" s="8" t="s">
        <v>223</v>
      </c>
      <c r="C92" s="7" t="s">
        <v>1257</v>
      </c>
      <c r="D92" s="7">
        <v>52</v>
      </c>
      <c r="E92" s="7">
        <v>13</v>
      </c>
      <c r="F92" s="9">
        <v>631</v>
      </c>
      <c r="G92" s="10" t="s">
        <v>1264</v>
      </c>
    </row>
    <row r="93" spans="1:7" ht="15" customHeight="1" x14ac:dyDescent="0.3">
      <c r="A93" s="7">
        <v>15438</v>
      </c>
      <c r="B93" s="8" t="s">
        <v>181</v>
      </c>
      <c r="C93" s="7" t="s">
        <v>1257</v>
      </c>
      <c r="D93" s="7">
        <v>51</v>
      </c>
      <c r="E93" s="7">
        <v>9</v>
      </c>
      <c r="F93" s="9">
        <v>47</v>
      </c>
      <c r="G93" s="10" t="s">
        <v>1263</v>
      </c>
    </row>
    <row r="94" spans="1:7" ht="15" customHeight="1" x14ac:dyDescent="0.3">
      <c r="A94" s="7">
        <v>118864</v>
      </c>
      <c r="B94" s="8" t="s">
        <v>990</v>
      </c>
      <c r="C94" s="7" t="s">
        <v>1257</v>
      </c>
      <c r="D94" s="7">
        <v>51</v>
      </c>
      <c r="E94" s="7">
        <v>9</v>
      </c>
      <c r="F94" s="9">
        <v>0</v>
      </c>
      <c r="G94" s="10" t="s">
        <v>1263</v>
      </c>
    </row>
    <row r="95" spans="1:7" ht="15" customHeight="1" x14ac:dyDescent="0.3">
      <c r="A95" s="7">
        <v>98360</v>
      </c>
      <c r="B95" s="8" t="s">
        <v>762</v>
      </c>
      <c r="C95" s="7" t="s">
        <v>1261</v>
      </c>
      <c r="D95" s="7">
        <v>70</v>
      </c>
      <c r="E95" s="7">
        <v>47</v>
      </c>
      <c r="F95" s="9">
        <v>50</v>
      </c>
      <c r="G95" s="10" t="s">
        <v>1263</v>
      </c>
    </row>
    <row r="96" spans="1:7" ht="15" customHeight="1" x14ac:dyDescent="0.3">
      <c r="A96" s="7">
        <v>128392</v>
      </c>
      <c r="B96" s="8" t="s">
        <v>1091</v>
      </c>
      <c r="C96" s="7" t="s">
        <v>1261</v>
      </c>
      <c r="D96" s="7">
        <v>70</v>
      </c>
      <c r="E96" s="7">
        <v>47</v>
      </c>
      <c r="F96" s="9">
        <v>172</v>
      </c>
      <c r="G96" s="10" t="s">
        <v>1263</v>
      </c>
    </row>
    <row r="97" spans="1:7" ht="15" customHeight="1" x14ac:dyDescent="0.3">
      <c r="A97" s="7">
        <v>16427</v>
      </c>
      <c r="B97" s="8" t="s">
        <v>206</v>
      </c>
      <c r="C97" s="7" t="s">
        <v>1257</v>
      </c>
      <c r="D97" s="7">
        <v>52</v>
      </c>
      <c r="E97" s="7">
        <v>7</v>
      </c>
      <c r="F97" s="9">
        <v>34</v>
      </c>
      <c r="G97" s="10" t="s">
        <v>1264</v>
      </c>
    </row>
    <row r="98" spans="1:7" ht="15" customHeight="1" x14ac:dyDescent="0.3">
      <c r="A98" s="7">
        <v>102697</v>
      </c>
      <c r="B98" s="8" t="s">
        <v>802</v>
      </c>
      <c r="C98" s="7" t="s">
        <v>1257</v>
      </c>
      <c r="D98" s="7">
        <v>69</v>
      </c>
      <c r="E98" s="7">
        <v>8</v>
      </c>
      <c r="F98" s="9">
        <v>114</v>
      </c>
      <c r="G98" s="10" t="s">
        <v>1258</v>
      </c>
    </row>
    <row r="99" spans="1:7" ht="15" customHeight="1" x14ac:dyDescent="0.3">
      <c r="A99" s="7">
        <v>102699</v>
      </c>
      <c r="B99" s="8" t="s">
        <v>804</v>
      </c>
      <c r="C99" s="7" t="s">
        <v>1257</v>
      </c>
      <c r="D99" s="7">
        <v>69</v>
      </c>
      <c r="E99" s="7">
        <v>18</v>
      </c>
      <c r="F99" s="9">
        <v>14</v>
      </c>
      <c r="G99" s="10" t="s">
        <v>1258</v>
      </c>
    </row>
    <row r="100" spans="1:7" ht="15" customHeight="1" x14ac:dyDescent="0.3">
      <c r="A100" s="7">
        <v>24542</v>
      </c>
      <c r="B100" s="8" t="s">
        <v>305</v>
      </c>
      <c r="C100" s="7" t="s">
        <v>1257</v>
      </c>
      <c r="D100" s="7">
        <v>52</v>
      </c>
      <c r="E100" s="7">
        <v>13</v>
      </c>
      <c r="F100" s="9">
        <v>19</v>
      </c>
      <c r="G100" s="10" t="s">
        <v>1264</v>
      </c>
    </row>
    <row r="101" spans="1:7" ht="15" customHeight="1" x14ac:dyDescent="0.3">
      <c r="A101" s="7">
        <v>16808</v>
      </c>
      <c r="B101" s="8" t="s">
        <v>219</v>
      </c>
      <c r="C101" s="7" t="s">
        <v>1257</v>
      </c>
      <c r="D101" s="7">
        <v>52</v>
      </c>
      <c r="E101" s="7">
        <v>13</v>
      </c>
      <c r="F101" s="9">
        <v>1187</v>
      </c>
      <c r="G101" s="10" t="s">
        <v>1264</v>
      </c>
    </row>
    <row r="102" spans="1:7" ht="15" customHeight="1" x14ac:dyDescent="0.3">
      <c r="A102" s="7">
        <v>16813</v>
      </c>
      <c r="B102" s="8" t="s">
        <v>220</v>
      </c>
      <c r="C102" s="7" t="s">
        <v>1257</v>
      </c>
      <c r="D102" s="7">
        <v>52</v>
      </c>
      <c r="E102" s="7">
        <v>13</v>
      </c>
      <c r="F102" s="9">
        <v>758</v>
      </c>
      <c r="G102" s="10" t="s">
        <v>1264</v>
      </c>
    </row>
    <row r="103" spans="1:7" ht="15" customHeight="1" x14ac:dyDescent="0.3">
      <c r="A103" s="7">
        <v>16532</v>
      </c>
      <c r="B103" s="8" t="s">
        <v>209</v>
      </c>
      <c r="C103" s="7" t="s">
        <v>1257</v>
      </c>
      <c r="D103" s="7">
        <v>73</v>
      </c>
      <c r="E103" s="7">
        <v>4</v>
      </c>
      <c r="F103" s="9">
        <v>68</v>
      </c>
      <c r="G103" s="10" t="s">
        <v>1264</v>
      </c>
    </row>
    <row r="104" spans="1:7" ht="15" customHeight="1" x14ac:dyDescent="0.3">
      <c r="A104" s="7">
        <v>49864</v>
      </c>
      <c r="B104" s="8" t="s">
        <v>437</v>
      </c>
      <c r="C104" s="7" t="s">
        <v>1257</v>
      </c>
      <c r="D104" s="7">
        <v>73</v>
      </c>
      <c r="E104" s="7">
        <v>4</v>
      </c>
      <c r="F104" s="9">
        <v>21</v>
      </c>
      <c r="G104" s="10" t="s">
        <v>1264</v>
      </c>
    </row>
    <row r="105" spans="1:7" ht="15" customHeight="1" x14ac:dyDescent="0.3">
      <c r="A105" s="7">
        <v>102782</v>
      </c>
      <c r="B105" s="8" t="s">
        <v>812</v>
      </c>
      <c r="C105" s="7" t="s">
        <v>1257</v>
      </c>
      <c r="D105" s="7">
        <v>69</v>
      </c>
      <c r="E105" s="7">
        <v>5</v>
      </c>
      <c r="F105" s="9">
        <v>18</v>
      </c>
      <c r="G105" s="10" t="s">
        <v>1258</v>
      </c>
    </row>
    <row r="106" spans="1:7" ht="15" customHeight="1" x14ac:dyDescent="0.3">
      <c r="A106" s="7">
        <v>102782</v>
      </c>
      <c r="B106" s="8" t="s">
        <v>812</v>
      </c>
      <c r="C106" s="7" t="s">
        <v>1257</v>
      </c>
      <c r="D106" s="7">
        <v>69</v>
      </c>
      <c r="E106" s="7">
        <v>5</v>
      </c>
      <c r="F106" s="9">
        <v>18</v>
      </c>
      <c r="G106" s="10" t="s">
        <v>1258</v>
      </c>
    </row>
    <row r="107" spans="1:7" ht="15" customHeight="1" x14ac:dyDescent="0.3">
      <c r="A107" s="7">
        <v>102685</v>
      </c>
      <c r="B107" s="8" t="s">
        <v>791</v>
      </c>
      <c r="C107" s="7" t="s">
        <v>1257</v>
      </c>
      <c r="D107" s="7">
        <v>69</v>
      </c>
      <c r="E107" s="7">
        <v>5</v>
      </c>
      <c r="F107" s="9">
        <v>20</v>
      </c>
      <c r="G107" s="10" t="s">
        <v>1258</v>
      </c>
    </row>
    <row r="108" spans="1:7" ht="15" customHeight="1" x14ac:dyDescent="0.3">
      <c r="A108" s="7">
        <v>12020</v>
      </c>
      <c r="B108" s="8" t="s">
        <v>26</v>
      </c>
      <c r="C108" s="7" t="s">
        <v>1257</v>
      </c>
      <c r="D108" s="7">
        <v>80</v>
      </c>
      <c r="E108" s="7">
        <v>1</v>
      </c>
      <c r="F108" s="9">
        <v>150</v>
      </c>
      <c r="G108" s="10" t="s">
        <v>1262</v>
      </c>
    </row>
    <row r="109" spans="1:7" ht="15" customHeight="1" x14ac:dyDescent="0.3">
      <c r="A109" s="7">
        <v>78043</v>
      </c>
      <c r="B109" s="8" t="s">
        <v>610</v>
      </c>
      <c r="C109" s="7" t="s">
        <v>1257</v>
      </c>
      <c r="D109" s="7">
        <v>45</v>
      </c>
      <c r="E109" s="7">
        <v>12</v>
      </c>
      <c r="F109" s="9">
        <v>6</v>
      </c>
      <c r="G109" s="10" t="s">
        <v>1262</v>
      </c>
    </row>
    <row r="110" spans="1:7" ht="15" customHeight="1" x14ac:dyDescent="0.3">
      <c r="A110" s="7">
        <v>110216</v>
      </c>
      <c r="B110" s="8" t="s">
        <v>907</v>
      </c>
      <c r="C110" s="7" t="s">
        <v>1274</v>
      </c>
      <c r="D110" s="7">
        <v>51</v>
      </c>
      <c r="E110" s="7">
        <v>4</v>
      </c>
      <c r="F110" s="9">
        <v>82</v>
      </c>
      <c r="G110" s="10" t="s">
        <v>1262</v>
      </c>
    </row>
    <row r="111" spans="1:7" ht="15" customHeight="1" x14ac:dyDescent="0.3">
      <c r="A111" s="7">
        <v>45651</v>
      </c>
      <c r="B111" s="8" t="s">
        <v>424</v>
      </c>
      <c r="C111" s="7" t="s">
        <v>1257</v>
      </c>
      <c r="D111" s="7">
        <v>67</v>
      </c>
      <c r="E111" s="7">
        <v>1</v>
      </c>
      <c r="F111" s="9">
        <v>1070</v>
      </c>
      <c r="G111" s="10" t="s">
        <v>1262</v>
      </c>
    </row>
    <row r="112" spans="1:7" ht="15" customHeight="1" x14ac:dyDescent="0.3">
      <c r="A112" s="7">
        <v>94787</v>
      </c>
      <c r="B112" s="8" t="s">
        <v>752</v>
      </c>
      <c r="C112" s="7" t="s">
        <v>1257</v>
      </c>
      <c r="D112" s="7">
        <v>67</v>
      </c>
      <c r="E112" s="7">
        <v>1</v>
      </c>
      <c r="F112" s="9">
        <v>852</v>
      </c>
      <c r="G112" s="10" t="s">
        <v>1262</v>
      </c>
    </row>
    <row r="113" spans="1:7" ht="15" customHeight="1" x14ac:dyDescent="0.3">
      <c r="A113" s="7">
        <v>126127</v>
      </c>
      <c r="B113" s="8" t="s">
        <v>1067</v>
      </c>
      <c r="C113" s="7" t="s">
        <v>1252</v>
      </c>
      <c r="D113" s="7">
        <v>55</v>
      </c>
      <c r="E113" s="7">
        <v>26</v>
      </c>
      <c r="F113" s="9">
        <v>190</v>
      </c>
      <c r="G113" s="10" t="s">
        <v>1258</v>
      </c>
    </row>
    <row r="114" spans="1:7" ht="15" customHeight="1" x14ac:dyDescent="0.3">
      <c r="A114" s="7">
        <v>126081</v>
      </c>
      <c r="B114" s="8" t="s">
        <v>1281</v>
      </c>
      <c r="C114" s="7" t="s">
        <v>1252</v>
      </c>
      <c r="D114" s="7">
        <v>55</v>
      </c>
      <c r="E114" s="7">
        <v>26</v>
      </c>
      <c r="F114" s="9">
        <v>10</v>
      </c>
      <c r="G114" s="10" t="s">
        <v>1258</v>
      </c>
    </row>
    <row r="115" spans="1:7" ht="15" customHeight="1" x14ac:dyDescent="0.3">
      <c r="A115" s="7">
        <v>126080</v>
      </c>
      <c r="B115" s="8" t="s">
        <v>1066</v>
      </c>
      <c r="C115" s="7" t="s">
        <v>1252</v>
      </c>
      <c r="D115" s="7">
        <v>55</v>
      </c>
      <c r="E115" s="7">
        <v>26</v>
      </c>
      <c r="F115" s="9">
        <v>181</v>
      </c>
      <c r="G115" s="10" t="s">
        <v>1258</v>
      </c>
    </row>
    <row r="116" spans="1:7" ht="15" customHeight="1" x14ac:dyDescent="0.3">
      <c r="A116" s="7">
        <v>126079</v>
      </c>
      <c r="B116" s="8" t="s">
        <v>1282</v>
      </c>
      <c r="C116" s="7" t="s">
        <v>1252</v>
      </c>
      <c r="D116" s="7">
        <v>55</v>
      </c>
      <c r="E116" s="7">
        <v>26</v>
      </c>
      <c r="F116" s="9">
        <v>29</v>
      </c>
      <c r="G116" s="10" t="s">
        <v>1258</v>
      </c>
    </row>
    <row r="117" spans="1:7" ht="15" customHeight="1" x14ac:dyDescent="0.3">
      <c r="A117" s="7">
        <v>12934</v>
      </c>
      <c r="B117" s="8" t="s">
        <v>1283</v>
      </c>
      <c r="C117" s="7" t="s">
        <v>1257</v>
      </c>
      <c r="D117" s="7">
        <v>70</v>
      </c>
      <c r="E117" s="7">
        <v>30</v>
      </c>
      <c r="F117" s="9">
        <v>0</v>
      </c>
      <c r="G117" s="10" t="s">
        <v>1272</v>
      </c>
    </row>
    <row r="118" spans="1:7" ht="15" customHeight="1" x14ac:dyDescent="0.3">
      <c r="A118" s="7">
        <v>122154</v>
      </c>
      <c r="B118" s="8" t="s">
        <v>1027</v>
      </c>
      <c r="C118" s="7" t="s">
        <v>1252</v>
      </c>
      <c r="D118" s="7">
        <v>55</v>
      </c>
      <c r="E118" s="7">
        <v>63</v>
      </c>
      <c r="F118" s="9">
        <v>477</v>
      </c>
      <c r="G118" s="10" t="s">
        <v>1258</v>
      </c>
    </row>
    <row r="119" spans="1:7" ht="15" customHeight="1" x14ac:dyDescent="0.3">
      <c r="A119" s="7">
        <v>49866</v>
      </c>
      <c r="B119" s="8" t="s">
        <v>438</v>
      </c>
      <c r="C119" s="7" t="s">
        <v>1257</v>
      </c>
      <c r="D119" s="7">
        <v>55</v>
      </c>
      <c r="E119" s="7">
        <v>57</v>
      </c>
      <c r="F119" s="9">
        <v>184</v>
      </c>
      <c r="G119" s="10" t="s">
        <v>1258</v>
      </c>
    </row>
    <row r="120" spans="1:7" ht="15" customHeight="1" x14ac:dyDescent="0.3">
      <c r="A120" s="7">
        <v>125443</v>
      </c>
      <c r="B120" s="8" t="s">
        <v>1058</v>
      </c>
      <c r="C120" s="7" t="s">
        <v>1252</v>
      </c>
      <c r="D120" s="7">
        <v>55</v>
      </c>
      <c r="E120" s="7">
        <v>63</v>
      </c>
      <c r="F120" s="9">
        <v>158</v>
      </c>
      <c r="G120" s="10" t="s">
        <v>1258</v>
      </c>
    </row>
    <row r="121" spans="1:7" ht="15" customHeight="1" x14ac:dyDescent="0.3">
      <c r="A121" s="7">
        <v>13096</v>
      </c>
      <c r="B121" s="8" t="s">
        <v>107</v>
      </c>
      <c r="C121" s="7" t="s">
        <v>1257</v>
      </c>
      <c r="D121" s="7">
        <v>51</v>
      </c>
      <c r="E121" s="7">
        <v>36</v>
      </c>
      <c r="F121" s="9">
        <v>19</v>
      </c>
      <c r="G121" s="10" t="s">
        <v>1262</v>
      </c>
    </row>
    <row r="122" spans="1:7" ht="15" customHeight="1" x14ac:dyDescent="0.3">
      <c r="A122" s="7">
        <v>31427</v>
      </c>
      <c r="B122" s="8" t="s">
        <v>368</v>
      </c>
      <c r="C122" s="7" t="s">
        <v>1257</v>
      </c>
      <c r="D122" s="7">
        <v>52</v>
      </c>
      <c r="E122" s="7">
        <v>7</v>
      </c>
      <c r="F122" s="9">
        <v>26</v>
      </c>
      <c r="G122" s="10" t="s">
        <v>1264</v>
      </c>
    </row>
    <row r="123" spans="1:7" ht="15" customHeight="1" x14ac:dyDescent="0.3">
      <c r="A123" s="7">
        <v>31428</v>
      </c>
      <c r="B123" s="8" t="s">
        <v>369</v>
      </c>
      <c r="C123" s="7" t="s">
        <v>1257</v>
      </c>
      <c r="D123" s="7">
        <v>52</v>
      </c>
      <c r="E123" s="7">
        <v>7</v>
      </c>
      <c r="F123" s="9">
        <v>22</v>
      </c>
      <c r="G123" s="10" t="s">
        <v>1264</v>
      </c>
    </row>
    <row r="124" spans="1:7" ht="15" customHeight="1" x14ac:dyDescent="0.3">
      <c r="A124" s="7">
        <v>89860</v>
      </c>
      <c r="B124" s="8" t="s">
        <v>711</v>
      </c>
      <c r="C124" s="7" t="s">
        <v>1257</v>
      </c>
      <c r="D124" s="7">
        <v>83</v>
      </c>
      <c r="E124" s="7">
        <v>3</v>
      </c>
      <c r="F124" s="9">
        <v>174</v>
      </c>
      <c r="G124" s="10" t="s">
        <v>1263</v>
      </c>
    </row>
    <row r="125" spans="1:7" ht="15" customHeight="1" x14ac:dyDescent="0.3">
      <c r="A125" s="7">
        <v>64631</v>
      </c>
      <c r="B125" s="8" t="s">
        <v>531</v>
      </c>
      <c r="C125" s="7" t="s">
        <v>1257</v>
      </c>
      <c r="D125" s="7">
        <v>83</v>
      </c>
      <c r="E125" s="7">
        <v>5</v>
      </c>
      <c r="F125" s="9">
        <v>1530</v>
      </c>
      <c r="G125" s="10" t="s">
        <v>1263</v>
      </c>
    </row>
    <row r="126" spans="1:7" ht="15" customHeight="1" x14ac:dyDescent="0.3">
      <c r="A126" s="7">
        <v>106765</v>
      </c>
      <c r="B126" s="8" t="s">
        <v>883</v>
      </c>
      <c r="C126" s="7" t="s">
        <v>1257</v>
      </c>
      <c r="D126" s="7">
        <v>83</v>
      </c>
      <c r="E126" s="7">
        <v>3</v>
      </c>
      <c r="F126" s="9">
        <v>233</v>
      </c>
      <c r="G126" s="10" t="s">
        <v>1263</v>
      </c>
    </row>
    <row r="127" spans="1:7" ht="15" customHeight="1" x14ac:dyDescent="0.3">
      <c r="A127" s="7">
        <v>103298</v>
      </c>
      <c r="B127" s="8" t="s">
        <v>822</v>
      </c>
      <c r="C127" s="7" t="s">
        <v>1257</v>
      </c>
      <c r="D127" s="7">
        <v>55</v>
      </c>
      <c r="E127" s="7">
        <v>49</v>
      </c>
      <c r="F127" s="9">
        <v>43</v>
      </c>
      <c r="G127" s="10" t="s">
        <v>1258</v>
      </c>
    </row>
    <row r="128" spans="1:7" ht="15" customHeight="1" x14ac:dyDescent="0.3">
      <c r="A128" s="7">
        <v>103299</v>
      </c>
      <c r="B128" s="8" t="s">
        <v>823</v>
      </c>
      <c r="C128" s="7" t="s">
        <v>1257</v>
      </c>
      <c r="D128" s="7">
        <v>55</v>
      </c>
      <c r="E128" s="7">
        <v>49</v>
      </c>
      <c r="F128" s="9">
        <v>10</v>
      </c>
      <c r="G128" s="10" t="s">
        <v>1258</v>
      </c>
    </row>
    <row r="129" spans="1:7" ht="15" customHeight="1" x14ac:dyDescent="0.3">
      <c r="A129" s="7">
        <v>51223</v>
      </c>
      <c r="B129" s="8" t="s">
        <v>448</v>
      </c>
      <c r="C129" s="7" t="s">
        <v>1257</v>
      </c>
      <c r="D129" s="7">
        <v>55</v>
      </c>
      <c r="E129" s="7">
        <v>49</v>
      </c>
      <c r="F129" s="9">
        <v>126</v>
      </c>
      <c r="G129" s="10" t="s">
        <v>1258</v>
      </c>
    </row>
    <row r="130" spans="1:7" ht="15" customHeight="1" x14ac:dyDescent="0.3">
      <c r="A130" s="7">
        <v>13013</v>
      </c>
      <c r="B130" s="8" t="s">
        <v>85</v>
      </c>
      <c r="C130" s="7" t="s">
        <v>1257</v>
      </c>
      <c r="D130" s="7">
        <v>55</v>
      </c>
      <c r="E130" s="7">
        <v>49</v>
      </c>
      <c r="F130" s="9">
        <v>192</v>
      </c>
      <c r="G130" s="10" t="s">
        <v>1258</v>
      </c>
    </row>
    <row r="131" spans="1:7" ht="15" customHeight="1" x14ac:dyDescent="0.3">
      <c r="A131" s="7">
        <v>12953</v>
      </c>
      <c r="B131" s="8" t="s">
        <v>76</v>
      </c>
      <c r="C131" s="7" t="s">
        <v>1257</v>
      </c>
      <c r="D131" s="7">
        <v>61</v>
      </c>
      <c r="E131" s="7">
        <v>8</v>
      </c>
      <c r="F131" s="9">
        <v>381</v>
      </c>
      <c r="G131" s="10" t="s">
        <v>1271</v>
      </c>
    </row>
    <row r="132" spans="1:7" ht="15" customHeight="1" x14ac:dyDescent="0.3">
      <c r="A132" s="7">
        <v>12944</v>
      </c>
      <c r="B132" s="8" t="s">
        <v>73</v>
      </c>
      <c r="C132" s="7" t="s">
        <v>1257</v>
      </c>
      <c r="D132" s="7">
        <v>61</v>
      </c>
      <c r="E132" s="7">
        <v>8</v>
      </c>
      <c r="F132" s="9">
        <v>546</v>
      </c>
      <c r="G132" s="10" t="s">
        <v>1271</v>
      </c>
    </row>
    <row r="133" spans="1:7" ht="15" customHeight="1" x14ac:dyDescent="0.3">
      <c r="A133" s="7">
        <v>90827</v>
      </c>
      <c r="B133" s="8" t="s">
        <v>1284</v>
      </c>
      <c r="C133" s="7" t="s">
        <v>1285</v>
      </c>
      <c r="D133" s="7">
        <v>51</v>
      </c>
      <c r="E133" s="7">
        <v>3</v>
      </c>
      <c r="F133" s="9">
        <v>4</v>
      </c>
      <c r="G133" s="10" t="s">
        <v>1263</v>
      </c>
    </row>
    <row r="134" spans="1:7" ht="15" customHeight="1" x14ac:dyDescent="0.3">
      <c r="A134" s="7">
        <v>53928</v>
      </c>
      <c r="B134" s="8" t="s">
        <v>1286</v>
      </c>
      <c r="C134" s="7" t="s">
        <v>1257</v>
      </c>
      <c r="D134" s="7">
        <v>51</v>
      </c>
      <c r="E134" s="7">
        <v>30</v>
      </c>
      <c r="F134" s="9">
        <v>15</v>
      </c>
      <c r="G134" s="10" t="s">
        <v>1262</v>
      </c>
    </row>
    <row r="135" spans="1:7" ht="15" customHeight="1" x14ac:dyDescent="0.3">
      <c r="A135" s="7">
        <v>12961</v>
      </c>
      <c r="B135" s="8" t="s">
        <v>78</v>
      </c>
      <c r="C135" s="7" t="s">
        <v>1257</v>
      </c>
      <c r="D135" s="7">
        <v>61</v>
      </c>
      <c r="E135" s="7">
        <v>8</v>
      </c>
      <c r="F135" s="9">
        <v>200</v>
      </c>
      <c r="G135" s="10" t="s">
        <v>1271</v>
      </c>
    </row>
    <row r="136" spans="1:7" ht="15" customHeight="1" x14ac:dyDescent="0.3">
      <c r="A136" s="7">
        <v>50294</v>
      </c>
      <c r="B136" s="8" t="s">
        <v>441</v>
      </c>
      <c r="C136" s="7" t="s">
        <v>1257</v>
      </c>
      <c r="D136" s="7">
        <v>61</v>
      </c>
      <c r="E136" s="7">
        <v>8</v>
      </c>
      <c r="F136" s="9">
        <v>151</v>
      </c>
      <c r="G136" s="10" t="s">
        <v>1271</v>
      </c>
    </row>
    <row r="137" spans="1:7" ht="15" customHeight="1" x14ac:dyDescent="0.3">
      <c r="A137" s="7">
        <v>12964</v>
      </c>
      <c r="B137" s="8" t="s">
        <v>79</v>
      </c>
      <c r="C137" s="7" t="s">
        <v>1257</v>
      </c>
      <c r="D137" s="7">
        <v>61</v>
      </c>
      <c r="E137" s="7">
        <v>8</v>
      </c>
      <c r="F137" s="9">
        <v>116</v>
      </c>
      <c r="G137" s="10" t="s">
        <v>1271</v>
      </c>
    </row>
    <row r="138" spans="1:7" ht="15" customHeight="1" x14ac:dyDescent="0.3">
      <c r="A138" s="7">
        <v>79118</v>
      </c>
      <c r="B138" s="8" t="s">
        <v>1287</v>
      </c>
      <c r="C138" s="7" t="s">
        <v>1257</v>
      </c>
      <c r="D138" s="7">
        <v>52</v>
      </c>
      <c r="E138" s="7">
        <v>13</v>
      </c>
      <c r="F138" s="9">
        <v>0</v>
      </c>
      <c r="G138" s="10" t="s">
        <v>1264</v>
      </c>
    </row>
    <row r="139" spans="1:7" ht="15" customHeight="1" x14ac:dyDescent="0.3">
      <c r="A139" s="7">
        <v>16688</v>
      </c>
      <c r="B139" s="8" t="s">
        <v>211</v>
      </c>
      <c r="C139" s="7" t="s">
        <v>1257</v>
      </c>
      <c r="D139" s="7">
        <v>52</v>
      </c>
      <c r="E139" s="7">
        <v>7</v>
      </c>
      <c r="F139" s="9">
        <v>4</v>
      </c>
      <c r="G139" s="10" t="s">
        <v>1264</v>
      </c>
    </row>
    <row r="140" spans="1:7" ht="15" customHeight="1" x14ac:dyDescent="0.3">
      <c r="A140" s="7">
        <v>16691</v>
      </c>
      <c r="B140" s="8" t="s">
        <v>212</v>
      </c>
      <c r="C140" s="7" t="s">
        <v>1257</v>
      </c>
      <c r="D140" s="7">
        <v>52</v>
      </c>
      <c r="E140" s="7">
        <v>7</v>
      </c>
      <c r="F140" s="9">
        <v>10</v>
      </c>
      <c r="G140" s="10" t="s">
        <v>1264</v>
      </c>
    </row>
    <row r="141" spans="1:7" ht="15" customHeight="1" x14ac:dyDescent="0.3">
      <c r="A141" s="7">
        <v>16692</v>
      </c>
      <c r="B141" s="8" t="s">
        <v>213</v>
      </c>
      <c r="C141" s="7" t="s">
        <v>1257</v>
      </c>
      <c r="D141" s="7">
        <v>52</v>
      </c>
      <c r="E141" s="7">
        <v>7</v>
      </c>
      <c r="F141" s="9">
        <v>21</v>
      </c>
      <c r="G141" s="10" t="s">
        <v>1264</v>
      </c>
    </row>
    <row r="142" spans="1:7" ht="15" customHeight="1" x14ac:dyDescent="0.3">
      <c r="A142" s="7">
        <v>15530</v>
      </c>
      <c r="B142" s="8" t="s">
        <v>188</v>
      </c>
      <c r="C142" s="7" t="s">
        <v>1288</v>
      </c>
      <c r="D142" s="7">
        <v>45</v>
      </c>
      <c r="E142" s="7">
        <v>13</v>
      </c>
      <c r="F142" s="9">
        <v>75051</v>
      </c>
      <c r="G142" s="10" t="s">
        <v>1289</v>
      </c>
    </row>
    <row r="143" spans="1:7" ht="15" customHeight="1" x14ac:dyDescent="0.3">
      <c r="A143" s="7">
        <v>29960</v>
      </c>
      <c r="B143" s="8" t="s">
        <v>359</v>
      </c>
      <c r="C143" s="7" t="s">
        <v>1288</v>
      </c>
      <c r="D143" s="7">
        <v>57</v>
      </c>
      <c r="E143" s="7">
        <v>15</v>
      </c>
      <c r="F143" s="9">
        <v>2745</v>
      </c>
      <c r="G143" s="10" t="s">
        <v>1289</v>
      </c>
    </row>
    <row r="144" spans="1:7" ht="15" customHeight="1" x14ac:dyDescent="0.3">
      <c r="A144" s="7">
        <v>23992</v>
      </c>
      <c r="B144" s="8" t="s">
        <v>295</v>
      </c>
      <c r="C144" s="7" t="s">
        <v>1261</v>
      </c>
      <c r="D144" s="7">
        <v>57</v>
      </c>
      <c r="E144" s="7">
        <v>2</v>
      </c>
      <c r="F144" s="9">
        <v>2220</v>
      </c>
      <c r="G144" s="10" t="s">
        <v>1289</v>
      </c>
    </row>
    <row r="145" spans="1:7" ht="15" customHeight="1" x14ac:dyDescent="0.3">
      <c r="A145" s="7">
        <v>93333</v>
      </c>
      <c r="B145" s="8" t="s">
        <v>734</v>
      </c>
      <c r="C145" s="7" t="s">
        <v>1288</v>
      </c>
      <c r="D145" s="7">
        <v>57</v>
      </c>
      <c r="E145" s="7">
        <v>2</v>
      </c>
      <c r="F145" s="9">
        <v>2423</v>
      </c>
      <c r="G145" s="10" t="s">
        <v>1289</v>
      </c>
    </row>
    <row r="146" spans="1:7" ht="15" customHeight="1" x14ac:dyDescent="0.3">
      <c r="A146" s="7">
        <v>23424</v>
      </c>
      <c r="B146" s="8" t="s">
        <v>1290</v>
      </c>
      <c r="C146" s="7" t="s">
        <v>1291</v>
      </c>
      <c r="D146" s="7">
        <v>57</v>
      </c>
      <c r="E146" s="7">
        <v>19</v>
      </c>
      <c r="F146" s="9">
        <v>56</v>
      </c>
      <c r="G146" s="10" t="s">
        <v>1289</v>
      </c>
    </row>
    <row r="147" spans="1:7" ht="15" customHeight="1" x14ac:dyDescent="0.3">
      <c r="A147" s="7">
        <v>40689</v>
      </c>
      <c r="B147" s="8" t="s">
        <v>411</v>
      </c>
      <c r="C147" s="7" t="s">
        <v>1257</v>
      </c>
      <c r="D147" s="7">
        <v>67</v>
      </c>
      <c r="E147" s="7">
        <v>18</v>
      </c>
      <c r="F147" s="9">
        <v>83</v>
      </c>
      <c r="G147" s="10" t="s">
        <v>1263</v>
      </c>
    </row>
    <row r="148" spans="1:7" ht="15" customHeight="1" x14ac:dyDescent="0.3">
      <c r="A148" s="7">
        <v>40688</v>
      </c>
      <c r="B148" s="8" t="s">
        <v>410</v>
      </c>
      <c r="C148" s="7" t="s">
        <v>1257</v>
      </c>
      <c r="D148" s="7">
        <v>67</v>
      </c>
      <c r="E148" s="7">
        <v>18</v>
      </c>
      <c r="F148" s="9">
        <v>745</v>
      </c>
      <c r="G148" s="10" t="s">
        <v>1263</v>
      </c>
    </row>
    <row r="149" spans="1:7" ht="15" customHeight="1" x14ac:dyDescent="0.3">
      <c r="A149" s="7">
        <v>89866</v>
      </c>
      <c r="B149" s="8" t="s">
        <v>715</v>
      </c>
      <c r="C149" s="7" t="s">
        <v>1292</v>
      </c>
      <c r="D149" s="7">
        <v>67</v>
      </c>
      <c r="E149" s="7">
        <v>3</v>
      </c>
      <c r="F149" s="9">
        <v>172</v>
      </c>
      <c r="G149" s="10" t="s">
        <v>1263</v>
      </c>
    </row>
    <row r="150" spans="1:7" ht="15" customHeight="1" x14ac:dyDescent="0.3">
      <c r="A150" s="7">
        <v>87160</v>
      </c>
      <c r="B150" s="8" t="s">
        <v>675</v>
      </c>
      <c r="C150" s="7" t="s">
        <v>1293</v>
      </c>
      <c r="D150" s="7">
        <v>51</v>
      </c>
      <c r="E150" s="7">
        <v>19</v>
      </c>
      <c r="F150" s="9">
        <v>117.08</v>
      </c>
      <c r="G150" s="10" t="s">
        <v>1262</v>
      </c>
    </row>
    <row r="151" spans="1:7" ht="15" customHeight="1" x14ac:dyDescent="0.3">
      <c r="A151" s="7">
        <v>119626</v>
      </c>
      <c r="B151" s="8" t="s">
        <v>1008</v>
      </c>
      <c r="C151" s="7" t="s">
        <v>1293</v>
      </c>
      <c r="D151" s="7">
        <v>51</v>
      </c>
      <c r="E151" s="7">
        <v>19</v>
      </c>
      <c r="F151" s="9">
        <v>775.6</v>
      </c>
      <c r="G151" s="10" t="s">
        <v>1262</v>
      </c>
    </row>
    <row r="152" spans="1:7" ht="15" customHeight="1" x14ac:dyDescent="0.3">
      <c r="A152" s="7">
        <v>119796</v>
      </c>
      <c r="B152" s="8" t="s">
        <v>1013</v>
      </c>
      <c r="C152" s="7" t="s">
        <v>1293</v>
      </c>
      <c r="D152" s="7">
        <v>51</v>
      </c>
      <c r="E152" s="7">
        <v>19</v>
      </c>
      <c r="F152" s="9">
        <v>2063.25</v>
      </c>
      <c r="G152" s="10" t="s">
        <v>1262</v>
      </c>
    </row>
    <row r="153" spans="1:7" ht="15" customHeight="1" x14ac:dyDescent="0.3">
      <c r="A153" s="7">
        <v>87157</v>
      </c>
      <c r="B153" s="8" t="s">
        <v>674</v>
      </c>
      <c r="C153" s="7" t="s">
        <v>1293</v>
      </c>
      <c r="D153" s="7">
        <v>51</v>
      </c>
      <c r="E153" s="7">
        <v>19</v>
      </c>
      <c r="F153" s="9">
        <v>2076.14</v>
      </c>
      <c r="G153" s="10" t="s">
        <v>1262</v>
      </c>
    </row>
    <row r="154" spans="1:7" ht="15" customHeight="1" x14ac:dyDescent="0.3">
      <c r="A154" s="7">
        <v>119793</v>
      </c>
      <c r="B154" s="8" t="s">
        <v>1294</v>
      </c>
      <c r="C154" s="7" t="s">
        <v>1293</v>
      </c>
      <c r="D154" s="7">
        <v>51</v>
      </c>
      <c r="E154" s="7">
        <v>19</v>
      </c>
      <c r="F154" s="9">
        <v>0</v>
      </c>
      <c r="G154" s="10" t="s">
        <v>1262</v>
      </c>
    </row>
    <row r="155" spans="1:7" ht="15" customHeight="1" x14ac:dyDescent="0.3">
      <c r="A155" s="7">
        <v>119795</v>
      </c>
      <c r="B155" s="8" t="s">
        <v>1012</v>
      </c>
      <c r="C155" s="7" t="s">
        <v>1293</v>
      </c>
      <c r="D155" s="7">
        <v>51</v>
      </c>
      <c r="E155" s="7">
        <v>19</v>
      </c>
      <c r="F155" s="9">
        <v>489.35</v>
      </c>
      <c r="G155" s="10" t="s">
        <v>1262</v>
      </c>
    </row>
    <row r="156" spans="1:7" ht="15" customHeight="1" x14ac:dyDescent="0.3">
      <c r="A156" s="7">
        <v>119794</v>
      </c>
      <c r="B156" s="8" t="s">
        <v>1011</v>
      </c>
      <c r="C156" s="7" t="s">
        <v>1293</v>
      </c>
      <c r="D156" s="7">
        <v>51</v>
      </c>
      <c r="E156" s="7">
        <v>19</v>
      </c>
      <c r="F156" s="9">
        <v>263.7</v>
      </c>
      <c r="G156" s="10" t="s">
        <v>1262</v>
      </c>
    </row>
    <row r="157" spans="1:7" ht="15" customHeight="1" x14ac:dyDescent="0.3">
      <c r="A157" s="7">
        <v>119798</v>
      </c>
      <c r="B157" s="8" t="s">
        <v>1014</v>
      </c>
      <c r="C157" s="7" t="s">
        <v>1293</v>
      </c>
      <c r="D157" s="7">
        <v>51</v>
      </c>
      <c r="E157" s="7">
        <v>19</v>
      </c>
      <c r="F157" s="9">
        <v>191.6</v>
      </c>
      <c r="G157" s="10" t="s">
        <v>1262</v>
      </c>
    </row>
    <row r="158" spans="1:7" ht="15" customHeight="1" x14ac:dyDescent="0.3">
      <c r="A158" s="7">
        <v>115737</v>
      </c>
      <c r="B158" s="8" t="s">
        <v>1295</v>
      </c>
      <c r="C158" s="7" t="s">
        <v>1293</v>
      </c>
      <c r="D158" s="7">
        <v>51</v>
      </c>
      <c r="E158" s="7">
        <v>20</v>
      </c>
      <c r="F158" s="9">
        <v>89</v>
      </c>
      <c r="G158" s="10" t="s">
        <v>1262</v>
      </c>
    </row>
    <row r="159" spans="1:7" ht="15" customHeight="1" x14ac:dyDescent="0.3">
      <c r="A159" s="7">
        <v>82829</v>
      </c>
      <c r="B159" s="8" t="s">
        <v>662</v>
      </c>
      <c r="C159" s="7" t="s">
        <v>1257</v>
      </c>
      <c r="D159" s="7">
        <v>52</v>
      </c>
      <c r="E159" s="7">
        <v>13</v>
      </c>
      <c r="F159" s="9">
        <v>29</v>
      </c>
      <c r="G159" s="10" t="s">
        <v>1264</v>
      </c>
    </row>
    <row r="160" spans="1:7" ht="15" customHeight="1" x14ac:dyDescent="0.3">
      <c r="A160" s="7">
        <v>16590</v>
      </c>
      <c r="B160" s="8" t="s">
        <v>1296</v>
      </c>
      <c r="C160" s="7" t="s">
        <v>1252</v>
      </c>
      <c r="D160" s="7">
        <v>51</v>
      </c>
      <c r="E160" s="7">
        <v>49</v>
      </c>
      <c r="F160" s="9">
        <v>4</v>
      </c>
      <c r="G160" s="10" t="s">
        <v>1262</v>
      </c>
    </row>
    <row r="161" spans="1:7" ht="15" customHeight="1" x14ac:dyDescent="0.3">
      <c r="A161" s="7">
        <v>78304</v>
      </c>
      <c r="B161" s="8" t="s">
        <v>615</v>
      </c>
      <c r="C161" s="7" t="s">
        <v>1257</v>
      </c>
      <c r="D161" s="7">
        <v>51</v>
      </c>
      <c r="E161" s="7">
        <v>36</v>
      </c>
      <c r="F161" s="9">
        <v>100</v>
      </c>
      <c r="G161" s="10" t="s">
        <v>1262</v>
      </c>
    </row>
    <row r="162" spans="1:7" ht="15" customHeight="1" x14ac:dyDescent="0.3">
      <c r="A162" s="7">
        <v>112164</v>
      </c>
      <c r="B162" s="8" t="s">
        <v>936</v>
      </c>
      <c r="C162" s="7" t="s">
        <v>1252</v>
      </c>
      <c r="D162" s="7">
        <v>55</v>
      </c>
      <c r="E162" s="7">
        <v>37</v>
      </c>
      <c r="F162" s="9">
        <v>557</v>
      </c>
      <c r="G162" s="10" t="s">
        <v>1258</v>
      </c>
    </row>
    <row r="163" spans="1:7" ht="15" customHeight="1" x14ac:dyDescent="0.3">
      <c r="A163" s="7">
        <v>119183</v>
      </c>
      <c r="B163" s="8" t="s">
        <v>1001</v>
      </c>
      <c r="C163" s="7" t="s">
        <v>1252</v>
      </c>
      <c r="D163" s="7">
        <v>55</v>
      </c>
      <c r="E163" s="7">
        <v>37</v>
      </c>
      <c r="F163" s="9">
        <v>255</v>
      </c>
      <c r="G163" s="10" t="s">
        <v>1258</v>
      </c>
    </row>
    <row r="164" spans="1:7" ht="15" customHeight="1" x14ac:dyDescent="0.3">
      <c r="A164" s="7">
        <v>123347</v>
      </c>
      <c r="B164" s="8" t="s">
        <v>1036</v>
      </c>
      <c r="C164" s="7" t="s">
        <v>1292</v>
      </c>
      <c r="D164" s="7">
        <v>67</v>
      </c>
      <c r="E164" s="7">
        <v>7</v>
      </c>
      <c r="F164" s="9">
        <v>20</v>
      </c>
      <c r="G164" s="10" t="s">
        <v>1263</v>
      </c>
    </row>
    <row r="165" spans="1:7" ht="15" customHeight="1" x14ac:dyDescent="0.3">
      <c r="A165" s="7">
        <v>123348</v>
      </c>
      <c r="B165" s="8" t="s">
        <v>1037</v>
      </c>
      <c r="C165" s="7" t="s">
        <v>1292</v>
      </c>
      <c r="D165" s="7">
        <v>67</v>
      </c>
      <c r="E165" s="7">
        <v>7</v>
      </c>
      <c r="F165" s="9">
        <v>16</v>
      </c>
      <c r="G165" s="10" t="s">
        <v>1263</v>
      </c>
    </row>
    <row r="166" spans="1:7" ht="15" customHeight="1" x14ac:dyDescent="0.3">
      <c r="A166" s="7">
        <v>123351</v>
      </c>
      <c r="B166" s="8" t="s">
        <v>1039</v>
      </c>
      <c r="C166" s="7" t="s">
        <v>1292</v>
      </c>
      <c r="D166" s="7">
        <v>67</v>
      </c>
      <c r="E166" s="7">
        <v>7</v>
      </c>
      <c r="F166" s="9">
        <v>31</v>
      </c>
      <c r="G166" s="10" t="s">
        <v>1263</v>
      </c>
    </row>
    <row r="167" spans="1:7" ht="15" customHeight="1" x14ac:dyDescent="0.3">
      <c r="A167" s="7">
        <v>123352</v>
      </c>
      <c r="B167" s="8" t="s">
        <v>1040</v>
      </c>
      <c r="C167" s="7" t="s">
        <v>1292</v>
      </c>
      <c r="D167" s="7">
        <v>67</v>
      </c>
      <c r="E167" s="7">
        <v>7</v>
      </c>
      <c r="F167" s="9">
        <v>31</v>
      </c>
      <c r="G167" s="10" t="s">
        <v>1263</v>
      </c>
    </row>
    <row r="168" spans="1:7" ht="15" customHeight="1" x14ac:dyDescent="0.3">
      <c r="A168" s="7">
        <v>123353</v>
      </c>
      <c r="B168" s="8" t="s">
        <v>1041</v>
      </c>
      <c r="C168" s="7" t="s">
        <v>1292</v>
      </c>
      <c r="D168" s="7">
        <v>67</v>
      </c>
      <c r="E168" s="7">
        <v>7</v>
      </c>
      <c r="F168" s="9">
        <v>31</v>
      </c>
      <c r="G168" s="10" t="s">
        <v>1263</v>
      </c>
    </row>
    <row r="169" spans="1:7" ht="15" customHeight="1" x14ac:dyDescent="0.3">
      <c r="A169" s="7">
        <v>103444</v>
      </c>
      <c r="B169" s="8" t="s">
        <v>826</v>
      </c>
      <c r="C169" s="7" t="s">
        <v>1292</v>
      </c>
      <c r="D169" s="7">
        <v>70</v>
      </c>
      <c r="E169" s="7">
        <v>13</v>
      </c>
      <c r="F169" s="9">
        <v>168</v>
      </c>
      <c r="G169" s="10" t="s">
        <v>1263</v>
      </c>
    </row>
    <row r="170" spans="1:7" ht="15" customHeight="1" x14ac:dyDescent="0.3">
      <c r="A170" s="7">
        <v>80749</v>
      </c>
      <c r="B170" s="8" t="s">
        <v>642</v>
      </c>
      <c r="C170" s="7" t="s">
        <v>1257</v>
      </c>
      <c r="D170" s="7">
        <v>55</v>
      </c>
      <c r="E170" s="7">
        <v>37</v>
      </c>
      <c r="F170" s="9">
        <v>47</v>
      </c>
      <c r="G170" s="10" t="s">
        <v>1258</v>
      </c>
    </row>
    <row r="171" spans="1:7" ht="15" customHeight="1" x14ac:dyDescent="0.3">
      <c r="A171" s="7">
        <v>113207</v>
      </c>
      <c r="B171" s="8" t="s">
        <v>940</v>
      </c>
      <c r="C171" s="7" t="s">
        <v>1293</v>
      </c>
      <c r="D171" s="7">
        <v>51</v>
      </c>
      <c r="E171" s="7">
        <v>21</v>
      </c>
      <c r="F171" s="9">
        <v>46.6</v>
      </c>
      <c r="G171" s="10" t="s">
        <v>1262</v>
      </c>
    </row>
    <row r="172" spans="1:7" ht="15" customHeight="1" x14ac:dyDescent="0.3">
      <c r="A172" s="7">
        <v>118248</v>
      </c>
      <c r="B172" s="8" t="s">
        <v>981</v>
      </c>
      <c r="C172" s="7" t="s">
        <v>1293</v>
      </c>
      <c r="D172" s="7">
        <v>51</v>
      </c>
      <c r="E172" s="7">
        <v>21</v>
      </c>
      <c r="F172" s="9">
        <v>1010</v>
      </c>
      <c r="G172" s="10" t="s">
        <v>1262</v>
      </c>
    </row>
    <row r="173" spans="1:7" ht="15" customHeight="1" x14ac:dyDescent="0.3">
      <c r="A173" s="7">
        <v>81509</v>
      </c>
      <c r="B173" s="8" t="s">
        <v>651</v>
      </c>
      <c r="C173" s="7" t="s">
        <v>1293</v>
      </c>
      <c r="D173" s="7">
        <v>51</v>
      </c>
      <c r="E173" s="7">
        <v>21</v>
      </c>
      <c r="F173" s="9">
        <v>828.1</v>
      </c>
      <c r="G173" s="10" t="s">
        <v>1262</v>
      </c>
    </row>
    <row r="174" spans="1:7" ht="15" customHeight="1" x14ac:dyDescent="0.3">
      <c r="A174" s="7">
        <v>118578</v>
      </c>
      <c r="B174" s="8" t="s">
        <v>985</v>
      </c>
      <c r="C174" s="7" t="s">
        <v>1293</v>
      </c>
      <c r="D174" s="7">
        <v>51</v>
      </c>
      <c r="E174" s="7">
        <v>21</v>
      </c>
      <c r="F174" s="9">
        <v>196.5</v>
      </c>
      <c r="G174" s="10" t="s">
        <v>1262</v>
      </c>
    </row>
    <row r="175" spans="1:7" ht="15" customHeight="1" x14ac:dyDescent="0.3">
      <c r="A175" s="7">
        <v>118580</v>
      </c>
      <c r="B175" s="8" t="s">
        <v>986</v>
      </c>
      <c r="C175" s="7" t="s">
        <v>1293</v>
      </c>
      <c r="D175" s="7">
        <v>51</v>
      </c>
      <c r="E175" s="7">
        <v>21</v>
      </c>
      <c r="F175" s="9">
        <v>446.33</v>
      </c>
      <c r="G175" s="10" t="s">
        <v>1262</v>
      </c>
    </row>
    <row r="176" spans="1:7" ht="15" customHeight="1" x14ac:dyDescent="0.3">
      <c r="A176" s="7">
        <v>39982</v>
      </c>
      <c r="B176" s="8" t="s">
        <v>1297</v>
      </c>
      <c r="C176" s="7" t="s">
        <v>1257</v>
      </c>
      <c r="D176" s="7">
        <v>84</v>
      </c>
      <c r="E176" s="7">
        <v>1</v>
      </c>
      <c r="F176" s="9">
        <v>6</v>
      </c>
      <c r="G176" s="10" t="s">
        <v>1298</v>
      </c>
    </row>
    <row r="177" spans="1:7" ht="15" customHeight="1" x14ac:dyDescent="0.3">
      <c r="A177" s="7">
        <v>45111</v>
      </c>
      <c r="B177" s="8" t="s">
        <v>1299</v>
      </c>
      <c r="C177" s="7" t="s">
        <v>1257</v>
      </c>
      <c r="D177" s="7">
        <v>84</v>
      </c>
      <c r="E177" s="7">
        <v>1</v>
      </c>
      <c r="F177" s="9">
        <v>5</v>
      </c>
      <c r="G177" s="10" t="s">
        <v>1298</v>
      </c>
    </row>
    <row r="178" spans="1:7" ht="15" customHeight="1" x14ac:dyDescent="0.3">
      <c r="A178" s="7">
        <v>34405</v>
      </c>
      <c r="B178" s="8" t="s">
        <v>1300</v>
      </c>
      <c r="C178" s="7" t="s">
        <v>1257</v>
      </c>
      <c r="D178" s="7">
        <v>84</v>
      </c>
      <c r="E178" s="7">
        <v>1</v>
      </c>
      <c r="F178" s="9">
        <v>5</v>
      </c>
      <c r="G178" s="10" t="s">
        <v>1298</v>
      </c>
    </row>
    <row r="179" spans="1:7" ht="15" customHeight="1" x14ac:dyDescent="0.3">
      <c r="A179" s="7">
        <v>120217</v>
      </c>
      <c r="B179" s="8" t="s">
        <v>1301</v>
      </c>
      <c r="C179" s="7" t="s">
        <v>1257</v>
      </c>
      <c r="D179" s="7">
        <v>84</v>
      </c>
      <c r="E179" s="7">
        <v>1</v>
      </c>
      <c r="F179" s="9">
        <v>1</v>
      </c>
      <c r="G179" s="10" t="s">
        <v>1298</v>
      </c>
    </row>
    <row r="180" spans="1:7" ht="15" customHeight="1" x14ac:dyDescent="0.3">
      <c r="A180" s="7">
        <v>88084</v>
      </c>
      <c r="B180" s="8" t="s">
        <v>1302</v>
      </c>
      <c r="C180" s="7" t="s">
        <v>1257</v>
      </c>
      <c r="D180" s="7">
        <v>84</v>
      </c>
      <c r="E180" s="7">
        <v>2</v>
      </c>
      <c r="F180" s="9">
        <v>4</v>
      </c>
      <c r="G180" s="10" t="s">
        <v>1298</v>
      </c>
    </row>
    <row r="181" spans="1:7" ht="15" customHeight="1" x14ac:dyDescent="0.3">
      <c r="A181" s="7">
        <v>88083</v>
      </c>
      <c r="B181" s="8" t="s">
        <v>1303</v>
      </c>
      <c r="C181" s="7" t="s">
        <v>1257</v>
      </c>
      <c r="D181" s="7">
        <v>84</v>
      </c>
      <c r="E181" s="7">
        <v>1</v>
      </c>
      <c r="F181" s="9">
        <v>2</v>
      </c>
      <c r="G181" s="10" t="s">
        <v>1298</v>
      </c>
    </row>
    <row r="182" spans="1:7" ht="15" customHeight="1" x14ac:dyDescent="0.3">
      <c r="A182" s="7">
        <v>80349</v>
      </c>
      <c r="B182" s="8" t="s">
        <v>1304</v>
      </c>
      <c r="C182" s="7" t="s">
        <v>1257</v>
      </c>
      <c r="D182" s="7">
        <v>84</v>
      </c>
      <c r="E182" s="7">
        <v>1</v>
      </c>
      <c r="F182" s="9">
        <v>3</v>
      </c>
      <c r="G182" s="10" t="s">
        <v>1298</v>
      </c>
    </row>
    <row r="183" spans="1:7" ht="15" customHeight="1" x14ac:dyDescent="0.3">
      <c r="A183" s="7">
        <v>122545</v>
      </c>
      <c r="B183" s="8" t="s">
        <v>1030</v>
      </c>
      <c r="C183" s="7" t="s">
        <v>1257</v>
      </c>
      <c r="D183" s="7">
        <v>84</v>
      </c>
      <c r="E183" s="7">
        <v>2</v>
      </c>
      <c r="F183" s="9">
        <v>3</v>
      </c>
      <c r="G183" s="10" t="s">
        <v>1298</v>
      </c>
    </row>
    <row r="184" spans="1:7" ht="15" customHeight="1" x14ac:dyDescent="0.3">
      <c r="A184" s="7">
        <v>128832</v>
      </c>
      <c r="B184" s="8" t="s">
        <v>1099</v>
      </c>
      <c r="C184" s="7" t="s">
        <v>1252</v>
      </c>
      <c r="D184" s="7">
        <v>84</v>
      </c>
      <c r="E184" s="7">
        <v>5</v>
      </c>
      <c r="F184" s="9">
        <v>4</v>
      </c>
      <c r="G184" s="10" t="s">
        <v>1305</v>
      </c>
    </row>
    <row r="185" spans="1:7" ht="15" customHeight="1" x14ac:dyDescent="0.3">
      <c r="A185" s="7">
        <v>125576</v>
      </c>
      <c r="B185" s="8" t="s">
        <v>1059</v>
      </c>
      <c r="C185" s="7" t="s">
        <v>1252</v>
      </c>
      <c r="D185" s="7">
        <v>84</v>
      </c>
      <c r="E185" s="7">
        <v>7</v>
      </c>
      <c r="F185" s="9">
        <v>6</v>
      </c>
      <c r="G185" s="10" t="s">
        <v>1305</v>
      </c>
    </row>
    <row r="186" spans="1:7" ht="15" customHeight="1" x14ac:dyDescent="0.3">
      <c r="A186" s="7">
        <v>86891</v>
      </c>
      <c r="B186" s="8" t="s">
        <v>673</v>
      </c>
      <c r="C186" s="7" t="s">
        <v>1257</v>
      </c>
      <c r="D186" s="7">
        <v>78</v>
      </c>
      <c r="E186" s="7">
        <v>2</v>
      </c>
      <c r="F186" s="9">
        <v>18000</v>
      </c>
      <c r="G186" s="10" t="s">
        <v>1263</v>
      </c>
    </row>
    <row r="187" spans="1:7" ht="15" customHeight="1" x14ac:dyDescent="0.3">
      <c r="A187" s="7">
        <v>64463</v>
      </c>
      <c r="B187" s="8" t="s">
        <v>519</v>
      </c>
      <c r="C187" s="7" t="s">
        <v>1257</v>
      </c>
      <c r="D187" s="7">
        <v>67</v>
      </c>
      <c r="E187" s="7">
        <v>4</v>
      </c>
      <c r="F187" s="9">
        <v>756</v>
      </c>
      <c r="G187" s="10" t="s">
        <v>1263</v>
      </c>
    </row>
    <row r="188" spans="1:7" ht="15" customHeight="1" x14ac:dyDescent="0.3">
      <c r="A188" s="7">
        <v>64462</v>
      </c>
      <c r="B188" s="8" t="s">
        <v>518</v>
      </c>
      <c r="C188" s="7" t="s">
        <v>1257</v>
      </c>
      <c r="D188" s="7">
        <v>67</v>
      </c>
      <c r="E188" s="7">
        <v>4</v>
      </c>
      <c r="F188" s="9">
        <v>1608</v>
      </c>
      <c r="G188" s="10" t="s">
        <v>1263</v>
      </c>
    </row>
    <row r="189" spans="1:7" ht="15" customHeight="1" x14ac:dyDescent="0.3">
      <c r="A189" s="7">
        <v>64461</v>
      </c>
      <c r="B189" s="8" t="s">
        <v>517</v>
      </c>
      <c r="C189" s="7" t="s">
        <v>1257</v>
      </c>
      <c r="D189" s="7">
        <v>67</v>
      </c>
      <c r="E189" s="7">
        <v>4</v>
      </c>
      <c r="F189" s="9">
        <v>1626</v>
      </c>
      <c r="G189" s="10" t="s">
        <v>1263</v>
      </c>
    </row>
    <row r="190" spans="1:7" ht="15" customHeight="1" x14ac:dyDescent="0.3">
      <c r="A190" s="7">
        <v>64460</v>
      </c>
      <c r="B190" s="8" t="s">
        <v>516</v>
      </c>
      <c r="C190" s="7" t="s">
        <v>1257</v>
      </c>
      <c r="D190" s="7">
        <v>67</v>
      </c>
      <c r="E190" s="7">
        <v>4</v>
      </c>
      <c r="F190" s="9">
        <v>4736</v>
      </c>
      <c r="G190" s="10" t="s">
        <v>1263</v>
      </c>
    </row>
    <row r="191" spans="1:7" ht="15" customHeight="1" x14ac:dyDescent="0.3">
      <c r="A191" s="7">
        <v>63383</v>
      </c>
      <c r="B191" s="8" t="s">
        <v>508</v>
      </c>
      <c r="C191" s="7" t="s">
        <v>1252</v>
      </c>
      <c r="D191" s="7">
        <v>52</v>
      </c>
      <c r="E191" s="7">
        <v>9</v>
      </c>
      <c r="F191" s="9">
        <v>3000</v>
      </c>
      <c r="G191" s="10" t="s">
        <v>1264</v>
      </c>
    </row>
    <row r="192" spans="1:7" ht="15" customHeight="1" x14ac:dyDescent="0.3">
      <c r="A192" s="7">
        <v>118843</v>
      </c>
      <c r="B192" s="8" t="s">
        <v>989</v>
      </c>
      <c r="C192" s="7" t="s">
        <v>1257</v>
      </c>
      <c r="D192" s="7">
        <v>52</v>
      </c>
      <c r="E192" s="7">
        <v>9</v>
      </c>
      <c r="F192" s="9">
        <v>2418</v>
      </c>
      <c r="G192" s="10" t="s">
        <v>1264</v>
      </c>
    </row>
    <row r="193" spans="1:7" ht="15" customHeight="1" x14ac:dyDescent="0.3">
      <c r="A193" s="7">
        <v>24890</v>
      </c>
      <c r="B193" s="8" t="s">
        <v>308</v>
      </c>
      <c r="C193" s="7" t="s">
        <v>1306</v>
      </c>
      <c r="D193" s="7">
        <v>67</v>
      </c>
      <c r="E193" s="7">
        <v>6</v>
      </c>
      <c r="F193" s="9">
        <v>118</v>
      </c>
      <c r="G193" s="10" t="s">
        <v>1263</v>
      </c>
    </row>
    <row r="194" spans="1:7" ht="15" customHeight="1" x14ac:dyDescent="0.3">
      <c r="A194" s="7">
        <v>18342</v>
      </c>
      <c r="B194" s="8" t="s">
        <v>250</v>
      </c>
      <c r="C194" s="7" t="s">
        <v>1306</v>
      </c>
      <c r="D194" s="7">
        <v>67</v>
      </c>
      <c r="E194" s="7">
        <v>6</v>
      </c>
      <c r="F194" s="9">
        <v>25</v>
      </c>
      <c r="G194" s="10" t="s">
        <v>1263</v>
      </c>
    </row>
    <row r="195" spans="1:7" ht="15" customHeight="1" x14ac:dyDescent="0.3">
      <c r="A195" s="7">
        <v>18351</v>
      </c>
      <c r="B195" s="8" t="s">
        <v>252</v>
      </c>
      <c r="C195" s="7" t="s">
        <v>1306</v>
      </c>
      <c r="D195" s="7">
        <v>67</v>
      </c>
      <c r="E195" s="7">
        <v>6</v>
      </c>
      <c r="F195" s="9">
        <v>11</v>
      </c>
      <c r="G195" s="10" t="s">
        <v>1263</v>
      </c>
    </row>
    <row r="196" spans="1:7" ht="15" customHeight="1" x14ac:dyDescent="0.3">
      <c r="A196" s="7">
        <v>49099</v>
      </c>
      <c r="B196" s="8" t="s">
        <v>431</v>
      </c>
      <c r="C196" s="7" t="s">
        <v>1306</v>
      </c>
      <c r="D196" s="7">
        <v>67</v>
      </c>
      <c r="E196" s="7">
        <v>6</v>
      </c>
      <c r="F196" s="9">
        <v>101</v>
      </c>
      <c r="G196" s="10" t="s">
        <v>1263</v>
      </c>
    </row>
    <row r="197" spans="1:7" ht="15" customHeight="1" x14ac:dyDescent="0.3">
      <c r="A197" s="7">
        <v>20539</v>
      </c>
      <c r="B197" s="8" t="s">
        <v>275</v>
      </c>
      <c r="C197" s="7" t="s">
        <v>1306</v>
      </c>
      <c r="D197" s="7">
        <v>67</v>
      </c>
      <c r="E197" s="7">
        <v>6</v>
      </c>
      <c r="F197" s="9">
        <v>1</v>
      </c>
      <c r="G197" s="10" t="s">
        <v>1263</v>
      </c>
    </row>
    <row r="198" spans="1:7" ht="15" customHeight="1" x14ac:dyDescent="0.3">
      <c r="A198" s="7">
        <v>20540</v>
      </c>
      <c r="B198" s="8" t="s">
        <v>276</v>
      </c>
      <c r="C198" s="7" t="s">
        <v>1306</v>
      </c>
      <c r="D198" s="7">
        <v>67</v>
      </c>
      <c r="E198" s="7">
        <v>6</v>
      </c>
      <c r="F198" s="9">
        <v>28</v>
      </c>
      <c r="G198" s="10" t="s">
        <v>1263</v>
      </c>
    </row>
    <row r="199" spans="1:7" ht="15" customHeight="1" x14ac:dyDescent="0.3">
      <c r="A199" s="7">
        <v>17670</v>
      </c>
      <c r="B199" s="8" t="s">
        <v>245</v>
      </c>
      <c r="C199" s="7" t="s">
        <v>1306</v>
      </c>
      <c r="D199" s="7">
        <v>67</v>
      </c>
      <c r="E199" s="7">
        <v>6</v>
      </c>
      <c r="F199" s="9">
        <v>9</v>
      </c>
      <c r="G199" s="10" t="s">
        <v>1263</v>
      </c>
    </row>
    <row r="200" spans="1:7" ht="15" customHeight="1" x14ac:dyDescent="0.3">
      <c r="A200" s="7">
        <v>25489</v>
      </c>
      <c r="B200" s="8" t="s">
        <v>309</v>
      </c>
      <c r="C200" s="7" t="s">
        <v>1306</v>
      </c>
      <c r="D200" s="7">
        <v>67</v>
      </c>
      <c r="E200" s="7">
        <v>6</v>
      </c>
      <c r="F200" s="9">
        <v>6</v>
      </c>
      <c r="G200" s="10" t="s">
        <v>1263</v>
      </c>
    </row>
    <row r="201" spans="1:7" ht="15" customHeight="1" x14ac:dyDescent="0.3">
      <c r="A201" s="7">
        <v>28040</v>
      </c>
      <c r="B201" s="8" t="s">
        <v>335</v>
      </c>
      <c r="C201" s="7" t="s">
        <v>1306</v>
      </c>
      <c r="D201" s="7">
        <v>67</v>
      </c>
      <c r="E201" s="7">
        <v>6</v>
      </c>
      <c r="F201" s="9">
        <v>12</v>
      </c>
      <c r="G201" s="10" t="s">
        <v>1263</v>
      </c>
    </row>
    <row r="202" spans="1:7" ht="15" customHeight="1" x14ac:dyDescent="0.3">
      <c r="A202" s="7">
        <v>13077</v>
      </c>
      <c r="B202" s="8" t="s">
        <v>99</v>
      </c>
      <c r="C202" s="7" t="s">
        <v>1306</v>
      </c>
      <c r="D202" s="7">
        <v>67</v>
      </c>
      <c r="E202" s="7">
        <v>6</v>
      </c>
      <c r="F202" s="9">
        <v>6</v>
      </c>
      <c r="G202" s="10" t="s">
        <v>1263</v>
      </c>
    </row>
    <row r="203" spans="1:7" ht="15" customHeight="1" x14ac:dyDescent="0.3">
      <c r="A203" s="7">
        <v>32759</v>
      </c>
      <c r="B203" s="8" t="s">
        <v>375</v>
      </c>
      <c r="C203" s="7" t="s">
        <v>1306</v>
      </c>
      <c r="D203" s="7">
        <v>67</v>
      </c>
      <c r="E203" s="7">
        <v>6</v>
      </c>
      <c r="F203" s="9">
        <v>35</v>
      </c>
      <c r="G203" s="10" t="s">
        <v>1263</v>
      </c>
    </row>
    <row r="204" spans="1:7" ht="15" customHeight="1" x14ac:dyDescent="0.3">
      <c r="A204" s="7">
        <v>32761</v>
      </c>
      <c r="B204" s="8" t="s">
        <v>376</v>
      </c>
      <c r="C204" s="7" t="s">
        <v>1306</v>
      </c>
      <c r="D204" s="7">
        <v>67</v>
      </c>
      <c r="E204" s="7">
        <v>6</v>
      </c>
      <c r="F204" s="9">
        <v>3</v>
      </c>
      <c r="G204" s="10" t="s">
        <v>1263</v>
      </c>
    </row>
    <row r="205" spans="1:7" ht="15" customHeight="1" x14ac:dyDescent="0.3">
      <c r="A205" s="7">
        <v>32752</v>
      </c>
      <c r="B205" s="8" t="s">
        <v>374</v>
      </c>
      <c r="C205" s="7" t="s">
        <v>1306</v>
      </c>
      <c r="D205" s="7">
        <v>67</v>
      </c>
      <c r="E205" s="7">
        <v>6</v>
      </c>
      <c r="F205" s="9">
        <v>5</v>
      </c>
      <c r="G205" s="10" t="s">
        <v>1263</v>
      </c>
    </row>
    <row r="206" spans="1:7" ht="15" customHeight="1" x14ac:dyDescent="0.3">
      <c r="A206" s="7">
        <v>53810</v>
      </c>
      <c r="B206" s="8" t="s">
        <v>454</v>
      </c>
      <c r="C206" s="7" t="s">
        <v>1306</v>
      </c>
      <c r="D206" s="7">
        <v>67</v>
      </c>
      <c r="E206" s="7">
        <v>6</v>
      </c>
      <c r="F206" s="9">
        <v>12</v>
      </c>
      <c r="G206" s="10" t="s">
        <v>1263</v>
      </c>
    </row>
    <row r="207" spans="1:7" ht="15" customHeight="1" x14ac:dyDescent="0.3">
      <c r="A207" s="7">
        <v>13076</v>
      </c>
      <c r="B207" s="8" t="s">
        <v>98</v>
      </c>
      <c r="C207" s="7" t="s">
        <v>1306</v>
      </c>
      <c r="D207" s="7">
        <v>67</v>
      </c>
      <c r="E207" s="7">
        <v>6</v>
      </c>
      <c r="F207" s="9">
        <v>102.5</v>
      </c>
      <c r="G207" s="10" t="s">
        <v>1262</v>
      </c>
    </row>
    <row r="208" spans="1:7" ht="15" customHeight="1" x14ac:dyDescent="0.3">
      <c r="A208" s="7">
        <v>107925</v>
      </c>
      <c r="B208" s="8" t="s">
        <v>891</v>
      </c>
      <c r="C208" s="7" t="s">
        <v>1252</v>
      </c>
      <c r="D208" s="7">
        <v>51</v>
      </c>
      <c r="E208" s="7">
        <v>11</v>
      </c>
      <c r="F208" s="9">
        <v>1240</v>
      </c>
      <c r="G208" s="10" t="s">
        <v>1263</v>
      </c>
    </row>
    <row r="209" spans="1:7" ht="15" customHeight="1" x14ac:dyDescent="0.3">
      <c r="A209" s="7">
        <v>57895</v>
      </c>
      <c r="B209" s="8" t="s">
        <v>477</v>
      </c>
      <c r="C209" s="7" t="s">
        <v>1257</v>
      </c>
      <c r="D209" s="7">
        <v>51</v>
      </c>
      <c r="E209" s="7">
        <v>11</v>
      </c>
      <c r="F209" s="9">
        <v>338</v>
      </c>
      <c r="G209" s="10" t="s">
        <v>1263</v>
      </c>
    </row>
    <row r="210" spans="1:7" ht="15" customHeight="1" x14ac:dyDescent="0.3">
      <c r="A210" s="7">
        <v>107909</v>
      </c>
      <c r="B210" s="8" t="s">
        <v>890</v>
      </c>
      <c r="C210" s="7" t="s">
        <v>1307</v>
      </c>
      <c r="D210" s="7">
        <v>72</v>
      </c>
      <c r="E210" s="7">
        <v>14</v>
      </c>
      <c r="F210" s="9">
        <v>35</v>
      </c>
      <c r="G210" s="10"/>
    </row>
    <row r="211" spans="1:7" ht="15" customHeight="1" x14ac:dyDescent="0.3">
      <c r="A211" s="7">
        <v>60110</v>
      </c>
      <c r="B211" s="8" t="s">
        <v>492</v>
      </c>
      <c r="C211" s="7" t="s">
        <v>1252</v>
      </c>
      <c r="D211" s="7">
        <v>52</v>
      </c>
      <c r="E211" s="7">
        <v>10</v>
      </c>
      <c r="F211" s="9">
        <v>35</v>
      </c>
      <c r="G211" s="10" t="s">
        <v>1264</v>
      </c>
    </row>
    <row r="212" spans="1:7" ht="15" customHeight="1" x14ac:dyDescent="0.3">
      <c r="A212" s="7">
        <v>20431</v>
      </c>
      <c r="B212" s="8" t="s">
        <v>1308</v>
      </c>
      <c r="C212" s="7" t="s">
        <v>1257</v>
      </c>
      <c r="D212" s="7">
        <v>70</v>
      </c>
      <c r="E212" s="7">
        <v>15</v>
      </c>
      <c r="F212" s="9">
        <v>10</v>
      </c>
      <c r="G212" s="10" t="s">
        <v>1272</v>
      </c>
    </row>
    <row r="213" spans="1:7" ht="15" customHeight="1" x14ac:dyDescent="0.3">
      <c r="A213" s="7">
        <v>49867</v>
      </c>
      <c r="B213" s="8" t="s">
        <v>439</v>
      </c>
      <c r="C213" s="7" t="s">
        <v>1257</v>
      </c>
      <c r="D213" s="7">
        <v>55</v>
      </c>
      <c r="E213" s="7">
        <v>55</v>
      </c>
      <c r="F213" s="9">
        <v>392</v>
      </c>
      <c r="G213" s="10" t="s">
        <v>1258</v>
      </c>
    </row>
    <row r="214" spans="1:7" ht="15" customHeight="1" x14ac:dyDescent="0.3">
      <c r="A214" s="7">
        <v>20585</v>
      </c>
      <c r="B214" s="8" t="s">
        <v>1309</v>
      </c>
      <c r="C214" s="7" t="s">
        <v>1257</v>
      </c>
      <c r="D214" s="7">
        <v>67</v>
      </c>
      <c r="E214" s="7">
        <v>7</v>
      </c>
      <c r="F214" s="9">
        <v>630</v>
      </c>
      <c r="G214" s="10" t="s">
        <v>1263</v>
      </c>
    </row>
    <row r="215" spans="1:7" ht="15" customHeight="1" x14ac:dyDescent="0.3">
      <c r="A215" s="7">
        <v>29829</v>
      </c>
      <c r="B215" s="8" t="s">
        <v>354</v>
      </c>
      <c r="C215" s="7" t="s">
        <v>1257</v>
      </c>
      <c r="D215" s="7">
        <v>61</v>
      </c>
      <c r="E215" s="7">
        <v>15</v>
      </c>
      <c r="F215" s="9">
        <v>4</v>
      </c>
      <c r="G215" s="10" t="s">
        <v>1271</v>
      </c>
    </row>
    <row r="216" spans="1:7" ht="15" customHeight="1" x14ac:dyDescent="0.3">
      <c r="A216" s="7">
        <v>13123</v>
      </c>
      <c r="B216" s="8" t="s">
        <v>115</v>
      </c>
      <c r="C216" s="7" t="s">
        <v>1257</v>
      </c>
      <c r="D216" s="7">
        <v>61</v>
      </c>
      <c r="E216" s="7">
        <v>15</v>
      </c>
      <c r="F216" s="9">
        <v>5</v>
      </c>
      <c r="G216" s="10" t="s">
        <v>1271</v>
      </c>
    </row>
    <row r="217" spans="1:7" ht="15" customHeight="1" x14ac:dyDescent="0.3">
      <c r="A217" s="7">
        <v>13125</v>
      </c>
      <c r="B217" s="8" t="s">
        <v>116</v>
      </c>
      <c r="C217" s="7" t="s">
        <v>1257</v>
      </c>
      <c r="D217" s="7">
        <v>61</v>
      </c>
      <c r="E217" s="7">
        <v>15</v>
      </c>
      <c r="F217" s="9">
        <v>14</v>
      </c>
      <c r="G217" s="10" t="s">
        <v>1271</v>
      </c>
    </row>
    <row r="218" spans="1:7" ht="15" customHeight="1" x14ac:dyDescent="0.3">
      <c r="A218" s="7">
        <v>45195</v>
      </c>
      <c r="B218" s="8" t="s">
        <v>421</v>
      </c>
      <c r="C218" s="7" t="s">
        <v>1252</v>
      </c>
      <c r="D218" s="7">
        <v>51</v>
      </c>
      <c r="E218" s="7">
        <v>11</v>
      </c>
      <c r="F218" s="9">
        <v>985</v>
      </c>
      <c r="G218" s="10" t="s">
        <v>1263</v>
      </c>
    </row>
    <row r="219" spans="1:7" ht="15" customHeight="1" x14ac:dyDescent="0.3">
      <c r="A219" s="7">
        <v>118993</v>
      </c>
      <c r="B219" s="8" t="s">
        <v>992</v>
      </c>
      <c r="C219" s="7" t="s">
        <v>1293</v>
      </c>
      <c r="D219" s="7">
        <v>51</v>
      </c>
      <c r="E219" s="7">
        <v>21</v>
      </c>
      <c r="F219" s="9">
        <v>1034.32</v>
      </c>
      <c r="G219" s="10" t="s">
        <v>1262</v>
      </c>
    </row>
    <row r="220" spans="1:7" ht="15" customHeight="1" x14ac:dyDescent="0.3">
      <c r="A220" s="7">
        <v>118994</v>
      </c>
      <c r="B220" s="8" t="s">
        <v>993</v>
      </c>
      <c r="C220" s="7" t="s">
        <v>1293</v>
      </c>
      <c r="D220" s="7">
        <v>51</v>
      </c>
      <c r="E220" s="7">
        <v>21</v>
      </c>
      <c r="F220" s="9">
        <v>66.7</v>
      </c>
      <c r="G220" s="10" t="s">
        <v>1262</v>
      </c>
    </row>
    <row r="221" spans="1:7" ht="15" customHeight="1" x14ac:dyDescent="0.3">
      <c r="A221" s="7">
        <v>105180</v>
      </c>
      <c r="B221" s="8" t="s">
        <v>1310</v>
      </c>
      <c r="C221" s="7" t="s">
        <v>1293</v>
      </c>
      <c r="D221" s="7">
        <v>51</v>
      </c>
      <c r="E221" s="7">
        <v>21</v>
      </c>
      <c r="F221" s="9">
        <v>49.8</v>
      </c>
      <c r="G221" s="10" t="s">
        <v>1262</v>
      </c>
    </row>
    <row r="222" spans="1:7" ht="15" customHeight="1" x14ac:dyDescent="0.3">
      <c r="A222" s="7">
        <v>126344</v>
      </c>
      <c r="B222" s="8" t="s">
        <v>1069</v>
      </c>
      <c r="C222" s="7" t="s">
        <v>1293</v>
      </c>
      <c r="D222" s="7">
        <v>51</v>
      </c>
      <c r="E222" s="7">
        <v>21</v>
      </c>
      <c r="F222" s="9">
        <v>367.6</v>
      </c>
      <c r="G222" s="10" t="s">
        <v>1262</v>
      </c>
    </row>
    <row r="223" spans="1:7" ht="15" customHeight="1" x14ac:dyDescent="0.3">
      <c r="A223" s="7">
        <v>126343</v>
      </c>
      <c r="B223" s="8" t="s">
        <v>1311</v>
      </c>
      <c r="C223" s="7" t="s">
        <v>1293</v>
      </c>
      <c r="D223" s="7">
        <v>51</v>
      </c>
      <c r="E223" s="7">
        <v>21</v>
      </c>
      <c r="F223" s="9">
        <v>33.6</v>
      </c>
      <c r="G223" s="10" t="s">
        <v>1262</v>
      </c>
    </row>
    <row r="224" spans="1:7" ht="15" customHeight="1" x14ac:dyDescent="0.3">
      <c r="A224" s="7">
        <v>132447</v>
      </c>
      <c r="B224" s="8" t="s">
        <v>1150</v>
      </c>
      <c r="C224" s="7" t="s">
        <v>1293</v>
      </c>
      <c r="D224" s="7">
        <v>51</v>
      </c>
      <c r="E224" s="7">
        <v>21</v>
      </c>
      <c r="F224" s="9">
        <v>50</v>
      </c>
      <c r="G224" s="10" t="s">
        <v>1262</v>
      </c>
    </row>
    <row r="225" spans="1:7" ht="15" customHeight="1" x14ac:dyDescent="0.3">
      <c r="A225" s="7">
        <v>111756</v>
      </c>
      <c r="B225" s="8" t="s">
        <v>922</v>
      </c>
      <c r="C225" s="7" t="s">
        <v>1252</v>
      </c>
      <c r="D225" s="7">
        <v>67</v>
      </c>
      <c r="E225" s="7">
        <v>13</v>
      </c>
      <c r="F225" s="9">
        <v>500</v>
      </c>
      <c r="G225" s="10" t="s">
        <v>1263</v>
      </c>
    </row>
    <row r="226" spans="1:7" ht="15" customHeight="1" x14ac:dyDescent="0.3">
      <c r="A226" s="7">
        <v>95970</v>
      </c>
      <c r="B226" s="8" t="s">
        <v>757</v>
      </c>
      <c r="C226" s="7" t="s">
        <v>1257</v>
      </c>
      <c r="D226" s="7">
        <v>67</v>
      </c>
      <c r="E226" s="7">
        <v>13</v>
      </c>
      <c r="F226" s="9">
        <v>100</v>
      </c>
      <c r="G226" s="10"/>
    </row>
    <row r="227" spans="1:7" ht="15" customHeight="1" x14ac:dyDescent="0.3">
      <c r="A227" s="7">
        <v>29936</v>
      </c>
      <c r="B227" s="8" t="s">
        <v>1312</v>
      </c>
      <c r="C227" s="7" t="s">
        <v>1257</v>
      </c>
      <c r="D227" s="7">
        <v>76</v>
      </c>
      <c r="E227" s="7">
        <v>11</v>
      </c>
      <c r="F227" s="9">
        <v>14</v>
      </c>
      <c r="G227" s="10" t="s">
        <v>1313</v>
      </c>
    </row>
    <row r="228" spans="1:7" ht="15" customHeight="1" x14ac:dyDescent="0.3">
      <c r="A228" s="7">
        <v>73020</v>
      </c>
      <c r="B228" s="8" t="s">
        <v>1314</v>
      </c>
      <c r="C228" s="7" t="s">
        <v>1257</v>
      </c>
      <c r="D228" s="7">
        <v>76</v>
      </c>
      <c r="E228" s="7">
        <v>11</v>
      </c>
      <c r="F228" s="9">
        <v>7</v>
      </c>
      <c r="G228" s="10" t="s">
        <v>1313</v>
      </c>
    </row>
    <row r="229" spans="1:7" ht="15" customHeight="1" x14ac:dyDescent="0.3">
      <c r="A229" s="7">
        <v>64646</v>
      </c>
      <c r="B229" s="8" t="s">
        <v>536</v>
      </c>
      <c r="C229" s="7" t="s">
        <v>1257</v>
      </c>
      <c r="D229" s="7">
        <v>78</v>
      </c>
      <c r="E229" s="7">
        <v>2</v>
      </c>
      <c r="F229" s="9">
        <v>800</v>
      </c>
      <c r="G229" s="10" t="s">
        <v>1263</v>
      </c>
    </row>
    <row r="230" spans="1:7" ht="15" customHeight="1" x14ac:dyDescent="0.3">
      <c r="A230" s="7">
        <v>64818</v>
      </c>
      <c r="B230" s="8" t="s">
        <v>540</v>
      </c>
      <c r="C230" s="7" t="s">
        <v>1257</v>
      </c>
      <c r="D230" s="7">
        <v>61</v>
      </c>
      <c r="E230" s="7">
        <v>11</v>
      </c>
      <c r="F230" s="9">
        <v>47</v>
      </c>
      <c r="G230" s="10" t="s">
        <v>1271</v>
      </c>
    </row>
    <row r="231" spans="1:7" ht="15" customHeight="1" x14ac:dyDescent="0.3">
      <c r="A231" s="7">
        <v>80391</v>
      </c>
      <c r="B231" s="8" t="s">
        <v>639</v>
      </c>
      <c r="C231" s="7" t="s">
        <v>1257</v>
      </c>
      <c r="D231" s="7">
        <v>61</v>
      </c>
      <c r="E231" s="7">
        <v>11</v>
      </c>
      <c r="F231" s="9">
        <v>26</v>
      </c>
      <c r="G231" s="10" t="s">
        <v>1271</v>
      </c>
    </row>
    <row r="232" spans="1:7" ht="15" customHeight="1" x14ac:dyDescent="0.3">
      <c r="A232" s="7">
        <v>14895</v>
      </c>
      <c r="B232" s="8" t="s">
        <v>167</v>
      </c>
      <c r="C232" s="7" t="s">
        <v>1257</v>
      </c>
      <c r="D232" s="7">
        <v>55</v>
      </c>
      <c r="E232" s="7">
        <v>27</v>
      </c>
      <c r="F232" s="9">
        <v>200</v>
      </c>
      <c r="G232" s="10" t="s">
        <v>1258</v>
      </c>
    </row>
    <row r="233" spans="1:7" ht="15" customHeight="1" x14ac:dyDescent="0.3">
      <c r="A233" s="7">
        <v>102698</v>
      </c>
      <c r="B233" s="8" t="s">
        <v>803</v>
      </c>
      <c r="C233" s="7" t="s">
        <v>1257</v>
      </c>
      <c r="D233" s="7">
        <v>69</v>
      </c>
      <c r="E233" s="7">
        <v>5</v>
      </c>
      <c r="F233" s="9">
        <v>101</v>
      </c>
      <c r="G233" s="10" t="s">
        <v>1258</v>
      </c>
    </row>
    <row r="234" spans="1:7" ht="15" customHeight="1" x14ac:dyDescent="0.3">
      <c r="A234" s="7">
        <v>107736</v>
      </c>
      <c r="B234" s="8" t="s">
        <v>886</v>
      </c>
      <c r="C234" s="7" t="s">
        <v>1252</v>
      </c>
      <c r="D234" s="7">
        <v>52</v>
      </c>
      <c r="E234" s="7">
        <v>10</v>
      </c>
      <c r="F234" s="9">
        <v>3</v>
      </c>
      <c r="G234" s="10" t="s">
        <v>1264</v>
      </c>
    </row>
    <row r="235" spans="1:7" ht="15" customHeight="1" x14ac:dyDescent="0.3">
      <c r="A235" s="7">
        <v>107737</v>
      </c>
      <c r="B235" s="8" t="s">
        <v>887</v>
      </c>
      <c r="C235" s="7" t="s">
        <v>1252</v>
      </c>
      <c r="D235" s="7">
        <v>52</v>
      </c>
      <c r="E235" s="7">
        <v>10</v>
      </c>
      <c r="F235" s="9">
        <v>8</v>
      </c>
      <c r="G235" s="10" t="s">
        <v>1264</v>
      </c>
    </row>
    <row r="236" spans="1:7" ht="15" customHeight="1" x14ac:dyDescent="0.3">
      <c r="A236" s="7">
        <v>105419</v>
      </c>
      <c r="B236" s="8" t="s">
        <v>858</v>
      </c>
      <c r="C236" s="7" t="s">
        <v>1257</v>
      </c>
      <c r="D236" s="7">
        <v>55</v>
      </c>
      <c r="E236" s="7">
        <v>32</v>
      </c>
      <c r="F236" s="9">
        <v>80</v>
      </c>
      <c r="G236" s="10" t="s">
        <v>1258</v>
      </c>
    </row>
    <row r="237" spans="1:7" ht="15" customHeight="1" x14ac:dyDescent="0.3">
      <c r="A237" s="7">
        <v>102693</v>
      </c>
      <c r="B237" s="8" t="s">
        <v>798</v>
      </c>
      <c r="C237" s="7" t="s">
        <v>1257</v>
      </c>
      <c r="D237" s="7">
        <v>69</v>
      </c>
      <c r="E237" s="7">
        <v>8</v>
      </c>
      <c r="F237" s="9">
        <v>2</v>
      </c>
      <c r="G237" s="10" t="s">
        <v>1258</v>
      </c>
    </row>
    <row r="238" spans="1:7" ht="15" customHeight="1" x14ac:dyDescent="0.3">
      <c r="A238" s="7">
        <v>113097</v>
      </c>
      <c r="B238" s="8" t="s">
        <v>1315</v>
      </c>
      <c r="C238" s="7" t="s">
        <v>1257</v>
      </c>
      <c r="D238" s="7">
        <v>74</v>
      </c>
      <c r="E238" s="7">
        <v>2</v>
      </c>
      <c r="F238" s="9">
        <v>190</v>
      </c>
      <c r="G238" s="10" t="s">
        <v>1262</v>
      </c>
    </row>
    <row r="239" spans="1:7" ht="15" customHeight="1" x14ac:dyDescent="0.3">
      <c r="A239" s="7">
        <v>80575</v>
      </c>
      <c r="B239" s="8" t="s">
        <v>640</v>
      </c>
      <c r="C239" s="7" t="s">
        <v>1257</v>
      </c>
      <c r="D239" s="7">
        <v>52</v>
      </c>
      <c r="E239" s="7">
        <v>10</v>
      </c>
      <c r="F239" s="9">
        <v>32</v>
      </c>
      <c r="G239" s="10" t="s">
        <v>1264</v>
      </c>
    </row>
    <row r="240" spans="1:7" ht="15" customHeight="1" x14ac:dyDescent="0.3">
      <c r="A240" s="7">
        <v>17537</v>
      </c>
      <c r="B240" s="8" t="s">
        <v>1316</v>
      </c>
      <c r="C240" s="7" t="s">
        <v>1257</v>
      </c>
      <c r="D240" s="7">
        <v>70</v>
      </c>
      <c r="E240" s="7">
        <v>17</v>
      </c>
      <c r="F240" s="9">
        <v>0</v>
      </c>
      <c r="G240" s="10" t="s">
        <v>1272</v>
      </c>
    </row>
    <row r="241" spans="1:7" ht="15" customHeight="1" x14ac:dyDescent="0.3">
      <c r="A241" s="7">
        <v>83788</v>
      </c>
      <c r="B241" s="8" t="s">
        <v>667</v>
      </c>
      <c r="C241" s="7" t="s">
        <v>1257</v>
      </c>
      <c r="D241" s="7">
        <v>55</v>
      </c>
      <c r="E241" s="7">
        <v>32</v>
      </c>
      <c r="F241" s="9">
        <v>19</v>
      </c>
      <c r="G241" s="10" t="s">
        <v>1258</v>
      </c>
    </row>
    <row r="242" spans="1:7" ht="15" customHeight="1" x14ac:dyDescent="0.3">
      <c r="A242" s="7">
        <v>102443</v>
      </c>
      <c r="B242" s="8" t="s">
        <v>787</v>
      </c>
      <c r="C242" s="7" t="s">
        <v>1257</v>
      </c>
      <c r="D242" s="7">
        <v>78</v>
      </c>
      <c r="E242" s="7">
        <v>6</v>
      </c>
      <c r="F242" s="9">
        <v>327</v>
      </c>
      <c r="G242" s="10" t="s">
        <v>1263</v>
      </c>
    </row>
    <row r="243" spans="1:7" ht="15" customHeight="1" x14ac:dyDescent="0.3">
      <c r="A243" s="7">
        <v>67862</v>
      </c>
      <c r="B243" s="8" t="s">
        <v>555</v>
      </c>
      <c r="C243" s="7" t="s">
        <v>1257</v>
      </c>
      <c r="D243" s="7">
        <v>78</v>
      </c>
      <c r="E243" s="7">
        <v>6</v>
      </c>
      <c r="F243" s="9">
        <v>36</v>
      </c>
      <c r="G243" s="10" t="s">
        <v>1263</v>
      </c>
    </row>
    <row r="244" spans="1:7" ht="15" customHeight="1" x14ac:dyDescent="0.3">
      <c r="A244" s="7">
        <v>13078</v>
      </c>
      <c r="B244" s="8" t="s">
        <v>100</v>
      </c>
      <c r="C244" s="7" t="s">
        <v>1257</v>
      </c>
      <c r="D244" s="7">
        <v>61</v>
      </c>
      <c r="E244" s="7">
        <v>8</v>
      </c>
      <c r="F244" s="9">
        <v>321</v>
      </c>
      <c r="G244" s="10" t="s">
        <v>1271</v>
      </c>
    </row>
    <row r="245" spans="1:7" ht="15" customHeight="1" x14ac:dyDescent="0.3">
      <c r="A245" s="7">
        <v>54969</v>
      </c>
      <c r="B245" s="8" t="s">
        <v>471</v>
      </c>
      <c r="C245" s="7" t="s">
        <v>1257</v>
      </c>
      <c r="D245" s="7">
        <v>61</v>
      </c>
      <c r="E245" s="7">
        <v>8</v>
      </c>
      <c r="F245" s="9">
        <v>162</v>
      </c>
      <c r="G245" s="10" t="s">
        <v>1271</v>
      </c>
    </row>
    <row r="246" spans="1:7" ht="15" customHeight="1" x14ac:dyDescent="0.3">
      <c r="A246" s="7">
        <v>13100</v>
      </c>
      <c r="B246" s="8" t="s">
        <v>108</v>
      </c>
      <c r="C246" s="7" t="s">
        <v>1257</v>
      </c>
      <c r="D246" s="7">
        <v>61</v>
      </c>
      <c r="E246" s="7">
        <v>8</v>
      </c>
      <c r="F246" s="9">
        <v>231</v>
      </c>
      <c r="G246" s="10" t="s">
        <v>1271</v>
      </c>
    </row>
    <row r="247" spans="1:7" ht="15" customHeight="1" x14ac:dyDescent="0.3">
      <c r="A247" s="7">
        <v>52995</v>
      </c>
      <c r="B247" s="8" t="s">
        <v>452</v>
      </c>
      <c r="C247" s="7" t="s">
        <v>1257</v>
      </c>
      <c r="D247" s="7">
        <v>61</v>
      </c>
      <c r="E247" s="7">
        <v>8</v>
      </c>
      <c r="F247" s="9">
        <v>58</v>
      </c>
      <c r="G247" s="10" t="s">
        <v>1271</v>
      </c>
    </row>
    <row r="248" spans="1:7" ht="15" customHeight="1" x14ac:dyDescent="0.3">
      <c r="A248" s="7">
        <v>80297</v>
      </c>
      <c r="B248" s="8" t="s">
        <v>631</v>
      </c>
      <c r="C248" s="7" t="s">
        <v>1257</v>
      </c>
      <c r="D248" s="7">
        <v>51</v>
      </c>
      <c r="E248" s="7">
        <v>30</v>
      </c>
      <c r="F248" s="9">
        <v>24</v>
      </c>
      <c r="G248" s="10" t="s">
        <v>1262</v>
      </c>
    </row>
    <row r="249" spans="1:7" ht="15" customHeight="1" x14ac:dyDescent="0.3">
      <c r="A249" s="7">
        <v>15804</v>
      </c>
      <c r="B249" s="8" t="s">
        <v>1317</v>
      </c>
      <c r="C249" s="7" t="s">
        <v>1257</v>
      </c>
      <c r="D249" s="7">
        <v>51</v>
      </c>
      <c r="E249" s="7">
        <v>17</v>
      </c>
      <c r="F249" s="9">
        <v>15981</v>
      </c>
      <c r="G249" s="10" t="s">
        <v>1262</v>
      </c>
    </row>
    <row r="250" spans="1:7" ht="15" customHeight="1" x14ac:dyDescent="0.3">
      <c r="A250" s="7">
        <v>50476</v>
      </c>
      <c r="B250" s="8" t="s">
        <v>443</v>
      </c>
      <c r="C250" s="7" t="s">
        <v>1257</v>
      </c>
      <c r="D250" s="7">
        <v>51</v>
      </c>
      <c r="E250" s="7">
        <v>17</v>
      </c>
      <c r="F250" s="9">
        <v>718</v>
      </c>
      <c r="G250" s="10" t="s">
        <v>1262</v>
      </c>
    </row>
    <row r="251" spans="1:7" ht="15" customHeight="1" x14ac:dyDescent="0.3">
      <c r="A251" s="7">
        <v>64820</v>
      </c>
      <c r="B251" s="8" t="s">
        <v>1318</v>
      </c>
      <c r="C251" s="7" t="s">
        <v>1257</v>
      </c>
      <c r="D251" s="7">
        <v>51</v>
      </c>
      <c r="E251" s="7">
        <v>17</v>
      </c>
      <c r="F251" s="9">
        <v>742</v>
      </c>
      <c r="G251" s="10" t="s">
        <v>1262</v>
      </c>
    </row>
    <row r="252" spans="1:7" ht="15" customHeight="1" x14ac:dyDescent="0.3">
      <c r="A252" s="7">
        <v>115214</v>
      </c>
      <c r="B252" s="8" t="s">
        <v>1319</v>
      </c>
      <c r="C252" s="7" t="s">
        <v>1257</v>
      </c>
      <c r="D252" s="7">
        <v>51</v>
      </c>
      <c r="E252" s="7">
        <v>17</v>
      </c>
      <c r="F252" s="9">
        <v>379</v>
      </c>
      <c r="G252" s="10" t="s">
        <v>1262</v>
      </c>
    </row>
    <row r="253" spans="1:7" ht="15" customHeight="1" x14ac:dyDescent="0.3">
      <c r="A253" s="7">
        <v>133042</v>
      </c>
      <c r="B253" s="8" t="s">
        <v>1166</v>
      </c>
      <c r="C253" s="7" t="s">
        <v>1252</v>
      </c>
      <c r="D253" s="7">
        <v>51</v>
      </c>
      <c r="E253" s="7">
        <v>17</v>
      </c>
      <c r="F253" s="9">
        <v>50</v>
      </c>
      <c r="G253" s="10" t="s">
        <v>1262</v>
      </c>
    </row>
    <row r="254" spans="1:7" ht="15" customHeight="1" x14ac:dyDescent="0.3">
      <c r="A254" s="7">
        <v>102726</v>
      </c>
      <c r="B254" s="8" t="s">
        <v>807</v>
      </c>
      <c r="C254" s="7" t="s">
        <v>1257</v>
      </c>
      <c r="D254" s="7">
        <v>69</v>
      </c>
      <c r="E254" s="7">
        <v>5</v>
      </c>
      <c r="F254" s="9">
        <v>100</v>
      </c>
      <c r="G254" s="10" t="s">
        <v>1258</v>
      </c>
    </row>
    <row r="255" spans="1:7" ht="15" customHeight="1" x14ac:dyDescent="0.3">
      <c r="A255" s="7">
        <v>102684</v>
      </c>
      <c r="B255" s="8" t="s">
        <v>790</v>
      </c>
      <c r="C255" s="7" t="s">
        <v>1257</v>
      </c>
      <c r="D255" s="7">
        <v>69</v>
      </c>
      <c r="E255" s="7">
        <v>5</v>
      </c>
      <c r="F255" s="9">
        <v>50</v>
      </c>
      <c r="G255" s="10" t="s">
        <v>1258</v>
      </c>
    </row>
    <row r="256" spans="1:7" ht="15" customHeight="1" x14ac:dyDescent="0.3">
      <c r="A256" s="7">
        <v>63384</v>
      </c>
      <c r="B256" s="8" t="s">
        <v>509</v>
      </c>
      <c r="C256" s="7" t="s">
        <v>1257</v>
      </c>
      <c r="D256" s="7">
        <v>52</v>
      </c>
      <c r="E256" s="7">
        <v>5</v>
      </c>
      <c r="F256" s="9">
        <v>2200</v>
      </c>
      <c r="G256" s="10" t="s">
        <v>1264</v>
      </c>
    </row>
    <row r="257" spans="1:7" ht="15" customHeight="1" x14ac:dyDescent="0.3">
      <c r="A257" s="7">
        <v>105493</v>
      </c>
      <c r="B257" s="8" t="s">
        <v>862</v>
      </c>
      <c r="C257" s="7" t="s">
        <v>1320</v>
      </c>
      <c r="D257" s="7">
        <v>76</v>
      </c>
      <c r="E257" s="7">
        <v>9</v>
      </c>
      <c r="F257" s="9">
        <v>122</v>
      </c>
      <c r="G257" s="10" t="s">
        <v>1313</v>
      </c>
    </row>
    <row r="258" spans="1:7" ht="15" customHeight="1" x14ac:dyDescent="0.3">
      <c r="A258" s="7">
        <v>61167</v>
      </c>
      <c r="B258" s="8" t="s">
        <v>500</v>
      </c>
      <c r="C258" s="7" t="s">
        <v>1285</v>
      </c>
      <c r="D258" s="7">
        <v>76</v>
      </c>
      <c r="E258" s="7">
        <v>3</v>
      </c>
      <c r="F258" s="9">
        <v>51</v>
      </c>
      <c r="G258" s="10" t="s">
        <v>1313</v>
      </c>
    </row>
    <row r="259" spans="1:7" ht="15" customHeight="1" x14ac:dyDescent="0.3">
      <c r="A259" s="7">
        <v>90470</v>
      </c>
      <c r="B259" s="8" t="s">
        <v>1321</v>
      </c>
      <c r="C259" s="7" t="s">
        <v>1285</v>
      </c>
      <c r="D259" s="7">
        <v>76</v>
      </c>
      <c r="E259" s="7">
        <v>3</v>
      </c>
      <c r="F259" s="9">
        <v>17</v>
      </c>
      <c r="G259" s="10" t="s">
        <v>1313</v>
      </c>
    </row>
    <row r="260" spans="1:7" ht="15" customHeight="1" x14ac:dyDescent="0.3">
      <c r="A260" s="7">
        <v>90884</v>
      </c>
      <c r="B260" s="8" t="s">
        <v>719</v>
      </c>
      <c r="C260" s="7" t="s">
        <v>1320</v>
      </c>
      <c r="D260" s="7">
        <v>76</v>
      </c>
      <c r="E260" s="7">
        <v>10</v>
      </c>
      <c r="F260" s="9">
        <v>22</v>
      </c>
      <c r="G260" s="10" t="s">
        <v>1313</v>
      </c>
    </row>
    <row r="261" spans="1:7" ht="15" customHeight="1" x14ac:dyDescent="0.3">
      <c r="A261" s="7">
        <v>51013</v>
      </c>
      <c r="B261" s="8" t="s">
        <v>446</v>
      </c>
      <c r="C261" s="7" t="s">
        <v>1320</v>
      </c>
      <c r="D261" s="7">
        <v>76</v>
      </c>
      <c r="E261" s="7">
        <v>10</v>
      </c>
      <c r="F261" s="9">
        <v>6</v>
      </c>
      <c r="G261" s="10" t="s">
        <v>1313</v>
      </c>
    </row>
    <row r="262" spans="1:7" ht="15" customHeight="1" x14ac:dyDescent="0.3">
      <c r="A262" s="7">
        <v>90232</v>
      </c>
      <c r="B262" s="8" t="s">
        <v>1322</v>
      </c>
      <c r="C262" s="7" t="s">
        <v>1320</v>
      </c>
      <c r="D262" s="7">
        <v>76</v>
      </c>
      <c r="E262" s="7">
        <v>10</v>
      </c>
      <c r="F262" s="9">
        <v>0</v>
      </c>
      <c r="G262" s="10" t="s">
        <v>1313</v>
      </c>
    </row>
    <row r="263" spans="1:7" ht="15" customHeight="1" x14ac:dyDescent="0.3">
      <c r="A263" s="7">
        <v>29524</v>
      </c>
      <c r="B263" s="8" t="s">
        <v>351</v>
      </c>
      <c r="C263" s="7" t="s">
        <v>1285</v>
      </c>
      <c r="D263" s="7">
        <v>76</v>
      </c>
      <c r="E263" s="7">
        <v>9</v>
      </c>
      <c r="F263" s="9">
        <v>318</v>
      </c>
      <c r="G263" s="10" t="s">
        <v>1313</v>
      </c>
    </row>
    <row r="264" spans="1:7" ht="15" customHeight="1" x14ac:dyDescent="0.3">
      <c r="A264" s="7">
        <v>29526</v>
      </c>
      <c r="B264" s="8" t="s">
        <v>352</v>
      </c>
      <c r="C264" s="7" t="s">
        <v>1285</v>
      </c>
      <c r="D264" s="7">
        <v>76</v>
      </c>
      <c r="E264" s="7">
        <v>9</v>
      </c>
      <c r="F264" s="9">
        <v>512</v>
      </c>
      <c r="G264" s="10" t="s">
        <v>1313</v>
      </c>
    </row>
    <row r="265" spans="1:7" ht="15" customHeight="1" x14ac:dyDescent="0.3">
      <c r="A265" s="7">
        <v>126078</v>
      </c>
      <c r="B265" s="8" t="s">
        <v>1065</v>
      </c>
      <c r="C265" s="7" t="s">
        <v>1252</v>
      </c>
      <c r="D265" s="7">
        <v>55</v>
      </c>
      <c r="E265" s="7">
        <v>37</v>
      </c>
      <c r="F265" s="9">
        <v>114</v>
      </c>
      <c r="G265" s="10" t="s">
        <v>1258</v>
      </c>
    </row>
    <row r="266" spans="1:7" ht="15" customHeight="1" x14ac:dyDescent="0.3">
      <c r="A266" s="7">
        <v>13152</v>
      </c>
      <c r="B266" s="8" t="s">
        <v>117</v>
      </c>
      <c r="C266" s="7" t="s">
        <v>1257</v>
      </c>
      <c r="D266" s="7">
        <v>61</v>
      </c>
      <c r="E266" s="7">
        <v>14</v>
      </c>
      <c r="F266" s="9">
        <v>18</v>
      </c>
      <c r="G266" s="10" t="s">
        <v>1271</v>
      </c>
    </row>
    <row r="267" spans="1:7" ht="15" customHeight="1" x14ac:dyDescent="0.3">
      <c r="A267" s="7">
        <v>131195</v>
      </c>
      <c r="B267" s="8" t="s">
        <v>1118</v>
      </c>
      <c r="C267" s="7" t="s">
        <v>1266</v>
      </c>
      <c r="D267" s="7">
        <v>61</v>
      </c>
      <c r="E267" s="7">
        <v>3</v>
      </c>
      <c r="F267" s="9">
        <v>9</v>
      </c>
      <c r="G267" s="10" t="s">
        <v>1271</v>
      </c>
    </row>
    <row r="268" spans="1:7" ht="15" customHeight="1" x14ac:dyDescent="0.3">
      <c r="A268" s="7">
        <v>15128</v>
      </c>
      <c r="B268" s="8" t="s">
        <v>174</v>
      </c>
      <c r="C268" s="7" t="s">
        <v>1266</v>
      </c>
      <c r="D268" s="7">
        <v>61</v>
      </c>
      <c r="E268" s="7">
        <v>2</v>
      </c>
      <c r="F268" s="9">
        <v>4</v>
      </c>
      <c r="G268" s="10" t="s">
        <v>1271</v>
      </c>
    </row>
    <row r="269" spans="1:7" ht="15" customHeight="1" x14ac:dyDescent="0.3">
      <c r="A269" s="7">
        <v>45607</v>
      </c>
      <c r="B269" s="8" t="s">
        <v>422</v>
      </c>
      <c r="C269" s="7" t="s">
        <v>1257</v>
      </c>
      <c r="D269" s="7">
        <v>61</v>
      </c>
      <c r="E269" s="7">
        <v>8</v>
      </c>
      <c r="F269" s="9">
        <v>543</v>
      </c>
      <c r="G269" s="10" t="s">
        <v>1271</v>
      </c>
    </row>
    <row r="270" spans="1:7" ht="15" customHeight="1" x14ac:dyDescent="0.3">
      <c r="A270" s="7">
        <v>12915</v>
      </c>
      <c r="B270" s="8" t="s">
        <v>1323</v>
      </c>
      <c r="C270" s="7" t="s">
        <v>1285</v>
      </c>
      <c r="D270" s="7">
        <v>76</v>
      </c>
      <c r="E270" s="7">
        <v>5</v>
      </c>
      <c r="F270" s="9">
        <v>0</v>
      </c>
      <c r="G270" s="10" t="s">
        <v>1313</v>
      </c>
    </row>
    <row r="271" spans="1:7" ht="15" customHeight="1" x14ac:dyDescent="0.3">
      <c r="A271" s="7">
        <v>67892</v>
      </c>
      <c r="B271" s="8" t="s">
        <v>556</v>
      </c>
      <c r="C271" s="7" t="s">
        <v>1257</v>
      </c>
      <c r="D271" s="7">
        <v>69</v>
      </c>
      <c r="E271" s="7">
        <v>5</v>
      </c>
      <c r="F271" s="9">
        <v>139</v>
      </c>
      <c r="G271" s="10" t="s">
        <v>1275</v>
      </c>
    </row>
    <row r="272" spans="1:7" ht="15" customHeight="1" x14ac:dyDescent="0.3">
      <c r="A272" s="7">
        <v>77553</v>
      </c>
      <c r="B272" s="8" t="s">
        <v>1324</v>
      </c>
      <c r="C272" s="7" t="s">
        <v>1257</v>
      </c>
      <c r="D272" s="7">
        <v>74</v>
      </c>
      <c r="E272" s="7">
        <v>3</v>
      </c>
      <c r="F272" s="9">
        <v>0</v>
      </c>
      <c r="G272" s="10" t="s">
        <v>1262</v>
      </c>
    </row>
    <row r="273" spans="1:7" ht="15" customHeight="1" x14ac:dyDescent="0.3">
      <c r="A273" s="7">
        <v>77555</v>
      </c>
      <c r="B273" s="8" t="s">
        <v>1325</v>
      </c>
      <c r="C273" s="7" t="s">
        <v>1257</v>
      </c>
      <c r="D273" s="7">
        <v>74</v>
      </c>
      <c r="E273" s="7">
        <v>3</v>
      </c>
      <c r="F273" s="9">
        <v>6</v>
      </c>
      <c r="G273" s="10" t="s">
        <v>1262</v>
      </c>
    </row>
  </sheetData>
  <mergeCells count="1">
    <mergeCell ref="A1:G1"/>
  </mergeCell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F1257"/>
  <sheetViews>
    <sheetView showGridLines="0" workbookViewId="0">
      <pane ySplit="1" topLeftCell="A752" activePane="bottomLeft" state="frozen"/>
      <selection pane="bottomLeft" activeCell="B772" sqref="B772"/>
    </sheetView>
  </sheetViews>
  <sheetFormatPr defaultRowHeight="14.4" x14ac:dyDescent="0.3"/>
  <cols>
    <col min="1" max="1" width="10" style="15" bestFit="1" customWidth="1"/>
    <col min="2" max="2" width="143.88671875" style="17" customWidth="1"/>
    <col min="3" max="3" width="10.109375" style="14" bestFit="1" customWidth="1"/>
    <col min="4" max="4" width="8.44140625" style="11" bestFit="1" customWidth="1"/>
  </cols>
  <sheetData>
    <row r="1" spans="1:6" s="1" customFormat="1" ht="31.5" customHeight="1" x14ac:dyDescent="0.3">
      <c r="A1" s="21" t="s">
        <v>0</v>
      </c>
      <c r="B1" s="20" t="s">
        <v>1</v>
      </c>
      <c r="C1" s="19" t="s">
        <v>1327</v>
      </c>
      <c r="D1" s="20" t="s">
        <v>1326</v>
      </c>
    </row>
    <row r="2" spans="1:6" x14ac:dyDescent="0.3">
      <c r="A2" s="15">
        <v>4680</v>
      </c>
      <c r="B2" s="17" t="s">
        <v>2</v>
      </c>
      <c r="C2" s="12">
        <v>367</v>
      </c>
      <c r="D2" s="11" t="str">
        <f>_xlfn.IFNA(IF(VLOOKUP(Tabela22[[#This Row],[CÓDIGO]],Aguardando_exclusão!A$4:A$4003,1,FALSE),"sim",""),"")</f>
        <v/>
      </c>
    </row>
    <row r="3" spans="1:6" x14ac:dyDescent="0.3">
      <c r="A3" s="15">
        <v>9413</v>
      </c>
      <c r="B3" s="17" t="s">
        <v>3</v>
      </c>
      <c r="C3" s="12">
        <v>367</v>
      </c>
      <c r="D3" s="11" t="str">
        <f>_xlfn.IFNA(IF(VLOOKUP(Tabela22[[#This Row],[CÓDIGO]],Aguardando_exclusão!A$4:A$4003,1,FALSE),"sim",""),"")</f>
        <v/>
      </c>
      <c r="F3">
        <f>COUNTIF(A2:D1256,10302)</f>
        <v>1</v>
      </c>
    </row>
    <row r="4" spans="1:6" x14ac:dyDescent="0.3">
      <c r="A4" s="15">
        <v>10302</v>
      </c>
      <c r="B4" s="17" t="s">
        <v>4</v>
      </c>
      <c r="C4" s="12">
        <v>367</v>
      </c>
      <c r="D4" s="11" t="str">
        <f>_xlfn.IFNA(IF(VLOOKUP(Tabela22[[#This Row],[CÓDIGO]],Aguardando_exclusão!A$4:A$4003,1,FALSE),"sim",""),"")</f>
        <v/>
      </c>
    </row>
    <row r="5" spans="1:6" x14ac:dyDescent="0.3">
      <c r="A5" s="15">
        <v>10359</v>
      </c>
      <c r="B5" s="17" t="s">
        <v>5</v>
      </c>
      <c r="C5" s="12">
        <v>367</v>
      </c>
      <c r="D5" s="11" t="str">
        <f>_xlfn.IFNA(IF(VLOOKUP(Tabela22[[#This Row],[CÓDIGO]],Aguardando_exclusão!A$4:A$4003,1,FALSE),"sim",""),"")</f>
        <v/>
      </c>
    </row>
    <row r="6" spans="1:6" x14ac:dyDescent="0.3">
      <c r="A6" s="15">
        <v>10392</v>
      </c>
      <c r="B6" s="17" t="s">
        <v>6</v>
      </c>
      <c r="C6" s="12">
        <v>367</v>
      </c>
      <c r="D6" s="11" t="str">
        <f>_xlfn.IFNA(IF(VLOOKUP(Tabela22[[#This Row],[CÓDIGO]],Aguardando_exclusão!A$4:A$4003,1,FALSE),"sim",""),"")</f>
        <v/>
      </c>
    </row>
    <row r="7" spans="1:6" x14ac:dyDescent="0.3">
      <c r="A7" s="15">
        <v>10412</v>
      </c>
      <c r="B7" s="17" t="s">
        <v>7</v>
      </c>
      <c r="C7" s="12">
        <v>367</v>
      </c>
      <c r="D7" s="11" t="str">
        <f>_xlfn.IFNA(IF(VLOOKUP(Tabela22[[#This Row],[CÓDIGO]],Aguardando_exclusão!A$4:A$4003,1,FALSE),"sim",""),"")</f>
        <v/>
      </c>
    </row>
    <row r="8" spans="1:6" x14ac:dyDescent="0.3">
      <c r="A8" s="15">
        <v>10547</v>
      </c>
      <c r="B8" s="17" t="s">
        <v>8</v>
      </c>
      <c r="C8" s="12">
        <v>367</v>
      </c>
      <c r="D8" s="11" t="str">
        <f>_xlfn.IFNA(IF(VLOOKUP(Tabela22[[#This Row],[CÓDIGO]],Aguardando_exclusão!A$4:A$4003,1,FALSE),"sim",""),"")</f>
        <v/>
      </c>
    </row>
    <row r="9" spans="1:6" x14ac:dyDescent="0.3">
      <c r="A9" s="15">
        <v>10719</v>
      </c>
      <c r="B9" s="17" t="s">
        <v>9</v>
      </c>
      <c r="C9" s="12">
        <v>367</v>
      </c>
      <c r="D9" s="11" t="str">
        <f>_xlfn.IFNA(IF(VLOOKUP(Tabela22[[#This Row],[CÓDIGO]],Aguardando_exclusão!A$4:A$4003,1,FALSE),"sim",""),"")</f>
        <v/>
      </c>
    </row>
    <row r="10" spans="1:6" x14ac:dyDescent="0.3">
      <c r="A10" s="15">
        <v>10867</v>
      </c>
      <c r="B10" s="17" t="s">
        <v>10</v>
      </c>
      <c r="C10" s="12">
        <v>367</v>
      </c>
      <c r="D10" s="11" t="str">
        <f>_xlfn.IFNA(IF(VLOOKUP(Tabela22[[#This Row],[CÓDIGO]],Aguardando_exclusão!A$4:A$4003,1,FALSE),"sim",""),"")</f>
        <v/>
      </c>
    </row>
    <row r="11" spans="1:6" x14ac:dyDescent="0.3">
      <c r="A11" s="15">
        <v>10870</v>
      </c>
      <c r="B11" s="17" t="s">
        <v>11</v>
      </c>
      <c r="C11" s="12">
        <v>367</v>
      </c>
      <c r="D11" s="11" t="str">
        <f>_xlfn.IFNA(IF(VLOOKUP(Tabela22[[#This Row],[CÓDIGO]],Aguardando_exclusão!A$4:A$4003,1,FALSE),"sim",""),"")</f>
        <v/>
      </c>
    </row>
    <row r="12" spans="1:6" x14ac:dyDescent="0.3">
      <c r="A12" s="15">
        <v>11072</v>
      </c>
      <c r="B12" s="17" t="s">
        <v>12</v>
      </c>
      <c r="C12" s="12">
        <v>367</v>
      </c>
      <c r="D12" s="11" t="str">
        <f>_xlfn.IFNA(IF(VLOOKUP(Tabela22[[#This Row],[CÓDIGO]],Aguardando_exclusão!A$4:A$4003,1,FALSE),"sim",""),"")</f>
        <v/>
      </c>
    </row>
    <row r="13" spans="1:6" x14ac:dyDescent="0.3">
      <c r="A13" s="15">
        <v>11109</v>
      </c>
      <c r="B13" s="17" t="s">
        <v>13</v>
      </c>
      <c r="C13" s="12">
        <v>367</v>
      </c>
      <c r="D13" s="11" t="str">
        <f>_xlfn.IFNA(IF(VLOOKUP(Tabela22[[#This Row],[CÓDIGO]],Aguardando_exclusão!A$4:A$4003,1,FALSE),"sim",""),"")</f>
        <v/>
      </c>
    </row>
    <row r="14" spans="1:6" x14ac:dyDescent="0.3">
      <c r="A14" s="15">
        <v>11116</v>
      </c>
      <c r="B14" s="17" t="s">
        <v>14</v>
      </c>
      <c r="C14" s="12">
        <v>367</v>
      </c>
      <c r="D14" s="11" t="str">
        <f>_xlfn.IFNA(IF(VLOOKUP(Tabela22[[#This Row],[CÓDIGO]],Aguardando_exclusão!A$4:A$4003,1,FALSE),"sim",""),"")</f>
        <v/>
      </c>
    </row>
    <row r="15" spans="1:6" x14ac:dyDescent="0.3">
      <c r="A15" s="15">
        <v>11264</v>
      </c>
      <c r="B15" s="17" t="s">
        <v>15</v>
      </c>
      <c r="C15" s="12">
        <v>367</v>
      </c>
      <c r="D15" s="11" t="str">
        <f>_xlfn.IFNA(IF(VLOOKUP(Tabela22[[#This Row],[CÓDIGO]],Aguardando_exclusão!A$4:A$4003,1,FALSE),"sim",""),"")</f>
        <v/>
      </c>
    </row>
    <row r="16" spans="1:6" x14ac:dyDescent="0.3">
      <c r="A16" s="15">
        <v>11287</v>
      </c>
      <c r="B16" s="17" t="s">
        <v>16</v>
      </c>
      <c r="C16" s="12">
        <v>367</v>
      </c>
      <c r="D16" s="11" t="str">
        <f>_xlfn.IFNA(IF(VLOOKUP(Tabela22[[#This Row],[CÓDIGO]],Aguardando_exclusão!A$4:A$4003,1,FALSE),"sim",""),"")</f>
        <v/>
      </c>
    </row>
    <row r="17" spans="1:4" x14ac:dyDescent="0.3">
      <c r="A17" s="15">
        <v>11418</v>
      </c>
      <c r="B17" s="17" t="s">
        <v>17</v>
      </c>
      <c r="C17" s="12">
        <v>367</v>
      </c>
      <c r="D17" s="11" t="str">
        <f>_xlfn.IFNA(IF(VLOOKUP(Tabela22[[#This Row],[CÓDIGO]],Aguardando_exclusão!A$4:A$4003,1,FALSE),"sim",""),"")</f>
        <v/>
      </c>
    </row>
    <row r="18" spans="1:4" x14ac:dyDescent="0.3">
      <c r="A18" s="15">
        <v>11448</v>
      </c>
      <c r="B18" s="17" t="s">
        <v>18</v>
      </c>
      <c r="C18" s="12">
        <v>367</v>
      </c>
      <c r="D18" s="11" t="str">
        <f>_xlfn.IFNA(IF(VLOOKUP(Tabela22[[#This Row],[CÓDIGO]],Aguardando_exclusão!A$4:A$4003,1,FALSE),"sim",""),"")</f>
        <v/>
      </c>
    </row>
    <row r="19" spans="1:4" ht="15" customHeight="1" x14ac:dyDescent="0.3">
      <c r="A19" s="15">
        <v>11509</v>
      </c>
      <c r="B19" s="17" t="s">
        <v>19</v>
      </c>
      <c r="C19" s="12">
        <v>367</v>
      </c>
      <c r="D19" s="11" t="str">
        <f>_xlfn.IFNA(IF(VLOOKUP(Tabela22[[#This Row],[CÓDIGO]],Aguardando_exclusão!A$4:A$4003,1,FALSE),"sim",""),"")</f>
        <v/>
      </c>
    </row>
    <row r="20" spans="1:4" x14ac:dyDescent="0.3">
      <c r="A20" s="15">
        <v>11590</v>
      </c>
      <c r="B20" s="17" t="s">
        <v>20</v>
      </c>
      <c r="C20" s="12">
        <v>367</v>
      </c>
      <c r="D20" s="11" t="str">
        <f>_xlfn.IFNA(IF(VLOOKUP(Tabela22[[#This Row],[CÓDIGO]],Aguardando_exclusão!A$4:A$4003,1,FALSE),"sim",""),"")</f>
        <v/>
      </c>
    </row>
    <row r="21" spans="1:4" x14ac:dyDescent="0.3">
      <c r="A21" s="15">
        <v>11857</v>
      </c>
      <c r="B21" s="17" t="s">
        <v>21</v>
      </c>
      <c r="C21" s="12">
        <v>367</v>
      </c>
      <c r="D21" s="11" t="str">
        <f>_xlfn.IFNA(IF(VLOOKUP(Tabela22[[#This Row],[CÓDIGO]],Aguardando_exclusão!A$4:A$4003,1,FALSE),"sim",""),"")</f>
        <v/>
      </c>
    </row>
    <row r="22" spans="1:4" x14ac:dyDescent="0.3">
      <c r="A22" s="15">
        <v>11882</v>
      </c>
      <c r="B22" s="17" t="s">
        <v>22</v>
      </c>
      <c r="C22" s="12">
        <v>367</v>
      </c>
      <c r="D22" s="11" t="str">
        <f>_xlfn.IFNA(IF(VLOOKUP(Tabela22[[#This Row],[CÓDIGO]],Aguardando_exclusão!A$4:A$4003,1,FALSE),"sim",""),"")</f>
        <v>sim</v>
      </c>
    </row>
    <row r="23" spans="1:4" ht="15" customHeight="1" x14ac:dyDescent="0.3">
      <c r="A23" s="15">
        <v>11956</v>
      </c>
      <c r="B23" s="17" t="s">
        <v>23</v>
      </c>
      <c r="C23" s="12">
        <v>367</v>
      </c>
      <c r="D23" s="11" t="str">
        <f>_xlfn.IFNA(IF(VLOOKUP(Tabela22[[#This Row],[CÓDIGO]],Aguardando_exclusão!A$4:A$4003,1,FALSE),"sim",""),"")</f>
        <v>sim</v>
      </c>
    </row>
    <row r="24" spans="1:4" ht="15" customHeight="1" x14ac:dyDescent="0.3">
      <c r="A24" s="15">
        <v>11980</v>
      </c>
      <c r="B24" s="17" t="s">
        <v>24</v>
      </c>
      <c r="C24" s="12">
        <v>367</v>
      </c>
      <c r="D24" s="11" t="str">
        <f>_xlfn.IFNA(IF(VLOOKUP(Tabela22[[#This Row],[CÓDIGO]],Aguardando_exclusão!A$4:A$4003,1,FALSE),"sim",""),"")</f>
        <v/>
      </c>
    </row>
    <row r="25" spans="1:4" x14ac:dyDescent="0.3">
      <c r="A25" s="15">
        <v>12018</v>
      </c>
      <c r="B25" s="17" t="s">
        <v>25</v>
      </c>
      <c r="C25" s="12">
        <v>367</v>
      </c>
      <c r="D25" s="11" t="str">
        <f>_xlfn.IFNA(IF(VLOOKUP(Tabela22[[#This Row],[CÓDIGO]],Aguardando_exclusão!A$4:A$4003,1,FALSE),"sim",""),"")</f>
        <v/>
      </c>
    </row>
    <row r="26" spans="1:4" x14ac:dyDescent="0.3">
      <c r="A26" s="15">
        <v>12020</v>
      </c>
      <c r="B26" s="17" t="s">
        <v>26</v>
      </c>
      <c r="C26" s="12">
        <v>367</v>
      </c>
      <c r="D26" s="11" t="str">
        <f>_xlfn.IFNA(IF(VLOOKUP(Tabela22[[#This Row],[CÓDIGO]],Aguardando_exclusão!A$4:A$4003,1,FALSE),"sim",""),"")</f>
        <v>sim</v>
      </c>
    </row>
    <row r="27" spans="1:4" x14ac:dyDescent="0.3">
      <c r="A27" s="15">
        <v>12613</v>
      </c>
      <c r="B27" s="17" t="s">
        <v>27</v>
      </c>
      <c r="C27" s="12">
        <v>367</v>
      </c>
      <c r="D27" s="11" t="str">
        <f>_xlfn.IFNA(IF(VLOOKUP(Tabela22[[#This Row],[CÓDIGO]],Aguardando_exclusão!A$4:A$4003,1,FALSE),"sim",""),"")</f>
        <v/>
      </c>
    </row>
    <row r="28" spans="1:4" x14ac:dyDescent="0.3">
      <c r="A28" s="15">
        <v>12614</v>
      </c>
      <c r="B28" s="17" t="s">
        <v>28</v>
      </c>
      <c r="C28" s="12">
        <v>367</v>
      </c>
      <c r="D28" s="11" t="str">
        <f>_xlfn.IFNA(IF(VLOOKUP(Tabela22[[#This Row],[CÓDIGO]],Aguardando_exclusão!A$4:A$4003,1,FALSE),"sim",""),"")</f>
        <v/>
      </c>
    </row>
    <row r="29" spans="1:4" x14ac:dyDescent="0.3">
      <c r="A29" s="15">
        <v>12615</v>
      </c>
      <c r="B29" s="17" t="s">
        <v>29</v>
      </c>
      <c r="C29" s="12">
        <v>367</v>
      </c>
      <c r="D29" s="11" t="str">
        <f>_xlfn.IFNA(IF(VLOOKUP(Tabela22[[#This Row],[CÓDIGO]],Aguardando_exclusão!A$4:A$4003,1,FALSE),"sim",""),"")</f>
        <v/>
      </c>
    </row>
    <row r="30" spans="1:4" x14ac:dyDescent="0.3">
      <c r="A30" s="15">
        <v>12616</v>
      </c>
      <c r="B30" s="17" t="s">
        <v>30</v>
      </c>
      <c r="C30" s="12">
        <v>367</v>
      </c>
      <c r="D30" s="11" t="str">
        <f>_xlfn.IFNA(IF(VLOOKUP(Tabela22[[#This Row],[CÓDIGO]],Aguardando_exclusão!A$4:A$4003,1,FALSE),"sim",""),"")</f>
        <v/>
      </c>
    </row>
    <row r="31" spans="1:4" x14ac:dyDescent="0.3">
      <c r="A31" s="15">
        <v>12623</v>
      </c>
      <c r="B31" s="17" t="s">
        <v>31</v>
      </c>
      <c r="C31" s="12">
        <v>367</v>
      </c>
      <c r="D31" s="11" t="str">
        <f>_xlfn.IFNA(IF(VLOOKUP(Tabela22[[#This Row],[CÓDIGO]],Aguardando_exclusão!A$4:A$4003,1,FALSE),"sim",""),"")</f>
        <v/>
      </c>
    </row>
    <row r="32" spans="1:4" x14ac:dyDescent="0.3">
      <c r="A32" s="15">
        <v>12635</v>
      </c>
      <c r="B32" s="17" t="s">
        <v>32</v>
      </c>
      <c r="C32" s="12">
        <v>367</v>
      </c>
      <c r="D32" s="11" t="str">
        <f>_xlfn.IFNA(IF(VLOOKUP(Tabela22[[#This Row],[CÓDIGO]],Aguardando_exclusão!A$4:A$4003,1,FALSE),"sim",""),"")</f>
        <v/>
      </c>
    </row>
    <row r="33" spans="1:4" x14ac:dyDescent="0.3">
      <c r="A33" s="15">
        <v>12652</v>
      </c>
      <c r="B33" s="17" t="s">
        <v>33</v>
      </c>
      <c r="C33" s="12">
        <v>367</v>
      </c>
      <c r="D33" s="11" t="str">
        <f>_xlfn.IFNA(IF(VLOOKUP(Tabela22[[#This Row],[CÓDIGO]],Aguardando_exclusão!A$4:A$4003,1,FALSE),"sim",""),"")</f>
        <v/>
      </c>
    </row>
    <row r="34" spans="1:4" x14ac:dyDescent="0.3">
      <c r="A34" s="15">
        <v>12654</v>
      </c>
      <c r="B34" s="17" t="s">
        <v>34</v>
      </c>
      <c r="C34" s="12">
        <v>367</v>
      </c>
      <c r="D34" s="11" t="str">
        <f>_xlfn.IFNA(IF(VLOOKUP(Tabela22[[#This Row],[CÓDIGO]],Aguardando_exclusão!A$4:A$4003,1,FALSE),"sim",""),"")</f>
        <v/>
      </c>
    </row>
    <row r="35" spans="1:4" x14ac:dyDescent="0.3">
      <c r="A35" s="15">
        <v>12657</v>
      </c>
      <c r="B35" s="17" t="s">
        <v>35</v>
      </c>
      <c r="C35" s="12">
        <v>367</v>
      </c>
      <c r="D35" s="11" t="str">
        <f>_xlfn.IFNA(IF(VLOOKUP(Tabela22[[#This Row],[CÓDIGO]],Aguardando_exclusão!A$4:A$4003,1,FALSE),"sim",""),"")</f>
        <v/>
      </c>
    </row>
    <row r="36" spans="1:4" x14ac:dyDescent="0.3">
      <c r="A36" s="15">
        <v>12659</v>
      </c>
      <c r="B36" s="17" t="s">
        <v>36</v>
      </c>
      <c r="C36" s="12">
        <v>367</v>
      </c>
      <c r="D36" s="11" t="str">
        <f>_xlfn.IFNA(IF(VLOOKUP(Tabela22[[#This Row],[CÓDIGO]],Aguardando_exclusão!A$4:A$4003,1,FALSE),"sim",""),"")</f>
        <v/>
      </c>
    </row>
    <row r="37" spans="1:4" x14ac:dyDescent="0.3">
      <c r="A37" s="15">
        <v>12673</v>
      </c>
      <c r="B37" s="17" t="s">
        <v>37</v>
      </c>
      <c r="C37" s="12">
        <v>367</v>
      </c>
      <c r="D37" s="11" t="str">
        <f>_xlfn.IFNA(IF(VLOOKUP(Tabela22[[#This Row],[CÓDIGO]],Aguardando_exclusão!A$4:A$4003,1,FALSE),"sim",""),"")</f>
        <v/>
      </c>
    </row>
    <row r="38" spans="1:4" x14ac:dyDescent="0.3">
      <c r="A38" s="15">
        <v>12675</v>
      </c>
      <c r="B38" s="17" t="s">
        <v>38</v>
      </c>
      <c r="C38" s="12">
        <v>367</v>
      </c>
      <c r="D38" s="11" t="str">
        <f>_xlfn.IFNA(IF(VLOOKUP(Tabela22[[#This Row],[CÓDIGO]],Aguardando_exclusão!A$4:A$4003,1,FALSE),"sim",""),"")</f>
        <v/>
      </c>
    </row>
    <row r="39" spans="1:4" x14ac:dyDescent="0.3">
      <c r="A39" s="15">
        <v>12685</v>
      </c>
      <c r="B39" s="17" t="s">
        <v>39</v>
      </c>
      <c r="C39" s="12">
        <v>367</v>
      </c>
      <c r="D39" s="11" t="str">
        <f>_xlfn.IFNA(IF(VLOOKUP(Tabela22[[#This Row],[CÓDIGO]],Aguardando_exclusão!A$4:A$4003,1,FALSE),"sim",""),"")</f>
        <v/>
      </c>
    </row>
    <row r="40" spans="1:4" ht="15" customHeight="1" x14ac:dyDescent="0.3">
      <c r="A40" s="15">
        <v>12708</v>
      </c>
      <c r="B40" s="17" t="s">
        <v>40</v>
      </c>
      <c r="C40" s="12">
        <v>367</v>
      </c>
      <c r="D40" s="11" t="str">
        <f>_xlfn.IFNA(IF(VLOOKUP(Tabela22[[#This Row],[CÓDIGO]],Aguardando_exclusão!A$4:A$4003,1,FALSE),"sim",""),"")</f>
        <v/>
      </c>
    </row>
    <row r="41" spans="1:4" x14ac:dyDescent="0.3">
      <c r="A41" s="15">
        <v>12712</v>
      </c>
      <c r="B41" s="17" t="s">
        <v>41</v>
      </c>
      <c r="C41" s="12">
        <v>367</v>
      </c>
      <c r="D41" s="11" t="str">
        <f>_xlfn.IFNA(IF(VLOOKUP(Tabela22[[#This Row],[CÓDIGO]],Aguardando_exclusão!A$4:A$4003,1,FALSE),"sim",""),"")</f>
        <v/>
      </c>
    </row>
    <row r="42" spans="1:4" x14ac:dyDescent="0.3">
      <c r="A42" s="15">
        <v>12720</v>
      </c>
      <c r="B42" s="17" t="s">
        <v>42</v>
      </c>
      <c r="C42" s="12">
        <v>367</v>
      </c>
      <c r="D42" s="11" t="str">
        <f>_xlfn.IFNA(IF(VLOOKUP(Tabela22[[#This Row],[CÓDIGO]],Aguardando_exclusão!A$4:A$4003,1,FALSE),"sim",""),"")</f>
        <v>sim</v>
      </c>
    </row>
    <row r="43" spans="1:4" x14ac:dyDescent="0.3">
      <c r="A43" s="15">
        <v>12754</v>
      </c>
      <c r="B43" s="17" t="s">
        <v>43</v>
      </c>
      <c r="C43" s="12">
        <v>367</v>
      </c>
      <c r="D43" s="11" t="str">
        <f>_xlfn.IFNA(IF(VLOOKUP(Tabela22[[#This Row],[CÓDIGO]],Aguardando_exclusão!A$4:A$4003,1,FALSE),"sim",""),"")</f>
        <v/>
      </c>
    </row>
    <row r="44" spans="1:4" x14ac:dyDescent="0.3">
      <c r="A44" s="15">
        <v>12763</v>
      </c>
      <c r="B44" s="17" t="s">
        <v>44</v>
      </c>
      <c r="C44" s="12">
        <v>367</v>
      </c>
      <c r="D44" s="11" t="str">
        <f>_xlfn.IFNA(IF(VLOOKUP(Tabela22[[#This Row],[CÓDIGO]],Aguardando_exclusão!A$4:A$4003,1,FALSE),"sim",""),"")</f>
        <v/>
      </c>
    </row>
    <row r="45" spans="1:4" x14ac:dyDescent="0.3">
      <c r="A45" s="15">
        <v>12806</v>
      </c>
      <c r="B45" s="17" t="s">
        <v>45</v>
      </c>
      <c r="C45" s="12">
        <v>367</v>
      </c>
      <c r="D45" s="11" t="str">
        <f>_xlfn.IFNA(IF(VLOOKUP(Tabela22[[#This Row],[CÓDIGO]],Aguardando_exclusão!A$4:A$4003,1,FALSE),"sim",""),"")</f>
        <v/>
      </c>
    </row>
    <row r="46" spans="1:4" x14ac:dyDescent="0.3">
      <c r="A46" s="15">
        <v>12812</v>
      </c>
      <c r="B46" s="17" t="s">
        <v>46</v>
      </c>
      <c r="C46" s="12">
        <v>367</v>
      </c>
      <c r="D46" s="11" t="str">
        <f>_xlfn.IFNA(IF(VLOOKUP(Tabela22[[#This Row],[CÓDIGO]],Aguardando_exclusão!A$4:A$4003,1,FALSE),"sim",""),"")</f>
        <v/>
      </c>
    </row>
    <row r="47" spans="1:4" x14ac:dyDescent="0.3">
      <c r="A47" s="15">
        <v>12813</v>
      </c>
      <c r="B47" s="17" t="s">
        <v>47</v>
      </c>
      <c r="C47" s="12">
        <v>367</v>
      </c>
      <c r="D47" s="11" t="str">
        <f>_xlfn.IFNA(IF(VLOOKUP(Tabela22[[#This Row],[CÓDIGO]],Aguardando_exclusão!A$4:A$4003,1,FALSE),"sim",""),"")</f>
        <v/>
      </c>
    </row>
    <row r="48" spans="1:4" x14ac:dyDescent="0.3">
      <c r="A48" s="15">
        <v>12818</v>
      </c>
      <c r="B48" s="17" t="s">
        <v>48</v>
      </c>
      <c r="C48" s="12">
        <v>367</v>
      </c>
      <c r="D48" s="11" t="str">
        <f>_xlfn.IFNA(IF(VLOOKUP(Tabela22[[#This Row],[CÓDIGO]],Aguardando_exclusão!A$4:A$4003,1,FALSE),"sim",""),"")</f>
        <v/>
      </c>
    </row>
    <row r="49" spans="1:4" x14ac:dyDescent="0.3">
      <c r="A49" s="15">
        <v>12820</v>
      </c>
      <c r="B49" s="17" t="s">
        <v>49</v>
      </c>
      <c r="C49" s="12">
        <v>367</v>
      </c>
      <c r="D49" s="11" t="str">
        <f>_xlfn.IFNA(IF(VLOOKUP(Tabela22[[#This Row],[CÓDIGO]],Aguardando_exclusão!A$4:A$4003,1,FALSE),"sim",""),"")</f>
        <v/>
      </c>
    </row>
    <row r="50" spans="1:4" x14ac:dyDescent="0.3">
      <c r="A50" s="15">
        <v>12821</v>
      </c>
      <c r="B50" s="17" t="s">
        <v>50</v>
      </c>
      <c r="C50" s="12">
        <v>367</v>
      </c>
      <c r="D50" s="11" t="str">
        <f>_xlfn.IFNA(IF(VLOOKUP(Tabela22[[#This Row],[CÓDIGO]],Aguardando_exclusão!A$4:A$4003,1,FALSE),"sim",""),"")</f>
        <v/>
      </c>
    </row>
    <row r="51" spans="1:4" x14ac:dyDescent="0.3">
      <c r="A51" s="15">
        <v>12824</v>
      </c>
      <c r="B51" s="17" t="s">
        <v>51</v>
      </c>
      <c r="C51" s="12">
        <v>367</v>
      </c>
      <c r="D51" s="11" t="str">
        <f>_xlfn.IFNA(IF(VLOOKUP(Tabela22[[#This Row],[CÓDIGO]],Aguardando_exclusão!A$4:A$4003,1,FALSE),"sim",""),"")</f>
        <v/>
      </c>
    </row>
    <row r="52" spans="1:4" x14ac:dyDescent="0.3">
      <c r="A52" s="15">
        <v>12829</v>
      </c>
      <c r="B52" s="17" t="s">
        <v>52</v>
      </c>
      <c r="C52" s="12">
        <v>367</v>
      </c>
      <c r="D52" s="11" t="str">
        <f>_xlfn.IFNA(IF(VLOOKUP(Tabela22[[#This Row],[CÓDIGO]],Aguardando_exclusão!A$4:A$4003,1,FALSE),"sim",""),"")</f>
        <v/>
      </c>
    </row>
    <row r="53" spans="1:4" x14ac:dyDescent="0.3">
      <c r="A53" s="15">
        <v>12830</v>
      </c>
      <c r="B53" s="17" t="s">
        <v>53</v>
      </c>
      <c r="C53" s="12">
        <v>367</v>
      </c>
      <c r="D53" s="11" t="str">
        <f>_xlfn.IFNA(IF(VLOOKUP(Tabela22[[#This Row],[CÓDIGO]],Aguardando_exclusão!A$4:A$4003,1,FALSE),"sim",""),"")</f>
        <v/>
      </c>
    </row>
    <row r="54" spans="1:4" x14ac:dyDescent="0.3">
      <c r="A54" s="15">
        <v>12831</v>
      </c>
      <c r="B54" s="17" t="s">
        <v>54</v>
      </c>
      <c r="C54" s="12">
        <v>367</v>
      </c>
      <c r="D54" s="11" t="str">
        <f>_xlfn.IFNA(IF(VLOOKUP(Tabela22[[#This Row],[CÓDIGO]],Aguardando_exclusão!A$4:A$4003,1,FALSE),"sim",""),"")</f>
        <v/>
      </c>
    </row>
    <row r="55" spans="1:4" x14ac:dyDescent="0.3">
      <c r="A55" s="15">
        <v>12835</v>
      </c>
      <c r="B55" s="17" t="s">
        <v>55</v>
      </c>
      <c r="C55" s="12">
        <v>367</v>
      </c>
      <c r="D55" s="11" t="str">
        <f>_xlfn.IFNA(IF(VLOOKUP(Tabela22[[#This Row],[CÓDIGO]],Aguardando_exclusão!A$4:A$4003,1,FALSE),"sim",""),"")</f>
        <v/>
      </c>
    </row>
    <row r="56" spans="1:4" x14ac:dyDescent="0.3">
      <c r="A56" s="15">
        <v>12838</v>
      </c>
      <c r="B56" s="17" t="s">
        <v>56</v>
      </c>
      <c r="C56" s="12">
        <v>367</v>
      </c>
      <c r="D56" s="11" t="str">
        <f>_xlfn.IFNA(IF(VLOOKUP(Tabela22[[#This Row],[CÓDIGO]],Aguardando_exclusão!A$4:A$4003,1,FALSE),"sim",""),"")</f>
        <v/>
      </c>
    </row>
    <row r="57" spans="1:4" x14ac:dyDescent="0.3">
      <c r="A57" s="15">
        <v>12847</v>
      </c>
      <c r="B57" s="17" t="s">
        <v>57</v>
      </c>
      <c r="C57" s="12">
        <v>367</v>
      </c>
      <c r="D57" s="11" t="str">
        <f>_xlfn.IFNA(IF(VLOOKUP(Tabela22[[#This Row],[CÓDIGO]],Aguardando_exclusão!A$4:A$4003,1,FALSE),"sim",""),"")</f>
        <v/>
      </c>
    </row>
    <row r="58" spans="1:4" x14ac:dyDescent="0.3">
      <c r="A58" s="15">
        <v>12851</v>
      </c>
      <c r="B58" s="17" t="s">
        <v>58</v>
      </c>
      <c r="C58" s="12">
        <v>367</v>
      </c>
      <c r="D58" s="11" t="str">
        <f>_xlfn.IFNA(IF(VLOOKUP(Tabela22[[#This Row],[CÓDIGO]],Aguardando_exclusão!A$4:A$4003,1,FALSE),"sim",""),"")</f>
        <v/>
      </c>
    </row>
    <row r="59" spans="1:4" x14ac:dyDescent="0.3">
      <c r="A59" s="15">
        <v>12853</v>
      </c>
      <c r="B59" s="17" t="s">
        <v>59</v>
      </c>
      <c r="C59" s="12">
        <v>367</v>
      </c>
      <c r="D59" s="11" t="str">
        <f>_xlfn.IFNA(IF(VLOOKUP(Tabela22[[#This Row],[CÓDIGO]],Aguardando_exclusão!A$4:A$4003,1,FALSE),"sim",""),"")</f>
        <v/>
      </c>
    </row>
    <row r="60" spans="1:4" x14ac:dyDescent="0.3">
      <c r="A60" s="15">
        <v>12856</v>
      </c>
      <c r="B60" s="17" t="s">
        <v>60</v>
      </c>
      <c r="C60" s="12">
        <v>367</v>
      </c>
      <c r="D60" s="11" t="str">
        <f>_xlfn.IFNA(IF(VLOOKUP(Tabela22[[#This Row],[CÓDIGO]],Aguardando_exclusão!A$4:A$4003,1,FALSE),"sim",""),"")</f>
        <v/>
      </c>
    </row>
    <row r="61" spans="1:4" x14ac:dyDescent="0.3">
      <c r="A61" s="15">
        <v>12857</v>
      </c>
      <c r="B61" s="17" t="s">
        <v>61</v>
      </c>
      <c r="C61" s="12">
        <v>367</v>
      </c>
      <c r="D61" s="11" t="str">
        <f>_xlfn.IFNA(IF(VLOOKUP(Tabela22[[#This Row],[CÓDIGO]],Aguardando_exclusão!A$4:A$4003,1,FALSE),"sim",""),"")</f>
        <v/>
      </c>
    </row>
    <row r="62" spans="1:4" x14ac:dyDescent="0.3">
      <c r="A62" s="15">
        <v>12869</v>
      </c>
      <c r="B62" s="17" t="s">
        <v>62</v>
      </c>
      <c r="C62" s="12">
        <v>367</v>
      </c>
      <c r="D62" s="11" t="str">
        <f>_xlfn.IFNA(IF(VLOOKUP(Tabela22[[#This Row],[CÓDIGO]],Aguardando_exclusão!A$4:A$4003,1,FALSE),"sim",""),"")</f>
        <v/>
      </c>
    </row>
    <row r="63" spans="1:4" x14ac:dyDescent="0.3">
      <c r="A63" s="15">
        <v>12877</v>
      </c>
      <c r="B63" s="17" t="s">
        <v>63</v>
      </c>
      <c r="C63" s="12">
        <v>367</v>
      </c>
      <c r="D63" s="11" t="str">
        <f>_xlfn.IFNA(IF(VLOOKUP(Tabela22[[#This Row],[CÓDIGO]],Aguardando_exclusão!A$4:A$4003,1,FALSE),"sim",""),"")</f>
        <v/>
      </c>
    </row>
    <row r="64" spans="1:4" ht="15" customHeight="1" x14ac:dyDescent="0.3">
      <c r="A64" s="15">
        <v>12881</v>
      </c>
      <c r="B64" s="17" t="s">
        <v>64</v>
      </c>
      <c r="C64" s="12">
        <v>367</v>
      </c>
      <c r="D64" s="11" t="str">
        <f>_xlfn.IFNA(IF(VLOOKUP(Tabela22[[#This Row],[CÓDIGO]],Aguardando_exclusão!A$4:A$4003,1,FALSE),"sim",""),"")</f>
        <v/>
      </c>
    </row>
    <row r="65" spans="1:4" x14ac:dyDescent="0.3">
      <c r="A65" s="15">
        <v>12884</v>
      </c>
      <c r="B65" s="17" t="s">
        <v>65</v>
      </c>
      <c r="C65" s="12">
        <v>367</v>
      </c>
      <c r="D65" s="11" t="str">
        <f>_xlfn.IFNA(IF(VLOOKUP(Tabela22[[#This Row],[CÓDIGO]],Aguardando_exclusão!A$4:A$4003,1,FALSE),"sim",""),"")</f>
        <v/>
      </c>
    </row>
    <row r="66" spans="1:4" ht="15" customHeight="1" x14ac:dyDescent="0.3">
      <c r="A66" s="15">
        <v>12886</v>
      </c>
      <c r="B66" s="17" t="s">
        <v>66</v>
      </c>
      <c r="C66" s="12">
        <v>367</v>
      </c>
      <c r="D66" s="11" t="str">
        <f>_xlfn.IFNA(IF(VLOOKUP(Tabela22[[#This Row],[CÓDIGO]],Aguardando_exclusão!A$4:A$4003,1,FALSE),"sim",""),"")</f>
        <v/>
      </c>
    </row>
    <row r="67" spans="1:4" ht="15" customHeight="1" x14ac:dyDescent="0.3">
      <c r="A67" s="15">
        <v>12888</v>
      </c>
      <c r="B67" s="17" t="s">
        <v>67</v>
      </c>
      <c r="C67" s="12">
        <v>367</v>
      </c>
      <c r="D67" s="11" t="str">
        <f>_xlfn.IFNA(IF(VLOOKUP(Tabela22[[#This Row],[CÓDIGO]],Aguardando_exclusão!A$4:A$4003,1,FALSE),"sim",""),"")</f>
        <v>sim</v>
      </c>
    </row>
    <row r="68" spans="1:4" x14ac:dyDescent="0.3">
      <c r="A68" s="15">
        <v>12891</v>
      </c>
      <c r="B68" s="17" t="s">
        <v>68</v>
      </c>
      <c r="C68" s="12">
        <v>367</v>
      </c>
      <c r="D68" s="11" t="str">
        <f>_xlfn.IFNA(IF(VLOOKUP(Tabela22[[#This Row],[CÓDIGO]],Aguardando_exclusão!A$4:A$4003,1,FALSE),"sim",""),"")</f>
        <v/>
      </c>
    </row>
    <row r="69" spans="1:4" ht="15" customHeight="1" x14ac:dyDescent="0.3">
      <c r="A69" s="15">
        <v>12894</v>
      </c>
      <c r="B69" s="17" t="s">
        <v>69</v>
      </c>
      <c r="C69" s="12">
        <v>367</v>
      </c>
      <c r="D69" s="11" t="str">
        <f>_xlfn.IFNA(IF(VLOOKUP(Tabela22[[#This Row],[CÓDIGO]],Aguardando_exclusão!A$4:A$4003,1,FALSE),"sim",""),"")</f>
        <v/>
      </c>
    </row>
    <row r="70" spans="1:4" x14ac:dyDescent="0.3">
      <c r="A70" s="15">
        <v>12922</v>
      </c>
      <c r="B70" s="17" t="s">
        <v>70</v>
      </c>
      <c r="C70" s="12">
        <v>367</v>
      </c>
      <c r="D70" s="11" t="str">
        <f>_xlfn.IFNA(IF(VLOOKUP(Tabela22[[#This Row],[CÓDIGO]],Aguardando_exclusão!A$4:A$4003,1,FALSE),"sim",""),"")</f>
        <v/>
      </c>
    </row>
    <row r="71" spans="1:4" x14ac:dyDescent="0.3">
      <c r="A71" s="15">
        <v>12937</v>
      </c>
      <c r="B71" s="17" t="s">
        <v>71</v>
      </c>
      <c r="C71" s="12">
        <v>367</v>
      </c>
      <c r="D71" s="11" t="str">
        <f>_xlfn.IFNA(IF(VLOOKUP(Tabela22[[#This Row],[CÓDIGO]],Aguardando_exclusão!A$4:A$4003,1,FALSE),"sim",""),"")</f>
        <v>sim</v>
      </c>
    </row>
    <row r="72" spans="1:4" x14ac:dyDescent="0.3">
      <c r="A72" s="15">
        <v>12938</v>
      </c>
      <c r="B72" s="17" t="s">
        <v>72</v>
      </c>
      <c r="C72" s="12">
        <v>367</v>
      </c>
      <c r="D72" s="11" t="str">
        <f>_xlfn.IFNA(IF(VLOOKUP(Tabela22[[#This Row],[CÓDIGO]],Aguardando_exclusão!A$4:A$4003,1,FALSE),"sim",""),"")</f>
        <v>sim</v>
      </c>
    </row>
    <row r="73" spans="1:4" x14ac:dyDescent="0.3">
      <c r="A73" s="15">
        <v>12944</v>
      </c>
      <c r="B73" s="17" t="s">
        <v>73</v>
      </c>
      <c r="C73" s="12">
        <v>367</v>
      </c>
      <c r="D73" s="11" t="str">
        <f>_xlfn.IFNA(IF(VLOOKUP(Tabela22[[#This Row],[CÓDIGO]],Aguardando_exclusão!A$4:A$4003,1,FALSE),"sim",""),"")</f>
        <v>sim</v>
      </c>
    </row>
    <row r="74" spans="1:4" x14ac:dyDescent="0.3">
      <c r="A74" s="15">
        <v>12948</v>
      </c>
      <c r="B74" s="17" t="s">
        <v>74</v>
      </c>
      <c r="C74" s="12">
        <v>367</v>
      </c>
      <c r="D74" s="11" t="str">
        <f>_xlfn.IFNA(IF(VLOOKUP(Tabela22[[#This Row],[CÓDIGO]],Aguardando_exclusão!A$4:A$4003,1,FALSE),"sim",""),"")</f>
        <v/>
      </c>
    </row>
    <row r="75" spans="1:4" x14ac:dyDescent="0.3">
      <c r="A75" s="15">
        <v>12950</v>
      </c>
      <c r="B75" s="17" t="s">
        <v>75</v>
      </c>
      <c r="C75" s="12">
        <v>367</v>
      </c>
      <c r="D75" s="11" t="str">
        <f>_xlfn.IFNA(IF(VLOOKUP(Tabela22[[#This Row],[CÓDIGO]],Aguardando_exclusão!A$4:A$4003,1,FALSE),"sim",""),"")</f>
        <v/>
      </c>
    </row>
    <row r="76" spans="1:4" x14ac:dyDescent="0.3">
      <c r="A76" s="15">
        <v>12953</v>
      </c>
      <c r="B76" s="17" t="s">
        <v>76</v>
      </c>
      <c r="C76" s="12">
        <v>367</v>
      </c>
      <c r="D76" s="11" t="str">
        <f>_xlfn.IFNA(IF(VLOOKUP(Tabela22[[#This Row],[CÓDIGO]],Aguardando_exclusão!A$4:A$4003,1,FALSE),"sim",""),"")</f>
        <v>sim</v>
      </c>
    </row>
    <row r="77" spans="1:4" x14ac:dyDescent="0.3">
      <c r="A77" s="15">
        <v>12956</v>
      </c>
      <c r="B77" s="17" t="s">
        <v>77</v>
      </c>
      <c r="C77" s="12">
        <v>367</v>
      </c>
      <c r="D77" s="11" t="str">
        <f>_xlfn.IFNA(IF(VLOOKUP(Tabela22[[#This Row],[CÓDIGO]],Aguardando_exclusão!A$4:A$4003,1,FALSE),"sim",""),"")</f>
        <v/>
      </c>
    </row>
    <row r="78" spans="1:4" x14ac:dyDescent="0.3">
      <c r="A78" s="15">
        <v>12961</v>
      </c>
      <c r="B78" s="17" t="s">
        <v>78</v>
      </c>
      <c r="C78" s="12">
        <v>367</v>
      </c>
      <c r="D78" s="11" t="str">
        <f>_xlfn.IFNA(IF(VLOOKUP(Tabela22[[#This Row],[CÓDIGO]],Aguardando_exclusão!A$4:A$4003,1,FALSE),"sim",""),"")</f>
        <v>sim</v>
      </c>
    </row>
    <row r="79" spans="1:4" x14ac:dyDescent="0.3">
      <c r="A79" s="15">
        <v>12964</v>
      </c>
      <c r="B79" s="17" t="s">
        <v>79</v>
      </c>
      <c r="C79" s="12">
        <v>367</v>
      </c>
      <c r="D79" s="11" t="str">
        <f>_xlfn.IFNA(IF(VLOOKUP(Tabela22[[#This Row],[CÓDIGO]],Aguardando_exclusão!A$4:A$4003,1,FALSE),"sim",""),"")</f>
        <v>sim</v>
      </c>
    </row>
    <row r="80" spans="1:4" ht="15" customHeight="1" x14ac:dyDescent="0.3">
      <c r="A80" s="15">
        <v>12971</v>
      </c>
      <c r="B80" s="17" t="s">
        <v>80</v>
      </c>
      <c r="C80" s="12">
        <v>367</v>
      </c>
      <c r="D80" s="11" t="str">
        <f>_xlfn.IFNA(IF(VLOOKUP(Tabela22[[#This Row],[CÓDIGO]],Aguardando_exclusão!A$4:A$4003,1,FALSE),"sim",""),"")</f>
        <v/>
      </c>
    </row>
    <row r="81" spans="1:4" x14ac:dyDescent="0.3">
      <c r="A81" s="15">
        <v>12989</v>
      </c>
      <c r="B81" s="17" t="s">
        <v>81</v>
      </c>
      <c r="C81" s="12">
        <v>367</v>
      </c>
      <c r="D81" s="11" t="str">
        <f>_xlfn.IFNA(IF(VLOOKUP(Tabela22[[#This Row],[CÓDIGO]],Aguardando_exclusão!A$4:A$4003,1,FALSE),"sim",""),"")</f>
        <v/>
      </c>
    </row>
    <row r="82" spans="1:4" x14ac:dyDescent="0.3">
      <c r="A82" s="15">
        <v>12992</v>
      </c>
      <c r="B82" s="17" t="s">
        <v>82</v>
      </c>
      <c r="C82" s="12">
        <v>367</v>
      </c>
      <c r="D82" s="11" t="str">
        <f>_xlfn.IFNA(IF(VLOOKUP(Tabela22[[#This Row],[CÓDIGO]],Aguardando_exclusão!A$4:A$4003,1,FALSE),"sim",""),"")</f>
        <v/>
      </c>
    </row>
    <row r="83" spans="1:4" x14ac:dyDescent="0.3">
      <c r="A83" s="15">
        <v>13007</v>
      </c>
      <c r="B83" s="17" t="s">
        <v>83</v>
      </c>
      <c r="C83" s="12">
        <v>367</v>
      </c>
      <c r="D83" s="11" t="str">
        <f>_xlfn.IFNA(IF(VLOOKUP(Tabela22[[#This Row],[CÓDIGO]],Aguardando_exclusão!A$4:A$4003,1,FALSE),"sim",""),"")</f>
        <v>sim</v>
      </c>
    </row>
    <row r="84" spans="1:4" x14ac:dyDescent="0.3">
      <c r="A84" s="15">
        <v>13009</v>
      </c>
      <c r="B84" s="17" t="s">
        <v>84</v>
      </c>
      <c r="C84" s="12">
        <v>367</v>
      </c>
      <c r="D84" s="11" t="str">
        <f>_xlfn.IFNA(IF(VLOOKUP(Tabela22[[#This Row],[CÓDIGO]],Aguardando_exclusão!A$4:A$4003,1,FALSE),"sim",""),"")</f>
        <v/>
      </c>
    </row>
    <row r="85" spans="1:4" x14ac:dyDescent="0.3">
      <c r="A85" s="15">
        <v>13013</v>
      </c>
      <c r="B85" s="17" t="s">
        <v>85</v>
      </c>
      <c r="C85" s="12">
        <v>367</v>
      </c>
      <c r="D85" s="11" t="str">
        <f>_xlfn.IFNA(IF(VLOOKUP(Tabela22[[#This Row],[CÓDIGO]],Aguardando_exclusão!A$4:A$4003,1,FALSE),"sim",""),"")</f>
        <v>sim</v>
      </c>
    </row>
    <row r="86" spans="1:4" x14ac:dyDescent="0.3">
      <c r="A86" s="15">
        <v>13019</v>
      </c>
      <c r="B86" s="17" t="s">
        <v>86</v>
      </c>
      <c r="C86" s="12">
        <v>367</v>
      </c>
      <c r="D86" s="11" t="str">
        <f>_xlfn.IFNA(IF(VLOOKUP(Tabela22[[#This Row],[CÓDIGO]],Aguardando_exclusão!A$4:A$4003,1,FALSE),"sim",""),"")</f>
        <v/>
      </c>
    </row>
    <row r="87" spans="1:4" x14ac:dyDescent="0.3">
      <c r="A87" s="15">
        <v>13021</v>
      </c>
      <c r="B87" s="17" t="s">
        <v>87</v>
      </c>
      <c r="C87" s="12">
        <v>367</v>
      </c>
      <c r="D87" s="11" t="str">
        <f>_xlfn.IFNA(IF(VLOOKUP(Tabela22[[#This Row],[CÓDIGO]],Aguardando_exclusão!A$4:A$4003,1,FALSE),"sim",""),"")</f>
        <v/>
      </c>
    </row>
    <row r="88" spans="1:4" x14ac:dyDescent="0.3">
      <c r="A88" s="15">
        <v>13033</v>
      </c>
      <c r="B88" s="17" t="s">
        <v>88</v>
      </c>
      <c r="C88" s="12">
        <v>367</v>
      </c>
      <c r="D88" s="11" t="str">
        <f>_xlfn.IFNA(IF(VLOOKUP(Tabela22[[#This Row],[CÓDIGO]],Aguardando_exclusão!A$4:A$4003,1,FALSE),"sim",""),"")</f>
        <v/>
      </c>
    </row>
    <row r="89" spans="1:4" x14ac:dyDescent="0.3">
      <c r="A89" s="15">
        <v>13053</v>
      </c>
      <c r="B89" s="17" t="s">
        <v>89</v>
      </c>
      <c r="C89" s="12">
        <v>367</v>
      </c>
      <c r="D89" s="11" t="str">
        <f>_xlfn.IFNA(IF(VLOOKUP(Tabela22[[#This Row],[CÓDIGO]],Aguardando_exclusão!A$4:A$4003,1,FALSE),"sim",""),"")</f>
        <v/>
      </c>
    </row>
    <row r="90" spans="1:4" x14ac:dyDescent="0.3">
      <c r="A90" s="15">
        <v>13059</v>
      </c>
      <c r="B90" s="17" t="s">
        <v>90</v>
      </c>
      <c r="C90" s="12">
        <v>367</v>
      </c>
      <c r="D90" s="11" t="str">
        <f>_xlfn.IFNA(IF(VLOOKUP(Tabela22[[#This Row],[CÓDIGO]],Aguardando_exclusão!A$4:A$4003,1,FALSE),"sim",""),"")</f>
        <v/>
      </c>
    </row>
    <row r="91" spans="1:4" x14ac:dyDescent="0.3">
      <c r="A91" s="15">
        <v>13060</v>
      </c>
      <c r="B91" s="17" t="s">
        <v>91</v>
      </c>
      <c r="C91" s="12">
        <v>367</v>
      </c>
      <c r="D91" s="11" t="str">
        <f>_xlfn.IFNA(IF(VLOOKUP(Tabela22[[#This Row],[CÓDIGO]],Aguardando_exclusão!A$4:A$4003,1,FALSE),"sim",""),"")</f>
        <v/>
      </c>
    </row>
    <row r="92" spans="1:4" x14ac:dyDescent="0.3">
      <c r="A92" s="15">
        <v>13063</v>
      </c>
      <c r="B92" s="17" t="s">
        <v>92</v>
      </c>
      <c r="C92" s="12">
        <v>367</v>
      </c>
      <c r="D92" s="11" t="str">
        <f>_xlfn.IFNA(IF(VLOOKUP(Tabela22[[#This Row],[CÓDIGO]],Aguardando_exclusão!A$4:A$4003,1,FALSE),"sim",""),"")</f>
        <v/>
      </c>
    </row>
    <row r="93" spans="1:4" ht="15" customHeight="1" x14ac:dyDescent="0.3">
      <c r="A93" s="15">
        <v>13064</v>
      </c>
      <c r="B93" s="17" t="s">
        <v>93</v>
      </c>
      <c r="C93" s="12">
        <v>367</v>
      </c>
      <c r="D93" s="11" t="str">
        <f>_xlfn.IFNA(IF(VLOOKUP(Tabela22[[#This Row],[CÓDIGO]],Aguardando_exclusão!A$4:A$4003,1,FALSE),"sim",""),"")</f>
        <v/>
      </c>
    </row>
    <row r="94" spans="1:4" x14ac:dyDescent="0.3">
      <c r="A94" s="15">
        <v>13066</v>
      </c>
      <c r="B94" s="17" t="s">
        <v>94</v>
      </c>
      <c r="C94" s="12">
        <v>367</v>
      </c>
      <c r="D94" s="11" t="str">
        <f>_xlfn.IFNA(IF(VLOOKUP(Tabela22[[#This Row],[CÓDIGO]],Aguardando_exclusão!A$4:A$4003,1,FALSE),"sim",""),"")</f>
        <v/>
      </c>
    </row>
    <row r="95" spans="1:4" x14ac:dyDescent="0.3">
      <c r="A95" s="15">
        <v>13068</v>
      </c>
      <c r="B95" s="17" t="s">
        <v>95</v>
      </c>
      <c r="C95" s="12">
        <v>367</v>
      </c>
      <c r="D95" s="11" t="str">
        <f>_xlfn.IFNA(IF(VLOOKUP(Tabela22[[#This Row],[CÓDIGO]],Aguardando_exclusão!A$4:A$4003,1,FALSE),"sim",""),"")</f>
        <v/>
      </c>
    </row>
    <row r="96" spans="1:4" x14ac:dyDescent="0.3">
      <c r="A96" s="15">
        <v>13070</v>
      </c>
      <c r="B96" s="17" t="s">
        <v>96</v>
      </c>
      <c r="C96" s="12">
        <v>367</v>
      </c>
      <c r="D96" s="11" t="str">
        <f>_xlfn.IFNA(IF(VLOOKUP(Tabela22[[#This Row],[CÓDIGO]],Aguardando_exclusão!A$4:A$4003,1,FALSE),"sim",""),"")</f>
        <v>sim</v>
      </c>
    </row>
    <row r="97" spans="1:4" x14ac:dyDescent="0.3">
      <c r="A97" s="15">
        <v>13072</v>
      </c>
      <c r="B97" s="17" t="s">
        <v>97</v>
      </c>
      <c r="C97" s="12">
        <v>367</v>
      </c>
      <c r="D97" s="11" t="str">
        <f>_xlfn.IFNA(IF(VLOOKUP(Tabela22[[#This Row],[CÓDIGO]],Aguardando_exclusão!A$4:A$4003,1,FALSE),"sim",""),"")</f>
        <v/>
      </c>
    </row>
    <row r="98" spans="1:4" x14ac:dyDescent="0.3">
      <c r="A98" s="15">
        <v>13076</v>
      </c>
      <c r="B98" s="17" t="s">
        <v>98</v>
      </c>
      <c r="C98" s="12">
        <v>367</v>
      </c>
      <c r="D98" s="11" t="str">
        <f>_xlfn.IFNA(IF(VLOOKUP(Tabela22[[#This Row],[CÓDIGO]],Aguardando_exclusão!A$4:A$4003,1,FALSE),"sim",""),"")</f>
        <v>sim</v>
      </c>
    </row>
    <row r="99" spans="1:4" x14ac:dyDescent="0.3">
      <c r="A99" s="15">
        <v>13077</v>
      </c>
      <c r="B99" s="17" t="s">
        <v>99</v>
      </c>
      <c r="C99" s="12">
        <v>367</v>
      </c>
      <c r="D99" s="11" t="str">
        <f>_xlfn.IFNA(IF(VLOOKUP(Tabela22[[#This Row],[CÓDIGO]],Aguardando_exclusão!A$4:A$4003,1,FALSE),"sim",""),"")</f>
        <v>sim</v>
      </c>
    </row>
    <row r="100" spans="1:4" x14ac:dyDescent="0.3">
      <c r="A100" s="15">
        <v>13078</v>
      </c>
      <c r="B100" s="17" t="s">
        <v>100</v>
      </c>
      <c r="C100" s="12">
        <v>367</v>
      </c>
      <c r="D100" s="11" t="str">
        <f>_xlfn.IFNA(IF(VLOOKUP(Tabela22[[#This Row],[CÓDIGO]],Aguardando_exclusão!A$4:A$4003,1,FALSE),"sim",""),"")</f>
        <v>sim</v>
      </c>
    </row>
    <row r="101" spans="1:4" x14ac:dyDescent="0.3">
      <c r="A101" s="15">
        <v>13087</v>
      </c>
      <c r="B101" s="17" t="s">
        <v>101</v>
      </c>
      <c r="C101" s="12">
        <v>367</v>
      </c>
      <c r="D101" s="11" t="str">
        <f>_xlfn.IFNA(IF(VLOOKUP(Tabela22[[#This Row],[CÓDIGO]],Aguardando_exclusão!A$4:A$4003,1,FALSE),"sim",""),"")</f>
        <v/>
      </c>
    </row>
    <row r="102" spans="1:4" x14ac:dyDescent="0.3">
      <c r="A102" s="15">
        <v>13088</v>
      </c>
      <c r="B102" s="17" t="s">
        <v>102</v>
      </c>
      <c r="C102" s="12">
        <v>367</v>
      </c>
      <c r="D102" s="11" t="str">
        <f>_xlfn.IFNA(IF(VLOOKUP(Tabela22[[#This Row],[CÓDIGO]],Aguardando_exclusão!A$4:A$4003,1,FALSE),"sim",""),"")</f>
        <v/>
      </c>
    </row>
    <row r="103" spans="1:4" x14ac:dyDescent="0.3">
      <c r="A103" s="15">
        <v>13091</v>
      </c>
      <c r="B103" s="17" t="s">
        <v>103</v>
      </c>
      <c r="C103" s="12">
        <v>367</v>
      </c>
      <c r="D103" s="11" t="str">
        <f>_xlfn.IFNA(IF(VLOOKUP(Tabela22[[#This Row],[CÓDIGO]],Aguardando_exclusão!A$4:A$4003,1,FALSE),"sim",""),"")</f>
        <v/>
      </c>
    </row>
    <row r="104" spans="1:4" ht="15" customHeight="1" x14ac:dyDescent="0.3">
      <c r="A104" s="15">
        <v>13092</v>
      </c>
      <c r="B104" s="17" t="s">
        <v>104</v>
      </c>
      <c r="C104" s="12">
        <v>367</v>
      </c>
      <c r="D104" s="11" t="str">
        <f>_xlfn.IFNA(IF(VLOOKUP(Tabela22[[#This Row],[CÓDIGO]],Aguardando_exclusão!A$4:A$4003,1,FALSE),"sim",""),"")</f>
        <v/>
      </c>
    </row>
    <row r="105" spans="1:4" x14ac:dyDescent="0.3">
      <c r="A105" s="15">
        <v>13094</v>
      </c>
      <c r="B105" s="17" t="s">
        <v>105</v>
      </c>
      <c r="C105" s="12">
        <v>367</v>
      </c>
      <c r="D105" s="11" t="str">
        <f>_xlfn.IFNA(IF(VLOOKUP(Tabela22[[#This Row],[CÓDIGO]],Aguardando_exclusão!A$4:A$4003,1,FALSE),"sim",""),"")</f>
        <v/>
      </c>
    </row>
    <row r="106" spans="1:4" x14ac:dyDescent="0.3">
      <c r="A106" s="15">
        <v>13095</v>
      </c>
      <c r="B106" s="17" t="s">
        <v>106</v>
      </c>
      <c r="C106" s="12">
        <v>367</v>
      </c>
      <c r="D106" s="11" t="str">
        <f>_xlfn.IFNA(IF(VLOOKUP(Tabela22[[#This Row],[CÓDIGO]],Aguardando_exclusão!A$4:A$4003,1,FALSE),"sim",""),"")</f>
        <v/>
      </c>
    </row>
    <row r="107" spans="1:4" x14ac:dyDescent="0.3">
      <c r="A107" s="15">
        <v>13096</v>
      </c>
      <c r="B107" s="17" t="s">
        <v>107</v>
      </c>
      <c r="C107" s="12">
        <v>367</v>
      </c>
      <c r="D107" s="11" t="str">
        <f>_xlfn.IFNA(IF(VLOOKUP(Tabela22[[#This Row],[CÓDIGO]],Aguardando_exclusão!A$4:A$4003,1,FALSE),"sim",""),"")</f>
        <v>sim</v>
      </c>
    </row>
    <row r="108" spans="1:4" x14ac:dyDescent="0.3">
      <c r="A108" s="15">
        <v>13100</v>
      </c>
      <c r="B108" s="17" t="s">
        <v>108</v>
      </c>
      <c r="C108" s="12">
        <v>367</v>
      </c>
      <c r="D108" s="11" t="str">
        <f>_xlfn.IFNA(IF(VLOOKUP(Tabela22[[#This Row],[CÓDIGO]],Aguardando_exclusão!A$4:A$4003,1,FALSE),"sim",""),"")</f>
        <v>sim</v>
      </c>
    </row>
    <row r="109" spans="1:4" x14ac:dyDescent="0.3">
      <c r="A109" s="15">
        <v>13101</v>
      </c>
      <c r="B109" s="17" t="s">
        <v>109</v>
      </c>
      <c r="C109" s="12">
        <v>367</v>
      </c>
      <c r="D109" s="11" t="str">
        <f>_xlfn.IFNA(IF(VLOOKUP(Tabela22[[#This Row],[CÓDIGO]],Aguardando_exclusão!A$4:A$4003,1,FALSE),"sim",""),"")</f>
        <v/>
      </c>
    </row>
    <row r="110" spans="1:4" x14ac:dyDescent="0.3">
      <c r="A110" s="15">
        <v>13102</v>
      </c>
      <c r="B110" s="17" t="s">
        <v>110</v>
      </c>
      <c r="C110" s="12">
        <v>367</v>
      </c>
      <c r="D110" s="11" t="str">
        <f>_xlfn.IFNA(IF(VLOOKUP(Tabela22[[#This Row],[CÓDIGO]],Aguardando_exclusão!A$4:A$4003,1,FALSE),"sim",""),"")</f>
        <v/>
      </c>
    </row>
    <row r="111" spans="1:4" x14ac:dyDescent="0.3">
      <c r="A111" s="15">
        <v>13109</v>
      </c>
      <c r="B111" s="17" t="s">
        <v>111</v>
      </c>
      <c r="C111" s="12">
        <v>367</v>
      </c>
      <c r="D111" s="11" t="str">
        <f>_xlfn.IFNA(IF(VLOOKUP(Tabela22[[#This Row],[CÓDIGO]],Aguardando_exclusão!A$4:A$4003,1,FALSE),"sim",""),"")</f>
        <v/>
      </c>
    </row>
    <row r="112" spans="1:4" x14ac:dyDescent="0.3">
      <c r="A112" s="15">
        <v>13116</v>
      </c>
      <c r="B112" s="17" t="s">
        <v>112</v>
      </c>
      <c r="C112" s="12">
        <v>367</v>
      </c>
      <c r="D112" s="11" t="str">
        <f>_xlfn.IFNA(IF(VLOOKUP(Tabela22[[#This Row],[CÓDIGO]],Aguardando_exclusão!A$4:A$4003,1,FALSE),"sim",""),"")</f>
        <v/>
      </c>
    </row>
    <row r="113" spans="1:4" x14ac:dyDescent="0.3">
      <c r="A113" s="15">
        <v>13117</v>
      </c>
      <c r="B113" s="17" t="s">
        <v>113</v>
      </c>
      <c r="C113" s="12">
        <v>367</v>
      </c>
      <c r="D113" s="11" t="str">
        <f>_xlfn.IFNA(IF(VLOOKUP(Tabela22[[#This Row],[CÓDIGO]],Aguardando_exclusão!A$4:A$4003,1,FALSE),"sim",""),"")</f>
        <v/>
      </c>
    </row>
    <row r="114" spans="1:4" x14ac:dyDescent="0.3">
      <c r="A114" s="15">
        <v>13120</v>
      </c>
      <c r="B114" s="17" t="s">
        <v>114</v>
      </c>
      <c r="C114" s="12">
        <v>367</v>
      </c>
      <c r="D114" s="11" t="str">
        <f>_xlfn.IFNA(IF(VLOOKUP(Tabela22[[#This Row],[CÓDIGO]],Aguardando_exclusão!A$4:A$4003,1,FALSE),"sim",""),"")</f>
        <v/>
      </c>
    </row>
    <row r="115" spans="1:4" x14ac:dyDescent="0.3">
      <c r="A115" s="15">
        <v>13123</v>
      </c>
      <c r="B115" s="17" t="s">
        <v>115</v>
      </c>
      <c r="C115" s="12">
        <v>367</v>
      </c>
      <c r="D115" s="11" t="str">
        <f>_xlfn.IFNA(IF(VLOOKUP(Tabela22[[#This Row],[CÓDIGO]],Aguardando_exclusão!A$4:A$4003,1,FALSE),"sim",""),"")</f>
        <v>sim</v>
      </c>
    </row>
    <row r="116" spans="1:4" x14ac:dyDescent="0.3">
      <c r="A116" s="15">
        <v>13125</v>
      </c>
      <c r="B116" s="17" t="s">
        <v>116</v>
      </c>
      <c r="C116" s="12">
        <v>367</v>
      </c>
      <c r="D116" s="11" t="str">
        <f>_xlfn.IFNA(IF(VLOOKUP(Tabela22[[#This Row],[CÓDIGO]],Aguardando_exclusão!A$4:A$4003,1,FALSE),"sim",""),"")</f>
        <v>sim</v>
      </c>
    </row>
    <row r="117" spans="1:4" x14ac:dyDescent="0.3">
      <c r="A117" s="15">
        <v>13152</v>
      </c>
      <c r="B117" s="17" t="s">
        <v>117</v>
      </c>
      <c r="C117" s="12">
        <v>367</v>
      </c>
      <c r="D117" s="11" t="str">
        <f>_xlfn.IFNA(IF(VLOOKUP(Tabela22[[#This Row],[CÓDIGO]],Aguardando_exclusão!A$4:A$4003,1,FALSE),"sim",""),"")</f>
        <v>sim</v>
      </c>
    </row>
    <row r="118" spans="1:4" x14ac:dyDescent="0.3">
      <c r="A118" s="15">
        <v>13161</v>
      </c>
      <c r="B118" s="17" t="s">
        <v>118</v>
      </c>
      <c r="C118" s="12">
        <v>367</v>
      </c>
      <c r="D118" s="11" t="str">
        <f>_xlfn.IFNA(IF(VLOOKUP(Tabela22[[#This Row],[CÓDIGO]],Aguardando_exclusão!A$4:A$4003,1,FALSE),"sim",""),"")</f>
        <v/>
      </c>
    </row>
    <row r="119" spans="1:4" ht="15" customHeight="1" x14ac:dyDescent="0.3">
      <c r="A119" s="15">
        <v>13165</v>
      </c>
      <c r="B119" s="17" t="s">
        <v>119</v>
      </c>
      <c r="C119" s="12">
        <v>367</v>
      </c>
      <c r="D119" s="11" t="str">
        <f>_xlfn.IFNA(IF(VLOOKUP(Tabela22[[#This Row],[CÓDIGO]],Aguardando_exclusão!A$4:A$4003,1,FALSE),"sim",""),"")</f>
        <v/>
      </c>
    </row>
    <row r="120" spans="1:4" x14ac:dyDescent="0.3">
      <c r="A120" s="15">
        <v>13175</v>
      </c>
      <c r="B120" s="17" t="s">
        <v>120</v>
      </c>
      <c r="C120" s="12">
        <v>367</v>
      </c>
      <c r="D120" s="11" t="str">
        <f>_xlfn.IFNA(IF(VLOOKUP(Tabela22[[#This Row],[CÓDIGO]],Aguardando_exclusão!A$4:A$4003,1,FALSE),"sim",""),"")</f>
        <v/>
      </c>
    </row>
    <row r="121" spans="1:4" x14ac:dyDescent="0.3">
      <c r="A121" s="15">
        <v>13178</v>
      </c>
      <c r="B121" s="17" t="s">
        <v>121</v>
      </c>
      <c r="C121" s="12">
        <v>367</v>
      </c>
      <c r="D121" s="11" t="str">
        <f>_xlfn.IFNA(IF(VLOOKUP(Tabela22[[#This Row],[CÓDIGO]],Aguardando_exclusão!A$4:A$4003,1,FALSE),"sim",""),"")</f>
        <v/>
      </c>
    </row>
    <row r="122" spans="1:4" x14ac:dyDescent="0.3">
      <c r="A122" s="15">
        <v>13179</v>
      </c>
      <c r="B122" s="17" t="s">
        <v>122</v>
      </c>
      <c r="C122" s="12">
        <v>367</v>
      </c>
      <c r="D122" s="11" t="str">
        <f>_xlfn.IFNA(IF(VLOOKUP(Tabela22[[#This Row],[CÓDIGO]],Aguardando_exclusão!A$4:A$4003,1,FALSE),"sim",""),"")</f>
        <v/>
      </c>
    </row>
    <row r="123" spans="1:4" x14ac:dyDescent="0.3">
      <c r="A123" s="15">
        <v>13180</v>
      </c>
      <c r="B123" s="17" t="s">
        <v>123</v>
      </c>
      <c r="C123" s="12">
        <v>367</v>
      </c>
      <c r="D123" s="11" t="str">
        <f>_xlfn.IFNA(IF(VLOOKUP(Tabela22[[#This Row],[CÓDIGO]],Aguardando_exclusão!A$4:A$4003,1,FALSE),"sim",""),"")</f>
        <v/>
      </c>
    </row>
    <row r="124" spans="1:4" ht="15" customHeight="1" x14ac:dyDescent="0.3">
      <c r="A124" s="15">
        <v>13181</v>
      </c>
      <c r="B124" s="17" t="s">
        <v>124</v>
      </c>
      <c r="C124" s="12">
        <v>367</v>
      </c>
      <c r="D124" s="11" t="str">
        <f>_xlfn.IFNA(IF(VLOOKUP(Tabela22[[#This Row],[CÓDIGO]],Aguardando_exclusão!A$4:A$4003,1,FALSE),"sim",""),"")</f>
        <v/>
      </c>
    </row>
    <row r="125" spans="1:4" ht="15" customHeight="1" x14ac:dyDescent="0.3">
      <c r="A125" s="15">
        <v>13186</v>
      </c>
      <c r="B125" s="17" t="s">
        <v>125</v>
      </c>
      <c r="C125" s="12">
        <v>367</v>
      </c>
      <c r="D125" s="11" t="str">
        <f>_xlfn.IFNA(IF(VLOOKUP(Tabela22[[#This Row],[CÓDIGO]],Aguardando_exclusão!A$4:A$4003,1,FALSE),"sim",""),"")</f>
        <v/>
      </c>
    </row>
    <row r="126" spans="1:4" ht="15" customHeight="1" x14ac:dyDescent="0.3">
      <c r="A126" s="15">
        <v>13192</v>
      </c>
      <c r="B126" s="17" t="s">
        <v>126</v>
      </c>
      <c r="C126" s="12">
        <v>367</v>
      </c>
      <c r="D126" s="11" t="str">
        <f>_xlfn.IFNA(IF(VLOOKUP(Tabela22[[#This Row],[CÓDIGO]],Aguardando_exclusão!A$4:A$4003,1,FALSE),"sim",""),"")</f>
        <v/>
      </c>
    </row>
    <row r="127" spans="1:4" x14ac:dyDescent="0.3">
      <c r="A127" s="15">
        <v>13197</v>
      </c>
      <c r="B127" s="17" t="s">
        <v>127</v>
      </c>
      <c r="C127" s="12">
        <v>367</v>
      </c>
      <c r="D127" s="11" t="str">
        <f>_xlfn.IFNA(IF(VLOOKUP(Tabela22[[#This Row],[CÓDIGO]],Aguardando_exclusão!A$4:A$4003,1,FALSE),"sim",""),"")</f>
        <v/>
      </c>
    </row>
    <row r="128" spans="1:4" x14ac:dyDescent="0.3">
      <c r="A128" s="15">
        <v>13199</v>
      </c>
      <c r="B128" s="17" t="s">
        <v>128</v>
      </c>
      <c r="C128" s="12">
        <v>367</v>
      </c>
      <c r="D128" s="11" t="str">
        <f>_xlfn.IFNA(IF(VLOOKUP(Tabela22[[#This Row],[CÓDIGO]],Aguardando_exclusão!A$4:A$4003,1,FALSE),"sim",""),"")</f>
        <v/>
      </c>
    </row>
    <row r="129" spans="1:4" x14ac:dyDescent="0.3">
      <c r="A129" s="15">
        <v>13202</v>
      </c>
      <c r="B129" s="17" t="s">
        <v>129</v>
      </c>
      <c r="C129" s="12">
        <v>367</v>
      </c>
      <c r="D129" s="11" t="str">
        <f>_xlfn.IFNA(IF(VLOOKUP(Tabela22[[#This Row],[CÓDIGO]],Aguardando_exclusão!A$4:A$4003,1,FALSE),"sim",""),"")</f>
        <v/>
      </c>
    </row>
    <row r="130" spans="1:4" x14ac:dyDescent="0.3">
      <c r="A130" s="15">
        <v>13218</v>
      </c>
      <c r="B130" s="17" t="s">
        <v>130</v>
      </c>
      <c r="C130" s="12">
        <v>367</v>
      </c>
      <c r="D130" s="11" t="str">
        <f>_xlfn.IFNA(IF(VLOOKUP(Tabela22[[#This Row],[CÓDIGO]],Aguardando_exclusão!A$4:A$4003,1,FALSE),"sim",""),"")</f>
        <v/>
      </c>
    </row>
    <row r="131" spans="1:4" x14ac:dyDescent="0.3">
      <c r="A131" s="15">
        <v>13221</v>
      </c>
      <c r="B131" s="17" t="s">
        <v>131</v>
      </c>
      <c r="C131" s="12">
        <v>367</v>
      </c>
      <c r="D131" s="11" t="str">
        <f>_xlfn.IFNA(IF(VLOOKUP(Tabela22[[#This Row],[CÓDIGO]],Aguardando_exclusão!A$4:A$4003,1,FALSE),"sim",""),"")</f>
        <v/>
      </c>
    </row>
    <row r="132" spans="1:4" x14ac:dyDescent="0.3">
      <c r="A132" s="15">
        <v>13222</v>
      </c>
      <c r="B132" s="17" t="s">
        <v>132</v>
      </c>
      <c r="C132" s="12">
        <v>367</v>
      </c>
      <c r="D132" s="11" t="str">
        <f>_xlfn.IFNA(IF(VLOOKUP(Tabela22[[#This Row],[CÓDIGO]],Aguardando_exclusão!A$4:A$4003,1,FALSE),"sim",""),"")</f>
        <v/>
      </c>
    </row>
    <row r="133" spans="1:4" x14ac:dyDescent="0.3">
      <c r="A133" s="15">
        <v>13225</v>
      </c>
      <c r="B133" s="17" t="s">
        <v>133</v>
      </c>
      <c r="C133" s="12">
        <v>367</v>
      </c>
      <c r="D133" s="11" t="str">
        <f>_xlfn.IFNA(IF(VLOOKUP(Tabela22[[#This Row],[CÓDIGO]],Aguardando_exclusão!A$4:A$4003,1,FALSE),"sim",""),"")</f>
        <v/>
      </c>
    </row>
    <row r="134" spans="1:4" x14ac:dyDescent="0.3">
      <c r="A134" s="15">
        <v>13517</v>
      </c>
      <c r="B134" s="17" t="s">
        <v>134</v>
      </c>
      <c r="C134" s="12">
        <v>367</v>
      </c>
      <c r="D134" s="11" t="str">
        <f>_xlfn.IFNA(IF(VLOOKUP(Tabela22[[#This Row],[CÓDIGO]],Aguardando_exclusão!A$4:A$4003,1,FALSE),"sim",""),"")</f>
        <v/>
      </c>
    </row>
    <row r="135" spans="1:4" ht="15" customHeight="1" x14ac:dyDescent="0.3">
      <c r="A135" s="15">
        <v>13518</v>
      </c>
      <c r="B135" s="17" t="s">
        <v>135</v>
      </c>
      <c r="C135" s="12">
        <v>367</v>
      </c>
      <c r="D135" s="11" t="str">
        <f>_xlfn.IFNA(IF(VLOOKUP(Tabela22[[#This Row],[CÓDIGO]],Aguardando_exclusão!A$4:A$4003,1,FALSE),"sim",""),"")</f>
        <v/>
      </c>
    </row>
    <row r="136" spans="1:4" ht="15" customHeight="1" x14ac:dyDescent="0.3">
      <c r="A136" s="15">
        <v>13539</v>
      </c>
      <c r="B136" s="17" t="s">
        <v>136</v>
      </c>
      <c r="C136" s="12">
        <v>367</v>
      </c>
      <c r="D136" s="11" t="str">
        <f>_xlfn.IFNA(IF(VLOOKUP(Tabela22[[#This Row],[CÓDIGO]],Aguardando_exclusão!A$4:A$4003,1,FALSE),"sim",""),"")</f>
        <v/>
      </c>
    </row>
    <row r="137" spans="1:4" x14ac:dyDescent="0.3">
      <c r="A137" s="15">
        <v>13556</v>
      </c>
      <c r="B137" s="17" t="s">
        <v>137</v>
      </c>
      <c r="C137" s="12">
        <v>367</v>
      </c>
      <c r="D137" s="11" t="str">
        <f>_xlfn.IFNA(IF(VLOOKUP(Tabela22[[#This Row],[CÓDIGO]],Aguardando_exclusão!A$4:A$4003,1,FALSE),"sim",""),"")</f>
        <v/>
      </c>
    </row>
    <row r="138" spans="1:4" ht="15" customHeight="1" x14ac:dyDescent="0.3">
      <c r="A138" s="15">
        <v>13558</v>
      </c>
      <c r="B138" s="17" t="s">
        <v>138</v>
      </c>
      <c r="C138" s="12">
        <v>367</v>
      </c>
      <c r="D138" s="11" t="str">
        <f>_xlfn.IFNA(IF(VLOOKUP(Tabela22[[#This Row],[CÓDIGO]],Aguardando_exclusão!A$4:A$4003,1,FALSE),"sim",""),"")</f>
        <v/>
      </c>
    </row>
    <row r="139" spans="1:4" x14ac:dyDescent="0.3">
      <c r="A139" s="15">
        <v>13559</v>
      </c>
      <c r="B139" s="17" t="s">
        <v>139</v>
      </c>
      <c r="C139" s="12">
        <v>367</v>
      </c>
      <c r="D139" s="11" t="str">
        <f>_xlfn.IFNA(IF(VLOOKUP(Tabela22[[#This Row],[CÓDIGO]],Aguardando_exclusão!A$4:A$4003,1,FALSE),"sim",""),"")</f>
        <v/>
      </c>
    </row>
    <row r="140" spans="1:4" x14ac:dyDescent="0.3">
      <c r="A140" s="15">
        <v>13560</v>
      </c>
      <c r="B140" s="17" t="s">
        <v>140</v>
      </c>
      <c r="C140" s="12">
        <v>367</v>
      </c>
      <c r="D140" s="11" t="str">
        <f>_xlfn.IFNA(IF(VLOOKUP(Tabela22[[#This Row],[CÓDIGO]],Aguardando_exclusão!A$4:A$4003,1,FALSE),"sim",""),"")</f>
        <v/>
      </c>
    </row>
    <row r="141" spans="1:4" x14ac:dyDescent="0.3">
      <c r="A141" s="15">
        <v>13561</v>
      </c>
      <c r="B141" s="17" t="s">
        <v>141</v>
      </c>
      <c r="C141" s="12">
        <v>367</v>
      </c>
      <c r="D141" s="11" t="str">
        <f>_xlfn.IFNA(IF(VLOOKUP(Tabela22[[#This Row],[CÓDIGO]],Aguardando_exclusão!A$4:A$4003,1,FALSE),"sim",""),"")</f>
        <v/>
      </c>
    </row>
    <row r="142" spans="1:4" x14ac:dyDescent="0.3">
      <c r="A142" s="15">
        <v>13562</v>
      </c>
      <c r="B142" s="17" t="s">
        <v>142</v>
      </c>
      <c r="C142" s="12">
        <v>367</v>
      </c>
      <c r="D142" s="11" t="str">
        <f>_xlfn.IFNA(IF(VLOOKUP(Tabela22[[#This Row],[CÓDIGO]],Aguardando_exclusão!A$4:A$4003,1,FALSE),"sim",""),"")</f>
        <v/>
      </c>
    </row>
    <row r="143" spans="1:4" x14ac:dyDescent="0.3">
      <c r="A143" s="15">
        <v>13563</v>
      </c>
      <c r="B143" s="17" t="s">
        <v>143</v>
      </c>
      <c r="C143" s="12">
        <v>367</v>
      </c>
      <c r="D143" s="11" t="str">
        <f>_xlfn.IFNA(IF(VLOOKUP(Tabela22[[#This Row],[CÓDIGO]],Aguardando_exclusão!A$4:A$4003,1,FALSE),"sim",""),"")</f>
        <v/>
      </c>
    </row>
    <row r="144" spans="1:4" x14ac:dyDescent="0.3">
      <c r="A144" s="15">
        <v>13655</v>
      </c>
      <c r="B144" s="17" t="s">
        <v>144</v>
      </c>
      <c r="C144" s="12">
        <v>367</v>
      </c>
      <c r="D144" s="11" t="str">
        <f>_xlfn.IFNA(IF(VLOOKUP(Tabela22[[#This Row],[CÓDIGO]],Aguardando_exclusão!A$4:A$4003,1,FALSE),"sim",""),"")</f>
        <v/>
      </c>
    </row>
    <row r="145" spans="1:4" x14ac:dyDescent="0.3">
      <c r="A145" s="15">
        <v>13768</v>
      </c>
      <c r="B145" s="17" t="s">
        <v>145</v>
      </c>
      <c r="C145" s="12">
        <v>367</v>
      </c>
      <c r="D145" s="11" t="str">
        <f>_xlfn.IFNA(IF(VLOOKUP(Tabela22[[#This Row],[CÓDIGO]],Aguardando_exclusão!A$4:A$4003,1,FALSE),"sim",""),"")</f>
        <v/>
      </c>
    </row>
    <row r="146" spans="1:4" x14ac:dyDescent="0.3">
      <c r="A146" s="15">
        <v>13905</v>
      </c>
      <c r="B146" s="17" t="s">
        <v>146</v>
      </c>
      <c r="C146" s="12">
        <v>367</v>
      </c>
      <c r="D146" s="11" t="str">
        <f>_xlfn.IFNA(IF(VLOOKUP(Tabela22[[#This Row],[CÓDIGO]],Aguardando_exclusão!A$4:A$4003,1,FALSE),"sim",""),"")</f>
        <v/>
      </c>
    </row>
    <row r="147" spans="1:4" ht="15" customHeight="1" x14ac:dyDescent="0.3">
      <c r="A147" s="15">
        <v>13975</v>
      </c>
      <c r="B147" s="17" t="s">
        <v>147</v>
      </c>
      <c r="C147" s="12">
        <v>367</v>
      </c>
      <c r="D147" s="11" t="str">
        <f>_xlfn.IFNA(IF(VLOOKUP(Tabela22[[#This Row],[CÓDIGO]],Aguardando_exclusão!A$4:A$4003,1,FALSE),"sim",""),"")</f>
        <v/>
      </c>
    </row>
    <row r="148" spans="1:4" ht="15" customHeight="1" x14ac:dyDescent="0.3">
      <c r="A148" s="15">
        <v>13991</v>
      </c>
      <c r="B148" s="17" t="s">
        <v>148</v>
      </c>
      <c r="C148" s="12">
        <v>367</v>
      </c>
      <c r="D148" s="11" t="str">
        <f>_xlfn.IFNA(IF(VLOOKUP(Tabela22[[#This Row],[CÓDIGO]],Aguardando_exclusão!A$4:A$4003,1,FALSE),"sim",""),"")</f>
        <v/>
      </c>
    </row>
    <row r="149" spans="1:4" ht="15" customHeight="1" x14ac:dyDescent="0.3">
      <c r="A149" s="15">
        <v>14001</v>
      </c>
      <c r="B149" s="17" t="s">
        <v>149</v>
      </c>
      <c r="C149" s="12">
        <v>367</v>
      </c>
      <c r="D149" s="11" t="str">
        <f>_xlfn.IFNA(IF(VLOOKUP(Tabela22[[#This Row],[CÓDIGO]],Aguardando_exclusão!A$4:A$4003,1,FALSE),"sim",""),"")</f>
        <v/>
      </c>
    </row>
    <row r="150" spans="1:4" ht="15" customHeight="1" x14ac:dyDescent="0.3">
      <c r="A150" s="15">
        <v>14009</v>
      </c>
      <c r="B150" s="17" t="s">
        <v>150</v>
      </c>
      <c r="C150" s="12">
        <v>367</v>
      </c>
      <c r="D150" s="11" t="str">
        <f>_xlfn.IFNA(IF(VLOOKUP(Tabela22[[#This Row],[CÓDIGO]],Aguardando_exclusão!A$4:A$4003,1,FALSE),"sim",""),"")</f>
        <v>sim</v>
      </c>
    </row>
    <row r="151" spans="1:4" ht="15" customHeight="1" x14ac:dyDescent="0.3">
      <c r="A151" s="15">
        <v>14010</v>
      </c>
      <c r="B151" s="17" t="s">
        <v>151</v>
      </c>
      <c r="C151" s="12">
        <v>367</v>
      </c>
      <c r="D151" s="11" t="str">
        <f>_xlfn.IFNA(IF(VLOOKUP(Tabela22[[#This Row],[CÓDIGO]],Aguardando_exclusão!A$4:A$4003,1,FALSE),"sim",""),"")</f>
        <v>sim</v>
      </c>
    </row>
    <row r="152" spans="1:4" x14ac:dyDescent="0.3">
      <c r="A152" s="15">
        <v>14012</v>
      </c>
      <c r="B152" s="17" t="s">
        <v>152</v>
      </c>
      <c r="C152" s="12">
        <v>367</v>
      </c>
      <c r="D152" s="11" t="str">
        <f>_xlfn.IFNA(IF(VLOOKUP(Tabela22[[#This Row],[CÓDIGO]],Aguardando_exclusão!A$4:A$4003,1,FALSE),"sim",""),"")</f>
        <v/>
      </c>
    </row>
    <row r="153" spans="1:4" x14ac:dyDescent="0.3">
      <c r="A153" s="15">
        <v>14013</v>
      </c>
      <c r="B153" s="17" t="s">
        <v>153</v>
      </c>
      <c r="C153" s="12">
        <v>367</v>
      </c>
      <c r="D153" s="11" t="str">
        <f>_xlfn.IFNA(IF(VLOOKUP(Tabela22[[#This Row],[CÓDIGO]],Aguardando_exclusão!A$4:A$4003,1,FALSE),"sim",""),"")</f>
        <v/>
      </c>
    </row>
    <row r="154" spans="1:4" ht="15" customHeight="1" x14ac:dyDescent="0.3">
      <c r="A154" s="15">
        <v>14014</v>
      </c>
      <c r="B154" s="17" t="s">
        <v>154</v>
      </c>
      <c r="C154" s="12">
        <v>367</v>
      </c>
      <c r="D154" s="11" t="str">
        <f>_xlfn.IFNA(IF(VLOOKUP(Tabela22[[#This Row],[CÓDIGO]],Aguardando_exclusão!A$4:A$4003,1,FALSE),"sim",""),"")</f>
        <v/>
      </c>
    </row>
    <row r="155" spans="1:4" ht="15" customHeight="1" x14ac:dyDescent="0.3">
      <c r="A155" s="15">
        <v>14055</v>
      </c>
      <c r="B155" s="17" t="s">
        <v>155</v>
      </c>
      <c r="C155" s="12">
        <v>367</v>
      </c>
      <c r="D155" s="11" t="str">
        <f>_xlfn.IFNA(IF(VLOOKUP(Tabela22[[#This Row],[CÓDIGO]],Aguardando_exclusão!A$4:A$4003,1,FALSE),"sim",""),"")</f>
        <v/>
      </c>
    </row>
    <row r="156" spans="1:4" ht="15" customHeight="1" x14ac:dyDescent="0.3">
      <c r="A156" s="15">
        <v>14056</v>
      </c>
      <c r="B156" s="17" t="s">
        <v>156</v>
      </c>
      <c r="C156" s="12">
        <v>367</v>
      </c>
      <c r="D156" s="11" t="str">
        <f>_xlfn.IFNA(IF(VLOOKUP(Tabela22[[#This Row],[CÓDIGO]],Aguardando_exclusão!A$4:A$4003,1,FALSE),"sim",""),"")</f>
        <v/>
      </c>
    </row>
    <row r="157" spans="1:4" x14ac:dyDescent="0.3">
      <c r="A157" s="15">
        <v>14121</v>
      </c>
      <c r="B157" s="17" t="s">
        <v>157</v>
      </c>
      <c r="C157" s="12">
        <v>367</v>
      </c>
      <c r="D157" s="11" t="str">
        <f>_xlfn.IFNA(IF(VLOOKUP(Tabela22[[#This Row],[CÓDIGO]],Aguardando_exclusão!A$4:A$4003,1,FALSE),"sim",""),"")</f>
        <v/>
      </c>
    </row>
    <row r="158" spans="1:4" x14ac:dyDescent="0.3">
      <c r="A158" s="15">
        <v>14154</v>
      </c>
      <c r="B158" s="17" t="s">
        <v>158</v>
      </c>
      <c r="C158" s="12">
        <v>367</v>
      </c>
      <c r="D158" s="11" t="str">
        <f>_xlfn.IFNA(IF(VLOOKUP(Tabela22[[#This Row],[CÓDIGO]],Aguardando_exclusão!A$4:A$4003,1,FALSE),"sim",""),"")</f>
        <v/>
      </c>
    </row>
    <row r="159" spans="1:4" x14ac:dyDescent="0.3">
      <c r="A159" s="15">
        <v>14199</v>
      </c>
      <c r="B159" s="17" t="s">
        <v>159</v>
      </c>
      <c r="C159" s="12">
        <v>367</v>
      </c>
      <c r="D159" s="11" t="str">
        <f>_xlfn.IFNA(IF(VLOOKUP(Tabela22[[#This Row],[CÓDIGO]],Aguardando_exclusão!A$4:A$4003,1,FALSE),"sim",""),"")</f>
        <v/>
      </c>
    </row>
    <row r="160" spans="1:4" x14ac:dyDescent="0.3">
      <c r="A160" s="15">
        <v>14662</v>
      </c>
      <c r="B160" s="17" t="s">
        <v>160</v>
      </c>
      <c r="C160" s="12">
        <v>367</v>
      </c>
      <c r="D160" s="11" t="str">
        <f>_xlfn.IFNA(IF(VLOOKUP(Tabela22[[#This Row],[CÓDIGO]],Aguardando_exclusão!A$4:A$4003,1,FALSE),"sim",""),"")</f>
        <v/>
      </c>
    </row>
    <row r="161" spans="1:4" x14ac:dyDescent="0.3">
      <c r="A161" s="15">
        <v>14737</v>
      </c>
      <c r="B161" s="17" t="s">
        <v>161</v>
      </c>
      <c r="C161" s="12">
        <v>367</v>
      </c>
      <c r="D161" s="11" t="str">
        <f>_xlfn.IFNA(IF(VLOOKUP(Tabela22[[#This Row],[CÓDIGO]],Aguardando_exclusão!A$4:A$4003,1,FALSE),"sim",""),"")</f>
        <v/>
      </c>
    </row>
    <row r="162" spans="1:4" x14ac:dyDescent="0.3">
      <c r="A162" s="15">
        <v>14754</v>
      </c>
      <c r="B162" s="17" t="s">
        <v>162</v>
      </c>
      <c r="C162" s="12">
        <v>367</v>
      </c>
      <c r="D162" s="11" t="str">
        <f>_xlfn.IFNA(IF(VLOOKUP(Tabela22[[#This Row],[CÓDIGO]],Aguardando_exclusão!A$4:A$4003,1,FALSE),"sim",""),"")</f>
        <v/>
      </c>
    </row>
    <row r="163" spans="1:4" x14ac:dyDescent="0.3">
      <c r="A163" s="15">
        <v>14784</v>
      </c>
      <c r="B163" s="17" t="s">
        <v>163</v>
      </c>
      <c r="C163" s="12">
        <v>367</v>
      </c>
      <c r="D163" s="11" t="str">
        <f>_xlfn.IFNA(IF(VLOOKUP(Tabela22[[#This Row],[CÓDIGO]],Aguardando_exclusão!A$4:A$4003,1,FALSE),"sim",""),"")</f>
        <v/>
      </c>
    </row>
    <row r="164" spans="1:4" ht="15" customHeight="1" x14ac:dyDescent="0.3">
      <c r="A164" s="15">
        <v>14831</v>
      </c>
      <c r="B164" s="17" t="s">
        <v>164</v>
      </c>
      <c r="C164" s="12">
        <v>367</v>
      </c>
      <c r="D164" s="11" t="str">
        <f>_xlfn.IFNA(IF(VLOOKUP(Tabela22[[#This Row],[CÓDIGO]],Aguardando_exclusão!A$4:A$4003,1,FALSE),"sim",""),"")</f>
        <v/>
      </c>
    </row>
    <row r="165" spans="1:4" ht="15" customHeight="1" x14ac:dyDescent="0.3">
      <c r="A165" s="15">
        <v>14885</v>
      </c>
      <c r="B165" s="17" t="s">
        <v>165</v>
      </c>
      <c r="C165" s="12">
        <v>367</v>
      </c>
      <c r="D165" s="11" t="str">
        <f>_xlfn.IFNA(IF(VLOOKUP(Tabela22[[#This Row],[CÓDIGO]],Aguardando_exclusão!A$4:A$4003,1,FALSE),"sim",""),"")</f>
        <v/>
      </c>
    </row>
    <row r="166" spans="1:4" ht="15" customHeight="1" x14ac:dyDescent="0.3">
      <c r="A166" s="15">
        <v>14887</v>
      </c>
      <c r="B166" s="17" t="s">
        <v>166</v>
      </c>
      <c r="C166" s="12">
        <v>367</v>
      </c>
      <c r="D166" s="11" t="str">
        <f>_xlfn.IFNA(IF(VLOOKUP(Tabela22[[#This Row],[CÓDIGO]],Aguardando_exclusão!A$4:A$4003,1,FALSE),"sim",""),"")</f>
        <v/>
      </c>
    </row>
    <row r="167" spans="1:4" ht="15" customHeight="1" x14ac:dyDescent="0.3">
      <c r="A167" s="15">
        <v>14895</v>
      </c>
      <c r="B167" s="17" t="s">
        <v>167</v>
      </c>
      <c r="C167" s="12">
        <v>367</v>
      </c>
      <c r="D167" s="11" t="str">
        <f>_xlfn.IFNA(IF(VLOOKUP(Tabela22[[#This Row],[CÓDIGO]],Aguardando_exclusão!A$4:A$4003,1,FALSE),"sim",""),"")</f>
        <v>sim</v>
      </c>
    </row>
    <row r="168" spans="1:4" x14ac:dyDescent="0.3">
      <c r="A168" s="15">
        <v>14921</v>
      </c>
      <c r="B168" s="17" t="s">
        <v>168</v>
      </c>
      <c r="C168" s="12">
        <v>367</v>
      </c>
      <c r="D168" s="11" t="str">
        <f>_xlfn.IFNA(IF(VLOOKUP(Tabela22[[#This Row],[CÓDIGO]],Aguardando_exclusão!A$4:A$4003,1,FALSE),"sim",""),"")</f>
        <v/>
      </c>
    </row>
    <row r="169" spans="1:4" ht="15" customHeight="1" x14ac:dyDescent="0.3">
      <c r="A169" s="15">
        <v>14977</v>
      </c>
      <c r="B169" s="17" t="s">
        <v>169</v>
      </c>
      <c r="C169" s="12">
        <v>367</v>
      </c>
      <c r="D169" s="11" t="str">
        <f>_xlfn.IFNA(IF(VLOOKUP(Tabela22[[#This Row],[CÓDIGO]],Aguardando_exclusão!A$4:A$4003,1,FALSE),"sim",""),"")</f>
        <v/>
      </c>
    </row>
    <row r="170" spans="1:4" x14ac:dyDescent="0.3">
      <c r="A170" s="15">
        <v>15029</v>
      </c>
      <c r="B170" s="17" t="s">
        <v>170</v>
      </c>
      <c r="C170" s="12">
        <v>367</v>
      </c>
      <c r="D170" s="11" t="str">
        <f>_xlfn.IFNA(IF(VLOOKUP(Tabela22[[#This Row],[CÓDIGO]],Aguardando_exclusão!A$4:A$4003,1,FALSE),"sim",""),"")</f>
        <v/>
      </c>
    </row>
    <row r="171" spans="1:4" x14ac:dyDescent="0.3">
      <c r="A171" s="15">
        <v>15051</v>
      </c>
      <c r="B171" s="17" t="s">
        <v>171</v>
      </c>
      <c r="C171" s="12">
        <v>367</v>
      </c>
      <c r="D171" s="11" t="str">
        <f>_xlfn.IFNA(IF(VLOOKUP(Tabela22[[#This Row],[CÓDIGO]],Aguardando_exclusão!A$4:A$4003,1,FALSE),"sim",""),"")</f>
        <v/>
      </c>
    </row>
    <row r="172" spans="1:4" x14ac:dyDescent="0.3">
      <c r="A172" s="15">
        <v>15066</v>
      </c>
      <c r="B172" s="17" t="s">
        <v>172</v>
      </c>
      <c r="C172" s="12">
        <v>367</v>
      </c>
      <c r="D172" s="11" t="str">
        <f>_xlfn.IFNA(IF(VLOOKUP(Tabela22[[#This Row],[CÓDIGO]],Aguardando_exclusão!A$4:A$4003,1,FALSE),"sim",""),"")</f>
        <v/>
      </c>
    </row>
    <row r="173" spans="1:4" x14ac:dyDescent="0.3">
      <c r="A173" s="15">
        <v>15085</v>
      </c>
      <c r="B173" s="17" t="s">
        <v>173</v>
      </c>
      <c r="C173" s="12">
        <v>367</v>
      </c>
      <c r="D173" s="11" t="str">
        <f>_xlfn.IFNA(IF(VLOOKUP(Tabela22[[#This Row],[CÓDIGO]],Aguardando_exclusão!A$4:A$4003,1,FALSE),"sim",""),"")</f>
        <v/>
      </c>
    </row>
    <row r="174" spans="1:4" x14ac:dyDescent="0.3">
      <c r="A174" s="15">
        <v>15128</v>
      </c>
      <c r="B174" s="17" t="s">
        <v>174</v>
      </c>
      <c r="C174" s="12">
        <v>367</v>
      </c>
      <c r="D174" s="11" t="str">
        <f>_xlfn.IFNA(IF(VLOOKUP(Tabela22[[#This Row],[CÓDIGO]],Aguardando_exclusão!A$4:A$4003,1,FALSE),"sim",""),"")</f>
        <v>sim</v>
      </c>
    </row>
    <row r="175" spans="1:4" ht="15" customHeight="1" x14ac:dyDescent="0.3">
      <c r="A175" s="15">
        <v>15167</v>
      </c>
      <c r="B175" s="17" t="s">
        <v>175</v>
      </c>
      <c r="C175" s="12">
        <v>367</v>
      </c>
      <c r="D175" s="11" t="str">
        <f>_xlfn.IFNA(IF(VLOOKUP(Tabela22[[#This Row],[CÓDIGO]],Aguardando_exclusão!A$4:A$4003,1,FALSE),"sim",""),"")</f>
        <v/>
      </c>
    </row>
    <row r="176" spans="1:4" x14ac:dyDescent="0.3">
      <c r="A176" s="15">
        <v>15267</v>
      </c>
      <c r="B176" s="17" t="s">
        <v>176</v>
      </c>
      <c r="C176" s="12">
        <v>367</v>
      </c>
      <c r="D176" s="11" t="str">
        <f>_xlfn.IFNA(IF(VLOOKUP(Tabela22[[#This Row],[CÓDIGO]],Aguardando_exclusão!A$4:A$4003,1,FALSE),"sim",""),"")</f>
        <v/>
      </c>
    </row>
    <row r="177" spans="1:4" x14ac:dyDescent="0.3">
      <c r="A177" s="15">
        <v>15271</v>
      </c>
      <c r="B177" s="17" t="s">
        <v>177</v>
      </c>
      <c r="C177" s="12">
        <v>367</v>
      </c>
      <c r="D177" s="11" t="str">
        <f>_xlfn.IFNA(IF(VLOOKUP(Tabela22[[#This Row],[CÓDIGO]],Aguardando_exclusão!A$4:A$4003,1,FALSE),"sim",""),"")</f>
        <v/>
      </c>
    </row>
    <row r="178" spans="1:4" x14ac:dyDescent="0.3">
      <c r="A178" s="15">
        <v>15272</v>
      </c>
      <c r="B178" s="17" t="s">
        <v>178</v>
      </c>
      <c r="C178" s="12">
        <v>367</v>
      </c>
      <c r="D178" s="11" t="str">
        <f>_xlfn.IFNA(IF(VLOOKUP(Tabela22[[#This Row],[CÓDIGO]],Aguardando_exclusão!A$4:A$4003,1,FALSE),"sim",""),"")</f>
        <v/>
      </c>
    </row>
    <row r="179" spans="1:4" x14ac:dyDescent="0.3">
      <c r="A179" s="15">
        <v>15299</v>
      </c>
      <c r="B179" s="17" t="s">
        <v>179</v>
      </c>
      <c r="C179" s="12">
        <v>367</v>
      </c>
      <c r="D179" s="11" t="str">
        <f>_xlfn.IFNA(IF(VLOOKUP(Tabela22[[#This Row],[CÓDIGO]],Aguardando_exclusão!A$4:A$4003,1,FALSE),"sim",""),"")</f>
        <v/>
      </c>
    </row>
    <row r="180" spans="1:4" ht="15" customHeight="1" x14ac:dyDescent="0.3">
      <c r="A180" s="15">
        <v>15436</v>
      </c>
      <c r="B180" s="17" t="s">
        <v>180</v>
      </c>
      <c r="C180" s="12">
        <v>367</v>
      </c>
      <c r="D180" s="11" t="str">
        <f>_xlfn.IFNA(IF(VLOOKUP(Tabela22[[#This Row],[CÓDIGO]],Aguardando_exclusão!A$4:A$4003,1,FALSE),"sim",""),"")</f>
        <v/>
      </c>
    </row>
    <row r="181" spans="1:4" x14ac:dyDescent="0.3">
      <c r="A181" s="15">
        <v>15438</v>
      </c>
      <c r="B181" s="17" t="s">
        <v>181</v>
      </c>
      <c r="C181" s="12">
        <v>367</v>
      </c>
      <c r="D181" s="11" t="str">
        <f>_xlfn.IFNA(IF(VLOOKUP(Tabela22[[#This Row],[CÓDIGO]],Aguardando_exclusão!A$4:A$4003,1,FALSE),"sim",""),"")</f>
        <v>sim</v>
      </c>
    </row>
    <row r="182" spans="1:4" x14ac:dyDescent="0.3">
      <c r="A182" s="15">
        <v>15464</v>
      </c>
      <c r="B182" s="17" t="s">
        <v>177</v>
      </c>
      <c r="C182" s="12">
        <v>367</v>
      </c>
      <c r="D182" s="11" t="str">
        <f>_xlfn.IFNA(IF(VLOOKUP(Tabela22[[#This Row],[CÓDIGO]],Aguardando_exclusão!A$4:A$4003,1,FALSE),"sim",""),"")</f>
        <v/>
      </c>
    </row>
    <row r="183" spans="1:4" x14ac:dyDescent="0.3">
      <c r="A183" s="15">
        <v>15465</v>
      </c>
      <c r="B183" s="17" t="s">
        <v>182</v>
      </c>
      <c r="C183" s="12">
        <v>367</v>
      </c>
      <c r="D183" s="11" t="str">
        <f>_xlfn.IFNA(IF(VLOOKUP(Tabela22[[#This Row],[CÓDIGO]],Aguardando_exclusão!A$4:A$4003,1,FALSE),"sim",""),"")</f>
        <v/>
      </c>
    </row>
    <row r="184" spans="1:4" x14ac:dyDescent="0.3">
      <c r="A184" s="15">
        <v>15466</v>
      </c>
      <c r="B184" s="17" t="s">
        <v>183</v>
      </c>
      <c r="C184" s="12">
        <v>367</v>
      </c>
      <c r="D184" s="11" t="str">
        <f>_xlfn.IFNA(IF(VLOOKUP(Tabela22[[#This Row],[CÓDIGO]],Aguardando_exclusão!A$4:A$4003,1,FALSE),"sim",""),"")</f>
        <v/>
      </c>
    </row>
    <row r="185" spans="1:4" x14ac:dyDescent="0.3">
      <c r="A185" s="15">
        <v>15467</v>
      </c>
      <c r="B185" s="17" t="s">
        <v>184</v>
      </c>
      <c r="C185" s="12">
        <v>367</v>
      </c>
      <c r="D185" s="11" t="str">
        <f>_xlfn.IFNA(IF(VLOOKUP(Tabela22[[#This Row],[CÓDIGO]],Aguardando_exclusão!A$4:A$4003,1,FALSE),"sim",""),"")</f>
        <v/>
      </c>
    </row>
    <row r="186" spans="1:4" ht="15" customHeight="1" x14ac:dyDescent="0.3">
      <c r="A186" s="15">
        <v>15469</v>
      </c>
      <c r="B186" s="17" t="s">
        <v>185</v>
      </c>
      <c r="C186" s="12">
        <v>367</v>
      </c>
      <c r="D186" s="11" t="str">
        <f>_xlfn.IFNA(IF(VLOOKUP(Tabela22[[#This Row],[CÓDIGO]],Aguardando_exclusão!A$4:A$4003,1,FALSE),"sim",""),"")</f>
        <v/>
      </c>
    </row>
    <row r="187" spans="1:4" x14ac:dyDescent="0.3">
      <c r="A187" s="15">
        <v>15473</v>
      </c>
      <c r="B187" s="17" t="s">
        <v>186</v>
      </c>
      <c r="C187" s="12">
        <v>367</v>
      </c>
      <c r="D187" s="11" t="str">
        <f>_xlfn.IFNA(IF(VLOOKUP(Tabela22[[#This Row],[CÓDIGO]],Aguardando_exclusão!A$4:A$4003,1,FALSE),"sim",""),"")</f>
        <v/>
      </c>
    </row>
    <row r="188" spans="1:4" x14ac:dyDescent="0.3">
      <c r="A188" s="15">
        <v>15475</v>
      </c>
      <c r="B188" s="17" t="s">
        <v>187</v>
      </c>
      <c r="C188" s="12">
        <v>367</v>
      </c>
      <c r="D188" s="11" t="str">
        <f>_xlfn.IFNA(IF(VLOOKUP(Tabela22[[#This Row],[CÓDIGO]],Aguardando_exclusão!A$4:A$4003,1,FALSE),"sim",""),"")</f>
        <v/>
      </c>
    </row>
    <row r="189" spans="1:4" x14ac:dyDescent="0.3">
      <c r="A189" s="15">
        <v>15530</v>
      </c>
      <c r="B189" s="17" t="s">
        <v>188</v>
      </c>
      <c r="C189" s="12">
        <v>367</v>
      </c>
      <c r="D189" s="11" t="str">
        <f>_xlfn.IFNA(IF(VLOOKUP(Tabela22[[#This Row],[CÓDIGO]],Aguardando_exclusão!A$4:A$4003,1,FALSE),"sim",""),"")</f>
        <v>sim</v>
      </c>
    </row>
    <row r="190" spans="1:4" x14ac:dyDescent="0.3">
      <c r="A190" s="15">
        <v>15648</v>
      </c>
      <c r="B190" s="17" t="s">
        <v>189</v>
      </c>
      <c r="C190" s="12">
        <v>367</v>
      </c>
      <c r="D190" s="11" t="str">
        <f>_xlfn.IFNA(IF(VLOOKUP(Tabela22[[#This Row],[CÓDIGO]],Aguardando_exclusão!A$4:A$4003,1,FALSE),"sim",""),"")</f>
        <v/>
      </c>
    </row>
    <row r="191" spans="1:4" x14ac:dyDescent="0.3">
      <c r="A191" s="15">
        <v>15656</v>
      </c>
      <c r="B191" s="17" t="s">
        <v>190</v>
      </c>
      <c r="C191" s="12">
        <v>367</v>
      </c>
      <c r="D191" s="11" t="str">
        <f>_xlfn.IFNA(IF(VLOOKUP(Tabela22[[#This Row],[CÓDIGO]],Aguardando_exclusão!A$4:A$4003,1,FALSE),"sim",""),"")</f>
        <v/>
      </c>
    </row>
    <row r="192" spans="1:4" x14ac:dyDescent="0.3">
      <c r="A192" s="15">
        <v>15664</v>
      </c>
      <c r="B192" s="17" t="s">
        <v>191</v>
      </c>
      <c r="C192" s="12">
        <v>367</v>
      </c>
      <c r="D192" s="11" t="str">
        <f>_xlfn.IFNA(IF(VLOOKUP(Tabela22[[#This Row],[CÓDIGO]],Aguardando_exclusão!A$4:A$4003,1,FALSE),"sim",""),"")</f>
        <v/>
      </c>
    </row>
    <row r="193" spans="1:4" x14ac:dyDescent="0.3">
      <c r="A193" s="15">
        <v>15668</v>
      </c>
      <c r="B193" s="17" t="s">
        <v>192</v>
      </c>
      <c r="C193" s="12">
        <v>367</v>
      </c>
      <c r="D193" s="11" t="str">
        <f>_xlfn.IFNA(IF(VLOOKUP(Tabela22[[#This Row],[CÓDIGO]],Aguardando_exclusão!A$4:A$4003,1,FALSE),"sim",""),"")</f>
        <v/>
      </c>
    </row>
    <row r="194" spans="1:4" x14ac:dyDescent="0.3">
      <c r="A194" s="15">
        <v>15672</v>
      </c>
      <c r="B194" s="17" t="s">
        <v>193</v>
      </c>
      <c r="C194" s="12">
        <v>367</v>
      </c>
      <c r="D194" s="11" t="str">
        <f>_xlfn.IFNA(IF(VLOOKUP(Tabela22[[#This Row],[CÓDIGO]],Aguardando_exclusão!A$4:A$4003,1,FALSE),"sim",""),"")</f>
        <v/>
      </c>
    </row>
    <row r="195" spans="1:4" ht="15" customHeight="1" x14ac:dyDescent="0.3">
      <c r="A195" s="15">
        <v>15673</v>
      </c>
      <c r="B195" s="17" t="s">
        <v>194</v>
      </c>
      <c r="C195" s="12">
        <v>367</v>
      </c>
      <c r="D195" s="11" t="str">
        <f>_xlfn.IFNA(IF(VLOOKUP(Tabela22[[#This Row],[CÓDIGO]],Aguardando_exclusão!A$4:A$4003,1,FALSE),"sim",""),"")</f>
        <v/>
      </c>
    </row>
    <row r="196" spans="1:4" ht="15" customHeight="1" x14ac:dyDescent="0.3">
      <c r="A196" s="15">
        <v>15680</v>
      </c>
      <c r="B196" s="17" t="s">
        <v>195</v>
      </c>
      <c r="C196" s="12">
        <v>367</v>
      </c>
      <c r="D196" s="11" t="str">
        <f>_xlfn.IFNA(IF(VLOOKUP(Tabela22[[#This Row],[CÓDIGO]],Aguardando_exclusão!A$4:A$4003,1,FALSE),"sim",""),"")</f>
        <v/>
      </c>
    </row>
    <row r="197" spans="1:4" ht="15" customHeight="1" x14ac:dyDescent="0.3">
      <c r="A197" s="15">
        <v>15761</v>
      </c>
      <c r="B197" s="17" t="s">
        <v>196</v>
      </c>
      <c r="C197" s="12">
        <v>367</v>
      </c>
      <c r="D197" s="11" t="str">
        <f>_xlfn.IFNA(IF(VLOOKUP(Tabela22[[#This Row],[CÓDIGO]],Aguardando_exclusão!A$4:A$4003,1,FALSE),"sim",""),"")</f>
        <v/>
      </c>
    </row>
    <row r="198" spans="1:4" x14ac:dyDescent="0.3">
      <c r="A198" s="15">
        <v>15813</v>
      </c>
      <c r="B198" s="17" t="s">
        <v>197</v>
      </c>
      <c r="C198" s="12">
        <v>367</v>
      </c>
      <c r="D198" s="11" t="str">
        <f>_xlfn.IFNA(IF(VLOOKUP(Tabela22[[#This Row],[CÓDIGO]],Aguardando_exclusão!A$4:A$4003,1,FALSE),"sim",""),"")</f>
        <v/>
      </c>
    </row>
    <row r="199" spans="1:4" ht="15" customHeight="1" x14ac:dyDescent="0.3">
      <c r="A199" s="15">
        <v>15840</v>
      </c>
      <c r="B199" s="17" t="s">
        <v>198</v>
      </c>
      <c r="C199" s="12">
        <v>367</v>
      </c>
      <c r="D199" s="11" t="str">
        <f>_xlfn.IFNA(IF(VLOOKUP(Tabela22[[#This Row],[CÓDIGO]],Aguardando_exclusão!A$4:A$4003,1,FALSE),"sim",""),"")</f>
        <v/>
      </c>
    </row>
    <row r="200" spans="1:4" ht="15" customHeight="1" x14ac:dyDescent="0.3">
      <c r="A200" s="15">
        <v>15845</v>
      </c>
      <c r="B200" s="17" t="s">
        <v>199</v>
      </c>
      <c r="C200" s="12">
        <v>367</v>
      </c>
      <c r="D200" s="11" t="str">
        <f>_xlfn.IFNA(IF(VLOOKUP(Tabela22[[#This Row],[CÓDIGO]],Aguardando_exclusão!A$4:A$4003,1,FALSE),"sim",""),"")</f>
        <v/>
      </c>
    </row>
    <row r="201" spans="1:4" ht="15" customHeight="1" x14ac:dyDescent="0.3">
      <c r="A201" s="15">
        <v>15847</v>
      </c>
      <c r="B201" s="17" t="s">
        <v>200</v>
      </c>
      <c r="C201" s="12">
        <v>367</v>
      </c>
      <c r="D201" s="11" t="str">
        <f>_xlfn.IFNA(IF(VLOOKUP(Tabela22[[#This Row],[CÓDIGO]],Aguardando_exclusão!A$4:A$4003,1,FALSE),"sim",""),"")</f>
        <v/>
      </c>
    </row>
    <row r="202" spans="1:4" ht="15" customHeight="1" x14ac:dyDescent="0.3">
      <c r="A202" s="15">
        <v>15900</v>
      </c>
      <c r="B202" s="17" t="s">
        <v>201</v>
      </c>
      <c r="C202" s="12">
        <v>367</v>
      </c>
      <c r="D202" s="11" t="str">
        <f>_xlfn.IFNA(IF(VLOOKUP(Tabela22[[#This Row],[CÓDIGO]],Aguardando_exclusão!A$4:A$4003,1,FALSE),"sim",""),"")</f>
        <v/>
      </c>
    </row>
    <row r="203" spans="1:4" ht="15" customHeight="1" x14ac:dyDescent="0.3">
      <c r="A203" s="15">
        <v>16053</v>
      </c>
      <c r="B203" s="17" t="s">
        <v>202</v>
      </c>
      <c r="C203" s="12">
        <v>367</v>
      </c>
      <c r="D203" s="11" t="str">
        <f>_xlfn.IFNA(IF(VLOOKUP(Tabela22[[#This Row],[CÓDIGO]],Aguardando_exclusão!A$4:A$4003,1,FALSE),"sim",""),"")</f>
        <v/>
      </c>
    </row>
    <row r="204" spans="1:4" x14ac:dyDescent="0.3">
      <c r="A204" s="15">
        <v>16300</v>
      </c>
      <c r="B204" s="17" t="s">
        <v>203</v>
      </c>
      <c r="C204" s="12">
        <v>367</v>
      </c>
      <c r="D204" s="11" t="str">
        <f>_xlfn.IFNA(IF(VLOOKUP(Tabela22[[#This Row],[CÓDIGO]],Aguardando_exclusão!A$4:A$4003,1,FALSE),"sim",""),"")</f>
        <v>sim</v>
      </c>
    </row>
    <row r="205" spans="1:4" ht="15" customHeight="1" x14ac:dyDescent="0.3">
      <c r="A205" s="15">
        <v>16363</v>
      </c>
      <c r="B205" s="17" t="s">
        <v>204</v>
      </c>
      <c r="C205" s="12">
        <v>367</v>
      </c>
      <c r="D205" s="11" t="str">
        <f>_xlfn.IFNA(IF(VLOOKUP(Tabela22[[#This Row],[CÓDIGO]],Aguardando_exclusão!A$4:A$4003,1,FALSE),"sim",""),"")</f>
        <v/>
      </c>
    </row>
    <row r="206" spans="1:4" x14ac:dyDescent="0.3">
      <c r="A206" s="15">
        <v>16365</v>
      </c>
      <c r="B206" s="17" t="s">
        <v>205</v>
      </c>
      <c r="C206" s="12">
        <v>367</v>
      </c>
      <c r="D206" s="11" t="str">
        <f>_xlfn.IFNA(IF(VLOOKUP(Tabela22[[#This Row],[CÓDIGO]],Aguardando_exclusão!A$4:A$4003,1,FALSE),"sim",""),"")</f>
        <v/>
      </c>
    </row>
    <row r="207" spans="1:4" x14ac:dyDescent="0.3">
      <c r="A207" s="15">
        <v>16427</v>
      </c>
      <c r="B207" s="17" t="s">
        <v>206</v>
      </c>
      <c r="C207" s="12">
        <v>367</v>
      </c>
      <c r="D207" s="11" t="str">
        <f>_xlfn.IFNA(IF(VLOOKUP(Tabela22[[#This Row],[CÓDIGO]],Aguardando_exclusão!A$4:A$4003,1,FALSE),"sim",""),"")</f>
        <v>sim</v>
      </c>
    </row>
    <row r="208" spans="1:4" x14ac:dyDescent="0.3">
      <c r="A208" s="15">
        <v>16512</v>
      </c>
      <c r="B208" s="17" t="s">
        <v>207</v>
      </c>
      <c r="C208" s="12">
        <v>367</v>
      </c>
      <c r="D208" s="11" t="str">
        <f>_xlfn.IFNA(IF(VLOOKUP(Tabela22[[#This Row],[CÓDIGO]],Aguardando_exclusão!A$4:A$4003,1,FALSE),"sim",""),"")</f>
        <v/>
      </c>
    </row>
    <row r="209" spans="1:4" ht="15" customHeight="1" x14ac:dyDescent="0.3">
      <c r="A209" s="15">
        <v>16528</v>
      </c>
      <c r="B209" s="17" t="s">
        <v>208</v>
      </c>
      <c r="C209" s="12">
        <v>367</v>
      </c>
      <c r="D209" s="11" t="str">
        <f>_xlfn.IFNA(IF(VLOOKUP(Tabela22[[#This Row],[CÓDIGO]],Aguardando_exclusão!A$4:A$4003,1,FALSE),"sim",""),"")</f>
        <v/>
      </c>
    </row>
    <row r="210" spans="1:4" x14ac:dyDescent="0.3">
      <c r="A210" s="15">
        <v>16532</v>
      </c>
      <c r="B210" s="17" t="s">
        <v>209</v>
      </c>
      <c r="C210" s="12">
        <v>367</v>
      </c>
      <c r="D210" s="11" t="str">
        <f>_xlfn.IFNA(IF(VLOOKUP(Tabela22[[#This Row],[CÓDIGO]],Aguardando_exclusão!A$4:A$4003,1,FALSE),"sim",""),"")</f>
        <v>sim</v>
      </c>
    </row>
    <row r="211" spans="1:4" ht="15" customHeight="1" x14ac:dyDescent="0.3">
      <c r="A211" s="15">
        <v>16571</v>
      </c>
      <c r="B211" s="17" t="s">
        <v>210</v>
      </c>
      <c r="C211" s="12">
        <v>367</v>
      </c>
      <c r="D211" s="11" t="str">
        <f>_xlfn.IFNA(IF(VLOOKUP(Tabela22[[#This Row],[CÓDIGO]],Aguardando_exclusão!A$4:A$4003,1,FALSE),"sim",""),"")</f>
        <v/>
      </c>
    </row>
    <row r="212" spans="1:4" ht="15" customHeight="1" x14ac:dyDescent="0.3">
      <c r="A212" s="15">
        <v>16688</v>
      </c>
      <c r="B212" s="17" t="s">
        <v>211</v>
      </c>
      <c r="C212" s="12">
        <v>367</v>
      </c>
      <c r="D212" s="11" t="str">
        <f>_xlfn.IFNA(IF(VLOOKUP(Tabela22[[#This Row],[CÓDIGO]],Aguardando_exclusão!A$4:A$4003,1,FALSE),"sim",""),"")</f>
        <v>sim</v>
      </c>
    </row>
    <row r="213" spans="1:4" ht="15" customHeight="1" x14ac:dyDescent="0.3">
      <c r="A213" s="15">
        <v>16691</v>
      </c>
      <c r="B213" s="17" t="s">
        <v>212</v>
      </c>
      <c r="C213" s="12">
        <v>367</v>
      </c>
      <c r="D213" s="11" t="str">
        <f>_xlfn.IFNA(IF(VLOOKUP(Tabela22[[#This Row],[CÓDIGO]],Aguardando_exclusão!A$4:A$4003,1,FALSE),"sim",""),"")</f>
        <v>sim</v>
      </c>
    </row>
    <row r="214" spans="1:4" ht="15" customHeight="1" x14ac:dyDescent="0.3">
      <c r="A214" s="15">
        <v>16692</v>
      </c>
      <c r="B214" s="17" t="s">
        <v>213</v>
      </c>
      <c r="C214" s="12">
        <v>367</v>
      </c>
      <c r="D214" s="11" t="str">
        <f>_xlfn.IFNA(IF(VLOOKUP(Tabela22[[#This Row],[CÓDIGO]],Aguardando_exclusão!A$4:A$4003,1,FALSE),"sim",""),"")</f>
        <v>sim</v>
      </c>
    </row>
    <row r="215" spans="1:4" x14ac:dyDescent="0.3">
      <c r="A215" s="15">
        <v>16729</v>
      </c>
      <c r="B215" s="17" t="s">
        <v>214</v>
      </c>
      <c r="C215" s="12">
        <v>367</v>
      </c>
      <c r="D215" s="11" t="str">
        <f>_xlfn.IFNA(IF(VLOOKUP(Tabela22[[#This Row],[CÓDIGO]],Aguardando_exclusão!A$4:A$4003,1,FALSE),"sim",""),"")</f>
        <v>sim</v>
      </c>
    </row>
    <row r="216" spans="1:4" x14ac:dyDescent="0.3">
      <c r="A216" s="15">
        <v>16736</v>
      </c>
      <c r="B216" s="17" t="s">
        <v>215</v>
      </c>
      <c r="C216" s="12">
        <v>367</v>
      </c>
      <c r="D216" s="11" t="str">
        <f>_xlfn.IFNA(IF(VLOOKUP(Tabela22[[#This Row],[CÓDIGO]],Aguardando_exclusão!A$4:A$4003,1,FALSE),"sim",""),"")</f>
        <v>sim</v>
      </c>
    </row>
    <row r="217" spans="1:4" ht="15" customHeight="1" x14ac:dyDescent="0.3">
      <c r="A217" s="15">
        <v>16737</v>
      </c>
      <c r="B217" s="17" t="s">
        <v>216</v>
      </c>
      <c r="C217" s="12">
        <v>367</v>
      </c>
      <c r="D217" s="11" t="str">
        <f>_xlfn.IFNA(IF(VLOOKUP(Tabela22[[#This Row],[CÓDIGO]],Aguardando_exclusão!A$4:A$4003,1,FALSE),"sim",""),"")</f>
        <v>sim</v>
      </c>
    </row>
    <row r="218" spans="1:4" x14ac:dyDescent="0.3">
      <c r="A218" s="15">
        <v>16757</v>
      </c>
      <c r="B218" s="17" t="s">
        <v>217</v>
      </c>
      <c r="C218" s="12">
        <v>367</v>
      </c>
      <c r="D218" s="11" t="str">
        <f>_xlfn.IFNA(IF(VLOOKUP(Tabela22[[#This Row],[CÓDIGO]],Aguardando_exclusão!A$4:A$4003,1,FALSE),"sim",""),"")</f>
        <v>sim</v>
      </c>
    </row>
    <row r="219" spans="1:4" x14ac:dyDescent="0.3">
      <c r="A219" s="15">
        <v>16763</v>
      </c>
      <c r="B219" s="17" t="s">
        <v>218</v>
      </c>
      <c r="C219" s="12">
        <v>367</v>
      </c>
      <c r="D219" s="11" t="str">
        <f>_xlfn.IFNA(IF(VLOOKUP(Tabela22[[#This Row],[CÓDIGO]],Aguardando_exclusão!A$4:A$4003,1,FALSE),"sim",""),"")</f>
        <v>sim</v>
      </c>
    </row>
    <row r="220" spans="1:4" ht="15" customHeight="1" x14ac:dyDescent="0.3">
      <c r="A220" s="15">
        <v>16808</v>
      </c>
      <c r="B220" s="17" t="s">
        <v>219</v>
      </c>
      <c r="C220" s="12">
        <v>367</v>
      </c>
      <c r="D220" s="11" t="str">
        <f>_xlfn.IFNA(IF(VLOOKUP(Tabela22[[#This Row],[CÓDIGO]],Aguardando_exclusão!A$4:A$4003,1,FALSE),"sim",""),"")</f>
        <v>sim</v>
      </c>
    </row>
    <row r="221" spans="1:4" ht="15" customHeight="1" x14ac:dyDescent="0.3">
      <c r="A221" s="15">
        <v>16813</v>
      </c>
      <c r="B221" s="17" t="s">
        <v>220</v>
      </c>
      <c r="C221" s="12">
        <v>367</v>
      </c>
      <c r="D221" s="11" t="str">
        <f>_xlfn.IFNA(IF(VLOOKUP(Tabela22[[#This Row],[CÓDIGO]],Aguardando_exclusão!A$4:A$4003,1,FALSE),"sim",""),"")</f>
        <v>sim</v>
      </c>
    </row>
    <row r="222" spans="1:4" x14ac:dyDescent="0.3">
      <c r="A222" s="15">
        <v>16827</v>
      </c>
      <c r="B222" s="17" t="s">
        <v>221</v>
      </c>
      <c r="C222" s="12">
        <v>367</v>
      </c>
      <c r="D222" s="11" t="str">
        <f>_xlfn.IFNA(IF(VLOOKUP(Tabela22[[#This Row],[CÓDIGO]],Aguardando_exclusão!A$4:A$4003,1,FALSE),"sim",""),"")</f>
        <v>sim</v>
      </c>
    </row>
    <row r="223" spans="1:4" x14ac:dyDescent="0.3">
      <c r="A223" s="15">
        <v>16835</v>
      </c>
      <c r="B223" s="17" t="s">
        <v>222</v>
      </c>
      <c r="C223" s="12">
        <v>367</v>
      </c>
      <c r="D223" s="11" t="str">
        <f>_xlfn.IFNA(IF(VLOOKUP(Tabela22[[#This Row],[CÓDIGO]],Aguardando_exclusão!A$4:A$4003,1,FALSE),"sim",""),"")</f>
        <v>sim</v>
      </c>
    </row>
    <row r="224" spans="1:4" ht="15" customHeight="1" x14ac:dyDescent="0.3">
      <c r="A224" s="15">
        <v>16846</v>
      </c>
      <c r="B224" s="17" t="s">
        <v>223</v>
      </c>
      <c r="C224" s="12">
        <v>367</v>
      </c>
      <c r="D224" s="11" t="str">
        <f>_xlfn.IFNA(IF(VLOOKUP(Tabela22[[#This Row],[CÓDIGO]],Aguardando_exclusão!A$4:A$4003,1,FALSE),"sim",""),"")</f>
        <v>sim</v>
      </c>
    </row>
    <row r="225" spans="1:4" x14ac:dyDescent="0.3">
      <c r="A225" s="15">
        <v>16956</v>
      </c>
      <c r="B225" s="17" t="s">
        <v>224</v>
      </c>
      <c r="C225" s="12">
        <v>367</v>
      </c>
      <c r="D225" s="11" t="str">
        <f>_xlfn.IFNA(IF(VLOOKUP(Tabela22[[#This Row],[CÓDIGO]],Aguardando_exclusão!A$4:A$4003,1,FALSE),"sim",""),"")</f>
        <v/>
      </c>
    </row>
    <row r="226" spans="1:4" x14ac:dyDescent="0.3">
      <c r="A226" s="15">
        <v>16978</v>
      </c>
      <c r="B226" s="17" t="s">
        <v>225</v>
      </c>
      <c r="C226" s="12">
        <v>367</v>
      </c>
      <c r="D226" s="11" t="str">
        <f>_xlfn.IFNA(IF(VLOOKUP(Tabela22[[#This Row],[CÓDIGO]],Aguardando_exclusão!A$4:A$4003,1,FALSE),"sim",""),"")</f>
        <v/>
      </c>
    </row>
    <row r="227" spans="1:4" x14ac:dyDescent="0.3">
      <c r="A227" s="15">
        <v>17026</v>
      </c>
      <c r="B227" s="17" t="s">
        <v>226</v>
      </c>
      <c r="C227" s="12">
        <v>367</v>
      </c>
      <c r="D227" s="11" t="str">
        <f>_xlfn.IFNA(IF(VLOOKUP(Tabela22[[#This Row],[CÓDIGO]],Aguardando_exclusão!A$4:A$4003,1,FALSE),"sim",""),"")</f>
        <v>sim</v>
      </c>
    </row>
    <row r="228" spans="1:4" x14ac:dyDescent="0.3">
      <c r="A228" s="15">
        <v>17033</v>
      </c>
      <c r="B228" s="17" t="s">
        <v>227</v>
      </c>
      <c r="C228" s="12">
        <v>367</v>
      </c>
      <c r="D228" s="11" t="str">
        <f>_xlfn.IFNA(IF(VLOOKUP(Tabela22[[#This Row],[CÓDIGO]],Aguardando_exclusão!A$4:A$4003,1,FALSE),"sim",""),"")</f>
        <v>sim</v>
      </c>
    </row>
    <row r="229" spans="1:4" x14ac:dyDescent="0.3">
      <c r="A229" s="15">
        <v>17064</v>
      </c>
      <c r="B229" s="17" t="s">
        <v>228</v>
      </c>
      <c r="C229" s="12">
        <v>367</v>
      </c>
      <c r="D229" s="11" t="str">
        <f>_xlfn.IFNA(IF(VLOOKUP(Tabela22[[#This Row],[CÓDIGO]],Aguardando_exclusão!A$4:A$4003,1,FALSE),"sim",""),"")</f>
        <v>sim</v>
      </c>
    </row>
    <row r="230" spans="1:4" ht="15" customHeight="1" x14ac:dyDescent="0.3">
      <c r="A230" s="15">
        <v>17105</v>
      </c>
      <c r="B230" s="17" t="s">
        <v>229</v>
      </c>
      <c r="C230" s="12">
        <v>367</v>
      </c>
      <c r="D230" s="11" t="str">
        <f>_xlfn.IFNA(IF(VLOOKUP(Tabela22[[#This Row],[CÓDIGO]],Aguardando_exclusão!A$4:A$4003,1,FALSE),"sim",""),"")</f>
        <v>sim</v>
      </c>
    </row>
    <row r="231" spans="1:4" ht="15" customHeight="1" x14ac:dyDescent="0.3">
      <c r="A231" s="15">
        <v>17115</v>
      </c>
      <c r="B231" s="17" t="s">
        <v>230</v>
      </c>
      <c r="C231" s="12">
        <v>367</v>
      </c>
      <c r="D231" s="11" t="str">
        <f>_xlfn.IFNA(IF(VLOOKUP(Tabela22[[#This Row],[CÓDIGO]],Aguardando_exclusão!A$4:A$4003,1,FALSE),"sim",""),"")</f>
        <v/>
      </c>
    </row>
    <row r="232" spans="1:4" x14ac:dyDescent="0.3">
      <c r="A232" s="15">
        <v>17132</v>
      </c>
      <c r="B232" s="17" t="s">
        <v>231</v>
      </c>
      <c r="C232" s="12">
        <v>367</v>
      </c>
      <c r="D232" s="11" t="str">
        <f>_xlfn.IFNA(IF(VLOOKUP(Tabela22[[#This Row],[CÓDIGO]],Aguardando_exclusão!A$4:A$4003,1,FALSE),"sim",""),"")</f>
        <v/>
      </c>
    </row>
    <row r="233" spans="1:4" x14ac:dyDescent="0.3">
      <c r="A233" s="15">
        <v>17135</v>
      </c>
      <c r="B233" s="17" t="s">
        <v>232</v>
      </c>
      <c r="C233" s="12">
        <v>367</v>
      </c>
      <c r="D233" s="11" t="str">
        <f>_xlfn.IFNA(IF(VLOOKUP(Tabela22[[#This Row],[CÓDIGO]],Aguardando_exclusão!A$4:A$4003,1,FALSE),"sim",""),"")</f>
        <v/>
      </c>
    </row>
    <row r="234" spans="1:4" x14ac:dyDescent="0.3">
      <c r="A234" s="15">
        <v>17136</v>
      </c>
      <c r="B234" s="17" t="s">
        <v>233</v>
      </c>
      <c r="C234" s="12">
        <v>367</v>
      </c>
      <c r="D234" s="11" t="str">
        <f>_xlfn.IFNA(IF(VLOOKUP(Tabela22[[#This Row],[CÓDIGO]],Aguardando_exclusão!A$4:A$4003,1,FALSE),"sim",""),"")</f>
        <v/>
      </c>
    </row>
    <row r="235" spans="1:4" x14ac:dyDescent="0.3">
      <c r="A235" s="15">
        <v>17299</v>
      </c>
      <c r="B235" s="17" t="s">
        <v>234</v>
      </c>
      <c r="C235" s="12">
        <v>367</v>
      </c>
      <c r="D235" s="11" t="str">
        <f>_xlfn.IFNA(IF(VLOOKUP(Tabela22[[#This Row],[CÓDIGO]],Aguardando_exclusão!A$4:A$4003,1,FALSE),"sim",""),"")</f>
        <v/>
      </c>
    </row>
    <row r="236" spans="1:4" x14ac:dyDescent="0.3">
      <c r="A236" s="15">
        <v>17362</v>
      </c>
      <c r="B236" s="17" t="s">
        <v>235</v>
      </c>
      <c r="C236" s="12">
        <v>367</v>
      </c>
      <c r="D236" s="11" t="str">
        <f>_xlfn.IFNA(IF(VLOOKUP(Tabela22[[#This Row],[CÓDIGO]],Aguardando_exclusão!A$4:A$4003,1,FALSE),"sim",""),"")</f>
        <v/>
      </c>
    </row>
    <row r="237" spans="1:4" x14ac:dyDescent="0.3">
      <c r="A237" s="15">
        <v>17370</v>
      </c>
      <c r="B237" s="17" t="s">
        <v>236</v>
      </c>
      <c r="C237" s="12">
        <v>367</v>
      </c>
      <c r="D237" s="11" t="str">
        <f>_xlfn.IFNA(IF(VLOOKUP(Tabela22[[#This Row],[CÓDIGO]],Aguardando_exclusão!A$4:A$4003,1,FALSE),"sim",""),"")</f>
        <v/>
      </c>
    </row>
    <row r="238" spans="1:4" x14ac:dyDescent="0.3">
      <c r="A238" s="15">
        <v>17371</v>
      </c>
      <c r="B238" s="17" t="s">
        <v>237</v>
      </c>
      <c r="C238" s="12">
        <v>367</v>
      </c>
      <c r="D238" s="11" t="str">
        <f>_xlfn.IFNA(IF(VLOOKUP(Tabela22[[#This Row],[CÓDIGO]],Aguardando_exclusão!A$4:A$4003,1,FALSE),"sim",""),"")</f>
        <v/>
      </c>
    </row>
    <row r="239" spans="1:4" x14ac:dyDescent="0.3">
      <c r="A239" s="15">
        <v>17422</v>
      </c>
      <c r="B239" s="17" t="s">
        <v>238</v>
      </c>
      <c r="C239" s="12">
        <v>367</v>
      </c>
      <c r="D239" s="11" t="str">
        <f>_xlfn.IFNA(IF(VLOOKUP(Tabela22[[#This Row],[CÓDIGO]],Aguardando_exclusão!A$4:A$4003,1,FALSE),"sim",""),"")</f>
        <v/>
      </c>
    </row>
    <row r="240" spans="1:4" x14ac:dyDescent="0.3">
      <c r="A240" s="15">
        <v>17426</v>
      </c>
      <c r="B240" s="17" t="s">
        <v>239</v>
      </c>
      <c r="C240" s="12">
        <v>367</v>
      </c>
      <c r="D240" s="11" t="str">
        <f>_xlfn.IFNA(IF(VLOOKUP(Tabela22[[#This Row],[CÓDIGO]],Aguardando_exclusão!A$4:A$4003,1,FALSE),"sim",""),"")</f>
        <v/>
      </c>
    </row>
    <row r="241" spans="1:4" x14ac:dyDescent="0.3">
      <c r="A241" s="15">
        <v>17454</v>
      </c>
      <c r="B241" s="17" t="s">
        <v>240</v>
      </c>
      <c r="C241" s="12">
        <v>367</v>
      </c>
      <c r="D241" s="11" t="str">
        <f>_xlfn.IFNA(IF(VLOOKUP(Tabela22[[#This Row],[CÓDIGO]],Aguardando_exclusão!A$4:A$4003,1,FALSE),"sim",""),"")</f>
        <v/>
      </c>
    </row>
    <row r="242" spans="1:4" ht="15" customHeight="1" x14ac:dyDescent="0.3">
      <c r="A242" s="15">
        <v>17562</v>
      </c>
      <c r="B242" s="17" t="s">
        <v>241</v>
      </c>
      <c r="C242" s="12">
        <v>367</v>
      </c>
      <c r="D242" s="11" t="str">
        <f>_xlfn.IFNA(IF(VLOOKUP(Tabela22[[#This Row],[CÓDIGO]],Aguardando_exclusão!A$4:A$4003,1,FALSE),"sim",""),"")</f>
        <v/>
      </c>
    </row>
    <row r="243" spans="1:4" x14ac:dyDescent="0.3">
      <c r="A243" s="15">
        <v>17659</v>
      </c>
      <c r="B243" s="17" t="s">
        <v>242</v>
      </c>
      <c r="C243" s="12">
        <v>367</v>
      </c>
      <c r="D243" s="11" t="str">
        <f>_xlfn.IFNA(IF(VLOOKUP(Tabela22[[#This Row],[CÓDIGO]],Aguardando_exclusão!A$4:A$4003,1,FALSE),"sim",""),"")</f>
        <v/>
      </c>
    </row>
    <row r="244" spans="1:4" x14ac:dyDescent="0.3">
      <c r="A244" s="15">
        <v>17662</v>
      </c>
      <c r="B244" s="17" t="s">
        <v>243</v>
      </c>
      <c r="C244" s="12">
        <v>367</v>
      </c>
      <c r="D244" s="11" t="str">
        <f>_xlfn.IFNA(IF(VLOOKUP(Tabela22[[#This Row],[CÓDIGO]],Aguardando_exclusão!A$4:A$4003,1,FALSE),"sim",""),"")</f>
        <v/>
      </c>
    </row>
    <row r="245" spans="1:4" x14ac:dyDescent="0.3">
      <c r="A245" s="15">
        <v>17663</v>
      </c>
      <c r="B245" s="17" t="s">
        <v>244</v>
      </c>
      <c r="C245" s="12">
        <v>367</v>
      </c>
      <c r="D245" s="11" t="str">
        <f>_xlfn.IFNA(IF(VLOOKUP(Tabela22[[#This Row],[CÓDIGO]],Aguardando_exclusão!A$4:A$4003,1,FALSE),"sim",""),"")</f>
        <v/>
      </c>
    </row>
    <row r="246" spans="1:4" x14ac:dyDescent="0.3">
      <c r="A246" s="15">
        <v>17670</v>
      </c>
      <c r="B246" s="17" t="s">
        <v>245</v>
      </c>
      <c r="C246" s="12">
        <v>367</v>
      </c>
      <c r="D246" s="11" t="str">
        <f>_xlfn.IFNA(IF(VLOOKUP(Tabela22[[#This Row],[CÓDIGO]],Aguardando_exclusão!A$4:A$4003,1,FALSE),"sim",""),"")</f>
        <v>sim</v>
      </c>
    </row>
    <row r="247" spans="1:4" x14ac:dyDescent="0.3">
      <c r="A247" s="15">
        <v>17696</v>
      </c>
      <c r="B247" s="17" t="s">
        <v>246</v>
      </c>
      <c r="C247" s="12">
        <v>367</v>
      </c>
      <c r="D247" s="11" t="str">
        <f>_xlfn.IFNA(IF(VLOOKUP(Tabela22[[#This Row],[CÓDIGO]],Aguardando_exclusão!A$4:A$4003,1,FALSE),"sim",""),"")</f>
        <v/>
      </c>
    </row>
    <row r="248" spans="1:4" ht="15" customHeight="1" x14ac:dyDescent="0.3">
      <c r="A248" s="15">
        <v>17698</v>
      </c>
      <c r="B248" s="17" t="s">
        <v>247</v>
      </c>
      <c r="C248" s="12">
        <v>367</v>
      </c>
      <c r="D248" s="11" t="str">
        <f>_xlfn.IFNA(IF(VLOOKUP(Tabela22[[#This Row],[CÓDIGO]],Aguardando_exclusão!A$4:A$4003,1,FALSE),"sim",""),"")</f>
        <v/>
      </c>
    </row>
    <row r="249" spans="1:4" ht="15" customHeight="1" x14ac:dyDescent="0.3">
      <c r="A249" s="15">
        <v>17704</v>
      </c>
      <c r="B249" s="17" t="s">
        <v>248</v>
      </c>
      <c r="C249" s="12">
        <v>367</v>
      </c>
      <c r="D249" s="11" t="str">
        <f>_xlfn.IFNA(IF(VLOOKUP(Tabela22[[#This Row],[CÓDIGO]],Aguardando_exclusão!A$4:A$4003,1,FALSE),"sim",""),"")</f>
        <v/>
      </c>
    </row>
    <row r="250" spans="1:4" x14ac:dyDescent="0.3">
      <c r="A250" s="15">
        <v>17946</v>
      </c>
      <c r="B250" s="17" t="s">
        <v>249</v>
      </c>
      <c r="C250" s="12">
        <v>367</v>
      </c>
      <c r="D250" s="11" t="str">
        <f>_xlfn.IFNA(IF(VLOOKUP(Tabela22[[#This Row],[CÓDIGO]],Aguardando_exclusão!A$4:A$4003,1,FALSE),"sim",""),"")</f>
        <v/>
      </c>
    </row>
    <row r="251" spans="1:4" x14ac:dyDescent="0.3">
      <c r="A251" s="15">
        <v>18342</v>
      </c>
      <c r="B251" s="17" t="s">
        <v>250</v>
      </c>
      <c r="C251" s="12">
        <v>367</v>
      </c>
      <c r="D251" s="11" t="str">
        <f>_xlfn.IFNA(IF(VLOOKUP(Tabela22[[#This Row],[CÓDIGO]],Aguardando_exclusão!A$4:A$4003,1,FALSE),"sim",""),"")</f>
        <v>sim</v>
      </c>
    </row>
    <row r="252" spans="1:4" x14ac:dyDescent="0.3">
      <c r="A252" s="15">
        <v>18346</v>
      </c>
      <c r="B252" s="17" t="s">
        <v>251</v>
      </c>
      <c r="C252" s="12">
        <v>367</v>
      </c>
      <c r="D252" s="11" t="str">
        <f>_xlfn.IFNA(IF(VLOOKUP(Tabela22[[#This Row],[CÓDIGO]],Aguardando_exclusão!A$4:A$4003,1,FALSE),"sim",""),"")</f>
        <v/>
      </c>
    </row>
    <row r="253" spans="1:4" x14ac:dyDescent="0.3">
      <c r="A253" s="15">
        <v>18351</v>
      </c>
      <c r="B253" s="17" t="s">
        <v>252</v>
      </c>
      <c r="C253" s="12">
        <v>367</v>
      </c>
      <c r="D253" s="11" t="str">
        <f>_xlfn.IFNA(IF(VLOOKUP(Tabela22[[#This Row],[CÓDIGO]],Aguardando_exclusão!A$4:A$4003,1,FALSE),"sim",""),"")</f>
        <v>sim</v>
      </c>
    </row>
    <row r="254" spans="1:4" x14ac:dyDescent="0.3">
      <c r="A254" s="15">
        <v>18353</v>
      </c>
      <c r="B254" s="17" t="s">
        <v>253</v>
      </c>
      <c r="C254" s="12">
        <v>367</v>
      </c>
      <c r="D254" s="11" t="str">
        <f>_xlfn.IFNA(IF(VLOOKUP(Tabela22[[#This Row],[CÓDIGO]],Aguardando_exclusão!A$4:A$4003,1,FALSE),"sim",""),"")</f>
        <v/>
      </c>
    </row>
    <row r="255" spans="1:4" ht="15" customHeight="1" x14ac:dyDescent="0.3">
      <c r="A255" s="15">
        <v>18357</v>
      </c>
      <c r="B255" s="17" t="s">
        <v>254</v>
      </c>
      <c r="C255" s="12">
        <v>367</v>
      </c>
      <c r="D255" s="11" t="str">
        <f>_xlfn.IFNA(IF(VLOOKUP(Tabela22[[#This Row],[CÓDIGO]],Aguardando_exclusão!A$4:A$4003,1,FALSE),"sim",""),"")</f>
        <v/>
      </c>
    </row>
    <row r="256" spans="1:4" x14ac:dyDescent="0.3">
      <c r="A256" s="15">
        <v>18358</v>
      </c>
      <c r="B256" s="17" t="s">
        <v>255</v>
      </c>
      <c r="C256" s="12">
        <v>367</v>
      </c>
      <c r="D256" s="11" t="str">
        <f>_xlfn.IFNA(IF(VLOOKUP(Tabela22[[#This Row],[CÓDIGO]],Aguardando_exclusão!A$4:A$4003,1,FALSE),"sim",""),"")</f>
        <v/>
      </c>
    </row>
    <row r="257" spans="1:4" ht="15" customHeight="1" x14ac:dyDescent="0.3">
      <c r="A257" s="15">
        <v>19842</v>
      </c>
      <c r="B257" s="17" t="s">
        <v>256</v>
      </c>
      <c r="C257" s="12">
        <v>367</v>
      </c>
      <c r="D257" s="11" t="str">
        <f>_xlfn.IFNA(IF(VLOOKUP(Tabela22[[#This Row],[CÓDIGO]],Aguardando_exclusão!A$4:A$4003,1,FALSE),"sim",""),"")</f>
        <v/>
      </c>
    </row>
    <row r="258" spans="1:4" x14ac:dyDescent="0.3">
      <c r="A258" s="15">
        <v>19871</v>
      </c>
      <c r="B258" s="17" t="s">
        <v>257</v>
      </c>
      <c r="C258" s="12">
        <v>367</v>
      </c>
      <c r="D258" s="11" t="str">
        <f>_xlfn.IFNA(IF(VLOOKUP(Tabela22[[#This Row],[CÓDIGO]],Aguardando_exclusão!A$4:A$4003,1,FALSE),"sim",""),"")</f>
        <v/>
      </c>
    </row>
    <row r="259" spans="1:4" x14ac:dyDescent="0.3">
      <c r="A259" s="15">
        <v>19872</v>
      </c>
      <c r="B259" s="17" t="s">
        <v>258</v>
      </c>
      <c r="C259" s="12">
        <v>367</v>
      </c>
      <c r="D259" s="11" t="str">
        <f>_xlfn.IFNA(IF(VLOOKUP(Tabela22[[#This Row],[CÓDIGO]],Aguardando_exclusão!A$4:A$4003,1,FALSE),"sim",""),"")</f>
        <v>sim</v>
      </c>
    </row>
    <row r="260" spans="1:4" x14ac:dyDescent="0.3">
      <c r="A260" s="15">
        <v>19881</v>
      </c>
      <c r="B260" s="17" t="s">
        <v>259</v>
      </c>
      <c r="C260" s="12">
        <v>367</v>
      </c>
      <c r="D260" s="11" t="str">
        <f>_xlfn.IFNA(IF(VLOOKUP(Tabela22[[#This Row],[CÓDIGO]],Aguardando_exclusão!A$4:A$4003,1,FALSE),"sim",""),"")</f>
        <v>sim</v>
      </c>
    </row>
    <row r="261" spans="1:4" x14ac:dyDescent="0.3">
      <c r="A261" s="15">
        <v>19882</v>
      </c>
      <c r="B261" s="17" t="s">
        <v>260</v>
      </c>
      <c r="C261" s="12">
        <v>367</v>
      </c>
      <c r="D261" s="11" t="str">
        <f>_xlfn.IFNA(IF(VLOOKUP(Tabela22[[#This Row],[CÓDIGO]],Aguardando_exclusão!A$4:A$4003,1,FALSE),"sim",""),"")</f>
        <v/>
      </c>
    </row>
    <row r="262" spans="1:4" x14ac:dyDescent="0.3">
      <c r="A262" s="15">
        <v>19883</v>
      </c>
      <c r="B262" s="17" t="s">
        <v>261</v>
      </c>
      <c r="C262" s="12">
        <v>367</v>
      </c>
      <c r="D262" s="11" t="str">
        <f>_xlfn.IFNA(IF(VLOOKUP(Tabela22[[#This Row],[CÓDIGO]],Aguardando_exclusão!A$4:A$4003,1,FALSE),"sim",""),"")</f>
        <v/>
      </c>
    </row>
    <row r="263" spans="1:4" x14ac:dyDescent="0.3">
      <c r="A263" s="15">
        <v>19884</v>
      </c>
      <c r="B263" s="17" t="s">
        <v>262</v>
      </c>
      <c r="C263" s="12">
        <v>367</v>
      </c>
      <c r="D263" s="11" t="str">
        <f>_xlfn.IFNA(IF(VLOOKUP(Tabela22[[#This Row],[CÓDIGO]],Aguardando_exclusão!A$4:A$4003,1,FALSE),"sim",""),"")</f>
        <v>sim</v>
      </c>
    </row>
    <row r="264" spans="1:4" x14ac:dyDescent="0.3">
      <c r="A264" s="15">
        <v>19998</v>
      </c>
      <c r="B264" s="17" t="s">
        <v>263</v>
      </c>
      <c r="C264" s="12">
        <v>367</v>
      </c>
      <c r="D264" s="11" t="str">
        <f>_xlfn.IFNA(IF(VLOOKUP(Tabela22[[#This Row],[CÓDIGO]],Aguardando_exclusão!A$4:A$4003,1,FALSE),"sim",""),"")</f>
        <v/>
      </c>
    </row>
    <row r="265" spans="1:4" ht="15" customHeight="1" x14ac:dyDescent="0.3">
      <c r="A265" s="15">
        <v>20001</v>
      </c>
      <c r="B265" s="17" t="s">
        <v>264</v>
      </c>
      <c r="C265" s="12">
        <v>367</v>
      </c>
      <c r="D265" s="11" t="str">
        <f>_xlfn.IFNA(IF(VLOOKUP(Tabela22[[#This Row],[CÓDIGO]],Aguardando_exclusão!A$4:A$4003,1,FALSE),"sim",""),"")</f>
        <v/>
      </c>
    </row>
    <row r="266" spans="1:4" x14ac:dyDescent="0.3">
      <c r="A266" s="15">
        <v>20034</v>
      </c>
      <c r="B266" s="17" t="s">
        <v>265</v>
      </c>
      <c r="C266" s="12">
        <v>367</v>
      </c>
      <c r="D266" s="11" t="str">
        <f>_xlfn.IFNA(IF(VLOOKUP(Tabela22[[#This Row],[CÓDIGO]],Aguardando_exclusão!A$4:A$4003,1,FALSE),"sim",""),"")</f>
        <v/>
      </c>
    </row>
    <row r="267" spans="1:4" x14ac:dyDescent="0.3">
      <c r="A267" s="15">
        <v>20035</v>
      </c>
      <c r="B267" s="17" t="s">
        <v>266</v>
      </c>
      <c r="C267" s="12">
        <v>367</v>
      </c>
      <c r="D267" s="11" t="str">
        <f>_xlfn.IFNA(IF(VLOOKUP(Tabela22[[#This Row],[CÓDIGO]],Aguardando_exclusão!A$4:A$4003,1,FALSE),"sim",""),"")</f>
        <v/>
      </c>
    </row>
    <row r="268" spans="1:4" x14ac:dyDescent="0.3">
      <c r="A268" s="15">
        <v>20037</v>
      </c>
      <c r="B268" s="17" t="s">
        <v>267</v>
      </c>
      <c r="C268" s="12">
        <v>367</v>
      </c>
      <c r="D268" s="11" t="str">
        <f>_xlfn.IFNA(IF(VLOOKUP(Tabela22[[#This Row],[CÓDIGO]],Aguardando_exclusão!A$4:A$4003,1,FALSE),"sim",""),"")</f>
        <v/>
      </c>
    </row>
    <row r="269" spans="1:4" x14ac:dyDescent="0.3">
      <c r="A269" s="15">
        <v>20104</v>
      </c>
      <c r="B269" s="17" t="s">
        <v>268</v>
      </c>
      <c r="C269" s="12">
        <v>367</v>
      </c>
      <c r="D269" s="11" t="str">
        <f>_xlfn.IFNA(IF(VLOOKUP(Tabela22[[#This Row],[CÓDIGO]],Aguardando_exclusão!A$4:A$4003,1,FALSE),"sim",""),"")</f>
        <v/>
      </c>
    </row>
    <row r="270" spans="1:4" x14ac:dyDescent="0.3">
      <c r="A270" s="15">
        <v>20106</v>
      </c>
      <c r="B270" s="17" t="s">
        <v>269</v>
      </c>
      <c r="C270" s="12">
        <v>367</v>
      </c>
      <c r="D270" s="11" t="str">
        <f>_xlfn.IFNA(IF(VLOOKUP(Tabela22[[#This Row],[CÓDIGO]],Aguardando_exclusão!A$4:A$4003,1,FALSE),"sim",""),"")</f>
        <v/>
      </c>
    </row>
    <row r="271" spans="1:4" x14ac:dyDescent="0.3">
      <c r="A271" s="15">
        <v>20135</v>
      </c>
      <c r="B271" s="17" t="s">
        <v>270</v>
      </c>
      <c r="C271" s="12">
        <v>367</v>
      </c>
      <c r="D271" s="11" t="str">
        <f>_xlfn.IFNA(IF(VLOOKUP(Tabela22[[#This Row],[CÓDIGO]],Aguardando_exclusão!A$4:A$4003,1,FALSE),"sim",""),"")</f>
        <v/>
      </c>
    </row>
    <row r="272" spans="1:4" ht="15" customHeight="1" x14ac:dyDescent="0.3">
      <c r="A272" s="15">
        <v>20144</v>
      </c>
      <c r="B272" s="17" t="s">
        <v>271</v>
      </c>
      <c r="C272" s="12">
        <v>367</v>
      </c>
      <c r="D272" s="11" t="str">
        <f>_xlfn.IFNA(IF(VLOOKUP(Tabela22[[#This Row],[CÓDIGO]],Aguardando_exclusão!A$4:A$4003,1,FALSE),"sim",""),"")</f>
        <v/>
      </c>
    </row>
    <row r="273" spans="1:4" ht="15" customHeight="1" x14ac:dyDescent="0.3">
      <c r="A273" s="15">
        <v>20167</v>
      </c>
      <c r="B273" s="17" t="s">
        <v>272</v>
      </c>
      <c r="C273" s="12">
        <v>367</v>
      </c>
      <c r="D273" s="11" t="str">
        <f>_xlfn.IFNA(IF(VLOOKUP(Tabela22[[#This Row],[CÓDIGO]],Aguardando_exclusão!A$4:A$4003,1,FALSE),"sim",""),"")</f>
        <v/>
      </c>
    </row>
    <row r="274" spans="1:4" x14ac:dyDescent="0.3">
      <c r="A274" s="15">
        <v>20169</v>
      </c>
      <c r="B274" s="17" t="s">
        <v>273</v>
      </c>
      <c r="C274" s="12">
        <v>367</v>
      </c>
      <c r="D274" s="11" t="str">
        <f>_xlfn.IFNA(IF(VLOOKUP(Tabela22[[#This Row],[CÓDIGO]],Aguardando_exclusão!A$4:A$4003,1,FALSE),"sim",""),"")</f>
        <v>sim</v>
      </c>
    </row>
    <row r="275" spans="1:4" x14ac:dyDescent="0.3">
      <c r="A275" s="15">
        <v>20537</v>
      </c>
      <c r="B275" s="17" t="s">
        <v>274</v>
      </c>
      <c r="C275" s="12">
        <v>367</v>
      </c>
      <c r="D275" s="11" t="str">
        <f>_xlfn.IFNA(IF(VLOOKUP(Tabela22[[#This Row],[CÓDIGO]],Aguardando_exclusão!A$4:A$4003,1,FALSE),"sim",""),"")</f>
        <v/>
      </c>
    </row>
    <row r="276" spans="1:4" x14ac:dyDescent="0.3">
      <c r="A276" s="15">
        <v>20539</v>
      </c>
      <c r="B276" s="17" t="s">
        <v>275</v>
      </c>
      <c r="C276" s="12">
        <v>367</v>
      </c>
      <c r="D276" s="11" t="str">
        <f>_xlfn.IFNA(IF(VLOOKUP(Tabela22[[#This Row],[CÓDIGO]],Aguardando_exclusão!A$4:A$4003,1,FALSE),"sim",""),"")</f>
        <v>sim</v>
      </c>
    </row>
    <row r="277" spans="1:4" x14ac:dyDescent="0.3">
      <c r="A277" s="15">
        <v>20540</v>
      </c>
      <c r="B277" s="17" t="s">
        <v>276</v>
      </c>
      <c r="C277" s="12">
        <v>367</v>
      </c>
      <c r="D277" s="11" t="str">
        <f>_xlfn.IFNA(IF(VLOOKUP(Tabela22[[#This Row],[CÓDIGO]],Aguardando_exclusão!A$4:A$4003,1,FALSE),"sim",""),"")</f>
        <v>sim</v>
      </c>
    </row>
    <row r="278" spans="1:4" x14ac:dyDescent="0.3">
      <c r="A278" s="15">
        <v>20554</v>
      </c>
      <c r="B278" s="17" t="s">
        <v>277</v>
      </c>
      <c r="C278" s="12">
        <v>367</v>
      </c>
      <c r="D278" s="11" t="str">
        <f>_xlfn.IFNA(IF(VLOOKUP(Tabela22[[#This Row],[CÓDIGO]],Aguardando_exclusão!A$4:A$4003,1,FALSE),"sim",""),"")</f>
        <v/>
      </c>
    </row>
    <row r="279" spans="1:4" x14ac:dyDescent="0.3">
      <c r="A279" s="15">
        <v>20558</v>
      </c>
      <c r="B279" s="17" t="s">
        <v>278</v>
      </c>
      <c r="C279" s="12">
        <v>367</v>
      </c>
      <c r="D279" s="11" t="str">
        <f>_xlfn.IFNA(IF(VLOOKUP(Tabela22[[#This Row],[CÓDIGO]],Aguardando_exclusão!A$4:A$4003,1,FALSE),"sim",""),"")</f>
        <v/>
      </c>
    </row>
    <row r="280" spans="1:4" x14ac:dyDescent="0.3">
      <c r="A280" s="15">
        <v>20576</v>
      </c>
      <c r="B280" s="17" t="s">
        <v>279</v>
      </c>
      <c r="C280" s="12">
        <v>367</v>
      </c>
      <c r="D280" s="11" t="str">
        <f>_xlfn.IFNA(IF(VLOOKUP(Tabela22[[#This Row],[CÓDIGO]],Aguardando_exclusão!A$4:A$4003,1,FALSE),"sim",""),"")</f>
        <v/>
      </c>
    </row>
    <row r="281" spans="1:4" x14ac:dyDescent="0.3">
      <c r="A281" s="15">
        <v>20583</v>
      </c>
      <c r="B281" s="17" t="s">
        <v>280</v>
      </c>
      <c r="C281" s="12">
        <v>367</v>
      </c>
      <c r="D281" s="11" t="str">
        <f>_xlfn.IFNA(IF(VLOOKUP(Tabela22[[#This Row],[CÓDIGO]],Aguardando_exclusão!A$4:A$4003,1,FALSE),"sim",""),"")</f>
        <v/>
      </c>
    </row>
    <row r="282" spans="1:4" x14ac:dyDescent="0.3">
      <c r="A282" s="15">
        <v>20584</v>
      </c>
      <c r="B282" s="17" t="s">
        <v>281</v>
      </c>
      <c r="C282" s="12">
        <v>367</v>
      </c>
      <c r="D282" s="11" t="str">
        <f>_xlfn.IFNA(IF(VLOOKUP(Tabela22[[#This Row],[CÓDIGO]],Aguardando_exclusão!A$4:A$4003,1,FALSE),"sim",""),"")</f>
        <v/>
      </c>
    </row>
    <row r="283" spans="1:4" x14ac:dyDescent="0.3">
      <c r="A283" s="15">
        <v>20760</v>
      </c>
      <c r="B283" s="17" t="s">
        <v>282</v>
      </c>
      <c r="C283" s="12">
        <v>367</v>
      </c>
      <c r="D283" s="11" t="str">
        <f>_xlfn.IFNA(IF(VLOOKUP(Tabela22[[#This Row],[CÓDIGO]],Aguardando_exclusão!A$4:A$4003,1,FALSE),"sim",""),"")</f>
        <v/>
      </c>
    </row>
    <row r="284" spans="1:4" x14ac:dyDescent="0.3">
      <c r="A284" s="15">
        <v>20763</v>
      </c>
      <c r="B284" s="17" t="s">
        <v>283</v>
      </c>
      <c r="C284" s="12">
        <v>367</v>
      </c>
      <c r="D284" s="11" t="str">
        <f>_xlfn.IFNA(IF(VLOOKUP(Tabela22[[#This Row],[CÓDIGO]],Aguardando_exclusão!A$4:A$4003,1,FALSE),"sim",""),"")</f>
        <v/>
      </c>
    </row>
    <row r="285" spans="1:4" x14ac:dyDescent="0.3">
      <c r="A285" s="15">
        <v>23581</v>
      </c>
      <c r="B285" s="17" t="s">
        <v>284</v>
      </c>
      <c r="C285" s="12">
        <v>367</v>
      </c>
      <c r="D285" s="11" t="str">
        <f>_xlfn.IFNA(IF(VLOOKUP(Tabela22[[#This Row],[CÓDIGO]],Aguardando_exclusão!A$4:A$4003,1,FALSE),"sim",""),"")</f>
        <v/>
      </c>
    </row>
    <row r="286" spans="1:4" x14ac:dyDescent="0.3">
      <c r="A286" s="15">
        <v>23607</v>
      </c>
      <c r="B286" s="17" t="s">
        <v>285</v>
      </c>
      <c r="C286" s="12">
        <v>367</v>
      </c>
      <c r="D286" s="11" t="str">
        <f>_xlfn.IFNA(IF(VLOOKUP(Tabela22[[#This Row],[CÓDIGO]],Aguardando_exclusão!A$4:A$4003,1,FALSE),"sim",""),"")</f>
        <v/>
      </c>
    </row>
    <row r="287" spans="1:4" x14ac:dyDescent="0.3">
      <c r="A287" s="15">
        <v>23676</v>
      </c>
      <c r="B287" s="17" t="s">
        <v>286</v>
      </c>
      <c r="C287" s="12">
        <v>367</v>
      </c>
      <c r="D287" s="11" t="str">
        <f>_xlfn.IFNA(IF(VLOOKUP(Tabela22[[#This Row],[CÓDIGO]],Aguardando_exclusão!A$4:A$4003,1,FALSE),"sim",""),"")</f>
        <v/>
      </c>
    </row>
    <row r="288" spans="1:4" x14ac:dyDescent="0.3">
      <c r="A288" s="15">
        <v>23687</v>
      </c>
      <c r="B288" s="17" t="s">
        <v>287</v>
      </c>
      <c r="C288" s="12">
        <v>367</v>
      </c>
      <c r="D288" s="11" t="str">
        <f>_xlfn.IFNA(IF(VLOOKUP(Tabela22[[#This Row],[CÓDIGO]],Aguardando_exclusão!A$4:A$4003,1,FALSE),"sim",""),"")</f>
        <v/>
      </c>
    </row>
    <row r="289" spans="1:4" x14ac:dyDescent="0.3">
      <c r="A289" s="15">
        <v>23692</v>
      </c>
      <c r="B289" s="17" t="s">
        <v>288</v>
      </c>
      <c r="C289" s="12">
        <v>367</v>
      </c>
      <c r="D289" s="11" t="str">
        <f>_xlfn.IFNA(IF(VLOOKUP(Tabela22[[#This Row],[CÓDIGO]],Aguardando_exclusão!A$4:A$4003,1,FALSE),"sim",""),"")</f>
        <v/>
      </c>
    </row>
    <row r="290" spans="1:4" x14ac:dyDescent="0.3">
      <c r="A290" s="15">
        <v>23778</v>
      </c>
      <c r="B290" s="17" t="s">
        <v>289</v>
      </c>
      <c r="C290" s="12">
        <v>367</v>
      </c>
      <c r="D290" s="11" t="str">
        <f>_xlfn.IFNA(IF(VLOOKUP(Tabela22[[#This Row],[CÓDIGO]],Aguardando_exclusão!A$4:A$4003,1,FALSE),"sim",""),"")</f>
        <v/>
      </c>
    </row>
    <row r="291" spans="1:4" ht="15" customHeight="1" x14ac:dyDescent="0.3">
      <c r="A291" s="15">
        <v>23846</v>
      </c>
      <c r="B291" s="17" t="s">
        <v>290</v>
      </c>
      <c r="C291" s="12">
        <v>367</v>
      </c>
      <c r="D291" s="11" t="str">
        <f>_xlfn.IFNA(IF(VLOOKUP(Tabela22[[#This Row],[CÓDIGO]],Aguardando_exclusão!A$4:A$4003,1,FALSE),"sim",""),"")</f>
        <v/>
      </c>
    </row>
    <row r="292" spans="1:4" x14ac:dyDescent="0.3">
      <c r="A292" s="15">
        <v>23862</v>
      </c>
      <c r="B292" s="17" t="s">
        <v>291</v>
      </c>
      <c r="C292" s="12">
        <v>367</v>
      </c>
      <c r="D292" s="11" t="str">
        <f>_xlfn.IFNA(IF(VLOOKUP(Tabela22[[#This Row],[CÓDIGO]],Aguardando_exclusão!A$4:A$4003,1,FALSE),"sim",""),"")</f>
        <v/>
      </c>
    </row>
    <row r="293" spans="1:4" x14ac:dyDescent="0.3">
      <c r="A293" s="15">
        <v>23875</v>
      </c>
      <c r="B293" s="17" t="s">
        <v>292</v>
      </c>
      <c r="C293" s="12">
        <v>367</v>
      </c>
      <c r="D293" s="11" t="str">
        <f>_xlfn.IFNA(IF(VLOOKUP(Tabela22[[#This Row],[CÓDIGO]],Aguardando_exclusão!A$4:A$4003,1,FALSE),"sim",""),"")</f>
        <v/>
      </c>
    </row>
    <row r="294" spans="1:4" x14ac:dyDescent="0.3">
      <c r="A294" s="15">
        <v>23986</v>
      </c>
      <c r="B294" s="17" t="s">
        <v>293</v>
      </c>
      <c r="C294" s="12">
        <v>367</v>
      </c>
      <c r="D294" s="11" t="str">
        <f>_xlfn.IFNA(IF(VLOOKUP(Tabela22[[#This Row],[CÓDIGO]],Aguardando_exclusão!A$4:A$4003,1,FALSE),"sim",""),"")</f>
        <v/>
      </c>
    </row>
    <row r="295" spans="1:4" ht="15" customHeight="1" x14ac:dyDescent="0.3">
      <c r="A295" s="15">
        <v>23989</v>
      </c>
      <c r="B295" s="17" t="s">
        <v>294</v>
      </c>
      <c r="C295" s="12">
        <v>367</v>
      </c>
      <c r="D295" s="11" t="str">
        <f>_xlfn.IFNA(IF(VLOOKUP(Tabela22[[#This Row],[CÓDIGO]],Aguardando_exclusão!A$4:A$4003,1,FALSE),"sim",""),"")</f>
        <v/>
      </c>
    </row>
    <row r="296" spans="1:4" ht="15" customHeight="1" x14ac:dyDescent="0.3">
      <c r="A296" s="15">
        <v>23992</v>
      </c>
      <c r="B296" s="17" t="s">
        <v>295</v>
      </c>
      <c r="C296" s="12">
        <v>367</v>
      </c>
      <c r="D296" s="11" t="str">
        <f>_xlfn.IFNA(IF(VLOOKUP(Tabela22[[#This Row],[CÓDIGO]],Aguardando_exclusão!A$4:A$4003,1,FALSE),"sim",""),"")</f>
        <v>sim</v>
      </c>
    </row>
    <row r="297" spans="1:4" ht="15" customHeight="1" x14ac:dyDescent="0.3">
      <c r="A297" s="15">
        <v>23993</v>
      </c>
      <c r="B297" s="17" t="s">
        <v>296</v>
      </c>
      <c r="C297" s="12">
        <v>367</v>
      </c>
      <c r="D297" s="11" t="str">
        <f>_xlfn.IFNA(IF(VLOOKUP(Tabela22[[#This Row],[CÓDIGO]],Aguardando_exclusão!A$4:A$4003,1,FALSE),"sim",""),"")</f>
        <v/>
      </c>
    </row>
    <row r="298" spans="1:4" x14ac:dyDescent="0.3">
      <c r="A298" s="15">
        <v>23996</v>
      </c>
      <c r="B298" s="17" t="s">
        <v>297</v>
      </c>
      <c r="C298" s="12">
        <v>367</v>
      </c>
      <c r="D298" s="11" t="str">
        <f>_xlfn.IFNA(IF(VLOOKUP(Tabela22[[#This Row],[CÓDIGO]],Aguardando_exclusão!A$4:A$4003,1,FALSE),"sim",""),"")</f>
        <v/>
      </c>
    </row>
    <row r="299" spans="1:4" x14ac:dyDescent="0.3">
      <c r="A299" s="15">
        <v>24204</v>
      </c>
      <c r="B299" s="17" t="s">
        <v>298</v>
      </c>
      <c r="C299" s="12">
        <v>367</v>
      </c>
      <c r="D299" s="11" t="str">
        <f>_xlfn.IFNA(IF(VLOOKUP(Tabela22[[#This Row],[CÓDIGO]],Aguardando_exclusão!A$4:A$4003,1,FALSE),"sim",""),"")</f>
        <v/>
      </c>
    </row>
    <row r="300" spans="1:4" x14ac:dyDescent="0.3">
      <c r="A300" s="15">
        <v>24205</v>
      </c>
      <c r="B300" s="17" t="s">
        <v>299</v>
      </c>
      <c r="C300" s="12">
        <v>367</v>
      </c>
      <c r="D300" s="11" t="str">
        <f>_xlfn.IFNA(IF(VLOOKUP(Tabela22[[#This Row],[CÓDIGO]],Aguardando_exclusão!A$4:A$4003,1,FALSE),"sim",""),"")</f>
        <v/>
      </c>
    </row>
    <row r="301" spans="1:4" ht="15" customHeight="1" x14ac:dyDescent="0.3">
      <c r="A301" s="15">
        <v>24219</v>
      </c>
      <c r="B301" s="17" t="s">
        <v>300</v>
      </c>
      <c r="C301" s="12">
        <v>367</v>
      </c>
      <c r="D301" s="11" t="str">
        <f>_xlfn.IFNA(IF(VLOOKUP(Tabela22[[#This Row],[CÓDIGO]],Aguardando_exclusão!A$4:A$4003,1,FALSE),"sim",""),"")</f>
        <v/>
      </c>
    </row>
    <row r="302" spans="1:4" ht="15" customHeight="1" x14ac:dyDescent="0.3">
      <c r="A302" s="15">
        <v>24371</v>
      </c>
      <c r="B302" s="17" t="s">
        <v>301</v>
      </c>
      <c r="C302" s="12">
        <v>367</v>
      </c>
      <c r="D302" s="11" t="str">
        <f>_xlfn.IFNA(IF(VLOOKUP(Tabela22[[#This Row],[CÓDIGO]],Aguardando_exclusão!A$4:A$4003,1,FALSE),"sim",""),"")</f>
        <v/>
      </c>
    </row>
    <row r="303" spans="1:4" ht="15" customHeight="1" x14ac:dyDescent="0.3">
      <c r="A303" s="15">
        <v>24476</v>
      </c>
      <c r="B303" s="17" t="s">
        <v>302</v>
      </c>
      <c r="C303" s="12">
        <v>367</v>
      </c>
      <c r="D303" s="11" t="str">
        <f>_xlfn.IFNA(IF(VLOOKUP(Tabela22[[#This Row],[CÓDIGO]],Aguardando_exclusão!A$4:A$4003,1,FALSE),"sim",""),"")</f>
        <v/>
      </c>
    </row>
    <row r="304" spans="1:4" ht="15" customHeight="1" x14ac:dyDescent="0.3">
      <c r="A304" s="15">
        <v>24477</v>
      </c>
      <c r="B304" s="17" t="s">
        <v>303</v>
      </c>
      <c r="C304" s="12">
        <v>367</v>
      </c>
      <c r="D304" s="11" t="str">
        <f>_xlfn.IFNA(IF(VLOOKUP(Tabela22[[#This Row],[CÓDIGO]],Aguardando_exclusão!A$4:A$4003,1,FALSE),"sim",""),"")</f>
        <v/>
      </c>
    </row>
    <row r="305" spans="1:4" ht="15" customHeight="1" x14ac:dyDescent="0.3">
      <c r="A305" s="15">
        <v>24500</v>
      </c>
      <c r="B305" s="17" t="s">
        <v>304</v>
      </c>
      <c r="C305" s="12">
        <v>367</v>
      </c>
      <c r="D305" s="11" t="str">
        <f>_xlfn.IFNA(IF(VLOOKUP(Tabela22[[#This Row],[CÓDIGO]],Aguardando_exclusão!A$4:A$4003,1,FALSE),"sim",""),"")</f>
        <v/>
      </c>
    </row>
    <row r="306" spans="1:4" x14ac:dyDescent="0.3">
      <c r="A306" s="15">
        <v>24542</v>
      </c>
      <c r="B306" s="17" t="s">
        <v>305</v>
      </c>
      <c r="C306" s="12">
        <v>367</v>
      </c>
      <c r="D306" s="11" t="str">
        <f>_xlfn.IFNA(IF(VLOOKUP(Tabela22[[#This Row],[CÓDIGO]],Aguardando_exclusão!A$4:A$4003,1,FALSE),"sim",""),"")</f>
        <v>sim</v>
      </c>
    </row>
    <row r="307" spans="1:4" ht="15" customHeight="1" x14ac:dyDescent="0.3">
      <c r="A307" s="15">
        <v>24551</v>
      </c>
      <c r="B307" s="17" t="s">
        <v>306</v>
      </c>
      <c r="C307" s="12">
        <v>367</v>
      </c>
      <c r="D307" s="11" t="str">
        <f>_xlfn.IFNA(IF(VLOOKUP(Tabela22[[#This Row],[CÓDIGO]],Aguardando_exclusão!A$4:A$4003,1,FALSE),"sim",""),"")</f>
        <v/>
      </c>
    </row>
    <row r="308" spans="1:4" x14ac:dyDescent="0.3">
      <c r="A308" s="15">
        <v>24888</v>
      </c>
      <c r="B308" s="17" t="s">
        <v>307</v>
      </c>
      <c r="C308" s="12">
        <v>367</v>
      </c>
      <c r="D308" s="11" t="str">
        <f>_xlfn.IFNA(IF(VLOOKUP(Tabela22[[#This Row],[CÓDIGO]],Aguardando_exclusão!A$4:A$4003,1,FALSE),"sim",""),"")</f>
        <v/>
      </c>
    </row>
    <row r="309" spans="1:4" x14ac:dyDescent="0.3">
      <c r="A309" s="15">
        <v>24890</v>
      </c>
      <c r="B309" s="17" t="s">
        <v>308</v>
      </c>
      <c r="C309" s="12">
        <v>367</v>
      </c>
      <c r="D309" s="11" t="str">
        <f>_xlfn.IFNA(IF(VLOOKUP(Tabela22[[#This Row],[CÓDIGO]],Aguardando_exclusão!A$4:A$4003,1,FALSE),"sim",""),"")</f>
        <v>sim</v>
      </c>
    </row>
    <row r="310" spans="1:4" ht="15" customHeight="1" x14ac:dyDescent="0.3">
      <c r="A310" s="15">
        <v>25489</v>
      </c>
      <c r="B310" s="17" t="s">
        <v>309</v>
      </c>
      <c r="C310" s="12">
        <v>367</v>
      </c>
      <c r="D310" s="11" t="str">
        <f>_xlfn.IFNA(IF(VLOOKUP(Tabela22[[#This Row],[CÓDIGO]],Aguardando_exclusão!A$4:A$4003,1,FALSE),"sim",""),"")</f>
        <v>sim</v>
      </c>
    </row>
    <row r="311" spans="1:4" ht="15" customHeight="1" x14ac:dyDescent="0.3">
      <c r="A311" s="15">
        <v>25519</v>
      </c>
      <c r="B311" s="17" t="s">
        <v>310</v>
      </c>
      <c r="C311" s="12">
        <v>367</v>
      </c>
      <c r="D311" s="11" t="str">
        <f>_xlfn.IFNA(IF(VLOOKUP(Tabela22[[#This Row],[CÓDIGO]],Aguardando_exclusão!A$4:A$4003,1,FALSE),"sim",""),"")</f>
        <v>sim</v>
      </c>
    </row>
    <row r="312" spans="1:4" x14ac:dyDescent="0.3">
      <c r="A312" s="15">
        <v>25523</v>
      </c>
      <c r="B312" s="17" t="s">
        <v>311</v>
      </c>
      <c r="C312" s="12">
        <v>367</v>
      </c>
      <c r="D312" s="11" t="str">
        <f>_xlfn.IFNA(IF(VLOOKUP(Tabela22[[#This Row],[CÓDIGO]],Aguardando_exclusão!A$4:A$4003,1,FALSE),"sim",""),"")</f>
        <v/>
      </c>
    </row>
    <row r="313" spans="1:4" x14ac:dyDescent="0.3">
      <c r="A313" s="15">
        <v>25536</v>
      </c>
      <c r="B313" s="17" t="s">
        <v>312</v>
      </c>
      <c r="C313" s="12">
        <v>367</v>
      </c>
      <c r="D313" s="11" t="str">
        <f>_xlfn.IFNA(IF(VLOOKUP(Tabela22[[#This Row],[CÓDIGO]],Aguardando_exclusão!A$4:A$4003,1,FALSE),"sim",""),"")</f>
        <v>sim</v>
      </c>
    </row>
    <row r="314" spans="1:4" x14ac:dyDescent="0.3">
      <c r="A314" s="15">
        <v>25559</v>
      </c>
      <c r="B314" s="17" t="s">
        <v>313</v>
      </c>
      <c r="C314" s="12">
        <v>367</v>
      </c>
      <c r="D314" s="11" t="str">
        <f>_xlfn.IFNA(IF(VLOOKUP(Tabela22[[#This Row],[CÓDIGO]],Aguardando_exclusão!A$4:A$4003,1,FALSE),"sim",""),"")</f>
        <v/>
      </c>
    </row>
    <row r="315" spans="1:4" x14ac:dyDescent="0.3">
      <c r="A315" s="15">
        <v>25630</v>
      </c>
      <c r="B315" s="17" t="s">
        <v>314</v>
      </c>
      <c r="C315" s="12">
        <v>367</v>
      </c>
      <c r="D315" s="11" t="str">
        <f>_xlfn.IFNA(IF(VLOOKUP(Tabela22[[#This Row],[CÓDIGO]],Aguardando_exclusão!A$4:A$4003,1,FALSE),"sim",""),"")</f>
        <v/>
      </c>
    </row>
    <row r="316" spans="1:4" x14ac:dyDescent="0.3">
      <c r="A316" s="15">
        <v>25756</v>
      </c>
      <c r="B316" s="17" t="s">
        <v>315</v>
      </c>
      <c r="C316" s="12">
        <v>367</v>
      </c>
      <c r="D316" s="11" t="str">
        <f>_xlfn.IFNA(IF(VLOOKUP(Tabela22[[#This Row],[CÓDIGO]],Aguardando_exclusão!A$4:A$4003,1,FALSE),"sim",""),"")</f>
        <v/>
      </c>
    </row>
    <row r="317" spans="1:4" ht="15" customHeight="1" x14ac:dyDescent="0.3">
      <c r="A317" s="15">
        <v>26215</v>
      </c>
      <c r="B317" s="17" t="s">
        <v>316</v>
      </c>
      <c r="C317" s="12">
        <v>367</v>
      </c>
      <c r="D317" s="11" t="str">
        <f>_xlfn.IFNA(IF(VLOOKUP(Tabela22[[#This Row],[CÓDIGO]],Aguardando_exclusão!A$4:A$4003,1,FALSE),"sim",""),"")</f>
        <v/>
      </c>
    </row>
    <row r="318" spans="1:4" x14ac:dyDescent="0.3">
      <c r="A318" s="15">
        <v>26282</v>
      </c>
      <c r="B318" s="17" t="s">
        <v>317</v>
      </c>
      <c r="C318" s="12">
        <v>367</v>
      </c>
      <c r="D318" s="11" t="str">
        <f>_xlfn.IFNA(IF(VLOOKUP(Tabela22[[#This Row],[CÓDIGO]],Aguardando_exclusão!A$4:A$4003,1,FALSE),"sim",""),"")</f>
        <v/>
      </c>
    </row>
    <row r="319" spans="1:4" x14ac:dyDescent="0.3">
      <c r="A319" s="15">
        <v>26368</v>
      </c>
      <c r="B319" s="17" t="s">
        <v>318</v>
      </c>
      <c r="C319" s="12">
        <v>367</v>
      </c>
      <c r="D319" s="11" t="str">
        <f>_xlfn.IFNA(IF(VLOOKUP(Tabela22[[#This Row],[CÓDIGO]],Aguardando_exclusão!A$4:A$4003,1,FALSE),"sim",""),"")</f>
        <v/>
      </c>
    </row>
    <row r="320" spans="1:4" x14ac:dyDescent="0.3">
      <c r="A320" s="15">
        <v>26503</v>
      </c>
      <c r="B320" s="17" t="s">
        <v>319</v>
      </c>
      <c r="C320" s="12">
        <v>367</v>
      </c>
      <c r="D320" s="11" t="str">
        <f>_xlfn.IFNA(IF(VLOOKUP(Tabela22[[#This Row],[CÓDIGO]],Aguardando_exclusão!A$4:A$4003,1,FALSE),"sim",""),"")</f>
        <v/>
      </c>
    </row>
    <row r="321" spans="1:4" x14ac:dyDescent="0.3">
      <c r="A321" s="15">
        <v>26504</v>
      </c>
      <c r="B321" s="17" t="s">
        <v>320</v>
      </c>
      <c r="C321" s="12">
        <v>367</v>
      </c>
      <c r="D321" s="11" t="str">
        <f>_xlfn.IFNA(IF(VLOOKUP(Tabela22[[#This Row],[CÓDIGO]],Aguardando_exclusão!A$4:A$4003,1,FALSE),"sim",""),"")</f>
        <v/>
      </c>
    </row>
    <row r="322" spans="1:4" x14ac:dyDescent="0.3">
      <c r="A322" s="15">
        <v>26506</v>
      </c>
      <c r="B322" s="17" t="s">
        <v>321</v>
      </c>
      <c r="C322" s="12">
        <v>367</v>
      </c>
      <c r="D322" s="11" t="str">
        <f>_xlfn.IFNA(IF(VLOOKUP(Tabela22[[#This Row],[CÓDIGO]],Aguardando_exclusão!A$4:A$4003,1,FALSE),"sim",""),"")</f>
        <v/>
      </c>
    </row>
    <row r="323" spans="1:4" x14ac:dyDescent="0.3">
      <c r="A323" s="15">
        <v>26508</v>
      </c>
      <c r="B323" s="17" t="s">
        <v>322</v>
      </c>
      <c r="C323" s="12">
        <v>367</v>
      </c>
      <c r="D323" s="11" t="str">
        <f>_xlfn.IFNA(IF(VLOOKUP(Tabela22[[#This Row],[CÓDIGO]],Aguardando_exclusão!A$4:A$4003,1,FALSE),"sim",""),"")</f>
        <v/>
      </c>
    </row>
    <row r="324" spans="1:4" x14ac:dyDescent="0.3">
      <c r="A324" s="15">
        <v>27136</v>
      </c>
      <c r="B324" s="17" t="s">
        <v>323</v>
      </c>
      <c r="C324" s="12">
        <v>367</v>
      </c>
      <c r="D324" s="11" t="str">
        <f>_xlfn.IFNA(IF(VLOOKUP(Tabela22[[#This Row],[CÓDIGO]],Aguardando_exclusão!A$4:A$4003,1,FALSE),"sim",""),"")</f>
        <v/>
      </c>
    </row>
    <row r="325" spans="1:4" x14ac:dyDescent="0.3">
      <c r="A325" s="15">
        <v>27137</v>
      </c>
      <c r="B325" s="17" t="s">
        <v>324</v>
      </c>
      <c r="C325" s="12">
        <v>367</v>
      </c>
      <c r="D325" s="11" t="str">
        <f>_xlfn.IFNA(IF(VLOOKUP(Tabela22[[#This Row],[CÓDIGO]],Aguardando_exclusão!A$4:A$4003,1,FALSE),"sim",""),"")</f>
        <v/>
      </c>
    </row>
    <row r="326" spans="1:4" x14ac:dyDescent="0.3">
      <c r="A326" s="15">
        <v>27138</v>
      </c>
      <c r="B326" s="17" t="s">
        <v>325</v>
      </c>
      <c r="C326" s="12">
        <v>367</v>
      </c>
      <c r="D326" s="11" t="str">
        <f>_xlfn.IFNA(IF(VLOOKUP(Tabela22[[#This Row],[CÓDIGO]],Aguardando_exclusão!A$4:A$4003,1,FALSE),"sim",""),"")</f>
        <v/>
      </c>
    </row>
    <row r="327" spans="1:4" x14ac:dyDescent="0.3">
      <c r="A327" s="15">
        <v>27139</v>
      </c>
      <c r="B327" s="17" t="s">
        <v>326</v>
      </c>
      <c r="C327" s="12">
        <v>367</v>
      </c>
      <c r="D327" s="11" t="str">
        <f>_xlfn.IFNA(IF(VLOOKUP(Tabela22[[#This Row],[CÓDIGO]],Aguardando_exclusão!A$4:A$4003,1,FALSE),"sim",""),"")</f>
        <v/>
      </c>
    </row>
    <row r="328" spans="1:4" x14ac:dyDescent="0.3">
      <c r="A328" s="15">
        <v>27140</v>
      </c>
      <c r="B328" s="17" t="s">
        <v>327</v>
      </c>
      <c r="C328" s="12">
        <v>367</v>
      </c>
      <c r="D328" s="11" t="str">
        <f>_xlfn.IFNA(IF(VLOOKUP(Tabela22[[#This Row],[CÓDIGO]],Aguardando_exclusão!A$4:A$4003,1,FALSE),"sim",""),"")</f>
        <v/>
      </c>
    </row>
    <row r="329" spans="1:4" x14ac:dyDescent="0.3">
      <c r="A329" s="15">
        <v>27287</v>
      </c>
      <c r="B329" s="17" t="s">
        <v>328</v>
      </c>
      <c r="C329" s="12">
        <v>367</v>
      </c>
      <c r="D329" s="11" t="str">
        <f>_xlfn.IFNA(IF(VLOOKUP(Tabela22[[#This Row],[CÓDIGO]],Aguardando_exclusão!A$4:A$4003,1,FALSE),"sim",""),"")</f>
        <v/>
      </c>
    </row>
    <row r="330" spans="1:4" x14ac:dyDescent="0.3">
      <c r="A330" s="15">
        <v>27353</v>
      </c>
      <c r="B330" s="17" t="s">
        <v>329</v>
      </c>
      <c r="C330" s="12">
        <v>367</v>
      </c>
      <c r="D330" s="11" t="str">
        <f>_xlfn.IFNA(IF(VLOOKUP(Tabela22[[#This Row],[CÓDIGO]],Aguardando_exclusão!A$4:A$4003,1,FALSE),"sim",""),"")</f>
        <v/>
      </c>
    </row>
    <row r="331" spans="1:4" x14ac:dyDescent="0.3">
      <c r="A331" s="15">
        <v>27479</v>
      </c>
      <c r="B331" s="17" t="s">
        <v>330</v>
      </c>
      <c r="C331" s="12">
        <v>367</v>
      </c>
      <c r="D331" s="11" t="str">
        <f>_xlfn.IFNA(IF(VLOOKUP(Tabela22[[#This Row],[CÓDIGO]],Aguardando_exclusão!A$4:A$4003,1,FALSE),"sim",""),"")</f>
        <v/>
      </c>
    </row>
    <row r="332" spans="1:4" x14ac:dyDescent="0.3">
      <c r="A332" s="15">
        <v>27759</v>
      </c>
      <c r="B332" s="17" t="s">
        <v>331</v>
      </c>
      <c r="C332" s="12">
        <v>367</v>
      </c>
      <c r="D332" s="11" t="str">
        <f>_xlfn.IFNA(IF(VLOOKUP(Tabela22[[#This Row],[CÓDIGO]],Aguardando_exclusão!A$4:A$4003,1,FALSE),"sim",""),"")</f>
        <v/>
      </c>
    </row>
    <row r="333" spans="1:4" x14ac:dyDescent="0.3">
      <c r="A333" s="15">
        <v>27760</v>
      </c>
      <c r="B333" s="17" t="s">
        <v>332</v>
      </c>
      <c r="C333" s="12">
        <v>367</v>
      </c>
      <c r="D333" s="11" t="str">
        <f>_xlfn.IFNA(IF(VLOOKUP(Tabela22[[#This Row],[CÓDIGO]],Aguardando_exclusão!A$4:A$4003,1,FALSE),"sim",""),"")</f>
        <v/>
      </c>
    </row>
    <row r="334" spans="1:4" x14ac:dyDescent="0.3">
      <c r="A334" s="15">
        <v>27761</v>
      </c>
      <c r="B334" s="17" t="s">
        <v>333</v>
      </c>
      <c r="C334" s="12">
        <v>367</v>
      </c>
      <c r="D334" s="11" t="str">
        <f>_xlfn.IFNA(IF(VLOOKUP(Tabela22[[#This Row],[CÓDIGO]],Aguardando_exclusão!A$4:A$4003,1,FALSE),"sim",""),"")</f>
        <v/>
      </c>
    </row>
    <row r="335" spans="1:4" x14ac:dyDescent="0.3">
      <c r="A335" s="15">
        <v>27764</v>
      </c>
      <c r="B335" s="17" t="s">
        <v>334</v>
      </c>
      <c r="C335" s="12">
        <v>367</v>
      </c>
      <c r="D335" s="11" t="str">
        <f>_xlfn.IFNA(IF(VLOOKUP(Tabela22[[#This Row],[CÓDIGO]],Aguardando_exclusão!A$4:A$4003,1,FALSE),"sim",""),"")</f>
        <v/>
      </c>
    </row>
    <row r="336" spans="1:4" x14ac:dyDescent="0.3">
      <c r="A336" s="15">
        <v>28040</v>
      </c>
      <c r="B336" s="17" t="s">
        <v>335</v>
      </c>
      <c r="C336" s="12">
        <v>367</v>
      </c>
      <c r="D336" s="11" t="str">
        <f>_xlfn.IFNA(IF(VLOOKUP(Tabela22[[#This Row],[CÓDIGO]],Aguardando_exclusão!A$4:A$4003,1,FALSE),"sim",""),"")</f>
        <v>sim</v>
      </c>
    </row>
    <row r="337" spans="1:4" x14ac:dyDescent="0.3">
      <c r="A337" s="15">
        <v>28093</v>
      </c>
      <c r="B337" s="17" t="s">
        <v>336</v>
      </c>
      <c r="C337" s="12">
        <v>367</v>
      </c>
      <c r="D337" s="11" t="str">
        <f>_xlfn.IFNA(IF(VLOOKUP(Tabela22[[#This Row],[CÓDIGO]],Aguardando_exclusão!A$4:A$4003,1,FALSE),"sim",""),"")</f>
        <v/>
      </c>
    </row>
    <row r="338" spans="1:4" x14ac:dyDescent="0.3">
      <c r="A338" s="15">
        <v>28181</v>
      </c>
      <c r="B338" s="17" t="s">
        <v>337</v>
      </c>
      <c r="C338" s="12">
        <v>367</v>
      </c>
      <c r="D338" s="11" t="str">
        <f>_xlfn.IFNA(IF(VLOOKUP(Tabela22[[#This Row],[CÓDIGO]],Aguardando_exclusão!A$4:A$4003,1,FALSE),"sim",""),"")</f>
        <v/>
      </c>
    </row>
    <row r="339" spans="1:4" x14ac:dyDescent="0.3">
      <c r="A339" s="15">
        <v>28184</v>
      </c>
      <c r="B339" s="17" t="s">
        <v>338</v>
      </c>
      <c r="C339" s="12">
        <v>367</v>
      </c>
      <c r="D339" s="11" t="str">
        <f>_xlfn.IFNA(IF(VLOOKUP(Tabela22[[#This Row],[CÓDIGO]],Aguardando_exclusão!A$4:A$4003,1,FALSE),"sim",""),"")</f>
        <v/>
      </c>
    </row>
    <row r="340" spans="1:4" x14ac:dyDescent="0.3">
      <c r="A340" s="15">
        <v>28306</v>
      </c>
      <c r="B340" s="17" t="s">
        <v>339</v>
      </c>
      <c r="C340" s="12">
        <v>367</v>
      </c>
      <c r="D340" s="11" t="str">
        <f>_xlfn.IFNA(IF(VLOOKUP(Tabela22[[#This Row],[CÓDIGO]],Aguardando_exclusão!A$4:A$4003,1,FALSE),"sim",""),"")</f>
        <v/>
      </c>
    </row>
    <row r="341" spans="1:4" x14ac:dyDescent="0.3">
      <c r="A341" s="15">
        <v>28307</v>
      </c>
      <c r="B341" s="17" t="s">
        <v>340</v>
      </c>
      <c r="C341" s="12">
        <v>367</v>
      </c>
      <c r="D341" s="11" t="str">
        <f>_xlfn.IFNA(IF(VLOOKUP(Tabela22[[#This Row],[CÓDIGO]],Aguardando_exclusão!A$4:A$4003,1,FALSE),"sim",""),"")</f>
        <v/>
      </c>
    </row>
    <row r="342" spans="1:4" x14ac:dyDescent="0.3">
      <c r="A342" s="15">
        <v>28308</v>
      </c>
      <c r="B342" s="17" t="s">
        <v>341</v>
      </c>
      <c r="C342" s="12">
        <v>367</v>
      </c>
      <c r="D342" s="11" t="str">
        <f>_xlfn.IFNA(IF(VLOOKUP(Tabela22[[#This Row],[CÓDIGO]],Aguardando_exclusão!A$4:A$4003,1,FALSE),"sim",""),"")</f>
        <v/>
      </c>
    </row>
    <row r="343" spans="1:4" x14ac:dyDescent="0.3">
      <c r="A343" s="15">
        <v>28512</v>
      </c>
      <c r="B343" s="17" t="s">
        <v>342</v>
      </c>
      <c r="C343" s="12">
        <v>367</v>
      </c>
      <c r="D343" s="11" t="str">
        <f>_xlfn.IFNA(IF(VLOOKUP(Tabela22[[#This Row],[CÓDIGO]],Aguardando_exclusão!A$4:A$4003,1,FALSE),"sim",""),"")</f>
        <v/>
      </c>
    </row>
    <row r="344" spans="1:4" x14ac:dyDescent="0.3">
      <c r="A344" s="15">
        <v>28781</v>
      </c>
      <c r="B344" s="17" t="s">
        <v>343</v>
      </c>
      <c r="C344" s="12">
        <v>367</v>
      </c>
      <c r="D344" s="11" t="str">
        <f>_xlfn.IFNA(IF(VLOOKUP(Tabela22[[#This Row],[CÓDIGO]],Aguardando_exclusão!A$4:A$4003,1,FALSE),"sim",""),"")</f>
        <v>sim</v>
      </c>
    </row>
    <row r="345" spans="1:4" x14ac:dyDescent="0.3">
      <c r="A345" s="15">
        <v>28782</v>
      </c>
      <c r="B345" s="17" t="s">
        <v>344</v>
      </c>
      <c r="C345" s="12">
        <v>367</v>
      </c>
      <c r="D345" s="11" t="str">
        <f>_xlfn.IFNA(IF(VLOOKUP(Tabela22[[#This Row],[CÓDIGO]],Aguardando_exclusão!A$4:A$4003,1,FALSE),"sim",""),"")</f>
        <v>sim</v>
      </c>
    </row>
    <row r="346" spans="1:4" x14ac:dyDescent="0.3">
      <c r="A346" s="15">
        <v>29288</v>
      </c>
      <c r="B346" s="17" t="s">
        <v>345</v>
      </c>
      <c r="C346" s="12">
        <v>367</v>
      </c>
      <c r="D346" s="11" t="str">
        <f>_xlfn.IFNA(IF(VLOOKUP(Tabela22[[#This Row],[CÓDIGO]],Aguardando_exclusão!A$4:A$4003,1,FALSE),"sim",""),"")</f>
        <v/>
      </c>
    </row>
    <row r="347" spans="1:4" x14ac:dyDescent="0.3">
      <c r="A347" s="15">
        <v>29293</v>
      </c>
      <c r="B347" s="17" t="s">
        <v>346</v>
      </c>
      <c r="C347" s="12">
        <v>367</v>
      </c>
      <c r="D347" s="11" t="str">
        <f>_xlfn.IFNA(IF(VLOOKUP(Tabela22[[#This Row],[CÓDIGO]],Aguardando_exclusão!A$4:A$4003,1,FALSE),"sim",""),"")</f>
        <v/>
      </c>
    </row>
    <row r="348" spans="1:4" x14ac:dyDescent="0.3">
      <c r="A348" s="15">
        <v>29294</v>
      </c>
      <c r="B348" s="17" t="s">
        <v>347</v>
      </c>
      <c r="C348" s="12">
        <v>367</v>
      </c>
      <c r="D348" s="11" t="str">
        <f>_xlfn.IFNA(IF(VLOOKUP(Tabela22[[#This Row],[CÓDIGO]],Aguardando_exclusão!A$4:A$4003,1,FALSE),"sim",""),"")</f>
        <v>sim</v>
      </c>
    </row>
    <row r="349" spans="1:4" x14ac:dyDescent="0.3">
      <c r="A349" s="15">
        <v>29296</v>
      </c>
      <c r="B349" s="17" t="s">
        <v>348</v>
      </c>
      <c r="C349" s="12">
        <v>367</v>
      </c>
      <c r="D349" s="11" t="str">
        <f>_xlfn.IFNA(IF(VLOOKUP(Tabela22[[#This Row],[CÓDIGO]],Aguardando_exclusão!A$4:A$4003,1,FALSE),"sim",""),"")</f>
        <v/>
      </c>
    </row>
    <row r="350" spans="1:4" x14ac:dyDescent="0.3">
      <c r="A350" s="15">
        <v>29435</v>
      </c>
      <c r="B350" s="17" t="s">
        <v>349</v>
      </c>
      <c r="C350" s="12">
        <v>367</v>
      </c>
      <c r="D350" s="11" t="str">
        <f>_xlfn.IFNA(IF(VLOOKUP(Tabela22[[#This Row],[CÓDIGO]],Aguardando_exclusão!A$4:A$4003,1,FALSE),"sim",""),"")</f>
        <v/>
      </c>
    </row>
    <row r="351" spans="1:4" x14ac:dyDescent="0.3">
      <c r="A351" s="15">
        <v>29437</v>
      </c>
      <c r="B351" s="17" t="s">
        <v>350</v>
      </c>
      <c r="C351" s="12">
        <v>367</v>
      </c>
      <c r="D351" s="11" t="str">
        <f>_xlfn.IFNA(IF(VLOOKUP(Tabela22[[#This Row],[CÓDIGO]],Aguardando_exclusão!A$4:A$4003,1,FALSE),"sim",""),"")</f>
        <v/>
      </c>
    </row>
    <row r="352" spans="1:4" x14ac:dyDescent="0.3">
      <c r="A352" s="15">
        <v>29524</v>
      </c>
      <c r="B352" s="17" t="s">
        <v>351</v>
      </c>
      <c r="C352" s="12">
        <v>367</v>
      </c>
      <c r="D352" s="11" t="str">
        <f>_xlfn.IFNA(IF(VLOOKUP(Tabela22[[#This Row],[CÓDIGO]],Aguardando_exclusão!A$4:A$4003,1,FALSE),"sim",""),"")</f>
        <v>sim</v>
      </c>
    </row>
    <row r="353" spans="1:4" x14ac:dyDescent="0.3">
      <c r="A353" s="15">
        <v>29526</v>
      </c>
      <c r="B353" s="17" t="s">
        <v>352</v>
      </c>
      <c r="C353" s="12">
        <v>367</v>
      </c>
      <c r="D353" s="11" t="str">
        <f>_xlfn.IFNA(IF(VLOOKUP(Tabela22[[#This Row],[CÓDIGO]],Aguardando_exclusão!A$4:A$4003,1,FALSE),"sim",""),"")</f>
        <v>sim</v>
      </c>
    </row>
    <row r="354" spans="1:4" x14ac:dyDescent="0.3">
      <c r="A354" s="15">
        <v>29537</v>
      </c>
      <c r="B354" s="17" t="s">
        <v>353</v>
      </c>
      <c r="C354" s="12">
        <v>367</v>
      </c>
      <c r="D354" s="11" t="str">
        <f>_xlfn.IFNA(IF(VLOOKUP(Tabela22[[#This Row],[CÓDIGO]],Aguardando_exclusão!A$4:A$4003,1,FALSE),"sim",""),"")</f>
        <v>sim</v>
      </c>
    </row>
    <row r="355" spans="1:4" x14ac:dyDescent="0.3">
      <c r="A355" s="15">
        <v>29829</v>
      </c>
      <c r="B355" s="17" t="s">
        <v>354</v>
      </c>
      <c r="C355" s="12">
        <v>367</v>
      </c>
      <c r="D355" s="11" t="str">
        <f>_xlfn.IFNA(IF(VLOOKUP(Tabela22[[#This Row],[CÓDIGO]],Aguardando_exclusão!A$4:A$4003,1,FALSE),"sim",""),"")</f>
        <v>sim</v>
      </c>
    </row>
    <row r="356" spans="1:4" x14ac:dyDescent="0.3">
      <c r="A356" s="15">
        <v>29935</v>
      </c>
      <c r="B356" s="17" t="s">
        <v>355</v>
      </c>
      <c r="C356" s="12">
        <v>367</v>
      </c>
      <c r="D356" s="11" t="str">
        <f>_xlfn.IFNA(IF(VLOOKUP(Tabela22[[#This Row],[CÓDIGO]],Aguardando_exclusão!A$4:A$4003,1,FALSE),"sim",""),"")</f>
        <v/>
      </c>
    </row>
    <row r="357" spans="1:4" x14ac:dyDescent="0.3">
      <c r="A357" s="15">
        <v>29952</v>
      </c>
      <c r="B357" s="17" t="s">
        <v>356</v>
      </c>
      <c r="C357" s="12">
        <v>367</v>
      </c>
      <c r="D357" s="11" t="str">
        <f>_xlfn.IFNA(IF(VLOOKUP(Tabela22[[#This Row],[CÓDIGO]],Aguardando_exclusão!A$4:A$4003,1,FALSE),"sim",""),"")</f>
        <v/>
      </c>
    </row>
    <row r="358" spans="1:4" x14ac:dyDescent="0.3">
      <c r="A358" s="15">
        <v>29956</v>
      </c>
      <c r="B358" s="17" t="s">
        <v>357</v>
      </c>
      <c r="C358" s="12">
        <v>367</v>
      </c>
      <c r="D358" s="11" t="str">
        <f>_xlfn.IFNA(IF(VLOOKUP(Tabela22[[#This Row],[CÓDIGO]],Aguardando_exclusão!A$4:A$4003,1,FALSE),"sim",""),"")</f>
        <v/>
      </c>
    </row>
    <row r="359" spans="1:4" x14ac:dyDescent="0.3">
      <c r="A359" s="15">
        <v>29959</v>
      </c>
      <c r="B359" s="17" t="s">
        <v>358</v>
      </c>
      <c r="C359" s="12">
        <v>367</v>
      </c>
      <c r="D359" s="11" t="str">
        <f>_xlfn.IFNA(IF(VLOOKUP(Tabela22[[#This Row],[CÓDIGO]],Aguardando_exclusão!A$4:A$4003,1,FALSE),"sim",""),"")</f>
        <v/>
      </c>
    </row>
    <row r="360" spans="1:4" x14ac:dyDescent="0.3">
      <c r="A360" s="15">
        <v>29960</v>
      </c>
      <c r="B360" s="17" t="s">
        <v>359</v>
      </c>
      <c r="C360" s="12">
        <v>367</v>
      </c>
      <c r="D360" s="11" t="str">
        <f>_xlfn.IFNA(IF(VLOOKUP(Tabela22[[#This Row],[CÓDIGO]],Aguardando_exclusão!A$4:A$4003,1,FALSE),"sim",""),"")</f>
        <v>sim</v>
      </c>
    </row>
    <row r="361" spans="1:4" x14ac:dyDescent="0.3">
      <c r="A361" s="15">
        <v>29961</v>
      </c>
      <c r="B361" s="17" t="s">
        <v>360</v>
      </c>
      <c r="C361" s="12">
        <v>367</v>
      </c>
      <c r="D361" s="11" t="str">
        <f>_xlfn.IFNA(IF(VLOOKUP(Tabela22[[#This Row],[CÓDIGO]],Aguardando_exclusão!A$4:A$4003,1,FALSE),"sim",""),"")</f>
        <v/>
      </c>
    </row>
    <row r="362" spans="1:4" x14ac:dyDescent="0.3">
      <c r="A362" s="15">
        <v>29962</v>
      </c>
      <c r="B362" s="17" t="s">
        <v>361</v>
      </c>
      <c r="C362" s="12">
        <v>367</v>
      </c>
      <c r="D362" s="11" t="str">
        <f>_xlfn.IFNA(IF(VLOOKUP(Tabela22[[#This Row],[CÓDIGO]],Aguardando_exclusão!A$4:A$4003,1,FALSE),"sim",""),"")</f>
        <v/>
      </c>
    </row>
    <row r="363" spans="1:4" x14ac:dyDescent="0.3">
      <c r="A363" s="15">
        <v>29964</v>
      </c>
      <c r="B363" s="17" t="s">
        <v>362</v>
      </c>
      <c r="C363" s="12">
        <v>367</v>
      </c>
      <c r="D363" s="11" t="str">
        <f>_xlfn.IFNA(IF(VLOOKUP(Tabela22[[#This Row],[CÓDIGO]],Aguardando_exclusão!A$4:A$4003,1,FALSE),"sim",""),"")</f>
        <v/>
      </c>
    </row>
    <row r="364" spans="1:4" x14ac:dyDescent="0.3">
      <c r="A364" s="15">
        <v>30165</v>
      </c>
      <c r="B364" s="17" t="s">
        <v>363</v>
      </c>
      <c r="C364" s="12">
        <v>367</v>
      </c>
      <c r="D364" s="11" t="str">
        <f>_xlfn.IFNA(IF(VLOOKUP(Tabela22[[#This Row],[CÓDIGO]],Aguardando_exclusão!A$4:A$4003,1,FALSE),"sim",""),"")</f>
        <v/>
      </c>
    </row>
    <row r="365" spans="1:4" x14ac:dyDescent="0.3">
      <c r="A365" s="15">
        <v>30171</v>
      </c>
      <c r="B365" s="17" t="s">
        <v>364</v>
      </c>
      <c r="C365" s="12">
        <v>367</v>
      </c>
      <c r="D365" s="11" t="str">
        <f>_xlfn.IFNA(IF(VLOOKUP(Tabela22[[#This Row],[CÓDIGO]],Aguardando_exclusão!A$4:A$4003,1,FALSE),"sim",""),"")</f>
        <v/>
      </c>
    </row>
    <row r="366" spans="1:4" x14ac:dyDescent="0.3">
      <c r="A366" s="15">
        <v>30658</v>
      </c>
      <c r="B366" s="17" t="s">
        <v>365</v>
      </c>
      <c r="C366" s="12">
        <v>367</v>
      </c>
      <c r="D366" s="11" t="str">
        <f>_xlfn.IFNA(IF(VLOOKUP(Tabela22[[#This Row],[CÓDIGO]],Aguardando_exclusão!A$4:A$4003,1,FALSE),"sim",""),"")</f>
        <v/>
      </c>
    </row>
    <row r="367" spans="1:4" ht="15" customHeight="1" x14ac:dyDescent="0.3">
      <c r="A367" s="15">
        <v>30772</v>
      </c>
      <c r="B367" s="17" t="s">
        <v>366</v>
      </c>
      <c r="C367" s="12">
        <v>367</v>
      </c>
      <c r="D367" s="11" t="str">
        <f>_xlfn.IFNA(IF(VLOOKUP(Tabela22[[#This Row],[CÓDIGO]],Aguardando_exclusão!A$4:A$4003,1,FALSE),"sim",""),"")</f>
        <v/>
      </c>
    </row>
    <row r="368" spans="1:4" x14ac:dyDescent="0.3">
      <c r="A368" s="15">
        <v>31321</v>
      </c>
      <c r="B368" s="17" t="s">
        <v>367</v>
      </c>
      <c r="C368" s="12">
        <v>367</v>
      </c>
      <c r="D368" s="11" t="str">
        <f>_xlfn.IFNA(IF(VLOOKUP(Tabela22[[#This Row],[CÓDIGO]],Aguardando_exclusão!A$4:A$4003,1,FALSE),"sim",""),"")</f>
        <v/>
      </c>
    </row>
    <row r="369" spans="1:4" x14ac:dyDescent="0.3">
      <c r="A369" s="15">
        <v>31427</v>
      </c>
      <c r="B369" s="17" t="s">
        <v>368</v>
      </c>
      <c r="C369" s="12">
        <v>367</v>
      </c>
      <c r="D369" s="11" t="str">
        <f>_xlfn.IFNA(IF(VLOOKUP(Tabela22[[#This Row],[CÓDIGO]],Aguardando_exclusão!A$4:A$4003,1,FALSE),"sim",""),"")</f>
        <v>sim</v>
      </c>
    </row>
    <row r="370" spans="1:4" ht="15" customHeight="1" x14ac:dyDescent="0.3">
      <c r="A370" s="15">
        <v>31428</v>
      </c>
      <c r="B370" s="17" t="s">
        <v>369</v>
      </c>
      <c r="C370" s="12">
        <v>367</v>
      </c>
      <c r="D370" s="11" t="str">
        <f>_xlfn.IFNA(IF(VLOOKUP(Tabela22[[#This Row],[CÓDIGO]],Aguardando_exclusão!A$4:A$4003,1,FALSE),"sim",""),"")</f>
        <v>sim</v>
      </c>
    </row>
    <row r="371" spans="1:4" ht="15" customHeight="1" x14ac:dyDescent="0.3">
      <c r="A371" s="15">
        <v>31555</v>
      </c>
      <c r="B371" s="17" t="s">
        <v>370</v>
      </c>
      <c r="C371" s="12">
        <v>367</v>
      </c>
      <c r="D371" s="11" t="str">
        <f>_xlfn.IFNA(IF(VLOOKUP(Tabela22[[#This Row],[CÓDIGO]],Aguardando_exclusão!A$4:A$4003,1,FALSE),"sim",""),"")</f>
        <v/>
      </c>
    </row>
    <row r="372" spans="1:4" x14ac:dyDescent="0.3">
      <c r="A372" s="15">
        <v>31580</v>
      </c>
      <c r="B372" s="17" t="s">
        <v>371</v>
      </c>
      <c r="C372" s="12">
        <v>367</v>
      </c>
      <c r="D372" s="11" t="str">
        <f>_xlfn.IFNA(IF(VLOOKUP(Tabela22[[#This Row],[CÓDIGO]],Aguardando_exclusão!A$4:A$4003,1,FALSE),"sim",""),"")</f>
        <v/>
      </c>
    </row>
    <row r="373" spans="1:4" ht="15" customHeight="1" x14ac:dyDescent="0.3">
      <c r="A373" s="15">
        <v>32487</v>
      </c>
      <c r="B373" s="17" t="s">
        <v>372</v>
      </c>
      <c r="C373" s="12">
        <v>367</v>
      </c>
      <c r="D373" s="11" t="str">
        <f>_xlfn.IFNA(IF(VLOOKUP(Tabela22[[#This Row],[CÓDIGO]],Aguardando_exclusão!A$4:A$4003,1,FALSE),"sim",""),"")</f>
        <v/>
      </c>
    </row>
    <row r="374" spans="1:4" ht="15" customHeight="1" x14ac:dyDescent="0.3">
      <c r="A374" s="15">
        <v>32648</v>
      </c>
      <c r="B374" s="17" t="s">
        <v>373</v>
      </c>
      <c r="C374" s="12">
        <v>367</v>
      </c>
      <c r="D374" s="11" t="str">
        <f>_xlfn.IFNA(IF(VLOOKUP(Tabela22[[#This Row],[CÓDIGO]],Aguardando_exclusão!A$4:A$4003,1,FALSE),"sim",""),"")</f>
        <v>sim</v>
      </c>
    </row>
    <row r="375" spans="1:4" x14ac:dyDescent="0.3">
      <c r="A375" s="15">
        <v>32752</v>
      </c>
      <c r="B375" s="17" t="s">
        <v>374</v>
      </c>
      <c r="C375" s="12">
        <v>367</v>
      </c>
      <c r="D375" s="11" t="str">
        <f>_xlfn.IFNA(IF(VLOOKUP(Tabela22[[#This Row],[CÓDIGO]],Aguardando_exclusão!A$4:A$4003,1,FALSE),"sim",""),"")</f>
        <v>sim</v>
      </c>
    </row>
    <row r="376" spans="1:4" x14ac:dyDescent="0.3">
      <c r="A376" s="15">
        <v>32759</v>
      </c>
      <c r="B376" s="17" t="s">
        <v>375</v>
      </c>
      <c r="C376" s="12">
        <v>367</v>
      </c>
      <c r="D376" s="11" t="str">
        <f>_xlfn.IFNA(IF(VLOOKUP(Tabela22[[#This Row],[CÓDIGO]],Aguardando_exclusão!A$4:A$4003,1,FALSE),"sim",""),"")</f>
        <v>sim</v>
      </c>
    </row>
    <row r="377" spans="1:4" x14ac:dyDescent="0.3">
      <c r="A377" s="15">
        <v>32761</v>
      </c>
      <c r="B377" s="17" t="s">
        <v>376</v>
      </c>
      <c r="C377" s="12">
        <v>367</v>
      </c>
      <c r="D377" s="11" t="str">
        <f>_xlfn.IFNA(IF(VLOOKUP(Tabela22[[#This Row],[CÓDIGO]],Aguardando_exclusão!A$4:A$4003,1,FALSE),"sim",""),"")</f>
        <v>sim</v>
      </c>
    </row>
    <row r="378" spans="1:4" x14ac:dyDescent="0.3">
      <c r="A378" s="15">
        <v>32927</v>
      </c>
      <c r="B378" s="17" t="s">
        <v>377</v>
      </c>
      <c r="C378" s="12">
        <v>367</v>
      </c>
      <c r="D378" s="11" t="str">
        <f>_xlfn.IFNA(IF(VLOOKUP(Tabela22[[#This Row],[CÓDIGO]],Aguardando_exclusão!A$4:A$4003,1,FALSE),"sim",""),"")</f>
        <v/>
      </c>
    </row>
    <row r="379" spans="1:4" x14ac:dyDescent="0.3">
      <c r="A379" s="15">
        <v>32933</v>
      </c>
      <c r="B379" s="17" t="s">
        <v>378</v>
      </c>
      <c r="C379" s="12">
        <v>367</v>
      </c>
      <c r="D379" s="11" t="str">
        <f>_xlfn.IFNA(IF(VLOOKUP(Tabela22[[#This Row],[CÓDIGO]],Aguardando_exclusão!A$4:A$4003,1,FALSE),"sim",""),"")</f>
        <v/>
      </c>
    </row>
    <row r="380" spans="1:4" ht="15" customHeight="1" x14ac:dyDescent="0.3">
      <c r="A380" s="15">
        <v>33609</v>
      </c>
      <c r="B380" s="17" t="s">
        <v>379</v>
      </c>
      <c r="C380" s="12">
        <v>367</v>
      </c>
      <c r="D380" s="11" t="str">
        <f>_xlfn.IFNA(IF(VLOOKUP(Tabela22[[#This Row],[CÓDIGO]],Aguardando_exclusão!A$4:A$4003,1,FALSE),"sim",""),"")</f>
        <v/>
      </c>
    </row>
    <row r="381" spans="1:4" ht="15" customHeight="1" x14ac:dyDescent="0.3">
      <c r="A381" s="15">
        <v>33623</v>
      </c>
      <c r="B381" s="17" t="s">
        <v>380</v>
      </c>
      <c r="C381" s="12">
        <v>367</v>
      </c>
      <c r="D381" s="11" t="str">
        <f>_xlfn.IFNA(IF(VLOOKUP(Tabela22[[#This Row],[CÓDIGO]],Aguardando_exclusão!A$4:A$4003,1,FALSE),"sim",""),"")</f>
        <v/>
      </c>
    </row>
    <row r="382" spans="1:4" x14ac:dyDescent="0.3">
      <c r="A382" s="15">
        <v>34214</v>
      </c>
      <c r="B382" s="17" t="s">
        <v>381</v>
      </c>
      <c r="C382" s="12">
        <v>367</v>
      </c>
      <c r="D382" s="11" t="str">
        <f>_xlfn.IFNA(IF(VLOOKUP(Tabela22[[#This Row],[CÓDIGO]],Aguardando_exclusão!A$4:A$4003,1,FALSE),"sim",""),"")</f>
        <v/>
      </c>
    </row>
    <row r="383" spans="1:4" x14ac:dyDescent="0.3">
      <c r="A383" s="15">
        <v>34801</v>
      </c>
      <c r="B383" s="17" t="s">
        <v>382</v>
      </c>
      <c r="C383" s="12">
        <v>367</v>
      </c>
      <c r="D383" s="11" t="str">
        <f>_xlfn.IFNA(IF(VLOOKUP(Tabela22[[#This Row],[CÓDIGO]],Aguardando_exclusão!A$4:A$4003,1,FALSE),"sim",""),"")</f>
        <v/>
      </c>
    </row>
    <row r="384" spans="1:4" ht="15" customHeight="1" x14ac:dyDescent="0.3">
      <c r="A384" s="15">
        <v>35224</v>
      </c>
      <c r="B384" s="17" t="s">
        <v>383</v>
      </c>
      <c r="C384" s="12">
        <v>367</v>
      </c>
      <c r="D384" s="11" t="str">
        <f>_xlfn.IFNA(IF(VLOOKUP(Tabela22[[#This Row],[CÓDIGO]],Aguardando_exclusão!A$4:A$4003,1,FALSE),"sim",""),"")</f>
        <v/>
      </c>
    </row>
    <row r="385" spans="1:4" x14ac:dyDescent="0.3">
      <c r="A385" s="15">
        <v>35227</v>
      </c>
      <c r="B385" s="17" t="s">
        <v>384</v>
      </c>
      <c r="C385" s="12">
        <v>367</v>
      </c>
      <c r="D385" s="11" t="str">
        <f>_xlfn.IFNA(IF(VLOOKUP(Tabela22[[#This Row],[CÓDIGO]],Aguardando_exclusão!A$4:A$4003,1,FALSE),"sim",""),"")</f>
        <v/>
      </c>
    </row>
    <row r="386" spans="1:4" x14ac:dyDescent="0.3">
      <c r="A386" s="15">
        <v>35238</v>
      </c>
      <c r="B386" s="17" t="s">
        <v>385</v>
      </c>
      <c r="C386" s="12">
        <v>367</v>
      </c>
      <c r="D386" s="11" t="str">
        <f>_xlfn.IFNA(IF(VLOOKUP(Tabela22[[#This Row],[CÓDIGO]],Aguardando_exclusão!A$4:A$4003,1,FALSE),"sim",""),"")</f>
        <v/>
      </c>
    </row>
    <row r="387" spans="1:4" x14ac:dyDescent="0.3">
      <c r="A387" s="15">
        <v>35256</v>
      </c>
      <c r="B387" s="17" t="s">
        <v>386</v>
      </c>
      <c r="C387" s="12">
        <v>367</v>
      </c>
      <c r="D387" s="11" t="str">
        <f>_xlfn.IFNA(IF(VLOOKUP(Tabela22[[#This Row],[CÓDIGO]],Aguardando_exclusão!A$4:A$4003,1,FALSE),"sim",""),"")</f>
        <v/>
      </c>
    </row>
    <row r="388" spans="1:4" ht="15" customHeight="1" x14ac:dyDescent="0.3">
      <c r="A388" s="15">
        <v>35331</v>
      </c>
      <c r="B388" s="17" t="s">
        <v>387</v>
      </c>
      <c r="C388" s="12">
        <v>367</v>
      </c>
      <c r="D388" s="11" t="str">
        <f>_xlfn.IFNA(IF(VLOOKUP(Tabela22[[#This Row],[CÓDIGO]],Aguardando_exclusão!A$4:A$4003,1,FALSE),"sim",""),"")</f>
        <v/>
      </c>
    </row>
    <row r="389" spans="1:4" x14ac:dyDescent="0.3">
      <c r="A389" s="15">
        <v>35359</v>
      </c>
      <c r="B389" s="17" t="s">
        <v>388</v>
      </c>
      <c r="C389" s="12">
        <v>367</v>
      </c>
      <c r="D389" s="11" t="str">
        <f>_xlfn.IFNA(IF(VLOOKUP(Tabela22[[#This Row],[CÓDIGO]],Aguardando_exclusão!A$4:A$4003,1,FALSE),"sim",""),"")</f>
        <v/>
      </c>
    </row>
    <row r="390" spans="1:4" x14ac:dyDescent="0.3">
      <c r="A390" s="15">
        <v>35550</v>
      </c>
      <c r="B390" s="17" t="s">
        <v>389</v>
      </c>
      <c r="C390" s="12">
        <v>367</v>
      </c>
      <c r="D390" s="11" t="str">
        <f>_xlfn.IFNA(IF(VLOOKUP(Tabela22[[#This Row],[CÓDIGO]],Aguardando_exclusão!A$4:A$4003,1,FALSE),"sim",""),"")</f>
        <v/>
      </c>
    </row>
    <row r="391" spans="1:4" x14ac:dyDescent="0.3">
      <c r="A391" s="15">
        <v>35554</v>
      </c>
      <c r="B391" s="17" t="s">
        <v>390</v>
      </c>
      <c r="C391" s="12">
        <v>367</v>
      </c>
      <c r="D391" s="11" t="str">
        <f>_xlfn.IFNA(IF(VLOOKUP(Tabela22[[#This Row],[CÓDIGO]],Aguardando_exclusão!A$4:A$4003,1,FALSE),"sim",""),"")</f>
        <v/>
      </c>
    </row>
    <row r="392" spans="1:4" x14ac:dyDescent="0.3">
      <c r="A392" s="15">
        <v>35555</v>
      </c>
      <c r="B392" s="17" t="s">
        <v>391</v>
      </c>
      <c r="C392" s="12">
        <v>367</v>
      </c>
      <c r="D392" s="11" t="str">
        <f>_xlfn.IFNA(IF(VLOOKUP(Tabela22[[#This Row],[CÓDIGO]],Aguardando_exclusão!A$4:A$4003,1,FALSE),"sim",""),"")</f>
        <v/>
      </c>
    </row>
    <row r="393" spans="1:4" x14ac:dyDescent="0.3">
      <c r="A393" s="15">
        <v>36011</v>
      </c>
      <c r="B393" s="17" t="s">
        <v>392</v>
      </c>
      <c r="C393" s="12">
        <v>367</v>
      </c>
      <c r="D393" s="11" t="str">
        <f>_xlfn.IFNA(IF(VLOOKUP(Tabela22[[#This Row],[CÓDIGO]],Aguardando_exclusão!A$4:A$4003,1,FALSE),"sim",""),"")</f>
        <v/>
      </c>
    </row>
    <row r="394" spans="1:4" x14ac:dyDescent="0.3">
      <c r="A394" s="15">
        <v>36031</v>
      </c>
      <c r="B394" s="17" t="s">
        <v>393</v>
      </c>
      <c r="C394" s="12">
        <v>367</v>
      </c>
      <c r="D394" s="11" t="str">
        <f>_xlfn.IFNA(IF(VLOOKUP(Tabela22[[#This Row],[CÓDIGO]],Aguardando_exclusão!A$4:A$4003,1,FALSE),"sim",""),"")</f>
        <v/>
      </c>
    </row>
    <row r="395" spans="1:4" x14ac:dyDescent="0.3">
      <c r="A395" s="15">
        <v>36033</v>
      </c>
      <c r="B395" s="17" t="s">
        <v>394</v>
      </c>
      <c r="C395" s="12">
        <v>367</v>
      </c>
      <c r="D395" s="11" t="str">
        <f>_xlfn.IFNA(IF(VLOOKUP(Tabela22[[#This Row],[CÓDIGO]],Aguardando_exclusão!A$4:A$4003,1,FALSE),"sim",""),"")</f>
        <v>sim</v>
      </c>
    </row>
    <row r="396" spans="1:4" x14ac:dyDescent="0.3">
      <c r="A396" s="15">
        <v>36107</v>
      </c>
      <c r="B396" s="17" t="s">
        <v>395</v>
      </c>
      <c r="C396" s="12">
        <v>367</v>
      </c>
      <c r="D396" s="11" t="str">
        <f>_xlfn.IFNA(IF(VLOOKUP(Tabela22[[#This Row],[CÓDIGO]],Aguardando_exclusão!A$4:A$4003,1,FALSE),"sim",""),"")</f>
        <v>sim</v>
      </c>
    </row>
    <row r="397" spans="1:4" x14ac:dyDescent="0.3">
      <c r="A397" s="15">
        <v>36399</v>
      </c>
      <c r="B397" s="17" t="s">
        <v>396</v>
      </c>
      <c r="C397" s="12">
        <v>367</v>
      </c>
      <c r="D397" s="11" t="str">
        <f>_xlfn.IFNA(IF(VLOOKUP(Tabela22[[#This Row],[CÓDIGO]],Aguardando_exclusão!A$4:A$4003,1,FALSE),"sim",""),"")</f>
        <v/>
      </c>
    </row>
    <row r="398" spans="1:4" x14ac:dyDescent="0.3">
      <c r="A398" s="15">
        <v>36400</v>
      </c>
      <c r="B398" s="17" t="s">
        <v>397</v>
      </c>
      <c r="C398" s="12">
        <v>367</v>
      </c>
      <c r="D398" s="11" t="str">
        <f>_xlfn.IFNA(IF(VLOOKUP(Tabela22[[#This Row],[CÓDIGO]],Aguardando_exclusão!A$4:A$4003,1,FALSE),"sim",""),"")</f>
        <v/>
      </c>
    </row>
    <row r="399" spans="1:4" x14ac:dyDescent="0.3">
      <c r="A399" s="15">
        <v>37518</v>
      </c>
      <c r="B399" s="17" t="s">
        <v>398</v>
      </c>
      <c r="C399" s="12">
        <v>367</v>
      </c>
      <c r="D399" s="11" t="str">
        <f>_xlfn.IFNA(IF(VLOOKUP(Tabela22[[#This Row],[CÓDIGO]],Aguardando_exclusão!A$4:A$4003,1,FALSE),"sim",""),"")</f>
        <v/>
      </c>
    </row>
    <row r="400" spans="1:4" ht="15" customHeight="1" x14ac:dyDescent="0.3">
      <c r="A400" s="15">
        <v>37519</v>
      </c>
      <c r="B400" s="17" t="s">
        <v>399</v>
      </c>
      <c r="C400" s="12">
        <v>367</v>
      </c>
      <c r="D400" s="11" t="str">
        <f>_xlfn.IFNA(IF(VLOOKUP(Tabela22[[#This Row],[CÓDIGO]],Aguardando_exclusão!A$4:A$4003,1,FALSE),"sim",""),"")</f>
        <v/>
      </c>
    </row>
    <row r="401" spans="1:4" x14ac:dyDescent="0.3">
      <c r="A401" s="15">
        <v>37528</v>
      </c>
      <c r="B401" s="17" t="s">
        <v>400</v>
      </c>
      <c r="C401" s="12">
        <v>367</v>
      </c>
      <c r="D401" s="11" t="str">
        <f>_xlfn.IFNA(IF(VLOOKUP(Tabela22[[#This Row],[CÓDIGO]],Aguardando_exclusão!A$4:A$4003,1,FALSE),"sim",""),"")</f>
        <v/>
      </c>
    </row>
    <row r="402" spans="1:4" x14ac:dyDescent="0.3">
      <c r="A402" s="15">
        <v>37847</v>
      </c>
      <c r="B402" s="17" t="s">
        <v>401</v>
      </c>
      <c r="C402" s="12">
        <v>367</v>
      </c>
      <c r="D402" s="11" t="str">
        <f>_xlfn.IFNA(IF(VLOOKUP(Tabela22[[#This Row],[CÓDIGO]],Aguardando_exclusão!A$4:A$4003,1,FALSE),"sim",""),"")</f>
        <v/>
      </c>
    </row>
    <row r="403" spans="1:4" ht="15" customHeight="1" x14ac:dyDescent="0.3">
      <c r="A403" s="15">
        <v>38079</v>
      </c>
      <c r="B403" s="17" t="s">
        <v>402</v>
      </c>
      <c r="C403" s="12">
        <v>367</v>
      </c>
      <c r="D403" s="11" t="str">
        <f>_xlfn.IFNA(IF(VLOOKUP(Tabela22[[#This Row],[CÓDIGO]],Aguardando_exclusão!A$4:A$4003,1,FALSE),"sim",""),"")</f>
        <v>sim</v>
      </c>
    </row>
    <row r="404" spans="1:4" ht="15" customHeight="1" x14ac:dyDescent="0.3">
      <c r="A404" s="15">
        <v>38534</v>
      </c>
      <c r="B404" s="17" t="s">
        <v>403</v>
      </c>
      <c r="C404" s="12">
        <v>367</v>
      </c>
      <c r="D404" s="11" t="str">
        <f>_xlfn.IFNA(IF(VLOOKUP(Tabela22[[#This Row],[CÓDIGO]],Aguardando_exclusão!A$4:A$4003,1,FALSE),"sim",""),"")</f>
        <v/>
      </c>
    </row>
    <row r="405" spans="1:4" ht="15" customHeight="1" x14ac:dyDescent="0.3">
      <c r="A405" s="15">
        <v>38648</v>
      </c>
      <c r="B405" s="17" t="s">
        <v>404</v>
      </c>
      <c r="C405" s="12">
        <v>367</v>
      </c>
      <c r="D405" s="11" t="str">
        <f>_xlfn.IFNA(IF(VLOOKUP(Tabela22[[#This Row],[CÓDIGO]],Aguardando_exclusão!A$4:A$4003,1,FALSE),"sim",""),"")</f>
        <v/>
      </c>
    </row>
    <row r="406" spans="1:4" ht="15" customHeight="1" x14ac:dyDescent="0.3">
      <c r="A406" s="15">
        <v>38930</v>
      </c>
      <c r="B406" s="17" t="s">
        <v>405</v>
      </c>
      <c r="C406" s="12">
        <v>367</v>
      </c>
      <c r="D406" s="11" t="str">
        <f>_xlfn.IFNA(IF(VLOOKUP(Tabela22[[#This Row],[CÓDIGO]],Aguardando_exclusão!A$4:A$4003,1,FALSE),"sim",""),"")</f>
        <v/>
      </c>
    </row>
    <row r="407" spans="1:4" ht="15" customHeight="1" x14ac:dyDescent="0.3">
      <c r="A407" s="15">
        <v>39378</v>
      </c>
      <c r="B407" s="17" t="s">
        <v>406</v>
      </c>
      <c r="C407" s="12">
        <v>367</v>
      </c>
      <c r="D407" s="11" t="str">
        <f>_xlfn.IFNA(IF(VLOOKUP(Tabela22[[#This Row],[CÓDIGO]],Aguardando_exclusão!A$4:A$4003,1,FALSE),"sim",""),"")</f>
        <v/>
      </c>
    </row>
    <row r="408" spans="1:4" ht="15" customHeight="1" x14ac:dyDescent="0.3">
      <c r="A408" s="15">
        <v>40086</v>
      </c>
      <c r="B408" s="17" t="s">
        <v>407</v>
      </c>
      <c r="C408" s="12">
        <v>367</v>
      </c>
      <c r="D408" s="11" t="str">
        <f>_xlfn.IFNA(IF(VLOOKUP(Tabela22[[#This Row],[CÓDIGO]],Aguardando_exclusão!A$4:A$4003,1,FALSE),"sim",""),"")</f>
        <v/>
      </c>
    </row>
    <row r="409" spans="1:4" x14ac:dyDescent="0.3">
      <c r="A409" s="15">
        <v>40251</v>
      </c>
      <c r="B409" s="17" t="s">
        <v>408</v>
      </c>
      <c r="C409" s="12">
        <v>367</v>
      </c>
      <c r="D409" s="11" t="str">
        <f>_xlfn.IFNA(IF(VLOOKUP(Tabela22[[#This Row],[CÓDIGO]],Aguardando_exclusão!A$4:A$4003,1,FALSE),"sim",""),"")</f>
        <v/>
      </c>
    </row>
    <row r="410" spans="1:4" ht="15" customHeight="1" x14ac:dyDescent="0.3">
      <c r="A410" s="15">
        <v>40685</v>
      </c>
      <c r="B410" s="17" t="s">
        <v>409</v>
      </c>
      <c r="C410" s="12">
        <v>367</v>
      </c>
      <c r="D410" s="11" t="str">
        <f>_xlfn.IFNA(IF(VLOOKUP(Tabela22[[#This Row],[CÓDIGO]],Aguardando_exclusão!A$4:A$4003,1,FALSE),"sim",""),"")</f>
        <v/>
      </c>
    </row>
    <row r="411" spans="1:4" ht="15" customHeight="1" x14ac:dyDescent="0.3">
      <c r="A411" s="15">
        <v>40688</v>
      </c>
      <c r="B411" s="17" t="s">
        <v>410</v>
      </c>
      <c r="C411" s="12">
        <v>367</v>
      </c>
      <c r="D411" s="11" t="str">
        <f>_xlfn.IFNA(IF(VLOOKUP(Tabela22[[#This Row],[CÓDIGO]],Aguardando_exclusão!A$4:A$4003,1,FALSE),"sim",""),"")</f>
        <v>sim</v>
      </c>
    </row>
    <row r="412" spans="1:4" x14ac:dyDescent="0.3">
      <c r="A412" s="15">
        <v>40689</v>
      </c>
      <c r="B412" s="17" t="s">
        <v>411</v>
      </c>
      <c r="C412" s="12">
        <v>367</v>
      </c>
      <c r="D412" s="11" t="str">
        <f>_xlfn.IFNA(IF(VLOOKUP(Tabela22[[#This Row],[CÓDIGO]],Aguardando_exclusão!A$4:A$4003,1,FALSE),"sim",""),"")</f>
        <v>sim</v>
      </c>
    </row>
    <row r="413" spans="1:4" ht="15" customHeight="1" x14ac:dyDescent="0.3">
      <c r="A413" s="15">
        <v>40772</v>
      </c>
      <c r="B413" s="17" t="s">
        <v>412</v>
      </c>
      <c r="C413" s="12">
        <v>367</v>
      </c>
      <c r="D413" s="11" t="str">
        <f>_xlfn.IFNA(IF(VLOOKUP(Tabela22[[#This Row],[CÓDIGO]],Aguardando_exclusão!A$4:A$4003,1,FALSE),"sim",""),"")</f>
        <v/>
      </c>
    </row>
    <row r="414" spans="1:4" ht="15" customHeight="1" x14ac:dyDescent="0.3">
      <c r="A414" s="15">
        <v>42566</v>
      </c>
      <c r="B414" s="17" t="s">
        <v>413</v>
      </c>
      <c r="C414" s="12">
        <v>367</v>
      </c>
      <c r="D414" s="11" t="str">
        <f>_xlfn.IFNA(IF(VLOOKUP(Tabela22[[#This Row],[CÓDIGO]],Aguardando_exclusão!A$4:A$4003,1,FALSE),"sim",""),"")</f>
        <v/>
      </c>
    </row>
    <row r="415" spans="1:4" ht="15" customHeight="1" x14ac:dyDescent="0.3">
      <c r="A415" s="15">
        <v>42681</v>
      </c>
      <c r="B415" s="17" t="s">
        <v>414</v>
      </c>
      <c r="C415" s="12">
        <v>367</v>
      </c>
      <c r="D415" s="11" t="str">
        <f>_xlfn.IFNA(IF(VLOOKUP(Tabela22[[#This Row],[CÓDIGO]],Aguardando_exclusão!A$4:A$4003,1,FALSE),"sim",""),"")</f>
        <v/>
      </c>
    </row>
    <row r="416" spans="1:4" x14ac:dyDescent="0.3">
      <c r="A416" s="15">
        <v>42854</v>
      </c>
      <c r="B416" s="17" t="s">
        <v>415</v>
      </c>
      <c r="C416" s="12">
        <v>367</v>
      </c>
      <c r="D416" s="11" t="str">
        <f>_xlfn.IFNA(IF(VLOOKUP(Tabela22[[#This Row],[CÓDIGO]],Aguardando_exclusão!A$4:A$4003,1,FALSE),"sim",""),"")</f>
        <v/>
      </c>
    </row>
    <row r="417" spans="1:4" ht="15" customHeight="1" x14ac:dyDescent="0.3">
      <c r="A417" s="15">
        <v>43648</v>
      </c>
      <c r="B417" s="17" t="s">
        <v>416</v>
      </c>
      <c r="C417" s="12">
        <v>367</v>
      </c>
      <c r="D417" s="11" t="str">
        <f>_xlfn.IFNA(IF(VLOOKUP(Tabela22[[#This Row],[CÓDIGO]],Aguardando_exclusão!A$4:A$4003,1,FALSE),"sim",""),"")</f>
        <v>sim</v>
      </c>
    </row>
    <row r="418" spans="1:4" x14ac:dyDescent="0.3">
      <c r="A418" s="15">
        <v>43794</v>
      </c>
      <c r="B418" s="17" t="s">
        <v>417</v>
      </c>
      <c r="C418" s="12">
        <v>367</v>
      </c>
      <c r="D418" s="11" t="str">
        <f>_xlfn.IFNA(IF(VLOOKUP(Tabela22[[#This Row],[CÓDIGO]],Aguardando_exclusão!A$4:A$4003,1,FALSE),"sim",""),"")</f>
        <v>sim</v>
      </c>
    </row>
    <row r="419" spans="1:4" ht="15" customHeight="1" x14ac:dyDescent="0.3">
      <c r="A419" s="15">
        <v>44398</v>
      </c>
      <c r="B419" s="17" t="s">
        <v>418</v>
      </c>
      <c r="C419" s="12">
        <v>367</v>
      </c>
      <c r="D419" s="11" t="str">
        <f>_xlfn.IFNA(IF(VLOOKUP(Tabela22[[#This Row],[CÓDIGO]],Aguardando_exclusão!A$4:A$4003,1,FALSE),"sim",""),"")</f>
        <v/>
      </c>
    </row>
    <row r="420" spans="1:4" ht="15" customHeight="1" x14ac:dyDescent="0.3">
      <c r="A420" s="15">
        <v>44789</v>
      </c>
      <c r="B420" s="17" t="s">
        <v>419</v>
      </c>
      <c r="C420" s="12">
        <v>367</v>
      </c>
      <c r="D420" s="11" t="str">
        <f>_xlfn.IFNA(IF(VLOOKUP(Tabela22[[#This Row],[CÓDIGO]],Aguardando_exclusão!A$4:A$4003,1,FALSE),"sim",""),"")</f>
        <v/>
      </c>
    </row>
    <row r="421" spans="1:4" ht="15" customHeight="1" x14ac:dyDescent="0.3">
      <c r="A421" s="15">
        <v>45067</v>
      </c>
      <c r="B421" s="17" t="s">
        <v>420</v>
      </c>
      <c r="C421" s="12">
        <v>367</v>
      </c>
      <c r="D421" s="11" t="str">
        <f>_xlfn.IFNA(IF(VLOOKUP(Tabela22[[#This Row],[CÓDIGO]],Aguardando_exclusão!A$4:A$4003,1,FALSE),"sim",""),"")</f>
        <v>sim</v>
      </c>
    </row>
    <row r="422" spans="1:4" x14ac:dyDescent="0.3">
      <c r="A422" s="15">
        <v>45195</v>
      </c>
      <c r="B422" s="17" t="s">
        <v>421</v>
      </c>
      <c r="C422" s="12">
        <v>367</v>
      </c>
      <c r="D422" s="11" t="str">
        <f>_xlfn.IFNA(IF(VLOOKUP(Tabela22[[#This Row],[CÓDIGO]],Aguardando_exclusão!A$4:A$4003,1,FALSE),"sim",""),"")</f>
        <v>sim</v>
      </c>
    </row>
    <row r="423" spans="1:4" x14ac:dyDescent="0.3">
      <c r="A423" s="15">
        <v>45607</v>
      </c>
      <c r="B423" s="17" t="s">
        <v>422</v>
      </c>
      <c r="C423" s="12">
        <v>367</v>
      </c>
      <c r="D423" s="11" t="str">
        <f>_xlfn.IFNA(IF(VLOOKUP(Tabela22[[#This Row],[CÓDIGO]],Aguardando_exclusão!A$4:A$4003,1,FALSE),"sim",""),"")</f>
        <v>sim</v>
      </c>
    </row>
    <row r="424" spans="1:4" x14ac:dyDescent="0.3">
      <c r="A424" s="15">
        <v>45637</v>
      </c>
      <c r="B424" s="17" t="s">
        <v>423</v>
      </c>
      <c r="C424" s="12">
        <v>367</v>
      </c>
      <c r="D424" s="11" t="str">
        <f>_xlfn.IFNA(IF(VLOOKUP(Tabela22[[#This Row],[CÓDIGO]],Aguardando_exclusão!A$4:A$4003,1,FALSE),"sim",""),"")</f>
        <v/>
      </c>
    </row>
    <row r="425" spans="1:4" ht="15" customHeight="1" x14ac:dyDescent="0.3">
      <c r="A425" s="15">
        <v>45651</v>
      </c>
      <c r="B425" s="17" t="s">
        <v>424</v>
      </c>
      <c r="C425" s="12">
        <v>367</v>
      </c>
      <c r="D425" s="11" t="str">
        <f>_xlfn.IFNA(IF(VLOOKUP(Tabela22[[#This Row],[CÓDIGO]],Aguardando_exclusão!A$4:A$4003,1,FALSE),"sim",""),"")</f>
        <v>sim</v>
      </c>
    </row>
    <row r="426" spans="1:4" ht="15" customHeight="1" x14ac:dyDescent="0.3">
      <c r="A426" s="15">
        <v>46420</v>
      </c>
      <c r="B426" s="17" t="s">
        <v>425</v>
      </c>
      <c r="C426" s="12">
        <v>367</v>
      </c>
      <c r="D426" s="11" t="str">
        <f>_xlfn.IFNA(IF(VLOOKUP(Tabela22[[#This Row],[CÓDIGO]],Aguardando_exclusão!A$4:A$4003,1,FALSE),"sim",""),"")</f>
        <v/>
      </c>
    </row>
    <row r="427" spans="1:4" ht="15" customHeight="1" x14ac:dyDescent="0.3">
      <c r="A427" s="15">
        <v>47447</v>
      </c>
      <c r="B427" s="17" t="s">
        <v>426</v>
      </c>
      <c r="C427" s="12">
        <v>367</v>
      </c>
      <c r="D427" s="11" t="str">
        <f>_xlfn.IFNA(IF(VLOOKUP(Tabela22[[#This Row],[CÓDIGO]],Aguardando_exclusão!A$4:A$4003,1,FALSE),"sim",""),"")</f>
        <v/>
      </c>
    </row>
    <row r="428" spans="1:4" ht="15" customHeight="1" x14ac:dyDescent="0.3">
      <c r="A428" s="15">
        <v>48178</v>
      </c>
      <c r="B428" s="17" t="s">
        <v>427</v>
      </c>
      <c r="C428" s="12">
        <v>367</v>
      </c>
      <c r="D428" s="11" t="str">
        <f>_xlfn.IFNA(IF(VLOOKUP(Tabela22[[#This Row],[CÓDIGO]],Aguardando_exclusão!A$4:A$4003,1,FALSE),"sim",""),"")</f>
        <v>sim</v>
      </c>
    </row>
    <row r="429" spans="1:4" x14ac:dyDescent="0.3">
      <c r="A429" s="15">
        <v>48714</v>
      </c>
      <c r="B429" s="17" t="s">
        <v>428</v>
      </c>
      <c r="C429" s="12">
        <v>367</v>
      </c>
      <c r="D429" s="11" t="str">
        <f>_xlfn.IFNA(IF(VLOOKUP(Tabela22[[#This Row],[CÓDIGO]],Aguardando_exclusão!A$4:A$4003,1,FALSE),"sim",""),"")</f>
        <v>sim</v>
      </c>
    </row>
    <row r="430" spans="1:4" ht="15" customHeight="1" x14ac:dyDescent="0.3">
      <c r="A430" s="15">
        <v>48901</v>
      </c>
      <c r="B430" s="17" t="s">
        <v>429</v>
      </c>
      <c r="C430" s="12">
        <v>367</v>
      </c>
      <c r="D430" s="11" t="str">
        <f>_xlfn.IFNA(IF(VLOOKUP(Tabela22[[#This Row],[CÓDIGO]],Aguardando_exclusão!A$4:A$4003,1,FALSE),"sim",""),"")</f>
        <v/>
      </c>
    </row>
    <row r="431" spans="1:4" x14ac:dyDescent="0.3">
      <c r="A431" s="15">
        <v>49033</v>
      </c>
      <c r="B431" s="17" t="s">
        <v>430</v>
      </c>
      <c r="C431" s="12">
        <v>367</v>
      </c>
      <c r="D431" s="11" t="str">
        <f>_xlfn.IFNA(IF(VLOOKUP(Tabela22[[#This Row],[CÓDIGO]],Aguardando_exclusão!A$4:A$4003,1,FALSE),"sim",""),"")</f>
        <v/>
      </c>
    </row>
    <row r="432" spans="1:4" x14ac:dyDescent="0.3">
      <c r="A432" s="15">
        <v>49099</v>
      </c>
      <c r="B432" s="17" t="s">
        <v>431</v>
      </c>
      <c r="C432" s="12">
        <v>367</v>
      </c>
      <c r="D432" s="11" t="str">
        <f>_xlfn.IFNA(IF(VLOOKUP(Tabela22[[#This Row],[CÓDIGO]],Aguardando_exclusão!A$4:A$4003,1,FALSE),"sim",""),"")</f>
        <v>sim</v>
      </c>
    </row>
    <row r="433" spans="1:4" ht="15" customHeight="1" x14ac:dyDescent="0.3">
      <c r="A433" s="15">
        <v>49184</v>
      </c>
      <c r="B433" s="17" t="s">
        <v>432</v>
      </c>
      <c r="C433" s="12">
        <v>367</v>
      </c>
      <c r="D433" s="11" t="str">
        <f>_xlfn.IFNA(IF(VLOOKUP(Tabela22[[#This Row],[CÓDIGO]],Aguardando_exclusão!A$4:A$4003,1,FALSE),"sim",""),"")</f>
        <v>sim</v>
      </c>
    </row>
    <row r="434" spans="1:4" ht="15" customHeight="1" x14ac:dyDescent="0.3">
      <c r="A434" s="15">
        <v>49188</v>
      </c>
      <c r="B434" s="17" t="s">
        <v>433</v>
      </c>
      <c r="C434" s="12">
        <v>367</v>
      </c>
      <c r="D434" s="11" t="str">
        <f>_xlfn.IFNA(IF(VLOOKUP(Tabela22[[#This Row],[CÓDIGO]],Aguardando_exclusão!A$4:A$4003,1,FALSE),"sim",""),"")</f>
        <v>sim</v>
      </c>
    </row>
    <row r="435" spans="1:4" ht="15" customHeight="1" x14ac:dyDescent="0.3">
      <c r="A435" s="15">
        <v>49254</v>
      </c>
      <c r="B435" s="17" t="s">
        <v>434</v>
      </c>
      <c r="C435" s="12">
        <v>367</v>
      </c>
      <c r="D435" s="11" t="str">
        <f>_xlfn.IFNA(IF(VLOOKUP(Tabela22[[#This Row],[CÓDIGO]],Aguardando_exclusão!A$4:A$4003,1,FALSE),"sim",""),"")</f>
        <v/>
      </c>
    </row>
    <row r="436" spans="1:4" ht="15" customHeight="1" x14ac:dyDescent="0.3">
      <c r="A436" s="15">
        <v>49695</v>
      </c>
      <c r="B436" s="17" t="s">
        <v>435</v>
      </c>
      <c r="C436" s="12">
        <v>367</v>
      </c>
      <c r="D436" s="11" t="str">
        <f>_xlfn.IFNA(IF(VLOOKUP(Tabela22[[#This Row],[CÓDIGO]],Aguardando_exclusão!A$4:A$4003,1,FALSE),"sim",""),"")</f>
        <v/>
      </c>
    </row>
    <row r="437" spans="1:4" x14ac:dyDescent="0.3">
      <c r="A437" s="15">
        <v>49858</v>
      </c>
      <c r="B437" s="17" t="s">
        <v>436</v>
      </c>
      <c r="C437" s="12">
        <v>367</v>
      </c>
      <c r="D437" s="11" t="str">
        <f>_xlfn.IFNA(IF(VLOOKUP(Tabela22[[#This Row],[CÓDIGO]],Aguardando_exclusão!A$4:A$4003,1,FALSE),"sim",""),"")</f>
        <v/>
      </c>
    </row>
    <row r="438" spans="1:4" x14ac:dyDescent="0.3">
      <c r="A438" s="15">
        <v>49864</v>
      </c>
      <c r="B438" s="17" t="s">
        <v>437</v>
      </c>
      <c r="C438" s="12">
        <v>367</v>
      </c>
      <c r="D438" s="11" t="str">
        <f>_xlfn.IFNA(IF(VLOOKUP(Tabela22[[#This Row],[CÓDIGO]],Aguardando_exclusão!A$4:A$4003,1,FALSE),"sim",""),"")</f>
        <v>sim</v>
      </c>
    </row>
    <row r="439" spans="1:4" ht="15" customHeight="1" x14ac:dyDescent="0.3">
      <c r="A439" s="15">
        <v>49866</v>
      </c>
      <c r="B439" s="17" t="s">
        <v>438</v>
      </c>
      <c r="C439" s="12">
        <v>367</v>
      </c>
      <c r="D439" s="11" t="str">
        <f>_xlfn.IFNA(IF(VLOOKUP(Tabela22[[#This Row],[CÓDIGO]],Aguardando_exclusão!A$4:A$4003,1,FALSE),"sim",""),"")</f>
        <v>sim</v>
      </c>
    </row>
    <row r="440" spans="1:4" x14ac:dyDescent="0.3">
      <c r="A440" s="15">
        <v>49867</v>
      </c>
      <c r="B440" s="17" t="s">
        <v>439</v>
      </c>
      <c r="C440" s="12">
        <v>367</v>
      </c>
      <c r="D440" s="11" t="str">
        <f>_xlfn.IFNA(IF(VLOOKUP(Tabela22[[#This Row],[CÓDIGO]],Aguardando_exclusão!A$4:A$4003,1,FALSE),"sim",""),"")</f>
        <v>sim</v>
      </c>
    </row>
    <row r="441" spans="1:4" x14ac:dyDescent="0.3">
      <c r="A441" s="15">
        <v>49984</v>
      </c>
      <c r="B441" s="17" t="s">
        <v>440</v>
      </c>
      <c r="C441" s="12">
        <v>367</v>
      </c>
      <c r="D441" s="11" t="str">
        <f>_xlfn.IFNA(IF(VLOOKUP(Tabela22[[#This Row],[CÓDIGO]],Aguardando_exclusão!A$4:A$4003,1,FALSE),"sim",""),"")</f>
        <v>sim</v>
      </c>
    </row>
    <row r="442" spans="1:4" x14ac:dyDescent="0.3">
      <c r="A442" s="15">
        <v>49988</v>
      </c>
      <c r="B442" s="17" t="s">
        <v>440</v>
      </c>
      <c r="C442" s="12">
        <v>367</v>
      </c>
      <c r="D442" s="11" t="str">
        <f>_xlfn.IFNA(IF(VLOOKUP(Tabela22[[#This Row],[CÓDIGO]],Aguardando_exclusão!A$4:A$4003,1,FALSE),"sim",""),"")</f>
        <v>sim</v>
      </c>
    </row>
    <row r="443" spans="1:4" x14ac:dyDescent="0.3">
      <c r="A443" s="15">
        <v>50294</v>
      </c>
      <c r="B443" s="17" t="s">
        <v>441</v>
      </c>
      <c r="C443" s="12">
        <v>367</v>
      </c>
      <c r="D443" s="11" t="str">
        <f>_xlfn.IFNA(IF(VLOOKUP(Tabela22[[#This Row],[CÓDIGO]],Aguardando_exclusão!A$4:A$4003,1,FALSE),"sim",""),"")</f>
        <v>sim</v>
      </c>
    </row>
    <row r="444" spans="1:4" ht="15" customHeight="1" x14ac:dyDescent="0.3">
      <c r="A444" s="15">
        <v>50475</v>
      </c>
      <c r="B444" s="17" t="s">
        <v>442</v>
      </c>
      <c r="C444" s="12">
        <v>367</v>
      </c>
      <c r="D444" s="11" t="str">
        <f>_xlfn.IFNA(IF(VLOOKUP(Tabela22[[#This Row],[CÓDIGO]],Aguardando_exclusão!A$4:A$4003,1,FALSE),"sim",""),"")</f>
        <v/>
      </c>
    </row>
    <row r="445" spans="1:4" x14ac:dyDescent="0.3">
      <c r="A445" s="15">
        <v>50476</v>
      </c>
      <c r="B445" s="17" t="s">
        <v>443</v>
      </c>
      <c r="C445" s="12">
        <v>367</v>
      </c>
      <c r="D445" s="11" t="str">
        <f>_xlfn.IFNA(IF(VLOOKUP(Tabela22[[#This Row],[CÓDIGO]],Aguardando_exclusão!A$4:A$4003,1,FALSE),"sim",""),"")</f>
        <v>sim</v>
      </c>
    </row>
    <row r="446" spans="1:4" x14ac:dyDescent="0.3">
      <c r="A446" s="15">
        <v>50591</v>
      </c>
      <c r="B446" s="17" t="s">
        <v>444</v>
      </c>
      <c r="C446" s="12">
        <v>367</v>
      </c>
      <c r="D446" s="11" t="str">
        <f>_xlfn.IFNA(IF(VLOOKUP(Tabela22[[#This Row],[CÓDIGO]],Aguardando_exclusão!A$4:A$4003,1,FALSE),"sim",""),"")</f>
        <v/>
      </c>
    </row>
    <row r="447" spans="1:4" x14ac:dyDescent="0.3">
      <c r="A447" s="15">
        <v>50797</v>
      </c>
      <c r="B447" s="17" t="s">
        <v>445</v>
      </c>
      <c r="C447" s="12">
        <v>367</v>
      </c>
      <c r="D447" s="11" t="str">
        <f>_xlfn.IFNA(IF(VLOOKUP(Tabela22[[#This Row],[CÓDIGO]],Aguardando_exclusão!A$4:A$4003,1,FALSE),"sim",""),"")</f>
        <v/>
      </c>
    </row>
    <row r="448" spans="1:4" x14ac:dyDescent="0.3">
      <c r="A448" s="15">
        <v>51013</v>
      </c>
      <c r="B448" s="17" t="s">
        <v>446</v>
      </c>
      <c r="C448" s="12">
        <v>367</v>
      </c>
      <c r="D448" s="11" t="str">
        <f>_xlfn.IFNA(IF(VLOOKUP(Tabela22[[#This Row],[CÓDIGO]],Aguardando_exclusão!A$4:A$4003,1,FALSE),"sim",""),"")</f>
        <v>sim</v>
      </c>
    </row>
    <row r="449" spans="1:4" ht="15" customHeight="1" x14ac:dyDescent="0.3">
      <c r="A449" s="15">
        <v>51222</v>
      </c>
      <c r="B449" s="17" t="s">
        <v>447</v>
      </c>
      <c r="C449" s="12">
        <v>367</v>
      </c>
      <c r="D449" s="11" t="str">
        <f>_xlfn.IFNA(IF(VLOOKUP(Tabela22[[#This Row],[CÓDIGO]],Aguardando_exclusão!A$4:A$4003,1,FALSE),"sim",""),"")</f>
        <v/>
      </c>
    </row>
    <row r="450" spans="1:4" x14ac:dyDescent="0.3">
      <c r="A450" s="15">
        <v>51223</v>
      </c>
      <c r="B450" s="17" t="s">
        <v>448</v>
      </c>
      <c r="C450" s="12">
        <v>367</v>
      </c>
      <c r="D450" s="11" t="str">
        <f>_xlfn.IFNA(IF(VLOOKUP(Tabela22[[#This Row],[CÓDIGO]],Aguardando_exclusão!A$4:A$4003,1,FALSE),"sim",""),"")</f>
        <v>sim</v>
      </c>
    </row>
    <row r="451" spans="1:4" x14ac:dyDescent="0.3">
      <c r="A451" s="15">
        <v>51579</v>
      </c>
      <c r="B451" s="17" t="s">
        <v>449</v>
      </c>
      <c r="C451" s="12">
        <v>367</v>
      </c>
      <c r="D451" s="11" t="str">
        <f>_xlfn.IFNA(IF(VLOOKUP(Tabela22[[#This Row],[CÓDIGO]],Aguardando_exclusão!A$4:A$4003,1,FALSE),"sim",""),"")</f>
        <v/>
      </c>
    </row>
    <row r="452" spans="1:4" x14ac:dyDescent="0.3">
      <c r="A452" s="15">
        <v>52129</v>
      </c>
      <c r="B452" s="17" t="s">
        <v>450</v>
      </c>
      <c r="C452" s="12">
        <v>367</v>
      </c>
      <c r="D452" s="11" t="str">
        <f>_xlfn.IFNA(IF(VLOOKUP(Tabela22[[#This Row],[CÓDIGO]],Aguardando_exclusão!A$4:A$4003,1,FALSE),"sim",""),"")</f>
        <v/>
      </c>
    </row>
    <row r="453" spans="1:4" x14ac:dyDescent="0.3">
      <c r="A453" s="15">
        <v>52994</v>
      </c>
      <c r="B453" s="17" t="s">
        <v>451</v>
      </c>
      <c r="C453" s="12">
        <v>367</v>
      </c>
      <c r="D453" s="11" t="str">
        <f>_xlfn.IFNA(IF(VLOOKUP(Tabela22[[#This Row],[CÓDIGO]],Aguardando_exclusão!A$4:A$4003,1,FALSE),"sim",""),"")</f>
        <v/>
      </c>
    </row>
    <row r="454" spans="1:4" x14ac:dyDescent="0.3">
      <c r="A454" s="15">
        <v>52995</v>
      </c>
      <c r="B454" s="17" t="s">
        <v>452</v>
      </c>
      <c r="C454" s="12">
        <v>367</v>
      </c>
      <c r="D454" s="11" t="str">
        <f>_xlfn.IFNA(IF(VLOOKUP(Tabela22[[#This Row],[CÓDIGO]],Aguardando_exclusão!A$4:A$4003,1,FALSE),"sim",""),"")</f>
        <v>sim</v>
      </c>
    </row>
    <row r="455" spans="1:4" ht="15" customHeight="1" x14ac:dyDescent="0.3">
      <c r="A455" s="15">
        <v>53446</v>
      </c>
      <c r="B455" s="17" t="s">
        <v>453</v>
      </c>
      <c r="C455" s="12">
        <v>367</v>
      </c>
      <c r="D455" s="11" t="str">
        <f>_xlfn.IFNA(IF(VLOOKUP(Tabela22[[#This Row],[CÓDIGO]],Aguardando_exclusão!A$4:A$4003,1,FALSE),"sim",""),"")</f>
        <v/>
      </c>
    </row>
    <row r="456" spans="1:4" x14ac:dyDescent="0.3">
      <c r="A456" s="15">
        <v>53810</v>
      </c>
      <c r="B456" s="17" t="s">
        <v>454</v>
      </c>
      <c r="C456" s="12">
        <v>367</v>
      </c>
      <c r="D456" s="11" t="str">
        <f>_xlfn.IFNA(IF(VLOOKUP(Tabela22[[#This Row],[CÓDIGO]],Aguardando_exclusão!A$4:A$4003,1,FALSE),"sim",""),"")</f>
        <v>sim</v>
      </c>
    </row>
    <row r="457" spans="1:4" x14ac:dyDescent="0.3">
      <c r="A457" s="15">
        <v>53813</v>
      </c>
      <c r="B457" s="17" t="s">
        <v>455</v>
      </c>
      <c r="C457" s="12">
        <v>367</v>
      </c>
      <c r="D457" s="11" t="str">
        <f>_xlfn.IFNA(IF(VLOOKUP(Tabela22[[#This Row],[CÓDIGO]],Aguardando_exclusão!A$4:A$4003,1,FALSE),"sim",""),"")</f>
        <v/>
      </c>
    </row>
    <row r="458" spans="1:4" x14ac:dyDescent="0.3">
      <c r="A458" s="15">
        <v>53814</v>
      </c>
      <c r="B458" s="17" t="s">
        <v>456</v>
      </c>
      <c r="C458" s="12">
        <v>367</v>
      </c>
      <c r="D458" s="11" t="str">
        <f>_xlfn.IFNA(IF(VLOOKUP(Tabela22[[#This Row],[CÓDIGO]],Aguardando_exclusão!A$4:A$4003,1,FALSE),"sim",""),"")</f>
        <v/>
      </c>
    </row>
    <row r="459" spans="1:4" x14ac:dyDescent="0.3">
      <c r="A459" s="15">
        <v>53849</v>
      </c>
      <c r="B459" s="17" t="s">
        <v>457</v>
      </c>
      <c r="C459" s="12">
        <v>367</v>
      </c>
      <c r="D459" s="11" t="str">
        <f>_xlfn.IFNA(IF(VLOOKUP(Tabela22[[#This Row],[CÓDIGO]],Aguardando_exclusão!A$4:A$4003,1,FALSE),"sim",""),"")</f>
        <v/>
      </c>
    </row>
    <row r="460" spans="1:4" x14ac:dyDescent="0.3">
      <c r="A460" s="15">
        <v>54017</v>
      </c>
      <c r="B460" s="17" t="s">
        <v>458</v>
      </c>
      <c r="C460" s="12">
        <v>367</v>
      </c>
      <c r="D460" s="11" t="str">
        <f>_xlfn.IFNA(IF(VLOOKUP(Tabela22[[#This Row],[CÓDIGO]],Aguardando_exclusão!A$4:A$4003,1,FALSE),"sim",""),"")</f>
        <v/>
      </c>
    </row>
    <row r="461" spans="1:4" x14ac:dyDescent="0.3">
      <c r="A461" s="15">
        <v>54018</v>
      </c>
      <c r="B461" s="17" t="s">
        <v>459</v>
      </c>
      <c r="C461" s="12">
        <v>367</v>
      </c>
      <c r="D461" s="11" t="str">
        <f>_xlfn.IFNA(IF(VLOOKUP(Tabela22[[#This Row],[CÓDIGO]],Aguardando_exclusão!A$4:A$4003,1,FALSE),"sim",""),"")</f>
        <v/>
      </c>
    </row>
    <row r="462" spans="1:4" ht="15" customHeight="1" x14ac:dyDescent="0.3">
      <c r="A462" s="15">
        <v>54019</v>
      </c>
      <c r="B462" s="17" t="s">
        <v>460</v>
      </c>
      <c r="C462" s="12">
        <v>367</v>
      </c>
      <c r="D462" s="11" t="str">
        <f>_xlfn.IFNA(IF(VLOOKUP(Tabela22[[#This Row],[CÓDIGO]],Aguardando_exclusão!A$4:A$4003,1,FALSE),"sim",""),"")</f>
        <v/>
      </c>
    </row>
    <row r="463" spans="1:4" x14ac:dyDescent="0.3">
      <c r="A463" s="15">
        <v>54026</v>
      </c>
      <c r="B463" s="17" t="s">
        <v>461</v>
      </c>
      <c r="C463" s="12">
        <v>367</v>
      </c>
      <c r="D463" s="11" t="str">
        <f>_xlfn.IFNA(IF(VLOOKUP(Tabela22[[#This Row],[CÓDIGO]],Aguardando_exclusão!A$4:A$4003,1,FALSE),"sim",""),"")</f>
        <v/>
      </c>
    </row>
    <row r="464" spans="1:4" x14ac:dyDescent="0.3">
      <c r="A464" s="15">
        <v>54029</v>
      </c>
      <c r="B464" s="17" t="s">
        <v>462</v>
      </c>
      <c r="C464" s="12">
        <v>367</v>
      </c>
      <c r="D464" s="11" t="str">
        <f>_xlfn.IFNA(IF(VLOOKUP(Tabela22[[#This Row],[CÓDIGO]],Aguardando_exclusão!A$4:A$4003,1,FALSE),"sim",""),"")</f>
        <v/>
      </c>
    </row>
    <row r="465" spans="1:4" x14ac:dyDescent="0.3">
      <c r="A465" s="15">
        <v>54032</v>
      </c>
      <c r="B465" s="17" t="s">
        <v>463</v>
      </c>
      <c r="C465" s="12">
        <v>367</v>
      </c>
      <c r="D465" s="11" t="str">
        <f>_xlfn.IFNA(IF(VLOOKUP(Tabela22[[#This Row],[CÓDIGO]],Aguardando_exclusão!A$4:A$4003,1,FALSE),"sim",""),"")</f>
        <v/>
      </c>
    </row>
    <row r="466" spans="1:4" x14ac:dyDescent="0.3">
      <c r="A466" s="15">
        <v>54144</v>
      </c>
      <c r="B466" s="17" t="s">
        <v>464</v>
      </c>
      <c r="C466" s="12">
        <v>367</v>
      </c>
      <c r="D466" s="11" t="str">
        <f>_xlfn.IFNA(IF(VLOOKUP(Tabela22[[#This Row],[CÓDIGO]],Aguardando_exclusão!A$4:A$4003,1,FALSE),"sim",""),"")</f>
        <v/>
      </c>
    </row>
    <row r="467" spans="1:4" x14ac:dyDescent="0.3">
      <c r="A467" s="15">
        <v>54550</v>
      </c>
      <c r="B467" s="17" t="s">
        <v>465</v>
      </c>
      <c r="C467" s="12">
        <v>367</v>
      </c>
      <c r="D467" s="11" t="str">
        <f>_xlfn.IFNA(IF(VLOOKUP(Tabela22[[#This Row],[CÓDIGO]],Aguardando_exclusão!A$4:A$4003,1,FALSE),"sim",""),"")</f>
        <v/>
      </c>
    </row>
    <row r="468" spans="1:4" x14ac:dyDescent="0.3">
      <c r="A468" s="15">
        <v>54552</v>
      </c>
      <c r="B468" s="17" t="s">
        <v>466</v>
      </c>
      <c r="C468" s="12">
        <v>367</v>
      </c>
      <c r="D468" s="11" t="str">
        <f>_xlfn.IFNA(IF(VLOOKUP(Tabela22[[#This Row],[CÓDIGO]],Aguardando_exclusão!A$4:A$4003,1,FALSE),"sim",""),"")</f>
        <v/>
      </c>
    </row>
    <row r="469" spans="1:4" x14ac:dyDescent="0.3">
      <c r="A469" s="15">
        <v>54586</v>
      </c>
      <c r="B469" s="17" t="s">
        <v>467</v>
      </c>
      <c r="C469" s="12">
        <v>367</v>
      </c>
      <c r="D469" s="11" t="str">
        <f>_xlfn.IFNA(IF(VLOOKUP(Tabela22[[#This Row],[CÓDIGO]],Aguardando_exclusão!A$4:A$4003,1,FALSE),"sim",""),"")</f>
        <v/>
      </c>
    </row>
    <row r="470" spans="1:4" x14ac:dyDescent="0.3">
      <c r="A470" s="15">
        <v>54587</v>
      </c>
      <c r="B470" s="17" t="s">
        <v>468</v>
      </c>
      <c r="C470" s="12">
        <v>367</v>
      </c>
      <c r="D470" s="11" t="str">
        <f>_xlfn.IFNA(IF(VLOOKUP(Tabela22[[#This Row],[CÓDIGO]],Aguardando_exclusão!A$4:A$4003,1,FALSE),"sim",""),"")</f>
        <v/>
      </c>
    </row>
    <row r="471" spans="1:4" x14ac:dyDescent="0.3">
      <c r="A471" s="15">
        <v>54668</v>
      </c>
      <c r="B471" s="17" t="s">
        <v>469</v>
      </c>
      <c r="C471" s="12">
        <v>367</v>
      </c>
      <c r="D471" s="11" t="str">
        <f>_xlfn.IFNA(IF(VLOOKUP(Tabela22[[#This Row],[CÓDIGO]],Aguardando_exclusão!A$4:A$4003,1,FALSE),"sim",""),"")</f>
        <v/>
      </c>
    </row>
    <row r="472" spans="1:4" x14ac:dyDescent="0.3">
      <c r="A472" s="15">
        <v>54682</v>
      </c>
      <c r="B472" s="17" t="s">
        <v>470</v>
      </c>
      <c r="C472" s="12">
        <v>367</v>
      </c>
      <c r="D472" s="11" t="str">
        <f>_xlfn.IFNA(IF(VLOOKUP(Tabela22[[#This Row],[CÓDIGO]],Aguardando_exclusão!A$4:A$4003,1,FALSE),"sim",""),"")</f>
        <v/>
      </c>
    </row>
    <row r="473" spans="1:4" x14ac:dyDescent="0.3">
      <c r="A473" s="15">
        <v>54969</v>
      </c>
      <c r="B473" s="17" t="s">
        <v>471</v>
      </c>
      <c r="C473" s="12">
        <v>367</v>
      </c>
      <c r="D473" s="11" t="str">
        <f>_xlfn.IFNA(IF(VLOOKUP(Tabela22[[#This Row],[CÓDIGO]],Aguardando_exclusão!A$4:A$4003,1,FALSE),"sim",""),"")</f>
        <v>sim</v>
      </c>
    </row>
    <row r="474" spans="1:4" x14ac:dyDescent="0.3">
      <c r="A474" s="15">
        <v>55836</v>
      </c>
      <c r="B474" s="17" t="s">
        <v>472</v>
      </c>
      <c r="C474" s="12">
        <v>367</v>
      </c>
      <c r="D474" s="11" t="str">
        <f>_xlfn.IFNA(IF(VLOOKUP(Tabela22[[#This Row],[CÓDIGO]],Aguardando_exclusão!A$4:A$4003,1,FALSE),"sim",""),"")</f>
        <v/>
      </c>
    </row>
    <row r="475" spans="1:4" x14ac:dyDescent="0.3">
      <c r="A475" s="15">
        <v>56519</v>
      </c>
      <c r="B475" s="17" t="s">
        <v>473</v>
      </c>
      <c r="C475" s="12">
        <v>367</v>
      </c>
      <c r="D475" s="11" t="str">
        <f>_xlfn.IFNA(IF(VLOOKUP(Tabela22[[#This Row],[CÓDIGO]],Aguardando_exclusão!A$4:A$4003,1,FALSE),"sim",""),"")</f>
        <v/>
      </c>
    </row>
    <row r="476" spans="1:4" x14ac:dyDescent="0.3">
      <c r="A476" s="15">
        <v>56520</v>
      </c>
      <c r="B476" s="17" t="s">
        <v>474</v>
      </c>
      <c r="C476" s="12">
        <v>367</v>
      </c>
      <c r="D476" s="11" t="str">
        <f>_xlfn.IFNA(IF(VLOOKUP(Tabela22[[#This Row],[CÓDIGO]],Aguardando_exclusão!A$4:A$4003,1,FALSE),"sim",""),"")</f>
        <v/>
      </c>
    </row>
    <row r="477" spans="1:4" x14ac:dyDescent="0.3">
      <c r="A477" s="15">
        <v>57444</v>
      </c>
      <c r="B477" s="17" t="s">
        <v>475</v>
      </c>
      <c r="C477" s="12">
        <v>367</v>
      </c>
      <c r="D477" s="11" t="str">
        <f>_xlfn.IFNA(IF(VLOOKUP(Tabela22[[#This Row],[CÓDIGO]],Aguardando_exclusão!A$4:A$4003,1,FALSE),"sim",""),"")</f>
        <v/>
      </c>
    </row>
    <row r="478" spans="1:4" x14ac:dyDescent="0.3">
      <c r="A478" s="15">
        <v>57598</v>
      </c>
      <c r="B478" s="17" t="s">
        <v>476</v>
      </c>
      <c r="C478" s="12">
        <v>367</v>
      </c>
      <c r="D478" s="11" t="str">
        <f>_xlfn.IFNA(IF(VLOOKUP(Tabela22[[#This Row],[CÓDIGO]],Aguardando_exclusão!A$4:A$4003,1,FALSE),"sim",""),"")</f>
        <v/>
      </c>
    </row>
    <row r="479" spans="1:4" ht="15" customHeight="1" x14ac:dyDescent="0.3">
      <c r="A479" s="15">
        <v>57895</v>
      </c>
      <c r="B479" s="17" t="s">
        <v>477</v>
      </c>
      <c r="C479" s="12">
        <v>367</v>
      </c>
      <c r="D479" s="11" t="str">
        <f>_xlfn.IFNA(IF(VLOOKUP(Tabela22[[#This Row],[CÓDIGO]],Aguardando_exclusão!A$4:A$4003,1,FALSE),"sim",""),"")</f>
        <v>sim</v>
      </c>
    </row>
    <row r="480" spans="1:4" x14ac:dyDescent="0.3">
      <c r="A480" s="15">
        <v>57900</v>
      </c>
      <c r="B480" s="17" t="s">
        <v>478</v>
      </c>
      <c r="C480" s="12">
        <v>367</v>
      </c>
      <c r="D480" s="11" t="str">
        <f>_xlfn.IFNA(IF(VLOOKUP(Tabela22[[#This Row],[CÓDIGO]],Aguardando_exclusão!A$4:A$4003,1,FALSE),"sim",""),"")</f>
        <v/>
      </c>
    </row>
    <row r="481" spans="1:4" x14ac:dyDescent="0.3">
      <c r="A481" s="15">
        <v>58116</v>
      </c>
      <c r="B481" s="17" t="s">
        <v>479</v>
      </c>
      <c r="C481" s="12">
        <v>367</v>
      </c>
      <c r="D481" s="11" t="str">
        <f>_xlfn.IFNA(IF(VLOOKUP(Tabela22[[#This Row],[CÓDIGO]],Aguardando_exclusão!A$4:A$4003,1,FALSE),"sim",""),"")</f>
        <v/>
      </c>
    </row>
    <row r="482" spans="1:4" x14ac:dyDescent="0.3">
      <c r="A482" s="15">
        <v>58117</v>
      </c>
      <c r="B482" s="17" t="s">
        <v>480</v>
      </c>
      <c r="C482" s="12">
        <v>367</v>
      </c>
      <c r="D482" s="11" t="str">
        <f>_xlfn.IFNA(IF(VLOOKUP(Tabela22[[#This Row],[CÓDIGO]],Aguardando_exclusão!A$4:A$4003,1,FALSE),"sim",""),"")</f>
        <v/>
      </c>
    </row>
    <row r="483" spans="1:4" x14ac:dyDescent="0.3">
      <c r="A483" s="15">
        <v>58436</v>
      </c>
      <c r="B483" s="17" t="s">
        <v>481</v>
      </c>
      <c r="C483" s="12">
        <v>367</v>
      </c>
      <c r="D483" s="11" t="str">
        <f>_xlfn.IFNA(IF(VLOOKUP(Tabela22[[#This Row],[CÓDIGO]],Aguardando_exclusão!A$4:A$4003,1,FALSE),"sim",""),"")</f>
        <v/>
      </c>
    </row>
    <row r="484" spans="1:4" ht="15" customHeight="1" x14ac:dyDescent="0.3">
      <c r="A484" s="15">
        <v>58647</v>
      </c>
      <c r="B484" s="17" t="s">
        <v>482</v>
      </c>
      <c r="C484" s="12">
        <v>367</v>
      </c>
      <c r="D484" s="11" t="str">
        <f>_xlfn.IFNA(IF(VLOOKUP(Tabela22[[#This Row],[CÓDIGO]],Aguardando_exclusão!A$4:A$4003,1,FALSE),"sim",""),"")</f>
        <v/>
      </c>
    </row>
    <row r="485" spans="1:4" x14ac:dyDescent="0.3">
      <c r="A485" s="15">
        <v>58706</v>
      </c>
      <c r="B485" s="17" t="s">
        <v>483</v>
      </c>
      <c r="C485" s="12">
        <v>367</v>
      </c>
      <c r="D485" s="11" t="str">
        <f>_xlfn.IFNA(IF(VLOOKUP(Tabela22[[#This Row],[CÓDIGO]],Aguardando_exclusão!A$4:A$4003,1,FALSE),"sim",""),"")</f>
        <v/>
      </c>
    </row>
    <row r="486" spans="1:4" x14ac:dyDescent="0.3">
      <c r="A486" s="15">
        <v>58977</v>
      </c>
      <c r="B486" s="17" t="s">
        <v>484</v>
      </c>
      <c r="C486" s="12">
        <v>367</v>
      </c>
      <c r="D486" s="11" t="str">
        <f>_xlfn.IFNA(IF(VLOOKUP(Tabela22[[#This Row],[CÓDIGO]],Aguardando_exclusão!A$4:A$4003,1,FALSE),"sim",""),"")</f>
        <v/>
      </c>
    </row>
    <row r="487" spans="1:4" x14ac:dyDescent="0.3">
      <c r="A487" s="15">
        <v>59018</v>
      </c>
      <c r="B487" s="17" t="s">
        <v>485</v>
      </c>
      <c r="C487" s="12">
        <v>367</v>
      </c>
      <c r="D487" s="11" t="str">
        <f>_xlfn.IFNA(IF(VLOOKUP(Tabela22[[#This Row],[CÓDIGO]],Aguardando_exclusão!A$4:A$4003,1,FALSE),"sim",""),"")</f>
        <v/>
      </c>
    </row>
    <row r="488" spans="1:4" x14ac:dyDescent="0.3">
      <c r="A488" s="15">
        <v>59069</v>
      </c>
      <c r="B488" s="17" t="s">
        <v>486</v>
      </c>
      <c r="C488" s="12">
        <v>367</v>
      </c>
      <c r="D488" s="11" t="str">
        <f>_xlfn.IFNA(IF(VLOOKUP(Tabela22[[#This Row],[CÓDIGO]],Aguardando_exclusão!A$4:A$4003,1,FALSE),"sim",""),"")</f>
        <v/>
      </c>
    </row>
    <row r="489" spans="1:4" x14ac:dyDescent="0.3">
      <c r="A489" s="15">
        <v>59074</v>
      </c>
      <c r="B489" s="17" t="s">
        <v>487</v>
      </c>
      <c r="C489" s="12">
        <v>367</v>
      </c>
      <c r="D489" s="11" t="str">
        <f>_xlfn.IFNA(IF(VLOOKUP(Tabela22[[#This Row],[CÓDIGO]],Aguardando_exclusão!A$4:A$4003,1,FALSE),"sim",""),"")</f>
        <v/>
      </c>
    </row>
    <row r="490" spans="1:4" x14ac:dyDescent="0.3">
      <c r="A490" s="15">
        <v>59097</v>
      </c>
      <c r="B490" s="17" t="s">
        <v>488</v>
      </c>
      <c r="C490" s="12">
        <v>367</v>
      </c>
      <c r="D490" s="11" t="str">
        <f>_xlfn.IFNA(IF(VLOOKUP(Tabela22[[#This Row],[CÓDIGO]],Aguardando_exclusão!A$4:A$4003,1,FALSE),"sim",""),"")</f>
        <v/>
      </c>
    </row>
    <row r="491" spans="1:4" ht="15" customHeight="1" x14ac:dyDescent="0.3">
      <c r="A491" s="15">
        <v>59882</v>
      </c>
      <c r="B491" s="17" t="s">
        <v>489</v>
      </c>
      <c r="C491" s="12">
        <v>367</v>
      </c>
      <c r="D491" s="11" t="str">
        <f>_xlfn.IFNA(IF(VLOOKUP(Tabela22[[#This Row],[CÓDIGO]],Aguardando_exclusão!A$4:A$4003,1,FALSE),"sim",""),"")</f>
        <v/>
      </c>
    </row>
    <row r="492" spans="1:4" x14ac:dyDescent="0.3">
      <c r="A492" s="15">
        <v>59942</v>
      </c>
      <c r="B492" s="17" t="s">
        <v>490</v>
      </c>
      <c r="C492" s="12">
        <v>367</v>
      </c>
      <c r="D492" s="11" t="str">
        <f>_xlfn.IFNA(IF(VLOOKUP(Tabela22[[#This Row],[CÓDIGO]],Aguardando_exclusão!A$4:A$4003,1,FALSE),"sim",""),"")</f>
        <v/>
      </c>
    </row>
    <row r="493" spans="1:4" x14ac:dyDescent="0.3">
      <c r="A493" s="15">
        <v>60108</v>
      </c>
      <c r="B493" s="17" t="s">
        <v>491</v>
      </c>
      <c r="C493" s="12">
        <v>367</v>
      </c>
      <c r="D493" s="11" t="str">
        <f>_xlfn.IFNA(IF(VLOOKUP(Tabela22[[#This Row],[CÓDIGO]],Aguardando_exclusão!A$4:A$4003,1,FALSE),"sim",""),"")</f>
        <v>sim</v>
      </c>
    </row>
    <row r="494" spans="1:4" x14ac:dyDescent="0.3">
      <c r="A494" s="15">
        <v>60110</v>
      </c>
      <c r="B494" s="17" t="s">
        <v>492</v>
      </c>
      <c r="C494" s="12">
        <v>367</v>
      </c>
      <c r="D494" s="11" t="str">
        <f>_xlfn.IFNA(IF(VLOOKUP(Tabela22[[#This Row],[CÓDIGO]],Aguardando_exclusão!A$4:A$4003,1,FALSE),"sim",""),"")</f>
        <v>sim</v>
      </c>
    </row>
    <row r="495" spans="1:4" x14ac:dyDescent="0.3">
      <c r="A495" s="15">
        <v>60116</v>
      </c>
      <c r="B495" s="17" t="s">
        <v>493</v>
      </c>
      <c r="C495" s="12">
        <v>367</v>
      </c>
      <c r="D495" s="11" t="str">
        <f>_xlfn.IFNA(IF(VLOOKUP(Tabela22[[#This Row],[CÓDIGO]],Aguardando_exclusão!A$4:A$4003,1,FALSE),"sim",""),"")</f>
        <v/>
      </c>
    </row>
    <row r="496" spans="1:4" x14ac:dyDescent="0.3">
      <c r="A496" s="15">
        <v>60517</v>
      </c>
      <c r="B496" s="17" t="s">
        <v>494</v>
      </c>
      <c r="C496" s="12">
        <v>367</v>
      </c>
      <c r="D496" s="11" t="str">
        <f>_xlfn.IFNA(IF(VLOOKUP(Tabela22[[#This Row],[CÓDIGO]],Aguardando_exclusão!A$4:A$4003,1,FALSE),"sim",""),"")</f>
        <v/>
      </c>
    </row>
    <row r="497" spans="1:4" x14ac:dyDescent="0.3">
      <c r="A497" s="15">
        <v>60830</v>
      </c>
      <c r="B497" s="17" t="s">
        <v>495</v>
      </c>
      <c r="C497" s="12">
        <v>367</v>
      </c>
      <c r="D497" s="11" t="str">
        <f>_xlfn.IFNA(IF(VLOOKUP(Tabela22[[#This Row],[CÓDIGO]],Aguardando_exclusão!A$4:A$4003,1,FALSE),"sim",""),"")</f>
        <v/>
      </c>
    </row>
    <row r="498" spans="1:4" ht="15" customHeight="1" x14ac:dyDescent="0.3">
      <c r="A498" s="15">
        <v>60854</v>
      </c>
      <c r="B498" s="17" t="s">
        <v>496</v>
      </c>
      <c r="C498" s="12">
        <v>367</v>
      </c>
      <c r="D498" s="11" t="str">
        <f>_xlfn.IFNA(IF(VLOOKUP(Tabela22[[#This Row],[CÓDIGO]],Aguardando_exclusão!A$4:A$4003,1,FALSE),"sim",""),"")</f>
        <v>sim</v>
      </c>
    </row>
    <row r="499" spans="1:4" x14ac:dyDescent="0.3">
      <c r="A499" s="15">
        <v>60889</v>
      </c>
      <c r="B499" s="17" t="s">
        <v>497</v>
      </c>
      <c r="C499" s="12">
        <v>367</v>
      </c>
      <c r="D499" s="11" t="str">
        <f>_xlfn.IFNA(IF(VLOOKUP(Tabela22[[#This Row],[CÓDIGO]],Aguardando_exclusão!A$4:A$4003,1,FALSE),"sim",""),"")</f>
        <v/>
      </c>
    </row>
    <row r="500" spans="1:4" x14ac:dyDescent="0.3">
      <c r="A500" s="15">
        <v>60973</v>
      </c>
      <c r="B500" s="17" t="s">
        <v>498</v>
      </c>
      <c r="C500" s="12">
        <v>367</v>
      </c>
      <c r="D500" s="11" t="str">
        <f>_xlfn.IFNA(IF(VLOOKUP(Tabela22[[#This Row],[CÓDIGO]],Aguardando_exclusão!A$4:A$4003,1,FALSE),"sim",""),"")</f>
        <v/>
      </c>
    </row>
    <row r="501" spans="1:4" x14ac:dyDescent="0.3">
      <c r="A501" s="15">
        <v>61046</v>
      </c>
      <c r="B501" s="17" t="s">
        <v>499</v>
      </c>
      <c r="C501" s="12">
        <v>367</v>
      </c>
      <c r="D501" s="11" t="str">
        <f>_xlfn.IFNA(IF(VLOOKUP(Tabela22[[#This Row],[CÓDIGO]],Aguardando_exclusão!A$4:A$4003,1,FALSE),"sim",""),"")</f>
        <v/>
      </c>
    </row>
    <row r="502" spans="1:4" x14ac:dyDescent="0.3">
      <c r="A502" s="15">
        <v>61167</v>
      </c>
      <c r="B502" s="17" t="s">
        <v>500</v>
      </c>
      <c r="C502" s="12">
        <v>367</v>
      </c>
      <c r="D502" s="11" t="str">
        <f>_xlfn.IFNA(IF(VLOOKUP(Tabela22[[#This Row],[CÓDIGO]],Aguardando_exclusão!A$4:A$4003,1,FALSE),"sim",""),"")</f>
        <v>sim</v>
      </c>
    </row>
    <row r="503" spans="1:4" x14ac:dyDescent="0.3">
      <c r="A503" s="15">
        <v>61200</v>
      </c>
      <c r="B503" s="17" t="s">
        <v>501</v>
      </c>
      <c r="C503" s="12">
        <v>367</v>
      </c>
      <c r="D503" s="11" t="str">
        <f>_xlfn.IFNA(IF(VLOOKUP(Tabela22[[#This Row],[CÓDIGO]],Aguardando_exclusão!A$4:A$4003,1,FALSE),"sim",""),"")</f>
        <v/>
      </c>
    </row>
    <row r="504" spans="1:4" x14ac:dyDescent="0.3">
      <c r="A504" s="15">
        <v>61201</v>
      </c>
      <c r="B504" s="17" t="s">
        <v>502</v>
      </c>
      <c r="C504" s="12">
        <v>367</v>
      </c>
      <c r="D504" s="11" t="str">
        <f>_xlfn.IFNA(IF(VLOOKUP(Tabela22[[#This Row],[CÓDIGO]],Aguardando_exclusão!A$4:A$4003,1,FALSE),"sim",""),"")</f>
        <v/>
      </c>
    </row>
    <row r="505" spans="1:4" x14ac:dyDescent="0.3">
      <c r="A505" s="15">
        <v>62365</v>
      </c>
      <c r="B505" s="17" t="s">
        <v>503</v>
      </c>
      <c r="C505" s="12">
        <v>367</v>
      </c>
      <c r="D505" s="11" t="str">
        <f>_xlfn.IFNA(IF(VLOOKUP(Tabela22[[#This Row],[CÓDIGO]],Aguardando_exclusão!A$4:A$4003,1,FALSE),"sim",""),"")</f>
        <v>sim</v>
      </c>
    </row>
    <row r="506" spans="1:4" x14ac:dyDescent="0.3">
      <c r="A506" s="15">
        <v>62625</v>
      </c>
      <c r="B506" s="17" t="s">
        <v>504</v>
      </c>
      <c r="C506" s="12">
        <v>367</v>
      </c>
      <c r="D506" s="11" t="str">
        <f>_xlfn.IFNA(IF(VLOOKUP(Tabela22[[#This Row],[CÓDIGO]],Aguardando_exclusão!A$4:A$4003,1,FALSE),"sim",""),"")</f>
        <v/>
      </c>
    </row>
    <row r="507" spans="1:4" x14ac:dyDescent="0.3">
      <c r="A507" s="15">
        <v>63031</v>
      </c>
      <c r="B507" s="17" t="s">
        <v>505</v>
      </c>
      <c r="C507" s="12">
        <v>367</v>
      </c>
      <c r="D507" s="11" t="str">
        <f>_xlfn.IFNA(IF(VLOOKUP(Tabela22[[#This Row],[CÓDIGO]],Aguardando_exclusão!A$4:A$4003,1,FALSE),"sim",""),"")</f>
        <v/>
      </c>
    </row>
    <row r="508" spans="1:4" x14ac:dyDescent="0.3">
      <c r="A508" s="15">
        <v>63252</v>
      </c>
      <c r="B508" s="17" t="s">
        <v>506</v>
      </c>
      <c r="C508" s="12">
        <v>367</v>
      </c>
      <c r="D508" s="11" t="str">
        <f>_xlfn.IFNA(IF(VLOOKUP(Tabela22[[#This Row],[CÓDIGO]],Aguardando_exclusão!A$4:A$4003,1,FALSE),"sim",""),"")</f>
        <v/>
      </c>
    </row>
    <row r="509" spans="1:4" x14ac:dyDescent="0.3">
      <c r="A509" s="15">
        <v>63382</v>
      </c>
      <c r="B509" s="17" t="s">
        <v>507</v>
      </c>
      <c r="C509" s="12">
        <v>367</v>
      </c>
      <c r="D509" s="11" t="str">
        <f>_xlfn.IFNA(IF(VLOOKUP(Tabela22[[#This Row],[CÓDIGO]],Aguardando_exclusão!A$4:A$4003,1,FALSE),"sim",""),"")</f>
        <v/>
      </c>
    </row>
    <row r="510" spans="1:4" x14ac:dyDescent="0.3">
      <c r="A510" s="15">
        <v>63383</v>
      </c>
      <c r="B510" s="17" t="s">
        <v>508</v>
      </c>
      <c r="C510" s="12">
        <v>367</v>
      </c>
      <c r="D510" s="11" t="str">
        <f>_xlfn.IFNA(IF(VLOOKUP(Tabela22[[#This Row],[CÓDIGO]],Aguardando_exclusão!A$4:A$4003,1,FALSE),"sim",""),"")</f>
        <v>sim</v>
      </c>
    </row>
    <row r="511" spans="1:4" x14ac:dyDescent="0.3">
      <c r="A511" s="15">
        <v>63384</v>
      </c>
      <c r="B511" s="17" t="s">
        <v>509</v>
      </c>
      <c r="C511" s="12">
        <v>367</v>
      </c>
      <c r="D511" s="11" t="str">
        <f>_xlfn.IFNA(IF(VLOOKUP(Tabela22[[#This Row],[CÓDIGO]],Aguardando_exclusão!A$4:A$4003,1,FALSE),"sim",""),"")</f>
        <v>sim</v>
      </c>
    </row>
    <row r="512" spans="1:4" x14ac:dyDescent="0.3">
      <c r="A512" s="15">
        <v>63385</v>
      </c>
      <c r="B512" s="17" t="s">
        <v>510</v>
      </c>
      <c r="C512" s="12">
        <v>367</v>
      </c>
      <c r="D512" s="11" t="str">
        <f>_xlfn.IFNA(IF(VLOOKUP(Tabela22[[#This Row],[CÓDIGO]],Aguardando_exclusão!A$4:A$4003,1,FALSE),"sim",""),"")</f>
        <v/>
      </c>
    </row>
    <row r="513" spans="1:4" x14ac:dyDescent="0.3">
      <c r="A513" s="15">
        <v>63591</v>
      </c>
      <c r="B513" s="17" t="s">
        <v>511</v>
      </c>
      <c r="C513" s="12">
        <v>367</v>
      </c>
      <c r="D513" s="11" t="str">
        <f>_xlfn.IFNA(IF(VLOOKUP(Tabela22[[#This Row],[CÓDIGO]],Aguardando_exclusão!A$4:A$4003,1,FALSE),"sim",""),"")</f>
        <v/>
      </c>
    </row>
    <row r="514" spans="1:4" ht="15" customHeight="1" x14ac:dyDescent="0.3">
      <c r="A514" s="15">
        <v>63839</v>
      </c>
      <c r="B514" s="17" t="s">
        <v>512</v>
      </c>
      <c r="C514" s="12">
        <v>367</v>
      </c>
      <c r="D514" s="11" t="str">
        <f>_xlfn.IFNA(IF(VLOOKUP(Tabela22[[#This Row],[CÓDIGO]],Aguardando_exclusão!A$4:A$4003,1,FALSE),"sim",""),"")</f>
        <v/>
      </c>
    </row>
    <row r="515" spans="1:4" x14ac:dyDescent="0.3">
      <c r="A515" s="15">
        <v>63991</v>
      </c>
      <c r="B515" s="17" t="s">
        <v>513</v>
      </c>
      <c r="C515" s="12">
        <v>367</v>
      </c>
      <c r="D515" s="11" t="str">
        <f>_xlfn.IFNA(IF(VLOOKUP(Tabela22[[#This Row],[CÓDIGO]],Aguardando_exclusão!A$4:A$4003,1,FALSE),"sim",""),"")</f>
        <v/>
      </c>
    </row>
    <row r="516" spans="1:4" x14ac:dyDescent="0.3">
      <c r="A516" s="15">
        <v>64253</v>
      </c>
      <c r="B516" s="17" t="s">
        <v>514</v>
      </c>
      <c r="C516" s="12">
        <v>367</v>
      </c>
      <c r="D516" s="11" t="str">
        <f>_xlfn.IFNA(IF(VLOOKUP(Tabela22[[#This Row],[CÓDIGO]],Aguardando_exclusão!A$4:A$4003,1,FALSE),"sim",""),"")</f>
        <v/>
      </c>
    </row>
    <row r="517" spans="1:4" x14ac:dyDescent="0.3">
      <c r="A517" s="15">
        <v>64302</v>
      </c>
      <c r="B517" s="17" t="s">
        <v>515</v>
      </c>
      <c r="C517" s="12">
        <v>367</v>
      </c>
      <c r="D517" s="11" t="str">
        <f>_xlfn.IFNA(IF(VLOOKUP(Tabela22[[#This Row],[CÓDIGO]],Aguardando_exclusão!A$4:A$4003,1,FALSE),"sim",""),"")</f>
        <v/>
      </c>
    </row>
    <row r="518" spans="1:4" x14ac:dyDescent="0.3">
      <c r="A518" s="15">
        <v>64460</v>
      </c>
      <c r="B518" s="17" t="s">
        <v>516</v>
      </c>
      <c r="C518" s="12">
        <v>367</v>
      </c>
      <c r="D518" s="11" t="str">
        <f>_xlfn.IFNA(IF(VLOOKUP(Tabela22[[#This Row],[CÓDIGO]],Aguardando_exclusão!A$4:A$4003,1,FALSE),"sim",""),"")</f>
        <v>sim</v>
      </c>
    </row>
    <row r="519" spans="1:4" x14ac:dyDescent="0.3">
      <c r="A519" s="15">
        <v>64461</v>
      </c>
      <c r="B519" s="17" t="s">
        <v>517</v>
      </c>
      <c r="C519" s="12">
        <v>367</v>
      </c>
      <c r="D519" s="11" t="str">
        <f>_xlfn.IFNA(IF(VLOOKUP(Tabela22[[#This Row],[CÓDIGO]],Aguardando_exclusão!A$4:A$4003,1,FALSE),"sim",""),"")</f>
        <v>sim</v>
      </c>
    </row>
    <row r="520" spans="1:4" x14ac:dyDescent="0.3">
      <c r="A520" s="15">
        <v>64462</v>
      </c>
      <c r="B520" s="17" t="s">
        <v>518</v>
      </c>
      <c r="C520" s="12">
        <v>367</v>
      </c>
      <c r="D520" s="11" t="str">
        <f>_xlfn.IFNA(IF(VLOOKUP(Tabela22[[#This Row],[CÓDIGO]],Aguardando_exclusão!A$4:A$4003,1,FALSE),"sim",""),"")</f>
        <v>sim</v>
      </c>
    </row>
    <row r="521" spans="1:4" ht="15" customHeight="1" x14ac:dyDescent="0.3">
      <c r="A521" s="15">
        <v>64463</v>
      </c>
      <c r="B521" s="17" t="s">
        <v>519</v>
      </c>
      <c r="C521" s="12">
        <v>367</v>
      </c>
      <c r="D521" s="11" t="str">
        <f>_xlfn.IFNA(IF(VLOOKUP(Tabela22[[#This Row],[CÓDIGO]],Aguardando_exclusão!A$4:A$4003,1,FALSE),"sim",""),"")</f>
        <v>sim</v>
      </c>
    </row>
    <row r="522" spans="1:4" ht="15" customHeight="1" x14ac:dyDescent="0.3">
      <c r="A522" s="15">
        <v>64466</v>
      </c>
      <c r="B522" s="17" t="s">
        <v>520</v>
      </c>
      <c r="C522" s="12">
        <v>367</v>
      </c>
      <c r="D522" s="11" t="str">
        <f>_xlfn.IFNA(IF(VLOOKUP(Tabela22[[#This Row],[CÓDIGO]],Aguardando_exclusão!A$4:A$4003,1,FALSE),"sim",""),"")</f>
        <v/>
      </c>
    </row>
    <row r="523" spans="1:4" ht="15" customHeight="1" x14ac:dyDescent="0.3">
      <c r="A523" s="15">
        <v>64604</v>
      </c>
      <c r="B523" s="17" t="s">
        <v>521</v>
      </c>
      <c r="C523" s="12">
        <v>367</v>
      </c>
      <c r="D523" s="11" t="str">
        <f>_xlfn.IFNA(IF(VLOOKUP(Tabela22[[#This Row],[CÓDIGO]],Aguardando_exclusão!A$4:A$4003,1,FALSE),"sim",""),"")</f>
        <v/>
      </c>
    </row>
    <row r="524" spans="1:4" ht="15" customHeight="1" x14ac:dyDescent="0.3">
      <c r="A524" s="15">
        <v>64605</v>
      </c>
      <c r="B524" s="17" t="s">
        <v>522</v>
      </c>
      <c r="C524" s="12">
        <v>367</v>
      </c>
      <c r="D524" s="11" t="str">
        <f>_xlfn.IFNA(IF(VLOOKUP(Tabela22[[#This Row],[CÓDIGO]],Aguardando_exclusão!A$4:A$4003,1,FALSE),"sim",""),"")</f>
        <v/>
      </c>
    </row>
    <row r="525" spans="1:4" x14ac:dyDescent="0.3">
      <c r="A525" s="15">
        <v>64607</v>
      </c>
      <c r="B525" s="17" t="s">
        <v>523</v>
      </c>
      <c r="C525" s="12">
        <v>367</v>
      </c>
      <c r="D525" s="11" t="str">
        <f>_xlfn.IFNA(IF(VLOOKUP(Tabela22[[#This Row],[CÓDIGO]],Aguardando_exclusão!A$4:A$4003,1,FALSE),"sim",""),"")</f>
        <v/>
      </c>
    </row>
    <row r="526" spans="1:4" x14ac:dyDescent="0.3">
      <c r="A526" s="15">
        <v>64608</v>
      </c>
      <c r="B526" s="17" t="s">
        <v>524</v>
      </c>
      <c r="C526" s="12">
        <v>367</v>
      </c>
      <c r="D526" s="11" t="str">
        <f>_xlfn.IFNA(IF(VLOOKUP(Tabela22[[#This Row],[CÓDIGO]],Aguardando_exclusão!A$4:A$4003,1,FALSE),"sim",""),"")</f>
        <v>sim</v>
      </c>
    </row>
    <row r="527" spans="1:4" x14ac:dyDescent="0.3">
      <c r="A527" s="15">
        <v>64609</v>
      </c>
      <c r="B527" s="17" t="s">
        <v>525</v>
      </c>
      <c r="C527" s="12">
        <v>367</v>
      </c>
      <c r="D527" s="11" t="str">
        <f>_xlfn.IFNA(IF(VLOOKUP(Tabela22[[#This Row],[CÓDIGO]],Aguardando_exclusão!A$4:A$4003,1,FALSE),"sim",""),"")</f>
        <v/>
      </c>
    </row>
    <row r="528" spans="1:4" x14ac:dyDescent="0.3">
      <c r="A528" s="15">
        <v>64610</v>
      </c>
      <c r="B528" s="17" t="s">
        <v>526</v>
      </c>
      <c r="C528" s="12">
        <v>367</v>
      </c>
      <c r="D528" s="11" t="str">
        <f>_xlfn.IFNA(IF(VLOOKUP(Tabela22[[#This Row],[CÓDIGO]],Aguardando_exclusão!A$4:A$4003,1,FALSE),"sim",""),"")</f>
        <v/>
      </c>
    </row>
    <row r="529" spans="1:4" x14ac:dyDescent="0.3">
      <c r="A529" s="15">
        <v>64625</v>
      </c>
      <c r="B529" s="17" t="s">
        <v>527</v>
      </c>
      <c r="C529" s="12">
        <v>367</v>
      </c>
      <c r="D529" s="11" t="str">
        <f>_xlfn.IFNA(IF(VLOOKUP(Tabela22[[#This Row],[CÓDIGO]],Aguardando_exclusão!A$4:A$4003,1,FALSE),"sim",""),"")</f>
        <v/>
      </c>
    </row>
    <row r="530" spans="1:4" x14ac:dyDescent="0.3">
      <c r="A530" s="15">
        <v>64626</v>
      </c>
      <c r="B530" s="17" t="s">
        <v>528</v>
      </c>
      <c r="C530" s="12">
        <v>367</v>
      </c>
      <c r="D530" s="11" t="str">
        <f>_xlfn.IFNA(IF(VLOOKUP(Tabela22[[#This Row],[CÓDIGO]],Aguardando_exclusão!A$4:A$4003,1,FALSE),"sim",""),"")</f>
        <v/>
      </c>
    </row>
    <row r="531" spans="1:4" ht="15" customHeight="1" x14ac:dyDescent="0.3">
      <c r="A531" s="15">
        <v>64627</v>
      </c>
      <c r="B531" s="17" t="s">
        <v>529</v>
      </c>
      <c r="C531" s="12">
        <v>367</v>
      </c>
      <c r="D531" s="11" t="str">
        <f>_xlfn.IFNA(IF(VLOOKUP(Tabela22[[#This Row],[CÓDIGO]],Aguardando_exclusão!A$4:A$4003,1,FALSE),"sim",""),"")</f>
        <v/>
      </c>
    </row>
    <row r="532" spans="1:4" x14ac:dyDescent="0.3">
      <c r="A532" s="15">
        <v>64630</v>
      </c>
      <c r="B532" s="17" t="s">
        <v>530</v>
      </c>
      <c r="C532" s="12">
        <v>367</v>
      </c>
      <c r="D532" s="11" t="str">
        <f>_xlfn.IFNA(IF(VLOOKUP(Tabela22[[#This Row],[CÓDIGO]],Aguardando_exclusão!A$4:A$4003,1,FALSE),"sim",""),"")</f>
        <v/>
      </c>
    </row>
    <row r="533" spans="1:4" x14ac:dyDescent="0.3">
      <c r="A533" s="15">
        <v>64631</v>
      </c>
      <c r="B533" s="17" t="s">
        <v>531</v>
      </c>
      <c r="C533" s="12">
        <v>367</v>
      </c>
      <c r="D533" s="11" t="str">
        <f>_xlfn.IFNA(IF(VLOOKUP(Tabela22[[#This Row],[CÓDIGO]],Aguardando_exclusão!A$4:A$4003,1,FALSE),"sim",""),"")</f>
        <v>sim</v>
      </c>
    </row>
    <row r="534" spans="1:4" x14ac:dyDescent="0.3">
      <c r="A534" s="15">
        <v>64633</v>
      </c>
      <c r="B534" s="17" t="s">
        <v>532</v>
      </c>
      <c r="C534" s="12">
        <v>367</v>
      </c>
      <c r="D534" s="11" t="str">
        <f>_xlfn.IFNA(IF(VLOOKUP(Tabela22[[#This Row],[CÓDIGO]],Aguardando_exclusão!A$4:A$4003,1,FALSE),"sim",""),"")</f>
        <v>sim</v>
      </c>
    </row>
    <row r="535" spans="1:4" x14ac:dyDescent="0.3">
      <c r="A535" s="15">
        <v>64634</v>
      </c>
      <c r="B535" s="17" t="s">
        <v>533</v>
      </c>
      <c r="C535" s="12">
        <v>367</v>
      </c>
      <c r="D535" s="11" t="str">
        <f>_xlfn.IFNA(IF(VLOOKUP(Tabela22[[#This Row],[CÓDIGO]],Aguardando_exclusão!A$4:A$4003,1,FALSE),"sim",""),"")</f>
        <v/>
      </c>
    </row>
    <row r="536" spans="1:4" x14ac:dyDescent="0.3">
      <c r="A536" s="15">
        <v>64635</v>
      </c>
      <c r="B536" s="17" t="s">
        <v>534</v>
      </c>
      <c r="C536" s="12">
        <v>367</v>
      </c>
      <c r="D536" s="11" t="str">
        <f>_xlfn.IFNA(IF(VLOOKUP(Tabela22[[#This Row],[CÓDIGO]],Aguardando_exclusão!A$4:A$4003,1,FALSE),"sim",""),"")</f>
        <v/>
      </c>
    </row>
    <row r="537" spans="1:4" x14ac:dyDescent="0.3">
      <c r="A537" s="15">
        <v>64636</v>
      </c>
      <c r="B537" s="17" t="s">
        <v>535</v>
      </c>
      <c r="C537" s="12">
        <v>367</v>
      </c>
      <c r="D537" s="11" t="str">
        <f>_xlfn.IFNA(IF(VLOOKUP(Tabela22[[#This Row],[CÓDIGO]],Aguardando_exclusão!A$4:A$4003,1,FALSE),"sim",""),"")</f>
        <v/>
      </c>
    </row>
    <row r="538" spans="1:4" x14ac:dyDescent="0.3">
      <c r="A538" s="15">
        <v>64646</v>
      </c>
      <c r="B538" s="17" t="s">
        <v>536</v>
      </c>
      <c r="C538" s="12">
        <v>367</v>
      </c>
      <c r="D538" s="11" t="str">
        <f>_xlfn.IFNA(IF(VLOOKUP(Tabela22[[#This Row],[CÓDIGO]],Aguardando_exclusão!A$4:A$4003,1,FALSE),"sim",""),"")</f>
        <v>sim</v>
      </c>
    </row>
    <row r="539" spans="1:4" x14ac:dyDescent="0.3">
      <c r="A539" s="15">
        <v>64647</v>
      </c>
      <c r="B539" s="17" t="s">
        <v>537</v>
      </c>
      <c r="C539" s="12">
        <v>367</v>
      </c>
      <c r="D539" s="11" t="str">
        <f>_xlfn.IFNA(IF(VLOOKUP(Tabela22[[#This Row],[CÓDIGO]],Aguardando_exclusão!A$4:A$4003,1,FALSE),"sim",""),"")</f>
        <v/>
      </c>
    </row>
    <row r="540" spans="1:4" x14ac:dyDescent="0.3">
      <c r="A540" s="15">
        <v>64648</v>
      </c>
      <c r="B540" s="17" t="s">
        <v>538</v>
      </c>
      <c r="C540" s="12">
        <v>367</v>
      </c>
      <c r="D540" s="11" t="str">
        <f>_xlfn.IFNA(IF(VLOOKUP(Tabela22[[#This Row],[CÓDIGO]],Aguardando_exclusão!A$4:A$4003,1,FALSE),"sim",""),"")</f>
        <v/>
      </c>
    </row>
    <row r="541" spans="1:4" x14ac:dyDescent="0.3">
      <c r="A541" s="15">
        <v>64817</v>
      </c>
      <c r="B541" s="17" t="s">
        <v>539</v>
      </c>
      <c r="C541" s="12">
        <v>367</v>
      </c>
      <c r="D541" s="11" t="str">
        <f>_xlfn.IFNA(IF(VLOOKUP(Tabela22[[#This Row],[CÓDIGO]],Aguardando_exclusão!A$4:A$4003,1,FALSE),"sim",""),"")</f>
        <v/>
      </c>
    </row>
    <row r="542" spans="1:4" x14ac:dyDescent="0.3">
      <c r="A542" s="15">
        <v>64818</v>
      </c>
      <c r="B542" s="17" t="s">
        <v>540</v>
      </c>
      <c r="C542" s="12">
        <v>367</v>
      </c>
      <c r="D542" s="11" t="str">
        <f>_xlfn.IFNA(IF(VLOOKUP(Tabela22[[#This Row],[CÓDIGO]],Aguardando_exclusão!A$4:A$4003,1,FALSE),"sim",""),"")</f>
        <v>sim</v>
      </c>
    </row>
    <row r="543" spans="1:4" x14ac:dyDescent="0.3">
      <c r="A543" s="15">
        <v>64819</v>
      </c>
      <c r="B543" s="17" t="s">
        <v>541</v>
      </c>
      <c r="C543" s="12">
        <v>367</v>
      </c>
      <c r="D543" s="11" t="str">
        <f>_xlfn.IFNA(IF(VLOOKUP(Tabela22[[#This Row],[CÓDIGO]],Aguardando_exclusão!A$4:A$4003,1,FALSE),"sim",""),"")</f>
        <v/>
      </c>
    </row>
    <row r="544" spans="1:4" x14ac:dyDescent="0.3">
      <c r="A544" s="15">
        <v>64821</v>
      </c>
      <c r="B544" s="17" t="s">
        <v>542</v>
      </c>
      <c r="C544" s="12">
        <v>367</v>
      </c>
      <c r="D544" s="11" t="str">
        <f>_xlfn.IFNA(IF(VLOOKUP(Tabela22[[#This Row],[CÓDIGO]],Aguardando_exclusão!A$4:A$4003,1,FALSE),"sim",""),"")</f>
        <v/>
      </c>
    </row>
    <row r="545" spans="1:4" x14ac:dyDescent="0.3">
      <c r="A545" s="15">
        <v>64822</v>
      </c>
      <c r="B545" s="17" t="s">
        <v>543</v>
      </c>
      <c r="C545" s="12">
        <v>367</v>
      </c>
      <c r="D545" s="11" t="str">
        <f>_xlfn.IFNA(IF(VLOOKUP(Tabela22[[#This Row],[CÓDIGO]],Aguardando_exclusão!A$4:A$4003,1,FALSE),"sim",""),"")</f>
        <v/>
      </c>
    </row>
    <row r="546" spans="1:4" x14ac:dyDescent="0.3">
      <c r="A546" s="15">
        <v>64860</v>
      </c>
      <c r="B546" s="17" t="s">
        <v>544</v>
      </c>
      <c r="C546" s="12">
        <v>367</v>
      </c>
      <c r="D546" s="11" t="str">
        <f>_xlfn.IFNA(IF(VLOOKUP(Tabela22[[#This Row],[CÓDIGO]],Aguardando_exclusão!A$4:A$4003,1,FALSE),"sim",""),"")</f>
        <v/>
      </c>
    </row>
    <row r="547" spans="1:4" x14ac:dyDescent="0.3">
      <c r="A547" s="15">
        <v>64861</v>
      </c>
      <c r="B547" s="17" t="s">
        <v>545</v>
      </c>
      <c r="C547" s="12">
        <v>367</v>
      </c>
      <c r="D547" s="11" t="str">
        <f>_xlfn.IFNA(IF(VLOOKUP(Tabela22[[#This Row],[CÓDIGO]],Aguardando_exclusão!A$4:A$4003,1,FALSE),"sim",""),"")</f>
        <v/>
      </c>
    </row>
    <row r="548" spans="1:4" x14ac:dyDescent="0.3">
      <c r="A548" s="15">
        <v>65173</v>
      </c>
      <c r="B548" s="17" t="s">
        <v>546</v>
      </c>
      <c r="C548" s="12">
        <v>367</v>
      </c>
      <c r="D548" s="11" t="str">
        <f>_xlfn.IFNA(IF(VLOOKUP(Tabela22[[#This Row],[CÓDIGO]],Aguardando_exclusão!A$4:A$4003,1,FALSE),"sim",""),"")</f>
        <v/>
      </c>
    </row>
    <row r="549" spans="1:4" x14ac:dyDescent="0.3">
      <c r="A549" s="15">
        <v>65609</v>
      </c>
      <c r="B549" s="17" t="s">
        <v>547</v>
      </c>
      <c r="C549" s="12">
        <v>367</v>
      </c>
      <c r="D549" s="11" t="str">
        <f>_xlfn.IFNA(IF(VLOOKUP(Tabela22[[#This Row],[CÓDIGO]],Aguardando_exclusão!A$4:A$4003,1,FALSE),"sim",""),"")</f>
        <v>sim</v>
      </c>
    </row>
    <row r="550" spans="1:4" x14ac:dyDescent="0.3">
      <c r="A550" s="15">
        <v>65610</v>
      </c>
      <c r="B550" s="17" t="s">
        <v>548</v>
      </c>
      <c r="C550" s="12">
        <v>367</v>
      </c>
      <c r="D550" s="11" t="str">
        <f>_xlfn.IFNA(IF(VLOOKUP(Tabela22[[#This Row],[CÓDIGO]],Aguardando_exclusão!A$4:A$4003,1,FALSE),"sim",""),"")</f>
        <v>sim</v>
      </c>
    </row>
    <row r="551" spans="1:4" x14ac:dyDescent="0.3">
      <c r="A551" s="15">
        <v>65748</v>
      </c>
      <c r="B551" s="17" t="s">
        <v>549</v>
      </c>
      <c r="C551" s="12">
        <v>367</v>
      </c>
      <c r="D551" s="11" t="str">
        <f>_xlfn.IFNA(IF(VLOOKUP(Tabela22[[#This Row],[CÓDIGO]],Aguardando_exclusão!A$4:A$4003,1,FALSE),"sim",""),"")</f>
        <v/>
      </c>
    </row>
    <row r="552" spans="1:4" x14ac:dyDescent="0.3">
      <c r="A552" s="15">
        <v>66168</v>
      </c>
      <c r="B552" s="17" t="s">
        <v>550</v>
      </c>
      <c r="C552" s="12">
        <v>367</v>
      </c>
      <c r="D552" s="11" t="str">
        <f>_xlfn.IFNA(IF(VLOOKUP(Tabela22[[#This Row],[CÓDIGO]],Aguardando_exclusão!A$4:A$4003,1,FALSE),"sim",""),"")</f>
        <v/>
      </c>
    </row>
    <row r="553" spans="1:4" x14ac:dyDescent="0.3">
      <c r="A553" s="15">
        <v>66308</v>
      </c>
      <c r="B553" s="17" t="s">
        <v>551</v>
      </c>
      <c r="C553" s="12">
        <v>367</v>
      </c>
      <c r="D553" s="11" t="str">
        <f>_xlfn.IFNA(IF(VLOOKUP(Tabela22[[#This Row],[CÓDIGO]],Aguardando_exclusão!A$4:A$4003,1,FALSE),"sim",""),"")</f>
        <v/>
      </c>
    </row>
    <row r="554" spans="1:4" x14ac:dyDescent="0.3">
      <c r="A554" s="15">
        <v>66786</v>
      </c>
      <c r="B554" s="17" t="s">
        <v>552</v>
      </c>
      <c r="C554" s="12">
        <v>367</v>
      </c>
      <c r="D554" s="11" t="str">
        <f>_xlfn.IFNA(IF(VLOOKUP(Tabela22[[#This Row],[CÓDIGO]],Aguardando_exclusão!A$4:A$4003,1,FALSE),"sim",""),"")</f>
        <v/>
      </c>
    </row>
    <row r="555" spans="1:4" x14ac:dyDescent="0.3">
      <c r="A555" s="15">
        <v>67375</v>
      </c>
      <c r="B555" s="17" t="s">
        <v>553</v>
      </c>
      <c r="C555" s="12">
        <v>367</v>
      </c>
      <c r="D555" s="11" t="str">
        <f>_xlfn.IFNA(IF(VLOOKUP(Tabela22[[#This Row],[CÓDIGO]],Aguardando_exclusão!A$4:A$4003,1,FALSE),"sim",""),"")</f>
        <v>sim</v>
      </c>
    </row>
    <row r="556" spans="1:4" ht="15" customHeight="1" x14ac:dyDescent="0.3">
      <c r="A556" s="15">
        <v>67376</v>
      </c>
      <c r="B556" s="17" t="s">
        <v>554</v>
      </c>
      <c r="C556" s="12">
        <v>367</v>
      </c>
      <c r="D556" s="11" t="str">
        <f>_xlfn.IFNA(IF(VLOOKUP(Tabela22[[#This Row],[CÓDIGO]],Aguardando_exclusão!A$4:A$4003,1,FALSE),"sim",""),"")</f>
        <v>sim</v>
      </c>
    </row>
    <row r="557" spans="1:4" x14ac:dyDescent="0.3">
      <c r="A557" s="15">
        <v>67862</v>
      </c>
      <c r="B557" s="17" t="s">
        <v>555</v>
      </c>
      <c r="C557" s="12">
        <v>367</v>
      </c>
      <c r="D557" s="11" t="str">
        <f>_xlfn.IFNA(IF(VLOOKUP(Tabela22[[#This Row],[CÓDIGO]],Aguardando_exclusão!A$4:A$4003,1,FALSE),"sim",""),"")</f>
        <v>sim</v>
      </c>
    </row>
    <row r="558" spans="1:4" x14ac:dyDescent="0.3">
      <c r="A558" s="15">
        <v>67892</v>
      </c>
      <c r="B558" s="17" t="s">
        <v>556</v>
      </c>
      <c r="C558" s="12">
        <v>367</v>
      </c>
      <c r="D558" s="11" t="str">
        <f>_xlfn.IFNA(IF(VLOOKUP(Tabela22[[#This Row],[CÓDIGO]],Aguardando_exclusão!A$4:A$4003,1,FALSE),"sim",""),"")</f>
        <v>sim</v>
      </c>
    </row>
    <row r="559" spans="1:4" x14ac:dyDescent="0.3">
      <c r="A559" s="15">
        <v>68351</v>
      </c>
      <c r="B559" s="17" t="s">
        <v>557</v>
      </c>
      <c r="C559" s="12">
        <v>367</v>
      </c>
      <c r="D559" s="11" t="str">
        <f>_xlfn.IFNA(IF(VLOOKUP(Tabela22[[#This Row],[CÓDIGO]],Aguardando_exclusão!A$4:A$4003,1,FALSE),"sim",""),"")</f>
        <v/>
      </c>
    </row>
    <row r="560" spans="1:4" x14ac:dyDescent="0.3">
      <c r="A560" s="15">
        <v>69222</v>
      </c>
      <c r="B560" s="17" t="s">
        <v>558</v>
      </c>
      <c r="C560" s="12">
        <v>367</v>
      </c>
      <c r="D560" s="11" t="str">
        <f>_xlfn.IFNA(IF(VLOOKUP(Tabela22[[#This Row],[CÓDIGO]],Aguardando_exclusão!A$4:A$4003,1,FALSE),"sim",""),"")</f>
        <v/>
      </c>
    </row>
    <row r="561" spans="1:4" x14ac:dyDescent="0.3">
      <c r="A561" s="15">
        <v>69229</v>
      </c>
      <c r="B561" s="17" t="s">
        <v>282</v>
      </c>
      <c r="C561" s="12">
        <v>367</v>
      </c>
      <c r="D561" s="11" t="str">
        <f>_xlfn.IFNA(IF(VLOOKUP(Tabela22[[#This Row],[CÓDIGO]],Aguardando_exclusão!A$4:A$4003,1,FALSE),"sim",""),"")</f>
        <v/>
      </c>
    </row>
    <row r="562" spans="1:4" x14ac:dyDescent="0.3">
      <c r="A562" s="15">
        <v>69339</v>
      </c>
      <c r="B562" s="17" t="s">
        <v>559</v>
      </c>
      <c r="C562" s="12">
        <v>367</v>
      </c>
      <c r="D562" s="11" t="str">
        <f>_xlfn.IFNA(IF(VLOOKUP(Tabela22[[#This Row],[CÓDIGO]],Aguardando_exclusão!A$4:A$4003,1,FALSE),"sim",""),"")</f>
        <v/>
      </c>
    </row>
    <row r="563" spans="1:4" x14ac:dyDescent="0.3">
      <c r="A563" s="15">
        <v>70379</v>
      </c>
      <c r="B563" s="17" t="s">
        <v>560</v>
      </c>
      <c r="C563" s="12">
        <v>367</v>
      </c>
      <c r="D563" s="11" t="str">
        <f>_xlfn.IFNA(IF(VLOOKUP(Tabela22[[#This Row],[CÓDIGO]],Aguardando_exclusão!A$4:A$4003,1,FALSE),"sim",""),"")</f>
        <v/>
      </c>
    </row>
    <row r="564" spans="1:4" x14ac:dyDescent="0.3">
      <c r="A564" s="15">
        <v>70967</v>
      </c>
      <c r="B564" s="17" t="s">
        <v>561</v>
      </c>
      <c r="C564" s="12">
        <v>367</v>
      </c>
      <c r="D564" s="11" t="str">
        <f>_xlfn.IFNA(IF(VLOOKUP(Tabela22[[#This Row],[CÓDIGO]],Aguardando_exclusão!A$4:A$4003,1,FALSE),"sim",""),"")</f>
        <v/>
      </c>
    </row>
    <row r="565" spans="1:4" x14ac:dyDescent="0.3">
      <c r="A565" s="15">
        <v>71053</v>
      </c>
      <c r="B565" s="17" t="s">
        <v>562</v>
      </c>
      <c r="C565" s="12">
        <v>367</v>
      </c>
      <c r="D565" s="11" t="str">
        <f>_xlfn.IFNA(IF(VLOOKUP(Tabela22[[#This Row],[CÓDIGO]],Aguardando_exclusão!A$4:A$4003,1,FALSE),"sim",""),"")</f>
        <v/>
      </c>
    </row>
    <row r="566" spans="1:4" x14ac:dyDescent="0.3">
      <c r="A566" s="15">
        <v>71189</v>
      </c>
      <c r="B566" s="17" t="s">
        <v>563</v>
      </c>
      <c r="C566" s="12">
        <v>367</v>
      </c>
      <c r="D566" s="11" t="str">
        <f>_xlfn.IFNA(IF(VLOOKUP(Tabela22[[#This Row],[CÓDIGO]],Aguardando_exclusão!A$4:A$4003,1,FALSE),"sim",""),"")</f>
        <v>sim</v>
      </c>
    </row>
    <row r="567" spans="1:4" x14ac:dyDescent="0.3">
      <c r="A567" s="15">
        <v>71190</v>
      </c>
      <c r="B567" s="17" t="s">
        <v>563</v>
      </c>
      <c r="C567" s="12">
        <v>367</v>
      </c>
      <c r="D567" s="11" t="str">
        <f>_xlfn.IFNA(IF(VLOOKUP(Tabela22[[#This Row],[CÓDIGO]],Aguardando_exclusão!A$4:A$4003,1,FALSE),"sim",""),"")</f>
        <v/>
      </c>
    </row>
    <row r="568" spans="1:4" x14ac:dyDescent="0.3">
      <c r="A568" s="15">
        <v>71697</v>
      </c>
      <c r="B568" s="17" t="s">
        <v>564</v>
      </c>
      <c r="C568" s="12">
        <v>367</v>
      </c>
      <c r="D568" s="11" t="str">
        <f>_xlfn.IFNA(IF(VLOOKUP(Tabela22[[#This Row],[CÓDIGO]],Aguardando_exclusão!A$4:A$4003,1,FALSE),"sim",""),"")</f>
        <v/>
      </c>
    </row>
    <row r="569" spans="1:4" x14ac:dyDescent="0.3">
      <c r="A569" s="15">
        <v>71874</v>
      </c>
      <c r="B569" s="17" t="s">
        <v>565</v>
      </c>
      <c r="C569" s="12">
        <v>367</v>
      </c>
      <c r="D569" s="11" t="str">
        <f>_xlfn.IFNA(IF(VLOOKUP(Tabela22[[#This Row],[CÓDIGO]],Aguardando_exclusão!A$4:A$4003,1,FALSE),"sim",""),"")</f>
        <v/>
      </c>
    </row>
    <row r="570" spans="1:4" x14ac:dyDescent="0.3">
      <c r="A570" s="15">
        <v>72052</v>
      </c>
      <c r="B570" s="17" t="s">
        <v>566</v>
      </c>
      <c r="C570" s="12">
        <v>367</v>
      </c>
      <c r="D570" s="11" t="str">
        <f>_xlfn.IFNA(IF(VLOOKUP(Tabela22[[#This Row],[CÓDIGO]],Aguardando_exclusão!A$4:A$4003,1,FALSE),"sim",""),"")</f>
        <v/>
      </c>
    </row>
    <row r="571" spans="1:4" ht="15" customHeight="1" x14ac:dyDescent="0.3">
      <c r="A571" s="15">
        <v>72184</v>
      </c>
      <c r="B571" s="17" t="s">
        <v>567</v>
      </c>
      <c r="C571" s="12">
        <v>367</v>
      </c>
      <c r="D571" s="11" t="str">
        <f>_xlfn.IFNA(IF(VLOOKUP(Tabela22[[#This Row],[CÓDIGO]],Aguardando_exclusão!A$4:A$4003,1,FALSE),"sim",""),"")</f>
        <v/>
      </c>
    </row>
    <row r="572" spans="1:4" x14ac:dyDescent="0.3">
      <c r="A572" s="15">
        <v>72222</v>
      </c>
      <c r="B572" s="17" t="s">
        <v>568</v>
      </c>
      <c r="C572" s="12">
        <v>367</v>
      </c>
      <c r="D572" s="11" t="str">
        <f>_xlfn.IFNA(IF(VLOOKUP(Tabela22[[#This Row],[CÓDIGO]],Aguardando_exclusão!A$4:A$4003,1,FALSE),"sim",""),"")</f>
        <v/>
      </c>
    </row>
    <row r="573" spans="1:4" ht="15" customHeight="1" x14ac:dyDescent="0.3">
      <c r="A573" s="15">
        <v>74124</v>
      </c>
      <c r="B573" s="17" t="s">
        <v>569</v>
      </c>
      <c r="C573" s="12">
        <v>37799</v>
      </c>
      <c r="D573" s="11" t="str">
        <f>_xlfn.IFNA(IF(VLOOKUP(Tabela22[[#This Row],[CÓDIGO]],Aguardando_exclusão!A$4:A$4003,1,FALSE),"sim",""),"")</f>
        <v/>
      </c>
    </row>
    <row r="574" spans="1:4" x14ac:dyDescent="0.3">
      <c r="A574" s="15">
        <v>74491</v>
      </c>
      <c r="B574" s="17" t="s">
        <v>570</v>
      </c>
      <c r="C574" s="12">
        <v>37823</v>
      </c>
      <c r="D574" s="11" t="str">
        <f>_xlfn.IFNA(IF(VLOOKUP(Tabela22[[#This Row],[CÓDIGO]],Aguardando_exclusão!A$4:A$4003,1,FALSE),"sim",""),"")</f>
        <v>sim</v>
      </c>
    </row>
    <row r="575" spans="1:4" x14ac:dyDescent="0.3">
      <c r="A575" s="15">
        <v>74492</v>
      </c>
      <c r="B575" s="17" t="s">
        <v>571</v>
      </c>
      <c r="C575" s="12">
        <v>37823</v>
      </c>
      <c r="D575" s="11" t="str">
        <f>_xlfn.IFNA(IF(VLOOKUP(Tabela22[[#This Row],[CÓDIGO]],Aguardando_exclusão!A$4:A$4003,1,FALSE),"sim",""),"")</f>
        <v>sim</v>
      </c>
    </row>
    <row r="576" spans="1:4" x14ac:dyDescent="0.3">
      <c r="A576" s="15">
        <v>74907</v>
      </c>
      <c r="B576" s="17" t="s">
        <v>572</v>
      </c>
      <c r="C576" s="12">
        <v>37845</v>
      </c>
      <c r="D576" s="11" t="str">
        <f>_xlfn.IFNA(IF(VLOOKUP(Tabela22[[#This Row],[CÓDIGO]],Aguardando_exclusão!A$4:A$4003,1,FALSE),"sim",""),"")</f>
        <v/>
      </c>
    </row>
    <row r="577" spans="1:4" ht="15" customHeight="1" x14ac:dyDescent="0.3">
      <c r="A577" s="15">
        <v>74908</v>
      </c>
      <c r="B577" s="17" t="s">
        <v>573</v>
      </c>
      <c r="C577" s="12">
        <v>37845</v>
      </c>
      <c r="D577" s="11" t="str">
        <f>_xlfn.IFNA(IF(VLOOKUP(Tabela22[[#This Row],[CÓDIGO]],Aguardando_exclusão!A$4:A$4003,1,FALSE),"sim",""),"")</f>
        <v/>
      </c>
    </row>
    <row r="578" spans="1:4" ht="15" customHeight="1" x14ac:dyDescent="0.3">
      <c r="A578" s="15">
        <v>74909</v>
      </c>
      <c r="B578" s="17" t="s">
        <v>574</v>
      </c>
      <c r="C578" s="12">
        <v>37845</v>
      </c>
      <c r="D578" s="11" t="str">
        <f>_xlfn.IFNA(IF(VLOOKUP(Tabela22[[#This Row],[CÓDIGO]],Aguardando_exclusão!A$4:A$4003,1,FALSE),"sim",""),"")</f>
        <v/>
      </c>
    </row>
    <row r="579" spans="1:4" ht="15" customHeight="1" x14ac:dyDescent="0.3">
      <c r="A579" s="15">
        <v>74911</v>
      </c>
      <c r="B579" s="17" t="s">
        <v>575</v>
      </c>
      <c r="C579" s="12">
        <v>37845</v>
      </c>
      <c r="D579" s="11" t="str">
        <f>_xlfn.IFNA(IF(VLOOKUP(Tabela22[[#This Row],[CÓDIGO]],Aguardando_exclusão!A$4:A$4003,1,FALSE),"sim",""),"")</f>
        <v/>
      </c>
    </row>
    <row r="580" spans="1:4" x14ac:dyDescent="0.3">
      <c r="A580" s="15">
        <v>74976</v>
      </c>
      <c r="B580" s="17" t="s">
        <v>576</v>
      </c>
      <c r="C580" s="12">
        <v>37847</v>
      </c>
      <c r="D580" s="11" t="str">
        <f>_xlfn.IFNA(IF(VLOOKUP(Tabela22[[#This Row],[CÓDIGO]],Aguardando_exclusão!A$4:A$4003,1,FALSE),"sim",""),"")</f>
        <v/>
      </c>
    </row>
    <row r="581" spans="1:4" ht="15" customHeight="1" x14ac:dyDescent="0.3">
      <c r="A581" s="15">
        <v>74979</v>
      </c>
      <c r="B581" s="17" t="s">
        <v>577</v>
      </c>
      <c r="C581" s="12">
        <v>37847</v>
      </c>
      <c r="D581" s="11" t="str">
        <f>_xlfn.IFNA(IF(VLOOKUP(Tabela22[[#This Row],[CÓDIGO]],Aguardando_exclusão!A$4:A$4003,1,FALSE),"sim",""),"")</f>
        <v/>
      </c>
    </row>
    <row r="582" spans="1:4" x14ac:dyDescent="0.3">
      <c r="A582" s="15">
        <v>75324</v>
      </c>
      <c r="B582" s="17" t="s">
        <v>578</v>
      </c>
      <c r="C582" s="12">
        <v>37879</v>
      </c>
      <c r="D582" s="11" t="str">
        <f>_xlfn.IFNA(IF(VLOOKUP(Tabela22[[#This Row],[CÓDIGO]],Aguardando_exclusão!A$4:A$4003,1,FALSE),"sim",""),"")</f>
        <v/>
      </c>
    </row>
    <row r="583" spans="1:4" x14ac:dyDescent="0.3">
      <c r="A583" s="15">
        <v>75334</v>
      </c>
      <c r="B583" s="17" t="s">
        <v>579</v>
      </c>
      <c r="C583" s="12">
        <v>37879</v>
      </c>
      <c r="D583" s="11" t="str">
        <f>_xlfn.IFNA(IF(VLOOKUP(Tabela22[[#This Row],[CÓDIGO]],Aguardando_exclusão!A$4:A$4003,1,FALSE),"sim",""),"")</f>
        <v/>
      </c>
    </row>
    <row r="584" spans="1:4" x14ac:dyDescent="0.3">
      <c r="A584" s="15">
        <v>75915</v>
      </c>
      <c r="B584" s="17" t="s">
        <v>580</v>
      </c>
      <c r="C584" s="12">
        <v>37929</v>
      </c>
      <c r="D584" s="11" t="str">
        <f>_xlfn.IFNA(IF(VLOOKUP(Tabela22[[#This Row],[CÓDIGO]],Aguardando_exclusão!A$4:A$4003,1,FALSE),"sim",""),"")</f>
        <v/>
      </c>
    </row>
    <row r="585" spans="1:4" x14ac:dyDescent="0.3">
      <c r="A585" s="15">
        <v>75938</v>
      </c>
      <c r="B585" s="17" t="s">
        <v>581</v>
      </c>
      <c r="C585" s="12">
        <v>37931</v>
      </c>
      <c r="D585" s="11" t="str">
        <f>_xlfn.IFNA(IF(VLOOKUP(Tabela22[[#This Row],[CÓDIGO]],Aguardando_exclusão!A$4:A$4003,1,FALSE),"sim",""),"")</f>
        <v/>
      </c>
    </row>
    <row r="586" spans="1:4" x14ac:dyDescent="0.3">
      <c r="A586" s="15">
        <v>76217</v>
      </c>
      <c r="B586" s="17" t="s">
        <v>582</v>
      </c>
      <c r="C586" s="12">
        <v>37956</v>
      </c>
      <c r="D586" s="11" t="str">
        <f>_xlfn.IFNA(IF(VLOOKUP(Tabela22[[#This Row],[CÓDIGO]],Aguardando_exclusão!A$4:A$4003,1,FALSE),"sim",""),"")</f>
        <v/>
      </c>
    </row>
    <row r="587" spans="1:4" x14ac:dyDescent="0.3">
      <c r="A587" s="15">
        <v>76218</v>
      </c>
      <c r="B587" s="17" t="s">
        <v>583</v>
      </c>
      <c r="C587" s="12">
        <v>37956</v>
      </c>
      <c r="D587" s="11" t="str">
        <f>_xlfn.IFNA(IF(VLOOKUP(Tabela22[[#This Row],[CÓDIGO]],Aguardando_exclusão!A$4:A$4003,1,FALSE),"sim",""),"")</f>
        <v/>
      </c>
    </row>
    <row r="588" spans="1:4" x14ac:dyDescent="0.3">
      <c r="A588" s="15">
        <v>76430</v>
      </c>
      <c r="B588" s="17" t="s">
        <v>584</v>
      </c>
      <c r="C588" s="12">
        <v>37972</v>
      </c>
      <c r="D588" s="11" t="str">
        <f>_xlfn.IFNA(IF(VLOOKUP(Tabela22[[#This Row],[CÓDIGO]],Aguardando_exclusão!A$4:A$4003,1,FALSE),"sim",""),"")</f>
        <v/>
      </c>
    </row>
    <row r="589" spans="1:4" x14ac:dyDescent="0.3">
      <c r="A589" s="15">
        <v>76583</v>
      </c>
      <c r="B589" s="17" t="s">
        <v>585</v>
      </c>
      <c r="C589" s="12">
        <v>37995</v>
      </c>
      <c r="D589" s="11" t="str">
        <f>_xlfn.IFNA(IF(VLOOKUP(Tabela22[[#This Row],[CÓDIGO]],Aguardando_exclusão!A$4:A$4003,1,FALSE),"sim",""),"")</f>
        <v/>
      </c>
    </row>
    <row r="590" spans="1:4" ht="15" customHeight="1" x14ac:dyDescent="0.3">
      <c r="A590" s="15">
        <v>76776</v>
      </c>
      <c r="B590" s="17" t="s">
        <v>586</v>
      </c>
      <c r="C590" s="12">
        <v>38014</v>
      </c>
      <c r="D590" s="11" t="str">
        <f>_xlfn.IFNA(IF(VLOOKUP(Tabela22[[#This Row],[CÓDIGO]],Aguardando_exclusão!A$4:A$4003,1,FALSE),"sim",""),"")</f>
        <v/>
      </c>
    </row>
    <row r="591" spans="1:4" x14ac:dyDescent="0.3">
      <c r="A591" s="15">
        <v>76777</v>
      </c>
      <c r="B591" s="17" t="s">
        <v>587</v>
      </c>
      <c r="C591" s="12">
        <v>38014</v>
      </c>
      <c r="D591" s="11" t="str">
        <f>_xlfn.IFNA(IF(VLOOKUP(Tabela22[[#This Row],[CÓDIGO]],Aguardando_exclusão!A$4:A$4003,1,FALSE),"sim",""),"")</f>
        <v/>
      </c>
    </row>
    <row r="592" spans="1:4" x14ac:dyDescent="0.3">
      <c r="A592" s="15">
        <v>76780</v>
      </c>
      <c r="B592" s="17" t="s">
        <v>588</v>
      </c>
      <c r="C592" s="12">
        <v>38014</v>
      </c>
      <c r="D592" s="11" t="str">
        <f>_xlfn.IFNA(IF(VLOOKUP(Tabela22[[#This Row],[CÓDIGO]],Aguardando_exclusão!A$4:A$4003,1,FALSE),"sim",""),"")</f>
        <v/>
      </c>
    </row>
    <row r="593" spans="1:4" x14ac:dyDescent="0.3">
      <c r="A593" s="15">
        <v>76781</v>
      </c>
      <c r="B593" s="17" t="s">
        <v>589</v>
      </c>
      <c r="C593" s="12">
        <v>38014</v>
      </c>
      <c r="D593" s="11" t="str">
        <f>_xlfn.IFNA(IF(VLOOKUP(Tabela22[[#This Row],[CÓDIGO]],Aguardando_exclusão!A$4:A$4003,1,FALSE),"sim",""),"")</f>
        <v/>
      </c>
    </row>
    <row r="594" spans="1:4" x14ac:dyDescent="0.3">
      <c r="A594" s="15">
        <v>76806</v>
      </c>
      <c r="B594" s="17" t="s">
        <v>590</v>
      </c>
      <c r="C594" s="12">
        <v>38014</v>
      </c>
      <c r="D594" s="11" t="str">
        <f>_xlfn.IFNA(IF(VLOOKUP(Tabela22[[#This Row],[CÓDIGO]],Aguardando_exclusão!A$4:A$4003,1,FALSE),"sim",""),"")</f>
        <v/>
      </c>
    </row>
    <row r="595" spans="1:4" x14ac:dyDescent="0.3">
      <c r="A595" s="15">
        <v>77109</v>
      </c>
      <c r="B595" s="17" t="s">
        <v>591</v>
      </c>
      <c r="C595" s="12">
        <v>38028</v>
      </c>
      <c r="D595" s="11" t="str">
        <f>_xlfn.IFNA(IF(VLOOKUP(Tabela22[[#This Row],[CÓDIGO]],Aguardando_exclusão!A$4:A$4003,1,FALSE),"sim",""),"")</f>
        <v/>
      </c>
    </row>
    <row r="596" spans="1:4" x14ac:dyDescent="0.3">
      <c r="A596" s="15">
        <v>77110</v>
      </c>
      <c r="B596" s="17" t="s">
        <v>592</v>
      </c>
      <c r="C596" s="12">
        <v>38028</v>
      </c>
      <c r="D596" s="11" t="str">
        <f>_xlfn.IFNA(IF(VLOOKUP(Tabela22[[#This Row],[CÓDIGO]],Aguardando_exclusão!A$4:A$4003,1,FALSE),"sim",""),"")</f>
        <v/>
      </c>
    </row>
    <row r="597" spans="1:4" x14ac:dyDescent="0.3">
      <c r="A597" s="15">
        <v>77493</v>
      </c>
      <c r="B597" s="17" t="s">
        <v>593</v>
      </c>
      <c r="C597" s="12">
        <v>38054</v>
      </c>
      <c r="D597" s="11" t="str">
        <f>_xlfn.IFNA(IF(VLOOKUP(Tabela22[[#This Row],[CÓDIGO]],Aguardando_exclusão!A$4:A$4003,1,FALSE),"sim",""),"")</f>
        <v/>
      </c>
    </row>
    <row r="598" spans="1:4" x14ac:dyDescent="0.3">
      <c r="A598" s="15">
        <v>77554</v>
      </c>
      <c r="B598" s="17" t="s">
        <v>594</v>
      </c>
      <c r="C598" s="12">
        <v>38054</v>
      </c>
      <c r="D598" s="11" t="str">
        <f>_xlfn.IFNA(IF(VLOOKUP(Tabela22[[#This Row],[CÓDIGO]],Aguardando_exclusão!A$4:A$4003,1,FALSE),"sim",""),"")</f>
        <v/>
      </c>
    </row>
    <row r="599" spans="1:4" x14ac:dyDescent="0.3">
      <c r="A599" s="15">
        <v>77556</v>
      </c>
      <c r="B599" s="17" t="s">
        <v>595</v>
      </c>
      <c r="C599" s="12">
        <v>38056</v>
      </c>
      <c r="D599" s="11" t="str">
        <f>_xlfn.IFNA(IF(VLOOKUP(Tabela22[[#This Row],[CÓDIGO]],Aguardando_exclusão!A$4:A$4003,1,FALSE),"sim",""),"")</f>
        <v/>
      </c>
    </row>
    <row r="600" spans="1:4" x14ac:dyDescent="0.3">
      <c r="A600" s="15">
        <v>77557</v>
      </c>
      <c r="B600" s="17" t="s">
        <v>596</v>
      </c>
      <c r="C600" s="12">
        <v>38056</v>
      </c>
      <c r="D600" s="11" t="str">
        <f>_xlfn.IFNA(IF(VLOOKUP(Tabela22[[#This Row],[CÓDIGO]],Aguardando_exclusão!A$4:A$4003,1,FALSE),"sim",""),"")</f>
        <v/>
      </c>
    </row>
    <row r="601" spans="1:4" x14ac:dyDescent="0.3">
      <c r="A601" s="15">
        <v>77562</v>
      </c>
      <c r="B601" s="17" t="s">
        <v>597</v>
      </c>
      <c r="C601" s="12">
        <v>38056</v>
      </c>
      <c r="D601" s="11" t="str">
        <f>_xlfn.IFNA(IF(VLOOKUP(Tabela22[[#This Row],[CÓDIGO]],Aguardando_exclusão!A$4:A$4003,1,FALSE),"sim",""),"")</f>
        <v/>
      </c>
    </row>
    <row r="602" spans="1:4" x14ac:dyDescent="0.3">
      <c r="A602" s="15">
        <v>77755</v>
      </c>
      <c r="B602" s="17" t="s">
        <v>598</v>
      </c>
      <c r="C602" s="12">
        <v>38063</v>
      </c>
      <c r="D602" s="11" t="str">
        <f>_xlfn.IFNA(IF(VLOOKUP(Tabela22[[#This Row],[CÓDIGO]],Aguardando_exclusão!A$4:A$4003,1,FALSE),"sim",""),"")</f>
        <v/>
      </c>
    </row>
    <row r="603" spans="1:4" x14ac:dyDescent="0.3">
      <c r="A603" s="15">
        <v>77786</v>
      </c>
      <c r="B603" s="17" t="s">
        <v>599</v>
      </c>
      <c r="C603" s="12">
        <v>38064</v>
      </c>
      <c r="D603" s="11" t="str">
        <f>_xlfn.IFNA(IF(VLOOKUP(Tabela22[[#This Row],[CÓDIGO]],Aguardando_exclusão!A$4:A$4003,1,FALSE),"sim",""),"")</f>
        <v/>
      </c>
    </row>
    <row r="604" spans="1:4" x14ac:dyDescent="0.3">
      <c r="A604" s="15">
        <v>77788</v>
      </c>
      <c r="B604" s="17" t="s">
        <v>600</v>
      </c>
      <c r="C604" s="12">
        <v>38064</v>
      </c>
      <c r="D604" s="11" t="str">
        <f>_xlfn.IFNA(IF(VLOOKUP(Tabela22[[#This Row],[CÓDIGO]],Aguardando_exclusão!A$4:A$4003,1,FALSE),"sim",""),"")</f>
        <v/>
      </c>
    </row>
    <row r="605" spans="1:4" x14ac:dyDescent="0.3">
      <c r="A605" s="15">
        <v>77819</v>
      </c>
      <c r="B605" s="17" t="s">
        <v>601</v>
      </c>
      <c r="C605" s="12">
        <v>38065</v>
      </c>
      <c r="D605" s="11" t="str">
        <f>_xlfn.IFNA(IF(VLOOKUP(Tabela22[[#This Row],[CÓDIGO]],Aguardando_exclusão!A$4:A$4003,1,FALSE),"sim",""),"")</f>
        <v/>
      </c>
    </row>
    <row r="606" spans="1:4" x14ac:dyDescent="0.3">
      <c r="A606" s="15">
        <v>77821</v>
      </c>
      <c r="B606" s="17" t="s">
        <v>602</v>
      </c>
      <c r="C606" s="12">
        <v>38065</v>
      </c>
      <c r="D606" s="11" t="str">
        <f>_xlfn.IFNA(IF(VLOOKUP(Tabela22[[#This Row],[CÓDIGO]],Aguardando_exclusão!A$4:A$4003,1,FALSE),"sim",""),"")</f>
        <v/>
      </c>
    </row>
    <row r="607" spans="1:4" ht="15" customHeight="1" x14ac:dyDescent="0.3">
      <c r="A607" s="15">
        <v>77822</v>
      </c>
      <c r="B607" s="17" t="s">
        <v>603</v>
      </c>
      <c r="C607" s="12">
        <v>38065</v>
      </c>
      <c r="D607" s="11" t="str">
        <f>_xlfn.IFNA(IF(VLOOKUP(Tabela22[[#This Row],[CÓDIGO]],Aguardando_exclusão!A$4:A$4003,1,FALSE),"sim",""),"")</f>
        <v/>
      </c>
    </row>
    <row r="608" spans="1:4" x14ac:dyDescent="0.3">
      <c r="A608" s="15">
        <v>77823</v>
      </c>
      <c r="B608" s="17" t="s">
        <v>604</v>
      </c>
      <c r="C608" s="12">
        <v>38065</v>
      </c>
      <c r="D608" s="11" t="str">
        <f>_xlfn.IFNA(IF(VLOOKUP(Tabela22[[#This Row],[CÓDIGO]],Aguardando_exclusão!A$4:A$4003,1,FALSE),"sim",""),"")</f>
        <v/>
      </c>
    </row>
    <row r="609" spans="1:4" x14ac:dyDescent="0.3">
      <c r="A609" s="15">
        <v>77992</v>
      </c>
      <c r="B609" s="17" t="s">
        <v>605</v>
      </c>
      <c r="C609" s="12">
        <v>38070</v>
      </c>
      <c r="D609" s="11" t="str">
        <f>_xlfn.IFNA(IF(VLOOKUP(Tabela22[[#This Row],[CÓDIGO]],Aguardando_exclusão!A$4:A$4003,1,FALSE),"sim",""),"")</f>
        <v/>
      </c>
    </row>
    <row r="610" spans="1:4" x14ac:dyDescent="0.3">
      <c r="A610" s="15">
        <v>78024</v>
      </c>
      <c r="B610" s="17" t="s">
        <v>606</v>
      </c>
      <c r="C610" s="12">
        <v>38071</v>
      </c>
      <c r="D610" s="11" t="str">
        <f>_xlfn.IFNA(IF(VLOOKUP(Tabela22[[#This Row],[CÓDIGO]],Aguardando_exclusão!A$4:A$4003,1,FALSE),"sim",""),"")</f>
        <v/>
      </c>
    </row>
    <row r="611" spans="1:4" x14ac:dyDescent="0.3">
      <c r="A611" s="15">
        <v>78025</v>
      </c>
      <c r="B611" s="17" t="s">
        <v>607</v>
      </c>
      <c r="C611" s="12">
        <v>38071</v>
      </c>
      <c r="D611" s="11" t="str">
        <f>_xlfn.IFNA(IF(VLOOKUP(Tabela22[[#This Row],[CÓDIGO]],Aguardando_exclusão!A$4:A$4003,1,FALSE),"sim",""),"")</f>
        <v/>
      </c>
    </row>
    <row r="612" spans="1:4" x14ac:dyDescent="0.3">
      <c r="A612" s="15">
        <v>78026</v>
      </c>
      <c r="B612" s="17" t="s">
        <v>608</v>
      </c>
      <c r="C612" s="12">
        <v>38071</v>
      </c>
      <c r="D612" s="11" t="str">
        <f>_xlfn.IFNA(IF(VLOOKUP(Tabela22[[#This Row],[CÓDIGO]],Aguardando_exclusão!A$4:A$4003,1,FALSE),"sim",""),"")</f>
        <v/>
      </c>
    </row>
    <row r="613" spans="1:4" x14ac:dyDescent="0.3">
      <c r="A613" s="15">
        <v>78027</v>
      </c>
      <c r="B613" s="17" t="s">
        <v>609</v>
      </c>
      <c r="C613" s="12">
        <v>38071</v>
      </c>
      <c r="D613" s="11" t="str">
        <f>_xlfn.IFNA(IF(VLOOKUP(Tabela22[[#This Row],[CÓDIGO]],Aguardando_exclusão!A$4:A$4003,1,FALSE),"sim",""),"")</f>
        <v>sim</v>
      </c>
    </row>
    <row r="614" spans="1:4" x14ac:dyDescent="0.3">
      <c r="A614" s="15">
        <v>78043</v>
      </c>
      <c r="B614" s="17" t="s">
        <v>610</v>
      </c>
      <c r="C614" s="12">
        <v>38071</v>
      </c>
      <c r="D614" s="11" t="str">
        <f>_xlfn.IFNA(IF(VLOOKUP(Tabela22[[#This Row],[CÓDIGO]],Aguardando_exclusão!A$4:A$4003,1,FALSE),"sim",""),"")</f>
        <v>sim</v>
      </c>
    </row>
    <row r="615" spans="1:4" x14ac:dyDescent="0.3">
      <c r="A615" s="15">
        <v>78055</v>
      </c>
      <c r="B615" s="17" t="s">
        <v>611</v>
      </c>
      <c r="C615" s="12">
        <v>38072</v>
      </c>
      <c r="D615" s="11" t="str">
        <f>_xlfn.IFNA(IF(VLOOKUP(Tabela22[[#This Row],[CÓDIGO]],Aguardando_exclusão!A$4:A$4003,1,FALSE),"sim",""),"")</f>
        <v/>
      </c>
    </row>
    <row r="616" spans="1:4" x14ac:dyDescent="0.3">
      <c r="A616" s="15">
        <v>78057</v>
      </c>
      <c r="B616" s="17" t="s">
        <v>612</v>
      </c>
      <c r="C616" s="12">
        <v>38072</v>
      </c>
      <c r="D616" s="11" t="str">
        <f>_xlfn.IFNA(IF(VLOOKUP(Tabela22[[#This Row],[CÓDIGO]],Aguardando_exclusão!A$4:A$4003,1,FALSE),"sim",""),"")</f>
        <v/>
      </c>
    </row>
    <row r="617" spans="1:4" ht="15" customHeight="1" x14ac:dyDescent="0.3">
      <c r="A617" s="15">
        <v>78181</v>
      </c>
      <c r="B617" s="17" t="s">
        <v>613</v>
      </c>
      <c r="C617" s="12">
        <v>38079</v>
      </c>
      <c r="D617" s="11" t="str">
        <f>_xlfn.IFNA(IF(VLOOKUP(Tabela22[[#This Row],[CÓDIGO]],Aguardando_exclusão!A$4:A$4003,1,FALSE),"sim",""),"")</f>
        <v/>
      </c>
    </row>
    <row r="618" spans="1:4" x14ac:dyDescent="0.3">
      <c r="A618" s="15">
        <v>78303</v>
      </c>
      <c r="B618" s="17" t="s">
        <v>614</v>
      </c>
      <c r="C618" s="12">
        <v>38085</v>
      </c>
      <c r="D618" s="11" t="str">
        <f>_xlfn.IFNA(IF(VLOOKUP(Tabela22[[#This Row],[CÓDIGO]],Aguardando_exclusão!A$4:A$4003,1,FALSE),"sim",""),"")</f>
        <v/>
      </c>
    </row>
    <row r="619" spans="1:4" x14ac:dyDescent="0.3">
      <c r="A619" s="15">
        <v>78304</v>
      </c>
      <c r="B619" s="17" t="s">
        <v>615</v>
      </c>
      <c r="C619" s="12">
        <v>38085</v>
      </c>
      <c r="D619" s="11" t="str">
        <f>_xlfn.IFNA(IF(VLOOKUP(Tabela22[[#This Row],[CÓDIGO]],Aguardando_exclusão!A$4:A$4003,1,FALSE),"sim",""),"")</f>
        <v>sim</v>
      </c>
    </row>
    <row r="620" spans="1:4" x14ac:dyDescent="0.3">
      <c r="A620" s="15">
        <v>78306</v>
      </c>
      <c r="B620" s="17" t="s">
        <v>616</v>
      </c>
      <c r="C620" s="12">
        <v>38085</v>
      </c>
      <c r="D620" s="11" t="str">
        <f>_xlfn.IFNA(IF(VLOOKUP(Tabela22[[#This Row],[CÓDIGO]],Aguardando_exclusão!A$4:A$4003,1,FALSE),"sim",""),"")</f>
        <v/>
      </c>
    </row>
    <row r="621" spans="1:4" x14ac:dyDescent="0.3">
      <c r="A621" s="15">
        <v>78307</v>
      </c>
      <c r="B621" s="17" t="s">
        <v>617</v>
      </c>
      <c r="C621" s="12">
        <v>38085</v>
      </c>
      <c r="D621" s="11" t="str">
        <f>_xlfn.IFNA(IF(VLOOKUP(Tabela22[[#This Row],[CÓDIGO]],Aguardando_exclusão!A$4:A$4003,1,FALSE),"sim",""),"")</f>
        <v/>
      </c>
    </row>
    <row r="622" spans="1:4" x14ac:dyDescent="0.3">
      <c r="A622" s="15">
        <v>78398</v>
      </c>
      <c r="B622" s="17" t="s">
        <v>618</v>
      </c>
      <c r="C622" s="12">
        <v>38096</v>
      </c>
      <c r="D622" s="11" t="str">
        <f>_xlfn.IFNA(IF(VLOOKUP(Tabela22[[#This Row],[CÓDIGO]],Aguardando_exclusão!A$4:A$4003,1,FALSE),"sim",""),"")</f>
        <v/>
      </c>
    </row>
    <row r="623" spans="1:4" x14ac:dyDescent="0.3">
      <c r="A623" s="15">
        <v>78399</v>
      </c>
      <c r="B623" s="17" t="s">
        <v>619</v>
      </c>
      <c r="C623" s="12">
        <v>38096</v>
      </c>
      <c r="D623" s="11" t="str">
        <f>_xlfn.IFNA(IF(VLOOKUP(Tabela22[[#This Row],[CÓDIGO]],Aguardando_exclusão!A$4:A$4003,1,FALSE),"sim",""),"")</f>
        <v/>
      </c>
    </row>
    <row r="624" spans="1:4" x14ac:dyDescent="0.3">
      <c r="A624" s="15">
        <v>78416</v>
      </c>
      <c r="B624" s="17" t="s">
        <v>620</v>
      </c>
      <c r="C624" s="12">
        <v>38097</v>
      </c>
      <c r="D624" s="11" t="str">
        <f>_xlfn.IFNA(IF(VLOOKUP(Tabela22[[#This Row],[CÓDIGO]],Aguardando_exclusão!A$4:A$4003,1,FALSE),"sim",""),"")</f>
        <v/>
      </c>
    </row>
    <row r="625" spans="1:4" ht="15" customHeight="1" x14ac:dyDescent="0.3">
      <c r="A625" s="15">
        <v>78418</v>
      </c>
      <c r="B625" s="17" t="s">
        <v>621</v>
      </c>
      <c r="C625" s="12">
        <v>38097</v>
      </c>
      <c r="D625" s="11" t="str">
        <f>_xlfn.IFNA(IF(VLOOKUP(Tabela22[[#This Row],[CÓDIGO]],Aguardando_exclusão!A$4:A$4003,1,FALSE),"sim",""),"")</f>
        <v/>
      </c>
    </row>
    <row r="626" spans="1:4" x14ac:dyDescent="0.3">
      <c r="A626" s="16">
        <v>78509</v>
      </c>
      <c r="B626" s="18" t="s">
        <v>622</v>
      </c>
      <c r="C626" s="13">
        <v>38100</v>
      </c>
      <c r="D626" s="11" t="str">
        <f>_xlfn.IFNA(IF(VLOOKUP(Tabela22[[#This Row],[CÓDIGO]],Aguardando_exclusão!A$4:A$4003,1,FALSE),"sim",""),"")</f>
        <v/>
      </c>
    </row>
    <row r="627" spans="1:4" x14ac:dyDescent="0.3">
      <c r="A627" s="15">
        <v>78641</v>
      </c>
      <c r="B627" s="17" t="s">
        <v>623</v>
      </c>
      <c r="C627" s="12">
        <v>38104</v>
      </c>
      <c r="D627" s="11" t="str">
        <f>_xlfn.IFNA(IF(VLOOKUP(Tabela22[[#This Row],[CÓDIGO]],Aguardando_exclusão!A$4:A$4003,1,FALSE),"sim",""),"")</f>
        <v/>
      </c>
    </row>
    <row r="628" spans="1:4" x14ac:dyDescent="0.3">
      <c r="A628" s="15">
        <v>78642</v>
      </c>
      <c r="B628" s="17" t="s">
        <v>624</v>
      </c>
      <c r="C628" s="12">
        <v>38104</v>
      </c>
      <c r="D628" s="11" t="str">
        <f>_xlfn.IFNA(IF(VLOOKUP(Tabela22[[#This Row],[CÓDIGO]],Aguardando_exclusão!A$4:A$4003,1,FALSE),"sim",""),"")</f>
        <v/>
      </c>
    </row>
    <row r="629" spans="1:4" x14ac:dyDescent="0.3">
      <c r="A629" s="15">
        <v>78643</v>
      </c>
      <c r="B629" s="17" t="s">
        <v>625</v>
      </c>
      <c r="C629" s="12">
        <v>38104</v>
      </c>
      <c r="D629" s="11" t="str">
        <f>_xlfn.IFNA(IF(VLOOKUP(Tabela22[[#This Row],[CÓDIGO]],Aguardando_exclusão!A$4:A$4003,1,FALSE),"sim",""),"")</f>
        <v/>
      </c>
    </row>
    <row r="630" spans="1:4" x14ac:dyDescent="0.3">
      <c r="A630" s="15">
        <v>78646</v>
      </c>
      <c r="B630" s="17" t="s">
        <v>626</v>
      </c>
      <c r="C630" s="12">
        <v>38104</v>
      </c>
      <c r="D630" s="11" t="str">
        <f>_xlfn.IFNA(IF(VLOOKUP(Tabela22[[#This Row],[CÓDIGO]],Aguardando_exclusão!A$4:A$4003,1,FALSE),"sim",""),"")</f>
        <v/>
      </c>
    </row>
    <row r="631" spans="1:4" x14ac:dyDescent="0.3">
      <c r="A631" s="15">
        <v>78920</v>
      </c>
      <c r="B631" s="17" t="s">
        <v>627</v>
      </c>
      <c r="C631" s="12">
        <v>38113</v>
      </c>
      <c r="D631" s="11" t="str">
        <f>_xlfn.IFNA(IF(VLOOKUP(Tabela22[[#This Row],[CÓDIGO]],Aguardando_exclusão!A$4:A$4003,1,FALSE),"sim",""),"")</f>
        <v/>
      </c>
    </row>
    <row r="632" spans="1:4" x14ac:dyDescent="0.3">
      <c r="A632" s="15">
        <v>79635</v>
      </c>
      <c r="B632" s="17" t="s">
        <v>628</v>
      </c>
      <c r="C632" s="12">
        <v>38135</v>
      </c>
      <c r="D632" s="11" t="str">
        <f>_xlfn.IFNA(IF(VLOOKUP(Tabela22[[#This Row],[CÓDIGO]],Aguardando_exclusão!A$4:A$4003,1,FALSE),"sim",""),"")</f>
        <v/>
      </c>
    </row>
    <row r="633" spans="1:4" x14ac:dyDescent="0.3">
      <c r="A633" s="15">
        <v>79687</v>
      </c>
      <c r="B633" s="17" t="s">
        <v>629</v>
      </c>
      <c r="C633" s="12">
        <v>38138</v>
      </c>
      <c r="D633" s="11" t="str">
        <f>_xlfn.IFNA(IF(VLOOKUP(Tabela22[[#This Row],[CÓDIGO]],Aguardando_exclusão!A$4:A$4003,1,FALSE),"sim",""),"")</f>
        <v/>
      </c>
    </row>
    <row r="634" spans="1:4" x14ac:dyDescent="0.3">
      <c r="A634" s="15">
        <v>79688</v>
      </c>
      <c r="B634" s="17" t="s">
        <v>630</v>
      </c>
      <c r="C634" s="12">
        <v>38138</v>
      </c>
      <c r="D634" s="11" t="str">
        <f>_xlfn.IFNA(IF(VLOOKUP(Tabela22[[#This Row],[CÓDIGO]],Aguardando_exclusão!A$4:A$4003,1,FALSE),"sim",""),"")</f>
        <v/>
      </c>
    </row>
    <row r="635" spans="1:4" x14ac:dyDescent="0.3">
      <c r="A635" s="15">
        <v>80297</v>
      </c>
      <c r="B635" s="17" t="s">
        <v>631</v>
      </c>
      <c r="C635" s="12">
        <v>38166</v>
      </c>
      <c r="D635" s="11" t="str">
        <f>_xlfn.IFNA(IF(VLOOKUP(Tabela22[[#This Row],[CÓDIGO]],Aguardando_exclusão!A$4:A$4003,1,FALSE),"sim",""),"")</f>
        <v>sim</v>
      </c>
    </row>
    <row r="636" spans="1:4" x14ac:dyDescent="0.3">
      <c r="A636" s="15">
        <v>80298</v>
      </c>
      <c r="B636" s="17" t="s">
        <v>632</v>
      </c>
      <c r="C636" s="12">
        <v>38166</v>
      </c>
      <c r="D636" s="11" t="str">
        <f>_xlfn.IFNA(IF(VLOOKUP(Tabela22[[#This Row],[CÓDIGO]],Aguardando_exclusão!A$4:A$4003,1,FALSE),"sim",""),"")</f>
        <v/>
      </c>
    </row>
    <row r="637" spans="1:4" x14ac:dyDescent="0.3">
      <c r="A637" s="15">
        <v>80300</v>
      </c>
      <c r="B637" s="17" t="s">
        <v>633</v>
      </c>
      <c r="C637" s="12">
        <v>38166</v>
      </c>
      <c r="D637" s="11" t="str">
        <f>_xlfn.IFNA(IF(VLOOKUP(Tabela22[[#This Row],[CÓDIGO]],Aguardando_exclusão!A$4:A$4003,1,FALSE),"sim",""),"")</f>
        <v/>
      </c>
    </row>
    <row r="638" spans="1:4" x14ac:dyDescent="0.3">
      <c r="A638" s="15">
        <v>80384</v>
      </c>
      <c r="B638" s="17" t="s">
        <v>634</v>
      </c>
      <c r="C638" s="12">
        <v>38169</v>
      </c>
      <c r="D638" s="11" t="str">
        <f>_xlfn.IFNA(IF(VLOOKUP(Tabela22[[#This Row],[CÓDIGO]],Aguardando_exclusão!A$4:A$4003,1,FALSE),"sim",""),"")</f>
        <v/>
      </c>
    </row>
    <row r="639" spans="1:4" x14ac:dyDescent="0.3">
      <c r="A639" s="15">
        <v>80385</v>
      </c>
      <c r="B639" s="17" t="s">
        <v>635</v>
      </c>
      <c r="C639" s="12">
        <v>38169</v>
      </c>
      <c r="D639" s="11" t="str">
        <f>_xlfn.IFNA(IF(VLOOKUP(Tabela22[[#This Row],[CÓDIGO]],Aguardando_exclusão!A$4:A$4003,1,FALSE),"sim",""),"")</f>
        <v/>
      </c>
    </row>
    <row r="640" spans="1:4" x14ac:dyDescent="0.3">
      <c r="A640" s="15">
        <v>80387</v>
      </c>
      <c r="B640" s="17" t="s">
        <v>636</v>
      </c>
      <c r="C640" s="12">
        <v>38169</v>
      </c>
      <c r="D640" s="11" t="str">
        <f>_xlfn.IFNA(IF(VLOOKUP(Tabela22[[#This Row],[CÓDIGO]],Aguardando_exclusão!A$4:A$4003,1,FALSE),"sim",""),"")</f>
        <v/>
      </c>
    </row>
    <row r="641" spans="1:4" x14ac:dyDescent="0.3">
      <c r="A641" s="15">
        <v>80388</v>
      </c>
      <c r="B641" s="17" t="s">
        <v>637</v>
      </c>
      <c r="C641" s="12">
        <v>38169</v>
      </c>
      <c r="D641" s="11" t="str">
        <f>_xlfn.IFNA(IF(VLOOKUP(Tabela22[[#This Row],[CÓDIGO]],Aguardando_exclusão!A$4:A$4003,1,FALSE),"sim",""),"")</f>
        <v>sim</v>
      </c>
    </row>
    <row r="642" spans="1:4" x14ac:dyDescent="0.3">
      <c r="A642" s="15">
        <v>80390</v>
      </c>
      <c r="B642" s="17" t="s">
        <v>638</v>
      </c>
      <c r="C642" s="12">
        <v>38169</v>
      </c>
      <c r="D642" s="11" t="str">
        <f>_xlfn.IFNA(IF(VLOOKUP(Tabela22[[#This Row],[CÓDIGO]],Aguardando_exclusão!A$4:A$4003,1,FALSE),"sim",""),"")</f>
        <v/>
      </c>
    </row>
    <row r="643" spans="1:4" ht="15" customHeight="1" x14ac:dyDescent="0.3">
      <c r="A643" s="15">
        <v>80391</v>
      </c>
      <c r="B643" s="17" t="s">
        <v>639</v>
      </c>
      <c r="C643" s="12">
        <v>38169</v>
      </c>
      <c r="D643" s="11" t="str">
        <f>_xlfn.IFNA(IF(VLOOKUP(Tabela22[[#This Row],[CÓDIGO]],Aguardando_exclusão!A$4:A$4003,1,FALSE),"sim",""),"")</f>
        <v>sim</v>
      </c>
    </row>
    <row r="644" spans="1:4" x14ac:dyDescent="0.3">
      <c r="A644" s="15">
        <v>80575</v>
      </c>
      <c r="B644" s="17" t="s">
        <v>640</v>
      </c>
      <c r="C644" s="12">
        <v>38180</v>
      </c>
      <c r="D644" s="11" t="str">
        <f>_xlfn.IFNA(IF(VLOOKUP(Tabela22[[#This Row],[CÓDIGO]],Aguardando_exclusão!A$4:A$4003,1,FALSE),"sim",""),"")</f>
        <v>sim</v>
      </c>
    </row>
    <row r="645" spans="1:4" x14ac:dyDescent="0.3">
      <c r="A645" s="15">
        <v>80650</v>
      </c>
      <c r="B645" s="17" t="s">
        <v>641</v>
      </c>
      <c r="C645" s="12">
        <v>38187</v>
      </c>
      <c r="D645" s="11" t="str">
        <f>_xlfn.IFNA(IF(VLOOKUP(Tabela22[[#This Row],[CÓDIGO]],Aguardando_exclusão!A$4:A$4003,1,FALSE),"sim",""),"")</f>
        <v/>
      </c>
    </row>
    <row r="646" spans="1:4" x14ac:dyDescent="0.3">
      <c r="A646" s="15">
        <v>80749</v>
      </c>
      <c r="B646" s="17" t="s">
        <v>642</v>
      </c>
      <c r="C646" s="12">
        <v>38189</v>
      </c>
      <c r="D646" s="11" t="str">
        <f>_xlfn.IFNA(IF(VLOOKUP(Tabela22[[#This Row],[CÓDIGO]],Aguardando_exclusão!A$4:A$4003,1,FALSE),"sim",""),"")</f>
        <v>sim</v>
      </c>
    </row>
    <row r="647" spans="1:4" ht="15" customHeight="1" x14ac:dyDescent="0.3">
      <c r="A647" s="15">
        <v>80872</v>
      </c>
      <c r="B647" s="17" t="s">
        <v>643</v>
      </c>
      <c r="C647" s="12">
        <v>38170</v>
      </c>
      <c r="D647" s="11" t="str">
        <f>_xlfn.IFNA(IF(VLOOKUP(Tabela22[[#This Row],[CÓDIGO]],Aguardando_exclusão!A$4:A$4003,1,FALSE),"sim",""),"")</f>
        <v/>
      </c>
    </row>
    <row r="648" spans="1:4" ht="15" customHeight="1" x14ac:dyDescent="0.3">
      <c r="A648" s="15">
        <v>80874</v>
      </c>
      <c r="B648" s="17" t="s">
        <v>644</v>
      </c>
      <c r="C648" s="12">
        <v>38196</v>
      </c>
      <c r="D648" s="11" t="str">
        <f>_xlfn.IFNA(IF(VLOOKUP(Tabela22[[#This Row],[CÓDIGO]],Aguardando_exclusão!A$4:A$4003,1,FALSE),"sim",""),"")</f>
        <v/>
      </c>
    </row>
    <row r="649" spans="1:4" x14ac:dyDescent="0.3">
      <c r="A649" s="15">
        <v>81131</v>
      </c>
      <c r="B649" s="17" t="s">
        <v>645</v>
      </c>
      <c r="C649" s="12">
        <v>38205</v>
      </c>
      <c r="D649" s="11" t="str">
        <f>_xlfn.IFNA(IF(VLOOKUP(Tabela22[[#This Row],[CÓDIGO]],Aguardando_exclusão!A$4:A$4003,1,FALSE),"sim",""),"")</f>
        <v/>
      </c>
    </row>
    <row r="650" spans="1:4" ht="15" customHeight="1" x14ac:dyDescent="0.3">
      <c r="A650" s="15">
        <v>81152</v>
      </c>
      <c r="B650" s="17" t="s">
        <v>646</v>
      </c>
      <c r="C650" s="12">
        <v>38208</v>
      </c>
      <c r="D650" s="11" t="str">
        <f>_xlfn.IFNA(IF(VLOOKUP(Tabela22[[#This Row],[CÓDIGO]],Aguardando_exclusão!A$4:A$4003,1,FALSE),"sim",""),"")</f>
        <v/>
      </c>
    </row>
    <row r="651" spans="1:4" x14ac:dyDescent="0.3">
      <c r="A651" s="15">
        <v>81370</v>
      </c>
      <c r="B651" s="17" t="s">
        <v>647</v>
      </c>
      <c r="C651" s="12">
        <v>38217</v>
      </c>
      <c r="D651" s="11" t="str">
        <f>_xlfn.IFNA(IF(VLOOKUP(Tabela22[[#This Row],[CÓDIGO]],Aguardando_exclusão!A$4:A$4003,1,FALSE),"sim",""),"")</f>
        <v/>
      </c>
    </row>
    <row r="652" spans="1:4" x14ac:dyDescent="0.3">
      <c r="A652" s="15">
        <v>81371</v>
      </c>
      <c r="B652" s="17" t="s">
        <v>648</v>
      </c>
      <c r="C652" s="12">
        <v>38217</v>
      </c>
      <c r="D652" s="11" t="str">
        <f>_xlfn.IFNA(IF(VLOOKUP(Tabela22[[#This Row],[CÓDIGO]],Aguardando_exclusão!A$4:A$4003,1,FALSE),"sim",""),"")</f>
        <v/>
      </c>
    </row>
    <row r="653" spans="1:4" x14ac:dyDescent="0.3">
      <c r="A653" s="15">
        <v>81455</v>
      </c>
      <c r="B653" s="17" t="s">
        <v>649</v>
      </c>
      <c r="C653" s="12">
        <v>38223</v>
      </c>
      <c r="D653" s="11" t="str">
        <f>_xlfn.IFNA(IF(VLOOKUP(Tabela22[[#This Row],[CÓDIGO]],Aguardando_exclusão!A$4:A$4003,1,FALSE),"sim",""),"")</f>
        <v/>
      </c>
    </row>
    <row r="654" spans="1:4" ht="15" customHeight="1" x14ac:dyDescent="0.3">
      <c r="A654" s="15">
        <v>81493</v>
      </c>
      <c r="B654" s="17" t="s">
        <v>650</v>
      </c>
      <c r="C654" s="12">
        <v>38225</v>
      </c>
      <c r="D654" s="11" t="str">
        <f>_xlfn.IFNA(IF(VLOOKUP(Tabela22[[#This Row],[CÓDIGO]],Aguardando_exclusão!A$4:A$4003,1,FALSE),"sim",""),"")</f>
        <v/>
      </c>
    </row>
    <row r="655" spans="1:4" x14ac:dyDescent="0.3">
      <c r="A655" s="15">
        <v>81509</v>
      </c>
      <c r="B655" s="17" t="s">
        <v>651</v>
      </c>
      <c r="C655" s="12">
        <v>38225</v>
      </c>
      <c r="D655" s="11" t="str">
        <f>_xlfn.IFNA(IF(VLOOKUP(Tabela22[[#This Row],[CÓDIGO]],Aguardando_exclusão!A$4:A$4003,1,FALSE),"sim",""),"")</f>
        <v>sim</v>
      </c>
    </row>
    <row r="656" spans="1:4" x14ac:dyDescent="0.3">
      <c r="A656" s="15">
        <v>81514</v>
      </c>
      <c r="B656" s="17" t="s">
        <v>652</v>
      </c>
      <c r="C656" s="12">
        <v>38226</v>
      </c>
      <c r="D656" s="11" t="str">
        <f>_xlfn.IFNA(IF(VLOOKUP(Tabela22[[#This Row],[CÓDIGO]],Aguardando_exclusão!A$4:A$4003,1,FALSE),"sim",""),"")</f>
        <v/>
      </c>
    </row>
    <row r="657" spans="1:4" x14ac:dyDescent="0.3">
      <c r="A657" s="15">
        <v>81563</v>
      </c>
      <c r="B657" s="17" t="s">
        <v>653</v>
      </c>
      <c r="C657" s="12">
        <v>38231</v>
      </c>
      <c r="D657" s="11" t="str">
        <f>_xlfn.IFNA(IF(VLOOKUP(Tabela22[[#This Row],[CÓDIGO]],Aguardando_exclusão!A$4:A$4003,1,FALSE),"sim",""),"")</f>
        <v/>
      </c>
    </row>
    <row r="658" spans="1:4" x14ac:dyDescent="0.3">
      <c r="A658" s="15">
        <v>81564</v>
      </c>
      <c r="B658" s="17" t="s">
        <v>654</v>
      </c>
      <c r="C658" s="12">
        <v>38231</v>
      </c>
      <c r="D658" s="11" t="str">
        <f>_xlfn.IFNA(IF(VLOOKUP(Tabela22[[#This Row],[CÓDIGO]],Aguardando_exclusão!A$4:A$4003,1,FALSE),"sim",""),"")</f>
        <v/>
      </c>
    </row>
    <row r="659" spans="1:4" x14ac:dyDescent="0.3">
      <c r="A659" s="15">
        <v>81565</v>
      </c>
      <c r="B659" s="17" t="s">
        <v>655</v>
      </c>
      <c r="C659" s="12">
        <v>38231</v>
      </c>
      <c r="D659" s="11" t="str">
        <f>_xlfn.IFNA(IF(VLOOKUP(Tabela22[[#This Row],[CÓDIGO]],Aguardando_exclusão!A$4:A$4003,1,FALSE),"sim",""),"")</f>
        <v/>
      </c>
    </row>
    <row r="660" spans="1:4" x14ac:dyDescent="0.3">
      <c r="A660" s="15">
        <v>81566</v>
      </c>
      <c r="B660" s="17" t="s">
        <v>656</v>
      </c>
      <c r="C660" s="12">
        <v>38231</v>
      </c>
      <c r="D660" s="11" t="str">
        <f>_xlfn.IFNA(IF(VLOOKUP(Tabela22[[#This Row],[CÓDIGO]],Aguardando_exclusão!A$4:A$4003,1,FALSE),"sim",""),"")</f>
        <v/>
      </c>
    </row>
    <row r="661" spans="1:4" ht="15" customHeight="1" x14ac:dyDescent="0.3">
      <c r="A661" s="15">
        <v>81807</v>
      </c>
      <c r="B661" s="17" t="s">
        <v>657</v>
      </c>
      <c r="C661" s="12">
        <v>38246</v>
      </c>
      <c r="D661" s="11" t="str">
        <f>_xlfn.IFNA(IF(VLOOKUP(Tabela22[[#This Row],[CÓDIGO]],Aguardando_exclusão!A$4:A$4003,1,FALSE),"sim",""),"")</f>
        <v/>
      </c>
    </row>
    <row r="662" spans="1:4" ht="15" customHeight="1" x14ac:dyDescent="0.3">
      <c r="A662" s="15">
        <v>81808</v>
      </c>
      <c r="B662" s="17" t="s">
        <v>658</v>
      </c>
      <c r="C662" s="12">
        <v>38246</v>
      </c>
      <c r="D662" s="11" t="str">
        <f>_xlfn.IFNA(IF(VLOOKUP(Tabela22[[#This Row],[CÓDIGO]],Aguardando_exclusão!A$4:A$4003,1,FALSE),"sim",""),"")</f>
        <v/>
      </c>
    </row>
    <row r="663" spans="1:4" x14ac:dyDescent="0.3">
      <c r="A663" s="15">
        <v>82185</v>
      </c>
      <c r="B663" s="17" t="s">
        <v>659</v>
      </c>
      <c r="C663" s="12">
        <v>38273</v>
      </c>
      <c r="D663" s="11" t="str">
        <f>_xlfn.IFNA(IF(VLOOKUP(Tabela22[[#This Row],[CÓDIGO]],Aguardando_exclusão!A$4:A$4003,1,FALSE),"sim",""),"")</f>
        <v/>
      </c>
    </row>
    <row r="664" spans="1:4" ht="15" customHeight="1" x14ac:dyDescent="0.3">
      <c r="A664" s="15">
        <v>82452</v>
      </c>
      <c r="B664" s="17" t="s">
        <v>660</v>
      </c>
      <c r="C664" s="12">
        <v>38296</v>
      </c>
      <c r="D664" s="11" t="str">
        <f>_xlfn.IFNA(IF(VLOOKUP(Tabela22[[#This Row],[CÓDIGO]],Aguardando_exclusão!A$4:A$4003,1,FALSE),"sim",""),"")</f>
        <v/>
      </c>
    </row>
    <row r="665" spans="1:4" ht="15" customHeight="1" x14ac:dyDescent="0.3">
      <c r="A665" s="15">
        <v>82732</v>
      </c>
      <c r="B665" s="17" t="s">
        <v>661</v>
      </c>
      <c r="C665" s="12">
        <v>38310</v>
      </c>
      <c r="D665" s="11" t="str">
        <f>_xlfn.IFNA(IF(VLOOKUP(Tabela22[[#This Row],[CÓDIGO]],Aguardando_exclusão!A$4:A$4003,1,FALSE),"sim",""),"")</f>
        <v/>
      </c>
    </row>
    <row r="666" spans="1:4" x14ac:dyDescent="0.3">
      <c r="A666" s="15">
        <v>82829</v>
      </c>
      <c r="B666" s="17" t="s">
        <v>662</v>
      </c>
      <c r="C666" s="12">
        <v>38313</v>
      </c>
      <c r="D666" s="11" t="str">
        <f>_xlfn.IFNA(IF(VLOOKUP(Tabela22[[#This Row],[CÓDIGO]],Aguardando_exclusão!A$4:A$4003,1,FALSE),"sim",""),"")</f>
        <v>sim</v>
      </c>
    </row>
    <row r="667" spans="1:4" ht="15" customHeight="1" x14ac:dyDescent="0.3">
      <c r="A667" s="15">
        <v>82916</v>
      </c>
      <c r="B667" s="17" t="s">
        <v>663</v>
      </c>
      <c r="C667" s="12">
        <v>38315</v>
      </c>
      <c r="D667" s="11" t="str">
        <f>_xlfn.IFNA(IF(VLOOKUP(Tabela22[[#This Row],[CÓDIGO]],Aguardando_exclusão!A$4:A$4003,1,FALSE),"sim",""),"")</f>
        <v/>
      </c>
    </row>
    <row r="668" spans="1:4" x14ac:dyDescent="0.3">
      <c r="A668" s="15">
        <v>82995</v>
      </c>
      <c r="B668" s="17" t="s">
        <v>664</v>
      </c>
      <c r="C668" s="12">
        <v>38317</v>
      </c>
      <c r="D668" s="11" t="str">
        <f>_xlfn.IFNA(IF(VLOOKUP(Tabela22[[#This Row],[CÓDIGO]],Aguardando_exclusão!A$4:A$4003,1,FALSE),"sim",""),"")</f>
        <v/>
      </c>
    </row>
    <row r="669" spans="1:4" x14ac:dyDescent="0.3">
      <c r="A669" s="15">
        <v>82996</v>
      </c>
      <c r="B669" s="17" t="s">
        <v>665</v>
      </c>
      <c r="C669" s="12">
        <v>38317</v>
      </c>
      <c r="D669" s="11" t="str">
        <f>_xlfn.IFNA(IF(VLOOKUP(Tabela22[[#This Row],[CÓDIGO]],Aguardando_exclusão!A$4:A$4003,1,FALSE),"sim",""),"")</f>
        <v/>
      </c>
    </row>
    <row r="670" spans="1:4" x14ac:dyDescent="0.3">
      <c r="A670" s="15">
        <v>83627</v>
      </c>
      <c r="B670" s="17" t="s">
        <v>666</v>
      </c>
      <c r="C670" s="12">
        <v>38369</v>
      </c>
      <c r="D670" s="11" t="str">
        <f>_xlfn.IFNA(IF(VLOOKUP(Tabela22[[#This Row],[CÓDIGO]],Aguardando_exclusão!A$4:A$4003,1,FALSE),"sim",""),"")</f>
        <v/>
      </c>
    </row>
    <row r="671" spans="1:4" x14ac:dyDescent="0.3">
      <c r="A671" s="15">
        <v>83788</v>
      </c>
      <c r="B671" s="17" t="s">
        <v>667</v>
      </c>
      <c r="C671" s="12">
        <v>38379</v>
      </c>
      <c r="D671" s="11" t="str">
        <f>_xlfn.IFNA(IF(VLOOKUP(Tabela22[[#This Row],[CÓDIGO]],Aguardando_exclusão!A$4:A$4003,1,FALSE),"sim",""),"")</f>
        <v>sim</v>
      </c>
    </row>
    <row r="672" spans="1:4" x14ac:dyDescent="0.3">
      <c r="A672" s="15">
        <v>83838</v>
      </c>
      <c r="B672" s="17" t="s">
        <v>668</v>
      </c>
      <c r="C672" s="12">
        <v>38384</v>
      </c>
      <c r="D672" s="11" t="str">
        <f>_xlfn.IFNA(IF(VLOOKUP(Tabela22[[#This Row],[CÓDIGO]],Aguardando_exclusão!A$4:A$4003,1,FALSE),"sim",""),"")</f>
        <v/>
      </c>
    </row>
    <row r="673" spans="1:4" x14ac:dyDescent="0.3">
      <c r="A673" s="15">
        <v>83839</v>
      </c>
      <c r="B673" s="17" t="s">
        <v>669</v>
      </c>
      <c r="C673" s="12">
        <v>38384</v>
      </c>
      <c r="D673" s="11" t="str">
        <f>_xlfn.IFNA(IF(VLOOKUP(Tabela22[[#This Row],[CÓDIGO]],Aguardando_exclusão!A$4:A$4003,1,FALSE),"sim",""),"")</f>
        <v/>
      </c>
    </row>
    <row r="674" spans="1:4" ht="15" customHeight="1" x14ac:dyDescent="0.3">
      <c r="A674" s="15">
        <v>84878</v>
      </c>
      <c r="B674" s="17" t="s">
        <v>670</v>
      </c>
      <c r="C674" s="12">
        <v>38448</v>
      </c>
      <c r="D674" s="11" t="str">
        <f>_xlfn.IFNA(IF(VLOOKUP(Tabela22[[#This Row],[CÓDIGO]],Aguardando_exclusão!A$4:A$4003,1,FALSE),"sim",""),"")</f>
        <v/>
      </c>
    </row>
    <row r="675" spans="1:4" x14ac:dyDescent="0.3">
      <c r="A675" s="15">
        <v>86030</v>
      </c>
      <c r="B675" s="17" t="s">
        <v>671</v>
      </c>
      <c r="C675" s="12">
        <v>38514</v>
      </c>
      <c r="D675" s="11" t="str">
        <f>_xlfn.IFNA(IF(VLOOKUP(Tabela22[[#This Row],[CÓDIGO]],Aguardando_exclusão!A$4:A$4003,1,FALSE),"sim",""),"")</f>
        <v/>
      </c>
    </row>
    <row r="676" spans="1:4" x14ac:dyDescent="0.3">
      <c r="A676" s="15">
        <v>86118</v>
      </c>
      <c r="B676" s="17" t="s">
        <v>672</v>
      </c>
      <c r="C676" s="12">
        <v>38520</v>
      </c>
      <c r="D676" s="11" t="str">
        <f>_xlfn.IFNA(IF(VLOOKUP(Tabela22[[#This Row],[CÓDIGO]],Aguardando_exclusão!A$4:A$4003,1,FALSE),"sim",""),"")</f>
        <v/>
      </c>
    </row>
    <row r="677" spans="1:4" x14ac:dyDescent="0.3">
      <c r="A677" s="15">
        <v>86891</v>
      </c>
      <c r="B677" s="17" t="s">
        <v>673</v>
      </c>
      <c r="C677" s="12">
        <v>38567</v>
      </c>
      <c r="D677" s="11" t="str">
        <f>_xlfn.IFNA(IF(VLOOKUP(Tabela22[[#This Row],[CÓDIGO]],Aguardando_exclusão!A$4:A$4003,1,FALSE),"sim",""),"")</f>
        <v>sim</v>
      </c>
    </row>
    <row r="678" spans="1:4" x14ac:dyDescent="0.3">
      <c r="A678" s="15">
        <v>87157</v>
      </c>
      <c r="B678" s="17" t="s">
        <v>674</v>
      </c>
      <c r="C678" s="12">
        <v>38580</v>
      </c>
      <c r="D678" s="11" t="str">
        <f>_xlfn.IFNA(IF(VLOOKUP(Tabela22[[#This Row],[CÓDIGO]],Aguardando_exclusão!A$4:A$4003,1,FALSE),"sim",""),"")</f>
        <v>sim</v>
      </c>
    </row>
    <row r="679" spans="1:4" x14ac:dyDescent="0.3">
      <c r="A679" s="15">
        <v>87160</v>
      </c>
      <c r="B679" s="17" t="s">
        <v>675</v>
      </c>
      <c r="C679" s="12">
        <v>38580</v>
      </c>
      <c r="D679" s="11" t="str">
        <f>_xlfn.IFNA(IF(VLOOKUP(Tabela22[[#This Row],[CÓDIGO]],Aguardando_exclusão!A$4:A$4003,1,FALSE),"sim",""),"")</f>
        <v>sim</v>
      </c>
    </row>
    <row r="680" spans="1:4" x14ac:dyDescent="0.3">
      <c r="A680" s="15">
        <v>87247</v>
      </c>
      <c r="B680" s="17" t="s">
        <v>676</v>
      </c>
      <c r="C680" s="12">
        <v>38581</v>
      </c>
      <c r="D680" s="11" t="str">
        <f>_xlfn.IFNA(IF(VLOOKUP(Tabela22[[#This Row],[CÓDIGO]],Aguardando_exclusão!A$4:A$4003,1,FALSE),"sim",""),"")</f>
        <v/>
      </c>
    </row>
    <row r="681" spans="1:4" ht="15" customHeight="1" x14ac:dyDescent="0.3">
      <c r="A681" s="15">
        <v>87348</v>
      </c>
      <c r="B681" s="17" t="s">
        <v>677</v>
      </c>
      <c r="C681" s="12">
        <v>38583</v>
      </c>
      <c r="D681" s="11" t="str">
        <f>_xlfn.IFNA(IF(VLOOKUP(Tabela22[[#This Row],[CÓDIGO]],Aguardando_exclusão!A$4:A$4003,1,FALSE),"sim",""),"")</f>
        <v/>
      </c>
    </row>
    <row r="682" spans="1:4" x14ac:dyDescent="0.3">
      <c r="A682" s="15">
        <v>87465</v>
      </c>
      <c r="B682" s="17" t="s">
        <v>678</v>
      </c>
      <c r="C682" s="12">
        <v>38594</v>
      </c>
      <c r="D682" s="11" t="str">
        <f>_xlfn.IFNA(IF(VLOOKUP(Tabela22[[#This Row],[CÓDIGO]],Aguardando_exclusão!A$4:A$4003,1,FALSE),"sim",""),"")</f>
        <v/>
      </c>
    </row>
    <row r="683" spans="1:4" x14ac:dyDescent="0.3">
      <c r="A683" s="15">
        <v>87586</v>
      </c>
      <c r="B683" s="17" t="s">
        <v>679</v>
      </c>
      <c r="C683" s="12">
        <v>38603</v>
      </c>
      <c r="D683" s="11" t="str">
        <f>_xlfn.IFNA(IF(VLOOKUP(Tabela22[[#This Row],[CÓDIGO]],Aguardando_exclusão!A$4:A$4003,1,FALSE),"sim",""),"")</f>
        <v/>
      </c>
    </row>
    <row r="684" spans="1:4" x14ac:dyDescent="0.3">
      <c r="A684" s="15">
        <v>87698</v>
      </c>
      <c r="B684" s="17" t="s">
        <v>680</v>
      </c>
      <c r="C684" s="12">
        <v>38611</v>
      </c>
      <c r="D684" s="11" t="str">
        <f>_xlfn.IFNA(IF(VLOOKUP(Tabela22[[#This Row],[CÓDIGO]],Aguardando_exclusão!A$4:A$4003,1,FALSE),"sim",""),"")</f>
        <v/>
      </c>
    </row>
    <row r="685" spans="1:4" x14ac:dyDescent="0.3">
      <c r="A685" s="15">
        <v>87699</v>
      </c>
      <c r="B685" s="17" t="s">
        <v>681</v>
      </c>
      <c r="C685" s="12">
        <v>38611</v>
      </c>
      <c r="D685" s="11" t="str">
        <f>_xlfn.IFNA(IF(VLOOKUP(Tabela22[[#This Row],[CÓDIGO]],Aguardando_exclusão!A$4:A$4003,1,FALSE),"sim",""),"")</f>
        <v/>
      </c>
    </row>
    <row r="686" spans="1:4" x14ac:dyDescent="0.3">
      <c r="A686" s="15">
        <v>88718</v>
      </c>
      <c r="B686" s="17" t="s">
        <v>682</v>
      </c>
      <c r="C686" s="12">
        <v>38656</v>
      </c>
      <c r="D686" s="11" t="str">
        <f>_xlfn.IFNA(IF(VLOOKUP(Tabela22[[#This Row],[CÓDIGO]],Aguardando_exclusão!A$4:A$4003,1,FALSE),"sim",""),"")</f>
        <v/>
      </c>
    </row>
    <row r="687" spans="1:4" ht="15" customHeight="1" x14ac:dyDescent="0.3">
      <c r="A687" s="15">
        <v>88719</v>
      </c>
      <c r="B687" s="17" t="s">
        <v>683</v>
      </c>
      <c r="C687" s="12">
        <v>38656</v>
      </c>
      <c r="D687" s="11" t="str">
        <f>_xlfn.IFNA(IF(VLOOKUP(Tabela22[[#This Row],[CÓDIGO]],Aguardando_exclusão!A$4:A$4003,1,FALSE),"sim",""),"")</f>
        <v/>
      </c>
    </row>
    <row r="688" spans="1:4" ht="15" customHeight="1" x14ac:dyDescent="0.3">
      <c r="A688" s="15">
        <v>88726</v>
      </c>
      <c r="B688" s="17" t="s">
        <v>684</v>
      </c>
      <c r="C688" s="12">
        <v>38656</v>
      </c>
      <c r="D688" s="11" t="str">
        <f>_xlfn.IFNA(IF(VLOOKUP(Tabela22[[#This Row],[CÓDIGO]],Aguardando_exclusão!A$4:A$4003,1,FALSE),"sim",""),"")</f>
        <v/>
      </c>
    </row>
    <row r="689" spans="1:4" x14ac:dyDescent="0.3">
      <c r="A689" s="15">
        <v>88727</v>
      </c>
      <c r="B689" s="17" t="s">
        <v>685</v>
      </c>
      <c r="C689" s="12">
        <v>38656</v>
      </c>
      <c r="D689" s="11" t="str">
        <f>_xlfn.IFNA(IF(VLOOKUP(Tabela22[[#This Row],[CÓDIGO]],Aguardando_exclusão!A$4:A$4003,1,FALSE),"sim",""),"")</f>
        <v/>
      </c>
    </row>
    <row r="690" spans="1:4" x14ac:dyDescent="0.3">
      <c r="A690" s="15">
        <v>88728</v>
      </c>
      <c r="B690" s="17" t="s">
        <v>686</v>
      </c>
      <c r="C690" s="12">
        <v>38656</v>
      </c>
      <c r="D690" s="11" t="str">
        <f>_xlfn.IFNA(IF(VLOOKUP(Tabela22[[#This Row],[CÓDIGO]],Aguardando_exclusão!A$4:A$4003,1,FALSE),"sim",""),"")</f>
        <v/>
      </c>
    </row>
    <row r="691" spans="1:4" x14ac:dyDescent="0.3">
      <c r="A691" s="15">
        <v>88729</v>
      </c>
      <c r="B691" s="17" t="s">
        <v>687</v>
      </c>
      <c r="C691" s="12">
        <v>38656</v>
      </c>
      <c r="D691" s="11" t="str">
        <f>_xlfn.IFNA(IF(VLOOKUP(Tabela22[[#This Row],[CÓDIGO]],Aguardando_exclusão!A$4:A$4003,1,FALSE),"sim",""),"")</f>
        <v/>
      </c>
    </row>
    <row r="692" spans="1:4" ht="15" customHeight="1" x14ac:dyDescent="0.3">
      <c r="A692" s="15">
        <v>88730</v>
      </c>
      <c r="B692" s="17" t="s">
        <v>688</v>
      </c>
      <c r="C692" s="12">
        <v>38656</v>
      </c>
      <c r="D692" s="11" t="str">
        <f>_xlfn.IFNA(IF(VLOOKUP(Tabela22[[#This Row],[CÓDIGO]],Aguardando_exclusão!A$4:A$4003,1,FALSE),"sim",""),"")</f>
        <v/>
      </c>
    </row>
    <row r="693" spans="1:4" x14ac:dyDescent="0.3">
      <c r="A693" s="15">
        <v>88731</v>
      </c>
      <c r="B693" s="17" t="s">
        <v>689</v>
      </c>
      <c r="C693" s="12">
        <v>38656</v>
      </c>
      <c r="D693" s="11" t="str">
        <f>_xlfn.IFNA(IF(VLOOKUP(Tabela22[[#This Row],[CÓDIGO]],Aguardando_exclusão!A$4:A$4003,1,FALSE),"sim",""),"")</f>
        <v/>
      </c>
    </row>
    <row r="694" spans="1:4" ht="15" customHeight="1" x14ac:dyDescent="0.3">
      <c r="A694" s="15">
        <v>88732</v>
      </c>
      <c r="B694" s="17" t="s">
        <v>690</v>
      </c>
      <c r="C694" s="12">
        <v>38656</v>
      </c>
      <c r="D694" s="11" t="str">
        <f>_xlfn.IFNA(IF(VLOOKUP(Tabela22[[#This Row],[CÓDIGO]],Aguardando_exclusão!A$4:A$4003,1,FALSE),"sim",""),"")</f>
        <v/>
      </c>
    </row>
    <row r="695" spans="1:4" ht="15" customHeight="1" x14ac:dyDescent="0.3">
      <c r="A695" s="15">
        <v>88733</v>
      </c>
      <c r="B695" s="17" t="s">
        <v>691</v>
      </c>
      <c r="C695" s="12">
        <v>38656</v>
      </c>
      <c r="D695" s="11" t="str">
        <f>_xlfn.IFNA(IF(VLOOKUP(Tabela22[[#This Row],[CÓDIGO]],Aguardando_exclusão!A$4:A$4003,1,FALSE),"sim",""),"")</f>
        <v/>
      </c>
    </row>
    <row r="696" spans="1:4" ht="15" customHeight="1" x14ac:dyDescent="0.3">
      <c r="A696" s="15">
        <v>88734</v>
      </c>
      <c r="B696" s="17" t="s">
        <v>692</v>
      </c>
      <c r="C696" s="12">
        <v>38656</v>
      </c>
      <c r="D696" s="11" t="str">
        <f>_xlfn.IFNA(IF(VLOOKUP(Tabela22[[#This Row],[CÓDIGO]],Aguardando_exclusão!A$4:A$4003,1,FALSE),"sim",""),"")</f>
        <v/>
      </c>
    </row>
    <row r="697" spans="1:4" ht="15" customHeight="1" x14ac:dyDescent="0.3">
      <c r="A697" s="15">
        <v>88735</v>
      </c>
      <c r="B697" s="17" t="s">
        <v>693</v>
      </c>
      <c r="C697" s="12">
        <v>38656</v>
      </c>
      <c r="D697" s="11" t="str">
        <f>_xlfn.IFNA(IF(VLOOKUP(Tabela22[[#This Row],[CÓDIGO]],Aguardando_exclusão!A$4:A$4003,1,FALSE),"sim",""),"")</f>
        <v/>
      </c>
    </row>
    <row r="698" spans="1:4" ht="15" customHeight="1" x14ac:dyDescent="0.3">
      <c r="A698" s="15">
        <v>88740</v>
      </c>
      <c r="B698" s="17" t="s">
        <v>694</v>
      </c>
      <c r="C698" s="12">
        <v>38656</v>
      </c>
      <c r="D698" s="11" t="str">
        <f>_xlfn.IFNA(IF(VLOOKUP(Tabela22[[#This Row],[CÓDIGO]],Aguardando_exclusão!A$4:A$4003,1,FALSE),"sim",""),"")</f>
        <v/>
      </c>
    </row>
    <row r="699" spans="1:4" x14ac:dyDescent="0.3">
      <c r="A699" s="15">
        <v>88741</v>
      </c>
      <c r="B699" s="17" t="s">
        <v>695</v>
      </c>
      <c r="C699" s="12">
        <v>38656</v>
      </c>
      <c r="D699" s="11" t="str">
        <f>_xlfn.IFNA(IF(VLOOKUP(Tabela22[[#This Row],[CÓDIGO]],Aguardando_exclusão!A$4:A$4003,1,FALSE),"sim",""),"")</f>
        <v>sim</v>
      </c>
    </row>
    <row r="700" spans="1:4" x14ac:dyDescent="0.3">
      <c r="A700" s="15">
        <v>88742</v>
      </c>
      <c r="B700" s="17" t="s">
        <v>696</v>
      </c>
      <c r="C700" s="12">
        <v>38656</v>
      </c>
      <c r="D700" s="11" t="str">
        <f>_xlfn.IFNA(IF(VLOOKUP(Tabela22[[#This Row],[CÓDIGO]],Aguardando_exclusão!A$4:A$4003,1,FALSE),"sim",""),"")</f>
        <v>sim</v>
      </c>
    </row>
    <row r="701" spans="1:4" ht="15" customHeight="1" x14ac:dyDescent="0.3">
      <c r="A701" s="15">
        <v>88744</v>
      </c>
      <c r="B701" s="17" t="s">
        <v>697</v>
      </c>
      <c r="C701" s="12">
        <v>38656</v>
      </c>
      <c r="D701" s="11" t="str">
        <f>_xlfn.IFNA(IF(VLOOKUP(Tabela22[[#This Row],[CÓDIGO]],Aguardando_exclusão!A$4:A$4003,1,FALSE),"sim",""),"")</f>
        <v/>
      </c>
    </row>
    <row r="702" spans="1:4" ht="15" customHeight="1" x14ac:dyDescent="0.3">
      <c r="A702" s="15">
        <v>88745</v>
      </c>
      <c r="B702" s="17" t="s">
        <v>698</v>
      </c>
      <c r="C702" s="12">
        <v>38656</v>
      </c>
      <c r="D702" s="11" t="str">
        <f>_xlfn.IFNA(IF(VLOOKUP(Tabela22[[#This Row],[CÓDIGO]],Aguardando_exclusão!A$4:A$4003,1,FALSE),"sim",""),"")</f>
        <v/>
      </c>
    </row>
    <row r="703" spans="1:4" ht="15" customHeight="1" x14ac:dyDescent="0.3">
      <c r="A703" s="15">
        <v>88746</v>
      </c>
      <c r="B703" s="17" t="s">
        <v>699</v>
      </c>
      <c r="C703" s="12">
        <v>38656</v>
      </c>
      <c r="D703" s="11" t="str">
        <f>_xlfn.IFNA(IF(VLOOKUP(Tabela22[[#This Row],[CÓDIGO]],Aguardando_exclusão!A$4:A$4003,1,FALSE),"sim",""),"")</f>
        <v/>
      </c>
    </row>
    <row r="704" spans="1:4" ht="15" customHeight="1" x14ac:dyDescent="0.3">
      <c r="A704" s="15">
        <v>88747</v>
      </c>
      <c r="B704" s="17" t="s">
        <v>700</v>
      </c>
      <c r="C704" s="12">
        <v>38656</v>
      </c>
      <c r="D704" s="11" t="str">
        <f>_xlfn.IFNA(IF(VLOOKUP(Tabela22[[#This Row],[CÓDIGO]],Aguardando_exclusão!A$4:A$4003,1,FALSE),"sim",""),"")</f>
        <v/>
      </c>
    </row>
    <row r="705" spans="1:4" x14ac:dyDescent="0.3">
      <c r="A705" s="15">
        <v>88838</v>
      </c>
      <c r="B705" s="17" t="s">
        <v>701</v>
      </c>
      <c r="C705" s="12">
        <v>38663</v>
      </c>
      <c r="D705" s="11" t="str">
        <f>_xlfn.IFNA(IF(VLOOKUP(Tabela22[[#This Row],[CÓDIGO]],Aguardando_exclusão!A$4:A$4003,1,FALSE),"sim",""),"")</f>
        <v/>
      </c>
    </row>
    <row r="706" spans="1:4" ht="15" customHeight="1" x14ac:dyDescent="0.3">
      <c r="A706" s="15">
        <v>88839</v>
      </c>
      <c r="B706" s="17" t="s">
        <v>702</v>
      </c>
      <c r="C706" s="12">
        <v>38663</v>
      </c>
      <c r="D706" s="11" t="str">
        <f>_xlfn.IFNA(IF(VLOOKUP(Tabela22[[#This Row],[CÓDIGO]],Aguardando_exclusão!A$4:A$4003,1,FALSE),"sim",""),"")</f>
        <v/>
      </c>
    </row>
    <row r="707" spans="1:4" x14ac:dyDescent="0.3">
      <c r="A707" s="15">
        <v>88849</v>
      </c>
      <c r="B707" s="17" t="s">
        <v>703</v>
      </c>
      <c r="C707" s="12">
        <v>38664</v>
      </c>
      <c r="D707" s="11" t="str">
        <f>_xlfn.IFNA(IF(VLOOKUP(Tabela22[[#This Row],[CÓDIGO]],Aguardando_exclusão!A$4:A$4003,1,FALSE),"sim",""),"")</f>
        <v/>
      </c>
    </row>
    <row r="708" spans="1:4" ht="15" customHeight="1" x14ac:dyDescent="0.3">
      <c r="A708" s="15">
        <v>88856</v>
      </c>
      <c r="B708" s="17" t="s">
        <v>704</v>
      </c>
      <c r="C708" s="12">
        <v>38664</v>
      </c>
      <c r="D708" s="11" t="str">
        <f>_xlfn.IFNA(IF(VLOOKUP(Tabela22[[#This Row],[CÓDIGO]],Aguardando_exclusão!A$4:A$4003,1,FALSE),"sim",""),"")</f>
        <v/>
      </c>
    </row>
    <row r="709" spans="1:4" x14ac:dyDescent="0.3">
      <c r="A709" s="15">
        <v>88876</v>
      </c>
      <c r="B709" s="17" t="s">
        <v>705</v>
      </c>
      <c r="C709" s="12">
        <v>38664</v>
      </c>
      <c r="D709" s="11" t="str">
        <f>_xlfn.IFNA(IF(VLOOKUP(Tabela22[[#This Row],[CÓDIGO]],Aguardando_exclusão!A$4:A$4003,1,FALSE),"sim",""),"")</f>
        <v/>
      </c>
    </row>
    <row r="710" spans="1:4" ht="15" customHeight="1" x14ac:dyDescent="0.3">
      <c r="A710" s="15">
        <v>88989</v>
      </c>
      <c r="B710" s="17" t="s">
        <v>706</v>
      </c>
      <c r="C710" s="12">
        <v>38674</v>
      </c>
      <c r="D710" s="11" t="str">
        <f>_xlfn.IFNA(IF(VLOOKUP(Tabela22[[#This Row],[CÓDIGO]],Aguardando_exclusão!A$4:A$4003,1,FALSE),"sim",""),"")</f>
        <v/>
      </c>
    </row>
    <row r="711" spans="1:4" ht="15" customHeight="1" x14ac:dyDescent="0.3">
      <c r="A711" s="15">
        <v>88992</v>
      </c>
      <c r="B711" s="17" t="s">
        <v>707</v>
      </c>
      <c r="C711" s="12">
        <v>38674</v>
      </c>
      <c r="D711" s="11" t="str">
        <f>_xlfn.IFNA(IF(VLOOKUP(Tabela22[[#This Row],[CÓDIGO]],Aguardando_exclusão!A$4:A$4003,1,FALSE),"sim",""),"")</f>
        <v/>
      </c>
    </row>
    <row r="712" spans="1:4" ht="15" customHeight="1" x14ac:dyDescent="0.3">
      <c r="A712" s="15">
        <v>88993</v>
      </c>
      <c r="B712" s="17" t="s">
        <v>708</v>
      </c>
      <c r="C712" s="12">
        <v>38674</v>
      </c>
      <c r="D712" s="11" t="str">
        <f>_xlfn.IFNA(IF(VLOOKUP(Tabela22[[#This Row],[CÓDIGO]],Aguardando_exclusão!A$4:A$4003,1,FALSE),"sim",""),"")</f>
        <v/>
      </c>
    </row>
    <row r="713" spans="1:4" x14ac:dyDescent="0.3">
      <c r="A713" s="15">
        <v>89818</v>
      </c>
      <c r="B713" s="17" t="s">
        <v>709</v>
      </c>
      <c r="C713" s="12">
        <v>38742</v>
      </c>
      <c r="D713" s="11" t="str">
        <f>_xlfn.IFNA(IF(VLOOKUP(Tabela22[[#This Row],[CÓDIGO]],Aguardando_exclusão!A$4:A$4003,1,FALSE),"sim",""),"")</f>
        <v/>
      </c>
    </row>
    <row r="714" spans="1:4" x14ac:dyDescent="0.3">
      <c r="A714" s="15">
        <v>89855</v>
      </c>
      <c r="B714" s="17" t="s">
        <v>710</v>
      </c>
      <c r="C714" s="12">
        <v>38743</v>
      </c>
      <c r="D714" s="11" t="str">
        <f>_xlfn.IFNA(IF(VLOOKUP(Tabela22[[#This Row],[CÓDIGO]],Aguardando_exclusão!A$4:A$4003,1,FALSE),"sim",""),"")</f>
        <v/>
      </c>
    </row>
    <row r="715" spans="1:4" ht="15" customHeight="1" x14ac:dyDescent="0.3">
      <c r="A715" s="15">
        <v>89860</v>
      </c>
      <c r="B715" s="17" t="s">
        <v>711</v>
      </c>
      <c r="C715" s="12">
        <v>38743</v>
      </c>
      <c r="D715" s="11" t="str">
        <f>_xlfn.IFNA(IF(VLOOKUP(Tabela22[[#This Row],[CÓDIGO]],Aguardando_exclusão!A$4:A$4003,1,FALSE),"sim",""),"")</f>
        <v>sim</v>
      </c>
    </row>
    <row r="716" spans="1:4" x14ac:dyDescent="0.3">
      <c r="A716" s="15">
        <v>89863</v>
      </c>
      <c r="B716" s="17" t="s">
        <v>712</v>
      </c>
      <c r="C716" s="12">
        <v>38743</v>
      </c>
      <c r="D716" s="11" t="str">
        <f>_xlfn.IFNA(IF(VLOOKUP(Tabela22[[#This Row],[CÓDIGO]],Aguardando_exclusão!A$4:A$4003,1,FALSE),"sim",""),"")</f>
        <v/>
      </c>
    </row>
    <row r="717" spans="1:4" x14ac:dyDescent="0.3">
      <c r="A717" s="15">
        <v>89864</v>
      </c>
      <c r="B717" s="17" t="s">
        <v>713</v>
      </c>
      <c r="C717" s="12">
        <v>38743</v>
      </c>
      <c r="D717" s="11" t="str">
        <f>_xlfn.IFNA(IF(VLOOKUP(Tabela22[[#This Row],[CÓDIGO]],Aguardando_exclusão!A$4:A$4003,1,FALSE),"sim",""),"")</f>
        <v/>
      </c>
    </row>
    <row r="718" spans="1:4" x14ac:dyDescent="0.3">
      <c r="A718" s="15">
        <v>89865</v>
      </c>
      <c r="B718" s="17" t="s">
        <v>714</v>
      </c>
      <c r="C718" s="12">
        <v>38743</v>
      </c>
      <c r="D718" s="11" t="str">
        <f>_xlfn.IFNA(IF(VLOOKUP(Tabela22[[#This Row],[CÓDIGO]],Aguardando_exclusão!A$4:A$4003,1,FALSE),"sim",""),"")</f>
        <v/>
      </c>
    </row>
    <row r="719" spans="1:4" ht="15" customHeight="1" x14ac:dyDescent="0.3">
      <c r="A719" s="15">
        <v>89866</v>
      </c>
      <c r="B719" s="17" t="s">
        <v>715</v>
      </c>
      <c r="C719" s="12">
        <v>38743</v>
      </c>
      <c r="D719" s="11" t="str">
        <f>_xlfn.IFNA(IF(VLOOKUP(Tabela22[[#This Row],[CÓDIGO]],Aguardando_exclusão!A$4:A$4003,1,FALSE),"sim",""),"")</f>
        <v>sim</v>
      </c>
    </row>
    <row r="720" spans="1:4" ht="15" customHeight="1" x14ac:dyDescent="0.3">
      <c r="A720" s="15">
        <v>90469</v>
      </c>
      <c r="B720" s="17" t="s">
        <v>716</v>
      </c>
      <c r="C720" s="12">
        <v>38768</v>
      </c>
      <c r="D720" s="11" t="str">
        <f>_xlfn.IFNA(IF(VLOOKUP(Tabela22[[#This Row],[CÓDIGO]],Aguardando_exclusão!A$4:A$4003,1,FALSE),"sim",""),"")</f>
        <v/>
      </c>
    </row>
    <row r="721" spans="1:4" x14ac:dyDescent="0.3">
      <c r="A721" s="15">
        <v>90500</v>
      </c>
      <c r="B721" s="17" t="s">
        <v>717</v>
      </c>
      <c r="C721" s="12">
        <v>38769</v>
      </c>
      <c r="D721" s="11" t="str">
        <f>_xlfn.IFNA(IF(VLOOKUP(Tabela22[[#This Row],[CÓDIGO]],Aguardando_exclusão!A$4:A$4003,1,FALSE),"sim",""),"")</f>
        <v/>
      </c>
    </row>
    <row r="722" spans="1:4" x14ac:dyDescent="0.3">
      <c r="A722" s="15">
        <v>90502</v>
      </c>
      <c r="B722" s="17" t="s">
        <v>718</v>
      </c>
      <c r="C722" s="12">
        <v>38769</v>
      </c>
      <c r="D722" s="11" t="str">
        <f>_xlfn.IFNA(IF(VLOOKUP(Tabela22[[#This Row],[CÓDIGO]],Aguardando_exclusão!A$4:A$4003,1,FALSE),"sim",""),"")</f>
        <v/>
      </c>
    </row>
    <row r="723" spans="1:4" x14ac:dyDescent="0.3">
      <c r="A723" s="15">
        <v>90884</v>
      </c>
      <c r="B723" s="17" t="s">
        <v>719</v>
      </c>
      <c r="C723" s="12">
        <v>31493</v>
      </c>
      <c r="D723" s="11" t="str">
        <f>_xlfn.IFNA(IF(VLOOKUP(Tabela22[[#This Row],[CÓDIGO]],Aguardando_exclusão!A$4:A$4003,1,FALSE),"sim",""),"")</f>
        <v>sim</v>
      </c>
    </row>
    <row r="724" spans="1:4" x14ac:dyDescent="0.3">
      <c r="A724" s="15">
        <v>91250</v>
      </c>
      <c r="B724" s="17" t="s">
        <v>720</v>
      </c>
      <c r="C724" s="12">
        <v>38820</v>
      </c>
      <c r="D724" s="11" t="str">
        <f>_xlfn.IFNA(IF(VLOOKUP(Tabela22[[#This Row],[CÓDIGO]],Aguardando_exclusão!A$4:A$4003,1,FALSE),"sim",""),"")</f>
        <v/>
      </c>
    </row>
    <row r="725" spans="1:4" x14ac:dyDescent="0.3">
      <c r="A725" s="15">
        <v>91669</v>
      </c>
      <c r="B725" s="17" t="s">
        <v>721</v>
      </c>
      <c r="C725" s="12">
        <v>38847</v>
      </c>
      <c r="D725" s="11" t="str">
        <f>_xlfn.IFNA(IF(VLOOKUP(Tabela22[[#This Row],[CÓDIGO]],Aguardando_exclusão!A$4:A$4003,1,FALSE),"sim",""),"")</f>
        <v/>
      </c>
    </row>
    <row r="726" spans="1:4" x14ac:dyDescent="0.3">
      <c r="A726" s="15">
        <v>91811</v>
      </c>
      <c r="B726" s="17" t="s">
        <v>722</v>
      </c>
      <c r="C726" s="12">
        <v>38852</v>
      </c>
      <c r="D726" s="11" t="str">
        <f>_xlfn.IFNA(IF(VLOOKUP(Tabela22[[#This Row],[CÓDIGO]],Aguardando_exclusão!A$4:A$4003,1,FALSE),"sim",""),"")</f>
        <v/>
      </c>
    </row>
    <row r="727" spans="1:4" x14ac:dyDescent="0.3">
      <c r="A727" s="15">
        <v>91868</v>
      </c>
      <c r="B727" s="17" t="s">
        <v>723</v>
      </c>
      <c r="C727" s="12">
        <v>38852</v>
      </c>
      <c r="D727" s="11" t="str">
        <f>_xlfn.IFNA(IF(VLOOKUP(Tabela22[[#This Row],[CÓDIGO]],Aguardando_exclusão!A$4:A$4003,1,FALSE),"sim",""),"")</f>
        <v/>
      </c>
    </row>
    <row r="728" spans="1:4" x14ac:dyDescent="0.3">
      <c r="A728" s="15">
        <v>92111</v>
      </c>
      <c r="B728" s="17" t="s">
        <v>724</v>
      </c>
      <c r="C728" s="12">
        <v>38863</v>
      </c>
      <c r="D728" s="11" t="str">
        <f>_xlfn.IFNA(IF(VLOOKUP(Tabela22[[#This Row],[CÓDIGO]],Aguardando_exclusão!A$4:A$4003,1,FALSE),"sim",""),"")</f>
        <v/>
      </c>
    </row>
    <row r="729" spans="1:4" x14ac:dyDescent="0.3">
      <c r="A729" s="15">
        <v>92842</v>
      </c>
      <c r="B729" s="17" t="s">
        <v>725</v>
      </c>
      <c r="C729" s="12">
        <v>38902</v>
      </c>
      <c r="D729" s="11" t="str">
        <f>_xlfn.IFNA(IF(VLOOKUP(Tabela22[[#This Row],[CÓDIGO]],Aguardando_exclusão!A$4:A$4003,1,FALSE),"sim",""),"")</f>
        <v/>
      </c>
    </row>
    <row r="730" spans="1:4" ht="15" customHeight="1" x14ac:dyDescent="0.3">
      <c r="A730" s="15">
        <v>92906</v>
      </c>
      <c r="B730" s="17" t="s">
        <v>726</v>
      </c>
      <c r="C730" s="12">
        <v>38904</v>
      </c>
      <c r="D730" s="11" t="str">
        <f>_xlfn.IFNA(IF(VLOOKUP(Tabela22[[#This Row],[CÓDIGO]],Aguardando_exclusão!A$4:A$4003,1,FALSE),"sim",""),"")</f>
        <v/>
      </c>
    </row>
    <row r="731" spans="1:4" ht="15" customHeight="1" x14ac:dyDescent="0.3">
      <c r="A731" s="15">
        <v>92907</v>
      </c>
      <c r="B731" s="17" t="s">
        <v>727</v>
      </c>
      <c r="C731" s="12">
        <v>38904</v>
      </c>
      <c r="D731" s="11" t="str">
        <f>_xlfn.IFNA(IF(VLOOKUP(Tabela22[[#This Row],[CÓDIGO]],Aguardando_exclusão!A$4:A$4003,1,FALSE),"sim",""),"")</f>
        <v/>
      </c>
    </row>
    <row r="732" spans="1:4" ht="15" customHeight="1" x14ac:dyDescent="0.3">
      <c r="A732" s="15">
        <v>92908</v>
      </c>
      <c r="B732" s="17" t="s">
        <v>728</v>
      </c>
      <c r="C732" s="12">
        <v>38904</v>
      </c>
      <c r="D732" s="11" t="str">
        <f>_xlfn.IFNA(IF(VLOOKUP(Tabela22[[#This Row],[CÓDIGO]],Aguardando_exclusão!A$4:A$4003,1,FALSE),"sim",""),"")</f>
        <v/>
      </c>
    </row>
    <row r="733" spans="1:4" x14ac:dyDescent="0.3">
      <c r="A733" s="15">
        <v>93139</v>
      </c>
      <c r="B733" s="17" t="s">
        <v>729</v>
      </c>
      <c r="C733" s="12">
        <v>38912</v>
      </c>
      <c r="D733" s="11" t="str">
        <f>_xlfn.IFNA(IF(VLOOKUP(Tabela22[[#This Row],[CÓDIGO]],Aguardando_exclusão!A$4:A$4003,1,FALSE),"sim",""),"")</f>
        <v/>
      </c>
    </row>
    <row r="734" spans="1:4" x14ac:dyDescent="0.3">
      <c r="A734" s="15">
        <v>93325</v>
      </c>
      <c r="B734" s="17" t="s">
        <v>730</v>
      </c>
      <c r="C734" s="12">
        <v>38919</v>
      </c>
      <c r="D734" s="11" t="str">
        <f>_xlfn.IFNA(IF(VLOOKUP(Tabela22[[#This Row],[CÓDIGO]],Aguardando_exclusão!A$4:A$4003,1,FALSE),"sim",""),"")</f>
        <v/>
      </c>
    </row>
    <row r="735" spans="1:4" ht="15" customHeight="1" x14ac:dyDescent="0.3">
      <c r="A735" s="15">
        <v>93327</v>
      </c>
      <c r="B735" s="17" t="s">
        <v>731</v>
      </c>
      <c r="C735" s="12">
        <v>38919</v>
      </c>
      <c r="D735" s="11" t="str">
        <f>_xlfn.IFNA(IF(VLOOKUP(Tabela22[[#This Row],[CÓDIGO]],Aguardando_exclusão!A$4:A$4003,1,FALSE),"sim",""),"")</f>
        <v/>
      </c>
    </row>
    <row r="736" spans="1:4" x14ac:dyDescent="0.3">
      <c r="A736" s="15">
        <v>93329</v>
      </c>
      <c r="B736" s="17" t="s">
        <v>732</v>
      </c>
      <c r="C736" s="12">
        <v>38919</v>
      </c>
      <c r="D736" s="11" t="str">
        <f>_xlfn.IFNA(IF(VLOOKUP(Tabela22[[#This Row],[CÓDIGO]],Aguardando_exclusão!A$4:A$4003,1,FALSE),"sim",""),"")</f>
        <v/>
      </c>
    </row>
    <row r="737" spans="1:4" x14ac:dyDescent="0.3">
      <c r="A737" s="15">
        <v>93332</v>
      </c>
      <c r="B737" s="17" t="s">
        <v>733</v>
      </c>
      <c r="C737" s="12">
        <v>38919</v>
      </c>
      <c r="D737" s="11" t="str">
        <f>_xlfn.IFNA(IF(VLOOKUP(Tabela22[[#This Row],[CÓDIGO]],Aguardando_exclusão!A$4:A$4003,1,FALSE),"sim",""),"")</f>
        <v/>
      </c>
    </row>
    <row r="738" spans="1:4" x14ac:dyDescent="0.3">
      <c r="A738" s="15">
        <v>93333</v>
      </c>
      <c r="B738" s="17" t="s">
        <v>734</v>
      </c>
      <c r="C738" s="12">
        <v>38919</v>
      </c>
      <c r="D738" s="11" t="str">
        <f>_xlfn.IFNA(IF(VLOOKUP(Tabela22[[#This Row],[CÓDIGO]],Aguardando_exclusão!A$4:A$4003,1,FALSE),"sim",""),"")</f>
        <v>sim</v>
      </c>
    </row>
    <row r="739" spans="1:4" ht="15" customHeight="1" x14ac:dyDescent="0.3">
      <c r="A739" s="15">
        <v>93334</v>
      </c>
      <c r="B739" s="17" t="s">
        <v>735</v>
      </c>
      <c r="C739" s="12">
        <v>38919</v>
      </c>
      <c r="D739" s="11" t="str">
        <f>_xlfn.IFNA(IF(VLOOKUP(Tabela22[[#This Row],[CÓDIGO]],Aguardando_exclusão!A$4:A$4003,1,FALSE),"sim",""),"")</f>
        <v/>
      </c>
    </row>
    <row r="740" spans="1:4" x14ac:dyDescent="0.3">
      <c r="A740" s="15">
        <v>93335</v>
      </c>
      <c r="B740" s="17" t="s">
        <v>736</v>
      </c>
      <c r="C740" s="12">
        <v>38919</v>
      </c>
      <c r="D740" s="11" t="str">
        <f>_xlfn.IFNA(IF(VLOOKUP(Tabela22[[#This Row],[CÓDIGO]],Aguardando_exclusão!A$4:A$4003,1,FALSE),"sim",""),"")</f>
        <v/>
      </c>
    </row>
    <row r="741" spans="1:4" ht="15" customHeight="1" x14ac:dyDescent="0.3">
      <c r="A741" s="15">
        <v>93344</v>
      </c>
      <c r="B741" s="17" t="s">
        <v>737</v>
      </c>
      <c r="C741" s="12">
        <v>38919</v>
      </c>
      <c r="D741" s="11" t="str">
        <f>_xlfn.IFNA(IF(VLOOKUP(Tabela22[[#This Row],[CÓDIGO]],Aguardando_exclusão!A$4:A$4003,1,FALSE),"sim",""),"")</f>
        <v/>
      </c>
    </row>
    <row r="742" spans="1:4" ht="15" customHeight="1" x14ac:dyDescent="0.3">
      <c r="A742" s="15">
        <v>93453</v>
      </c>
      <c r="B742" s="17" t="s">
        <v>738</v>
      </c>
      <c r="C742" s="12">
        <v>38930</v>
      </c>
      <c r="D742" s="11" t="str">
        <f>_xlfn.IFNA(IF(VLOOKUP(Tabela22[[#This Row],[CÓDIGO]],Aguardando_exclusão!A$4:A$4003,1,FALSE),"sim",""),"")</f>
        <v/>
      </c>
    </row>
    <row r="743" spans="1:4" ht="15" customHeight="1" x14ac:dyDescent="0.3">
      <c r="A743" s="15">
        <v>93454</v>
      </c>
      <c r="B743" s="17" t="s">
        <v>739</v>
      </c>
      <c r="C743" s="12">
        <v>38930</v>
      </c>
      <c r="D743" s="11" t="str">
        <f>_xlfn.IFNA(IF(VLOOKUP(Tabela22[[#This Row],[CÓDIGO]],Aguardando_exclusão!A$4:A$4003,1,FALSE),"sim",""),"")</f>
        <v/>
      </c>
    </row>
    <row r="744" spans="1:4" ht="15" customHeight="1" x14ac:dyDescent="0.3">
      <c r="A744" s="15">
        <v>93456</v>
      </c>
      <c r="B744" s="17" t="s">
        <v>740</v>
      </c>
      <c r="C744" s="12">
        <v>38930</v>
      </c>
      <c r="D744" s="11" t="str">
        <f>_xlfn.IFNA(IF(VLOOKUP(Tabela22[[#This Row],[CÓDIGO]],Aguardando_exclusão!A$4:A$4003,1,FALSE),"sim",""),"")</f>
        <v/>
      </c>
    </row>
    <row r="745" spans="1:4" ht="15" customHeight="1" x14ac:dyDescent="0.3">
      <c r="A745" s="15">
        <v>93461</v>
      </c>
      <c r="B745" s="17" t="s">
        <v>741</v>
      </c>
      <c r="C745" s="12">
        <v>38930</v>
      </c>
      <c r="D745" s="11" t="str">
        <f>_xlfn.IFNA(IF(VLOOKUP(Tabela22[[#This Row],[CÓDIGO]],Aguardando_exclusão!A$4:A$4003,1,FALSE),"sim",""),"")</f>
        <v/>
      </c>
    </row>
    <row r="746" spans="1:4" x14ac:dyDescent="0.3">
      <c r="A746" s="15">
        <v>93462</v>
      </c>
      <c r="B746" s="17" t="s">
        <v>742</v>
      </c>
      <c r="C746" s="12">
        <v>38930</v>
      </c>
      <c r="D746" s="11" t="str">
        <f>_xlfn.IFNA(IF(VLOOKUP(Tabela22[[#This Row],[CÓDIGO]],Aguardando_exclusão!A$4:A$4003,1,FALSE),"sim",""),"")</f>
        <v/>
      </c>
    </row>
    <row r="747" spans="1:4" x14ac:dyDescent="0.3">
      <c r="A747" s="15">
        <v>93486</v>
      </c>
      <c r="B747" s="17" t="s">
        <v>743</v>
      </c>
      <c r="C747" s="12">
        <v>38930</v>
      </c>
      <c r="D747" s="11" t="str">
        <f>_xlfn.IFNA(IF(VLOOKUP(Tabela22[[#This Row],[CÓDIGO]],Aguardando_exclusão!A$4:A$4003,1,FALSE),"sim",""),"")</f>
        <v/>
      </c>
    </row>
    <row r="748" spans="1:4" ht="15" customHeight="1" x14ac:dyDescent="0.3">
      <c r="A748" s="15">
        <v>93487</v>
      </c>
      <c r="B748" s="17" t="s">
        <v>744</v>
      </c>
      <c r="C748" s="12">
        <v>38930</v>
      </c>
      <c r="D748" s="11" t="str">
        <f>_xlfn.IFNA(IF(VLOOKUP(Tabela22[[#This Row],[CÓDIGO]],Aguardando_exclusão!A$4:A$4003,1,FALSE),"sim",""),"")</f>
        <v/>
      </c>
    </row>
    <row r="749" spans="1:4" x14ac:dyDescent="0.3">
      <c r="A749" s="15">
        <v>93488</v>
      </c>
      <c r="B749" s="17" t="s">
        <v>745</v>
      </c>
      <c r="C749" s="12">
        <v>38930</v>
      </c>
      <c r="D749" s="11" t="str">
        <f>_xlfn.IFNA(IF(VLOOKUP(Tabela22[[#This Row],[CÓDIGO]],Aguardando_exclusão!A$4:A$4003,1,FALSE),"sim",""),"")</f>
        <v/>
      </c>
    </row>
    <row r="750" spans="1:4" x14ac:dyDescent="0.3">
      <c r="A750" s="15">
        <v>94013</v>
      </c>
      <c r="B750" s="17" t="s">
        <v>746</v>
      </c>
      <c r="C750" s="12">
        <v>38951</v>
      </c>
      <c r="D750" s="11" t="str">
        <f>_xlfn.IFNA(IF(VLOOKUP(Tabela22[[#This Row],[CÓDIGO]],Aguardando_exclusão!A$4:A$4003,1,FALSE),"sim",""),"")</f>
        <v/>
      </c>
    </row>
    <row r="751" spans="1:4" x14ac:dyDescent="0.3">
      <c r="A751" s="15">
        <v>94615</v>
      </c>
      <c r="B751" s="17" t="s">
        <v>747</v>
      </c>
      <c r="C751" s="12">
        <v>38978</v>
      </c>
      <c r="D751" s="11" t="str">
        <f>_xlfn.IFNA(IF(VLOOKUP(Tabela22[[#This Row],[CÓDIGO]],Aguardando_exclusão!A$4:A$4003,1,FALSE),"sim",""),"")</f>
        <v/>
      </c>
    </row>
    <row r="752" spans="1:4" x14ac:dyDescent="0.3">
      <c r="A752" s="15">
        <v>94616</v>
      </c>
      <c r="B752" s="17" t="s">
        <v>748</v>
      </c>
      <c r="C752" s="12">
        <v>38978</v>
      </c>
      <c r="D752" s="11" t="str">
        <f>_xlfn.IFNA(IF(VLOOKUP(Tabela22[[#This Row],[CÓDIGO]],Aguardando_exclusão!A$4:A$4003,1,FALSE),"sim",""),"")</f>
        <v/>
      </c>
    </row>
    <row r="753" spans="1:4" x14ac:dyDescent="0.3">
      <c r="A753" s="15">
        <v>94617</v>
      </c>
      <c r="B753" s="17" t="s">
        <v>749</v>
      </c>
      <c r="C753" s="12">
        <v>38978</v>
      </c>
      <c r="D753" s="11" t="str">
        <f>_xlfn.IFNA(IF(VLOOKUP(Tabela22[[#This Row],[CÓDIGO]],Aguardando_exclusão!A$4:A$4003,1,FALSE),"sim",""),"")</f>
        <v/>
      </c>
    </row>
    <row r="754" spans="1:4" x14ac:dyDescent="0.3">
      <c r="A754" s="15">
        <v>94618</v>
      </c>
      <c r="B754" s="17" t="s">
        <v>750</v>
      </c>
      <c r="C754" s="12">
        <v>38978</v>
      </c>
      <c r="D754" s="11" t="str">
        <f>_xlfn.IFNA(IF(VLOOKUP(Tabela22[[#This Row],[CÓDIGO]],Aguardando_exclusão!A$4:A$4003,1,FALSE),"sim",""),"")</f>
        <v/>
      </c>
    </row>
    <row r="755" spans="1:4" x14ac:dyDescent="0.3">
      <c r="A755" s="15">
        <v>94627</v>
      </c>
      <c r="B755" s="17" t="s">
        <v>751</v>
      </c>
      <c r="C755" s="12">
        <v>38979</v>
      </c>
      <c r="D755" s="11" t="str">
        <f>_xlfn.IFNA(IF(VLOOKUP(Tabela22[[#This Row],[CÓDIGO]],Aguardando_exclusão!A$4:A$4003,1,FALSE),"sim",""),"")</f>
        <v/>
      </c>
    </row>
    <row r="756" spans="1:4" ht="15" customHeight="1" x14ac:dyDescent="0.3">
      <c r="A756" s="15">
        <v>94787</v>
      </c>
      <c r="B756" s="17" t="s">
        <v>752</v>
      </c>
      <c r="C756" s="12">
        <v>39716</v>
      </c>
      <c r="D756" s="11" t="str">
        <f>_xlfn.IFNA(IF(VLOOKUP(Tabela22[[#This Row],[CÓDIGO]],Aguardando_exclusão!A$4:A$4003,1,FALSE),"sim",""),"")</f>
        <v>sim</v>
      </c>
    </row>
    <row r="757" spans="1:4" x14ac:dyDescent="0.3">
      <c r="A757" s="15">
        <v>95121</v>
      </c>
      <c r="B757" s="17" t="s">
        <v>753</v>
      </c>
      <c r="C757" s="12">
        <v>39001</v>
      </c>
      <c r="D757" s="11" t="str">
        <f>_xlfn.IFNA(IF(VLOOKUP(Tabela22[[#This Row],[CÓDIGO]],Aguardando_exclusão!A$4:A$4003,1,FALSE),"sim",""),"")</f>
        <v/>
      </c>
    </row>
    <row r="758" spans="1:4" x14ac:dyDescent="0.3">
      <c r="A758" s="15">
        <v>95209</v>
      </c>
      <c r="B758" s="17" t="s">
        <v>754</v>
      </c>
      <c r="C758" s="12">
        <v>38985</v>
      </c>
      <c r="D758" s="11" t="str">
        <f>_xlfn.IFNA(IF(VLOOKUP(Tabela22[[#This Row],[CÓDIGO]],Aguardando_exclusão!A$4:A$4003,1,FALSE),"sim",""),"")</f>
        <v/>
      </c>
    </row>
    <row r="759" spans="1:4" x14ac:dyDescent="0.3">
      <c r="A759" s="15">
        <v>95456</v>
      </c>
      <c r="B759" s="17" t="s">
        <v>755</v>
      </c>
      <c r="C759" s="12">
        <v>39014</v>
      </c>
      <c r="D759" s="11" t="str">
        <f>_xlfn.IFNA(IF(VLOOKUP(Tabela22[[#This Row],[CÓDIGO]],Aguardando_exclusão!A$4:A$4003,1,FALSE),"sim",""),"")</f>
        <v/>
      </c>
    </row>
    <row r="760" spans="1:4" x14ac:dyDescent="0.3">
      <c r="A760" s="15">
        <v>95513</v>
      </c>
      <c r="B760" s="17" t="s">
        <v>756</v>
      </c>
      <c r="C760" s="12">
        <v>39015</v>
      </c>
      <c r="D760" s="11" t="str">
        <f>_xlfn.IFNA(IF(VLOOKUP(Tabela22[[#This Row],[CÓDIGO]],Aguardando_exclusão!A$4:A$4003,1,FALSE),"sim",""),"")</f>
        <v/>
      </c>
    </row>
    <row r="761" spans="1:4" x14ac:dyDescent="0.3">
      <c r="A761" s="15">
        <v>95970</v>
      </c>
      <c r="B761" s="17" t="s">
        <v>757</v>
      </c>
      <c r="C761" s="12">
        <v>39037</v>
      </c>
      <c r="D761" s="11" t="str">
        <f>_xlfn.IFNA(IF(VLOOKUP(Tabela22[[#This Row],[CÓDIGO]],Aguardando_exclusão!A$4:A$4003,1,FALSE),"sim",""),"")</f>
        <v>sim</v>
      </c>
    </row>
    <row r="762" spans="1:4" x14ac:dyDescent="0.3">
      <c r="A762" s="15">
        <v>96516</v>
      </c>
      <c r="B762" s="17" t="s">
        <v>758</v>
      </c>
      <c r="C762" s="12">
        <v>39063</v>
      </c>
      <c r="D762" s="11" t="str">
        <f>_xlfn.IFNA(IF(VLOOKUP(Tabela22[[#This Row],[CÓDIGO]],Aguardando_exclusão!A$4:A$4003,1,FALSE),"sim",""),"")</f>
        <v/>
      </c>
    </row>
    <row r="763" spans="1:4" x14ac:dyDescent="0.3">
      <c r="A763" s="15">
        <v>97965</v>
      </c>
      <c r="B763" s="17" t="s">
        <v>759</v>
      </c>
      <c r="C763" s="12">
        <v>39149</v>
      </c>
      <c r="D763" s="11" t="str">
        <f>_xlfn.IFNA(IF(VLOOKUP(Tabela22[[#This Row],[CÓDIGO]],Aguardando_exclusão!A$4:A$4003,1,FALSE),"sim",""),"")</f>
        <v/>
      </c>
    </row>
    <row r="764" spans="1:4" x14ac:dyDescent="0.3">
      <c r="A764" s="15">
        <v>98080</v>
      </c>
      <c r="B764" s="17" t="s">
        <v>760</v>
      </c>
      <c r="C764" s="12">
        <v>39154</v>
      </c>
      <c r="D764" s="11" t="str">
        <f>_xlfn.IFNA(IF(VLOOKUP(Tabela22[[#This Row],[CÓDIGO]],Aguardando_exclusão!A$4:A$4003,1,FALSE),"sim",""),"")</f>
        <v/>
      </c>
    </row>
    <row r="765" spans="1:4" x14ac:dyDescent="0.3">
      <c r="A765" s="15">
        <v>98359</v>
      </c>
      <c r="B765" s="17" t="s">
        <v>761</v>
      </c>
      <c r="C765" s="12">
        <v>39168</v>
      </c>
      <c r="D765" s="11" t="str">
        <f>_xlfn.IFNA(IF(VLOOKUP(Tabela22[[#This Row],[CÓDIGO]],Aguardando_exclusão!A$4:A$4003,1,FALSE),"sim",""),"")</f>
        <v/>
      </c>
    </row>
    <row r="766" spans="1:4" x14ac:dyDescent="0.3">
      <c r="A766" s="15">
        <v>98360</v>
      </c>
      <c r="B766" s="17" t="s">
        <v>762</v>
      </c>
      <c r="C766" s="12">
        <v>39168</v>
      </c>
      <c r="D766" s="11" t="str">
        <f>_xlfn.IFNA(IF(VLOOKUP(Tabela22[[#This Row],[CÓDIGO]],Aguardando_exclusão!A$4:A$4003,1,FALSE),"sim",""),"")</f>
        <v>sim</v>
      </c>
    </row>
    <row r="767" spans="1:4" ht="15" customHeight="1" x14ac:dyDescent="0.3">
      <c r="A767" s="15">
        <v>98702</v>
      </c>
      <c r="B767" s="17" t="s">
        <v>763</v>
      </c>
      <c r="C767" s="12">
        <v>39183</v>
      </c>
      <c r="D767" s="11" t="str">
        <f>_xlfn.IFNA(IF(VLOOKUP(Tabela22[[#This Row],[CÓDIGO]],Aguardando_exclusão!A$4:A$4003,1,FALSE),"sim",""),"")</f>
        <v/>
      </c>
    </row>
    <row r="768" spans="1:4" x14ac:dyDescent="0.3">
      <c r="A768" s="15">
        <v>98703</v>
      </c>
      <c r="B768" s="17" t="s">
        <v>764</v>
      </c>
      <c r="C768" s="12">
        <v>39183</v>
      </c>
      <c r="D768" s="11" t="str">
        <f>_xlfn.IFNA(IF(VLOOKUP(Tabela22[[#This Row],[CÓDIGO]],Aguardando_exclusão!A$4:A$4003,1,FALSE),"sim",""),"")</f>
        <v/>
      </c>
    </row>
    <row r="769" spans="1:4" ht="15" customHeight="1" x14ac:dyDescent="0.3">
      <c r="A769" s="15">
        <v>98704</v>
      </c>
      <c r="B769" s="17" t="s">
        <v>765</v>
      </c>
      <c r="C769" s="12">
        <v>39183</v>
      </c>
      <c r="D769" s="11" t="str">
        <f>_xlfn.IFNA(IF(VLOOKUP(Tabela22[[#This Row],[CÓDIGO]],Aguardando_exclusão!A$4:A$4003,1,FALSE),"sim",""),"")</f>
        <v/>
      </c>
    </row>
    <row r="770" spans="1:4" ht="15" customHeight="1" x14ac:dyDescent="0.3">
      <c r="A770" s="15">
        <v>98732</v>
      </c>
      <c r="B770" s="17" t="s">
        <v>766</v>
      </c>
      <c r="C770" s="12">
        <v>39184</v>
      </c>
      <c r="D770" s="11" t="str">
        <f>_xlfn.IFNA(IF(VLOOKUP(Tabela22[[#This Row],[CÓDIGO]],Aguardando_exclusão!A$4:A$4003,1,FALSE),"sim",""),"")</f>
        <v/>
      </c>
    </row>
    <row r="771" spans="1:4" x14ac:dyDescent="0.3">
      <c r="A771" s="15">
        <v>98733</v>
      </c>
      <c r="B771" s="17" t="s">
        <v>767</v>
      </c>
      <c r="C771" s="12">
        <v>39184</v>
      </c>
      <c r="D771" s="11" t="str">
        <f>_xlfn.IFNA(IF(VLOOKUP(Tabela22[[#This Row],[CÓDIGO]],Aguardando_exclusão!A$4:A$4003,1,FALSE),"sim",""),"")</f>
        <v/>
      </c>
    </row>
    <row r="772" spans="1:4" x14ac:dyDescent="0.3">
      <c r="A772" s="15">
        <v>98734</v>
      </c>
      <c r="B772" s="17" t="s">
        <v>1329</v>
      </c>
      <c r="C772" s="12">
        <v>39184</v>
      </c>
      <c r="D772" s="11" t="str">
        <f>_xlfn.IFNA(IF(VLOOKUP(Tabela22[[#This Row],[CÓDIGO]],Aguardando_exclusão!A$4:A$4003,1,FALSE),"sim",""),"")</f>
        <v/>
      </c>
    </row>
    <row r="773" spans="1:4" x14ac:dyDescent="0.3">
      <c r="A773" s="15">
        <v>99787</v>
      </c>
      <c r="B773" s="17" t="s">
        <v>768</v>
      </c>
      <c r="C773" s="12">
        <v>39227</v>
      </c>
      <c r="D773" s="11" t="str">
        <f>_xlfn.IFNA(IF(VLOOKUP(Tabela22[[#This Row],[CÓDIGO]],Aguardando_exclusão!A$4:A$4003,1,FALSE),"sim",""),"")</f>
        <v/>
      </c>
    </row>
    <row r="774" spans="1:4" x14ac:dyDescent="0.3">
      <c r="A774" s="15">
        <v>99788</v>
      </c>
      <c r="B774" s="17" t="s">
        <v>769</v>
      </c>
      <c r="C774" s="12">
        <v>39227</v>
      </c>
      <c r="D774" s="11" t="str">
        <f>_xlfn.IFNA(IF(VLOOKUP(Tabela22[[#This Row],[CÓDIGO]],Aguardando_exclusão!A$4:A$4003,1,FALSE),"sim",""),"")</f>
        <v/>
      </c>
    </row>
    <row r="775" spans="1:4" x14ac:dyDescent="0.3">
      <c r="A775" s="15">
        <v>99790</v>
      </c>
      <c r="B775" s="17" t="s">
        <v>770</v>
      </c>
      <c r="C775" s="12">
        <v>39227</v>
      </c>
      <c r="D775" s="11" t="str">
        <f>_xlfn.IFNA(IF(VLOOKUP(Tabela22[[#This Row],[CÓDIGO]],Aguardando_exclusão!A$4:A$4003,1,FALSE),"sim",""),"")</f>
        <v>sim</v>
      </c>
    </row>
    <row r="776" spans="1:4" ht="15" customHeight="1" x14ac:dyDescent="0.3">
      <c r="A776" s="15">
        <v>99796</v>
      </c>
      <c r="B776" s="17" t="s">
        <v>771</v>
      </c>
      <c r="C776" s="12">
        <v>39227</v>
      </c>
      <c r="D776" s="11" t="str">
        <f>_xlfn.IFNA(IF(VLOOKUP(Tabela22[[#This Row],[CÓDIGO]],Aguardando_exclusão!A$4:A$4003,1,FALSE),"sim",""),"")</f>
        <v/>
      </c>
    </row>
    <row r="777" spans="1:4" x14ac:dyDescent="0.3">
      <c r="A777" s="15">
        <v>99810</v>
      </c>
      <c r="B777" s="17" t="s">
        <v>772</v>
      </c>
      <c r="C777" s="12">
        <v>39227</v>
      </c>
      <c r="D777" s="11" t="str">
        <f>_xlfn.IFNA(IF(VLOOKUP(Tabela22[[#This Row],[CÓDIGO]],Aguardando_exclusão!A$4:A$4003,1,FALSE),"sim",""),"")</f>
        <v/>
      </c>
    </row>
    <row r="778" spans="1:4" x14ac:dyDescent="0.3">
      <c r="A778" s="15">
        <v>100383</v>
      </c>
      <c r="B778" s="17" t="s">
        <v>773</v>
      </c>
      <c r="C778" s="12">
        <v>39260</v>
      </c>
      <c r="D778" s="11" t="str">
        <f>_xlfn.IFNA(IF(VLOOKUP(Tabela22[[#This Row],[CÓDIGO]],Aguardando_exclusão!A$4:A$4003,1,FALSE),"sim",""),"")</f>
        <v/>
      </c>
    </row>
    <row r="779" spans="1:4" ht="15" customHeight="1" x14ac:dyDescent="0.3">
      <c r="A779" s="15">
        <v>100802</v>
      </c>
      <c r="B779" s="17" t="s">
        <v>774</v>
      </c>
      <c r="C779" s="12">
        <v>39275</v>
      </c>
      <c r="D779" s="11" t="str">
        <f>_xlfn.IFNA(IF(VLOOKUP(Tabela22[[#This Row],[CÓDIGO]],Aguardando_exclusão!A$4:A$4003,1,FALSE),"sim",""),"")</f>
        <v/>
      </c>
    </row>
    <row r="780" spans="1:4" x14ac:dyDescent="0.3">
      <c r="A780" s="15">
        <v>100907</v>
      </c>
      <c r="B780" s="17" t="s">
        <v>775</v>
      </c>
      <c r="C780" s="12">
        <v>39281</v>
      </c>
      <c r="D780" s="11" t="str">
        <f>_xlfn.IFNA(IF(VLOOKUP(Tabela22[[#This Row],[CÓDIGO]],Aguardando_exclusão!A$4:A$4003,1,FALSE),"sim",""),"")</f>
        <v/>
      </c>
    </row>
    <row r="781" spans="1:4" x14ac:dyDescent="0.3">
      <c r="A781" s="15">
        <v>101867</v>
      </c>
      <c r="B781" s="17" t="s">
        <v>776</v>
      </c>
      <c r="C781" s="12">
        <v>39328</v>
      </c>
      <c r="D781" s="11" t="str">
        <f>_xlfn.IFNA(IF(VLOOKUP(Tabela22[[#This Row],[CÓDIGO]],Aguardando_exclusão!A$4:A$4003,1,FALSE),"sim",""),"")</f>
        <v/>
      </c>
    </row>
    <row r="782" spans="1:4" x14ac:dyDescent="0.3">
      <c r="A782" s="15">
        <v>101868</v>
      </c>
      <c r="B782" s="17" t="s">
        <v>777</v>
      </c>
      <c r="C782" s="12">
        <v>39328</v>
      </c>
      <c r="D782" s="11" t="str">
        <f>_xlfn.IFNA(IF(VLOOKUP(Tabela22[[#This Row],[CÓDIGO]],Aguardando_exclusão!A$4:A$4003,1,FALSE),"sim",""),"")</f>
        <v/>
      </c>
    </row>
    <row r="783" spans="1:4" x14ac:dyDescent="0.3">
      <c r="A783" s="15">
        <v>101891</v>
      </c>
      <c r="B783" s="17" t="s">
        <v>778</v>
      </c>
      <c r="C783" s="12">
        <v>39330</v>
      </c>
      <c r="D783" s="11" t="str">
        <f>_xlfn.IFNA(IF(VLOOKUP(Tabela22[[#This Row],[CÓDIGO]],Aguardando_exclusão!A$4:A$4003,1,FALSE),"sim",""),"")</f>
        <v/>
      </c>
    </row>
    <row r="784" spans="1:4" x14ac:dyDescent="0.3">
      <c r="A784" s="15">
        <v>101917</v>
      </c>
      <c r="B784" s="17" t="s">
        <v>779</v>
      </c>
      <c r="C784" s="12">
        <v>39335</v>
      </c>
      <c r="D784" s="11" t="str">
        <f>_xlfn.IFNA(IF(VLOOKUP(Tabela22[[#This Row],[CÓDIGO]],Aguardando_exclusão!A$4:A$4003,1,FALSE),"sim",""),"")</f>
        <v/>
      </c>
    </row>
    <row r="785" spans="1:4" ht="15" customHeight="1" x14ac:dyDescent="0.3">
      <c r="A785" s="15">
        <v>101938</v>
      </c>
      <c r="B785" s="17" t="s">
        <v>780</v>
      </c>
      <c r="C785" s="12">
        <v>39336</v>
      </c>
      <c r="D785" s="11" t="str">
        <f>_xlfn.IFNA(IF(VLOOKUP(Tabela22[[#This Row],[CÓDIGO]],Aguardando_exclusão!A$4:A$4003,1,FALSE),"sim",""),"")</f>
        <v/>
      </c>
    </row>
    <row r="786" spans="1:4" ht="15" customHeight="1" x14ac:dyDescent="0.3">
      <c r="A786" s="15">
        <v>102000</v>
      </c>
      <c r="B786" s="17" t="s">
        <v>781</v>
      </c>
      <c r="C786" s="12">
        <v>39339</v>
      </c>
      <c r="D786" s="11" t="str">
        <f>_xlfn.IFNA(IF(VLOOKUP(Tabela22[[#This Row],[CÓDIGO]],Aguardando_exclusão!A$4:A$4003,1,FALSE),"sim",""),"")</f>
        <v/>
      </c>
    </row>
    <row r="787" spans="1:4" ht="15" customHeight="1" x14ac:dyDescent="0.3">
      <c r="A787" s="15">
        <v>102234</v>
      </c>
      <c r="B787" s="17" t="s">
        <v>782</v>
      </c>
      <c r="C787" s="12">
        <v>39350</v>
      </c>
      <c r="D787" s="11" t="str">
        <f>_xlfn.IFNA(IF(VLOOKUP(Tabela22[[#This Row],[CÓDIGO]],Aguardando_exclusão!A$4:A$4003,1,FALSE),"sim",""),"")</f>
        <v/>
      </c>
    </row>
    <row r="788" spans="1:4" x14ac:dyDescent="0.3">
      <c r="A788" s="15">
        <v>102276</v>
      </c>
      <c r="B788" s="17" t="s">
        <v>783</v>
      </c>
      <c r="C788" s="12">
        <v>39352</v>
      </c>
      <c r="D788" s="11" t="str">
        <f>_xlfn.IFNA(IF(VLOOKUP(Tabela22[[#This Row],[CÓDIGO]],Aguardando_exclusão!A$4:A$4003,1,FALSE),"sim",""),"")</f>
        <v/>
      </c>
    </row>
    <row r="789" spans="1:4" x14ac:dyDescent="0.3">
      <c r="A789" s="15">
        <v>102277</v>
      </c>
      <c r="B789" s="17" t="s">
        <v>784</v>
      </c>
      <c r="C789" s="12">
        <v>39352</v>
      </c>
      <c r="D789" s="11" t="str">
        <f>_xlfn.IFNA(IF(VLOOKUP(Tabela22[[#This Row],[CÓDIGO]],Aguardando_exclusão!A$4:A$4003,1,FALSE),"sim",""),"")</f>
        <v/>
      </c>
    </row>
    <row r="790" spans="1:4" x14ac:dyDescent="0.3">
      <c r="A790" s="15">
        <v>102278</v>
      </c>
      <c r="B790" s="17" t="s">
        <v>785</v>
      </c>
      <c r="C790" s="12">
        <v>39352</v>
      </c>
      <c r="D790" s="11" t="str">
        <f>_xlfn.IFNA(IF(VLOOKUP(Tabela22[[#This Row],[CÓDIGO]],Aguardando_exclusão!A$4:A$4003,1,FALSE),"sim",""),"")</f>
        <v/>
      </c>
    </row>
    <row r="791" spans="1:4" x14ac:dyDescent="0.3">
      <c r="A791" s="15">
        <v>102279</v>
      </c>
      <c r="B791" s="17" t="s">
        <v>786</v>
      </c>
      <c r="C791" s="12">
        <v>39352</v>
      </c>
      <c r="D791" s="11" t="str">
        <f>_xlfn.IFNA(IF(VLOOKUP(Tabela22[[#This Row],[CÓDIGO]],Aguardando_exclusão!A$4:A$4003,1,FALSE),"sim",""),"")</f>
        <v/>
      </c>
    </row>
    <row r="792" spans="1:4" x14ac:dyDescent="0.3">
      <c r="A792" s="15">
        <v>102443</v>
      </c>
      <c r="B792" s="17" t="s">
        <v>787</v>
      </c>
      <c r="C792" s="12">
        <v>39360</v>
      </c>
      <c r="D792" s="11" t="str">
        <f>_xlfn.IFNA(IF(VLOOKUP(Tabela22[[#This Row],[CÓDIGO]],Aguardando_exclusão!A$4:A$4003,1,FALSE),"sim",""),"")</f>
        <v>sim</v>
      </c>
    </row>
    <row r="793" spans="1:4" ht="15" customHeight="1" x14ac:dyDescent="0.3">
      <c r="A793" s="15">
        <v>102588</v>
      </c>
      <c r="B793" s="17" t="s">
        <v>788</v>
      </c>
      <c r="C793" s="12">
        <v>39365</v>
      </c>
      <c r="D793" s="11" t="str">
        <f>_xlfn.IFNA(IF(VLOOKUP(Tabela22[[#This Row],[CÓDIGO]],Aguardando_exclusão!A$4:A$4003,1,FALSE),"sim",""),"")</f>
        <v/>
      </c>
    </row>
    <row r="794" spans="1:4" x14ac:dyDescent="0.3">
      <c r="A794" s="15">
        <v>102634</v>
      </c>
      <c r="B794" s="17" t="s">
        <v>789</v>
      </c>
      <c r="C794" s="12">
        <v>39366</v>
      </c>
      <c r="D794" s="11" t="str">
        <f>_xlfn.IFNA(IF(VLOOKUP(Tabela22[[#This Row],[CÓDIGO]],Aguardando_exclusão!A$4:A$4003,1,FALSE),"sim",""),"")</f>
        <v>sim</v>
      </c>
    </row>
    <row r="795" spans="1:4" ht="15" customHeight="1" x14ac:dyDescent="0.3">
      <c r="A795" s="15">
        <v>102684</v>
      </c>
      <c r="B795" s="17" t="s">
        <v>790</v>
      </c>
      <c r="C795" s="12">
        <v>39371</v>
      </c>
      <c r="D795" s="11" t="str">
        <f>_xlfn.IFNA(IF(VLOOKUP(Tabela22[[#This Row],[CÓDIGO]],Aguardando_exclusão!A$4:A$4003,1,FALSE),"sim",""),"")</f>
        <v>sim</v>
      </c>
    </row>
    <row r="796" spans="1:4" ht="15" customHeight="1" x14ac:dyDescent="0.3">
      <c r="A796" s="15">
        <v>102685</v>
      </c>
      <c r="B796" s="17" t="s">
        <v>791</v>
      </c>
      <c r="C796" s="12">
        <v>39371</v>
      </c>
      <c r="D796" s="11" t="str">
        <f>_xlfn.IFNA(IF(VLOOKUP(Tabela22[[#This Row],[CÓDIGO]],Aguardando_exclusão!A$4:A$4003,1,FALSE),"sim",""),"")</f>
        <v>sim</v>
      </c>
    </row>
    <row r="797" spans="1:4" ht="15" customHeight="1" x14ac:dyDescent="0.3">
      <c r="A797" s="15">
        <v>102686</v>
      </c>
      <c r="B797" s="17" t="s">
        <v>792</v>
      </c>
      <c r="C797" s="12">
        <v>39371</v>
      </c>
      <c r="D797" s="11" t="str">
        <f>_xlfn.IFNA(IF(VLOOKUP(Tabela22[[#This Row],[CÓDIGO]],Aguardando_exclusão!A$4:A$4003,1,FALSE),"sim",""),"")</f>
        <v>sim</v>
      </c>
    </row>
    <row r="798" spans="1:4" x14ac:dyDescent="0.3">
      <c r="A798" s="15">
        <v>102687</v>
      </c>
      <c r="B798" s="17" t="s">
        <v>793</v>
      </c>
      <c r="C798" s="12">
        <v>39371</v>
      </c>
      <c r="D798" s="11" t="str">
        <f>_xlfn.IFNA(IF(VLOOKUP(Tabela22[[#This Row],[CÓDIGO]],Aguardando_exclusão!A$4:A$4003,1,FALSE),"sim",""),"")</f>
        <v>sim</v>
      </c>
    </row>
    <row r="799" spans="1:4" ht="15" customHeight="1" x14ac:dyDescent="0.3">
      <c r="A799" s="15">
        <v>102688</v>
      </c>
      <c r="B799" s="17" t="s">
        <v>794</v>
      </c>
      <c r="C799" s="12">
        <v>39371</v>
      </c>
      <c r="D799" s="11" t="str">
        <f>_xlfn.IFNA(IF(VLOOKUP(Tabela22[[#This Row],[CÓDIGO]],Aguardando_exclusão!A$4:A$4003,1,FALSE),"sim",""),"")</f>
        <v>sim</v>
      </c>
    </row>
    <row r="800" spans="1:4" x14ac:dyDescent="0.3">
      <c r="A800" s="15">
        <v>102690</v>
      </c>
      <c r="B800" s="17" t="s">
        <v>795</v>
      </c>
      <c r="C800" s="12">
        <v>39371</v>
      </c>
      <c r="D800" s="11" t="str">
        <f>_xlfn.IFNA(IF(VLOOKUP(Tabela22[[#This Row],[CÓDIGO]],Aguardando_exclusão!A$4:A$4003,1,FALSE),"sim",""),"")</f>
        <v/>
      </c>
    </row>
    <row r="801" spans="1:4" x14ac:dyDescent="0.3">
      <c r="A801" s="15">
        <v>102691</v>
      </c>
      <c r="B801" s="17" t="s">
        <v>796</v>
      </c>
      <c r="C801" s="12">
        <v>39371</v>
      </c>
      <c r="D801" s="11" t="str">
        <f>_xlfn.IFNA(IF(VLOOKUP(Tabela22[[#This Row],[CÓDIGO]],Aguardando_exclusão!A$4:A$4003,1,FALSE),"sim",""),"")</f>
        <v/>
      </c>
    </row>
    <row r="802" spans="1:4" x14ac:dyDescent="0.3">
      <c r="A802" s="15">
        <v>102692</v>
      </c>
      <c r="B802" s="17" t="s">
        <v>797</v>
      </c>
      <c r="C802" s="12">
        <v>39371</v>
      </c>
      <c r="D802" s="11" t="str">
        <f>_xlfn.IFNA(IF(VLOOKUP(Tabela22[[#This Row],[CÓDIGO]],Aguardando_exclusão!A$4:A$4003,1,FALSE),"sim",""),"")</f>
        <v>sim</v>
      </c>
    </row>
    <row r="803" spans="1:4" ht="15" customHeight="1" x14ac:dyDescent="0.3">
      <c r="A803" s="15">
        <v>102693</v>
      </c>
      <c r="B803" s="17" t="s">
        <v>798</v>
      </c>
      <c r="C803" s="12">
        <v>39371</v>
      </c>
      <c r="D803" s="11" t="str">
        <f>_xlfn.IFNA(IF(VLOOKUP(Tabela22[[#This Row],[CÓDIGO]],Aguardando_exclusão!A$4:A$4003,1,FALSE),"sim",""),"")</f>
        <v>sim</v>
      </c>
    </row>
    <row r="804" spans="1:4" x14ac:dyDescent="0.3">
      <c r="A804" s="15">
        <v>102694</v>
      </c>
      <c r="B804" s="17" t="s">
        <v>799</v>
      </c>
      <c r="C804" s="12">
        <v>39371</v>
      </c>
      <c r="D804" s="11" t="str">
        <f>_xlfn.IFNA(IF(VLOOKUP(Tabela22[[#This Row],[CÓDIGO]],Aguardando_exclusão!A$4:A$4003,1,FALSE),"sim",""),"")</f>
        <v/>
      </c>
    </row>
    <row r="805" spans="1:4" x14ac:dyDescent="0.3">
      <c r="A805" s="15">
        <v>102695</v>
      </c>
      <c r="B805" s="17" t="s">
        <v>800</v>
      </c>
      <c r="C805" s="12">
        <v>39371</v>
      </c>
      <c r="D805" s="11" t="str">
        <f>_xlfn.IFNA(IF(VLOOKUP(Tabela22[[#This Row],[CÓDIGO]],Aguardando_exclusão!A$4:A$4003,1,FALSE),"sim",""),"")</f>
        <v>sim</v>
      </c>
    </row>
    <row r="806" spans="1:4" x14ac:dyDescent="0.3">
      <c r="A806" s="15">
        <v>102696</v>
      </c>
      <c r="B806" s="17" t="s">
        <v>801</v>
      </c>
      <c r="C806" s="12">
        <v>39371</v>
      </c>
      <c r="D806" s="11" t="str">
        <f>_xlfn.IFNA(IF(VLOOKUP(Tabela22[[#This Row],[CÓDIGO]],Aguardando_exclusão!A$4:A$4003,1,FALSE),"sim",""),"")</f>
        <v>sim</v>
      </c>
    </row>
    <row r="807" spans="1:4" x14ac:dyDescent="0.3">
      <c r="A807" s="15">
        <v>102697</v>
      </c>
      <c r="B807" s="17" t="s">
        <v>802</v>
      </c>
      <c r="C807" s="12">
        <v>39371</v>
      </c>
      <c r="D807" s="11" t="str">
        <f>_xlfn.IFNA(IF(VLOOKUP(Tabela22[[#This Row],[CÓDIGO]],Aguardando_exclusão!A$4:A$4003,1,FALSE),"sim",""),"")</f>
        <v>sim</v>
      </c>
    </row>
    <row r="808" spans="1:4" x14ac:dyDescent="0.3">
      <c r="A808" s="15">
        <v>102698</v>
      </c>
      <c r="B808" s="17" t="s">
        <v>803</v>
      </c>
      <c r="C808" s="12">
        <v>39371</v>
      </c>
      <c r="D808" s="11" t="str">
        <f>_xlfn.IFNA(IF(VLOOKUP(Tabela22[[#This Row],[CÓDIGO]],Aguardando_exclusão!A$4:A$4003,1,FALSE),"sim",""),"")</f>
        <v>sim</v>
      </c>
    </row>
    <row r="809" spans="1:4" x14ac:dyDescent="0.3">
      <c r="A809" s="15">
        <v>102699</v>
      </c>
      <c r="B809" s="17" t="s">
        <v>804</v>
      </c>
      <c r="C809" s="12">
        <v>39371</v>
      </c>
      <c r="D809" s="11" t="str">
        <f>_xlfn.IFNA(IF(VLOOKUP(Tabela22[[#This Row],[CÓDIGO]],Aguardando_exclusão!A$4:A$4003,1,FALSE),"sim",""),"")</f>
        <v>sim</v>
      </c>
    </row>
    <row r="810" spans="1:4" ht="15" customHeight="1" x14ac:dyDescent="0.3">
      <c r="A810" s="15">
        <v>102702</v>
      </c>
      <c r="B810" s="17" t="s">
        <v>805</v>
      </c>
      <c r="C810" s="12">
        <v>39371</v>
      </c>
      <c r="D810" s="11" t="str">
        <f>_xlfn.IFNA(IF(VLOOKUP(Tabela22[[#This Row],[CÓDIGO]],Aguardando_exclusão!A$4:A$4003,1,FALSE),"sim",""),"")</f>
        <v/>
      </c>
    </row>
    <row r="811" spans="1:4" x14ac:dyDescent="0.3">
      <c r="A811" s="15">
        <v>102723</v>
      </c>
      <c r="B811" s="17" t="s">
        <v>806</v>
      </c>
      <c r="C811" s="12">
        <v>40766</v>
      </c>
      <c r="D811" s="11" t="str">
        <f>_xlfn.IFNA(IF(VLOOKUP(Tabela22[[#This Row],[CÓDIGO]],Aguardando_exclusão!A$4:A$4003,1,FALSE),"sim",""),"")</f>
        <v/>
      </c>
    </row>
    <row r="812" spans="1:4" x14ac:dyDescent="0.3">
      <c r="A812" s="15">
        <v>102726</v>
      </c>
      <c r="B812" s="17" t="s">
        <v>807</v>
      </c>
      <c r="C812" s="12">
        <v>40766</v>
      </c>
      <c r="D812" s="11" t="str">
        <f>_xlfn.IFNA(IF(VLOOKUP(Tabela22[[#This Row],[CÓDIGO]],Aguardando_exclusão!A$4:A$4003,1,FALSE),"sim",""),"")</f>
        <v>sim</v>
      </c>
    </row>
    <row r="813" spans="1:4" x14ac:dyDescent="0.3">
      <c r="A813" s="15">
        <v>102728</v>
      </c>
      <c r="B813" s="17" t="s">
        <v>808</v>
      </c>
      <c r="C813" s="12">
        <v>39371</v>
      </c>
      <c r="D813" s="11" t="str">
        <f>_xlfn.IFNA(IF(VLOOKUP(Tabela22[[#This Row],[CÓDIGO]],Aguardando_exclusão!A$4:A$4003,1,FALSE),"sim",""),"")</f>
        <v/>
      </c>
    </row>
    <row r="814" spans="1:4" x14ac:dyDescent="0.3">
      <c r="A814" s="15">
        <v>102775</v>
      </c>
      <c r="B814" s="17" t="s">
        <v>809</v>
      </c>
      <c r="C814" s="12">
        <v>39373</v>
      </c>
      <c r="D814" s="11" t="str">
        <f>_xlfn.IFNA(IF(VLOOKUP(Tabela22[[#This Row],[CÓDIGO]],Aguardando_exclusão!A$4:A$4003,1,FALSE),"sim",""),"")</f>
        <v/>
      </c>
    </row>
    <row r="815" spans="1:4" ht="15" customHeight="1" x14ac:dyDescent="0.3">
      <c r="A815" s="15">
        <v>102776</v>
      </c>
      <c r="B815" s="17" t="s">
        <v>810</v>
      </c>
      <c r="C815" s="12">
        <v>39373</v>
      </c>
      <c r="D815" s="11" t="str">
        <f>_xlfn.IFNA(IF(VLOOKUP(Tabela22[[#This Row],[CÓDIGO]],Aguardando_exclusão!A$4:A$4003,1,FALSE),"sim",""),"")</f>
        <v/>
      </c>
    </row>
    <row r="816" spans="1:4" x14ac:dyDescent="0.3">
      <c r="A816" s="15">
        <v>102777</v>
      </c>
      <c r="B816" s="17" t="s">
        <v>811</v>
      </c>
      <c r="C816" s="12">
        <v>39373</v>
      </c>
      <c r="D816" s="11" t="str">
        <f>_xlfn.IFNA(IF(VLOOKUP(Tabela22[[#This Row],[CÓDIGO]],Aguardando_exclusão!A$4:A$4003,1,FALSE),"sim",""),"")</f>
        <v>sim</v>
      </c>
    </row>
    <row r="817" spans="1:4" x14ac:dyDescent="0.3">
      <c r="A817" s="15">
        <v>102782</v>
      </c>
      <c r="B817" s="17" t="s">
        <v>812</v>
      </c>
      <c r="C817" s="12">
        <v>39373</v>
      </c>
      <c r="D817" s="11" t="str">
        <f>_xlfn.IFNA(IF(VLOOKUP(Tabela22[[#This Row],[CÓDIGO]],Aguardando_exclusão!A$4:A$4003,1,FALSE),"sim",""),"")</f>
        <v>sim</v>
      </c>
    </row>
    <row r="818" spans="1:4" x14ac:dyDescent="0.3">
      <c r="A818" s="15">
        <v>102791</v>
      </c>
      <c r="B818" s="17" t="s">
        <v>813</v>
      </c>
      <c r="C818" s="12">
        <v>39373</v>
      </c>
      <c r="D818" s="11" t="str">
        <f>_xlfn.IFNA(IF(VLOOKUP(Tabela22[[#This Row],[CÓDIGO]],Aguardando_exclusão!A$4:A$4003,1,FALSE),"sim",""),"")</f>
        <v/>
      </c>
    </row>
    <row r="819" spans="1:4" x14ac:dyDescent="0.3">
      <c r="A819" s="15">
        <v>102814</v>
      </c>
      <c r="B819" s="17" t="s">
        <v>814</v>
      </c>
      <c r="C819" s="12">
        <v>39374</v>
      </c>
      <c r="D819" s="11" t="str">
        <f>_xlfn.IFNA(IF(VLOOKUP(Tabela22[[#This Row],[CÓDIGO]],Aguardando_exclusão!A$4:A$4003,1,FALSE),"sim",""),"")</f>
        <v/>
      </c>
    </row>
    <row r="820" spans="1:4" x14ac:dyDescent="0.3">
      <c r="A820" s="15">
        <v>102819</v>
      </c>
      <c r="B820" s="17" t="s">
        <v>815</v>
      </c>
      <c r="C820" s="12">
        <v>39374</v>
      </c>
      <c r="D820" s="11" t="str">
        <f>_xlfn.IFNA(IF(VLOOKUP(Tabela22[[#This Row],[CÓDIGO]],Aguardando_exclusão!A$4:A$4003,1,FALSE),"sim",""),"")</f>
        <v/>
      </c>
    </row>
    <row r="821" spans="1:4" x14ac:dyDescent="0.3">
      <c r="A821" s="15">
        <v>102820</v>
      </c>
      <c r="B821" s="17" t="s">
        <v>816</v>
      </c>
      <c r="C821" s="12">
        <v>39374</v>
      </c>
      <c r="D821" s="11" t="str">
        <f>_xlfn.IFNA(IF(VLOOKUP(Tabela22[[#This Row],[CÓDIGO]],Aguardando_exclusão!A$4:A$4003,1,FALSE),"sim",""),"")</f>
        <v/>
      </c>
    </row>
    <row r="822" spans="1:4" x14ac:dyDescent="0.3">
      <c r="A822" s="15">
        <v>102822</v>
      </c>
      <c r="B822" s="17" t="s">
        <v>817</v>
      </c>
      <c r="C822" s="12">
        <v>39374</v>
      </c>
      <c r="D822" s="11" t="str">
        <f>_xlfn.IFNA(IF(VLOOKUP(Tabela22[[#This Row],[CÓDIGO]],Aguardando_exclusão!A$4:A$4003,1,FALSE),"sim",""),"")</f>
        <v/>
      </c>
    </row>
    <row r="823" spans="1:4" x14ac:dyDescent="0.3">
      <c r="A823" s="15">
        <v>102833</v>
      </c>
      <c r="B823" s="17" t="s">
        <v>818</v>
      </c>
      <c r="C823" s="12">
        <v>39377</v>
      </c>
      <c r="D823" s="11" t="str">
        <f>_xlfn.IFNA(IF(VLOOKUP(Tabela22[[#This Row],[CÓDIGO]],Aguardando_exclusão!A$4:A$4003,1,FALSE),"sim",""),"")</f>
        <v/>
      </c>
    </row>
    <row r="824" spans="1:4" x14ac:dyDescent="0.3">
      <c r="A824" s="15">
        <v>102922</v>
      </c>
      <c r="B824" s="17" t="s">
        <v>819</v>
      </c>
      <c r="C824" s="12">
        <v>39379</v>
      </c>
      <c r="D824" s="11" t="str">
        <f>_xlfn.IFNA(IF(VLOOKUP(Tabela22[[#This Row],[CÓDIGO]],Aguardando_exclusão!A$4:A$4003,1,FALSE),"sim",""),"")</f>
        <v/>
      </c>
    </row>
    <row r="825" spans="1:4" ht="15" customHeight="1" x14ac:dyDescent="0.3">
      <c r="A825" s="15">
        <v>103142</v>
      </c>
      <c r="B825" s="17" t="s">
        <v>820</v>
      </c>
      <c r="C825" s="12">
        <v>39393</v>
      </c>
      <c r="D825" s="11" t="str">
        <f>_xlfn.IFNA(IF(VLOOKUP(Tabela22[[#This Row],[CÓDIGO]],Aguardando_exclusão!A$4:A$4003,1,FALSE),"sim",""),"")</f>
        <v/>
      </c>
    </row>
    <row r="826" spans="1:4" x14ac:dyDescent="0.3">
      <c r="A826" s="15">
        <v>103251</v>
      </c>
      <c r="B826" s="17" t="s">
        <v>821</v>
      </c>
      <c r="C826" s="12">
        <v>39395</v>
      </c>
      <c r="D826" s="11" t="str">
        <f>_xlfn.IFNA(IF(VLOOKUP(Tabela22[[#This Row],[CÓDIGO]],Aguardando_exclusão!A$4:A$4003,1,FALSE),"sim",""),"")</f>
        <v/>
      </c>
    </row>
    <row r="827" spans="1:4" x14ac:dyDescent="0.3">
      <c r="A827" s="15">
        <v>103298</v>
      </c>
      <c r="B827" s="17" t="s">
        <v>822</v>
      </c>
      <c r="C827" s="12">
        <v>39399</v>
      </c>
      <c r="D827" s="11" t="str">
        <f>_xlfn.IFNA(IF(VLOOKUP(Tabela22[[#This Row],[CÓDIGO]],Aguardando_exclusão!A$4:A$4003,1,FALSE),"sim",""),"")</f>
        <v>sim</v>
      </c>
    </row>
    <row r="828" spans="1:4" ht="15" customHeight="1" x14ac:dyDescent="0.3">
      <c r="A828" s="15">
        <v>103299</v>
      </c>
      <c r="B828" s="17" t="s">
        <v>823</v>
      </c>
      <c r="C828" s="12">
        <v>39399</v>
      </c>
      <c r="D828" s="11" t="str">
        <f>_xlfn.IFNA(IF(VLOOKUP(Tabela22[[#This Row],[CÓDIGO]],Aguardando_exclusão!A$4:A$4003,1,FALSE),"sim",""),"")</f>
        <v>sim</v>
      </c>
    </row>
    <row r="829" spans="1:4" x14ac:dyDescent="0.3">
      <c r="A829" s="15">
        <v>103344</v>
      </c>
      <c r="B829" s="17" t="s">
        <v>824</v>
      </c>
      <c r="C829" s="12">
        <v>39400</v>
      </c>
      <c r="D829" s="11" t="str">
        <f>_xlfn.IFNA(IF(VLOOKUP(Tabela22[[#This Row],[CÓDIGO]],Aguardando_exclusão!A$4:A$4003,1,FALSE),"sim",""),"")</f>
        <v/>
      </c>
    </row>
    <row r="830" spans="1:4" ht="15" customHeight="1" x14ac:dyDescent="0.3">
      <c r="A830" s="15">
        <v>103405</v>
      </c>
      <c r="B830" s="17" t="s">
        <v>825</v>
      </c>
      <c r="C830" s="12">
        <v>39407</v>
      </c>
      <c r="D830" s="11" t="str">
        <f>_xlfn.IFNA(IF(VLOOKUP(Tabela22[[#This Row],[CÓDIGO]],Aguardando_exclusão!A$4:A$4003,1,FALSE),"sim",""),"")</f>
        <v/>
      </c>
    </row>
    <row r="831" spans="1:4" ht="15" customHeight="1" x14ac:dyDescent="0.3">
      <c r="A831" s="15">
        <v>103444</v>
      </c>
      <c r="B831" s="17" t="s">
        <v>826</v>
      </c>
      <c r="C831" s="12">
        <v>39407</v>
      </c>
      <c r="D831" s="11" t="str">
        <f>_xlfn.IFNA(IF(VLOOKUP(Tabela22[[#This Row],[CÓDIGO]],Aguardando_exclusão!A$4:A$4003,1,FALSE),"sim",""),"")</f>
        <v>sim</v>
      </c>
    </row>
    <row r="832" spans="1:4" x14ac:dyDescent="0.3">
      <c r="A832" s="15">
        <v>103490</v>
      </c>
      <c r="B832" s="17" t="s">
        <v>827</v>
      </c>
      <c r="C832" s="12">
        <v>39407</v>
      </c>
      <c r="D832" s="11" t="str">
        <f>_xlfn.IFNA(IF(VLOOKUP(Tabela22[[#This Row],[CÓDIGO]],Aguardando_exclusão!A$4:A$4003,1,FALSE),"sim",""),"")</f>
        <v/>
      </c>
    </row>
    <row r="833" spans="1:4" x14ac:dyDescent="0.3">
      <c r="A833" s="15">
        <v>104625</v>
      </c>
      <c r="B833" s="17" t="s">
        <v>828</v>
      </c>
      <c r="C833" s="12">
        <v>39470</v>
      </c>
      <c r="D833" s="11" t="str">
        <f>_xlfn.IFNA(IF(VLOOKUP(Tabela22[[#This Row],[CÓDIGO]],Aguardando_exclusão!A$4:A$4003,1,FALSE),"sim",""),"")</f>
        <v/>
      </c>
    </row>
    <row r="834" spans="1:4" ht="15" customHeight="1" x14ac:dyDescent="0.3">
      <c r="A834" s="15">
        <v>104639</v>
      </c>
      <c r="B834" s="17" t="s">
        <v>829</v>
      </c>
      <c r="C834" s="12">
        <v>39471</v>
      </c>
      <c r="D834" s="11" t="str">
        <f>_xlfn.IFNA(IF(VLOOKUP(Tabela22[[#This Row],[CÓDIGO]],Aguardando_exclusão!A$4:A$4003,1,FALSE),"sim",""),"")</f>
        <v/>
      </c>
    </row>
    <row r="835" spans="1:4" ht="15" customHeight="1" x14ac:dyDescent="0.3">
      <c r="A835" s="15">
        <v>104640</v>
      </c>
      <c r="B835" s="17" t="s">
        <v>830</v>
      </c>
      <c r="C835" s="12">
        <v>39471</v>
      </c>
      <c r="D835" s="11" t="str">
        <f>_xlfn.IFNA(IF(VLOOKUP(Tabela22[[#This Row],[CÓDIGO]],Aguardando_exclusão!A$4:A$4003,1,FALSE),"sim",""),"")</f>
        <v/>
      </c>
    </row>
    <row r="836" spans="1:4" x14ac:dyDescent="0.3">
      <c r="A836" s="15">
        <v>104641</v>
      </c>
      <c r="B836" s="17" t="s">
        <v>831</v>
      </c>
      <c r="C836" s="12">
        <v>39471</v>
      </c>
      <c r="D836" s="11" t="str">
        <f>_xlfn.IFNA(IF(VLOOKUP(Tabela22[[#This Row],[CÓDIGO]],Aguardando_exclusão!A$4:A$4003,1,FALSE),"sim",""),"")</f>
        <v/>
      </c>
    </row>
    <row r="837" spans="1:4" x14ac:dyDescent="0.3">
      <c r="A837" s="15">
        <v>104642</v>
      </c>
      <c r="B837" s="17" t="s">
        <v>832</v>
      </c>
      <c r="C837" s="12">
        <v>39471</v>
      </c>
      <c r="D837" s="11" t="str">
        <f>_xlfn.IFNA(IF(VLOOKUP(Tabela22[[#This Row],[CÓDIGO]],Aguardando_exclusão!A$4:A$4003,1,FALSE),"sim",""),"")</f>
        <v/>
      </c>
    </row>
    <row r="838" spans="1:4" x14ac:dyDescent="0.3">
      <c r="A838" s="15">
        <v>104655</v>
      </c>
      <c r="B838" s="17" t="s">
        <v>833</v>
      </c>
      <c r="C838" s="12">
        <v>39471</v>
      </c>
      <c r="D838" s="11" t="str">
        <f>_xlfn.IFNA(IF(VLOOKUP(Tabela22[[#This Row],[CÓDIGO]],Aguardando_exclusão!A$4:A$4003,1,FALSE),"sim",""),"")</f>
        <v/>
      </c>
    </row>
    <row r="839" spans="1:4" x14ac:dyDescent="0.3">
      <c r="A839" s="15">
        <v>104665</v>
      </c>
      <c r="B839" s="17" t="s">
        <v>834</v>
      </c>
      <c r="C839" s="12">
        <v>39471</v>
      </c>
      <c r="D839" s="11" t="str">
        <f>_xlfn.IFNA(IF(VLOOKUP(Tabela22[[#This Row],[CÓDIGO]],Aguardando_exclusão!A$4:A$4003,1,FALSE),"sim",""),"")</f>
        <v/>
      </c>
    </row>
    <row r="840" spans="1:4" x14ac:dyDescent="0.3">
      <c r="A840" s="15">
        <v>104667</v>
      </c>
      <c r="B840" s="17" t="s">
        <v>835</v>
      </c>
      <c r="C840" s="12">
        <v>39472</v>
      </c>
      <c r="D840" s="11" t="str">
        <f>_xlfn.IFNA(IF(VLOOKUP(Tabela22[[#This Row],[CÓDIGO]],Aguardando_exclusão!A$4:A$4003,1,FALSE),"sim",""),"")</f>
        <v/>
      </c>
    </row>
    <row r="841" spans="1:4" x14ac:dyDescent="0.3">
      <c r="A841" s="15">
        <v>104755</v>
      </c>
      <c r="B841" s="17" t="s">
        <v>836</v>
      </c>
      <c r="C841" s="12">
        <v>39479</v>
      </c>
      <c r="D841" s="11" t="str">
        <f>_xlfn.IFNA(IF(VLOOKUP(Tabela22[[#This Row],[CÓDIGO]],Aguardando_exclusão!A$4:A$4003,1,FALSE),"sim",""),"")</f>
        <v/>
      </c>
    </row>
    <row r="842" spans="1:4" x14ac:dyDescent="0.3">
      <c r="A842" s="15">
        <v>104832</v>
      </c>
      <c r="B842" s="17" t="s">
        <v>837</v>
      </c>
      <c r="C842" s="12">
        <v>39485</v>
      </c>
      <c r="D842" s="11" t="str">
        <f>_xlfn.IFNA(IF(VLOOKUP(Tabela22[[#This Row],[CÓDIGO]],Aguardando_exclusão!A$4:A$4003,1,FALSE),"sim",""),"")</f>
        <v/>
      </c>
    </row>
    <row r="843" spans="1:4" x14ac:dyDescent="0.3">
      <c r="A843" s="15">
        <v>104911</v>
      </c>
      <c r="B843" s="17" t="s">
        <v>838</v>
      </c>
      <c r="C843" s="12">
        <v>39490</v>
      </c>
      <c r="D843" s="11" t="str">
        <f>_xlfn.IFNA(IF(VLOOKUP(Tabela22[[#This Row],[CÓDIGO]],Aguardando_exclusão!A$4:A$4003,1,FALSE),"sim",""),"")</f>
        <v/>
      </c>
    </row>
    <row r="844" spans="1:4" x14ac:dyDescent="0.3">
      <c r="A844" s="15">
        <v>105106</v>
      </c>
      <c r="B844" s="17" t="s">
        <v>839</v>
      </c>
      <c r="C844" s="12">
        <v>39499</v>
      </c>
      <c r="D844" s="11" t="str">
        <f>_xlfn.IFNA(IF(VLOOKUP(Tabela22[[#This Row],[CÓDIGO]],Aguardando_exclusão!A$4:A$4003,1,FALSE),"sim",""),"")</f>
        <v/>
      </c>
    </row>
    <row r="845" spans="1:4" x14ac:dyDescent="0.3">
      <c r="A845" s="15">
        <v>105107</v>
      </c>
      <c r="B845" s="17" t="s">
        <v>840</v>
      </c>
      <c r="C845" s="12">
        <v>39499</v>
      </c>
      <c r="D845" s="11" t="str">
        <f>_xlfn.IFNA(IF(VLOOKUP(Tabela22[[#This Row],[CÓDIGO]],Aguardando_exclusão!A$4:A$4003,1,FALSE),"sim",""),"")</f>
        <v/>
      </c>
    </row>
    <row r="846" spans="1:4" x14ac:dyDescent="0.3">
      <c r="A846" s="15">
        <v>105108</v>
      </c>
      <c r="B846" s="17" t="s">
        <v>841</v>
      </c>
      <c r="C846" s="12">
        <v>39499</v>
      </c>
      <c r="D846" s="11" t="str">
        <f>_xlfn.IFNA(IF(VLOOKUP(Tabela22[[#This Row],[CÓDIGO]],Aguardando_exclusão!A$4:A$4003,1,FALSE),"sim",""),"")</f>
        <v/>
      </c>
    </row>
    <row r="847" spans="1:4" x14ac:dyDescent="0.3">
      <c r="A847" s="15">
        <v>105109</v>
      </c>
      <c r="B847" s="17" t="s">
        <v>842</v>
      </c>
      <c r="C847" s="12">
        <v>39499</v>
      </c>
      <c r="D847" s="11" t="str">
        <f>_xlfn.IFNA(IF(VLOOKUP(Tabela22[[#This Row],[CÓDIGO]],Aguardando_exclusão!A$4:A$4003,1,FALSE),"sim",""),"")</f>
        <v/>
      </c>
    </row>
    <row r="848" spans="1:4" x14ac:dyDescent="0.3">
      <c r="A848" s="15">
        <v>105110</v>
      </c>
      <c r="B848" s="17" t="s">
        <v>843</v>
      </c>
      <c r="C848" s="12">
        <v>39499</v>
      </c>
      <c r="D848" s="11" t="str">
        <f>_xlfn.IFNA(IF(VLOOKUP(Tabela22[[#This Row],[CÓDIGO]],Aguardando_exclusão!A$4:A$4003,1,FALSE),"sim",""),"")</f>
        <v/>
      </c>
    </row>
    <row r="849" spans="1:4" x14ac:dyDescent="0.3">
      <c r="A849" s="15">
        <v>105112</v>
      </c>
      <c r="B849" s="17" t="s">
        <v>844</v>
      </c>
      <c r="C849" s="12">
        <v>39499</v>
      </c>
      <c r="D849" s="11" t="str">
        <f>_xlfn.IFNA(IF(VLOOKUP(Tabela22[[#This Row],[CÓDIGO]],Aguardando_exclusão!A$4:A$4003,1,FALSE),"sim",""),"")</f>
        <v/>
      </c>
    </row>
    <row r="850" spans="1:4" x14ac:dyDescent="0.3">
      <c r="A850" s="15">
        <v>105113</v>
      </c>
      <c r="B850" s="17" t="s">
        <v>845</v>
      </c>
      <c r="C850" s="12">
        <v>39499</v>
      </c>
      <c r="D850" s="11" t="str">
        <f>_xlfn.IFNA(IF(VLOOKUP(Tabela22[[#This Row],[CÓDIGO]],Aguardando_exclusão!A$4:A$4003,1,FALSE),"sim",""),"")</f>
        <v/>
      </c>
    </row>
    <row r="851" spans="1:4" x14ac:dyDescent="0.3">
      <c r="A851" s="15">
        <v>105114</v>
      </c>
      <c r="B851" s="17" t="s">
        <v>846</v>
      </c>
      <c r="C851" s="12">
        <v>39499</v>
      </c>
      <c r="D851" s="11" t="str">
        <f>_xlfn.IFNA(IF(VLOOKUP(Tabela22[[#This Row],[CÓDIGO]],Aguardando_exclusão!A$4:A$4003,1,FALSE),"sim",""),"")</f>
        <v/>
      </c>
    </row>
    <row r="852" spans="1:4" x14ac:dyDescent="0.3">
      <c r="A852" s="15">
        <v>105115</v>
      </c>
      <c r="B852" s="17" t="s">
        <v>847</v>
      </c>
      <c r="C852" s="12">
        <v>39499</v>
      </c>
      <c r="D852" s="11" t="str">
        <f>_xlfn.IFNA(IF(VLOOKUP(Tabela22[[#This Row],[CÓDIGO]],Aguardando_exclusão!A$4:A$4003,1,FALSE),"sim",""),"")</f>
        <v/>
      </c>
    </row>
    <row r="853" spans="1:4" x14ac:dyDescent="0.3">
      <c r="A853" s="15">
        <v>105116</v>
      </c>
      <c r="B853" s="17" t="s">
        <v>848</v>
      </c>
      <c r="C853" s="12">
        <v>39499</v>
      </c>
      <c r="D853" s="11" t="str">
        <f>_xlfn.IFNA(IF(VLOOKUP(Tabela22[[#This Row],[CÓDIGO]],Aguardando_exclusão!A$4:A$4003,1,FALSE),"sim",""),"")</f>
        <v/>
      </c>
    </row>
    <row r="854" spans="1:4" ht="15" customHeight="1" x14ac:dyDescent="0.3">
      <c r="A854" s="15">
        <v>105117</v>
      </c>
      <c r="B854" s="17" t="s">
        <v>849</v>
      </c>
      <c r="C854" s="12">
        <v>39499</v>
      </c>
      <c r="D854" s="11" t="str">
        <f>_xlfn.IFNA(IF(VLOOKUP(Tabela22[[#This Row],[CÓDIGO]],Aguardando_exclusão!A$4:A$4003,1,FALSE),"sim",""),"")</f>
        <v/>
      </c>
    </row>
    <row r="855" spans="1:4" x14ac:dyDescent="0.3">
      <c r="A855" s="15">
        <v>105118</v>
      </c>
      <c r="B855" s="17" t="s">
        <v>850</v>
      </c>
      <c r="C855" s="12">
        <v>39499</v>
      </c>
      <c r="D855" s="11" t="str">
        <f>_xlfn.IFNA(IF(VLOOKUP(Tabela22[[#This Row],[CÓDIGO]],Aguardando_exclusão!A$4:A$4003,1,FALSE),"sim",""),"")</f>
        <v/>
      </c>
    </row>
    <row r="856" spans="1:4" x14ac:dyDescent="0.3">
      <c r="A856" s="15">
        <v>105128</v>
      </c>
      <c r="B856" s="17" t="s">
        <v>851</v>
      </c>
      <c r="C856" s="12">
        <v>39499</v>
      </c>
      <c r="D856" s="11" t="str">
        <f>_xlfn.IFNA(IF(VLOOKUP(Tabela22[[#This Row],[CÓDIGO]],Aguardando_exclusão!A$4:A$4003,1,FALSE),"sim",""),"")</f>
        <v/>
      </c>
    </row>
    <row r="857" spans="1:4" ht="15" customHeight="1" x14ac:dyDescent="0.3">
      <c r="A857" s="15">
        <v>105259</v>
      </c>
      <c r="B857" s="17" t="s">
        <v>852</v>
      </c>
      <c r="C857" s="12">
        <v>39505</v>
      </c>
      <c r="D857" s="11" t="str">
        <f>_xlfn.IFNA(IF(VLOOKUP(Tabela22[[#This Row],[CÓDIGO]],Aguardando_exclusão!A$4:A$4003,1,FALSE),"sim",""),"")</f>
        <v/>
      </c>
    </row>
    <row r="858" spans="1:4" ht="15" customHeight="1" x14ac:dyDescent="0.3">
      <c r="A858" s="15">
        <v>105293</v>
      </c>
      <c r="B858" s="17" t="s">
        <v>853</v>
      </c>
      <c r="C858" s="12">
        <v>39506</v>
      </c>
      <c r="D858" s="11" t="str">
        <f>_xlfn.IFNA(IF(VLOOKUP(Tabela22[[#This Row],[CÓDIGO]],Aguardando_exclusão!A$4:A$4003,1,FALSE),"sim",""),"")</f>
        <v/>
      </c>
    </row>
    <row r="859" spans="1:4" x14ac:dyDescent="0.3">
      <c r="A859" s="15">
        <v>105294</v>
      </c>
      <c r="B859" s="17" t="s">
        <v>854</v>
      </c>
      <c r="C859" s="12">
        <v>39506</v>
      </c>
      <c r="D859" s="11" t="str">
        <f>_xlfn.IFNA(IF(VLOOKUP(Tabela22[[#This Row],[CÓDIGO]],Aguardando_exclusão!A$4:A$4003,1,FALSE),"sim",""),"")</f>
        <v/>
      </c>
    </row>
    <row r="860" spans="1:4" x14ac:dyDescent="0.3">
      <c r="A860" s="15">
        <v>105342</v>
      </c>
      <c r="B860" s="17" t="s">
        <v>855</v>
      </c>
      <c r="C860" s="12">
        <v>39512</v>
      </c>
      <c r="D860" s="11" t="str">
        <f>_xlfn.IFNA(IF(VLOOKUP(Tabela22[[#This Row],[CÓDIGO]],Aguardando_exclusão!A$4:A$4003,1,FALSE),"sim",""),"")</f>
        <v/>
      </c>
    </row>
    <row r="861" spans="1:4" x14ac:dyDescent="0.3">
      <c r="A861" s="15">
        <v>105343</v>
      </c>
      <c r="B861" s="17" t="s">
        <v>856</v>
      </c>
      <c r="C861" s="12">
        <v>39512</v>
      </c>
      <c r="D861" s="11" t="str">
        <f>_xlfn.IFNA(IF(VLOOKUP(Tabela22[[#This Row],[CÓDIGO]],Aguardando_exclusão!A$4:A$4003,1,FALSE),"sim",""),"")</f>
        <v/>
      </c>
    </row>
    <row r="862" spans="1:4" x14ac:dyDescent="0.3">
      <c r="A862" s="15">
        <v>105348</v>
      </c>
      <c r="B862" s="17" t="s">
        <v>857</v>
      </c>
      <c r="C862" s="12">
        <v>39512</v>
      </c>
      <c r="D862" s="11" t="str">
        <f>_xlfn.IFNA(IF(VLOOKUP(Tabela22[[#This Row],[CÓDIGO]],Aguardando_exclusão!A$4:A$4003,1,FALSE),"sim",""),"")</f>
        <v/>
      </c>
    </row>
    <row r="863" spans="1:4" ht="15" customHeight="1" x14ac:dyDescent="0.3">
      <c r="A863" s="15">
        <v>105419</v>
      </c>
      <c r="B863" s="17" t="s">
        <v>858</v>
      </c>
      <c r="C863" s="12">
        <v>39517</v>
      </c>
      <c r="D863" s="11" t="str">
        <f>_xlfn.IFNA(IF(VLOOKUP(Tabela22[[#This Row],[CÓDIGO]],Aguardando_exclusão!A$4:A$4003,1,FALSE),"sim",""),"")</f>
        <v>sim</v>
      </c>
    </row>
    <row r="864" spans="1:4" ht="15" customHeight="1" x14ac:dyDescent="0.3">
      <c r="A864" s="15">
        <v>105489</v>
      </c>
      <c r="B864" s="17" t="s">
        <v>859</v>
      </c>
      <c r="C864" s="12">
        <v>39521</v>
      </c>
      <c r="D864" s="11" t="str">
        <f>_xlfn.IFNA(IF(VLOOKUP(Tabela22[[#This Row],[CÓDIGO]],Aguardando_exclusão!A$4:A$4003,1,FALSE),"sim",""),"")</f>
        <v/>
      </c>
    </row>
    <row r="865" spans="1:4" ht="15" customHeight="1" x14ac:dyDescent="0.3">
      <c r="A865" s="15">
        <v>105491</v>
      </c>
      <c r="B865" s="17" t="s">
        <v>860</v>
      </c>
      <c r="C865" s="12">
        <v>39521</v>
      </c>
      <c r="D865" s="11" t="str">
        <f>_xlfn.IFNA(IF(VLOOKUP(Tabela22[[#This Row],[CÓDIGO]],Aguardando_exclusão!A$4:A$4003,1,FALSE),"sim",""),"")</f>
        <v/>
      </c>
    </row>
    <row r="866" spans="1:4" x14ac:dyDescent="0.3">
      <c r="A866" s="15">
        <v>105492</v>
      </c>
      <c r="B866" s="17" t="s">
        <v>861</v>
      </c>
      <c r="C866" s="12">
        <v>39521</v>
      </c>
      <c r="D866" s="11" t="str">
        <f>_xlfn.IFNA(IF(VLOOKUP(Tabela22[[#This Row],[CÓDIGO]],Aguardando_exclusão!A$4:A$4003,1,FALSE),"sim",""),"")</f>
        <v/>
      </c>
    </row>
    <row r="867" spans="1:4" ht="15" customHeight="1" x14ac:dyDescent="0.3">
      <c r="A867" s="15">
        <v>105493</v>
      </c>
      <c r="B867" s="17" t="s">
        <v>862</v>
      </c>
      <c r="C867" s="12">
        <v>39521</v>
      </c>
      <c r="D867" s="11" t="str">
        <f>_xlfn.IFNA(IF(VLOOKUP(Tabela22[[#This Row],[CÓDIGO]],Aguardando_exclusão!A$4:A$4003,1,FALSE),"sim",""),"")</f>
        <v>sim</v>
      </c>
    </row>
    <row r="868" spans="1:4" ht="15" customHeight="1" x14ac:dyDescent="0.3">
      <c r="A868" s="15">
        <v>105704</v>
      </c>
      <c r="B868" s="17" t="s">
        <v>863</v>
      </c>
      <c r="C868" s="12">
        <v>39538</v>
      </c>
      <c r="D868" s="11" t="str">
        <f>_xlfn.IFNA(IF(VLOOKUP(Tabela22[[#This Row],[CÓDIGO]],Aguardando_exclusão!A$4:A$4003,1,FALSE),"sim",""),"")</f>
        <v/>
      </c>
    </row>
    <row r="869" spans="1:4" x14ac:dyDescent="0.3">
      <c r="A869" s="15">
        <v>105709</v>
      </c>
      <c r="B869" s="17" t="s">
        <v>864</v>
      </c>
      <c r="C869" s="12">
        <v>39538</v>
      </c>
      <c r="D869" s="11" t="str">
        <f>_xlfn.IFNA(IF(VLOOKUP(Tabela22[[#This Row],[CÓDIGO]],Aguardando_exclusão!A$4:A$4003,1,FALSE),"sim",""),"")</f>
        <v/>
      </c>
    </row>
    <row r="870" spans="1:4" ht="15" customHeight="1" x14ac:dyDescent="0.3">
      <c r="A870" s="15">
        <v>105889</v>
      </c>
      <c r="B870" s="17" t="s">
        <v>865</v>
      </c>
      <c r="C870" s="12">
        <v>39546</v>
      </c>
      <c r="D870" s="11" t="str">
        <f>_xlfn.IFNA(IF(VLOOKUP(Tabela22[[#This Row],[CÓDIGO]],Aguardando_exclusão!A$4:A$4003,1,FALSE),"sim",""),"")</f>
        <v/>
      </c>
    </row>
    <row r="871" spans="1:4" ht="15" customHeight="1" x14ac:dyDescent="0.3">
      <c r="A871" s="15">
        <v>105993</v>
      </c>
      <c r="B871" s="17" t="s">
        <v>866</v>
      </c>
      <c r="C871" s="12">
        <v>39552</v>
      </c>
      <c r="D871" s="11" t="str">
        <f>_xlfn.IFNA(IF(VLOOKUP(Tabela22[[#This Row],[CÓDIGO]],Aguardando_exclusão!A$4:A$4003,1,FALSE),"sim",""),"")</f>
        <v/>
      </c>
    </row>
    <row r="872" spans="1:4" ht="15" customHeight="1" x14ac:dyDescent="0.3">
      <c r="A872" s="15">
        <v>105994</v>
      </c>
      <c r="B872" s="17" t="s">
        <v>867</v>
      </c>
      <c r="C872" s="12">
        <v>39552</v>
      </c>
      <c r="D872" s="11" t="str">
        <f>_xlfn.IFNA(IF(VLOOKUP(Tabela22[[#This Row],[CÓDIGO]],Aguardando_exclusão!A$4:A$4003,1,FALSE),"sim",""),"")</f>
        <v/>
      </c>
    </row>
    <row r="873" spans="1:4" x14ac:dyDescent="0.3">
      <c r="A873" s="15">
        <v>106027</v>
      </c>
      <c r="B873" s="17" t="s">
        <v>868</v>
      </c>
      <c r="C873" s="12">
        <v>39553</v>
      </c>
      <c r="D873" s="11" t="str">
        <f>_xlfn.IFNA(IF(VLOOKUP(Tabela22[[#This Row],[CÓDIGO]],Aguardando_exclusão!A$4:A$4003,1,FALSE),"sim",""),"")</f>
        <v/>
      </c>
    </row>
    <row r="874" spans="1:4" ht="15" customHeight="1" x14ac:dyDescent="0.3">
      <c r="A874" s="15">
        <v>106038</v>
      </c>
      <c r="B874" s="17" t="s">
        <v>869</v>
      </c>
      <c r="C874" s="12">
        <v>39554</v>
      </c>
      <c r="D874" s="11" t="str">
        <f>_xlfn.IFNA(IF(VLOOKUP(Tabela22[[#This Row],[CÓDIGO]],Aguardando_exclusão!A$4:A$4003,1,FALSE),"sim",""),"")</f>
        <v/>
      </c>
    </row>
    <row r="875" spans="1:4" x14ac:dyDescent="0.3">
      <c r="A875" s="15">
        <v>106039</v>
      </c>
      <c r="B875" s="17" t="s">
        <v>870</v>
      </c>
      <c r="C875" s="12">
        <v>39554</v>
      </c>
      <c r="D875" s="11" t="str">
        <f>_xlfn.IFNA(IF(VLOOKUP(Tabela22[[#This Row],[CÓDIGO]],Aguardando_exclusão!A$4:A$4003,1,FALSE),"sim",""),"")</f>
        <v>sim</v>
      </c>
    </row>
    <row r="876" spans="1:4" ht="15" customHeight="1" x14ac:dyDescent="0.3">
      <c r="A876" s="15">
        <v>106128</v>
      </c>
      <c r="B876" s="17" t="s">
        <v>871</v>
      </c>
      <c r="C876" s="12">
        <v>39562</v>
      </c>
      <c r="D876" s="11" t="str">
        <f>_xlfn.IFNA(IF(VLOOKUP(Tabela22[[#This Row],[CÓDIGO]],Aguardando_exclusão!A$4:A$4003,1,FALSE),"sim",""),"")</f>
        <v/>
      </c>
    </row>
    <row r="877" spans="1:4" ht="15" customHeight="1" x14ac:dyDescent="0.3">
      <c r="A877" s="15">
        <v>106129</v>
      </c>
      <c r="B877" s="17" t="s">
        <v>872</v>
      </c>
      <c r="C877" s="12">
        <v>39562</v>
      </c>
      <c r="D877" s="11" t="str">
        <f>_xlfn.IFNA(IF(VLOOKUP(Tabela22[[#This Row],[CÓDIGO]],Aguardando_exclusão!A$4:A$4003,1,FALSE),"sim",""),"")</f>
        <v/>
      </c>
    </row>
    <row r="878" spans="1:4" x14ac:dyDescent="0.3">
      <c r="A878" s="15">
        <v>106130</v>
      </c>
      <c r="B878" s="17" t="s">
        <v>873</v>
      </c>
      <c r="C878" s="12">
        <v>39563</v>
      </c>
      <c r="D878" s="11" t="str">
        <f>_xlfn.IFNA(IF(VLOOKUP(Tabela22[[#This Row],[CÓDIGO]],Aguardando_exclusão!A$4:A$4003,1,FALSE),"sim",""),"")</f>
        <v/>
      </c>
    </row>
    <row r="879" spans="1:4" ht="15" customHeight="1" x14ac:dyDescent="0.3">
      <c r="A879" s="15">
        <v>106131</v>
      </c>
      <c r="B879" s="17" t="s">
        <v>874</v>
      </c>
      <c r="C879" s="12">
        <v>39562</v>
      </c>
      <c r="D879" s="11" t="str">
        <f>_xlfn.IFNA(IF(VLOOKUP(Tabela22[[#This Row],[CÓDIGO]],Aguardando_exclusão!A$4:A$4003,1,FALSE),"sim",""),"")</f>
        <v/>
      </c>
    </row>
    <row r="880" spans="1:4" ht="15" customHeight="1" x14ac:dyDescent="0.3">
      <c r="A880" s="15">
        <v>106375</v>
      </c>
      <c r="B880" s="17" t="s">
        <v>875</v>
      </c>
      <c r="C880" s="12">
        <v>39580</v>
      </c>
      <c r="D880" s="11" t="str">
        <f>_xlfn.IFNA(IF(VLOOKUP(Tabela22[[#This Row],[CÓDIGO]],Aguardando_exclusão!A$4:A$4003,1,FALSE),"sim",""),"")</f>
        <v/>
      </c>
    </row>
    <row r="881" spans="1:4" x14ac:dyDescent="0.3">
      <c r="A881" s="15">
        <v>106376</v>
      </c>
      <c r="B881" s="17" t="s">
        <v>876</v>
      </c>
      <c r="C881" s="12">
        <v>39580</v>
      </c>
      <c r="D881" s="11" t="str">
        <f>_xlfn.IFNA(IF(VLOOKUP(Tabela22[[#This Row],[CÓDIGO]],Aguardando_exclusão!A$4:A$4003,1,FALSE),"sim",""),"")</f>
        <v/>
      </c>
    </row>
    <row r="882" spans="1:4" x14ac:dyDescent="0.3">
      <c r="A882" s="15">
        <v>106408</v>
      </c>
      <c r="B882" s="17" t="s">
        <v>877</v>
      </c>
      <c r="C882" s="12">
        <v>39581</v>
      </c>
      <c r="D882" s="11" t="str">
        <f>_xlfn.IFNA(IF(VLOOKUP(Tabela22[[#This Row],[CÓDIGO]],Aguardando_exclusão!A$4:A$4003,1,FALSE),"sim",""),"")</f>
        <v/>
      </c>
    </row>
    <row r="883" spans="1:4" x14ac:dyDescent="0.3">
      <c r="A883" s="15">
        <v>106414</v>
      </c>
      <c r="B883" s="17" t="s">
        <v>878</v>
      </c>
      <c r="C883" s="12">
        <v>39581</v>
      </c>
      <c r="D883" s="11" t="str">
        <f>_xlfn.IFNA(IF(VLOOKUP(Tabela22[[#This Row],[CÓDIGO]],Aguardando_exclusão!A$4:A$4003,1,FALSE),"sim",""),"")</f>
        <v/>
      </c>
    </row>
    <row r="884" spans="1:4" x14ac:dyDescent="0.3">
      <c r="A884" s="15">
        <v>106544</v>
      </c>
      <c r="B884" s="17" t="s">
        <v>879</v>
      </c>
      <c r="C884" s="12">
        <v>39589</v>
      </c>
      <c r="D884" s="11" t="str">
        <f>_xlfn.IFNA(IF(VLOOKUP(Tabela22[[#This Row],[CÓDIGO]],Aguardando_exclusão!A$4:A$4003,1,FALSE),"sim",""),"")</f>
        <v/>
      </c>
    </row>
    <row r="885" spans="1:4" x14ac:dyDescent="0.3">
      <c r="A885" s="15">
        <v>106546</v>
      </c>
      <c r="B885" s="17" t="s">
        <v>880</v>
      </c>
      <c r="C885" s="12">
        <v>39589</v>
      </c>
      <c r="D885" s="11" t="str">
        <f>_xlfn.IFNA(IF(VLOOKUP(Tabela22[[#This Row],[CÓDIGO]],Aguardando_exclusão!A$4:A$4003,1,FALSE),"sim",""),"")</f>
        <v/>
      </c>
    </row>
    <row r="886" spans="1:4" x14ac:dyDescent="0.3">
      <c r="A886" s="15">
        <v>106631</v>
      </c>
      <c r="B886" s="17" t="s">
        <v>881</v>
      </c>
      <c r="C886" s="12">
        <v>39595</v>
      </c>
      <c r="D886" s="11" t="str">
        <f>_xlfn.IFNA(IF(VLOOKUP(Tabela22[[#This Row],[CÓDIGO]],Aguardando_exclusão!A$4:A$4003,1,FALSE),"sim",""),"")</f>
        <v/>
      </c>
    </row>
    <row r="887" spans="1:4" x14ac:dyDescent="0.3">
      <c r="A887" s="15">
        <v>106697</v>
      </c>
      <c r="B887" s="17" t="s">
        <v>882</v>
      </c>
      <c r="C887" s="12">
        <v>39598</v>
      </c>
      <c r="D887" s="11" t="str">
        <f>_xlfn.IFNA(IF(VLOOKUP(Tabela22[[#This Row],[CÓDIGO]],Aguardando_exclusão!A$4:A$4003,1,FALSE),"sim",""),"")</f>
        <v/>
      </c>
    </row>
    <row r="888" spans="1:4" x14ac:dyDescent="0.3">
      <c r="A888" s="15">
        <v>106765</v>
      </c>
      <c r="B888" s="17" t="s">
        <v>883</v>
      </c>
      <c r="C888" s="12">
        <v>39610</v>
      </c>
      <c r="D888" s="11" t="str">
        <f>_xlfn.IFNA(IF(VLOOKUP(Tabela22[[#This Row],[CÓDIGO]],Aguardando_exclusão!A$4:A$4003,1,FALSE),"sim",""),"")</f>
        <v>sim</v>
      </c>
    </row>
    <row r="889" spans="1:4" x14ac:dyDescent="0.3">
      <c r="A889" s="15">
        <v>107401</v>
      </c>
      <c r="B889" s="17" t="s">
        <v>884</v>
      </c>
      <c r="C889" s="12">
        <v>39671</v>
      </c>
      <c r="D889" s="11" t="str">
        <f>_xlfn.IFNA(IF(VLOOKUP(Tabela22[[#This Row],[CÓDIGO]],Aguardando_exclusão!A$4:A$4003,1,FALSE),"sim",""),"")</f>
        <v/>
      </c>
    </row>
    <row r="890" spans="1:4" ht="15" customHeight="1" x14ac:dyDescent="0.3">
      <c r="A890" s="15">
        <v>107483</v>
      </c>
      <c r="B890" s="17" t="s">
        <v>885</v>
      </c>
      <c r="C890" s="12">
        <v>39679</v>
      </c>
      <c r="D890" s="11" t="str">
        <f>_xlfn.IFNA(IF(VLOOKUP(Tabela22[[#This Row],[CÓDIGO]],Aguardando_exclusão!A$4:A$4003,1,FALSE),"sim",""),"")</f>
        <v/>
      </c>
    </row>
    <row r="891" spans="1:4" ht="15" customHeight="1" x14ac:dyDescent="0.3">
      <c r="A891" s="15">
        <v>107736</v>
      </c>
      <c r="B891" s="17" t="s">
        <v>886</v>
      </c>
      <c r="C891" s="12">
        <v>39699</v>
      </c>
      <c r="D891" s="11" t="str">
        <f>_xlfn.IFNA(IF(VLOOKUP(Tabela22[[#This Row],[CÓDIGO]],Aguardando_exclusão!A$4:A$4003,1,FALSE),"sim",""),"")</f>
        <v>sim</v>
      </c>
    </row>
    <row r="892" spans="1:4" ht="15" customHeight="1" x14ac:dyDescent="0.3">
      <c r="A892" s="15">
        <v>107737</v>
      </c>
      <c r="B892" s="17" t="s">
        <v>887</v>
      </c>
      <c r="C892" s="12">
        <v>39699</v>
      </c>
      <c r="D892" s="11" t="str">
        <f>_xlfn.IFNA(IF(VLOOKUP(Tabela22[[#This Row],[CÓDIGO]],Aguardando_exclusão!A$4:A$4003,1,FALSE),"sim",""),"")</f>
        <v>sim</v>
      </c>
    </row>
    <row r="893" spans="1:4" x14ac:dyDescent="0.3">
      <c r="A893" s="15">
        <v>107790</v>
      </c>
      <c r="B893" s="17" t="s">
        <v>888</v>
      </c>
      <c r="C893" s="12">
        <v>39700</v>
      </c>
      <c r="D893" s="11" t="str">
        <f>_xlfn.IFNA(IF(VLOOKUP(Tabela22[[#This Row],[CÓDIGO]],Aguardando_exclusão!A$4:A$4003,1,FALSE),"sim",""),"")</f>
        <v/>
      </c>
    </row>
    <row r="894" spans="1:4" x14ac:dyDescent="0.3">
      <c r="A894" s="15">
        <v>107889</v>
      </c>
      <c r="B894" s="17" t="s">
        <v>889</v>
      </c>
      <c r="C894" s="12">
        <v>39709</v>
      </c>
      <c r="D894" s="11" t="str">
        <f>_xlfn.IFNA(IF(VLOOKUP(Tabela22[[#This Row],[CÓDIGO]],Aguardando_exclusão!A$4:A$4003,1,FALSE),"sim",""),"")</f>
        <v/>
      </c>
    </row>
    <row r="895" spans="1:4" ht="15" customHeight="1" x14ac:dyDescent="0.3">
      <c r="A895" s="15">
        <v>107909</v>
      </c>
      <c r="B895" s="17" t="s">
        <v>890</v>
      </c>
      <c r="C895" s="12">
        <v>39710</v>
      </c>
      <c r="D895" s="11" t="str">
        <f>_xlfn.IFNA(IF(VLOOKUP(Tabela22[[#This Row],[CÓDIGO]],Aguardando_exclusão!A$4:A$4003,1,FALSE),"sim",""),"")</f>
        <v>sim</v>
      </c>
    </row>
    <row r="896" spans="1:4" ht="15" customHeight="1" x14ac:dyDescent="0.3">
      <c r="A896" s="15">
        <v>107925</v>
      </c>
      <c r="B896" s="17" t="s">
        <v>891</v>
      </c>
      <c r="C896" s="12">
        <v>39710</v>
      </c>
      <c r="D896" s="11" t="str">
        <f>_xlfn.IFNA(IF(VLOOKUP(Tabela22[[#This Row],[CÓDIGO]],Aguardando_exclusão!A$4:A$4003,1,FALSE),"sim",""),"")</f>
        <v>sim</v>
      </c>
    </row>
    <row r="897" spans="1:4" ht="15" customHeight="1" x14ac:dyDescent="0.3">
      <c r="A897" s="15">
        <v>107926</v>
      </c>
      <c r="B897" s="17" t="s">
        <v>892</v>
      </c>
      <c r="C897" s="12">
        <v>39710</v>
      </c>
      <c r="D897" s="11" t="str">
        <f>_xlfn.IFNA(IF(VLOOKUP(Tabela22[[#This Row],[CÓDIGO]],Aguardando_exclusão!A$4:A$4003,1,FALSE),"sim",""),"")</f>
        <v/>
      </c>
    </row>
    <row r="898" spans="1:4" x14ac:dyDescent="0.3">
      <c r="A898" s="15">
        <v>108393</v>
      </c>
      <c r="B898" s="17" t="s">
        <v>893</v>
      </c>
      <c r="C898" s="12">
        <v>39737</v>
      </c>
      <c r="D898" s="11" t="str">
        <f>_xlfn.IFNA(IF(VLOOKUP(Tabela22[[#This Row],[CÓDIGO]],Aguardando_exclusão!A$4:A$4003,1,FALSE),"sim",""),"")</f>
        <v/>
      </c>
    </row>
    <row r="899" spans="1:4" x14ac:dyDescent="0.3">
      <c r="A899" s="15">
        <v>108398</v>
      </c>
      <c r="B899" s="17" t="s">
        <v>894</v>
      </c>
      <c r="C899" s="12">
        <v>39737</v>
      </c>
      <c r="D899" s="11" t="str">
        <f>_xlfn.IFNA(IF(VLOOKUP(Tabela22[[#This Row],[CÓDIGO]],Aguardando_exclusão!A$4:A$4003,1,FALSE),"sim",""),"")</f>
        <v/>
      </c>
    </row>
    <row r="900" spans="1:4" x14ac:dyDescent="0.3">
      <c r="A900" s="15">
        <v>108440</v>
      </c>
      <c r="B900" s="17" t="s">
        <v>895</v>
      </c>
      <c r="C900" s="12">
        <v>39738</v>
      </c>
      <c r="D900" s="11" t="str">
        <f>_xlfn.IFNA(IF(VLOOKUP(Tabela22[[#This Row],[CÓDIGO]],Aguardando_exclusão!A$4:A$4003,1,FALSE),"sim",""),"")</f>
        <v/>
      </c>
    </row>
    <row r="901" spans="1:4" x14ac:dyDescent="0.3">
      <c r="A901" s="15">
        <v>108441</v>
      </c>
      <c r="B901" s="17" t="s">
        <v>896</v>
      </c>
      <c r="C901" s="12">
        <v>39738</v>
      </c>
      <c r="D901" s="11" t="str">
        <f>_xlfn.IFNA(IF(VLOOKUP(Tabela22[[#This Row],[CÓDIGO]],Aguardando_exclusão!A$4:A$4003,1,FALSE),"sim",""),"")</f>
        <v/>
      </c>
    </row>
    <row r="902" spans="1:4" x14ac:dyDescent="0.3">
      <c r="A902" s="15">
        <v>108463</v>
      </c>
      <c r="B902" s="17" t="s">
        <v>897</v>
      </c>
      <c r="C902" s="12">
        <v>39741</v>
      </c>
      <c r="D902" s="11" t="str">
        <f>_xlfn.IFNA(IF(VLOOKUP(Tabela22[[#This Row],[CÓDIGO]],Aguardando_exclusão!A$4:A$4003,1,FALSE),"sim",""),"")</f>
        <v/>
      </c>
    </row>
    <row r="903" spans="1:4" x14ac:dyDescent="0.3">
      <c r="A903" s="15">
        <v>108697</v>
      </c>
      <c r="B903" s="17" t="s">
        <v>898</v>
      </c>
      <c r="C903" s="12">
        <v>39759</v>
      </c>
      <c r="D903" s="11" t="str">
        <f>_xlfn.IFNA(IF(VLOOKUP(Tabela22[[#This Row],[CÓDIGO]],Aguardando_exclusão!A$4:A$4003,1,FALSE),"sim",""),"")</f>
        <v/>
      </c>
    </row>
    <row r="904" spans="1:4" x14ac:dyDescent="0.3">
      <c r="A904" s="15">
        <v>108711</v>
      </c>
      <c r="B904" s="17" t="s">
        <v>899</v>
      </c>
      <c r="C904" s="12">
        <v>39762</v>
      </c>
      <c r="D904" s="11" t="str">
        <f>_xlfn.IFNA(IF(VLOOKUP(Tabela22[[#This Row],[CÓDIGO]],Aguardando_exclusão!A$4:A$4003,1,FALSE),"sim",""),"")</f>
        <v/>
      </c>
    </row>
    <row r="905" spans="1:4" x14ac:dyDescent="0.3">
      <c r="A905" s="15">
        <v>108732</v>
      </c>
      <c r="B905" s="17" t="s">
        <v>900</v>
      </c>
      <c r="C905" s="12">
        <v>39762</v>
      </c>
      <c r="D905" s="11" t="str">
        <f>_xlfn.IFNA(IF(VLOOKUP(Tabela22[[#This Row],[CÓDIGO]],Aguardando_exclusão!A$4:A$4003,1,FALSE),"sim",""),"")</f>
        <v/>
      </c>
    </row>
    <row r="906" spans="1:4" ht="15" customHeight="1" x14ac:dyDescent="0.3">
      <c r="A906" s="15">
        <v>108734</v>
      </c>
      <c r="B906" s="17" t="s">
        <v>901</v>
      </c>
      <c r="C906" s="12">
        <v>39762</v>
      </c>
      <c r="D906" s="11" t="str">
        <f>_xlfn.IFNA(IF(VLOOKUP(Tabela22[[#This Row],[CÓDIGO]],Aguardando_exclusão!A$4:A$4003,1,FALSE),"sim",""),"")</f>
        <v/>
      </c>
    </row>
    <row r="907" spans="1:4" ht="15" customHeight="1" x14ac:dyDescent="0.3">
      <c r="A907" s="15">
        <v>108735</v>
      </c>
      <c r="B907" s="17" t="s">
        <v>902</v>
      </c>
      <c r="C907" s="12">
        <v>39762</v>
      </c>
      <c r="D907" s="11" t="str">
        <f>_xlfn.IFNA(IF(VLOOKUP(Tabela22[[#This Row],[CÓDIGO]],Aguardando_exclusão!A$4:A$4003,1,FALSE),"sim",""),"")</f>
        <v/>
      </c>
    </row>
    <row r="908" spans="1:4" ht="15" customHeight="1" x14ac:dyDescent="0.3">
      <c r="A908" s="15">
        <v>108736</v>
      </c>
      <c r="B908" s="17" t="s">
        <v>903</v>
      </c>
      <c r="C908" s="12">
        <v>39640</v>
      </c>
      <c r="D908" s="11" t="str">
        <f>_xlfn.IFNA(IF(VLOOKUP(Tabela22[[#This Row],[CÓDIGO]],Aguardando_exclusão!A$4:A$4003,1,FALSE),"sim",""),"")</f>
        <v/>
      </c>
    </row>
    <row r="909" spans="1:4" ht="15" customHeight="1" x14ac:dyDescent="0.3">
      <c r="A909" s="15">
        <v>109163</v>
      </c>
      <c r="B909" s="17" t="s">
        <v>904</v>
      </c>
      <c r="C909" s="12">
        <v>39784</v>
      </c>
      <c r="D909" s="11" t="str">
        <f>_xlfn.IFNA(IF(VLOOKUP(Tabela22[[#This Row],[CÓDIGO]],Aguardando_exclusão!A$4:A$4003,1,FALSE),"sim",""),"")</f>
        <v/>
      </c>
    </row>
    <row r="910" spans="1:4" ht="15" customHeight="1" x14ac:dyDescent="0.3">
      <c r="A910" s="15">
        <v>109848</v>
      </c>
      <c r="B910" s="17" t="s">
        <v>905</v>
      </c>
      <c r="C910" s="12">
        <v>39857</v>
      </c>
      <c r="D910" s="11" t="str">
        <f>_xlfn.IFNA(IF(VLOOKUP(Tabela22[[#This Row],[CÓDIGO]],Aguardando_exclusão!A$4:A$4003,1,FALSE),"sim",""),"")</f>
        <v/>
      </c>
    </row>
    <row r="911" spans="1:4" ht="15" customHeight="1" x14ac:dyDescent="0.3">
      <c r="A911" s="15">
        <v>109944</v>
      </c>
      <c r="B911" s="17" t="s">
        <v>906</v>
      </c>
      <c r="C911" s="12">
        <v>39875</v>
      </c>
      <c r="D911" s="11" t="str">
        <f>_xlfn.IFNA(IF(VLOOKUP(Tabela22[[#This Row],[CÓDIGO]],Aguardando_exclusão!A$4:A$4003,1,FALSE),"sim",""),"")</f>
        <v/>
      </c>
    </row>
    <row r="912" spans="1:4" ht="15" customHeight="1" x14ac:dyDescent="0.3">
      <c r="A912" s="15">
        <v>110216</v>
      </c>
      <c r="B912" s="17" t="s">
        <v>907</v>
      </c>
      <c r="C912" s="12">
        <v>39892</v>
      </c>
      <c r="D912" s="11" t="str">
        <f>_xlfn.IFNA(IF(VLOOKUP(Tabela22[[#This Row],[CÓDIGO]],Aguardando_exclusão!A$4:A$4003,1,FALSE),"sim",""),"")</f>
        <v>sim</v>
      </c>
    </row>
    <row r="913" spans="1:4" ht="15" customHeight="1" x14ac:dyDescent="0.3">
      <c r="A913" s="15">
        <v>110503</v>
      </c>
      <c r="B913" s="17" t="s">
        <v>908</v>
      </c>
      <c r="C913" s="12">
        <v>39910</v>
      </c>
      <c r="D913" s="11" t="str">
        <f>_xlfn.IFNA(IF(VLOOKUP(Tabela22[[#This Row],[CÓDIGO]],Aguardando_exclusão!A$4:A$4003,1,FALSE),"sim",""),"")</f>
        <v/>
      </c>
    </row>
    <row r="914" spans="1:4" ht="15" customHeight="1" x14ac:dyDescent="0.3">
      <c r="A914" s="15">
        <v>110578</v>
      </c>
      <c r="B914" s="17" t="s">
        <v>909</v>
      </c>
      <c r="C914" s="12">
        <v>39916</v>
      </c>
      <c r="D914" s="11" t="str">
        <f>_xlfn.IFNA(IF(VLOOKUP(Tabela22[[#This Row],[CÓDIGO]],Aguardando_exclusão!A$4:A$4003,1,FALSE),"sim",""),"")</f>
        <v/>
      </c>
    </row>
    <row r="915" spans="1:4" ht="15" customHeight="1" x14ac:dyDescent="0.3">
      <c r="A915" s="15">
        <v>110702</v>
      </c>
      <c r="B915" s="17" t="s">
        <v>910</v>
      </c>
      <c r="C915" s="12">
        <v>39927</v>
      </c>
      <c r="D915" s="11" t="str">
        <f>_xlfn.IFNA(IF(VLOOKUP(Tabela22[[#This Row],[CÓDIGO]],Aguardando_exclusão!A$4:A$4003,1,FALSE),"sim",""),"")</f>
        <v/>
      </c>
    </row>
    <row r="916" spans="1:4" ht="15" customHeight="1" x14ac:dyDescent="0.3">
      <c r="A916" s="15">
        <v>110771</v>
      </c>
      <c r="B916" s="17" t="s">
        <v>911</v>
      </c>
      <c r="C916" s="12">
        <v>39933</v>
      </c>
      <c r="D916" s="11" t="str">
        <f>_xlfn.IFNA(IF(VLOOKUP(Tabela22[[#This Row],[CÓDIGO]],Aguardando_exclusão!A$4:A$4003,1,FALSE),"sim",""),"")</f>
        <v/>
      </c>
    </row>
    <row r="917" spans="1:4" ht="15" customHeight="1" x14ac:dyDescent="0.3">
      <c r="A917" s="15">
        <v>110888</v>
      </c>
      <c r="B917" s="17" t="s">
        <v>912</v>
      </c>
      <c r="C917" s="12">
        <v>39944</v>
      </c>
      <c r="D917" s="11" t="str">
        <f>_xlfn.IFNA(IF(VLOOKUP(Tabela22[[#This Row],[CÓDIGO]],Aguardando_exclusão!A$4:A$4003,1,FALSE),"sim",""),"")</f>
        <v/>
      </c>
    </row>
    <row r="918" spans="1:4" ht="15" customHeight="1" x14ac:dyDescent="0.3">
      <c r="A918" s="15">
        <v>110889</v>
      </c>
      <c r="B918" s="17" t="s">
        <v>913</v>
      </c>
      <c r="C918" s="12">
        <v>39944</v>
      </c>
      <c r="D918" s="11" t="str">
        <f>_xlfn.IFNA(IF(VLOOKUP(Tabela22[[#This Row],[CÓDIGO]],Aguardando_exclusão!A$4:A$4003,1,FALSE),"sim",""),"")</f>
        <v/>
      </c>
    </row>
    <row r="919" spans="1:4" ht="15" customHeight="1" x14ac:dyDescent="0.3">
      <c r="A919" s="15">
        <v>110890</v>
      </c>
      <c r="B919" s="17" t="s">
        <v>914</v>
      </c>
      <c r="C919" s="12">
        <v>39944</v>
      </c>
      <c r="D919" s="11" t="str">
        <f>_xlfn.IFNA(IF(VLOOKUP(Tabela22[[#This Row],[CÓDIGO]],Aguardando_exclusão!A$4:A$4003,1,FALSE),"sim",""),"")</f>
        <v/>
      </c>
    </row>
    <row r="920" spans="1:4" ht="15" customHeight="1" x14ac:dyDescent="0.3">
      <c r="A920" s="15">
        <v>110891</v>
      </c>
      <c r="B920" s="17" t="s">
        <v>915</v>
      </c>
      <c r="C920" s="12">
        <v>39944</v>
      </c>
      <c r="D920" s="11" t="str">
        <f>_xlfn.IFNA(IF(VLOOKUP(Tabela22[[#This Row],[CÓDIGO]],Aguardando_exclusão!A$4:A$4003,1,FALSE),"sim",""),"")</f>
        <v/>
      </c>
    </row>
    <row r="921" spans="1:4" ht="15" customHeight="1" x14ac:dyDescent="0.3">
      <c r="A921" s="15">
        <v>110892</v>
      </c>
      <c r="B921" s="17" t="s">
        <v>916</v>
      </c>
      <c r="C921" s="12">
        <v>39944</v>
      </c>
      <c r="D921" s="11" t="str">
        <f>_xlfn.IFNA(IF(VLOOKUP(Tabela22[[#This Row],[CÓDIGO]],Aguardando_exclusão!A$4:A$4003,1,FALSE),"sim",""),"")</f>
        <v/>
      </c>
    </row>
    <row r="922" spans="1:4" ht="15" customHeight="1" x14ac:dyDescent="0.3">
      <c r="A922" s="15">
        <v>110893</v>
      </c>
      <c r="B922" s="17" t="s">
        <v>917</v>
      </c>
      <c r="C922" s="12">
        <v>39944</v>
      </c>
      <c r="D922" s="11" t="str">
        <f>_xlfn.IFNA(IF(VLOOKUP(Tabela22[[#This Row],[CÓDIGO]],Aguardando_exclusão!A$4:A$4003,1,FALSE),"sim",""),"")</f>
        <v/>
      </c>
    </row>
    <row r="923" spans="1:4" ht="15" customHeight="1" x14ac:dyDescent="0.3">
      <c r="A923" s="15">
        <v>110895</v>
      </c>
      <c r="B923" s="17" t="s">
        <v>918</v>
      </c>
      <c r="C923" s="12">
        <v>39944</v>
      </c>
      <c r="D923" s="11" t="str">
        <f>_xlfn.IFNA(IF(VLOOKUP(Tabela22[[#This Row],[CÓDIGO]],Aguardando_exclusão!A$4:A$4003,1,FALSE),"sim",""),"")</f>
        <v/>
      </c>
    </row>
    <row r="924" spans="1:4" ht="15" customHeight="1" x14ac:dyDescent="0.3">
      <c r="A924" s="15">
        <v>110896</v>
      </c>
      <c r="B924" s="17" t="s">
        <v>919</v>
      </c>
      <c r="C924" s="12">
        <v>39944</v>
      </c>
      <c r="D924" s="11" t="str">
        <f>_xlfn.IFNA(IF(VLOOKUP(Tabela22[[#This Row],[CÓDIGO]],Aguardando_exclusão!A$4:A$4003,1,FALSE),"sim",""),"")</f>
        <v/>
      </c>
    </row>
    <row r="925" spans="1:4" ht="15" customHeight="1" x14ac:dyDescent="0.3">
      <c r="A925" s="15">
        <v>111336</v>
      </c>
      <c r="B925" s="17" t="s">
        <v>920</v>
      </c>
      <c r="C925" s="12">
        <v>39981</v>
      </c>
      <c r="D925" s="11" t="str">
        <f>_xlfn.IFNA(IF(VLOOKUP(Tabela22[[#This Row],[CÓDIGO]],Aguardando_exclusão!A$4:A$4003,1,FALSE),"sim",""),"")</f>
        <v/>
      </c>
    </row>
    <row r="926" spans="1:4" ht="15" customHeight="1" x14ac:dyDescent="0.3">
      <c r="A926" s="15">
        <v>111524</v>
      </c>
      <c r="B926" s="17" t="s">
        <v>921</v>
      </c>
      <c r="C926" s="12">
        <v>39988</v>
      </c>
      <c r="D926" s="11" t="str">
        <f>_xlfn.IFNA(IF(VLOOKUP(Tabela22[[#This Row],[CÓDIGO]],Aguardando_exclusão!A$4:A$4003,1,FALSE),"sim",""),"")</f>
        <v/>
      </c>
    </row>
    <row r="927" spans="1:4" ht="15" customHeight="1" x14ac:dyDescent="0.3">
      <c r="A927" s="15">
        <v>111756</v>
      </c>
      <c r="B927" s="17" t="s">
        <v>922</v>
      </c>
      <c r="C927" s="12">
        <v>40002</v>
      </c>
      <c r="D927" s="11" t="str">
        <f>_xlfn.IFNA(IF(VLOOKUP(Tabela22[[#This Row],[CÓDIGO]],Aguardando_exclusão!A$4:A$4003,1,FALSE),"sim",""),"")</f>
        <v>sim</v>
      </c>
    </row>
    <row r="928" spans="1:4" ht="15" customHeight="1" x14ac:dyDescent="0.3">
      <c r="A928" s="15">
        <v>111806</v>
      </c>
      <c r="B928" s="17" t="s">
        <v>923</v>
      </c>
      <c r="C928" s="12">
        <v>40011</v>
      </c>
      <c r="D928" s="11" t="str">
        <f>_xlfn.IFNA(IF(VLOOKUP(Tabela22[[#This Row],[CÓDIGO]],Aguardando_exclusão!A$4:A$4003,1,FALSE),"sim",""),"")</f>
        <v/>
      </c>
    </row>
    <row r="929" spans="1:4" ht="15" customHeight="1" x14ac:dyDescent="0.3">
      <c r="A929" s="15">
        <v>111841</v>
      </c>
      <c r="B929" s="17" t="s">
        <v>924</v>
      </c>
      <c r="C929" s="12">
        <v>40015</v>
      </c>
      <c r="D929" s="11" t="str">
        <f>_xlfn.IFNA(IF(VLOOKUP(Tabela22[[#This Row],[CÓDIGO]],Aguardando_exclusão!A$4:A$4003,1,FALSE),"sim",""),"")</f>
        <v/>
      </c>
    </row>
    <row r="930" spans="1:4" ht="15" customHeight="1" x14ac:dyDescent="0.3">
      <c r="A930" s="15">
        <v>112064</v>
      </c>
      <c r="B930" s="17" t="s">
        <v>925</v>
      </c>
      <c r="C930" s="12">
        <v>40037</v>
      </c>
      <c r="D930" s="11" t="str">
        <f>_xlfn.IFNA(IF(VLOOKUP(Tabela22[[#This Row],[CÓDIGO]],Aguardando_exclusão!A$4:A$4003,1,FALSE),"sim",""),"")</f>
        <v/>
      </c>
    </row>
    <row r="931" spans="1:4" ht="15" customHeight="1" x14ac:dyDescent="0.3">
      <c r="A931" s="15">
        <v>112109</v>
      </c>
      <c r="B931" s="17" t="s">
        <v>926</v>
      </c>
      <c r="C931" s="12">
        <v>40043</v>
      </c>
      <c r="D931" s="11" t="str">
        <f>_xlfn.IFNA(IF(VLOOKUP(Tabela22[[#This Row],[CÓDIGO]],Aguardando_exclusão!A$4:A$4003,1,FALSE),"sim",""),"")</f>
        <v/>
      </c>
    </row>
    <row r="932" spans="1:4" ht="15" customHeight="1" x14ac:dyDescent="0.3">
      <c r="A932" s="15">
        <v>112154</v>
      </c>
      <c r="B932" s="17" t="s">
        <v>927</v>
      </c>
      <c r="C932" s="12">
        <v>40045</v>
      </c>
      <c r="D932" s="11" t="str">
        <f>_xlfn.IFNA(IF(VLOOKUP(Tabela22[[#This Row],[CÓDIGO]],Aguardando_exclusão!A$4:A$4003,1,FALSE),"sim",""),"")</f>
        <v/>
      </c>
    </row>
    <row r="933" spans="1:4" ht="15" customHeight="1" x14ac:dyDescent="0.3">
      <c r="A933" s="15">
        <v>112155</v>
      </c>
      <c r="B933" s="17" t="s">
        <v>928</v>
      </c>
      <c r="C933" s="12">
        <v>40045</v>
      </c>
      <c r="D933" s="11" t="str">
        <f>_xlfn.IFNA(IF(VLOOKUP(Tabela22[[#This Row],[CÓDIGO]],Aguardando_exclusão!A$4:A$4003,1,FALSE),"sim",""),"")</f>
        <v/>
      </c>
    </row>
    <row r="934" spans="1:4" ht="15" customHeight="1" x14ac:dyDescent="0.3">
      <c r="A934" s="15">
        <v>112156</v>
      </c>
      <c r="B934" s="17" t="s">
        <v>929</v>
      </c>
      <c r="C934" s="12">
        <v>40045</v>
      </c>
      <c r="D934" s="11" t="str">
        <f>_xlfn.IFNA(IF(VLOOKUP(Tabela22[[#This Row],[CÓDIGO]],Aguardando_exclusão!A$4:A$4003,1,FALSE),"sim",""),"")</f>
        <v/>
      </c>
    </row>
    <row r="935" spans="1:4" ht="15" customHeight="1" x14ac:dyDescent="0.3">
      <c r="A935" s="15">
        <v>112157</v>
      </c>
      <c r="B935" s="17" t="s">
        <v>930</v>
      </c>
      <c r="C935" s="12">
        <v>40045</v>
      </c>
      <c r="D935" s="11" t="str">
        <f>_xlfn.IFNA(IF(VLOOKUP(Tabela22[[#This Row],[CÓDIGO]],Aguardando_exclusão!A$4:A$4003,1,FALSE),"sim",""),"")</f>
        <v/>
      </c>
    </row>
    <row r="936" spans="1:4" ht="15" customHeight="1" x14ac:dyDescent="0.3">
      <c r="A936" s="15">
        <v>112158</v>
      </c>
      <c r="B936" s="17" t="s">
        <v>931</v>
      </c>
      <c r="C936" s="12">
        <v>40045</v>
      </c>
      <c r="D936" s="11" t="str">
        <f>_xlfn.IFNA(IF(VLOOKUP(Tabela22[[#This Row],[CÓDIGO]],Aguardando_exclusão!A$4:A$4003,1,FALSE),"sim",""),"")</f>
        <v/>
      </c>
    </row>
    <row r="937" spans="1:4" ht="15" customHeight="1" x14ac:dyDescent="0.3">
      <c r="A937" s="15">
        <v>112159</v>
      </c>
      <c r="B937" s="17" t="s">
        <v>932</v>
      </c>
      <c r="C937" s="12">
        <v>40045</v>
      </c>
      <c r="D937" s="11" t="str">
        <f>_xlfn.IFNA(IF(VLOOKUP(Tabela22[[#This Row],[CÓDIGO]],Aguardando_exclusão!A$4:A$4003,1,FALSE),"sim",""),"")</f>
        <v/>
      </c>
    </row>
    <row r="938" spans="1:4" ht="15" customHeight="1" x14ac:dyDescent="0.3">
      <c r="A938" s="15">
        <v>112160</v>
      </c>
      <c r="B938" s="17" t="s">
        <v>933</v>
      </c>
      <c r="C938" s="12">
        <v>40045</v>
      </c>
      <c r="D938" s="11" t="str">
        <f>_xlfn.IFNA(IF(VLOOKUP(Tabela22[[#This Row],[CÓDIGO]],Aguardando_exclusão!A$4:A$4003,1,FALSE),"sim",""),"")</f>
        <v/>
      </c>
    </row>
    <row r="939" spans="1:4" ht="15" customHeight="1" x14ac:dyDescent="0.3">
      <c r="A939" s="15">
        <v>112162</v>
      </c>
      <c r="B939" s="17" t="s">
        <v>934</v>
      </c>
      <c r="C939" s="12">
        <v>40045</v>
      </c>
      <c r="D939" s="11" t="str">
        <f>_xlfn.IFNA(IF(VLOOKUP(Tabela22[[#This Row],[CÓDIGO]],Aguardando_exclusão!A$4:A$4003,1,FALSE),"sim",""),"")</f>
        <v/>
      </c>
    </row>
    <row r="940" spans="1:4" ht="15" customHeight="1" x14ac:dyDescent="0.3">
      <c r="A940" s="15">
        <v>112163</v>
      </c>
      <c r="B940" s="17" t="s">
        <v>935</v>
      </c>
      <c r="C940" s="12">
        <v>40045</v>
      </c>
      <c r="D940" s="11" t="str">
        <f>_xlfn.IFNA(IF(VLOOKUP(Tabela22[[#This Row],[CÓDIGO]],Aguardando_exclusão!A$4:A$4003,1,FALSE),"sim",""),"")</f>
        <v/>
      </c>
    </row>
    <row r="941" spans="1:4" ht="15" customHeight="1" x14ac:dyDescent="0.3">
      <c r="A941" s="15">
        <v>112164</v>
      </c>
      <c r="B941" s="17" t="s">
        <v>936</v>
      </c>
      <c r="C941" s="12">
        <v>40045</v>
      </c>
      <c r="D941" s="11" t="str">
        <f>_xlfn.IFNA(IF(VLOOKUP(Tabela22[[#This Row],[CÓDIGO]],Aguardando_exclusão!A$4:A$4003,1,FALSE),"sim",""),"")</f>
        <v>sim</v>
      </c>
    </row>
    <row r="942" spans="1:4" ht="15" customHeight="1" x14ac:dyDescent="0.3">
      <c r="A942" s="15">
        <v>112226</v>
      </c>
      <c r="B942" s="17" t="s">
        <v>842</v>
      </c>
      <c r="C942" s="12">
        <v>40049</v>
      </c>
      <c r="D942" s="11" t="str">
        <f>_xlfn.IFNA(IF(VLOOKUP(Tabela22[[#This Row],[CÓDIGO]],Aguardando_exclusão!A$4:A$4003,1,FALSE),"sim",""),"")</f>
        <v/>
      </c>
    </row>
    <row r="943" spans="1:4" ht="15" customHeight="1" x14ac:dyDescent="0.3">
      <c r="A943" s="15">
        <v>112494</v>
      </c>
      <c r="B943" s="17" t="s">
        <v>937</v>
      </c>
      <c r="C943" s="12">
        <v>40064</v>
      </c>
      <c r="D943" s="11" t="str">
        <f>_xlfn.IFNA(IF(VLOOKUP(Tabela22[[#This Row],[CÓDIGO]],Aguardando_exclusão!A$4:A$4003,1,FALSE),"sim",""),"")</f>
        <v/>
      </c>
    </row>
    <row r="944" spans="1:4" ht="15" customHeight="1" x14ac:dyDescent="0.3">
      <c r="A944" s="15">
        <v>112965</v>
      </c>
      <c r="B944" s="17" t="s">
        <v>938</v>
      </c>
      <c r="C944" s="12">
        <v>40084</v>
      </c>
      <c r="D944" s="11" t="str">
        <f>_xlfn.IFNA(IF(VLOOKUP(Tabela22[[#This Row],[CÓDIGO]],Aguardando_exclusão!A$4:A$4003,1,FALSE),"sim",""),"")</f>
        <v/>
      </c>
    </row>
    <row r="945" spans="1:4" ht="15" customHeight="1" x14ac:dyDescent="0.3">
      <c r="A945" s="15">
        <v>113180</v>
      </c>
      <c r="B945" s="17" t="s">
        <v>939</v>
      </c>
      <c r="C945" s="12">
        <v>40106</v>
      </c>
      <c r="D945" s="11" t="str">
        <f>_xlfn.IFNA(IF(VLOOKUP(Tabela22[[#This Row],[CÓDIGO]],Aguardando_exclusão!A$4:A$4003,1,FALSE),"sim",""),"")</f>
        <v/>
      </c>
    </row>
    <row r="946" spans="1:4" ht="15" customHeight="1" x14ac:dyDescent="0.3">
      <c r="A946" s="15">
        <v>113207</v>
      </c>
      <c r="B946" s="17" t="s">
        <v>940</v>
      </c>
      <c r="C946" s="12">
        <v>40108</v>
      </c>
      <c r="D946" s="11" t="str">
        <f>_xlfn.IFNA(IF(VLOOKUP(Tabela22[[#This Row],[CÓDIGO]],Aguardando_exclusão!A$4:A$4003,1,FALSE),"sim",""),"")</f>
        <v>sim</v>
      </c>
    </row>
    <row r="947" spans="1:4" ht="15" customHeight="1" x14ac:dyDescent="0.3">
      <c r="A947" s="15">
        <v>113238</v>
      </c>
      <c r="B947" s="17" t="s">
        <v>941</v>
      </c>
      <c r="C947" s="12">
        <v>40113</v>
      </c>
      <c r="D947" s="11" t="str">
        <f>_xlfn.IFNA(IF(VLOOKUP(Tabela22[[#This Row],[CÓDIGO]],Aguardando_exclusão!A$4:A$4003,1,FALSE),"sim",""),"")</f>
        <v/>
      </c>
    </row>
    <row r="948" spans="1:4" ht="15" customHeight="1" x14ac:dyDescent="0.3">
      <c r="A948" s="15">
        <v>113242</v>
      </c>
      <c r="B948" s="17" t="s">
        <v>942</v>
      </c>
      <c r="C948" s="12">
        <v>40113</v>
      </c>
      <c r="D948" s="11" t="str">
        <f>_xlfn.IFNA(IF(VLOOKUP(Tabela22[[#This Row],[CÓDIGO]],Aguardando_exclusão!A$4:A$4003,1,FALSE),"sim",""),"")</f>
        <v/>
      </c>
    </row>
    <row r="949" spans="1:4" ht="15" customHeight="1" x14ac:dyDescent="0.3">
      <c r="A949" s="15">
        <v>113581</v>
      </c>
      <c r="B949" s="17" t="s">
        <v>943</v>
      </c>
      <c r="C949" s="12">
        <v>40143</v>
      </c>
      <c r="D949" s="11" t="str">
        <f>_xlfn.IFNA(IF(VLOOKUP(Tabela22[[#This Row],[CÓDIGO]],Aguardando_exclusão!A$4:A$4003,1,FALSE),"sim",""),"")</f>
        <v/>
      </c>
    </row>
    <row r="950" spans="1:4" ht="15" customHeight="1" x14ac:dyDescent="0.3">
      <c r="A950" s="15">
        <v>113611</v>
      </c>
      <c r="B950" s="17" t="s">
        <v>944</v>
      </c>
      <c r="C950" s="12">
        <v>40147</v>
      </c>
      <c r="D950" s="11" t="str">
        <f>_xlfn.IFNA(IF(VLOOKUP(Tabela22[[#This Row],[CÓDIGO]],Aguardando_exclusão!A$4:A$4003,1,FALSE),"sim",""),"")</f>
        <v/>
      </c>
    </row>
    <row r="951" spans="1:4" ht="15" customHeight="1" x14ac:dyDescent="0.3">
      <c r="A951" s="15">
        <v>113634</v>
      </c>
      <c r="B951" s="17" t="s">
        <v>945</v>
      </c>
      <c r="C951" s="12">
        <v>40150</v>
      </c>
      <c r="D951" s="11" t="str">
        <f>_xlfn.IFNA(IF(VLOOKUP(Tabela22[[#This Row],[CÓDIGO]],Aguardando_exclusão!A$4:A$4003,1,FALSE),"sim",""),"")</f>
        <v/>
      </c>
    </row>
    <row r="952" spans="1:4" ht="15" customHeight="1" x14ac:dyDescent="0.3">
      <c r="A952" s="15">
        <v>113846</v>
      </c>
      <c r="B952" s="17" t="s">
        <v>946</v>
      </c>
      <c r="C952" s="12">
        <v>40198</v>
      </c>
      <c r="D952" s="11" t="str">
        <f>_xlfn.IFNA(IF(VLOOKUP(Tabela22[[#This Row],[CÓDIGO]],Aguardando_exclusão!A$4:A$4003,1,FALSE),"sim",""),"")</f>
        <v/>
      </c>
    </row>
    <row r="953" spans="1:4" ht="15" customHeight="1" x14ac:dyDescent="0.3">
      <c r="A953" s="15">
        <v>114255</v>
      </c>
      <c r="B953" s="17" t="s">
        <v>947</v>
      </c>
      <c r="C953" s="12">
        <v>40234</v>
      </c>
      <c r="D953" s="11" t="str">
        <f>_xlfn.IFNA(IF(VLOOKUP(Tabela22[[#This Row],[CÓDIGO]],Aguardando_exclusão!A$4:A$4003,1,FALSE),"sim",""),"")</f>
        <v/>
      </c>
    </row>
    <row r="954" spans="1:4" ht="15" customHeight="1" x14ac:dyDescent="0.3">
      <c r="A954" s="15">
        <v>114297</v>
      </c>
      <c r="B954" s="17" t="s">
        <v>948</v>
      </c>
      <c r="C954" s="12">
        <v>40240</v>
      </c>
      <c r="D954" s="11" t="str">
        <f>_xlfn.IFNA(IF(VLOOKUP(Tabela22[[#This Row],[CÓDIGO]],Aguardando_exclusão!A$4:A$4003,1,FALSE),"sim",""),"")</f>
        <v/>
      </c>
    </row>
    <row r="955" spans="1:4" ht="15" customHeight="1" x14ac:dyDescent="0.3">
      <c r="A955" s="15">
        <v>114299</v>
      </c>
      <c r="B955" s="17" t="s">
        <v>949</v>
      </c>
      <c r="C955" s="12">
        <v>40240</v>
      </c>
      <c r="D955" s="11" t="str">
        <f>_xlfn.IFNA(IF(VLOOKUP(Tabela22[[#This Row],[CÓDIGO]],Aguardando_exclusão!A$4:A$4003,1,FALSE),"sim",""),"")</f>
        <v/>
      </c>
    </row>
    <row r="956" spans="1:4" ht="15" customHeight="1" x14ac:dyDescent="0.3">
      <c r="A956" s="15">
        <v>114430</v>
      </c>
      <c r="B956" s="17" t="s">
        <v>950</v>
      </c>
      <c r="C956" s="12">
        <v>40249</v>
      </c>
      <c r="D956" s="11" t="str">
        <f>_xlfn.IFNA(IF(VLOOKUP(Tabela22[[#This Row],[CÓDIGO]],Aguardando_exclusão!A$4:A$4003,1,FALSE),"sim",""),"")</f>
        <v/>
      </c>
    </row>
    <row r="957" spans="1:4" ht="15" customHeight="1" x14ac:dyDescent="0.3">
      <c r="A957" s="15">
        <v>114771</v>
      </c>
      <c r="B957" s="17" t="s">
        <v>951</v>
      </c>
      <c r="C957" s="12">
        <v>40275</v>
      </c>
      <c r="D957" s="11" t="str">
        <f>_xlfn.IFNA(IF(VLOOKUP(Tabela22[[#This Row],[CÓDIGO]],Aguardando_exclusão!A$4:A$4003,1,FALSE),"sim",""),"")</f>
        <v/>
      </c>
    </row>
    <row r="958" spans="1:4" ht="15" customHeight="1" x14ac:dyDescent="0.3">
      <c r="A958" s="15">
        <v>114772</v>
      </c>
      <c r="B958" s="17" t="s">
        <v>952</v>
      </c>
      <c r="C958" s="12">
        <v>40275</v>
      </c>
      <c r="D958" s="11" t="str">
        <f>_xlfn.IFNA(IF(VLOOKUP(Tabela22[[#This Row],[CÓDIGO]],Aguardando_exclusão!A$4:A$4003,1,FALSE),"sim",""),"")</f>
        <v/>
      </c>
    </row>
    <row r="959" spans="1:4" ht="15" customHeight="1" x14ac:dyDescent="0.3">
      <c r="A959" s="15">
        <v>114773</v>
      </c>
      <c r="B959" s="17" t="s">
        <v>953</v>
      </c>
      <c r="C959" s="12">
        <v>40275</v>
      </c>
      <c r="D959" s="11" t="str">
        <f>_xlfn.IFNA(IF(VLOOKUP(Tabela22[[#This Row],[CÓDIGO]],Aguardando_exclusão!A$4:A$4003,1,FALSE),"sim",""),"")</f>
        <v/>
      </c>
    </row>
    <row r="960" spans="1:4" ht="15" customHeight="1" x14ac:dyDescent="0.3">
      <c r="A960" s="15">
        <v>114822</v>
      </c>
      <c r="B960" s="17" t="s">
        <v>954</v>
      </c>
      <c r="C960" s="12">
        <v>40277</v>
      </c>
      <c r="D960" s="11" t="str">
        <f>_xlfn.IFNA(IF(VLOOKUP(Tabela22[[#This Row],[CÓDIGO]],Aguardando_exclusão!A$4:A$4003,1,FALSE),"sim",""),"")</f>
        <v/>
      </c>
    </row>
    <row r="961" spans="1:4" ht="15" customHeight="1" x14ac:dyDescent="0.3">
      <c r="A961" s="15">
        <v>114852</v>
      </c>
      <c r="B961" s="17" t="s">
        <v>955</v>
      </c>
      <c r="C961" s="12">
        <v>40280</v>
      </c>
      <c r="D961" s="11" t="str">
        <f>_xlfn.IFNA(IF(VLOOKUP(Tabela22[[#This Row],[CÓDIGO]],Aguardando_exclusão!A$4:A$4003,1,FALSE),"sim",""),"")</f>
        <v/>
      </c>
    </row>
    <row r="962" spans="1:4" ht="15" customHeight="1" x14ac:dyDescent="0.3">
      <c r="A962" s="15">
        <v>114853</v>
      </c>
      <c r="B962" s="17" t="s">
        <v>956</v>
      </c>
      <c r="C962" s="12">
        <v>40280</v>
      </c>
      <c r="D962" s="11" t="str">
        <f>_xlfn.IFNA(IF(VLOOKUP(Tabela22[[#This Row],[CÓDIGO]],Aguardando_exclusão!A$4:A$4003,1,FALSE),"sim",""),"")</f>
        <v/>
      </c>
    </row>
    <row r="963" spans="1:4" ht="15" customHeight="1" x14ac:dyDescent="0.3">
      <c r="A963" s="15">
        <v>114923</v>
      </c>
      <c r="B963" s="17" t="s">
        <v>957</v>
      </c>
      <c r="C963" s="12">
        <v>40288</v>
      </c>
      <c r="D963" s="11" t="str">
        <f>_xlfn.IFNA(IF(VLOOKUP(Tabela22[[#This Row],[CÓDIGO]],Aguardando_exclusão!A$4:A$4003,1,FALSE),"sim",""),"")</f>
        <v/>
      </c>
    </row>
    <row r="964" spans="1:4" ht="15" customHeight="1" x14ac:dyDescent="0.3">
      <c r="A964" s="15">
        <v>114928</v>
      </c>
      <c r="B964" s="17" t="s">
        <v>958</v>
      </c>
      <c r="C964" s="12">
        <v>40288</v>
      </c>
      <c r="D964" s="11" t="str">
        <f>_xlfn.IFNA(IF(VLOOKUP(Tabela22[[#This Row],[CÓDIGO]],Aguardando_exclusão!A$4:A$4003,1,FALSE),"sim",""),"")</f>
        <v/>
      </c>
    </row>
    <row r="965" spans="1:4" ht="15" customHeight="1" x14ac:dyDescent="0.3">
      <c r="A965" s="15">
        <v>114976</v>
      </c>
      <c r="B965" s="17" t="s">
        <v>959</v>
      </c>
      <c r="C965" s="12">
        <v>40291</v>
      </c>
      <c r="D965" s="11" t="str">
        <f>_xlfn.IFNA(IF(VLOOKUP(Tabela22[[#This Row],[CÓDIGO]],Aguardando_exclusão!A$4:A$4003,1,FALSE),"sim",""),"")</f>
        <v/>
      </c>
    </row>
    <row r="966" spans="1:4" ht="15" customHeight="1" x14ac:dyDescent="0.3">
      <c r="A966" s="15">
        <v>115060</v>
      </c>
      <c r="B966" s="17" t="s">
        <v>960</v>
      </c>
      <c r="C966" s="12">
        <v>40295</v>
      </c>
      <c r="D966" s="11" t="str">
        <f>_xlfn.IFNA(IF(VLOOKUP(Tabela22[[#This Row],[CÓDIGO]],Aguardando_exclusão!A$4:A$4003,1,FALSE),"sim",""),"")</f>
        <v/>
      </c>
    </row>
    <row r="967" spans="1:4" ht="15" customHeight="1" x14ac:dyDescent="0.3">
      <c r="A967" s="15">
        <v>115135</v>
      </c>
      <c r="B967" s="17" t="s">
        <v>961</v>
      </c>
      <c r="C967" s="12">
        <v>40303</v>
      </c>
      <c r="D967" s="11" t="str">
        <f>_xlfn.IFNA(IF(VLOOKUP(Tabela22[[#This Row],[CÓDIGO]],Aguardando_exclusão!A$4:A$4003,1,FALSE),"sim",""),"")</f>
        <v>sim</v>
      </c>
    </row>
    <row r="968" spans="1:4" ht="15" customHeight="1" x14ac:dyDescent="0.3">
      <c r="A968" s="15">
        <v>115146</v>
      </c>
      <c r="B968" s="17" t="s">
        <v>962</v>
      </c>
      <c r="C968" s="12">
        <v>40303</v>
      </c>
      <c r="D968" s="11" t="str">
        <f>_xlfn.IFNA(IF(VLOOKUP(Tabela22[[#This Row],[CÓDIGO]],Aguardando_exclusão!A$4:A$4003,1,FALSE),"sim",""),"")</f>
        <v>sim</v>
      </c>
    </row>
    <row r="969" spans="1:4" ht="15" customHeight="1" x14ac:dyDescent="0.3">
      <c r="A969" s="15">
        <v>115149</v>
      </c>
      <c r="B969" s="17" t="s">
        <v>963</v>
      </c>
      <c r="C969" s="12">
        <v>40303</v>
      </c>
      <c r="D969" s="11" t="str">
        <f>_xlfn.IFNA(IF(VLOOKUP(Tabela22[[#This Row],[CÓDIGO]],Aguardando_exclusão!A$4:A$4003,1,FALSE),"sim",""),"")</f>
        <v>sim</v>
      </c>
    </row>
    <row r="970" spans="1:4" ht="15" customHeight="1" x14ac:dyDescent="0.3">
      <c r="A970" s="15">
        <v>115151</v>
      </c>
      <c r="B970" s="17" t="s">
        <v>964</v>
      </c>
      <c r="C970" s="12">
        <v>40303</v>
      </c>
      <c r="D970" s="11" t="str">
        <f>_xlfn.IFNA(IF(VLOOKUP(Tabela22[[#This Row],[CÓDIGO]],Aguardando_exclusão!A$4:A$4003,1,FALSE),"sim",""),"")</f>
        <v>sim</v>
      </c>
    </row>
    <row r="971" spans="1:4" ht="15" customHeight="1" x14ac:dyDescent="0.3">
      <c r="A971" s="15">
        <v>115154</v>
      </c>
      <c r="B971" s="17" t="s">
        <v>965</v>
      </c>
      <c r="C971" s="12">
        <v>40303</v>
      </c>
      <c r="D971" s="11" t="str">
        <f>_xlfn.IFNA(IF(VLOOKUP(Tabela22[[#This Row],[CÓDIGO]],Aguardando_exclusão!A$4:A$4003,1,FALSE),"sim",""),"")</f>
        <v>sim</v>
      </c>
    </row>
    <row r="972" spans="1:4" ht="15" customHeight="1" x14ac:dyDescent="0.3">
      <c r="A972" s="15">
        <v>115282</v>
      </c>
      <c r="B972" s="17" t="s">
        <v>966</v>
      </c>
      <c r="C972" s="12">
        <v>40312</v>
      </c>
      <c r="D972" s="11" t="str">
        <f>_xlfn.IFNA(IF(VLOOKUP(Tabela22[[#This Row],[CÓDIGO]],Aguardando_exclusão!A$4:A$4003,1,FALSE),"sim",""),"")</f>
        <v/>
      </c>
    </row>
    <row r="973" spans="1:4" ht="15" customHeight="1" x14ac:dyDescent="0.3">
      <c r="A973" s="15">
        <v>115781</v>
      </c>
      <c r="B973" s="17" t="s">
        <v>967</v>
      </c>
      <c r="C973" s="12">
        <v>40351</v>
      </c>
      <c r="D973" s="11" t="str">
        <f>_xlfn.IFNA(IF(VLOOKUP(Tabela22[[#This Row],[CÓDIGO]],Aguardando_exclusão!A$4:A$4003,1,FALSE),"sim",""),"")</f>
        <v/>
      </c>
    </row>
    <row r="974" spans="1:4" ht="15" customHeight="1" x14ac:dyDescent="0.3">
      <c r="A974" s="15">
        <v>115807</v>
      </c>
      <c r="B974" s="17" t="s">
        <v>968</v>
      </c>
      <c r="C974" s="12">
        <v>40352</v>
      </c>
      <c r="D974" s="11" t="str">
        <f>_xlfn.IFNA(IF(VLOOKUP(Tabela22[[#This Row],[CÓDIGO]],Aguardando_exclusão!A$4:A$4003,1,FALSE),"sim",""),"")</f>
        <v/>
      </c>
    </row>
    <row r="975" spans="1:4" ht="15" customHeight="1" x14ac:dyDescent="0.3">
      <c r="A975" s="15">
        <v>115840</v>
      </c>
      <c r="B975" s="17" t="s">
        <v>969</v>
      </c>
      <c r="C975" s="12">
        <v>40357</v>
      </c>
      <c r="D975" s="11" t="str">
        <f>_xlfn.IFNA(IF(VLOOKUP(Tabela22[[#This Row],[CÓDIGO]],Aguardando_exclusão!A$4:A$4003,1,FALSE),"sim",""),"")</f>
        <v/>
      </c>
    </row>
    <row r="976" spans="1:4" ht="15" customHeight="1" x14ac:dyDescent="0.3">
      <c r="A976" s="15">
        <v>115841</v>
      </c>
      <c r="B976" s="17" t="s">
        <v>970</v>
      </c>
      <c r="C976" s="12">
        <v>40357</v>
      </c>
      <c r="D976" s="11" t="str">
        <f>_xlfn.IFNA(IF(VLOOKUP(Tabela22[[#This Row],[CÓDIGO]],Aguardando_exclusão!A$4:A$4003,1,FALSE),"sim",""),"")</f>
        <v/>
      </c>
    </row>
    <row r="977" spans="1:4" ht="15" customHeight="1" x14ac:dyDescent="0.3">
      <c r="A977" s="15">
        <v>116466</v>
      </c>
      <c r="B977" s="17" t="s">
        <v>971</v>
      </c>
      <c r="C977" s="12">
        <v>40382</v>
      </c>
      <c r="D977" s="11" t="str">
        <f>_xlfn.IFNA(IF(VLOOKUP(Tabela22[[#This Row],[CÓDIGO]],Aguardando_exclusão!A$4:A$4003,1,FALSE),"sim",""),"")</f>
        <v/>
      </c>
    </row>
    <row r="978" spans="1:4" ht="15" customHeight="1" x14ac:dyDescent="0.3">
      <c r="A978" s="15">
        <v>116751</v>
      </c>
      <c r="B978" s="17" t="s">
        <v>972</v>
      </c>
      <c r="C978" s="12">
        <v>40395</v>
      </c>
      <c r="D978" s="11" t="str">
        <f>_xlfn.IFNA(IF(VLOOKUP(Tabela22[[#This Row],[CÓDIGO]],Aguardando_exclusão!A$4:A$4003,1,FALSE),"sim",""),"")</f>
        <v/>
      </c>
    </row>
    <row r="979" spans="1:4" ht="15" customHeight="1" x14ac:dyDescent="0.3">
      <c r="A979" s="15">
        <v>116754</v>
      </c>
      <c r="B979" s="17" t="s">
        <v>973</v>
      </c>
      <c r="C979" s="12">
        <v>40395</v>
      </c>
      <c r="D979" s="11" t="str">
        <f>_xlfn.IFNA(IF(VLOOKUP(Tabela22[[#This Row],[CÓDIGO]],Aguardando_exclusão!A$4:A$4003,1,FALSE),"sim",""),"")</f>
        <v/>
      </c>
    </row>
    <row r="980" spans="1:4" ht="15" customHeight="1" x14ac:dyDescent="0.3">
      <c r="A980" s="15">
        <v>116771</v>
      </c>
      <c r="B980" s="17" t="s">
        <v>974</v>
      </c>
      <c r="C980" s="12">
        <v>40396</v>
      </c>
      <c r="D980" s="11" t="str">
        <f>_xlfn.IFNA(IF(VLOOKUP(Tabela22[[#This Row],[CÓDIGO]],Aguardando_exclusão!A$4:A$4003,1,FALSE),"sim",""),"")</f>
        <v>sim</v>
      </c>
    </row>
    <row r="981" spans="1:4" ht="15" customHeight="1" x14ac:dyDescent="0.3">
      <c r="A981" s="15">
        <v>116874</v>
      </c>
      <c r="B981" s="17" t="s">
        <v>975</v>
      </c>
      <c r="C981" s="12">
        <v>40406</v>
      </c>
      <c r="D981" s="11" t="str">
        <f>_xlfn.IFNA(IF(VLOOKUP(Tabela22[[#This Row],[CÓDIGO]],Aguardando_exclusão!A$4:A$4003,1,FALSE),"sim",""),"")</f>
        <v/>
      </c>
    </row>
    <row r="982" spans="1:4" ht="15" customHeight="1" x14ac:dyDescent="0.3">
      <c r="A982" s="15">
        <v>117734</v>
      </c>
      <c r="B982" s="17" t="s">
        <v>976</v>
      </c>
      <c r="C982" s="12">
        <v>40432</v>
      </c>
      <c r="D982" s="11" t="str">
        <f>_xlfn.IFNA(IF(VLOOKUP(Tabela22[[#This Row],[CÓDIGO]],Aguardando_exclusão!A$4:A$4003,1,FALSE),"sim",""),"")</f>
        <v/>
      </c>
    </row>
    <row r="983" spans="1:4" ht="15" customHeight="1" x14ac:dyDescent="0.3">
      <c r="A983" s="15">
        <v>118243</v>
      </c>
      <c r="B983" s="17" t="s">
        <v>977</v>
      </c>
      <c r="C983" s="12">
        <v>40466</v>
      </c>
      <c r="D983" s="11" t="str">
        <f>_xlfn.IFNA(IF(VLOOKUP(Tabela22[[#This Row],[CÓDIGO]],Aguardando_exclusão!A$4:A$4003,1,FALSE),"sim",""),"")</f>
        <v/>
      </c>
    </row>
    <row r="984" spans="1:4" ht="15" customHeight="1" x14ac:dyDescent="0.3">
      <c r="A984" s="15">
        <v>118244</v>
      </c>
      <c r="B984" s="17" t="s">
        <v>978</v>
      </c>
      <c r="C984" s="12">
        <v>41816</v>
      </c>
      <c r="D984" s="11" t="str">
        <f>_xlfn.IFNA(IF(VLOOKUP(Tabela22[[#This Row],[CÓDIGO]],Aguardando_exclusão!A$4:A$4003,1,FALSE),"sim",""),"")</f>
        <v/>
      </c>
    </row>
    <row r="985" spans="1:4" ht="15" customHeight="1" x14ac:dyDescent="0.3">
      <c r="A985" s="15">
        <v>118245</v>
      </c>
      <c r="B985" s="17" t="s">
        <v>979</v>
      </c>
      <c r="C985" s="12">
        <v>40466</v>
      </c>
      <c r="D985" s="11" t="str">
        <f>_xlfn.IFNA(IF(VLOOKUP(Tabela22[[#This Row],[CÓDIGO]],Aguardando_exclusão!A$4:A$4003,1,FALSE),"sim",""),"")</f>
        <v/>
      </c>
    </row>
    <row r="986" spans="1:4" ht="15" customHeight="1" x14ac:dyDescent="0.3">
      <c r="A986" s="15">
        <v>118246</v>
      </c>
      <c r="B986" s="17" t="s">
        <v>980</v>
      </c>
      <c r="C986" s="12">
        <v>40466</v>
      </c>
      <c r="D986" s="11" t="str">
        <f>_xlfn.IFNA(IF(VLOOKUP(Tabela22[[#This Row],[CÓDIGO]],Aguardando_exclusão!A$4:A$4003,1,FALSE),"sim",""),"")</f>
        <v/>
      </c>
    </row>
    <row r="987" spans="1:4" ht="15" customHeight="1" x14ac:dyDescent="0.3">
      <c r="A987" s="15">
        <v>118248</v>
      </c>
      <c r="B987" s="17" t="s">
        <v>981</v>
      </c>
      <c r="C987" s="12">
        <v>40466</v>
      </c>
      <c r="D987" s="11" t="str">
        <f>_xlfn.IFNA(IF(VLOOKUP(Tabela22[[#This Row],[CÓDIGO]],Aguardando_exclusão!A$4:A$4003,1,FALSE),"sim",""),"")</f>
        <v>sim</v>
      </c>
    </row>
    <row r="988" spans="1:4" ht="15" customHeight="1" x14ac:dyDescent="0.3">
      <c r="A988" s="15">
        <v>118427</v>
      </c>
      <c r="B988" s="17" t="s">
        <v>982</v>
      </c>
      <c r="C988" s="12">
        <v>40488</v>
      </c>
      <c r="D988" s="11" t="str">
        <f>_xlfn.IFNA(IF(VLOOKUP(Tabela22[[#This Row],[CÓDIGO]],Aguardando_exclusão!A$4:A$4003,1,FALSE),"sim",""),"")</f>
        <v/>
      </c>
    </row>
    <row r="989" spans="1:4" ht="15" customHeight="1" x14ac:dyDescent="0.3">
      <c r="A989" s="15">
        <v>118515</v>
      </c>
      <c r="B989" s="17" t="s">
        <v>983</v>
      </c>
      <c r="C989" s="12">
        <v>40498</v>
      </c>
      <c r="D989" s="11" t="str">
        <f>_xlfn.IFNA(IF(VLOOKUP(Tabela22[[#This Row],[CÓDIGO]],Aguardando_exclusão!A$4:A$4003,1,FALSE),"sim",""),"")</f>
        <v/>
      </c>
    </row>
    <row r="990" spans="1:4" ht="15" customHeight="1" x14ac:dyDescent="0.3">
      <c r="A990" s="15">
        <v>118577</v>
      </c>
      <c r="B990" s="17" t="s">
        <v>984</v>
      </c>
      <c r="C990" s="12">
        <v>40501</v>
      </c>
      <c r="D990" s="11" t="str">
        <f>_xlfn.IFNA(IF(VLOOKUP(Tabela22[[#This Row],[CÓDIGO]],Aguardando_exclusão!A$4:A$4003,1,FALSE),"sim",""),"")</f>
        <v/>
      </c>
    </row>
    <row r="991" spans="1:4" ht="15" customHeight="1" x14ac:dyDescent="0.3">
      <c r="A991" s="15">
        <v>118578</v>
      </c>
      <c r="B991" s="17" t="s">
        <v>985</v>
      </c>
      <c r="C991" s="12">
        <v>40501</v>
      </c>
      <c r="D991" s="11" t="str">
        <f>_xlfn.IFNA(IF(VLOOKUP(Tabela22[[#This Row],[CÓDIGO]],Aguardando_exclusão!A$4:A$4003,1,FALSE),"sim",""),"")</f>
        <v>sim</v>
      </c>
    </row>
    <row r="992" spans="1:4" ht="15" customHeight="1" x14ac:dyDescent="0.3">
      <c r="A992" s="15">
        <v>118580</v>
      </c>
      <c r="B992" s="17" t="s">
        <v>986</v>
      </c>
      <c r="C992" s="12">
        <v>40501</v>
      </c>
      <c r="D992" s="11" t="str">
        <f>_xlfn.IFNA(IF(VLOOKUP(Tabela22[[#This Row],[CÓDIGO]],Aguardando_exclusão!A$4:A$4003,1,FALSE),"sim",""),"")</f>
        <v>sim</v>
      </c>
    </row>
    <row r="993" spans="1:4" ht="15" customHeight="1" x14ac:dyDescent="0.3">
      <c r="A993" s="15">
        <v>118660</v>
      </c>
      <c r="B993" s="17" t="s">
        <v>987</v>
      </c>
      <c r="C993" s="12">
        <v>40508</v>
      </c>
      <c r="D993" s="11" t="str">
        <f>_xlfn.IFNA(IF(VLOOKUP(Tabela22[[#This Row],[CÓDIGO]],Aguardando_exclusão!A$4:A$4003,1,FALSE),"sim",""),"")</f>
        <v/>
      </c>
    </row>
    <row r="994" spans="1:4" ht="15" customHeight="1" x14ac:dyDescent="0.3">
      <c r="A994" s="15">
        <v>118779</v>
      </c>
      <c r="B994" s="17" t="s">
        <v>988</v>
      </c>
      <c r="C994" s="12">
        <v>40549</v>
      </c>
      <c r="D994" s="11" t="str">
        <f>_xlfn.IFNA(IF(VLOOKUP(Tabela22[[#This Row],[CÓDIGO]],Aguardando_exclusão!A$4:A$4003,1,FALSE),"sim",""),"")</f>
        <v>sim</v>
      </c>
    </row>
    <row r="995" spans="1:4" ht="15" customHeight="1" x14ac:dyDescent="0.3">
      <c r="A995" s="15">
        <v>118843</v>
      </c>
      <c r="B995" s="17" t="s">
        <v>989</v>
      </c>
      <c r="C995" s="12">
        <v>40557</v>
      </c>
      <c r="D995" s="11" t="str">
        <f>_xlfn.IFNA(IF(VLOOKUP(Tabela22[[#This Row],[CÓDIGO]],Aguardando_exclusão!A$4:A$4003,1,FALSE),"sim",""),"")</f>
        <v>sim</v>
      </c>
    </row>
    <row r="996" spans="1:4" ht="15" customHeight="1" x14ac:dyDescent="0.3">
      <c r="A996" s="15">
        <v>118864</v>
      </c>
      <c r="B996" s="17" t="s">
        <v>990</v>
      </c>
      <c r="C996" s="12">
        <v>40561</v>
      </c>
      <c r="D996" s="11" t="str">
        <f>_xlfn.IFNA(IF(VLOOKUP(Tabela22[[#This Row],[CÓDIGO]],Aguardando_exclusão!A$4:A$4003,1,FALSE),"sim",""),"")</f>
        <v>sim</v>
      </c>
    </row>
    <row r="997" spans="1:4" ht="15" customHeight="1" x14ac:dyDescent="0.3">
      <c r="A997" s="15">
        <v>118865</v>
      </c>
      <c r="B997" s="17" t="s">
        <v>991</v>
      </c>
      <c r="C997" s="12">
        <v>40561</v>
      </c>
      <c r="D997" s="11" t="str">
        <f>_xlfn.IFNA(IF(VLOOKUP(Tabela22[[#This Row],[CÓDIGO]],Aguardando_exclusão!A$4:A$4003,1,FALSE),"sim",""),"")</f>
        <v/>
      </c>
    </row>
    <row r="998" spans="1:4" ht="15" customHeight="1" x14ac:dyDescent="0.3">
      <c r="A998" s="15">
        <v>118993</v>
      </c>
      <c r="B998" s="17" t="s">
        <v>992</v>
      </c>
      <c r="C998" s="12">
        <v>40568</v>
      </c>
      <c r="D998" s="11" t="str">
        <f>_xlfn.IFNA(IF(VLOOKUP(Tabela22[[#This Row],[CÓDIGO]],Aguardando_exclusão!A$4:A$4003,1,FALSE),"sim",""),"")</f>
        <v>sim</v>
      </c>
    </row>
    <row r="999" spans="1:4" ht="15" customHeight="1" x14ac:dyDescent="0.3">
      <c r="A999" s="15">
        <v>118994</v>
      </c>
      <c r="B999" s="17" t="s">
        <v>993</v>
      </c>
      <c r="C999" s="12">
        <v>40568</v>
      </c>
      <c r="D999" s="11" t="str">
        <f>_xlfn.IFNA(IF(VLOOKUP(Tabela22[[#This Row],[CÓDIGO]],Aguardando_exclusão!A$4:A$4003,1,FALSE),"sim",""),"")</f>
        <v>sim</v>
      </c>
    </row>
    <row r="1000" spans="1:4" ht="15" customHeight="1" x14ac:dyDescent="0.3">
      <c r="A1000" s="15">
        <v>119008</v>
      </c>
      <c r="B1000" s="17" t="s">
        <v>994</v>
      </c>
      <c r="C1000" s="12">
        <v>40570</v>
      </c>
      <c r="D1000" s="11" t="str">
        <f>_xlfn.IFNA(IF(VLOOKUP(Tabela22[[#This Row],[CÓDIGO]],Aguardando_exclusão!A$4:A$4003,1,FALSE),"sim",""),"")</f>
        <v/>
      </c>
    </row>
    <row r="1001" spans="1:4" ht="15" customHeight="1" x14ac:dyDescent="0.3">
      <c r="A1001" s="15">
        <v>119087</v>
      </c>
      <c r="B1001" s="17" t="s">
        <v>995</v>
      </c>
      <c r="C1001" s="12">
        <v>40575</v>
      </c>
      <c r="D1001" s="11" t="str">
        <f>_xlfn.IFNA(IF(VLOOKUP(Tabela22[[#This Row],[CÓDIGO]],Aguardando_exclusão!A$4:A$4003,1,FALSE),"sim",""),"")</f>
        <v/>
      </c>
    </row>
    <row r="1002" spans="1:4" ht="15" customHeight="1" x14ac:dyDescent="0.3">
      <c r="A1002" s="15">
        <v>119177</v>
      </c>
      <c r="B1002" s="17" t="s">
        <v>996</v>
      </c>
      <c r="C1002" s="12">
        <v>40581</v>
      </c>
      <c r="D1002" s="11" t="str">
        <f>_xlfn.IFNA(IF(VLOOKUP(Tabela22[[#This Row],[CÓDIGO]],Aguardando_exclusão!A$4:A$4003,1,FALSE),"sim",""),"")</f>
        <v/>
      </c>
    </row>
    <row r="1003" spans="1:4" ht="15" customHeight="1" x14ac:dyDescent="0.3">
      <c r="A1003" s="15">
        <v>119178</v>
      </c>
      <c r="B1003" s="17" t="s">
        <v>997</v>
      </c>
      <c r="C1003" s="12">
        <v>40581</v>
      </c>
      <c r="D1003" s="11" t="str">
        <f>_xlfn.IFNA(IF(VLOOKUP(Tabela22[[#This Row],[CÓDIGO]],Aguardando_exclusão!A$4:A$4003,1,FALSE),"sim",""),"")</f>
        <v/>
      </c>
    </row>
    <row r="1004" spans="1:4" ht="15" customHeight="1" x14ac:dyDescent="0.3">
      <c r="A1004" s="15">
        <v>119180</v>
      </c>
      <c r="B1004" s="17" t="s">
        <v>998</v>
      </c>
      <c r="C1004" s="12">
        <v>40581</v>
      </c>
      <c r="D1004" s="11" t="str">
        <f>_xlfn.IFNA(IF(VLOOKUP(Tabela22[[#This Row],[CÓDIGO]],Aguardando_exclusão!A$4:A$4003,1,FALSE),"sim",""),"")</f>
        <v/>
      </c>
    </row>
    <row r="1005" spans="1:4" ht="15" customHeight="1" x14ac:dyDescent="0.3">
      <c r="A1005" s="15">
        <v>119181</v>
      </c>
      <c r="B1005" s="17" t="s">
        <v>999</v>
      </c>
      <c r="C1005" s="12">
        <v>40581</v>
      </c>
      <c r="D1005" s="11" t="str">
        <f>_xlfn.IFNA(IF(VLOOKUP(Tabela22[[#This Row],[CÓDIGO]],Aguardando_exclusão!A$4:A$4003,1,FALSE),"sim",""),"")</f>
        <v/>
      </c>
    </row>
    <row r="1006" spans="1:4" ht="15" customHeight="1" x14ac:dyDescent="0.3">
      <c r="A1006" s="15">
        <v>119182</v>
      </c>
      <c r="B1006" s="17" t="s">
        <v>1000</v>
      </c>
      <c r="C1006" s="12">
        <v>40581</v>
      </c>
      <c r="D1006" s="11" t="str">
        <f>_xlfn.IFNA(IF(VLOOKUP(Tabela22[[#This Row],[CÓDIGO]],Aguardando_exclusão!A$4:A$4003,1,FALSE),"sim",""),"")</f>
        <v/>
      </c>
    </row>
    <row r="1007" spans="1:4" ht="15" customHeight="1" x14ac:dyDescent="0.3">
      <c r="A1007" s="15">
        <v>119183</v>
      </c>
      <c r="B1007" s="17" t="s">
        <v>1001</v>
      </c>
      <c r="C1007" s="12">
        <v>40581</v>
      </c>
      <c r="D1007" s="11" t="str">
        <f>_xlfn.IFNA(IF(VLOOKUP(Tabela22[[#This Row],[CÓDIGO]],Aguardando_exclusão!A$4:A$4003,1,FALSE),"sim",""),"")</f>
        <v>sim</v>
      </c>
    </row>
    <row r="1008" spans="1:4" ht="15" customHeight="1" x14ac:dyDescent="0.3">
      <c r="A1008" s="15">
        <v>119318</v>
      </c>
      <c r="B1008" s="17" t="s">
        <v>1002</v>
      </c>
      <c r="C1008" s="12">
        <v>40598</v>
      </c>
      <c r="D1008" s="11" t="str">
        <f>_xlfn.IFNA(IF(VLOOKUP(Tabela22[[#This Row],[CÓDIGO]],Aguardando_exclusão!A$4:A$4003,1,FALSE),"sim",""),"")</f>
        <v/>
      </c>
    </row>
    <row r="1009" spans="1:4" ht="15" customHeight="1" x14ac:dyDescent="0.3">
      <c r="A1009" s="15">
        <v>119407</v>
      </c>
      <c r="B1009" s="17" t="s">
        <v>1003</v>
      </c>
      <c r="C1009" s="12">
        <v>40606</v>
      </c>
      <c r="D1009" s="11" t="str">
        <f>_xlfn.IFNA(IF(VLOOKUP(Tabela22[[#This Row],[CÓDIGO]],Aguardando_exclusão!A$4:A$4003,1,FALSE),"sim",""),"")</f>
        <v/>
      </c>
    </row>
    <row r="1010" spans="1:4" ht="15" customHeight="1" x14ac:dyDescent="0.3">
      <c r="A1010" s="15">
        <v>119514</v>
      </c>
      <c r="B1010" s="17" t="s">
        <v>1004</v>
      </c>
      <c r="C1010" s="12">
        <v>40625</v>
      </c>
      <c r="D1010" s="11" t="str">
        <f>_xlfn.IFNA(IF(VLOOKUP(Tabela22[[#This Row],[CÓDIGO]],Aguardando_exclusão!A$4:A$4003,1,FALSE),"sim",""),"")</f>
        <v/>
      </c>
    </row>
    <row r="1011" spans="1:4" ht="15" customHeight="1" x14ac:dyDescent="0.3">
      <c r="A1011" s="15">
        <v>119554</v>
      </c>
      <c r="B1011" s="17" t="s">
        <v>1005</v>
      </c>
      <c r="C1011" s="12">
        <v>40632</v>
      </c>
      <c r="D1011" s="11" t="str">
        <f>_xlfn.IFNA(IF(VLOOKUP(Tabela22[[#This Row],[CÓDIGO]],Aguardando_exclusão!A$4:A$4003,1,FALSE),"sim",""),"")</f>
        <v/>
      </c>
    </row>
    <row r="1012" spans="1:4" ht="15" customHeight="1" x14ac:dyDescent="0.3">
      <c r="A1012" s="15">
        <v>119595</v>
      </c>
      <c r="B1012" s="17" t="s">
        <v>1006</v>
      </c>
      <c r="C1012" s="12">
        <v>40638</v>
      </c>
      <c r="D1012" s="11" t="str">
        <f>_xlfn.IFNA(IF(VLOOKUP(Tabela22[[#This Row],[CÓDIGO]],Aguardando_exclusão!A$4:A$4003,1,FALSE),"sim",""),"")</f>
        <v/>
      </c>
    </row>
    <row r="1013" spans="1:4" ht="15" customHeight="1" x14ac:dyDescent="0.3">
      <c r="A1013" s="15">
        <v>119621</v>
      </c>
      <c r="B1013" s="17" t="s">
        <v>1007</v>
      </c>
      <c r="C1013" s="12">
        <v>40641</v>
      </c>
      <c r="D1013" s="11" t="str">
        <f>_xlfn.IFNA(IF(VLOOKUP(Tabela22[[#This Row],[CÓDIGO]],Aguardando_exclusão!A$4:A$4003,1,FALSE),"sim",""),"")</f>
        <v/>
      </c>
    </row>
    <row r="1014" spans="1:4" ht="15" customHeight="1" x14ac:dyDescent="0.3">
      <c r="A1014" s="15">
        <v>119626</v>
      </c>
      <c r="B1014" s="17" t="s">
        <v>1008</v>
      </c>
      <c r="C1014" s="12">
        <v>40641</v>
      </c>
      <c r="D1014" s="11" t="str">
        <f>_xlfn.IFNA(IF(VLOOKUP(Tabela22[[#This Row],[CÓDIGO]],Aguardando_exclusão!A$4:A$4003,1,FALSE),"sim",""),"")</f>
        <v>sim</v>
      </c>
    </row>
    <row r="1015" spans="1:4" ht="15" customHeight="1" x14ac:dyDescent="0.3">
      <c r="A1015" s="15">
        <v>119627</v>
      </c>
      <c r="B1015" s="17" t="s">
        <v>1009</v>
      </c>
      <c r="C1015" s="12">
        <v>40641</v>
      </c>
      <c r="D1015" s="11" t="str">
        <f>_xlfn.IFNA(IF(VLOOKUP(Tabela22[[#This Row],[CÓDIGO]],Aguardando_exclusão!A$4:A$4003,1,FALSE),"sim",""),"")</f>
        <v/>
      </c>
    </row>
    <row r="1016" spans="1:4" ht="15" customHeight="1" x14ac:dyDescent="0.3">
      <c r="A1016" s="15">
        <v>119628</v>
      </c>
      <c r="B1016" s="17" t="s">
        <v>1010</v>
      </c>
      <c r="C1016" s="12">
        <v>40641</v>
      </c>
      <c r="D1016" s="11" t="str">
        <f>_xlfn.IFNA(IF(VLOOKUP(Tabela22[[#This Row],[CÓDIGO]],Aguardando_exclusão!A$4:A$4003,1,FALSE),"sim",""),"")</f>
        <v/>
      </c>
    </row>
    <row r="1017" spans="1:4" ht="15" customHeight="1" x14ac:dyDescent="0.3">
      <c r="A1017" s="15">
        <v>119794</v>
      </c>
      <c r="B1017" s="17" t="s">
        <v>1011</v>
      </c>
      <c r="C1017" s="12">
        <v>40660</v>
      </c>
      <c r="D1017" s="11" t="str">
        <f>_xlfn.IFNA(IF(VLOOKUP(Tabela22[[#This Row],[CÓDIGO]],Aguardando_exclusão!A$4:A$4003,1,FALSE),"sim",""),"")</f>
        <v>sim</v>
      </c>
    </row>
    <row r="1018" spans="1:4" ht="15" customHeight="1" x14ac:dyDescent="0.3">
      <c r="A1018" s="15">
        <v>119795</v>
      </c>
      <c r="B1018" s="17" t="s">
        <v>1012</v>
      </c>
      <c r="C1018" s="12">
        <v>40660</v>
      </c>
      <c r="D1018" s="11" t="str">
        <f>_xlfn.IFNA(IF(VLOOKUP(Tabela22[[#This Row],[CÓDIGO]],Aguardando_exclusão!A$4:A$4003,1,FALSE),"sim",""),"")</f>
        <v>sim</v>
      </c>
    </row>
    <row r="1019" spans="1:4" ht="15" customHeight="1" x14ac:dyDescent="0.3">
      <c r="A1019" s="15">
        <v>119796</v>
      </c>
      <c r="B1019" s="17" t="s">
        <v>1013</v>
      </c>
      <c r="C1019" s="12">
        <v>40660</v>
      </c>
      <c r="D1019" s="11" t="str">
        <f>_xlfn.IFNA(IF(VLOOKUP(Tabela22[[#This Row],[CÓDIGO]],Aguardando_exclusão!A$4:A$4003,1,FALSE),"sim",""),"")</f>
        <v>sim</v>
      </c>
    </row>
    <row r="1020" spans="1:4" ht="15" customHeight="1" x14ac:dyDescent="0.3">
      <c r="A1020" s="15">
        <v>119798</v>
      </c>
      <c r="B1020" s="17" t="s">
        <v>1014</v>
      </c>
      <c r="C1020" s="12">
        <v>40660</v>
      </c>
      <c r="D1020" s="11" t="str">
        <f>_xlfn.IFNA(IF(VLOOKUP(Tabela22[[#This Row],[CÓDIGO]],Aguardando_exclusão!A$4:A$4003,1,FALSE),"sim",""),"")</f>
        <v>sim</v>
      </c>
    </row>
    <row r="1021" spans="1:4" ht="15" customHeight="1" x14ac:dyDescent="0.3">
      <c r="A1021" s="15">
        <v>119810</v>
      </c>
      <c r="B1021" s="17" t="s">
        <v>1015</v>
      </c>
      <c r="C1021" s="12">
        <v>40661</v>
      </c>
      <c r="D1021" s="11" t="str">
        <f>_xlfn.IFNA(IF(VLOOKUP(Tabela22[[#This Row],[CÓDIGO]],Aguardando_exclusão!A$4:A$4003,1,FALSE),"sim",""),"")</f>
        <v/>
      </c>
    </row>
    <row r="1022" spans="1:4" ht="15" customHeight="1" x14ac:dyDescent="0.3">
      <c r="A1022" s="15">
        <v>119811</v>
      </c>
      <c r="B1022" s="17" t="s">
        <v>1016</v>
      </c>
      <c r="C1022" s="12">
        <v>40661</v>
      </c>
      <c r="D1022" s="11" t="str">
        <f>_xlfn.IFNA(IF(VLOOKUP(Tabela22[[#This Row],[CÓDIGO]],Aguardando_exclusão!A$4:A$4003,1,FALSE),"sim",""),"")</f>
        <v/>
      </c>
    </row>
    <row r="1023" spans="1:4" ht="15" customHeight="1" x14ac:dyDescent="0.3">
      <c r="A1023" s="15">
        <v>120071</v>
      </c>
      <c r="B1023" s="17" t="s">
        <v>1017</v>
      </c>
      <c r="C1023" s="12">
        <v>40687</v>
      </c>
      <c r="D1023" s="11" t="str">
        <f>_xlfn.IFNA(IF(VLOOKUP(Tabela22[[#This Row],[CÓDIGO]],Aguardando_exclusão!A$4:A$4003,1,FALSE),"sim",""),"")</f>
        <v/>
      </c>
    </row>
    <row r="1024" spans="1:4" ht="15" customHeight="1" x14ac:dyDescent="0.3">
      <c r="A1024" s="15">
        <v>120477</v>
      </c>
      <c r="B1024" s="17" t="s">
        <v>1018</v>
      </c>
      <c r="C1024" s="12">
        <v>40737</v>
      </c>
      <c r="D1024" s="11" t="str">
        <f>_xlfn.IFNA(IF(VLOOKUP(Tabela22[[#This Row],[CÓDIGO]],Aguardando_exclusão!A$4:A$4003,1,FALSE),"sim",""),"")</f>
        <v/>
      </c>
    </row>
    <row r="1025" spans="1:4" ht="15" customHeight="1" x14ac:dyDescent="0.3">
      <c r="A1025" s="15">
        <v>120615</v>
      </c>
      <c r="B1025" s="17" t="s">
        <v>1019</v>
      </c>
      <c r="C1025" s="12">
        <v>40756</v>
      </c>
      <c r="D1025" s="11" t="str">
        <f>_xlfn.IFNA(IF(VLOOKUP(Tabela22[[#This Row],[CÓDIGO]],Aguardando_exclusão!A$4:A$4003,1,FALSE),"sim",""),"")</f>
        <v/>
      </c>
    </row>
    <row r="1026" spans="1:4" ht="15" customHeight="1" x14ac:dyDescent="0.3">
      <c r="A1026" s="15">
        <v>120995</v>
      </c>
      <c r="B1026" s="17" t="s">
        <v>1020</v>
      </c>
      <c r="C1026" s="12">
        <v>40794</v>
      </c>
      <c r="D1026" s="11" t="str">
        <f>_xlfn.IFNA(IF(VLOOKUP(Tabela22[[#This Row],[CÓDIGO]],Aguardando_exclusão!A$4:A$4003,1,FALSE),"sim",""),"")</f>
        <v/>
      </c>
    </row>
    <row r="1027" spans="1:4" ht="15" customHeight="1" x14ac:dyDescent="0.3">
      <c r="A1027" s="15">
        <v>121054</v>
      </c>
      <c r="B1027" s="17" t="s">
        <v>1021</v>
      </c>
      <c r="C1027" s="12">
        <v>40805</v>
      </c>
      <c r="D1027" s="11" t="str">
        <f>_xlfn.IFNA(IF(VLOOKUP(Tabela22[[#This Row],[CÓDIGO]],Aguardando_exclusão!A$4:A$4003,1,FALSE),"sim",""),"")</f>
        <v/>
      </c>
    </row>
    <row r="1028" spans="1:4" ht="15" customHeight="1" x14ac:dyDescent="0.3">
      <c r="A1028" s="15">
        <v>121086</v>
      </c>
      <c r="B1028" s="17" t="s">
        <v>1022</v>
      </c>
      <c r="C1028" s="12">
        <v>40807</v>
      </c>
      <c r="D1028" s="11" t="str">
        <f>_xlfn.IFNA(IF(VLOOKUP(Tabela22[[#This Row],[CÓDIGO]],Aguardando_exclusão!A$4:A$4003,1,FALSE),"sim",""),"")</f>
        <v/>
      </c>
    </row>
    <row r="1029" spans="1:4" ht="15" customHeight="1" x14ac:dyDescent="0.3">
      <c r="A1029" s="15">
        <v>121126</v>
      </c>
      <c r="B1029" s="17" t="s">
        <v>1023</v>
      </c>
      <c r="C1029" s="12">
        <v>40814</v>
      </c>
      <c r="D1029" s="11" t="str">
        <f>_xlfn.IFNA(IF(VLOOKUP(Tabela22[[#This Row],[CÓDIGO]],Aguardando_exclusão!A$4:A$4003,1,FALSE),"sim",""),"")</f>
        <v/>
      </c>
    </row>
    <row r="1030" spans="1:4" ht="15" customHeight="1" x14ac:dyDescent="0.3">
      <c r="A1030" s="15">
        <v>121214</v>
      </c>
      <c r="B1030" s="17" t="s">
        <v>1024</v>
      </c>
      <c r="C1030" s="12">
        <v>40827</v>
      </c>
      <c r="D1030" s="11" t="str">
        <f>_xlfn.IFNA(IF(VLOOKUP(Tabela22[[#This Row],[CÓDIGO]],Aguardando_exclusão!A$4:A$4003,1,FALSE),"sim",""),"")</f>
        <v/>
      </c>
    </row>
    <row r="1031" spans="1:4" ht="15" customHeight="1" x14ac:dyDescent="0.3">
      <c r="A1031" s="15">
        <v>121292</v>
      </c>
      <c r="B1031" s="17" t="s">
        <v>1025</v>
      </c>
      <c r="C1031" s="12">
        <v>40836</v>
      </c>
      <c r="D1031" s="11" t="str">
        <f>_xlfn.IFNA(IF(VLOOKUP(Tabela22[[#This Row],[CÓDIGO]],Aguardando_exclusão!A$4:A$4003,1,FALSE),"sim",""),"")</f>
        <v/>
      </c>
    </row>
    <row r="1032" spans="1:4" ht="15" customHeight="1" x14ac:dyDescent="0.3">
      <c r="A1032" s="15">
        <v>122153</v>
      </c>
      <c r="B1032" s="17" t="s">
        <v>1026</v>
      </c>
      <c r="C1032" s="12">
        <v>40920</v>
      </c>
      <c r="D1032" s="11" t="str">
        <f>_xlfn.IFNA(IF(VLOOKUP(Tabela22[[#This Row],[CÓDIGO]],Aguardando_exclusão!A$4:A$4003,1,FALSE),"sim",""),"")</f>
        <v>sim</v>
      </c>
    </row>
    <row r="1033" spans="1:4" ht="15" customHeight="1" x14ac:dyDescent="0.3">
      <c r="A1033" s="15">
        <v>122154</v>
      </c>
      <c r="B1033" s="17" t="s">
        <v>1027</v>
      </c>
      <c r="C1033" s="12">
        <v>40920</v>
      </c>
      <c r="D1033" s="11" t="str">
        <f>_xlfn.IFNA(IF(VLOOKUP(Tabela22[[#This Row],[CÓDIGO]],Aguardando_exclusão!A$4:A$4003,1,FALSE),"sim",""),"")</f>
        <v>sim</v>
      </c>
    </row>
    <row r="1034" spans="1:4" ht="15" customHeight="1" x14ac:dyDescent="0.3">
      <c r="A1034" s="15">
        <v>122304</v>
      </c>
      <c r="B1034" s="17" t="s">
        <v>1028</v>
      </c>
      <c r="C1034" s="12">
        <v>40946</v>
      </c>
      <c r="D1034" s="11" t="str">
        <f>_xlfn.IFNA(IF(VLOOKUP(Tabela22[[#This Row],[CÓDIGO]],Aguardando_exclusão!A$4:A$4003,1,FALSE),"sim",""),"")</f>
        <v/>
      </c>
    </row>
    <row r="1035" spans="1:4" ht="15" customHeight="1" x14ac:dyDescent="0.3">
      <c r="A1035" s="15">
        <v>122305</v>
      </c>
      <c r="B1035" s="17" t="s">
        <v>1029</v>
      </c>
      <c r="C1035" s="12">
        <v>40946</v>
      </c>
      <c r="D1035" s="11" t="str">
        <f>_xlfn.IFNA(IF(VLOOKUP(Tabela22[[#This Row],[CÓDIGO]],Aguardando_exclusão!A$4:A$4003,1,FALSE),"sim",""),"")</f>
        <v/>
      </c>
    </row>
    <row r="1036" spans="1:4" ht="15" customHeight="1" x14ac:dyDescent="0.3">
      <c r="A1036" s="15">
        <v>122545</v>
      </c>
      <c r="B1036" s="17" t="s">
        <v>1030</v>
      </c>
      <c r="C1036" s="12">
        <v>40969</v>
      </c>
      <c r="D1036" s="11" t="str">
        <f>_xlfn.IFNA(IF(VLOOKUP(Tabela22[[#This Row],[CÓDIGO]],Aguardando_exclusão!A$4:A$4003,1,FALSE),"sim",""),"")</f>
        <v>sim</v>
      </c>
    </row>
    <row r="1037" spans="1:4" ht="15" customHeight="1" x14ac:dyDescent="0.3">
      <c r="A1037" s="15">
        <v>122818</v>
      </c>
      <c r="B1037" s="17" t="s">
        <v>1031</v>
      </c>
      <c r="C1037" s="12">
        <v>41003</v>
      </c>
      <c r="D1037" s="11" t="str">
        <f>_xlfn.IFNA(IF(VLOOKUP(Tabela22[[#This Row],[CÓDIGO]],Aguardando_exclusão!A$4:A$4003,1,FALSE),"sim",""),"")</f>
        <v/>
      </c>
    </row>
    <row r="1038" spans="1:4" ht="15" customHeight="1" x14ac:dyDescent="0.3">
      <c r="A1038" s="15">
        <v>123131</v>
      </c>
      <c r="B1038" s="17" t="s">
        <v>1032</v>
      </c>
      <c r="C1038" s="12">
        <v>41053</v>
      </c>
      <c r="D1038" s="11" t="str">
        <f>_xlfn.IFNA(IF(VLOOKUP(Tabela22[[#This Row],[CÓDIGO]],Aguardando_exclusão!A$4:A$4003,1,FALSE),"sim",""),"")</f>
        <v/>
      </c>
    </row>
    <row r="1039" spans="1:4" ht="15" customHeight="1" x14ac:dyDescent="0.3">
      <c r="A1039" s="15">
        <v>123132</v>
      </c>
      <c r="B1039" s="17" t="s">
        <v>1033</v>
      </c>
      <c r="C1039" s="12">
        <v>41053</v>
      </c>
      <c r="D1039" s="11" t="str">
        <f>_xlfn.IFNA(IF(VLOOKUP(Tabela22[[#This Row],[CÓDIGO]],Aguardando_exclusão!A$4:A$4003,1,FALSE),"sim",""),"")</f>
        <v/>
      </c>
    </row>
    <row r="1040" spans="1:4" ht="15" customHeight="1" x14ac:dyDescent="0.3">
      <c r="A1040" s="15">
        <v>123133</v>
      </c>
      <c r="B1040" s="17" t="s">
        <v>1034</v>
      </c>
      <c r="C1040" s="12">
        <v>41053</v>
      </c>
      <c r="D1040" s="11" t="str">
        <f>_xlfn.IFNA(IF(VLOOKUP(Tabela22[[#This Row],[CÓDIGO]],Aguardando_exclusão!A$4:A$4003,1,FALSE),"sim",""),"")</f>
        <v/>
      </c>
    </row>
    <row r="1041" spans="1:4" ht="15" customHeight="1" x14ac:dyDescent="0.3">
      <c r="A1041" s="15">
        <v>123146</v>
      </c>
      <c r="B1041" s="17" t="s">
        <v>1035</v>
      </c>
      <c r="C1041" s="12">
        <v>41057</v>
      </c>
      <c r="D1041" s="11" t="str">
        <f>_xlfn.IFNA(IF(VLOOKUP(Tabela22[[#This Row],[CÓDIGO]],Aguardando_exclusão!A$4:A$4003,1,FALSE),"sim",""),"")</f>
        <v/>
      </c>
    </row>
    <row r="1042" spans="1:4" ht="15" customHeight="1" x14ac:dyDescent="0.3">
      <c r="A1042" s="15">
        <v>123347</v>
      </c>
      <c r="B1042" s="17" t="s">
        <v>1036</v>
      </c>
      <c r="C1042" s="12">
        <v>41096</v>
      </c>
      <c r="D1042" s="11" t="str">
        <f>_xlfn.IFNA(IF(VLOOKUP(Tabela22[[#This Row],[CÓDIGO]],Aguardando_exclusão!A$4:A$4003,1,FALSE),"sim",""),"")</f>
        <v>sim</v>
      </c>
    </row>
    <row r="1043" spans="1:4" ht="15" customHeight="1" x14ac:dyDescent="0.3">
      <c r="A1043" s="15">
        <v>123348</v>
      </c>
      <c r="B1043" s="17" t="s">
        <v>1037</v>
      </c>
      <c r="C1043" s="12">
        <v>41096</v>
      </c>
      <c r="D1043" s="11" t="str">
        <f>_xlfn.IFNA(IF(VLOOKUP(Tabela22[[#This Row],[CÓDIGO]],Aguardando_exclusão!A$4:A$4003,1,FALSE),"sim",""),"")</f>
        <v>sim</v>
      </c>
    </row>
    <row r="1044" spans="1:4" ht="15" customHeight="1" x14ac:dyDescent="0.3">
      <c r="A1044" s="15">
        <v>123350</v>
      </c>
      <c r="B1044" s="17" t="s">
        <v>1038</v>
      </c>
      <c r="C1044" s="12">
        <v>41096</v>
      </c>
      <c r="D1044" s="11" t="str">
        <f>_xlfn.IFNA(IF(VLOOKUP(Tabela22[[#This Row],[CÓDIGO]],Aguardando_exclusão!A$4:A$4003,1,FALSE),"sim",""),"")</f>
        <v/>
      </c>
    </row>
    <row r="1045" spans="1:4" ht="15" customHeight="1" x14ac:dyDescent="0.3">
      <c r="A1045" s="15">
        <v>123351</v>
      </c>
      <c r="B1045" s="17" t="s">
        <v>1039</v>
      </c>
      <c r="C1045" s="12">
        <v>41096</v>
      </c>
      <c r="D1045" s="11" t="str">
        <f>_xlfn.IFNA(IF(VLOOKUP(Tabela22[[#This Row],[CÓDIGO]],Aguardando_exclusão!A$4:A$4003,1,FALSE),"sim",""),"")</f>
        <v>sim</v>
      </c>
    </row>
    <row r="1046" spans="1:4" ht="15" customHeight="1" x14ac:dyDescent="0.3">
      <c r="A1046" s="15">
        <v>123352</v>
      </c>
      <c r="B1046" s="17" t="s">
        <v>1040</v>
      </c>
      <c r="C1046" s="12">
        <v>41096</v>
      </c>
      <c r="D1046" s="11" t="str">
        <f>_xlfn.IFNA(IF(VLOOKUP(Tabela22[[#This Row],[CÓDIGO]],Aguardando_exclusão!A$4:A$4003,1,FALSE),"sim",""),"")</f>
        <v>sim</v>
      </c>
    </row>
    <row r="1047" spans="1:4" ht="15" customHeight="1" x14ac:dyDescent="0.3">
      <c r="A1047" s="15">
        <v>123353</v>
      </c>
      <c r="B1047" s="17" t="s">
        <v>1041</v>
      </c>
      <c r="C1047" s="12">
        <v>41096</v>
      </c>
      <c r="D1047" s="11" t="str">
        <f>_xlfn.IFNA(IF(VLOOKUP(Tabela22[[#This Row],[CÓDIGO]],Aguardando_exclusão!A$4:A$4003,1,FALSE),"sim",""),"")</f>
        <v>sim</v>
      </c>
    </row>
    <row r="1048" spans="1:4" ht="15" customHeight="1" x14ac:dyDescent="0.3">
      <c r="A1048" s="15">
        <v>123370</v>
      </c>
      <c r="B1048" s="17" t="s">
        <v>1042</v>
      </c>
      <c r="C1048" s="12">
        <v>41101</v>
      </c>
      <c r="D1048" s="11" t="str">
        <f>_xlfn.IFNA(IF(VLOOKUP(Tabela22[[#This Row],[CÓDIGO]],Aguardando_exclusão!A$4:A$4003,1,FALSE),"sim",""),"")</f>
        <v/>
      </c>
    </row>
    <row r="1049" spans="1:4" ht="15" customHeight="1" x14ac:dyDescent="0.3">
      <c r="A1049" s="15">
        <v>123371</v>
      </c>
      <c r="B1049" s="17" t="s">
        <v>1043</v>
      </c>
      <c r="C1049" s="12">
        <v>41101</v>
      </c>
      <c r="D1049" s="11" t="str">
        <f>_xlfn.IFNA(IF(VLOOKUP(Tabela22[[#This Row],[CÓDIGO]],Aguardando_exclusão!A$4:A$4003,1,FALSE),"sim",""),"")</f>
        <v/>
      </c>
    </row>
    <row r="1050" spans="1:4" ht="15" customHeight="1" x14ac:dyDescent="0.3">
      <c r="A1050" s="15">
        <v>123372</v>
      </c>
      <c r="B1050" s="17" t="s">
        <v>1044</v>
      </c>
      <c r="C1050" s="12">
        <v>41101</v>
      </c>
      <c r="D1050" s="11" t="str">
        <f>_xlfn.IFNA(IF(VLOOKUP(Tabela22[[#This Row],[CÓDIGO]],Aguardando_exclusão!A$4:A$4003,1,FALSE),"sim",""),"")</f>
        <v/>
      </c>
    </row>
    <row r="1051" spans="1:4" ht="15" customHeight="1" x14ac:dyDescent="0.3">
      <c r="A1051" s="15">
        <v>123373</v>
      </c>
      <c r="B1051" s="17" t="s">
        <v>1045</v>
      </c>
      <c r="C1051" s="12">
        <v>41101</v>
      </c>
      <c r="D1051" s="11" t="str">
        <f>_xlfn.IFNA(IF(VLOOKUP(Tabela22[[#This Row],[CÓDIGO]],Aguardando_exclusão!A$4:A$4003,1,FALSE),"sim",""),"")</f>
        <v/>
      </c>
    </row>
    <row r="1052" spans="1:4" ht="15" customHeight="1" x14ac:dyDescent="0.3">
      <c r="A1052" s="15">
        <v>123618</v>
      </c>
      <c r="B1052" s="17" t="s">
        <v>1046</v>
      </c>
      <c r="C1052" s="12">
        <v>41142</v>
      </c>
      <c r="D1052" s="11" t="str">
        <f>_xlfn.IFNA(IF(VLOOKUP(Tabela22[[#This Row],[CÓDIGO]],Aguardando_exclusão!A$4:A$4003,1,FALSE),"sim",""),"")</f>
        <v/>
      </c>
    </row>
    <row r="1053" spans="1:4" ht="15" customHeight="1" x14ac:dyDescent="0.3">
      <c r="A1053" s="15">
        <v>123710</v>
      </c>
      <c r="B1053" s="17" t="s">
        <v>1047</v>
      </c>
      <c r="C1053" s="12">
        <v>41143</v>
      </c>
      <c r="D1053" s="11" t="str">
        <f>_xlfn.IFNA(IF(VLOOKUP(Tabela22[[#This Row],[CÓDIGO]],Aguardando_exclusão!A$4:A$4003,1,FALSE),"sim",""),"")</f>
        <v/>
      </c>
    </row>
    <row r="1054" spans="1:4" ht="15" customHeight="1" x14ac:dyDescent="0.3">
      <c r="A1054" s="15">
        <v>124241</v>
      </c>
      <c r="B1054" s="17" t="s">
        <v>1048</v>
      </c>
      <c r="C1054" s="12">
        <v>41164</v>
      </c>
      <c r="D1054" s="11" t="str">
        <f>_xlfn.IFNA(IF(VLOOKUP(Tabela22[[#This Row],[CÓDIGO]],Aguardando_exclusão!A$4:A$4003,1,FALSE),"sim",""),"")</f>
        <v/>
      </c>
    </row>
    <row r="1055" spans="1:4" ht="15" customHeight="1" x14ac:dyDescent="0.3">
      <c r="A1055" s="15">
        <v>124261</v>
      </c>
      <c r="B1055" s="17" t="s">
        <v>1049</v>
      </c>
      <c r="C1055" s="12">
        <v>41170</v>
      </c>
      <c r="D1055" s="11" t="str">
        <f>_xlfn.IFNA(IF(VLOOKUP(Tabela22[[#This Row],[CÓDIGO]],Aguardando_exclusão!A$4:A$4003,1,FALSE),"sim",""),"")</f>
        <v/>
      </c>
    </row>
    <row r="1056" spans="1:4" ht="15" customHeight="1" x14ac:dyDescent="0.3">
      <c r="A1056" s="15">
        <v>124335</v>
      </c>
      <c r="B1056" s="17" t="s">
        <v>1050</v>
      </c>
      <c r="C1056" s="12">
        <v>41184</v>
      </c>
      <c r="D1056" s="11" t="str">
        <f>_xlfn.IFNA(IF(VLOOKUP(Tabela22[[#This Row],[CÓDIGO]],Aguardando_exclusão!A$4:A$4003,1,FALSE),"sim",""),"")</f>
        <v/>
      </c>
    </row>
    <row r="1057" spans="1:4" ht="15" customHeight="1" x14ac:dyDescent="0.3">
      <c r="A1057" s="15">
        <v>124963</v>
      </c>
      <c r="B1057" s="17" t="s">
        <v>1051</v>
      </c>
      <c r="C1057" s="12">
        <v>41309</v>
      </c>
      <c r="D1057" s="11" t="str">
        <f>_xlfn.IFNA(IF(VLOOKUP(Tabela22[[#This Row],[CÓDIGO]],Aguardando_exclusão!A$4:A$4003,1,FALSE),"sim",""),"")</f>
        <v/>
      </c>
    </row>
    <row r="1058" spans="1:4" ht="15" customHeight="1" x14ac:dyDescent="0.3">
      <c r="A1058" s="15">
        <v>124980</v>
      </c>
      <c r="B1058" s="17" t="s">
        <v>1052</v>
      </c>
      <c r="C1058" s="12">
        <v>41312</v>
      </c>
      <c r="D1058" s="11" t="str">
        <f>_xlfn.IFNA(IF(VLOOKUP(Tabela22[[#This Row],[CÓDIGO]],Aguardando_exclusão!A$4:A$4003,1,FALSE),"sim",""),"")</f>
        <v/>
      </c>
    </row>
    <row r="1059" spans="1:4" ht="15" customHeight="1" x14ac:dyDescent="0.3">
      <c r="A1059" s="15">
        <v>125173</v>
      </c>
      <c r="B1059" s="17" t="s">
        <v>1053</v>
      </c>
      <c r="C1059" s="12">
        <v>41345</v>
      </c>
      <c r="D1059" s="11" t="str">
        <f>_xlfn.IFNA(IF(VLOOKUP(Tabela22[[#This Row],[CÓDIGO]],Aguardando_exclusão!A$4:A$4003,1,FALSE),"sim",""),"")</f>
        <v/>
      </c>
    </row>
    <row r="1060" spans="1:4" ht="15" customHeight="1" x14ac:dyDescent="0.3">
      <c r="A1060" s="15">
        <v>125201</v>
      </c>
      <c r="B1060" s="17" t="s">
        <v>1054</v>
      </c>
      <c r="C1060" s="12">
        <v>41348</v>
      </c>
      <c r="D1060" s="11" t="str">
        <f>_xlfn.IFNA(IF(VLOOKUP(Tabela22[[#This Row],[CÓDIGO]],Aguardando_exclusão!A$4:A$4003,1,FALSE),"sim",""),"")</f>
        <v/>
      </c>
    </row>
    <row r="1061" spans="1:4" ht="15" customHeight="1" x14ac:dyDescent="0.3">
      <c r="A1061" s="15">
        <v>125260</v>
      </c>
      <c r="B1061" s="17" t="s">
        <v>1055</v>
      </c>
      <c r="C1061" s="12">
        <v>41366</v>
      </c>
      <c r="D1061" s="11" t="str">
        <f>_xlfn.IFNA(IF(VLOOKUP(Tabela22[[#This Row],[CÓDIGO]],Aguardando_exclusão!A$4:A$4003,1,FALSE),"sim",""),"")</f>
        <v/>
      </c>
    </row>
    <row r="1062" spans="1:4" ht="15" customHeight="1" x14ac:dyDescent="0.3">
      <c r="A1062" s="15">
        <v>125262</v>
      </c>
      <c r="B1062" s="17" t="s">
        <v>1056</v>
      </c>
      <c r="C1062" s="12">
        <v>41366</v>
      </c>
      <c r="D1062" s="11" t="str">
        <f>_xlfn.IFNA(IF(VLOOKUP(Tabela22[[#This Row],[CÓDIGO]],Aguardando_exclusão!A$4:A$4003,1,FALSE),"sim",""),"")</f>
        <v/>
      </c>
    </row>
    <row r="1063" spans="1:4" ht="15" customHeight="1" x14ac:dyDescent="0.3">
      <c r="A1063" s="15">
        <v>125269</v>
      </c>
      <c r="B1063" s="17" t="s">
        <v>1057</v>
      </c>
      <c r="C1063" s="12">
        <v>41368</v>
      </c>
      <c r="D1063" s="11" t="str">
        <f>_xlfn.IFNA(IF(VLOOKUP(Tabela22[[#This Row],[CÓDIGO]],Aguardando_exclusão!A$4:A$4003,1,FALSE),"sim",""),"")</f>
        <v/>
      </c>
    </row>
    <row r="1064" spans="1:4" ht="15" customHeight="1" x14ac:dyDescent="0.3">
      <c r="A1064" s="15">
        <v>125443</v>
      </c>
      <c r="B1064" s="17" t="s">
        <v>1058</v>
      </c>
      <c r="C1064" s="12">
        <v>41396</v>
      </c>
      <c r="D1064" s="11" t="str">
        <f>_xlfn.IFNA(IF(VLOOKUP(Tabela22[[#This Row],[CÓDIGO]],Aguardando_exclusão!A$4:A$4003,1,FALSE),"sim",""),"")</f>
        <v>sim</v>
      </c>
    </row>
    <row r="1065" spans="1:4" ht="15" customHeight="1" x14ac:dyDescent="0.3">
      <c r="A1065" s="15">
        <v>125576</v>
      </c>
      <c r="B1065" s="17" t="s">
        <v>1059</v>
      </c>
      <c r="C1065" s="12">
        <v>41422</v>
      </c>
      <c r="D1065" s="11" t="str">
        <f>_xlfn.IFNA(IF(VLOOKUP(Tabela22[[#This Row],[CÓDIGO]],Aguardando_exclusão!A$4:A$4003,1,FALSE),"sim",""),"")</f>
        <v>sim</v>
      </c>
    </row>
    <row r="1066" spans="1:4" ht="15" customHeight="1" x14ac:dyDescent="0.3">
      <c r="A1066" s="15">
        <v>125641</v>
      </c>
      <c r="B1066" s="17" t="s">
        <v>1060</v>
      </c>
      <c r="C1066" s="12">
        <v>41439</v>
      </c>
      <c r="D1066" s="11" t="str">
        <f>_xlfn.IFNA(IF(VLOOKUP(Tabela22[[#This Row],[CÓDIGO]],Aguardando_exclusão!A$4:A$4003,1,FALSE),"sim",""),"")</f>
        <v/>
      </c>
    </row>
    <row r="1067" spans="1:4" ht="15" customHeight="1" x14ac:dyDescent="0.3">
      <c r="A1067" s="15">
        <v>126044</v>
      </c>
      <c r="B1067" s="17" t="s">
        <v>1061</v>
      </c>
      <c r="C1067" s="12">
        <v>41508</v>
      </c>
      <c r="D1067" s="11" t="str">
        <f>_xlfn.IFNA(IF(VLOOKUP(Tabela22[[#This Row],[CÓDIGO]],Aguardando_exclusão!A$4:A$4003,1,FALSE),"sim",""),"")</f>
        <v/>
      </c>
    </row>
    <row r="1068" spans="1:4" ht="15" customHeight="1" x14ac:dyDescent="0.3">
      <c r="A1068" s="15">
        <v>126059</v>
      </c>
      <c r="B1068" s="17" t="s">
        <v>1062</v>
      </c>
      <c r="C1068" s="12">
        <v>41509</v>
      </c>
      <c r="D1068" s="11" t="str">
        <f>_xlfn.IFNA(IF(VLOOKUP(Tabela22[[#This Row],[CÓDIGO]],Aguardando_exclusão!A$4:A$4003,1,FALSE),"sim",""),"")</f>
        <v/>
      </c>
    </row>
    <row r="1069" spans="1:4" ht="15" customHeight="1" x14ac:dyDescent="0.3">
      <c r="A1069" s="15">
        <v>126060</v>
      </c>
      <c r="B1069" s="17" t="s">
        <v>1063</v>
      </c>
      <c r="C1069" s="12">
        <v>41509</v>
      </c>
      <c r="D1069" s="11" t="str">
        <f>_xlfn.IFNA(IF(VLOOKUP(Tabela22[[#This Row],[CÓDIGO]],Aguardando_exclusão!A$4:A$4003,1,FALSE),"sim",""),"")</f>
        <v/>
      </c>
    </row>
    <row r="1070" spans="1:4" ht="15" customHeight="1" x14ac:dyDescent="0.3">
      <c r="A1070" s="15">
        <v>126076</v>
      </c>
      <c r="B1070" s="17" t="s">
        <v>1064</v>
      </c>
      <c r="C1070" s="12">
        <v>41513</v>
      </c>
      <c r="D1070" s="11" t="str">
        <f>_xlfn.IFNA(IF(VLOOKUP(Tabela22[[#This Row],[CÓDIGO]],Aguardando_exclusão!A$4:A$4003,1,FALSE),"sim",""),"")</f>
        <v/>
      </c>
    </row>
    <row r="1071" spans="1:4" ht="15" customHeight="1" x14ac:dyDescent="0.3">
      <c r="A1071" s="15">
        <v>126078</v>
      </c>
      <c r="B1071" s="17" t="s">
        <v>1065</v>
      </c>
      <c r="C1071" s="12">
        <v>41513</v>
      </c>
      <c r="D1071" s="11" t="str">
        <f>_xlfn.IFNA(IF(VLOOKUP(Tabela22[[#This Row],[CÓDIGO]],Aguardando_exclusão!A$4:A$4003,1,FALSE),"sim",""),"")</f>
        <v>sim</v>
      </c>
    </row>
    <row r="1072" spans="1:4" ht="15" customHeight="1" x14ac:dyDescent="0.3">
      <c r="A1072" s="15">
        <v>126080</v>
      </c>
      <c r="B1072" s="17" t="s">
        <v>1066</v>
      </c>
      <c r="C1072" s="12">
        <v>41513</v>
      </c>
      <c r="D1072" s="11" t="str">
        <f>_xlfn.IFNA(IF(VLOOKUP(Tabela22[[#This Row],[CÓDIGO]],Aguardando_exclusão!A$4:A$4003,1,FALSE),"sim",""),"")</f>
        <v>sim</v>
      </c>
    </row>
    <row r="1073" spans="1:4" ht="15" customHeight="1" x14ac:dyDescent="0.3">
      <c r="A1073" s="15">
        <v>126127</v>
      </c>
      <c r="B1073" s="17" t="s">
        <v>1067</v>
      </c>
      <c r="C1073" s="12">
        <v>41516</v>
      </c>
      <c r="D1073" s="11" t="str">
        <f>_xlfn.IFNA(IF(VLOOKUP(Tabela22[[#This Row],[CÓDIGO]],Aguardando_exclusão!A$4:A$4003,1,FALSE),"sim",""),"")</f>
        <v>sim</v>
      </c>
    </row>
    <row r="1074" spans="1:4" ht="15" customHeight="1" x14ac:dyDescent="0.3">
      <c r="A1074" s="15">
        <v>126224</v>
      </c>
      <c r="B1074" s="17" t="s">
        <v>1068</v>
      </c>
      <c r="C1074" s="12">
        <v>41535</v>
      </c>
      <c r="D1074" s="11" t="str">
        <f>_xlfn.IFNA(IF(VLOOKUP(Tabela22[[#This Row],[CÓDIGO]],Aguardando_exclusão!A$4:A$4003,1,FALSE),"sim",""),"")</f>
        <v/>
      </c>
    </row>
    <row r="1075" spans="1:4" ht="15" customHeight="1" x14ac:dyDescent="0.3">
      <c r="A1075" s="15">
        <v>126344</v>
      </c>
      <c r="B1075" s="17" t="s">
        <v>1069</v>
      </c>
      <c r="C1075" s="12">
        <v>41541</v>
      </c>
      <c r="D1075" s="11" t="str">
        <f>_xlfn.IFNA(IF(VLOOKUP(Tabela22[[#This Row],[CÓDIGO]],Aguardando_exclusão!A$4:A$4003,1,FALSE),"sim",""),"")</f>
        <v>sim</v>
      </c>
    </row>
    <row r="1076" spans="1:4" ht="15" customHeight="1" x14ac:dyDescent="0.3">
      <c r="A1076" s="15">
        <v>126345</v>
      </c>
      <c r="B1076" s="17" t="s">
        <v>1070</v>
      </c>
      <c r="C1076" s="12">
        <v>41543</v>
      </c>
      <c r="D1076" s="11" t="str">
        <f>_xlfn.IFNA(IF(VLOOKUP(Tabela22[[#This Row],[CÓDIGO]],Aguardando_exclusão!A$4:A$4003,1,FALSE),"sim",""),"")</f>
        <v/>
      </c>
    </row>
    <row r="1077" spans="1:4" ht="15" customHeight="1" x14ac:dyDescent="0.3">
      <c r="A1077" s="15">
        <v>126837</v>
      </c>
      <c r="B1077" s="17" t="s">
        <v>1071</v>
      </c>
      <c r="C1077" s="12">
        <v>41596</v>
      </c>
      <c r="D1077" s="11" t="str">
        <f>_xlfn.IFNA(IF(VLOOKUP(Tabela22[[#This Row],[CÓDIGO]],Aguardando_exclusão!A$4:A$4003,1,FALSE),"sim",""),"")</f>
        <v/>
      </c>
    </row>
    <row r="1078" spans="1:4" ht="15" customHeight="1" x14ac:dyDescent="0.3">
      <c r="A1078" s="15">
        <v>126838</v>
      </c>
      <c r="B1078" s="17" t="s">
        <v>1072</v>
      </c>
      <c r="C1078" s="12">
        <v>41596</v>
      </c>
      <c r="D1078" s="11" t="str">
        <f>_xlfn.IFNA(IF(VLOOKUP(Tabela22[[#This Row],[CÓDIGO]],Aguardando_exclusão!A$4:A$4003,1,FALSE),"sim",""),"")</f>
        <v/>
      </c>
    </row>
    <row r="1079" spans="1:4" ht="15" customHeight="1" x14ac:dyDescent="0.3">
      <c r="A1079" s="15">
        <v>127106</v>
      </c>
      <c r="B1079" s="17" t="s">
        <v>1073</v>
      </c>
      <c r="C1079" s="12">
        <v>41648</v>
      </c>
      <c r="D1079" s="11" t="str">
        <f>_xlfn.IFNA(IF(VLOOKUP(Tabela22[[#This Row],[CÓDIGO]],Aguardando_exclusão!A$4:A$4003,1,FALSE),"sim",""),"")</f>
        <v/>
      </c>
    </row>
    <row r="1080" spans="1:4" ht="15" customHeight="1" x14ac:dyDescent="0.3">
      <c r="A1080" s="15">
        <v>127107</v>
      </c>
      <c r="B1080" s="17" t="s">
        <v>1074</v>
      </c>
      <c r="C1080" s="12">
        <v>41648</v>
      </c>
      <c r="D1080" s="11" t="str">
        <f>_xlfn.IFNA(IF(VLOOKUP(Tabela22[[#This Row],[CÓDIGO]],Aguardando_exclusão!A$4:A$4003,1,FALSE),"sim",""),"")</f>
        <v/>
      </c>
    </row>
    <row r="1081" spans="1:4" ht="15" customHeight="1" x14ac:dyDescent="0.3">
      <c r="A1081" s="15">
        <v>127331</v>
      </c>
      <c r="B1081" s="17" t="s">
        <v>1075</v>
      </c>
      <c r="C1081" s="12">
        <v>41682</v>
      </c>
      <c r="D1081" s="11" t="str">
        <f>_xlfn.IFNA(IF(VLOOKUP(Tabela22[[#This Row],[CÓDIGO]],Aguardando_exclusão!A$4:A$4003,1,FALSE),"sim",""),"")</f>
        <v/>
      </c>
    </row>
    <row r="1082" spans="1:4" ht="15" customHeight="1" x14ac:dyDescent="0.3">
      <c r="A1082" s="15">
        <v>127384</v>
      </c>
      <c r="B1082" s="17" t="s">
        <v>1076</v>
      </c>
      <c r="C1082" s="12">
        <v>41688</v>
      </c>
      <c r="D1082" s="11" t="str">
        <f>_xlfn.IFNA(IF(VLOOKUP(Tabela22[[#This Row],[CÓDIGO]],Aguardando_exclusão!A$4:A$4003,1,FALSE),"sim",""),"")</f>
        <v/>
      </c>
    </row>
    <row r="1083" spans="1:4" ht="15" customHeight="1" x14ac:dyDescent="0.3">
      <c r="A1083" s="15">
        <v>127664</v>
      </c>
      <c r="B1083" s="17" t="s">
        <v>1077</v>
      </c>
      <c r="C1083" s="12">
        <v>41733</v>
      </c>
      <c r="D1083" s="11" t="str">
        <f>_xlfn.IFNA(IF(VLOOKUP(Tabela22[[#This Row],[CÓDIGO]],Aguardando_exclusão!A$4:A$4003,1,FALSE),"sim",""),"")</f>
        <v/>
      </c>
    </row>
    <row r="1084" spans="1:4" ht="15" customHeight="1" x14ac:dyDescent="0.3">
      <c r="A1084" s="15">
        <v>127963</v>
      </c>
      <c r="B1084" s="17" t="s">
        <v>1078</v>
      </c>
      <c r="C1084" s="12">
        <v>41778</v>
      </c>
      <c r="D1084" s="11" t="str">
        <f>_xlfn.IFNA(IF(VLOOKUP(Tabela22[[#This Row],[CÓDIGO]],Aguardando_exclusão!A$4:A$4003,1,FALSE),"sim",""),"")</f>
        <v/>
      </c>
    </row>
    <row r="1085" spans="1:4" ht="15" customHeight="1" x14ac:dyDescent="0.3">
      <c r="A1085" s="15">
        <v>128229</v>
      </c>
      <c r="B1085" s="17" t="s">
        <v>1079</v>
      </c>
      <c r="C1085" s="12">
        <v>41814</v>
      </c>
      <c r="D1085" s="11" t="str">
        <f>_xlfn.IFNA(IF(VLOOKUP(Tabela22[[#This Row],[CÓDIGO]],Aguardando_exclusão!A$4:A$4003,1,FALSE),"sim",""),"")</f>
        <v/>
      </c>
    </row>
    <row r="1086" spans="1:4" ht="15" customHeight="1" x14ac:dyDescent="0.3">
      <c r="A1086" s="15">
        <v>128287</v>
      </c>
      <c r="B1086" s="17" t="s">
        <v>1080</v>
      </c>
      <c r="C1086" s="12">
        <v>41828</v>
      </c>
      <c r="D1086" s="11" t="str">
        <f>_xlfn.IFNA(IF(VLOOKUP(Tabela22[[#This Row],[CÓDIGO]],Aguardando_exclusão!A$4:A$4003,1,FALSE),"sim",""),"")</f>
        <v/>
      </c>
    </row>
    <row r="1087" spans="1:4" ht="15" customHeight="1" x14ac:dyDescent="0.3">
      <c r="A1087" s="15">
        <v>128288</v>
      </c>
      <c r="B1087" s="17" t="s">
        <v>1081</v>
      </c>
      <c r="C1087" s="12">
        <v>41830</v>
      </c>
      <c r="D1087" s="11" t="str">
        <f>_xlfn.IFNA(IF(VLOOKUP(Tabela22[[#This Row],[CÓDIGO]],Aguardando_exclusão!A$4:A$4003,1,FALSE),"sim",""),"")</f>
        <v/>
      </c>
    </row>
    <row r="1088" spans="1:4" ht="15" customHeight="1" x14ac:dyDescent="0.3">
      <c r="A1088" s="15">
        <v>128301</v>
      </c>
      <c r="B1088" s="17" t="s">
        <v>1082</v>
      </c>
      <c r="C1088" s="12">
        <v>41836</v>
      </c>
      <c r="D1088" s="11" t="str">
        <f>_xlfn.IFNA(IF(VLOOKUP(Tabela22[[#This Row],[CÓDIGO]],Aguardando_exclusão!A$4:A$4003,1,FALSE),"sim",""),"")</f>
        <v/>
      </c>
    </row>
    <row r="1089" spans="1:4" ht="15" customHeight="1" x14ac:dyDescent="0.3">
      <c r="A1089" s="15">
        <v>128302</v>
      </c>
      <c r="B1089" s="17" t="s">
        <v>1083</v>
      </c>
      <c r="C1089" s="12">
        <v>41836</v>
      </c>
      <c r="D1089" s="11" t="str">
        <f>_xlfn.IFNA(IF(VLOOKUP(Tabela22[[#This Row],[CÓDIGO]],Aguardando_exclusão!A$4:A$4003,1,FALSE),"sim",""),"")</f>
        <v/>
      </c>
    </row>
    <row r="1090" spans="1:4" ht="15" customHeight="1" x14ac:dyDescent="0.3">
      <c r="A1090" s="15">
        <v>128304</v>
      </c>
      <c r="B1090" s="17" t="s">
        <v>1084</v>
      </c>
      <c r="C1090" s="12">
        <v>41836</v>
      </c>
      <c r="D1090" s="11" t="str">
        <f>_xlfn.IFNA(IF(VLOOKUP(Tabela22[[#This Row],[CÓDIGO]],Aguardando_exclusão!A$4:A$4003,1,FALSE),"sim",""),"")</f>
        <v/>
      </c>
    </row>
    <row r="1091" spans="1:4" ht="15" customHeight="1" x14ac:dyDescent="0.3">
      <c r="A1091" s="15">
        <v>128305</v>
      </c>
      <c r="B1091" s="17" t="s">
        <v>1085</v>
      </c>
      <c r="C1091" s="12">
        <v>41836</v>
      </c>
      <c r="D1091" s="11" t="str">
        <f>_xlfn.IFNA(IF(VLOOKUP(Tabela22[[#This Row],[CÓDIGO]],Aguardando_exclusão!A$4:A$4003,1,FALSE),"sim",""),"")</f>
        <v/>
      </c>
    </row>
    <row r="1092" spans="1:4" ht="15" customHeight="1" x14ac:dyDescent="0.3">
      <c r="A1092" s="15">
        <v>128306</v>
      </c>
      <c r="B1092" s="17" t="s">
        <v>1086</v>
      </c>
      <c r="C1092" s="12">
        <v>41836</v>
      </c>
      <c r="D1092" s="11" t="str">
        <f>_xlfn.IFNA(IF(VLOOKUP(Tabela22[[#This Row],[CÓDIGO]],Aguardando_exclusão!A$4:A$4003,1,FALSE),"sim",""),"")</f>
        <v/>
      </c>
    </row>
    <row r="1093" spans="1:4" ht="15" customHeight="1" x14ac:dyDescent="0.3">
      <c r="A1093" s="15">
        <v>128307</v>
      </c>
      <c r="B1093" s="17" t="s">
        <v>1087</v>
      </c>
      <c r="C1093" s="12">
        <v>41836</v>
      </c>
      <c r="D1093" s="11" t="str">
        <f>_xlfn.IFNA(IF(VLOOKUP(Tabela22[[#This Row],[CÓDIGO]],Aguardando_exclusão!A$4:A$4003,1,FALSE),"sim",""),"")</f>
        <v/>
      </c>
    </row>
    <row r="1094" spans="1:4" ht="15" customHeight="1" x14ac:dyDescent="0.3">
      <c r="A1094" s="15">
        <v>128308</v>
      </c>
      <c r="B1094" s="17" t="s">
        <v>1088</v>
      </c>
      <c r="C1094" s="12">
        <v>41836</v>
      </c>
      <c r="D1094" s="11" t="str">
        <f>_xlfn.IFNA(IF(VLOOKUP(Tabela22[[#This Row],[CÓDIGO]],Aguardando_exclusão!A$4:A$4003,1,FALSE),"sim",""),"")</f>
        <v/>
      </c>
    </row>
    <row r="1095" spans="1:4" ht="15" customHeight="1" x14ac:dyDescent="0.3">
      <c r="A1095" s="15">
        <v>128309</v>
      </c>
      <c r="B1095" s="17" t="s">
        <v>1089</v>
      </c>
      <c r="C1095" s="12">
        <v>41836</v>
      </c>
      <c r="D1095" s="11" t="str">
        <f>_xlfn.IFNA(IF(VLOOKUP(Tabela22[[#This Row],[CÓDIGO]],Aguardando_exclusão!A$4:A$4003,1,FALSE),"sim",""),"")</f>
        <v/>
      </c>
    </row>
    <row r="1096" spans="1:4" ht="15" customHeight="1" x14ac:dyDescent="0.3">
      <c r="A1096" s="15">
        <v>128389</v>
      </c>
      <c r="B1096" s="17" t="s">
        <v>1090</v>
      </c>
      <c r="C1096" s="12">
        <v>41848</v>
      </c>
      <c r="D1096" s="11" t="str">
        <f>_xlfn.IFNA(IF(VLOOKUP(Tabela22[[#This Row],[CÓDIGO]],Aguardando_exclusão!A$4:A$4003,1,FALSE),"sim",""),"")</f>
        <v/>
      </c>
    </row>
    <row r="1097" spans="1:4" ht="15" customHeight="1" x14ac:dyDescent="0.3">
      <c r="A1097" s="15">
        <v>128392</v>
      </c>
      <c r="B1097" s="17" t="s">
        <v>1091</v>
      </c>
      <c r="C1097" s="12">
        <v>41851</v>
      </c>
      <c r="D1097" s="11" t="str">
        <f>_xlfn.IFNA(IF(VLOOKUP(Tabela22[[#This Row],[CÓDIGO]],Aguardando_exclusão!A$4:A$4003,1,FALSE),"sim",""),"")</f>
        <v>sim</v>
      </c>
    </row>
    <row r="1098" spans="1:4" ht="15" customHeight="1" x14ac:dyDescent="0.3">
      <c r="A1098" s="15">
        <v>128458</v>
      </c>
      <c r="B1098" s="17" t="s">
        <v>1092</v>
      </c>
      <c r="C1098" s="12">
        <v>41865</v>
      </c>
      <c r="D1098" s="11" t="str">
        <f>_xlfn.IFNA(IF(VLOOKUP(Tabela22[[#This Row],[CÓDIGO]],Aguardando_exclusão!A$4:A$4003,1,FALSE),"sim",""),"")</f>
        <v/>
      </c>
    </row>
    <row r="1099" spans="1:4" ht="15" customHeight="1" x14ac:dyDescent="0.3">
      <c r="A1099" s="15">
        <v>128782</v>
      </c>
      <c r="B1099" s="17" t="s">
        <v>1093</v>
      </c>
      <c r="C1099" s="12">
        <v>41914</v>
      </c>
      <c r="D1099" s="11" t="str">
        <f>_xlfn.IFNA(IF(VLOOKUP(Tabela22[[#This Row],[CÓDIGO]],Aguardando_exclusão!A$4:A$4003,1,FALSE),"sim",""),"")</f>
        <v/>
      </c>
    </row>
    <row r="1100" spans="1:4" ht="15" customHeight="1" x14ac:dyDescent="0.3">
      <c r="A1100" s="15">
        <v>128815</v>
      </c>
      <c r="B1100" s="17" t="s">
        <v>1094</v>
      </c>
      <c r="C1100" s="12">
        <v>41926</v>
      </c>
      <c r="D1100" s="11" t="str">
        <f>_xlfn.IFNA(IF(VLOOKUP(Tabela22[[#This Row],[CÓDIGO]],Aguardando_exclusão!A$4:A$4003,1,FALSE),"sim",""),"")</f>
        <v/>
      </c>
    </row>
    <row r="1101" spans="1:4" ht="15" customHeight="1" x14ac:dyDescent="0.3">
      <c r="A1101" s="15">
        <v>128816</v>
      </c>
      <c r="B1101" s="17" t="s">
        <v>1095</v>
      </c>
      <c r="C1101" s="12">
        <v>41926</v>
      </c>
      <c r="D1101" s="11" t="str">
        <f>_xlfn.IFNA(IF(VLOOKUP(Tabela22[[#This Row],[CÓDIGO]],Aguardando_exclusão!A$4:A$4003,1,FALSE),"sim",""),"")</f>
        <v/>
      </c>
    </row>
    <row r="1102" spans="1:4" ht="15" customHeight="1" x14ac:dyDescent="0.3">
      <c r="A1102" s="15">
        <v>128817</v>
      </c>
      <c r="B1102" s="17" t="s">
        <v>1096</v>
      </c>
      <c r="C1102" s="12">
        <v>41926</v>
      </c>
      <c r="D1102" s="11" t="str">
        <f>_xlfn.IFNA(IF(VLOOKUP(Tabela22[[#This Row],[CÓDIGO]],Aguardando_exclusão!A$4:A$4003,1,FALSE),"sim",""),"")</f>
        <v/>
      </c>
    </row>
    <row r="1103" spans="1:4" ht="15" customHeight="1" x14ac:dyDescent="0.3">
      <c r="A1103" s="15">
        <v>128818</v>
      </c>
      <c r="B1103" s="17" t="s">
        <v>1097</v>
      </c>
      <c r="C1103" s="12">
        <v>41926</v>
      </c>
      <c r="D1103" s="11" t="str">
        <f>_xlfn.IFNA(IF(VLOOKUP(Tabela22[[#This Row],[CÓDIGO]],Aguardando_exclusão!A$4:A$4003,1,FALSE),"sim",""),"")</f>
        <v/>
      </c>
    </row>
    <row r="1104" spans="1:4" ht="15" customHeight="1" x14ac:dyDescent="0.3">
      <c r="A1104" s="15">
        <v>128819</v>
      </c>
      <c r="B1104" s="17" t="s">
        <v>1098</v>
      </c>
      <c r="C1104" s="12">
        <v>41926</v>
      </c>
      <c r="D1104" s="11" t="str">
        <f>_xlfn.IFNA(IF(VLOOKUP(Tabela22[[#This Row],[CÓDIGO]],Aguardando_exclusão!A$4:A$4003,1,FALSE),"sim",""),"")</f>
        <v/>
      </c>
    </row>
    <row r="1105" spans="1:4" ht="15" customHeight="1" x14ac:dyDescent="0.3">
      <c r="A1105" s="15">
        <v>128832</v>
      </c>
      <c r="B1105" s="17" t="s">
        <v>1099</v>
      </c>
      <c r="C1105" s="12">
        <v>41932</v>
      </c>
      <c r="D1105" s="11" t="str">
        <f>_xlfn.IFNA(IF(VLOOKUP(Tabela22[[#This Row],[CÓDIGO]],Aguardando_exclusão!A$4:A$4003,1,FALSE),"sim",""),"")</f>
        <v>sim</v>
      </c>
    </row>
    <row r="1106" spans="1:4" ht="15" customHeight="1" x14ac:dyDescent="0.3">
      <c r="A1106" s="15">
        <v>129959</v>
      </c>
      <c r="B1106" s="17" t="s">
        <v>1100</v>
      </c>
      <c r="C1106" s="12">
        <v>42046</v>
      </c>
      <c r="D1106" s="11" t="str">
        <f>_xlfn.IFNA(IF(VLOOKUP(Tabela22[[#This Row],[CÓDIGO]],Aguardando_exclusão!A$4:A$4003,1,FALSE),"sim",""),"")</f>
        <v/>
      </c>
    </row>
    <row r="1107" spans="1:4" ht="15" customHeight="1" x14ac:dyDescent="0.3">
      <c r="A1107" s="15">
        <v>129960</v>
      </c>
      <c r="B1107" s="17" t="s">
        <v>1101</v>
      </c>
      <c r="C1107" s="12">
        <v>42046</v>
      </c>
      <c r="D1107" s="11" t="str">
        <f>_xlfn.IFNA(IF(VLOOKUP(Tabela22[[#This Row],[CÓDIGO]],Aguardando_exclusão!A$4:A$4003,1,FALSE),"sim",""),"")</f>
        <v/>
      </c>
    </row>
    <row r="1108" spans="1:4" ht="15" customHeight="1" x14ac:dyDescent="0.3">
      <c r="A1108" s="15">
        <v>129961</v>
      </c>
      <c r="B1108" s="17" t="s">
        <v>1102</v>
      </c>
      <c r="C1108" s="12">
        <v>42046</v>
      </c>
      <c r="D1108" s="11" t="str">
        <f>_xlfn.IFNA(IF(VLOOKUP(Tabela22[[#This Row],[CÓDIGO]],Aguardando_exclusão!A$4:A$4003,1,FALSE),"sim",""),"")</f>
        <v/>
      </c>
    </row>
    <row r="1109" spans="1:4" ht="15" customHeight="1" x14ac:dyDescent="0.3">
      <c r="A1109" s="15">
        <v>129962</v>
      </c>
      <c r="B1109" s="17" t="s">
        <v>1103</v>
      </c>
      <c r="C1109" s="12">
        <v>42046</v>
      </c>
      <c r="D1109" s="11" t="str">
        <f>_xlfn.IFNA(IF(VLOOKUP(Tabela22[[#This Row],[CÓDIGO]],Aguardando_exclusão!A$4:A$4003,1,FALSE),"sim",""),"")</f>
        <v/>
      </c>
    </row>
    <row r="1110" spans="1:4" ht="15" customHeight="1" x14ac:dyDescent="0.3">
      <c r="A1110" s="15">
        <v>129977</v>
      </c>
      <c r="B1110" s="17" t="s">
        <v>1104</v>
      </c>
      <c r="C1110" s="12">
        <v>42048</v>
      </c>
      <c r="D1110" s="11" t="str">
        <f>_xlfn.IFNA(IF(VLOOKUP(Tabela22[[#This Row],[CÓDIGO]],Aguardando_exclusão!A$4:A$4003,1,FALSE),"sim",""),"")</f>
        <v/>
      </c>
    </row>
    <row r="1111" spans="1:4" ht="15" customHeight="1" x14ac:dyDescent="0.3">
      <c r="A1111" s="15">
        <v>129979</v>
      </c>
      <c r="B1111" s="17" t="s">
        <v>1105</v>
      </c>
      <c r="C1111" s="12">
        <v>42048</v>
      </c>
      <c r="D1111" s="11" t="str">
        <f>_xlfn.IFNA(IF(VLOOKUP(Tabela22[[#This Row],[CÓDIGO]],Aguardando_exclusão!A$4:A$4003,1,FALSE),"sim",""),"")</f>
        <v/>
      </c>
    </row>
    <row r="1112" spans="1:4" ht="15" customHeight="1" x14ac:dyDescent="0.3">
      <c r="A1112" s="15">
        <v>129991</v>
      </c>
      <c r="B1112" s="17" t="s">
        <v>1106</v>
      </c>
      <c r="C1112" s="12">
        <v>42055</v>
      </c>
      <c r="D1112" s="11" t="str">
        <f>_xlfn.IFNA(IF(VLOOKUP(Tabela22[[#This Row],[CÓDIGO]],Aguardando_exclusão!A$4:A$4003,1,FALSE),"sim",""),"")</f>
        <v/>
      </c>
    </row>
    <row r="1113" spans="1:4" ht="15" customHeight="1" x14ac:dyDescent="0.3">
      <c r="A1113" s="15">
        <v>130024</v>
      </c>
      <c r="B1113" s="17" t="s">
        <v>1107</v>
      </c>
      <c r="C1113" s="12">
        <v>42065</v>
      </c>
      <c r="D1113" s="11" t="str">
        <f>_xlfn.IFNA(IF(VLOOKUP(Tabela22[[#This Row],[CÓDIGO]],Aguardando_exclusão!A$4:A$4003,1,FALSE),"sim",""),"")</f>
        <v/>
      </c>
    </row>
    <row r="1114" spans="1:4" ht="15" customHeight="1" x14ac:dyDescent="0.3">
      <c r="A1114" s="15">
        <v>130157</v>
      </c>
      <c r="B1114" s="17" t="s">
        <v>1108</v>
      </c>
      <c r="C1114" s="12">
        <v>42090</v>
      </c>
      <c r="D1114" s="11" t="str">
        <f>_xlfn.IFNA(IF(VLOOKUP(Tabela22[[#This Row],[CÓDIGO]],Aguardando_exclusão!A$4:A$4003,1,FALSE),"sim",""),"")</f>
        <v/>
      </c>
    </row>
    <row r="1115" spans="1:4" ht="15" customHeight="1" x14ac:dyDescent="0.3">
      <c r="A1115" s="15">
        <v>130564</v>
      </c>
      <c r="B1115" s="17" t="s">
        <v>1109</v>
      </c>
      <c r="C1115" s="12">
        <v>42187</v>
      </c>
      <c r="D1115" s="11" t="str">
        <f>_xlfn.IFNA(IF(VLOOKUP(Tabela22[[#This Row],[CÓDIGO]],Aguardando_exclusão!A$4:A$4003,1,FALSE),"sim",""),"")</f>
        <v/>
      </c>
    </row>
    <row r="1116" spans="1:4" ht="15" customHeight="1" x14ac:dyDescent="0.3">
      <c r="A1116" s="15">
        <v>130614</v>
      </c>
      <c r="B1116" s="17" t="s">
        <v>1110</v>
      </c>
      <c r="C1116" s="12">
        <v>42201</v>
      </c>
      <c r="D1116" s="11" t="str">
        <f>_xlfn.IFNA(IF(VLOOKUP(Tabela22[[#This Row],[CÓDIGO]],Aguardando_exclusão!A$4:A$4003,1,FALSE),"sim",""),"")</f>
        <v/>
      </c>
    </row>
    <row r="1117" spans="1:4" ht="15" customHeight="1" x14ac:dyDescent="0.3">
      <c r="A1117" s="15">
        <v>130618</v>
      </c>
      <c r="B1117" s="17" t="s">
        <v>1111</v>
      </c>
      <c r="C1117" s="12">
        <v>42201</v>
      </c>
      <c r="D1117" s="11" t="str">
        <f>_xlfn.IFNA(IF(VLOOKUP(Tabela22[[#This Row],[CÓDIGO]],Aguardando_exclusão!A$4:A$4003,1,FALSE),"sim",""),"")</f>
        <v/>
      </c>
    </row>
    <row r="1118" spans="1:4" ht="15" customHeight="1" x14ac:dyDescent="0.3">
      <c r="A1118" s="15">
        <v>130624</v>
      </c>
      <c r="B1118" s="17" t="s">
        <v>1112</v>
      </c>
      <c r="C1118" s="12">
        <v>42205</v>
      </c>
      <c r="D1118" s="11" t="str">
        <f>_xlfn.IFNA(IF(VLOOKUP(Tabela22[[#This Row],[CÓDIGO]],Aguardando_exclusão!A$4:A$4003,1,FALSE),"sim",""),"")</f>
        <v/>
      </c>
    </row>
    <row r="1119" spans="1:4" ht="15" customHeight="1" x14ac:dyDescent="0.3">
      <c r="A1119" s="15">
        <v>130632</v>
      </c>
      <c r="B1119" s="17" t="s">
        <v>1113</v>
      </c>
      <c r="C1119" s="12">
        <v>42207</v>
      </c>
      <c r="D1119" s="11" t="str">
        <f>_xlfn.IFNA(IF(VLOOKUP(Tabela22[[#This Row],[CÓDIGO]],Aguardando_exclusão!A$4:A$4003,1,FALSE),"sim",""),"")</f>
        <v/>
      </c>
    </row>
    <row r="1120" spans="1:4" ht="15" customHeight="1" x14ac:dyDescent="0.3">
      <c r="A1120" s="15">
        <v>130634</v>
      </c>
      <c r="B1120" s="17" t="s">
        <v>1114</v>
      </c>
      <c r="C1120" s="12">
        <v>42208</v>
      </c>
      <c r="D1120" s="11" t="str">
        <f>_xlfn.IFNA(IF(VLOOKUP(Tabela22[[#This Row],[CÓDIGO]],Aguardando_exclusão!A$4:A$4003,1,FALSE),"sim",""),"")</f>
        <v/>
      </c>
    </row>
    <row r="1121" spans="1:4" ht="15" customHeight="1" x14ac:dyDescent="0.3">
      <c r="A1121" s="15">
        <v>130695</v>
      </c>
      <c r="B1121" s="17" t="s">
        <v>1115</v>
      </c>
      <c r="C1121" s="12">
        <v>42230</v>
      </c>
      <c r="D1121" s="11" t="str">
        <f>_xlfn.IFNA(IF(VLOOKUP(Tabela22[[#This Row],[CÓDIGO]],Aguardando_exclusão!A$4:A$4003,1,FALSE),"sim",""),"")</f>
        <v/>
      </c>
    </row>
    <row r="1122" spans="1:4" ht="15" customHeight="1" x14ac:dyDescent="0.3">
      <c r="A1122" s="15">
        <v>130740</v>
      </c>
      <c r="B1122" s="17" t="s">
        <v>1116</v>
      </c>
      <c r="C1122" s="12">
        <v>42241</v>
      </c>
      <c r="D1122" s="11" t="str">
        <f>_xlfn.IFNA(IF(VLOOKUP(Tabela22[[#This Row],[CÓDIGO]],Aguardando_exclusão!A$4:A$4003,1,FALSE),"sim",""),"")</f>
        <v/>
      </c>
    </row>
    <row r="1123" spans="1:4" ht="15" customHeight="1" x14ac:dyDescent="0.3">
      <c r="A1123" s="15">
        <v>131138</v>
      </c>
      <c r="B1123" s="17" t="s">
        <v>1117</v>
      </c>
      <c r="C1123" s="12">
        <v>42342</v>
      </c>
      <c r="D1123" s="11" t="str">
        <f>_xlfn.IFNA(IF(VLOOKUP(Tabela22[[#This Row],[CÓDIGO]],Aguardando_exclusão!A$4:A$4003,1,FALSE),"sim",""),"")</f>
        <v/>
      </c>
    </row>
    <row r="1124" spans="1:4" ht="15" customHeight="1" x14ac:dyDescent="0.3">
      <c r="A1124" s="15">
        <v>131195</v>
      </c>
      <c r="B1124" s="17" t="s">
        <v>1118</v>
      </c>
      <c r="C1124" s="12">
        <v>42695</v>
      </c>
      <c r="D1124" s="11" t="str">
        <f>_xlfn.IFNA(IF(VLOOKUP(Tabela22[[#This Row],[CÓDIGO]],Aguardando_exclusão!A$4:A$4003,1,FALSE),"sim",""),"")</f>
        <v>sim</v>
      </c>
    </row>
    <row r="1125" spans="1:4" ht="15" customHeight="1" x14ac:dyDescent="0.3">
      <c r="A1125" s="15">
        <v>131221</v>
      </c>
      <c r="B1125" s="17" t="s">
        <v>1119</v>
      </c>
      <c r="C1125" s="12">
        <v>42395</v>
      </c>
      <c r="D1125" s="11" t="str">
        <f>_xlfn.IFNA(IF(VLOOKUP(Tabela22[[#This Row],[CÓDIGO]],Aguardando_exclusão!A$4:A$4003,1,FALSE),"sim",""),"")</f>
        <v/>
      </c>
    </row>
    <row r="1126" spans="1:4" ht="15" customHeight="1" x14ac:dyDescent="0.3">
      <c r="A1126" s="15">
        <v>131344</v>
      </c>
      <c r="B1126" s="17" t="s">
        <v>1120</v>
      </c>
      <c r="C1126" s="12">
        <v>42442</v>
      </c>
      <c r="D1126" s="11" t="str">
        <f>_xlfn.IFNA(IF(VLOOKUP(Tabela22[[#This Row],[CÓDIGO]],Aguardando_exclusão!A$4:A$4003,1,FALSE),"sim",""),"")</f>
        <v/>
      </c>
    </row>
    <row r="1127" spans="1:4" ht="15" customHeight="1" x14ac:dyDescent="0.3">
      <c r="A1127" s="15">
        <v>131482</v>
      </c>
      <c r="B1127" s="17" t="s">
        <v>1121</v>
      </c>
      <c r="C1127" s="12">
        <v>42464</v>
      </c>
      <c r="D1127" s="11" t="str">
        <f>_xlfn.IFNA(IF(VLOOKUP(Tabela22[[#This Row],[CÓDIGO]],Aguardando_exclusão!A$4:A$4003,1,FALSE),"sim",""),"")</f>
        <v/>
      </c>
    </row>
    <row r="1128" spans="1:4" ht="15" customHeight="1" x14ac:dyDescent="0.3">
      <c r="A1128" s="15">
        <v>131579</v>
      </c>
      <c r="B1128" s="17" t="s">
        <v>1122</v>
      </c>
      <c r="C1128" s="12">
        <v>42488</v>
      </c>
      <c r="D1128" s="11" t="str">
        <f>_xlfn.IFNA(IF(VLOOKUP(Tabela22[[#This Row],[CÓDIGO]],Aguardando_exclusão!A$4:A$4003,1,FALSE),"sim",""),"")</f>
        <v/>
      </c>
    </row>
    <row r="1129" spans="1:4" ht="15" customHeight="1" x14ac:dyDescent="0.3">
      <c r="A1129" s="15">
        <v>131917</v>
      </c>
      <c r="B1129" s="17" t="s">
        <v>1123</v>
      </c>
      <c r="C1129" s="12">
        <v>42590</v>
      </c>
      <c r="D1129" s="11" t="str">
        <f>_xlfn.IFNA(IF(VLOOKUP(Tabela22[[#This Row],[CÓDIGO]],Aguardando_exclusão!A$4:A$4003,1,FALSE),"sim",""),"")</f>
        <v/>
      </c>
    </row>
    <row r="1130" spans="1:4" ht="15" customHeight="1" x14ac:dyDescent="0.3">
      <c r="A1130" s="15">
        <v>131926</v>
      </c>
      <c r="B1130" s="17" t="s">
        <v>1124</v>
      </c>
      <c r="C1130" s="12">
        <v>42590</v>
      </c>
      <c r="D1130" s="11" t="str">
        <f>_xlfn.IFNA(IF(VLOOKUP(Tabela22[[#This Row],[CÓDIGO]],Aguardando_exclusão!A$4:A$4003,1,FALSE),"sim",""),"")</f>
        <v/>
      </c>
    </row>
    <row r="1131" spans="1:4" ht="15" customHeight="1" x14ac:dyDescent="0.3">
      <c r="A1131" s="15">
        <v>131927</v>
      </c>
      <c r="B1131" s="17" t="s">
        <v>1125</v>
      </c>
      <c r="C1131" s="12">
        <v>42590</v>
      </c>
      <c r="D1131" s="11" t="str">
        <f>_xlfn.IFNA(IF(VLOOKUP(Tabela22[[#This Row],[CÓDIGO]],Aguardando_exclusão!A$4:A$4003,1,FALSE),"sim",""),"")</f>
        <v/>
      </c>
    </row>
    <row r="1132" spans="1:4" ht="15" customHeight="1" x14ac:dyDescent="0.3">
      <c r="A1132" s="15">
        <v>131930</v>
      </c>
      <c r="B1132" s="17" t="s">
        <v>1126</v>
      </c>
      <c r="C1132" s="12">
        <v>42590</v>
      </c>
      <c r="D1132" s="11" t="str">
        <f>_xlfn.IFNA(IF(VLOOKUP(Tabela22[[#This Row],[CÓDIGO]],Aguardando_exclusão!A$4:A$4003,1,FALSE),"sim",""),"")</f>
        <v/>
      </c>
    </row>
    <row r="1133" spans="1:4" ht="15" customHeight="1" x14ac:dyDescent="0.3">
      <c r="A1133" s="15">
        <v>131931</v>
      </c>
      <c r="B1133" s="17" t="s">
        <v>1127</v>
      </c>
      <c r="C1133" s="12">
        <v>42590</v>
      </c>
      <c r="D1133" s="11" t="str">
        <f>_xlfn.IFNA(IF(VLOOKUP(Tabela22[[#This Row],[CÓDIGO]],Aguardando_exclusão!A$4:A$4003,1,FALSE),"sim",""),"")</f>
        <v/>
      </c>
    </row>
    <row r="1134" spans="1:4" ht="15" customHeight="1" x14ac:dyDescent="0.3">
      <c r="A1134" s="15">
        <v>131933</v>
      </c>
      <c r="B1134" s="17" t="s">
        <v>1128</v>
      </c>
      <c r="C1134" s="12">
        <v>42590</v>
      </c>
      <c r="D1134" s="11" t="str">
        <f>_xlfn.IFNA(IF(VLOOKUP(Tabela22[[#This Row],[CÓDIGO]],Aguardando_exclusão!A$4:A$4003,1,FALSE),"sim",""),"")</f>
        <v/>
      </c>
    </row>
    <row r="1135" spans="1:4" ht="15" customHeight="1" x14ac:dyDescent="0.3">
      <c r="A1135" s="15">
        <v>131935</v>
      </c>
      <c r="B1135" s="17" t="s">
        <v>1129</v>
      </c>
      <c r="C1135" s="12">
        <v>42590</v>
      </c>
      <c r="D1135" s="11" t="str">
        <f>_xlfn.IFNA(IF(VLOOKUP(Tabela22[[#This Row],[CÓDIGO]],Aguardando_exclusão!A$4:A$4003,1,FALSE),"sim",""),"")</f>
        <v/>
      </c>
    </row>
    <row r="1136" spans="1:4" ht="15" customHeight="1" x14ac:dyDescent="0.3">
      <c r="A1136" s="15">
        <v>131937</v>
      </c>
      <c r="B1136" s="17" t="s">
        <v>1130</v>
      </c>
      <c r="C1136" s="12">
        <v>42590</v>
      </c>
      <c r="D1136" s="11" t="str">
        <f>_xlfn.IFNA(IF(VLOOKUP(Tabela22[[#This Row],[CÓDIGO]],Aguardando_exclusão!A$4:A$4003,1,FALSE),"sim",""),"")</f>
        <v/>
      </c>
    </row>
    <row r="1137" spans="1:4" ht="15" customHeight="1" x14ac:dyDescent="0.3">
      <c r="A1137" s="15">
        <v>131938</v>
      </c>
      <c r="B1137" s="17" t="s">
        <v>1131</v>
      </c>
      <c r="C1137" s="12">
        <v>42590</v>
      </c>
      <c r="D1137" s="11" t="str">
        <f>_xlfn.IFNA(IF(VLOOKUP(Tabela22[[#This Row],[CÓDIGO]],Aguardando_exclusão!A$4:A$4003,1,FALSE),"sim",""),"")</f>
        <v/>
      </c>
    </row>
    <row r="1138" spans="1:4" ht="15" customHeight="1" x14ac:dyDescent="0.3">
      <c r="A1138" s="15">
        <v>131939</v>
      </c>
      <c r="B1138" s="17" t="s">
        <v>1132</v>
      </c>
      <c r="C1138" s="12">
        <v>42590</v>
      </c>
      <c r="D1138" s="11" t="str">
        <f>_xlfn.IFNA(IF(VLOOKUP(Tabela22[[#This Row],[CÓDIGO]],Aguardando_exclusão!A$4:A$4003,1,FALSE),"sim",""),"")</f>
        <v/>
      </c>
    </row>
    <row r="1139" spans="1:4" ht="15" customHeight="1" x14ac:dyDescent="0.3">
      <c r="A1139" s="15">
        <v>131940</v>
      </c>
      <c r="B1139" s="17" t="s">
        <v>1133</v>
      </c>
      <c r="C1139" s="12">
        <v>42590</v>
      </c>
      <c r="D1139" s="11" t="str">
        <f>_xlfn.IFNA(IF(VLOOKUP(Tabela22[[#This Row],[CÓDIGO]],Aguardando_exclusão!A$4:A$4003,1,FALSE),"sim",""),"")</f>
        <v/>
      </c>
    </row>
    <row r="1140" spans="1:4" ht="15" customHeight="1" x14ac:dyDescent="0.3">
      <c r="A1140" s="15">
        <v>131942</v>
      </c>
      <c r="B1140" s="17" t="s">
        <v>1134</v>
      </c>
      <c r="C1140" s="12">
        <v>42590</v>
      </c>
      <c r="D1140" s="11" t="str">
        <f>_xlfn.IFNA(IF(VLOOKUP(Tabela22[[#This Row],[CÓDIGO]],Aguardando_exclusão!A$4:A$4003,1,FALSE),"sim",""),"")</f>
        <v/>
      </c>
    </row>
    <row r="1141" spans="1:4" ht="15" customHeight="1" x14ac:dyDescent="0.3">
      <c r="A1141" s="15">
        <v>132229</v>
      </c>
      <c r="B1141" s="17" t="s">
        <v>1135</v>
      </c>
      <c r="C1141" s="12">
        <v>42656</v>
      </c>
      <c r="D1141" s="11" t="str">
        <f>_xlfn.IFNA(IF(VLOOKUP(Tabela22[[#This Row],[CÓDIGO]],Aguardando_exclusão!A$4:A$4003,1,FALSE),"sim",""),"")</f>
        <v/>
      </c>
    </row>
    <row r="1142" spans="1:4" ht="15" customHeight="1" x14ac:dyDescent="0.3">
      <c r="A1142" s="15">
        <v>132230</v>
      </c>
      <c r="B1142" s="17" t="s">
        <v>1136</v>
      </c>
      <c r="C1142" s="12">
        <v>42656</v>
      </c>
      <c r="D1142" s="11" t="str">
        <f>_xlfn.IFNA(IF(VLOOKUP(Tabela22[[#This Row],[CÓDIGO]],Aguardando_exclusão!A$4:A$4003,1,FALSE),"sim",""),"")</f>
        <v/>
      </c>
    </row>
    <row r="1143" spans="1:4" ht="15" customHeight="1" x14ac:dyDescent="0.3">
      <c r="A1143" s="15">
        <v>132231</v>
      </c>
      <c r="B1143" s="17" t="s">
        <v>1137</v>
      </c>
      <c r="C1143" s="12">
        <v>42656</v>
      </c>
      <c r="D1143" s="11" t="str">
        <f>_xlfn.IFNA(IF(VLOOKUP(Tabela22[[#This Row],[CÓDIGO]],Aguardando_exclusão!A$4:A$4003,1,FALSE),"sim",""),"")</f>
        <v/>
      </c>
    </row>
    <row r="1144" spans="1:4" ht="15" customHeight="1" x14ac:dyDescent="0.3">
      <c r="A1144" s="15">
        <v>132232</v>
      </c>
      <c r="B1144" s="17" t="s">
        <v>1138</v>
      </c>
      <c r="C1144" s="12">
        <v>42656</v>
      </c>
      <c r="D1144" s="11" t="str">
        <f>_xlfn.IFNA(IF(VLOOKUP(Tabela22[[#This Row],[CÓDIGO]],Aguardando_exclusão!A$4:A$4003,1,FALSE),"sim",""),"")</f>
        <v/>
      </c>
    </row>
    <row r="1145" spans="1:4" ht="15" customHeight="1" x14ac:dyDescent="0.3">
      <c r="A1145" s="15">
        <v>132290</v>
      </c>
      <c r="B1145" s="17" t="s">
        <v>1139</v>
      </c>
      <c r="C1145" s="12">
        <v>42685</v>
      </c>
      <c r="D1145" s="11" t="str">
        <f>_xlfn.IFNA(IF(VLOOKUP(Tabela22[[#This Row],[CÓDIGO]],Aguardando_exclusão!A$4:A$4003,1,FALSE),"sim",""),"")</f>
        <v/>
      </c>
    </row>
    <row r="1146" spans="1:4" ht="15" customHeight="1" x14ac:dyDescent="0.3">
      <c r="A1146" s="15">
        <v>132296</v>
      </c>
      <c r="B1146" s="17" t="s">
        <v>1140</v>
      </c>
      <c r="C1146" s="12">
        <v>42685</v>
      </c>
      <c r="D1146" s="11" t="str">
        <f>_xlfn.IFNA(IF(VLOOKUP(Tabela22[[#This Row],[CÓDIGO]],Aguardando_exclusão!A$4:A$4003,1,FALSE),"sim",""),"")</f>
        <v/>
      </c>
    </row>
    <row r="1147" spans="1:4" ht="15" customHeight="1" x14ac:dyDescent="0.3">
      <c r="A1147" s="15">
        <v>132297</v>
      </c>
      <c r="B1147" s="17" t="s">
        <v>1141</v>
      </c>
      <c r="C1147" s="12">
        <v>42685</v>
      </c>
      <c r="D1147" s="11" t="str">
        <f>_xlfn.IFNA(IF(VLOOKUP(Tabela22[[#This Row],[CÓDIGO]],Aguardando_exclusão!A$4:A$4003,1,FALSE),"sim",""),"")</f>
        <v/>
      </c>
    </row>
    <row r="1148" spans="1:4" ht="15" customHeight="1" x14ac:dyDescent="0.3">
      <c r="A1148" s="15">
        <v>132300</v>
      </c>
      <c r="B1148" s="17" t="s">
        <v>1142</v>
      </c>
      <c r="C1148" s="12">
        <v>42685</v>
      </c>
      <c r="D1148" s="11" t="str">
        <f>_xlfn.IFNA(IF(VLOOKUP(Tabela22[[#This Row],[CÓDIGO]],Aguardando_exclusão!A$4:A$4003,1,FALSE),"sim",""),"")</f>
        <v/>
      </c>
    </row>
    <row r="1149" spans="1:4" ht="15" customHeight="1" x14ac:dyDescent="0.3">
      <c r="A1149" s="15">
        <v>132303</v>
      </c>
      <c r="B1149" s="17" t="s">
        <v>1143</v>
      </c>
      <c r="C1149" s="12">
        <v>42685</v>
      </c>
      <c r="D1149" s="11" t="str">
        <f>_xlfn.IFNA(IF(VLOOKUP(Tabela22[[#This Row],[CÓDIGO]],Aguardando_exclusão!A$4:A$4003,1,FALSE),"sim",""),"")</f>
        <v/>
      </c>
    </row>
    <row r="1150" spans="1:4" ht="15" customHeight="1" x14ac:dyDescent="0.3">
      <c r="A1150" s="15">
        <v>132305</v>
      </c>
      <c r="B1150" s="17" t="s">
        <v>1144</v>
      </c>
      <c r="C1150" s="12">
        <v>42685</v>
      </c>
      <c r="D1150" s="11" t="str">
        <f>_xlfn.IFNA(IF(VLOOKUP(Tabela22[[#This Row],[CÓDIGO]],Aguardando_exclusão!A$4:A$4003,1,FALSE),"sim",""),"")</f>
        <v/>
      </c>
    </row>
    <row r="1151" spans="1:4" ht="15" customHeight="1" x14ac:dyDescent="0.3">
      <c r="A1151" s="15">
        <v>132394</v>
      </c>
      <c r="B1151" s="17" t="s">
        <v>1145</v>
      </c>
      <c r="C1151" s="12">
        <v>42765</v>
      </c>
      <c r="D1151" s="11" t="str">
        <f>_xlfn.IFNA(IF(VLOOKUP(Tabela22[[#This Row],[CÓDIGO]],Aguardando_exclusão!A$4:A$4003,1,FALSE),"sim",""),"")</f>
        <v/>
      </c>
    </row>
    <row r="1152" spans="1:4" ht="15" customHeight="1" x14ac:dyDescent="0.3">
      <c r="A1152" s="15">
        <v>132395</v>
      </c>
      <c r="B1152" s="17" t="s">
        <v>1146</v>
      </c>
      <c r="C1152" s="12">
        <v>42765</v>
      </c>
      <c r="D1152" s="11" t="str">
        <f>_xlfn.IFNA(IF(VLOOKUP(Tabela22[[#This Row],[CÓDIGO]],Aguardando_exclusão!A$4:A$4003,1,FALSE),"sim",""),"")</f>
        <v/>
      </c>
    </row>
    <row r="1153" spans="1:4" ht="15" customHeight="1" x14ac:dyDescent="0.3">
      <c r="A1153" s="15">
        <v>132400</v>
      </c>
      <c r="B1153" s="17" t="s">
        <v>1147</v>
      </c>
      <c r="C1153" s="12">
        <v>42765</v>
      </c>
      <c r="D1153" s="11" t="str">
        <f>_xlfn.IFNA(IF(VLOOKUP(Tabela22[[#This Row],[CÓDIGO]],Aguardando_exclusão!A$4:A$4003,1,FALSE),"sim",""),"")</f>
        <v/>
      </c>
    </row>
    <row r="1154" spans="1:4" ht="15" customHeight="1" x14ac:dyDescent="0.3">
      <c r="A1154" s="15">
        <v>132405</v>
      </c>
      <c r="B1154" s="17" t="s">
        <v>1148</v>
      </c>
      <c r="C1154" s="12">
        <v>42773</v>
      </c>
      <c r="D1154" s="11" t="str">
        <f>_xlfn.IFNA(IF(VLOOKUP(Tabela22[[#This Row],[CÓDIGO]],Aguardando_exclusão!A$4:A$4003,1,FALSE),"sim",""),"")</f>
        <v/>
      </c>
    </row>
    <row r="1155" spans="1:4" ht="15" customHeight="1" x14ac:dyDescent="0.3">
      <c r="A1155" s="15">
        <v>132407</v>
      </c>
      <c r="B1155" s="17" t="s">
        <v>1149</v>
      </c>
      <c r="C1155" s="12">
        <v>42773</v>
      </c>
      <c r="D1155" s="11" t="str">
        <f>_xlfn.IFNA(IF(VLOOKUP(Tabela22[[#This Row],[CÓDIGO]],Aguardando_exclusão!A$4:A$4003,1,FALSE),"sim",""),"")</f>
        <v/>
      </c>
    </row>
    <row r="1156" spans="1:4" ht="15" customHeight="1" x14ac:dyDescent="0.3">
      <c r="A1156" s="15">
        <v>132447</v>
      </c>
      <c r="B1156" s="17" t="s">
        <v>1150</v>
      </c>
      <c r="C1156" s="12">
        <v>42787</v>
      </c>
      <c r="D1156" s="11" t="str">
        <f>_xlfn.IFNA(IF(VLOOKUP(Tabela22[[#This Row],[CÓDIGO]],Aguardando_exclusão!A$4:A$4003,1,FALSE),"sim",""),"")</f>
        <v>sim</v>
      </c>
    </row>
    <row r="1157" spans="1:4" ht="15" customHeight="1" x14ac:dyDescent="0.3">
      <c r="A1157" s="15">
        <v>132465</v>
      </c>
      <c r="B1157" s="17" t="s">
        <v>1151</v>
      </c>
      <c r="C1157" s="12">
        <v>42796</v>
      </c>
      <c r="D1157" s="11" t="str">
        <f>_xlfn.IFNA(IF(VLOOKUP(Tabela22[[#This Row],[CÓDIGO]],Aguardando_exclusão!A$4:A$4003,1,FALSE),"sim",""),"")</f>
        <v/>
      </c>
    </row>
    <row r="1158" spans="1:4" ht="15" customHeight="1" x14ac:dyDescent="0.3">
      <c r="A1158" s="15">
        <v>132612</v>
      </c>
      <c r="B1158" s="17" t="s">
        <v>1152</v>
      </c>
      <c r="C1158" s="12">
        <v>42844</v>
      </c>
      <c r="D1158" s="11" t="str">
        <f>_xlfn.IFNA(IF(VLOOKUP(Tabela22[[#This Row],[CÓDIGO]],Aguardando_exclusão!A$4:A$4003,1,FALSE),"sim",""),"")</f>
        <v/>
      </c>
    </row>
    <row r="1159" spans="1:4" ht="15" customHeight="1" x14ac:dyDescent="0.3">
      <c r="A1159" s="15">
        <v>132613</v>
      </c>
      <c r="B1159" s="17" t="s">
        <v>1153</v>
      </c>
      <c r="C1159" s="12">
        <v>42844</v>
      </c>
      <c r="D1159" s="11" t="str">
        <f>_xlfn.IFNA(IF(VLOOKUP(Tabela22[[#This Row],[CÓDIGO]],Aguardando_exclusão!A$4:A$4003,1,FALSE),"sim",""),"")</f>
        <v/>
      </c>
    </row>
    <row r="1160" spans="1:4" ht="15" customHeight="1" x14ac:dyDescent="0.3">
      <c r="A1160" s="15">
        <v>132623</v>
      </c>
      <c r="B1160" s="17" t="s">
        <v>1154</v>
      </c>
      <c r="C1160" s="12">
        <v>42850</v>
      </c>
      <c r="D1160" s="11" t="str">
        <f>_xlfn.IFNA(IF(VLOOKUP(Tabela22[[#This Row],[CÓDIGO]],Aguardando_exclusão!A$4:A$4003,1,FALSE),"sim",""),"")</f>
        <v/>
      </c>
    </row>
    <row r="1161" spans="1:4" ht="15" customHeight="1" x14ac:dyDescent="0.3">
      <c r="A1161" s="15">
        <v>132624</v>
      </c>
      <c r="B1161" s="17" t="s">
        <v>1155</v>
      </c>
      <c r="C1161" s="12">
        <v>42850</v>
      </c>
      <c r="D1161" s="11" t="str">
        <f>_xlfn.IFNA(IF(VLOOKUP(Tabela22[[#This Row],[CÓDIGO]],Aguardando_exclusão!A$4:A$4003,1,FALSE),"sim",""),"")</f>
        <v/>
      </c>
    </row>
    <row r="1162" spans="1:4" ht="15" customHeight="1" x14ac:dyDescent="0.3">
      <c r="A1162" s="15">
        <v>132646</v>
      </c>
      <c r="B1162" s="17" t="s">
        <v>1156</v>
      </c>
      <c r="C1162" s="12">
        <v>42860</v>
      </c>
      <c r="D1162" s="11" t="str">
        <f>_xlfn.IFNA(IF(VLOOKUP(Tabela22[[#This Row],[CÓDIGO]],Aguardando_exclusão!A$4:A$4003,1,FALSE),"sim",""),"")</f>
        <v/>
      </c>
    </row>
    <row r="1163" spans="1:4" ht="15" customHeight="1" x14ac:dyDescent="0.3">
      <c r="A1163" s="15">
        <v>132647</v>
      </c>
      <c r="B1163" s="17" t="s">
        <v>1157</v>
      </c>
      <c r="C1163" s="12">
        <v>42860</v>
      </c>
      <c r="D1163" s="11" t="str">
        <f>_xlfn.IFNA(IF(VLOOKUP(Tabela22[[#This Row],[CÓDIGO]],Aguardando_exclusão!A$4:A$4003,1,FALSE),"sim",""),"")</f>
        <v/>
      </c>
    </row>
    <row r="1164" spans="1:4" ht="15" customHeight="1" x14ac:dyDescent="0.3">
      <c r="A1164" s="15">
        <v>132649</v>
      </c>
      <c r="B1164" s="17" t="s">
        <v>1158</v>
      </c>
      <c r="C1164" s="12">
        <v>42860</v>
      </c>
      <c r="D1164" s="11" t="str">
        <f>_xlfn.IFNA(IF(VLOOKUP(Tabela22[[#This Row],[CÓDIGO]],Aguardando_exclusão!A$4:A$4003,1,FALSE),"sim",""),"")</f>
        <v/>
      </c>
    </row>
    <row r="1165" spans="1:4" ht="15" customHeight="1" x14ac:dyDescent="0.3">
      <c r="A1165" s="15">
        <v>132650</v>
      </c>
      <c r="B1165" s="17" t="s">
        <v>1159</v>
      </c>
      <c r="C1165" s="12">
        <v>42860</v>
      </c>
      <c r="D1165" s="11" t="str">
        <f>_xlfn.IFNA(IF(VLOOKUP(Tabela22[[#This Row],[CÓDIGO]],Aguardando_exclusão!A$4:A$4003,1,FALSE),"sim",""),"")</f>
        <v/>
      </c>
    </row>
    <row r="1166" spans="1:4" ht="15" customHeight="1" x14ac:dyDescent="0.3">
      <c r="A1166" s="15">
        <v>132655</v>
      </c>
      <c r="B1166" s="17" t="s">
        <v>1160</v>
      </c>
      <c r="C1166" s="12">
        <v>42860</v>
      </c>
      <c r="D1166" s="11" t="str">
        <f>_xlfn.IFNA(IF(VLOOKUP(Tabela22[[#This Row],[CÓDIGO]],Aguardando_exclusão!A$4:A$4003,1,FALSE),"sim",""),"")</f>
        <v/>
      </c>
    </row>
    <row r="1167" spans="1:4" ht="15" customHeight="1" x14ac:dyDescent="0.3">
      <c r="A1167" s="15">
        <v>132656</v>
      </c>
      <c r="B1167" s="17" t="s">
        <v>1161</v>
      </c>
      <c r="C1167" s="12">
        <v>42860</v>
      </c>
      <c r="D1167" s="11" t="str">
        <f>_xlfn.IFNA(IF(VLOOKUP(Tabela22[[#This Row],[CÓDIGO]],Aguardando_exclusão!A$4:A$4003,1,FALSE),"sim",""),"")</f>
        <v/>
      </c>
    </row>
    <row r="1168" spans="1:4" ht="15" customHeight="1" x14ac:dyDescent="0.3">
      <c r="A1168" s="15">
        <v>132714</v>
      </c>
      <c r="B1168" s="17" t="s">
        <v>1162</v>
      </c>
      <c r="C1168" s="12">
        <v>42880</v>
      </c>
      <c r="D1168" s="11" t="str">
        <f>_xlfn.IFNA(IF(VLOOKUP(Tabela22[[#This Row],[CÓDIGO]],Aguardando_exclusão!A$4:A$4003,1,FALSE),"sim",""),"")</f>
        <v/>
      </c>
    </row>
    <row r="1169" spans="1:4" ht="15" customHeight="1" x14ac:dyDescent="0.3">
      <c r="A1169" s="15">
        <v>132715</v>
      </c>
      <c r="B1169" s="17" t="s">
        <v>1163</v>
      </c>
      <c r="C1169" s="12">
        <v>42892</v>
      </c>
      <c r="D1169" s="11" t="str">
        <f>_xlfn.IFNA(IF(VLOOKUP(Tabela22[[#This Row],[CÓDIGO]],Aguardando_exclusão!A$4:A$4003,1,FALSE),"sim",""),"")</f>
        <v/>
      </c>
    </row>
    <row r="1170" spans="1:4" ht="15" customHeight="1" x14ac:dyDescent="0.3">
      <c r="A1170" s="15">
        <v>132751</v>
      </c>
      <c r="B1170" s="17" t="s">
        <v>1164</v>
      </c>
      <c r="C1170" s="12">
        <v>42892</v>
      </c>
      <c r="D1170" s="11" t="str">
        <f>_xlfn.IFNA(IF(VLOOKUP(Tabela22[[#This Row],[CÓDIGO]],Aguardando_exclusão!A$4:A$4003,1,FALSE),"sim",""),"")</f>
        <v/>
      </c>
    </row>
    <row r="1171" spans="1:4" ht="15" customHeight="1" x14ac:dyDescent="0.3">
      <c r="A1171" s="15">
        <v>132769</v>
      </c>
      <c r="B1171" s="17" t="s">
        <v>1165</v>
      </c>
      <c r="C1171" s="12">
        <v>42894</v>
      </c>
      <c r="D1171" s="11" t="str">
        <f>_xlfn.IFNA(IF(VLOOKUP(Tabela22[[#This Row],[CÓDIGO]],Aguardando_exclusão!A$4:A$4003,1,FALSE),"sim",""),"")</f>
        <v/>
      </c>
    </row>
    <row r="1172" spans="1:4" ht="15" customHeight="1" x14ac:dyDescent="0.3">
      <c r="A1172" s="15">
        <v>133042</v>
      </c>
      <c r="B1172" s="17" t="s">
        <v>1166</v>
      </c>
      <c r="C1172" s="12">
        <v>42930</v>
      </c>
      <c r="D1172" s="11" t="str">
        <f>_xlfn.IFNA(IF(VLOOKUP(Tabela22[[#This Row],[CÓDIGO]],Aguardando_exclusão!A$4:A$4003,1,FALSE),"sim",""),"")</f>
        <v>sim</v>
      </c>
    </row>
    <row r="1173" spans="1:4" ht="15" customHeight="1" x14ac:dyDescent="0.3">
      <c r="A1173" s="15">
        <v>133043</v>
      </c>
      <c r="B1173" s="17" t="s">
        <v>1167</v>
      </c>
      <c r="C1173" s="12">
        <v>42930</v>
      </c>
      <c r="D1173" s="11" t="str">
        <f>_xlfn.IFNA(IF(VLOOKUP(Tabela22[[#This Row],[CÓDIGO]],Aguardando_exclusão!A$4:A$4003,1,FALSE),"sim",""),"")</f>
        <v>sim</v>
      </c>
    </row>
    <row r="1174" spans="1:4" ht="15" customHeight="1" x14ac:dyDescent="0.3">
      <c r="A1174" s="15">
        <v>133191</v>
      </c>
      <c r="B1174" s="17" t="s">
        <v>1168</v>
      </c>
      <c r="C1174" s="12">
        <v>42968</v>
      </c>
      <c r="D1174" s="11" t="str">
        <f>_xlfn.IFNA(IF(VLOOKUP(Tabela22[[#This Row],[CÓDIGO]],Aguardando_exclusão!A$4:A$4003,1,FALSE),"sim",""),"")</f>
        <v/>
      </c>
    </row>
    <row r="1175" spans="1:4" ht="15" customHeight="1" x14ac:dyDescent="0.3">
      <c r="A1175" s="15">
        <v>133301</v>
      </c>
      <c r="B1175" s="17" t="s">
        <v>1169</v>
      </c>
      <c r="C1175" s="12">
        <v>42978</v>
      </c>
      <c r="D1175" s="11" t="str">
        <f>_xlfn.IFNA(IF(VLOOKUP(Tabela22[[#This Row],[CÓDIGO]],Aguardando_exclusão!A$4:A$4003,1,FALSE),"sim",""),"")</f>
        <v/>
      </c>
    </row>
    <row r="1176" spans="1:4" ht="15" customHeight="1" x14ac:dyDescent="0.3">
      <c r="A1176" s="15">
        <v>133366</v>
      </c>
      <c r="B1176" s="17" t="s">
        <v>1170</v>
      </c>
      <c r="C1176" s="12">
        <v>42982</v>
      </c>
      <c r="D1176" s="11" t="str">
        <f>_xlfn.IFNA(IF(VLOOKUP(Tabela22[[#This Row],[CÓDIGO]],Aguardando_exclusão!A$4:A$4003,1,FALSE),"sim",""),"")</f>
        <v/>
      </c>
    </row>
    <row r="1177" spans="1:4" ht="15" customHeight="1" x14ac:dyDescent="0.3">
      <c r="A1177" s="15">
        <v>133371</v>
      </c>
      <c r="B1177" s="17" t="s">
        <v>1171</v>
      </c>
      <c r="C1177" s="12">
        <v>42983</v>
      </c>
      <c r="D1177" s="11" t="str">
        <f>_xlfn.IFNA(IF(VLOOKUP(Tabela22[[#This Row],[CÓDIGO]],Aguardando_exclusão!A$4:A$4003,1,FALSE),"sim",""),"")</f>
        <v/>
      </c>
    </row>
    <row r="1178" spans="1:4" ht="15" customHeight="1" x14ac:dyDescent="0.3">
      <c r="A1178" s="15">
        <v>133433</v>
      </c>
      <c r="B1178" s="17" t="s">
        <v>1172</v>
      </c>
      <c r="C1178" s="12">
        <v>42996</v>
      </c>
      <c r="D1178" s="11" t="str">
        <f>_xlfn.IFNA(IF(VLOOKUP(Tabela22[[#This Row],[CÓDIGO]],Aguardando_exclusão!A$4:A$4003,1,FALSE),"sim",""),"")</f>
        <v/>
      </c>
    </row>
    <row r="1179" spans="1:4" ht="15" customHeight="1" x14ac:dyDescent="0.3">
      <c r="A1179" s="15">
        <v>133450</v>
      </c>
      <c r="B1179" s="17" t="s">
        <v>1173</v>
      </c>
      <c r="C1179" s="12">
        <v>42998</v>
      </c>
      <c r="D1179" s="11" t="str">
        <f>_xlfn.IFNA(IF(VLOOKUP(Tabela22[[#This Row],[CÓDIGO]],Aguardando_exclusão!A$4:A$4003,1,FALSE),"sim",""),"")</f>
        <v/>
      </c>
    </row>
    <row r="1180" spans="1:4" ht="15" customHeight="1" x14ac:dyDescent="0.3">
      <c r="A1180" s="15">
        <v>133451</v>
      </c>
      <c r="B1180" s="17" t="s">
        <v>1174</v>
      </c>
      <c r="C1180" s="12">
        <v>42998</v>
      </c>
      <c r="D1180" s="11" t="str">
        <f>_xlfn.IFNA(IF(VLOOKUP(Tabela22[[#This Row],[CÓDIGO]],Aguardando_exclusão!A$4:A$4003,1,FALSE),"sim",""),"")</f>
        <v/>
      </c>
    </row>
    <row r="1181" spans="1:4" ht="15" customHeight="1" x14ac:dyDescent="0.3">
      <c r="A1181" s="15">
        <v>133452</v>
      </c>
      <c r="B1181" s="17" t="s">
        <v>1175</v>
      </c>
      <c r="C1181" s="12">
        <v>42998</v>
      </c>
      <c r="D1181" s="11" t="str">
        <f>_xlfn.IFNA(IF(VLOOKUP(Tabela22[[#This Row],[CÓDIGO]],Aguardando_exclusão!A$4:A$4003,1,FALSE),"sim",""),"")</f>
        <v/>
      </c>
    </row>
    <row r="1182" spans="1:4" ht="15" customHeight="1" x14ac:dyDescent="0.3">
      <c r="A1182" s="15">
        <v>133777</v>
      </c>
      <c r="B1182" s="17" t="s">
        <v>1176</v>
      </c>
      <c r="C1182" s="12">
        <v>43038</v>
      </c>
      <c r="D1182" s="11" t="str">
        <f>_xlfn.IFNA(IF(VLOOKUP(Tabela22[[#This Row],[CÓDIGO]],Aguardando_exclusão!A$4:A$4003,1,FALSE),"sim",""),"")</f>
        <v/>
      </c>
    </row>
    <row r="1183" spans="1:4" ht="15" customHeight="1" x14ac:dyDescent="0.3">
      <c r="A1183" s="15">
        <v>133778</v>
      </c>
      <c r="B1183" s="17" t="s">
        <v>1177</v>
      </c>
      <c r="C1183" s="12">
        <v>43038</v>
      </c>
      <c r="D1183" s="11" t="str">
        <f>_xlfn.IFNA(IF(VLOOKUP(Tabela22[[#This Row],[CÓDIGO]],Aguardando_exclusão!A$4:A$4003,1,FALSE),"sim",""),"")</f>
        <v/>
      </c>
    </row>
    <row r="1184" spans="1:4" ht="15" customHeight="1" x14ac:dyDescent="0.3">
      <c r="A1184" s="15">
        <v>133779</v>
      </c>
      <c r="B1184" s="17" t="s">
        <v>1178</v>
      </c>
      <c r="C1184" s="12">
        <v>43038</v>
      </c>
      <c r="D1184" s="11" t="str">
        <f>_xlfn.IFNA(IF(VLOOKUP(Tabela22[[#This Row],[CÓDIGO]],Aguardando_exclusão!A$4:A$4003,1,FALSE),"sim",""),"")</f>
        <v/>
      </c>
    </row>
    <row r="1185" spans="1:4" ht="15" customHeight="1" x14ac:dyDescent="0.3">
      <c r="A1185" s="15">
        <v>133781</v>
      </c>
      <c r="B1185" s="17" t="s">
        <v>1179</v>
      </c>
      <c r="C1185" s="12">
        <v>43038</v>
      </c>
      <c r="D1185" s="11" t="str">
        <f>_xlfn.IFNA(IF(VLOOKUP(Tabela22[[#This Row],[CÓDIGO]],Aguardando_exclusão!A$4:A$4003,1,FALSE),"sim",""),"")</f>
        <v/>
      </c>
    </row>
    <row r="1186" spans="1:4" ht="15" customHeight="1" x14ac:dyDescent="0.3">
      <c r="A1186" s="15">
        <v>133782</v>
      </c>
      <c r="B1186" s="17" t="s">
        <v>1180</v>
      </c>
      <c r="C1186" s="12">
        <v>43038</v>
      </c>
      <c r="D1186" s="11" t="str">
        <f>_xlfn.IFNA(IF(VLOOKUP(Tabela22[[#This Row],[CÓDIGO]],Aguardando_exclusão!A$4:A$4003,1,FALSE),"sim",""),"")</f>
        <v/>
      </c>
    </row>
    <row r="1187" spans="1:4" ht="15" customHeight="1" x14ac:dyDescent="0.3">
      <c r="A1187" s="15">
        <v>133783</v>
      </c>
      <c r="B1187" s="17" t="s">
        <v>1181</v>
      </c>
      <c r="C1187" s="12">
        <v>43038</v>
      </c>
      <c r="D1187" s="11" t="str">
        <f>_xlfn.IFNA(IF(VLOOKUP(Tabela22[[#This Row],[CÓDIGO]],Aguardando_exclusão!A$4:A$4003,1,FALSE),"sim",""),"")</f>
        <v/>
      </c>
    </row>
    <row r="1188" spans="1:4" ht="15" customHeight="1" x14ac:dyDescent="0.3">
      <c r="A1188" s="15">
        <v>133787</v>
      </c>
      <c r="B1188" s="17" t="s">
        <v>1182</v>
      </c>
      <c r="C1188" s="12">
        <v>43038</v>
      </c>
      <c r="D1188" s="11" t="str">
        <f>_xlfn.IFNA(IF(VLOOKUP(Tabela22[[#This Row],[CÓDIGO]],Aguardando_exclusão!A$4:A$4003,1,FALSE),"sim",""),"")</f>
        <v/>
      </c>
    </row>
    <row r="1189" spans="1:4" ht="15" customHeight="1" x14ac:dyDescent="0.3">
      <c r="A1189" s="15">
        <v>133788</v>
      </c>
      <c r="B1189" s="17" t="s">
        <v>1183</v>
      </c>
      <c r="C1189" s="12">
        <v>43038</v>
      </c>
      <c r="D1189" s="11" t="str">
        <f>_xlfn.IFNA(IF(VLOOKUP(Tabela22[[#This Row],[CÓDIGO]],Aguardando_exclusão!A$4:A$4003,1,FALSE),"sim",""),"")</f>
        <v/>
      </c>
    </row>
    <row r="1190" spans="1:4" ht="15" customHeight="1" x14ac:dyDescent="0.3">
      <c r="A1190" s="15">
        <v>133790</v>
      </c>
      <c r="B1190" s="17" t="s">
        <v>1184</v>
      </c>
      <c r="C1190" s="12">
        <v>43038</v>
      </c>
      <c r="D1190" s="11" t="str">
        <f>_xlfn.IFNA(IF(VLOOKUP(Tabela22[[#This Row],[CÓDIGO]],Aguardando_exclusão!A$4:A$4003,1,FALSE),"sim",""),"")</f>
        <v/>
      </c>
    </row>
    <row r="1191" spans="1:4" ht="15" customHeight="1" x14ac:dyDescent="0.3">
      <c r="A1191" s="15">
        <v>133791</v>
      </c>
      <c r="B1191" s="17" t="s">
        <v>1185</v>
      </c>
      <c r="C1191" s="12">
        <v>43038</v>
      </c>
      <c r="D1191" s="11" t="str">
        <f>_xlfn.IFNA(IF(VLOOKUP(Tabela22[[#This Row],[CÓDIGO]],Aguardando_exclusão!A$4:A$4003,1,FALSE),"sim",""),"")</f>
        <v/>
      </c>
    </row>
    <row r="1192" spans="1:4" ht="15" customHeight="1" x14ac:dyDescent="0.3">
      <c r="A1192" s="15">
        <v>133793</v>
      </c>
      <c r="B1192" s="17" t="s">
        <v>1186</v>
      </c>
      <c r="C1192" s="12">
        <v>43038</v>
      </c>
      <c r="D1192" s="11" t="str">
        <f>_xlfn.IFNA(IF(VLOOKUP(Tabela22[[#This Row],[CÓDIGO]],Aguardando_exclusão!A$4:A$4003,1,FALSE),"sim",""),"")</f>
        <v/>
      </c>
    </row>
    <row r="1193" spans="1:4" ht="15" customHeight="1" x14ac:dyDescent="0.3">
      <c r="A1193" s="15">
        <v>133794</v>
      </c>
      <c r="B1193" s="17" t="s">
        <v>1187</v>
      </c>
      <c r="C1193" s="12">
        <v>43038</v>
      </c>
      <c r="D1193" s="11" t="str">
        <f>_xlfn.IFNA(IF(VLOOKUP(Tabela22[[#This Row],[CÓDIGO]],Aguardando_exclusão!A$4:A$4003,1,FALSE),"sim",""),"")</f>
        <v/>
      </c>
    </row>
    <row r="1194" spans="1:4" ht="15" customHeight="1" x14ac:dyDescent="0.3">
      <c r="A1194" s="15">
        <v>133812</v>
      </c>
      <c r="B1194" s="17" t="s">
        <v>1188</v>
      </c>
      <c r="C1194" s="12">
        <v>43047</v>
      </c>
      <c r="D1194" s="11" t="str">
        <f>_xlfn.IFNA(IF(VLOOKUP(Tabela22[[#This Row],[CÓDIGO]],Aguardando_exclusão!A$4:A$4003,1,FALSE),"sim",""),"")</f>
        <v/>
      </c>
    </row>
    <row r="1195" spans="1:4" ht="15" customHeight="1" x14ac:dyDescent="0.3">
      <c r="A1195" s="15">
        <v>133813</v>
      </c>
      <c r="B1195" s="17" t="s">
        <v>1189</v>
      </c>
      <c r="C1195" s="12">
        <v>43047</v>
      </c>
      <c r="D1195" s="11" t="str">
        <f>_xlfn.IFNA(IF(VLOOKUP(Tabela22[[#This Row],[CÓDIGO]],Aguardando_exclusão!A$4:A$4003,1,FALSE),"sim",""),"")</f>
        <v/>
      </c>
    </row>
    <row r="1196" spans="1:4" ht="15" customHeight="1" x14ac:dyDescent="0.3">
      <c r="A1196" s="15">
        <v>133819</v>
      </c>
      <c r="B1196" s="17" t="s">
        <v>1190</v>
      </c>
      <c r="C1196" s="12">
        <v>43052</v>
      </c>
      <c r="D1196" s="11" t="str">
        <f>_xlfn.IFNA(IF(VLOOKUP(Tabela22[[#This Row],[CÓDIGO]],Aguardando_exclusão!A$4:A$4003,1,FALSE),"sim",""),"")</f>
        <v/>
      </c>
    </row>
    <row r="1197" spans="1:4" ht="15" customHeight="1" x14ac:dyDescent="0.3">
      <c r="A1197" s="15">
        <v>133843</v>
      </c>
      <c r="B1197" s="17" t="s">
        <v>1191</v>
      </c>
      <c r="C1197" s="12">
        <v>43074</v>
      </c>
      <c r="D1197" s="11" t="str">
        <f>_xlfn.IFNA(IF(VLOOKUP(Tabela22[[#This Row],[CÓDIGO]],Aguardando_exclusão!A$4:A$4003,1,FALSE),"sim",""),"")</f>
        <v/>
      </c>
    </row>
    <row r="1198" spans="1:4" ht="15" customHeight="1" x14ac:dyDescent="0.3">
      <c r="A1198" s="15">
        <v>133844</v>
      </c>
      <c r="B1198" s="17" t="s">
        <v>1192</v>
      </c>
      <c r="C1198" s="12">
        <v>43074</v>
      </c>
      <c r="D1198" s="11" t="str">
        <f>_xlfn.IFNA(IF(VLOOKUP(Tabela22[[#This Row],[CÓDIGO]],Aguardando_exclusão!A$4:A$4003,1,FALSE),"sim",""),"")</f>
        <v/>
      </c>
    </row>
    <row r="1199" spans="1:4" ht="15" customHeight="1" x14ac:dyDescent="0.3">
      <c r="A1199" s="15">
        <v>133845</v>
      </c>
      <c r="B1199" s="17" t="s">
        <v>1193</v>
      </c>
      <c r="C1199" s="12">
        <v>43074</v>
      </c>
      <c r="D1199" s="11" t="str">
        <f>_xlfn.IFNA(IF(VLOOKUP(Tabela22[[#This Row],[CÓDIGO]],Aguardando_exclusão!A$4:A$4003,1,FALSE),"sim",""),"")</f>
        <v/>
      </c>
    </row>
    <row r="1200" spans="1:4" ht="15" customHeight="1" x14ac:dyDescent="0.3">
      <c r="A1200" s="15">
        <v>133846</v>
      </c>
      <c r="B1200" s="17" t="s">
        <v>1194</v>
      </c>
      <c r="C1200" s="12">
        <v>43074</v>
      </c>
      <c r="D1200" s="11" t="str">
        <f>_xlfn.IFNA(IF(VLOOKUP(Tabela22[[#This Row],[CÓDIGO]],Aguardando_exclusão!A$4:A$4003,1,FALSE),"sim",""),"")</f>
        <v/>
      </c>
    </row>
    <row r="1201" spans="1:4" ht="15" customHeight="1" x14ac:dyDescent="0.3">
      <c r="A1201" s="15">
        <v>133847</v>
      </c>
      <c r="B1201" s="17" t="s">
        <v>1195</v>
      </c>
      <c r="C1201" s="12">
        <v>43074</v>
      </c>
      <c r="D1201" s="11" t="str">
        <f>_xlfn.IFNA(IF(VLOOKUP(Tabela22[[#This Row],[CÓDIGO]],Aguardando_exclusão!A$4:A$4003,1,FALSE),"sim",""),"")</f>
        <v/>
      </c>
    </row>
    <row r="1202" spans="1:4" ht="15" customHeight="1" x14ac:dyDescent="0.3">
      <c r="A1202" s="15">
        <v>133848</v>
      </c>
      <c r="B1202" s="17" t="s">
        <v>1196</v>
      </c>
      <c r="C1202" s="12">
        <v>43074</v>
      </c>
      <c r="D1202" s="11" t="str">
        <f>_xlfn.IFNA(IF(VLOOKUP(Tabela22[[#This Row],[CÓDIGO]],Aguardando_exclusão!A$4:A$4003,1,FALSE),"sim",""),"")</f>
        <v/>
      </c>
    </row>
    <row r="1203" spans="1:4" ht="15" customHeight="1" x14ac:dyDescent="0.3">
      <c r="A1203" s="15">
        <v>133849</v>
      </c>
      <c r="B1203" s="17" t="s">
        <v>1197</v>
      </c>
      <c r="C1203" s="12">
        <v>43074</v>
      </c>
      <c r="D1203" s="11" t="str">
        <f>_xlfn.IFNA(IF(VLOOKUP(Tabela22[[#This Row],[CÓDIGO]],Aguardando_exclusão!A$4:A$4003,1,FALSE),"sim",""),"")</f>
        <v/>
      </c>
    </row>
    <row r="1204" spans="1:4" ht="15" customHeight="1" x14ac:dyDescent="0.3">
      <c r="A1204" s="15">
        <v>133850</v>
      </c>
      <c r="B1204" s="17" t="s">
        <v>1198</v>
      </c>
      <c r="C1204" s="12">
        <v>43074</v>
      </c>
      <c r="D1204" s="11" t="str">
        <f>_xlfn.IFNA(IF(VLOOKUP(Tabela22[[#This Row],[CÓDIGO]],Aguardando_exclusão!A$4:A$4003,1,FALSE),"sim",""),"")</f>
        <v/>
      </c>
    </row>
    <row r="1205" spans="1:4" ht="15" customHeight="1" x14ac:dyDescent="0.3">
      <c r="A1205" s="15">
        <v>133851</v>
      </c>
      <c r="B1205" s="17" t="s">
        <v>1199</v>
      </c>
      <c r="C1205" s="12">
        <v>43074</v>
      </c>
      <c r="D1205" s="11" t="str">
        <f>_xlfn.IFNA(IF(VLOOKUP(Tabela22[[#This Row],[CÓDIGO]],Aguardando_exclusão!A$4:A$4003,1,FALSE),"sim",""),"")</f>
        <v/>
      </c>
    </row>
    <row r="1206" spans="1:4" ht="15" customHeight="1" x14ac:dyDescent="0.3">
      <c r="A1206" s="15">
        <v>133950</v>
      </c>
      <c r="B1206" s="17" t="s">
        <v>1200</v>
      </c>
      <c r="C1206" s="12">
        <v>43103</v>
      </c>
      <c r="D1206" s="11" t="str">
        <f>_xlfn.IFNA(IF(VLOOKUP(Tabela22[[#This Row],[CÓDIGO]],Aguardando_exclusão!A$4:A$4003,1,FALSE),"sim",""),"")</f>
        <v/>
      </c>
    </row>
    <row r="1207" spans="1:4" ht="15" customHeight="1" x14ac:dyDescent="0.3">
      <c r="A1207" s="15">
        <v>133953</v>
      </c>
      <c r="B1207" s="17" t="s">
        <v>1201</v>
      </c>
      <c r="C1207" s="12">
        <v>43104</v>
      </c>
      <c r="D1207" s="11" t="str">
        <f>_xlfn.IFNA(IF(VLOOKUP(Tabela22[[#This Row],[CÓDIGO]],Aguardando_exclusão!A$4:A$4003,1,FALSE),"sim",""),"")</f>
        <v/>
      </c>
    </row>
    <row r="1208" spans="1:4" ht="15" customHeight="1" x14ac:dyDescent="0.3">
      <c r="A1208" s="15">
        <v>133954</v>
      </c>
      <c r="B1208" s="17" t="s">
        <v>1202</v>
      </c>
      <c r="C1208" s="12">
        <v>43105</v>
      </c>
      <c r="D1208" s="11" t="str">
        <f>_xlfn.IFNA(IF(VLOOKUP(Tabela22[[#This Row],[CÓDIGO]],Aguardando_exclusão!A$4:A$4003,1,FALSE),"sim",""),"")</f>
        <v/>
      </c>
    </row>
    <row r="1209" spans="1:4" ht="15" customHeight="1" x14ac:dyDescent="0.3">
      <c r="A1209" s="15">
        <v>133955</v>
      </c>
      <c r="B1209" s="17" t="s">
        <v>1203</v>
      </c>
      <c r="C1209" s="12">
        <v>43105</v>
      </c>
      <c r="D1209" s="11" t="str">
        <f>_xlfn.IFNA(IF(VLOOKUP(Tabela22[[#This Row],[CÓDIGO]],Aguardando_exclusão!A$4:A$4003,1,FALSE),"sim",""),"")</f>
        <v/>
      </c>
    </row>
    <row r="1210" spans="1:4" ht="15" customHeight="1" x14ac:dyDescent="0.3">
      <c r="A1210" s="15">
        <v>133956</v>
      </c>
      <c r="B1210" s="17" t="s">
        <v>1204</v>
      </c>
      <c r="C1210" s="12">
        <v>43105</v>
      </c>
      <c r="D1210" s="11" t="str">
        <f>_xlfn.IFNA(IF(VLOOKUP(Tabela22[[#This Row],[CÓDIGO]],Aguardando_exclusão!A$4:A$4003,1,FALSE),"sim",""),"")</f>
        <v/>
      </c>
    </row>
    <row r="1211" spans="1:4" ht="15" customHeight="1" x14ac:dyDescent="0.3">
      <c r="A1211" s="15">
        <v>133957</v>
      </c>
      <c r="B1211" s="17" t="s">
        <v>1205</v>
      </c>
      <c r="C1211" s="12">
        <v>43108</v>
      </c>
      <c r="D1211" s="11" t="str">
        <f>_xlfn.IFNA(IF(VLOOKUP(Tabela22[[#This Row],[CÓDIGO]],Aguardando_exclusão!A$4:A$4003,1,FALSE),"sim",""),"")</f>
        <v/>
      </c>
    </row>
    <row r="1212" spans="1:4" ht="15" customHeight="1" x14ac:dyDescent="0.3">
      <c r="A1212" s="15">
        <v>134045</v>
      </c>
      <c r="B1212" s="17" t="s">
        <v>1206</v>
      </c>
      <c r="C1212" s="12">
        <v>43117</v>
      </c>
      <c r="D1212" s="11" t="str">
        <f>_xlfn.IFNA(IF(VLOOKUP(Tabela22[[#This Row],[CÓDIGO]],Aguardando_exclusão!A$4:A$4003,1,FALSE),"sim",""),"")</f>
        <v/>
      </c>
    </row>
    <row r="1213" spans="1:4" ht="15" customHeight="1" x14ac:dyDescent="0.3">
      <c r="A1213" s="15">
        <v>134246</v>
      </c>
      <c r="B1213" s="17" t="s">
        <v>1207</v>
      </c>
      <c r="C1213" s="12">
        <v>43138</v>
      </c>
      <c r="D1213" s="11" t="str">
        <f>_xlfn.IFNA(IF(VLOOKUP(Tabela22[[#This Row],[CÓDIGO]],Aguardando_exclusão!A$4:A$4003,1,FALSE),"sim",""),"")</f>
        <v/>
      </c>
    </row>
    <row r="1214" spans="1:4" ht="15" customHeight="1" x14ac:dyDescent="0.3">
      <c r="A1214" s="15">
        <v>134247</v>
      </c>
      <c r="B1214" s="17" t="s">
        <v>1208</v>
      </c>
      <c r="C1214" s="12">
        <v>43138</v>
      </c>
      <c r="D1214" s="11" t="str">
        <f>_xlfn.IFNA(IF(VLOOKUP(Tabela22[[#This Row],[CÓDIGO]],Aguardando_exclusão!A$4:A$4003,1,FALSE),"sim",""),"")</f>
        <v/>
      </c>
    </row>
    <row r="1215" spans="1:4" ht="15" customHeight="1" x14ac:dyDescent="0.3">
      <c r="A1215" s="15">
        <v>134373</v>
      </c>
      <c r="B1215" s="17" t="s">
        <v>1209</v>
      </c>
      <c r="C1215" s="12">
        <v>43154</v>
      </c>
      <c r="D1215" s="11" t="str">
        <f>_xlfn.IFNA(IF(VLOOKUP(Tabela22[[#This Row],[CÓDIGO]],Aguardando_exclusão!A$4:A$4003,1,FALSE),"sim",""),"")</f>
        <v/>
      </c>
    </row>
    <row r="1216" spans="1:4" ht="15" customHeight="1" x14ac:dyDescent="0.3">
      <c r="A1216" s="15">
        <v>134542</v>
      </c>
      <c r="B1216" s="17" t="s">
        <v>1210</v>
      </c>
      <c r="C1216" s="12">
        <v>43172</v>
      </c>
      <c r="D1216" s="11" t="str">
        <f>_xlfn.IFNA(IF(VLOOKUP(Tabela22[[#This Row],[CÓDIGO]],Aguardando_exclusão!A$4:A$4003,1,FALSE),"sim",""),"")</f>
        <v/>
      </c>
    </row>
    <row r="1217" spans="1:4" ht="15" customHeight="1" x14ac:dyDescent="0.3">
      <c r="A1217" s="15">
        <v>134543</v>
      </c>
      <c r="B1217" s="17" t="s">
        <v>1211</v>
      </c>
      <c r="C1217" s="12">
        <v>43172</v>
      </c>
      <c r="D1217" s="11" t="str">
        <f>_xlfn.IFNA(IF(VLOOKUP(Tabela22[[#This Row],[CÓDIGO]],Aguardando_exclusão!A$4:A$4003,1,FALSE),"sim",""),"")</f>
        <v/>
      </c>
    </row>
    <row r="1218" spans="1:4" ht="15" customHeight="1" x14ac:dyDescent="0.3">
      <c r="A1218" s="15">
        <v>134544</v>
      </c>
      <c r="B1218" s="17" t="s">
        <v>1212</v>
      </c>
      <c r="C1218" s="12">
        <v>43172</v>
      </c>
      <c r="D1218" s="11" t="str">
        <f>_xlfn.IFNA(IF(VLOOKUP(Tabela22[[#This Row],[CÓDIGO]],Aguardando_exclusão!A$4:A$4003,1,FALSE),"sim",""),"")</f>
        <v/>
      </c>
    </row>
    <row r="1219" spans="1:4" ht="15" customHeight="1" x14ac:dyDescent="0.3">
      <c r="A1219" s="15">
        <v>134545</v>
      </c>
      <c r="B1219" s="17" t="s">
        <v>1213</v>
      </c>
      <c r="C1219" s="12">
        <v>43172</v>
      </c>
      <c r="D1219" s="11" t="str">
        <f>_xlfn.IFNA(IF(VLOOKUP(Tabela22[[#This Row],[CÓDIGO]],Aguardando_exclusão!A$4:A$4003,1,FALSE),"sim",""),"")</f>
        <v/>
      </c>
    </row>
    <row r="1220" spans="1:4" ht="15" customHeight="1" x14ac:dyDescent="0.3">
      <c r="A1220" s="15">
        <v>134546</v>
      </c>
      <c r="B1220" s="17" t="s">
        <v>1214</v>
      </c>
      <c r="C1220" s="12">
        <v>43172</v>
      </c>
      <c r="D1220" s="11" t="str">
        <f>_xlfn.IFNA(IF(VLOOKUP(Tabela22[[#This Row],[CÓDIGO]],Aguardando_exclusão!A$4:A$4003,1,FALSE),"sim",""),"")</f>
        <v/>
      </c>
    </row>
    <row r="1221" spans="1:4" ht="15" customHeight="1" x14ac:dyDescent="0.3">
      <c r="A1221" s="15">
        <v>134547</v>
      </c>
      <c r="B1221" s="17" t="s">
        <v>1215</v>
      </c>
      <c r="C1221" s="12">
        <v>43172</v>
      </c>
      <c r="D1221" s="11" t="str">
        <f>_xlfn.IFNA(IF(VLOOKUP(Tabela22[[#This Row],[CÓDIGO]],Aguardando_exclusão!A$4:A$4003,1,FALSE),"sim",""),"")</f>
        <v/>
      </c>
    </row>
    <row r="1222" spans="1:4" ht="15" customHeight="1" x14ac:dyDescent="0.3">
      <c r="A1222" s="15">
        <v>134548</v>
      </c>
      <c r="B1222" s="17" t="s">
        <v>1216</v>
      </c>
      <c r="C1222" s="12">
        <v>43174</v>
      </c>
      <c r="D1222" s="11" t="str">
        <f>_xlfn.IFNA(IF(VLOOKUP(Tabela22[[#This Row],[CÓDIGO]],Aguardando_exclusão!A$4:A$4003,1,FALSE),"sim",""),"")</f>
        <v/>
      </c>
    </row>
    <row r="1223" spans="1:4" ht="15" customHeight="1" x14ac:dyDescent="0.3">
      <c r="A1223" s="15">
        <v>134556</v>
      </c>
      <c r="B1223" s="17" t="s">
        <v>1217</v>
      </c>
      <c r="C1223" s="12">
        <v>43174</v>
      </c>
      <c r="D1223" s="11" t="str">
        <f>_xlfn.IFNA(IF(VLOOKUP(Tabela22[[#This Row],[CÓDIGO]],Aguardando_exclusão!A$4:A$4003,1,FALSE),"sim",""),"")</f>
        <v/>
      </c>
    </row>
    <row r="1224" spans="1:4" ht="15" customHeight="1" x14ac:dyDescent="0.3">
      <c r="A1224" s="15">
        <v>134557</v>
      </c>
      <c r="B1224" s="17" t="s">
        <v>1218</v>
      </c>
      <c r="C1224" s="12">
        <v>43174</v>
      </c>
      <c r="D1224" s="11" t="str">
        <f>_xlfn.IFNA(IF(VLOOKUP(Tabela22[[#This Row],[CÓDIGO]],Aguardando_exclusão!A$4:A$4003,1,FALSE),"sim",""),"")</f>
        <v/>
      </c>
    </row>
    <row r="1225" spans="1:4" ht="15" customHeight="1" x14ac:dyDescent="0.3">
      <c r="A1225" s="15">
        <v>134558</v>
      </c>
      <c r="B1225" s="17" t="s">
        <v>1219</v>
      </c>
      <c r="C1225" s="12">
        <v>43174</v>
      </c>
      <c r="D1225" s="11" t="str">
        <f>_xlfn.IFNA(IF(VLOOKUP(Tabela22[[#This Row],[CÓDIGO]],Aguardando_exclusão!A$4:A$4003,1,FALSE),"sim",""),"")</f>
        <v/>
      </c>
    </row>
    <row r="1226" spans="1:4" ht="15" customHeight="1" x14ac:dyDescent="0.3">
      <c r="A1226" s="15">
        <v>134559</v>
      </c>
      <c r="B1226" s="17" t="s">
        <v>1220</v>
      </c>
      <c r="C1226" s="12">
        <v>43174</v>
      </c>
      <c r="D1226" s="11" t="str">
        <f>_xlfn.IFNA(IF(VLOOKUP(Tabela22[[#This Row],[CÓDIGO]],Aguardando_exclusão!A$4:A$4003,1,FALSE),"sim",""),"")</f>
        <v/>
      </c>
    </row>
    <row r="1227" spans="1:4" ht="15" customHeight="1" x14ac:dyDescent="0.3">
      <c r="A1227" s="15">
        <v>134560</v>
      </c>
      <c r="B1227" s="17" t="s">
        <v>1221</v>
      </c>
      <c r="C1227" s="12">
        <v>43174</v>
      </c>
      <c r="D1227" s="11" t="str">
        <f>_xlfn.IFNA(IF(VLOOKUP(Tabela22[[#This Row],[CÓDIGO]],Aguardando_exclusão!A$4:A$4003,1,FALSE),"sim",""),"")</f>
        <v/>
      </c>
    </row>
    <row r="1228" spans="1:4" ht="15" customHeight="1" x14ac:dyDescent="0.3">
      <c r="A1228" s="15">
        <v>134561</v>
      </c>
      <c r="B1228" s="17" t="s">
        <v>1222</v>
      </c>
      <c r="C1228" s="12">
        <v>43174</v>
      </c>
      <c r="D1228" s="11" t="str">
        <f>_xlfn.IFNA(IF(VLOOKUP(Tabela22[[#This Row],[CÓDIGO]],Aguardando_exclusão!A$4:A$4003,1,FALSE),"sim",""),"")</f>
        <v/>
      </c>
    </row>
    <row r="1229" spans="1:4" ht="15" customHeight="1" x14ac:dyDescent="0.3">
      <c r="A1229" s="15">
        <v>134562</v>
      </c>
      <c r="B1229" s="17" t="s">
        <v>1223</v>
      </c>
      <c r="C1229" s="12">
        <v>43174</v>
      </c>
      <c r="D1229" s="11" t="str">
        <f>_xlfn.IFNA(IF(VLOOKUP(Tabela22[[#This Row],[CÓDIGO]],Aguardando_exclusão!A$4:A$4003,1,FALSE),"sim",""),"")</f>
        <v/>
      </c>
    </row>
    <row r="1230" spans="1:4" ht="15" customHeight="1" x14ac:dyDescent="0.3">
      <c r="A1230" s="15">
        <v>134563</v>
      </c>
      <c r="B1230" s="17" t="s">
        <v>1224</v>
      </c>
      <c r="C1230" s="12">
        <v>43174</v>
      </c>
      <c r="D1230" s="11" t="str">
        <f>_xlfn.IFNA(IF(VLOOKUP(Tabela22[[#This Row],[CÓDIGO]],Aguardando_exclusão!A$4:A$4003,1,FALSE),"sim",""),"")</f>
        <v/>
      </c>
    </row>
    <row r="1231" spans="1:4" ht="15" customHeight="1" x14ac:dyDescent="0.3">
      <c r="A1231" s="15">
        <v>134564</v>
      </c>
      <c r="B1231" s="17" t="s">
        <v>1225</v>
      </c>
      <c r="C1231" s="12">
        <v>43174</v>
      </c>
      <c r="D1231" s="11" t="str">
        <f>_xlfn.IFNA(IF(VLOOKUP(Tabela22[[#This Row],[CÓDIGO]],Aguardando_exclusão!A$4:A$4003,1,FALSE),"sim",""),"")</f>
        <v/>
      </c>
    </row>
    <row r="1232" spans="1:4" ht="15" customHeight="1" x14ac:dyDescent="0.3">
      <c r="A1232" s="15">
        <v>134565</v>
      </c>
      <c r="B1232" s="17" t="s">
        <v>1226</v>
      </c>
      <c r="C1232" s="12">
        <v>43174</v>
      </c>
      <c r="D1232" s="11" t="str">
        <f>_xlfn.IFNA(IF(VLOOKUP(Tabela22[[#This Row],[CÓDIGO]],Aguardando_exclusão!A$4:A$4003,1,FALSE),"sim",""),"")</f>
        <v/>
      </c>
    </row>
    <row r="1233" spans="1:4" ht="15" customHeight="1" x14ac:dyDescent="0.3">
      <c r="A1233" s="15">
        <v>134566</v>
      </c>
      <c r="B1233" s="17" t="s">
        <v>1227</v>
      </c>
      <c r="C1233" s="12">
        <v>43174</v>
      </c>
      <c r="D1233" s="11" t="str">
        <f>_xlfn.IFNA(IF(VLOOKUP(Tabela22[[#This Row],[CÓDIGO]],Aguardando_exclusão!A$4:A$4003,1,FALSE),"sim",""),"")</f>
        <v/>
      </c>
    </row>
    <row r="1234" spans="1:4" ht="15" customHeight="1" x14ac:dyDescent="0.3">
      <c r="A1234" s="15">
        <v>134567</v>
      </c>
      <c r="B1234" s="17" t="s">
        <v>1228</v>
      </c>
      <c r="C1234" s="12">
        <v>43174</v>
      </c>
      <c r="D1234" s="11" t="str">
        <f>_xlfn.IFNA(IF(VLOOKUP(Tabela22[[#This Row],[CÓDIGO]],Aguardando_exclusão!A$4:A$4003,1,FALSE),"sim",""),"")</f>
        <v/>
      </c>
    </row>
    <row r="1235" spans="1:4" ht="15" customHeight="1" x14ac:dyDescent="0.3">
      <c r="A1235" s="15">
        <v>134568</v>
      </c>
      <c r="B1235" s="17" t="s">
        <v>1229</v>
      </c>
      <c r="C1235" s="12">
        <v>43174</v>
      </c>
      <c r="D1235" s="11" t="str">
        <f>_xlfn.IFNA(IF(VLOOKUP(Tabela22[[#This Row],[CÓDIGO]],Aguardando_exclusão!A$4:A$4003,1,FALSE),"sim",""),"")</f>
        <v/>
      </c>
    </row>
    <row r="1236" spans="1:4" ht="15" customHeight="1" x14ac:dyDescent="0.3">
      <c r="A1236" s="15">
        <v>134569</v>
      </c>
      <c r="B1236" s="17" t="s">
        <v>1230</v>
      </c>
      <c r="C1236" s="12">
        <v>43174</v>
      </c>
      <c r="D1236" s="11" t="str">
        <f>_xlfn.IFNA(IF(VLOOKUP(Tabela22[[#This Row],[CÓDIGO]],Aguardando_exclusão!A$4:A$4003,1,FALSE),"sim",""),"")</f>
        <v/>
      </c>
    </row>
    <row r="1237" spans="1:4" ht="15" customHeight="1" x14ac:dyDescent="0.3">
      <c r="A1237" s="15">
        <v>134581</v>
      </c>
      <c r="B1237" s="17" t="s">
        <v>1231</v>
      </c>
      <c r="C1237" s="12">
        <v>43174</v>
      </c>
      <c r="D1237" s="11" t="str">
        <f>_xlfn.IFNA(IF(VLOOKUP(Tabela22[[#This Row],[CÓDIGO]],Aguardando_exclusão!A$4:A$4003,1,FALSE),"sim",""),"")</f>
        <v/>
      </c>
    </row>
    <row r="1238" spans="1:4" ht="15" customHeight="1" x14ac:dyDescent="0.3">
      <c r="A1238" s="15">
        <v>134582</v>
      </c>
      <c r="B1238" s="17" t="s">
        <v>1232</v>
      </c>
      <c r="C1238" s="12">
        <v>43174</v>
      </c>
      <c r="D1238" s="11" t="str">
        <f>_xlfn.IFNA(IF(VLOOKUP(Tabela22[[#This Row],[CÓDIGO]],Aguardando_exclusão!A$4:A$4003,1,FALSE),"sim",""),"")</f>
        <v/>
      </c>
    </row>
    <row r="1239" spans="1:4" ht="15" customHeight="1" x14ac:dyDescent="0.3">
      <c r="A1239" s="15">
        <v>135224</v>
      </c>
      <c r="B1239" s="17" t="s">
        <v>1233</v>
      </c>
      <c r="C1239" s="12">
        <v>43264</v>
      </c>
      <c r="D1239" s="11" t="str">
        <f>_xlfn.IFNA(IF(VLOOKUP(Tabela22[[#This Row],[CÓDIGO]],Aguardando_exclusão!A$4:A$4003,1,FALSE),"sim",""),"")</f>
        <v/>
      </c>
    </row>
    <row r="1240" spans="1:4" ht="15" customHeight="1" x14ac:dyDescent="0.3">
      <c r="A1240" s="15">
        <v>135225</v>
      </c>
      <c r="B1240" s="17" t="s">
        <v>1234</v>
      </c>
      <c r="C1240" s="12">
        <v>43264</v>
      </c>
      <c r="D1240" s="11" t="str">
        <f>_xlfn.IFNA(IF(VLOOKUP(Tabela22[[#This Row],[CÓDIGO]],Aguardando_exclusão!A$4:A$4003,1,FALSE),"sim",""),"")</f>
        <v/>
      </c>
    </row>
    <row r="1241" spans="1:4" ht="15" customHeight="1" x14ac:dyDescent="0.3">
      <c r="A1241" s="15">
        <v>135226</v>
      </c>
      <c r="B1241" s="17" t="s">
        <v>1235</v>
      </c>
      <c r="C1241" s="12">
        <v>43264</v>
      </c>
      <c r="D1241" s="11" t="str">
        <f>_xlfn.IFNA(IF(VLOOKUP(Tabela22[[#This Row],[CÓDIGO]],Aguardando_exclusão!A$4:A$4003,1,FALSE),"sim",""),"")</f>
        <v/>
      </c>
    </row>
    <row r="1242" spans="1:4" ht="15" customHeight="1" x14ac:dyDescent="0.3">
      <c r="A1242" s="15">
        <v>135227</v>
      </c>
      <c r="B1242" s="17" t="s">
        <v>1236</v>
      </c>
      <c r="C1242" s="12">
        <v>43264</v>
      </c>
      <c r="D1242" s="11" t="str">
        <f>_xlfn.IFNA(IF(VLOOKUP(Tabela22[[#This Row],[CÓDIGO]],Aguardando_exclusão!A$4:A$4003,1,FALSE),"sim",""),"")</f>
        <v/>
      </c>
    </row>
    <row r="1243" spans="1:4" ht="15" customHeight="1" x14ac:dyDescent="0.3">
      <c r="A1243" s="15">
        <v>135238</v>
      </c>
      <c r="B1243" s="17" t="s">
        <v>1237</v>
      </c>
      <c r="C1243" s="12">
        <v>43265</v>
      </c>
      <c r="D1243" s="11" t="str">
        <f>_xlfn.IFNA(IF(VLOOKUP(Tabela22[[#This Row],[CÓDIGO]],Aguardando_exclusão!A$4:A$4003,1,FALSE),"sim",""),"")</f>
        <v/>
      </c>
    </row>
    <row r="1244" spans="1:4" ht="15" customHeight="1" x14ac:dyDescent="0.3">
      <c r="A1244" s="15">
        <v>135239</v>
      </c>
      <c r="B1244" s="17" t="s">
        <v>1238</v>
      </c>
      <c r="C1244" s="12">
        <v>43265</v>
      </c>
      <c r="D1244" s="11" t="str">
        <f>_xlfn.IFNA(IF(VLOOKUP(Tabela22[[#This Row],[CÓDIGO]],Aguardando_exclusão!A$4:A$4003,1,FALSE),"sim",""),"")</f>
        <v/>
      </c>
    </row>
    <row r="1245" spans="1:4" ht="15" customHeight="1" x14ac:dyDescent="0.3">
      <c r="A1245" s="15">
        <v>135297</v>
      </c>
      <c r="B1245" s="17" t="s">
        <v>1239</v>
      </c>
      <c r="C1245" s="12">
        <v>43277</v>
      </c>
      <c r="D1245" s="11" t="str">
        <f>_xlfn.IFNA(IF(VLOOKUP(Tabela22[[#This Row],[CÓDIGO]],Aguardando_exclusão!A$4:A$4003,1,FALSE),"sim",""),"")</f>
        <v/>
      </c>
    </row>
    <row r="1246" spans="1:4" ht="15" customHeight="1" x14ac:dyDescent="0.3">
      <c r="A1246" s="15">
        <v>135299</v>
      </c>
      <c r="B1246" s="17" t="s">
        <v>1240</v>
      </c>
      <c r="C1246" s="12">
        <v>43277</v>
      </c>
      <c r="D1246" s="11" t="str">
        <f>_xlfn.IFNA(IF(VLOOKUP(Tabela22[[#This Row],[CÓDIGO]],Aguardando_exclusão!A$4:A$4003,1,FALSE),"sim",""),"")</f>
        <v/>
      </c>
    </row>
    <row r="1247" spans="1:4" ht="15" customHeight="1" x14ac:dyDescent="0.3">
      <c r="A1247" s="15">
        <v>135300</v>
      </c>
      <c r="B1247" s="17" t="s">
        <v>1241</v>
      </c>
      <c r="C1247" s="12">
        <v>43277</v>
      </c>
      <c r="D1247" s="11" t="str">
        <f>_xlfn.IFNA(IF(VLOOKUP(Tabela22[[#This Row],[CÓDIGO]],Aguardando_exclusão!A$4:A$4003,1,FALSE),"sim",""),"")</f>
        <v/>
      </c>
    </row>
    <row r="1248" spans="1:4" ht="15" customHeight="1" x14ac:dyDescent="0.3">
      <c r="A1248" s="15">
        <v>135301</v>
      </c>
      <c r="B1248" s="17" t="s">
        <v>1242</v>
      </c>
      <c r="C1248" s="12">
        <v>43277</v>
      </c>
      <c r="D1248" s="11" t="str">
        <f>_xlfn.IFNA(IF(VLOOKUP(Tabela22[[#This Row],[CÓDIGO]],Aguardando_exclusão!A$4:A$4003,1,FALSE),"sim",""),"")</f>
        <v/>
      </c>
    </row>
    <row r="1249" spans="1:4" ht="15" customHeight="1" x14ac:dyDescent="0.3">
      <c r="A1249" s="15">
        <v>135302</v>
      </c>
      <c r="B1249" s="17" t="s">
        <v>1243</v>
      </c>
      <c r="C1249" s="12">
        <v>43277</v>
      </c>
      <c r="D1249" s="11" t="str">
        <f>_xlfn.IFNA(IF(VLOOKUP(Tabela22[[#This Row],[CÓDIGO]],Aguardando_exclusão!A$4:A$4003,1,FALSE),"sim",""),"")</f>
        <v/>
      </c>
    </row>
    <row r="1250" spans="1:4" ht="15" customHeight="1" x14ac:dyDescent="0.3">
      <c r="A1250" s="15">
        <v>135303</v>
      </c>
      <c r="B1250" s="17" t="s">
        <v>1244</v>
      </c>
      <c r="C1250" s="12">
        <v>43277</v>
      </c>
      <c r="D1250" s="11" t="str">
        <f>_xlfn.IFNA(IF(VLOOKUP(Tabela22[[#This Row],[CÓDIGO]],Aguardando_exclusão!A$4:A$4003,1,FALSE),"sim",""),"")</f>
        <v/>
      </c>
    </row>
    <row r="1251" spans="1:4" ht="15" customHeight="1" x14ac:dyDescent="0.3">
      <c r="A1251" s="15">
        <v>135304</v>
      </c>
      <c r="B1251" s="17" t="s">
        <v>1245</v>
      </c>
      <c r="C1251" s="12">
        <v>43277</v>
      </c>
      <c r="D1251" s="11" t="str">
        <f>_xlfn.IFNA(IF(VLOOKUP(Tabela22[[#This Row],[CÓDIGO]],Aguardando_exclusão!A$4:A$4003,1,FALSE),"sim",""),"")</f>
        <v/>
      </c>
    </row>
    <row r="1252" spans="1:4" ht="15" customHeight="1" x14ac:dyDescent="0.3">
      <c r="A1252" s="15">
        <v>135700</v>
      </c>
      <c r="B1252" s="17" t="s">
        <v>1246</v>
      </c>
      <c r="C1252" s="12">
        <v>43333</v>
      </c>
      <c r="D1252" s="11" t="str">
        <f>_xlfn.IFNA(IF(VLOOKUP(Tabela22[[#This Row],[CÓDIGO]],Aguardando_exclusão!A$4:A$4003,1,FALSE),"sim",""),"")</f>
        <v/>
      </c>
    </row>
    <row r="1253" spans="1:4" ht="15" customHeight="1" x14ac:dyDescent="0.3">
      <c r="A1253" s="15">
        <v>136037</v>
      </c>
      <c r="B1253" s="17" t="s">
        <v>1247</v>
      </c>
      <c r="C1253" s="12">
        <v>43418</v>
      </c>
      <c r="D1253" s="11" t="str">
        <f>_xlfn.IFNA(IF(VLOOKUP(Tabela22[[#This Row],[CÓDIGO]],Aguardando_exclusão!A$4:A$4003,1,FALSE),"sim",""),"")</f>
        <v/>
      </c>
    </row>
    <row r="1254" spans="1:4" ht="15" customHeight="1" x14ac:dyDescent="0.3">
      <c r="A1254" s="15">
        <v>136038</v>
      </c>
      <c r="B1254" s="17" t="s">
        <v>1248</v>
      </c>
      <c r="C1254" s="12">
        <v>43418</v>
      </c>
      <c r="D1254" s="11" t="str">
        <f>_xlfn.IFNA(IF(VLOOKUP(Tabela22[[#This Row],[CÓDIGO]],Aguardando_exclusão!A$4:A$4003,1,FALSE),"sim",""),"")</f>
        <v/>
      </c>
    </row>
    <row r="1255" spans="1:4" ht="15" customHeight="1" x14ac:dyDescent="0.3">
      <c r="A1255" s="15">
        <v>136039</v>
      </c>
      <c r="B1255" s="17" t="s">
        <v>1249</v>
      </c>
      <c r="C1255" s="12">
        <v>43418</v>
      </c>
      <c r="D1255" s="11" t="str">
        <f>_xlfn.IFNA(IF(VLOOKUP(Tabela22[[#This Row],[CÓDIGO]],Aguardando_exclusão!A$4:A$4003,1,FALSE),"sim",""),"")</f>
        <v/>
      </c>
    </row>
    <row r="1256" spans="1:4" ht="15" customHeight="1" x14ac:dyDescent="0.3">
      <c r="A1256" s="15">
        <v>136040</v>
      </c>
      <c r="B1256" s="17" t="s">
        <v>1250</v>
      </c>
      <c r="C1256" s="12">
        <v>43418</v>
      </c>
      <c r="D1256" s="11" t="str">
        <f>_xlfn.IFNA(IF(VLOOKUP(Tabela22[[#This Row],[CÓDIGO]],Aguardando_exclusão!A$4:A$4003,1,FALSE),"sim",""),"")</f>
        <v/>
      </c>
    </row>
    <row r="1257" spans="1:4" x14ac:dyDescent="0.3">
      <c r="C1257" s="12"/>
    </row>
  </sheetData>
  <conditionalFormatting sqref="A2:A2000">
    <cfRule type="duplicateValues" dxfId="7" priority="2"/>
  </conditionalFormatting>
  <conditionalFormatting sqref="A2:D2000">
    <cfRule type="expression" dxfId="6" priority="1">
      <formula>$D2="sim"</formula>
    </cfRule>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Itens</vt:lpstr>
      <vt:lpstr>Aguardando_exclusão</vt:lpstr>
      <vt:lpstr>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2018-11-28T10:48:58Z</cp:lastPrinted>
  <dcterms:created xsi:type="dcterms:W3CDTF">2018-11-26T15:42:52Z</dcterms:created>
  <dcterms:modified xsi:type="dcterms:W3CDTF">2023-11-26T19:05:23Z</dcterms:modified>
</cp:coreProperties>
</file>