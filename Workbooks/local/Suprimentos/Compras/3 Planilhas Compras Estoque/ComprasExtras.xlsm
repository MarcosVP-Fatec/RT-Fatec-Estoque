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activeX/activeX18.xml" ContentType="application/vnd.ms-office.activeX+xml"/>
  <Override PartName="/xl/activeX/activeX18.bin" ContentType="application/vnd.ms-office.activeX"/>
  <Override PartName="/xl/tables/table5.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activeX/activeX19.xml" ContentType="application/vnd.ms-office.activeX+xml"/>
  <Override PartName="/xl/activeX/activeX19.bin" ContentType="application/vnd.ms-office.activeX"/>
  <Override PartName="/xl/tables/table6.xml" ContentType="application/vnd.openxmlformats-officedocument.spreadsheetml.table+xml"/>
  <Override PartName="/xl/comments6.xml" ContentType="application/vnd.openxmlformats-officedocument.spreadsheetml.comments+xml"/>
  <Override PartName="/xl/drawings/drawing7.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7.xml" ContentType="application/vnd.openxmlformats-officedocument.spreadsheetml.table+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4" codeName="{3D1A710C-6663-3D7B-7F91-EC182F24A4BC}"/>
  <workbookPr updateLinks="never" codeName="EstaPasta_de_trabalho"/>
  <mc:AlternateContent xmlns:mc="http://schemas.openxmlformats.org/markup-compatibility/2006">
    <mc:Choice Requires="x15">
      <x15ac:absPath xmlns:x15ac="http://schemas.microsoft.com/office/spreadsheetml/2010/11/ac" url="G:\Suprimentos\Compras\3 Planilhas Compras Estoque\"/>
    </mc:Choice>
  </mc:AlternateContent>
  <xr:revisionPtr revIDLastSave="0" documentId="13_ncr:1_{FCF47E29-7D1F-44F0-AF33-0F278047DA52}" xr6:coauthVersionLast="36" xr6:coauthVersionMax="36" xr10:uidLastSave="{00000000-0000-0000-0000-000000000000}"/>
  <bookViews>
    <workbookView xWindow="0" yWindow="0" windowWidth="28800" windowHeight="12345" xr2:uid="{00000000-000D-0000-FFFF-FFFF00000000}"/>
  </bookViews>
  <sheets>
    <sheet name="Extras" sheetId="1" r:id="rId1"/>
    <sheet name="ListaItens" sheetId="2" r:id="rId2"/>
    <sheet name="Origens" sheetId="4" r:id="rId3"/>
    <sheet name="Excluir_do_Estoque" sheetId="7" r:id="rId4"/>
    <sheet name="Parâmetros" sheetId="8" r:id="rId5"/>
    <sheet name="RCsReemitidas_Excluir" sheetId="9" state="hidden" r:id="rId6"/>
    <sheet name="Extras_Backup" sheetId="5" state="hidden" r:id="rId7"/>
  </sheets>
  <functionGroups builtInGroupCount="19"/>
  <definedNames>
    <definedName name="Excel_BuiltIn__FilterDatabase_3" localSheetId="5">#REF!</definedName>
    <definedName name="Excel_BuiltIn__FilterDatabase_3">#REF!</definedName>
    <definedName name="_xlnm.Print_Titles" localSheetId="0">Extras!$1:$2</definedName>
    <definedName name="_xlnm.Print_Titles" localSheetId="6">Extras_Backup!$1:$2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468" i="2" l="1"/>
  <c r="E1468" i="2"/>
  <c r="D1475" i="2"/>
  <c r="E1475" i="2"/>
  <c r="D1477" i="2"/>
  <c r="E1477" i="2"/>
  <c r="D1480" i="2"/>
  <c r="E1480" i="2"/>
  <c r="D1485" i="2"/>
  <c r="E1485" i="2"/>
  <c r="D1484" i="2"/>
  <c r="E1484" i="2"/>
  <c r="D1473" i="2"/>
  <c r="E1473" i="2"/>
  <c r="D1472" i="2"/>
  <c r="E1472" i="2"/>
  <c r="D1474" i="2"/>
  <c r="E1474" i="2"/>
  <c r="D1483" i="2"/>
  <c r="E1483" i="2"/>
  <c r="D1482" i="2"/>
  <c r="E1482" i="2"/>
  <c r="D1481" i="2"/>
  <c r="E1481" i="2"/>
  <c r="D1479" i="2"/>
  <c r="E1479" i="2"/>
  <c r="D978" i="2"/>
  <c r="E978" i="2"/>
  <c r="D1476" i="2"/>
  <c r="E1476" i="2"/>
  <c r="D1436" i="2"/>
  <c r="E1436" i="2"/>
  <c r="D1435" i="2"/>
  <c r="E1435" i="2"/>
  <c r="D1434" i="2"/>
  <c r="E1434" i="2"/>
  <c r="D302" i="2"/>
  <c r="E302" i="2"/>
  <c r="D1470" i="2"/>
  <c r="E1470" i="2"/>
  <c r="D1466" i="2"/>
  <c r="E1466" i="2"/>
  <c r="D1228" i="2"/>
  <c r="E1228" i="2"/>
  <c r="D1471" i="2"/>
  <c r="E1471" i="2"/>
  <c r="D1478" i="2"/>
  <c r="E1478" i="2"/>
  <c r="D1158" i="2"/>
  <c r="E1158" i="2"/>
  <c r="D1461" i="2"/>
  <c r="E1461" i="2"/>
  <c r="D1464" i="2"/>
  <c r="E1464" i="2"/>
  <c r="D1462" i="2"/>
  <c r="E1462" i="2"/>
  <c r="D1459" i="2"/>
  <c r="E1459" i="2"/>
  <c r="D1458" i="2"/>
  <c r="E1458" i="2"/>
  <c r="D1457" i="2"/>
  <c r="E1457" i="2"/>
  <c r="D1463" i="2"/>
  <c r="E1463" i="2"/>
  <c r="D1456" i="2"/>
  <c r="E1456" i="2"/>
  <c r="D1453" i="2"/>
  <c r="E1453" i="2"/>
  <c r="D1454" i="2"/>
  <c r="E1454" i="2"/>
  <c r="D1455" i="2"/>
  <c r="E1455" i="2"/>
  <c r="D1452" i="2"/>
  <c r="E1452" i="2"/>
  <c r="D1451" i="2"/>
  <c r="E1451" i="2"/>
  <c r="D1465" i="2"/>
  <c r="E1465" i="2"/>
  <c r="D1450" i="2"/>
  <c r="E1450" i="2"/>
  <c r="D1460" i="2"/>
  <c r="E1460" i="2"/>
  <c r="D1449" i="2"/>
  <c r="E1449" i="2"/>
  <c r="D1447" i="2"/>
  <c r="E1447" i="2"/>
  <c r="D1448" i="2"/>
  <c r="E1448" i="2"/>
  <c r="D1443" i="2"/>
  <c r="E1443" i="2"/>
  <c r="D1442" i="2"/>
  <c r="E1442" i="2"/>
  <c r="D1441" i="2"/>
  <c r="E1441" i="2"/>
  <c r="D1440" i="2"/>
  <c r="E1440" i="2"/>
  <c r="D1438" i="2"/>
  <c r="E1438" i="2"/>
  <c r="D1439" i="2"/>
  <c r="E1439" i="2"/>
  <c r="D1445" i="2"/>
  <c r="E1445" i="2"/>
  <c r="D1444" i="2"/>
  <c r="E1444" i="2"/>
  <c r="D1446" i="2"/>
  <c r="E1446" i="2"/>
  <c r="D1437" i="2"/>
  <c r="E1437" i="2"/>
  <c r="D1469" i="2"/>
  <c r="E1469" i="2"/>
  <c r="D809" i="2"/>
  <c r="E809" i="2"/>
  <c r="D808" i="2"/>
  <c r="E808" i="2"/>
  <c r="D1467" i="2"/>
  <c r="E1467" i="2"/>
  <c r="D7" i="2"/>
  <c r="E7" i="2"/>
  <c r="D6" i="2"/>
  <c r="E6" i="2"/>
  <c r="D1433" i="2" l="1"/>
  <c r="E1433" i="2"/>
  <c r="D1385" i="2"/>
  <c r="E1385" i="2"/>
  <c r="D1001" i="2"/>
  <c r="E1001" i="2"/>
  <c r="D1328" i="2" l="1"/>
  <c r="E1328" i="2"/>
  <c r="D1390" i="2" l="1"/>
  <c r="E1390" i="2"/>
  <c r="D1401" i="2" l="1"/>
  <c r="E1401" i="2"/>
  <c r="D1389" i="2"/>
  <c r="E1389" i="2"/>
  <c r="D1425" i="2" l="1"/>
  <c r="E1425" i="2"/>
  <c r="D1427" i="2"/>
  <c r="E1427" i="2"/>
  <c r="D1426" i="2"/>
  <c r="E1426" i="2"/>
  <c r="D1428" i="2"/>
  <c r="E1428" i="2"/>
  <c r="D1432" i="2" l="1"/>
  <c r="E1432" i="2"/>
  <c r="D1431" i="2"/>
  <c r="E1431" i="2"/>
  <c r="D1430" i="2"/>
  <c r="E1430" i="2"/>
  <c r="D1429" i="2"/>
  <c r="E1429" i="2"/>
  <c r="D1048" i="2" l="1"/>
  <c r="E1048" i="2"/>
  <c r="H7" i="9" l="1"/>
  <c r="L7" i="9"/>
  <c r="H6" i="9"/>
  <c r="L6" i="9"/>
  <c r="H5" i="9"/>
  <c r="L5" i="9"/>
  <c r="H8" i="9"/>
  <c r="L8" i="9"/>
  <c r="H4" i="9" l="1"/>
  <c r="L4" i="9"/>
  <c r="H9" i="9"/>
  <c r="H10" i="9"/>
  <c r="H11" i="9"/>
  <c r="H3" i="9"/>
  <c r="L3" i="9" l="1"/>
  <c r="L10" i="9" l="1"/>
  <c r="L11" i="9"/>
  <c r="L9" i="9"/>
  <c r="D3" i="2" l="1"/>
  <c r="E3" i="2"/>
  <c r="L32" i="1" l="1"/>
  <c r="L33" i="1"/>
  <c r="L34" i="1"/>
  <c r="L78" i="1"/>
  <c r="L79" i="1"/>
  <c r="L80" i="1"/>
  <c r="L81" i="1"/>
  <c r="L82" i="1"/>
  <c r="L83" i="1"/>
  <c r="L84" i="1"/>
  <c r="L35" i="1"/>
  <c r="L85" i="1"/>
  <c r="L86" i="1"/>
  <c r="L36" i="1"/>
  <c r="L87" i="1"/>
  <c r="L88" i="1"/>
  <c r="L89" i="1"/>
  <c r="L90" i="1"/>
  <c r="L91" i="1"/>
  <c r="L92" i="1"/>
  <c r="L93" i="1"/>
  <c r="L3" i="1"/>
  <c r="L4" i="1"/>
  <c r="L94" i="1"/>
  <c r="L95" i="1"/>
  <c r="L96" i="1"/>
  <c r="L5" i="1"/>
  <c r="L97" i="1"/>
  <c r="L98" i="1"/>
  <c r="L99" i="1"/>
  <c r="L6" i="1"/>
  <c r="L7" i="1"/>
  <c r="L8" i="1"/>
  <c r="L100" i="1"/>
  <c r="L101" i="1"/>
  <c r="L102" i="1"/>
  <c r="L103" i="1"/>
  <c r="L104" i="1"/>
  <c r="L105" i="1"/>
  <c r="L9" i="1"/>
  <c r="L37" i="1"/>
  <c r="L106" i="1"/>
  <c r="L10"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1" i="1"/>
  <c r="L133" i="1"/>
  <c r="L134" i="1"/>
  <c r="L12" i="1"/>
  <c r="L135" i="1"/>
  <c r="L136" i="1"/>
  <c r="L137" i="1"/>
  <c r="L138" i="1"/>
  <c r="L139" i="1"/>
  <c r="L140" i="1"/>
  <c r="L141" i="1"/>
  <c r="L142" i="1"/>
  <c r="L13" i="1"/>
  <c r="L14" i="1"/>
  <c r="L143" i="1"/>
  <c r="L15" i="1"/>
  <c r="L144" i="1"/>
  <c r="L145" i="1"/>
  <c r="L16" i="1"/>
  <c r="L146" i="1"/>
  <c r="L147" i="1"/>
  <c r="L148" i="1"/>
  <c r="L17" i="1"/>
  <c r="L18" i="1"/>
  <c r="L19" i="1"/>
  <c r="L20" i="1"/>
  <c r="L149" i="1"/>
  <c r="L150" i="1"/>
  <c r="L151" i="1"/>
  <c r="L152" i="1"/>
  <c r="L153" i="1"/>
  <c r="L154" i="1"/>
  <c r="L155" i="1"/>
  <c r="L38" i="1"/>
  <c r="L156" i="1"/>
  <c r="L157" i="1"/>
  <c r="L158" i="1"/>
  <c r="L159" i="1"/>
  <c r="L160" i="1"/>
  <c r="L21" i="1"/>
  <c r="L22" i="1"/>
  <c r="L161" i="1"/>
  <c r="L162" i="1"/>
  <c r="L163" i="1"/>
  <c r="L164" i="1"/>
  <c r="L165" i="1"/>
  <c r="L166" i="1"/>
  <c r="L167" i="1"/>
  <c r="L23" i="1"/>
  <c r="L168" i="1"/>
  <c r="L39" i="1"/>
  <c r="L40" i="1"/>
  <c r="L169" i="1"/>
  <c r="L170" i="1"/>
  <c r="L171" i="1"/>
  <c r="L172" i="1"/>
  <c r="L24" i="1"/>
  <c r="L173" i="1"/>
  <c r="L174" i="1"/>
  <c r="L175" i="1"/>
  <c r="L176" i="1"/>
  <c r="L177" i="1"/>
  <c r="L178" i="1"/>
  <c r="L179" i="1"/>
  <c r="L180" i="1"/>
  <c r="L181" i="1"/>
  <c r="L182" i="1"/>
  <c r="L41" i="1"/>
  <c r="L183" i="1"/>
  <c r="L25" i="1"/>
  <c r="L26" i="1"/>
  <c r="L27" i="1"/>
  <c r="L184" i="1"/>
  <c r="L185" i="1"/>
  <c r="L186" i="1"/>
  <c r="L187" i="1"/>
  <c r="L42" i="1"/>
  <c r="L188" i="1"/>
  <c r="L189" i="1"/>
  <c r="L28" i="1"/>
  <c r="L190" i="1"/>
  <c r="L191" i="1"/>
  <c r="L192" i="1"/>
  <c r="L43" i="1"/>
  <c r="L44" i="1"/>
  <c r="L45" i="1"/>
  <c r="L46" i="1"/>
  <c r="L47" i="1"/>
  <c r="L48" i="1"/>
  <c r="L49" i="1"/>
  <c r="L50" i="1"/>
  <c r="L51" i="1"/>
  <c r="L52" i="1"/>
  <c r="L53" i="1"/>
  <c r="L54" i="1"/>
  <c r="L55" i="1"/>
  <c r="L56" i="1"/>
  <c r="L57" i="1"/>
  <c r="L58" i="1"/>
  <c r="L59" i="1"/>
  <c r="L60" i="1"/>
  <c r="L193" i="1"/>
  <c r="L194" i="1"/>
  <c r="L61" i="1"/>
  <c r="L62" i="1"/>
  <c r="L63" i="1"/>
  <c r="L64" i="1"/>
  <c r="L65" i="1"/>
  <c r="L66" i="1"/>
  <c r="L195" i="1"/>
  <c r="L196" i="1"/>
  <c r="L197" i="1"/>
  <c r="L29" i="1"/>
  <c r="L67" i="1"/>
  <c r="L68" i="1"/>
  <c r="L69" i="1"/>
  <c r="L198" i="1"/>
  <c r="L70" i="1"/>
  <c r="L71" i="1"/>
  <c r="L72" i="1"/>
  <c r="L73" i="1"/>
  <c r="L74" i="1"/>
  <c r="L199" i="1"/>
  <c r="L200" i="1"/>
  <c r="L201" i="1"/>
  <c r="L202" i="1"/>
  <c r="L203" i="1"/>
  <c r="L204" i="1"/>
  <c r="L205" i="1"/>
  <c r="L206" i="1"/>
  <c r="L207" i="1"/>
  <c r="L208" i="1"/>
  <c r="L209" i="1"/>
  <c r="L210" i="1"/>
  <c r="L211" i="1"/>
  <c r="L212" i="1"/>
  <c r="L213" i="1"/>
  <c r="L75" i="1"/>
  <c r="L214" i="1"/>
  <c r="L215" i="1"/>
  <c r="L30" i="1"/>
  <c r="L76" i="1"/>
  <c r="L77" i="1"/>
  <c r="L216" i="1"/>
  <c r="L217" i="1"/>
  <c r="L218" i="1"/>
  <c r="L31" i="1"/>
  <c r="E4" i="2" l="1"/>
  <c r="E5"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9" i="2"/>
  <c r="E980" i="2"/>
  <c r="E981" i="2"/>
  <c r="E982" i="2"/>
  <c r="E983" i="2"/>
  <c r="E984" i="2"/>
  <c r="E985" i="2"/>
  <c r="E986" i="2"/>
  <c r="E987" i="2"/>
  <c r="E988" i="2"/>
  <c r="E989" i="2"/>
  <c r="E990" i="2"/>
  <c r="E991" i="2"/>
  <c r="E992" i="2"/>
  <c r="E993" i="2"/>
  <c r="E994" i="2"/>
  <c r="E995" i="2"/>
  <c r="E996" i="2"/>
  <c r="E997" i="2"/>
  <c r="E998" i="2"/>
  <c r="E999" i="2"/>
  <c r="E1000"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E1138" i="2"/>
  <c r="E1139" i="2"/>
  <c r="E1140" i="2"/>
  <c r="E1141" i="2"/>
  <c r="E1142" i="2"/>
  <c r="E1143" i="2"/>
  <c r="E1144" i="2"/>
  <c r="E1145" i="2"/>
  <c r="E1146" i="2"/>
  <c r="E1147" i="2"/>
  <c r="E1148" i="2"/>
  <c r="E1149" i="2"/>
  <c r="E1150" i="2"/>
  <c r="E1151" i="2"/>
  <c r="E1152" i="2"/>
  <c r="E1153" i="2"/>
  <c r="E1154" i="2"/>
  <c r="E1155" i="2"/>
  <c r="E1156" i="2"/>
  <c r="E1157" i="2"/>
  <c r="E1159" i="2"/>
  <c r="E1160" i="2"/>
  <c r="E1161" i="2"/>
  <c r="E1162" i="2"/>
  <c r="E1163" i="2"/>
  <c r="E1164" i="2"/>
  <c r="E1165" i="2"/>
  <c r="E1166" i="2"/>
  <c r="E1167" i="2"/>
  <c r="E1168" i="2"/>
  <c r="E1169" i="2"/>
  <c r="E1170" i="2"/>
  <c r="E1171" i="2"/>
  <c r="E1172" i="2"/>
  <c r="E1173" i="2"/>
  <c r="E1174" i="2"/>
  <c r="E1175" i="2"/>
  <c r="E1176" i="2"/>
  <c r="E1177" i="2"/>
  <c r="E1178" i="2"/>
  <c r="E1179" i="2"/>
  <c r="E1180" i="2"/>
  <c r="E1181" i="2"/>
  <c r="E1182" i="2"/>
  <c r="E1183" i="2"/>
  <c r="E1184" i="2"/>
  <c r="E1185" i="2"/>
  <c r="E1186" i="2"/>
  <c r="E1187" i="2"/>
  <c r="E1188" i="2"/>
  <c r="E1189" i="2"/>
  <c r="E1190" i="2"/>
  <c r="E1191" i="2"/>
  <c r="E1192" i="2"/>
  <c r="E1193" i="2"/>
  <c r="E1194" i="2"/>
  <c r="E1195" i="2"/>
  <c r="E1196" i="2"/>
  <c r="E1197" i="2"/>
  <c r="E1198" i="2"/>
  <c r="E1199" i="2"/>
  <c r="E1200" i="2"/>
  <c r="E1201" i="2"/>
  <c r="E1202" i="2"/>
  <c r="E1203" i="2"/>
  <c r="E1204" i="2"/>
  <c r="E1205" i="2"/>
  <c r="E1206" i="2"/>
  <c r="E1207" i="2"/>
  <c r="E1208" i="2"/>
  <c r="E1209" i="2"/>
  <c r="E1210" i="2"/>
  <c r="E1211" i="2"/>
  <c r="E1212" i="2"/>
  <c r="E1213" i="2"/>
  <c r="E1214" i="2"/>
  <c r="E1215" i="2"/>
  <c r="E1216" i="2"/>
  <c r="E1217" i="2"/>
  <c r="E1218" i="2"/>
  <c r="E1219" i="2"/>
  <c r="E1220" i="2"/>
  <c r="E1221" i="2"/>
  <c r="E1222" i="2"/>
  <c r="E1223" i="2"/>
  <c r="E1224" i="2"/>
  <c r="E1225" i="2"/>
  <c r="E1226" i="2"/>
  <c r="E1227" i="2"/>
  <c r="E1229" i="2"/>
  <c r="E1230" i="2"/>
  <c r="E1231" i="2"/>
  <c r="E1232" i="2"/>
  <c r="E1233" i="2"/>
  <c r="E1234" i="2"/>
  <c r="E1235" i="2"/>
  <c r="E1236" i="2"/>
  <c r="E1237" i="2"/>
  <c r="E1238" i="2"/>
  <c r="E1239" i="2"/>
  <c r="E1240" i="2"/>
  <c r="E1241" i="2"/>
  <c r="E1242" i="2"/>
  <c r="E1243" i="2"/>
  <c r="E1244" i="2"/>
  <c r="E1245" i="2"/>
  <c r="E1246" i="2"/>
  <c r="E1247" i="2"/>
  <c r="E1248" i="2"/>
  <c r="E1249" i="2"/>
  <c r="E1250" i="2"/>
  <c r="E1251" i="2"/>
  <c r="E1252" i="2"/>
  <c r="E1253" i="2"/>
  <c r="E1254" i="2"/>
  <c r="E1255" i="2"/>
  <c r="E1256" i="2"/>
  <c r="E1257" i="2"/>
  <c r="E1258" i="2"/>
  <c r="E1259" i="2"/>
  <c r="E1260" i="2"/>
  <c r="E1261" i="2"/>
  <c r="E1262" i="2"/>
  <c r="E1263" i="2"/>
  <c r="E1264" i="2"/>
  <c r="E1265" i="2"/>
  <c r="E1266" i="2"/>
  <c r="E1267" i="2"/>
  <c r="E1268" i="2"/>
  <c r="E1269" i="2"/>
  <c r="E1270" i="2"/>
  <c r="E1271" i="2"/>
  <c r="E1272" i="2"/>
  <c r="E1273" i="2"/>
  <c r="E1274" i="2"/>
  <c r="E1275" i="2"/>
  <c r="E1276" i="2"/>
  <c r="E1277" i="2"/>
  <c r="E1278" i="2"/>
  <c r="E1279" i="2"/>
  <c r="E1280" i="2"/>
  <c r="E1281" i="2"/>
  <c r="E1282" i="2"/>
  <c r="E1283" i="2"/>
  <c r="E1284" i="2"/>
  <c r="E1285" i="2"/>
  <c r="E1286" i="2"/>
  <c r="E1287" i="2"/>
  <c r="E1288" i="2"/>
  <c r="E1289" i="2"/>
  <c r="E1290" i="2"/>
  <c r="E1291" i="2"/>
  <c r="E1292" i="2"/>
  <c r="E1293" i="2"/>
  <c r="E1294" i="2"/>
  <c r="E1295" i="2"/>
  <c r="E1296" i="2"/>
  <c r="E1297" i="2"/>
  <c r="E1298" i="2"/>
  <c r="E1299" i="2"/>
  <c r="E1300" i="2"/>
  <c r="E1301" i="2"/>
  <c r="E1302" i="2"/>
  <c r="E1303" i="2"/>
  <c r="E1304" i="2"/>
  <c r="E1305" i="2"/>
  <c r="E1306" i="2"/>
  <c r="E1307" i="2"/>
  <c r="E1308" i="2"/>
  <c r="E1309" i="2"/>
  <c r="E1310" i="2"/>
  <c r="E1311" i="2"/>
  <c r="E1312" i="2"/>
  <c r="E1313" i="2"/>
  <c r="E1314" i="2"/>
  <c r="E1315" i="2"/>
  <c r="E1316" i="2"/>
  <c r="E1317" i="2"/>
  <c r="E1318" i="2"/>
  <c r="E1319" i="2"/>
  <c r="E1320" i="2"/>
  <c r="E1321" i="2"/>
  <c r="E1322" i="2"/>
  <c r="E1323" i="2"/>
  <c r="E1324" i="2"/>
  <c r="E1325" i="2"/>
  <c r="E1326" i="2"/>
  <c r="E1327" i="2"/>
  <c r="E1329" i="2"/>
  <c r="E1330" i="2"/>
  <c r="E1331" i="2"/>
  <c r="E1332" i="2"/>
  <c r="E1333" i="2"/>
  <c r="E1334" i="2"/>
  <c r="E1335" i="2"/>
  <c r="E1336" i="2"/>
  <c r="E1337" i="2"/>
  <c r="E1338" i="2"/>
  <c r="E1339" i="2"/>
  <c r="E1340" i="2"/>
  <c r="E1341" i="2"/>
  <c r="E1342" i="2"/>
  <c r="E1343" i="2"/>
  <c r="E1344" i="2"/>
  <c r="E1345" i="2"/>
  <c r="E1346" i="2"/>
  <c r="E1347" i="2"/>
  <c r="E1348" i="2"/>
  <c r="E1349" i="2"/>
  <c r="E1350" i="2"/>
  <c r="E1351" i="2"/>
  <c r="E1352" i="2"/>
  <c r="E1353" i="2"/>
  <c r="E1354" i="2"/>
  <c r="E1355" i="2"/>
  <c r="E1356" i="2"/>
  <c r="E1357" i="2"/>
  <c r="E1358" i="2"/>
  <c r="E1359" i="2"/>
  <c r="E1360" i="2"/>
  <c r="E1361" i="2"/>
  <c r="E1362" i="2"/>
  <c r="E1363" i="2"/>
  <c r="E1364" i="2"/>
  <c r="E1365" i="2"/>
  <c r="E1366" i="2"/>
  <c r="E1367" i="2"/>
  <c r="E1368" i="2"/>
  <c r="E1369" i="2"/>
  <c r="E1370" i="2"/>
  <c r="E1371" i="2"/>
  <c r="E1372" i="2"/>
  <c r="E1373" i="2"/>
  <c r="E1374" i="2"/>
  <c r="E1375" i="2"/>
  <c r="E1376" i="2"/>
  <c r="E1377" i="2"/>
  <c r="E1378" i="2"/>
  <c r="E1379" i="2"/>
  <c r="E1380" i="2"/>
  <c r="E1381" i="2"/>
  <c r="E1382" i="2"/>
  <c r="E1383" i="2"/>
  <c r="E1384" i="2"/>
  <c r="E1386" i="2"/>
  <c r="E1387" i="2"/>
  <c r="E1388" i="2"/>
  <c r="E1391" i="2"/>
  <c r="E1392" i="2"/>
  <c r="E1393" i="2"/>
  <c r="E1394" i="2"/>
  <c r="E1395" i="2"/>
  <c r="E1396" i="2"/>
  <c r="E1397" i="2"/>
  <c r="E1398" i="2"/>
  <c r="E1399" i="2"/>
  <c r="E1400" i="2"/>
  <c r="E1402" i="2"/>
  <c r="E1403" i="2"/>
  <c r="E1404" i="2"/>
  <c r="E1405" i="2"/>
  <c r="E1406" i="2"/>
  <c r="E1407" i="2"/>
  <c r="E1408" i="2"/>
  <c r="E1409" i="2"/>
  <c r="E1410" i="2"/>
  <c r="E1411" i="2"/>
  <c r="E1412" i="2"/>
  <c r="E1413" i="2"/>
  <c r="E1414" i="2"/>
  <c r="E1415" i="2"/>
  <c r="E1416" i="2"/>
  <c r="E1417" i="2"/>
  <c r="E1418" i="2"/>
  <c r="E1419" i="2"/>
  <c r="E1420" i="2"/>
  <c r="E1421" i="2"/>
  <c r="E1422" i="2"/>
  <c r="E1423" i="2"/>
  <c r="E1424" i="2"/>
  <c r="D4" i="2" l="1"/>
  <c r="D5"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9" i="2"/>
  <c r="D980" i="2"/>
  <c r="D981" i="2"/>
  <c r="D982" i="2"/>
  <c r="D983" i="2"/>
  <c r="D984" i="2"/>
  <c r="D985" i="2"/>
  <c r="D986" i="2"/>
  <c r="D987" i="2"/>
  <c r="D988" i="2"/>
  <c r="D989" i="2"/>
  <c r="D990" i="2"/>
  <c r="D991" i="2"/>
  <c r="D992" i="2"/>
  <c r="D993" i="2"/>
  <c r="D994" i="2"/>
  <c r="D995" i="2"/>
  <c r="D996" i="2"/>
  <c r="D997" i="2"/>
  <c r="D998" i="2"/>
  <c r="D999" i="2"/>
  <c r="D1000"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3" i="2"/>
  <c r="D1224" i="2"/>
  <c r="D1225" i="2"/>
  <c r="D1226" i="2"/>
  <c r="D1227" i="2"/>
  <c r="D1229" i="2"/>
  <c r="D1230" i="2"/>
  <c r="D1231" i="2"/>
  <c r="D1232" i="2"/>
  <c r="D1233" i="2"/>
  <c r="D1234" i="2"/>
  <c r="D1235" i="2"/>
  <c r="D1236" i="2"/>
  <c r="D1237" i="2"/>
  <c r="D1238" i="2"/>
  <c r="D1239" i="2"/>
  <c r="D1240" i="2"/>
  <c r="D1241" i="2"/>
  <c r="D1242" i="2"/>
  <c r="D1243" i="2"/>
  <c r="D1244" i="2"/>
  <c r="D1245" i="2"/>
  <c r="D1246" i="2"/>
  <c r="D1247" i="2"/>
  <c r="D1248" i="2"/>
  <c r="D1249" i="2"/>
  <c r="D1250" i="2"/>
  <c r="D1251" i="2"/>
  <c r="D1252" i="2"/>
  <c r="D1253" i="2"/>
  <c r="D1254" i="2"/>
  <c r="D1255" i="2"/>
  <c r="D1256" i="2"/>
  <c r="D1257" i="2"/>
  <c r="D1258" i="2"/>
  <c r="D1259" i="2"/>
  <c r="D1260" i="2"/>
  <c r="D1261" i="2"/>
  <c r="D1262" i="2"/>
  <c r="D1263" i="2"/>
  <c r="D1264" i="2"/>
  <c r="D1265" i="2"/>
  <c r="D1266" i="2"/>
  <c r="D1267" i="2"/>
  <c r="D1268" i="2"/>
  <c r="D1269" i="2"/>
  <c r="D1270" i="2"/>
  <c r="D1271" i="2"/>
  <c r="D1272" i="2"/>
  <c r="D1273" i="2"/>
  <c r="D1274" i="2"/>
  <c r="D1275" i="2"/>
  <c r="D1276" i="2"/>
  <c r="D1277" i="2"/>
  <c r="D1278" i="2"/>
  <c r="D1279" i="2"/>
  <c r="D1280" i="2"/>
  <c r="D1281" i="2"/>
  <c r="D1282" i="2"/>
  <c r="D1283" i="2"/>
  <c r="D1284" i="2"/>
  <c r="D1285" i="2"/>
  <c r="D1286" i="2"/>
  <c r="D1287" i="2"/>
  <c r="D1288" i="2"/>
  <c r="D1289" i="2"/>
  <c r="D1290" i="2"/>
  <c r="D1291" i="2"/>
  <c r="D1292" i="2"/>
  <c r="D1293" i="2"/>
  <c r="D1294" i="2"/>
  <c r="D1295" i="2"/>
  <c r="D1296" i="2"/>
  <c r="D1297" i="2"/>
  <c r="D1298" i="2"/>
  <c r="D1299" i="2"/>
  <c r="D1300" i="2"/>
  <c r="D1301" i="2"/>
  <c r="D1302" i="2"/>
  <c r="D1303" i="2"/>
  <c r="D1304" i="2"/>
  <c r="D1305" i="2"/>
  <c r="D1306" i="2"/>
  <c r="D1307" i="2"/>
  <c r="D1308" i="2"/>
  <c r="D1309" i="2"/>
  <c r="D1310" i="2"/>
  <c r="D1311" i="2"/>
  <c r="D1312" i="2"/>
  <c r="D1313" i="2"/>
  <c r="D1314" i="2"/>
  <c r="D1315" i="2"/>
  <c r="D1316" i="2"/>
  <c r="D1317" i="2"/>
  <c r="D1318" i="2"/>
  <c r="D1319" i="2"/>
  <c r="D1320" i="2"/>
  <c r="D1321" i="2"/>
  <c r="D1322" i="2"/>
  <c r="D1323" i="2"/>
  <c r="D1324" i="2"/>
  <c r="D1325" i="2"/>
  <c r="D1326" i="2"/>
  <c r="D1327" i="2"/>
  <c r="D1329" i="2"/>
  <c r="D1330" i="2"/>
  <c r="D1331" i="2"/>
  <c r="D1332" i="2"/>
  <c r="D1333" i="2"/>
  <c r="D1334"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D1366" i="2"/>
  <c r="D1367" i="2"/>
  <c r="D1368" i="2"/>
  <c r="D1369" i="2"/>
  <c r="D1370" i="2"/>
  <c r="D1371" i="2"/>
  <c r="D1372" i="2"/>
  <c r="D1373" i="2"/>
  <c r="D1374" i="2"/>
  <c r="D1375" i="2"/>
  <c r="D1376" i="2"/>
  <c r="D1377" i="2"/>
  <c r="D1378" i="2"/>
  <c r="D1379" i="2"/>
  <c r="D1380" i="2"/>
  <c r="D1381" i="2"/>
  <c r="D1382" i="2"/>
  <c r="D1383" i="2"/>
  <c r="D1384" i="2"/>
  <c r="D1386" i="2"/>
  <c r="D1387" i="2"/>
  <c r="D1388" i="2"/>
  <c r="D1391" i="2"/>
  <c r="D1392" i="2"/>
  <c r="D1393" i="2"/>
  <c r="D1394" i="2"/>
  <c r="D1395" i="2"/>
  <c r="D1396" i="2"/>
  <c r="D1397" i="2"/>
  <c r="D1398" i="2"/>
  <c r="D1399" i="2"/>
  <c r="D1400" i="2"/>
  <c r="D1402" i="2"/>
  <c r="D1403" i="2"/>
  <c r="D1404" i="2"/>
  <c r="D1405" i="2"/>
  <c r="D1406" i="2"/>
  <c r="D1407" i="2"/>
  <c r="D1408" i="2"/>
  <c r="D1409" i="2"/>
  <c r="D1410" i="2"/>
  <c r="D1411" i="2"/>
  <c r="D1412" i="2"/>
  <c r="D1413" i="2"/>
  <c r="D1414" i="2"/>
  <c r="D1415" i="2"/>
  <c r="D1416" i="2"/>
  <c r="D1417" i="2"/>
  <c r="D1418" i="2"/>
  <c r="D1419" i="2"/>
  <c r="D1420" i="2"/>
  <c r="D1421" i="2"/>
  <c r="D1422" i="2"/>
  <c r="D1423" i="2"/>
  <c r="D1424" i="2"/>
  <c r="M72" i="1" l="1"/>
  <c r="H72" i="1"/>
  <c r="C72" i="1"/>
  <c r="B72" i="1"/>
  <c r="G5" i="4" l="1"/>
  <c r="G3" i="4"/>
  <c r="G4" i="4"/>
  <c r="H77" i="1" l="1"/>
  <c r="H76" i="1"/>
  <c r="H75" i="1"/>
  <c r="H74" i="1"/>
  <c r="H73"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29" i="1"/>
  <c r="H28" i="1"/>
  <c r="H27" i="1"/>
  <c r="H26" i="1"/>
  <c r="H25" i="1"/>
  <c r="H24" i="1"/>
  <c r="H23" i="1"/>
  <c r="H22" i="1"/>
  <c r="H21" i="1"/>
  <c r="H20" i="1"/>
  <c r="H19" i="1"/>
  <c r="H18" i="1"/>
  <c r="H17" i="1"/>
  <c r="H16" i="1"/>
  <c r="H15" i="1"/>
  <c r="H14" i="1"/>
  <c r="H13" i="1"/>
  <c r="H12" i="1"/>
  <c r="H11" i="1"/>
  <c r="H10" i="1"/>
  <c r="H9" i="1"/>
  <c r="H8" i="1"/>
  <c r="H7" i="1"/>
  <c r="H6" i="1"/>
  <c r="H5" i="1"/>
  <c r="H4" i="1"/>
  <c r="H3" i="1"/>
  <c r="H218" i="1"/>
  <c r="H217" i="1"/>
  <c r="H216" i="1"/>
  <c r="H30"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M31" i="1" l="1"/>
  <c r="M218" i="1"/>
  <c r="M217" i="1"/>
  <c r="M216" i="1"/>
  <c r="M77" i="1"/>
  <c r="M76" i="1"/>
  <c r="M30" i="1"/>
  <c r="M215" i="1"/>
  <c r="M214" i="1"/>
  <c r="M75" i="1"/>
  <c r="M213" i="1"/>
  <c r="M212" i="1"/>
  <c r="M211" i="1"/>
  <c r="M210" i="1"/>
  <c r="M209" i="1"/>
  <c r="M208" i="1"/>
  <c r="M207" i="1"/>
  <c r="M206" i="1"/>
  <c r="M205" i="1"/>
  <c r="M204" i="1"/>
  <c r="M203" i="1"/>
  <c r="M202" i="1"/>
  <c r="M201" i="1"/>
  <c r="M200" i="1"/>
  <c r="M199" i="1"/>
  <c r="M74" i="1"/>
  <c r="M73" i="1"/>
  <c r="M71" i="1"/>
  <c r="M70" i="1"/>
  <c r="M198" i="1"/>
  <c r="M69" i="1"/>
  <c r="M68" i="1"/>
  <c r="M67" i="1"/>
  <c r="M29" i="1"/>
  <c r="M197" i="1"/>
  <c r="M196" i="1"/>
  <c r="M195" i="1"/>
  <c r="M66" i="1"/>
  <c r="M65" i="1"/>
  <c r="M64" i="1"/>
  <c r="M63" i="1"/>
  <c r="M62" i="1"/>
  <c r="M61" i="1"/>
  <c r="M194" i="1"/>
  <c r="M193" i="1"/>
  <c r="M60" i="1"/>
  <c r="M59" i="1"/>
  <c r="M58" i="1"/>
  <c r="M57" i="1"/>
  <c r="M56" i="1"/>
  <c r="M55" i="1"/>
  <c r="M54" i="1"/>
  <c r="M53" i="1"/>
  <c r="M52" i="1"/>
  <c r="M51" i="1"/>
  <c r="M50" i="1"/>
  <c r="M49" i="1"/>
  <c r="M48" i="1"/>
  <c r="M47" i="1"/>
  <c r="M46" i="1"/>
  <c r="M45" i="1"/>
  <c r="M44" i="1"/>
  <c r="M43" i="1"/>
  <c r="M192" i="1"/>
  <c r="M191" i="1"/>
  <c r="M190" i="1"/>
  <c r="M28" i="1"/>
  <c r="M189" i="1"/>
  <c r="M188" i="1"/>
  <c r="M42" i="1"/>
  <c r="M187" i="1"/>
  <c r="M186" i="1"/>
  <c r="M185" i="1"/>
  <c r="M184" i="1"/>
  <c r="M27" i="1"/>
  <c r="M26" i="1"/>
  <c r="M25" i="1"/>
  <c r="M183" i="1"/>
  <c r="M41" i="1"/>
  <c r="M182" i="1"/>
  <c r="M181" i="1"/>
  <c r="M180" i="1"/>
  <c r="M179" i="1"/>
  <c r="M178" i="1"/>
  <c r="M177" i="1"/>
  <c r="M176" i="1"/>
  <c r="M175" i="1"/>
  <c r="M174" i="1"/>
  <c r="M173" i="1"/>
  <c r="M24" i="1"/>
  <c r="M172" i="1"/>
  <c r="M171" i="1"/>
  <c r="M170" i="1"/>
  <c r="M169" i="1"/>
  <c r="M40" i="1"/>
  <c r="M39" i="1"/>
  <c r="M168" i="1"/>
  <c r="M23" i="1"/>
  <c r="M167" i="1"/>
  <c r="M166" i="1"/>
  <c r="M165" i="1"/>
  <c r="M164" i="1"/>
  <c r="M163" i="1"/>
  <c r="M162" i="1"/>
  <c r="M161" i="1"/>
  <c r="M22" i="1"/>
  <c r="M21" i="1"/>
  <c r="M160" i="1"/>
  <c r="M159" i="1"/>
  <c r="M158" i="1"/>
  <c r="M157" i="1"/>
  <c r="M156" i="1"/>
  <c r="M38" i="1"/>
  <c r="M155" i="1"/>
  <c r="M154" i="1"/>
  <c r="M153" i="1"/>
  <c r="M152" i="1"/>
  <c r="M151" i="1"/>
  <c r="M150" i="1"/>
  <c r="M149" i="1"/>
  <c r="M20" i="1"/>
  <c r="M19" i="1"/>
  <c r="M18" i="1"/>
  <c r="M17" i="1"/>
  <c r="M148" i="1"/>
  <c r="M147" i="1"/>
  <c r="M146" i="1"/>
  <c r="M16" i="1"/>
  <c r="M145" i="1"/>
  <c r="M144" i="1"/>
  <c r="M15" i="1"/>
  <c r="M143" i="1"/>
  <c r="M14" i="1"/>
  <c r="M13" i="1"/>
  <c r="M142" i="1"/>
  <c r="M141" i="1"/>
  <c r="M140" i="1"/>
  <c r="M139" i="1"/>
  <c r="M138" i="1"/>
  <c r="M137" i="1"/>
  <c r="M136" i="1"/>
  <c r="M135" i="1"/>
  <c r="M12" i="1"/>
  <c r="M134" i="1"/>
  <c r="M133" i="1"/>
  <c r="M11"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 i="1"/>
  <c r="M106" i="1"/>
  <c r="M37" i="1"/>
  <c r="M9" i="1"/>
  <c r="M105" i="1"/>
  <c r="M104" i="1"/>
  <c r="M103" i="1"/>
  <c r="M102" i="1"/>
  <c r="M101" i="1"/>
  <c r="M100" i="1"/>
  <c r="M8" i="1"/>
  <c r="M7" i="1"/>
  <c r="M6" i="1"/>
  <c r="M99" i="1"/>
  <c r="M98" i="1"/>
  <c r="M97" i="1"/>
  <c r="M5" i="1"/>
  <c r="M96" i="1"/>
  <c r="M95" i="1"/>
  <c r="M94" i="1"/>
  <c r="M4" i="1"/>
  <c r="M3" i="1"/>
  <c r="M93" i="1"/>
  <c r="M92" i="1"/>
  <c r="M91" i="1"/>
  <c r="M90" i="1"/>
  <c r="M89" i="1"/>
  <c r="M88" i="1"/>
  <c r="M87" i="1"/>
  <c r="M36" i="1"/>
  <c r="M86" i="1"/>
  <c r="M85" i="1"/>
  <c r="M35" i="1"/>
  <c r="M84" i="1"/>
  <c r="M83" i="1"/>
  <c r="M82" i="1"/>
  <c r="M81" i="1"/>
  <c r="M80" i="1"/>
  <c r="M79" i="1"/>
  <c r="M78" i="1"/>
  <c r="M34" i="1"/>
  <c r="M33" i="1"/>
  <c r="M32" i="1"/>
  <c r="C31" i="1" l="1"/>
  <c r="C218" i="1"/>
  <c r="C217" i="1"/>
  <c r="C216" i="1"/>
  <c r="C77" i="1"/>
  <c r="C76" i="1"/>
  <c r="C30" i="1"/>
  <c r="C215" i="1"/>
  <c r="C214" i="1"/>
  <c r="C75" i="1"/>
  <c r="C213" i="1"/>
  <c r="C212" i="1"/>
  <c r="C211" i="1"/>
  <c r="C210" i="1"/>
  <c r="C209" i="1"/>
  <c r="C208" i="1"/>
  <c r="C207" i="1"/>
  <c r="C206" i="1"/>
  <c r="C205" i="1"/>
  <c r="C204" i="1"/>
  <c r="C203" i="1"/>
  <c r="C202" i="1"/>
  <c r="C201" i="1"/>
  <c r="C200" i="1"/>
  <c r="C199" i="1"/>
  <c r="C74" i="1"/>
  <c r="C73" i="1"/>
  <c r="C71" i="1"/>
  <c r="C70" i="1"/>
  <c r="C198" i="1"/>
  <c r="C69" i="1"/>
  <c r="C68" i="1"/>
  <c r="C67" i="1"/>
  <c r="C29" i="1"/>
  <c r="C197" i="1"/>
  <c r="C196" i="1"/>
  <c r="C195" i="1"/>
  <c r="C66" i="1"/>
  <c r="C65" i="1"/>
  <c r="C64" i="1"/>
  <c r="C63" i="1"/>
  <c r="C62" i="1"/>
  <c r="C61" i="1"/>
  <c r="C194" i="1"/>
  <c r="C193" i="1"/>
  <c r="C60" i="1"/>
  <c r="C59" i="1"/>
  <c r="C58" i="1"/>
  <c r="C57" i="1"/>
  <c r="C56" i="1"/>
  <c r="C55" i="1"/>
  <c r="C54" i="1"/>
  <c r="C53" i="1"/>
  <c r="C52" i="1"/>
  <c r="C51" i="1"/>
  <c r="C50" i="1"/>
  <c r="C49" i="1"/>
  <c r="C48" i="1"/>
  <c r="C47" i="1"/>
  <c r="C46" i="1"/>
  <c r="C45" i="1"/>
  <c r="C44" i="1"/>
  <c r="C43" i="1"/>
  <c r="C192" i="1"/>
  <c r="C191" i="1"/>
  <c r="C190" i="1"/>
  <c r="C28" i="1"/>
  <c r="C189" i="1"/>
  <c r="C188" i="1"/>
  <c r="C42" i="1"/>
  <c r="C187" i="1"/>
  <c r="C186" i="1"/>
  <c r="C185" i="1"/>
  <c r="C184" i="1"/>
  <c r="C27" i="1"/>
  <c r="C26" i="1"/>
  <c r="C25" i="1"/>
  <c r="C183" i="1"/>
  <c r="C41" i="1"/>
  <c r="C182" i="1"/>
  <c r="C181" i="1"/>
  <c r="C180" i="1"/>
  <c r="C179" i="1"/>
  <c r="C178" i="1"/>
  <c r="C177" i="1"/>
  <c r="C176" i="1"/>
  <c r="C175" i="1"/>
  <c r="C174" i="1"/>
  <c r="C173" i="1"/>
  <c r="C24" i="1"/>
  <c r="C172" i="1"/>
  <c r="C171" i="1"/>
  <c r="C170" i="1"/>
  <c r="C169" i="1"/>
  <c r="C40" i="1"/>
  <c r="C39" i="1"/>
  <c r="C168" i="1"/>
  <c r="C23" i="1"/>
  <c r="C167" i="1"/>
  <c r="C166" i="1"/>
  <c r="C165" i="1"/>
  <c r="C164" i="1"/>
  <c r="C163" i="1"/>
  <c r="C162" i="1"/>
  <c r="C161" i="1"/>
  <c r="C22" i="1"/>
  <c r="C21" i="1"/>
  <c r="C160" i="1"/>
  <c r="C159" i="1"/>
  <c r="C158" i="1"/>
  <c r="C157" i="1"/>
  <c r="C156" i="1"/>
  <c r="C38" i="1"/>
  <c r="C155" i="1"/>
  <c r="C154" i="1"/>
  <c r="C153" i="1"/>
  <c r="C152" i="1"/>
  <c r="C151" i="1"/>
  <c r="C150" i="1"/>
  <c r="C149" i="1"/>
  <c r="C20" i="1"/>
  <c r="C19" i="1"/>
  <c r="C18" i="1"/>
  <c r="C17" i="1"/>
  <c r="C148" i="1"/>
  <c r="C147" i="1"/>
  <c r="C146" i="1"/>
  <c r="C16" i="1"/>
  <c r="C145" i="1"/>
  <c r="C144" i="1"/>
  <c r="C15" i="1"/>
  <c r="C143" i="1"/>
  <c r="C14" i="1"/>
  <c r="C13" i="1"/>
  <c r="C142" i="1"/>
  <c r="C141" i="1"/>
  <c r="C140" i="1"/>
  <c r="C139" i="1"/>
  <c r="C138" i="1"/>
  <c r="C137" i="1"/>
  <c r="C136" i="1"/>
  <c r="C135" i="1"/>
  <c r="C12" i="1"/>
  <c r="C134" i="1"/>
  <c r="C133" i="1"/>
  <c r="C11"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 i="1"/>
  <c r="C106" i="1"/>
  <c r="C37" i="1"/>
  <c r="C9" i="1"/>
  <c r="C105" i="1"/>
  <c r="C104" i="1"/>
  <c r="C103" i="1"/>
  <c r="C102" i="1"/>
  <c r="C101" i="1"/>
  <c r="C100" i="1"/>
  <c r="C8" i="1"/>
  <c r="C7" i="1"/>
  <c r="C6" i="1"/>
  <c r="C99" i="1"/>
  <c r="C98" i="1"/>
  <c r="C97" i="1"/>
  <c r="C5" i="1"/>
  <c r="C96" i="1"/>
  <c r="C95" i="1"/>
  <c r="C94" i="1"/>
  <c r="C4" i="1"/>
  <c r="C3" i="1"/>
  <c r="C93" i="1"/>
  <c r="C92" i="1"/>
  <c r="C91" i="1"/>
  <c r="C90" i="1"/>
  <c r="C89" i="1"/>
  <c r="C88" i="1"/>
  <c r="C87" i="1"/>
  <c r="C36" i="1"/>
  <c r="C86" i="1"/>
  <c r="C85" i="1"/>
  <c r="C35" i="1"/>
  <c r="C84" i="1"/>
  <c r="C83" i="1"/>
  <c r="C82" i="1"/>
  <c r="C81" i="1"/>
  <c r="C80" i="1"/>
  <c r="C79" i="1"/>
  <c r="C78" i="1"/>
  <c r="C34" i="1"/>
  <c r="C33" i="1"/>
  <c r="C32" i="1"/>
  <c r="B31" i="1"/>
  <c r="B218" i="1"/>
  <c r="B217" i="1"/>
  <c r="B216" i="1"/>
  <c r="B77" i="1"/>
  <c r="B76" i="1"/>
  <c r="B30" i="1"/>
  <c r="B215" i="1"/>
  <c r="B214" i="1"/>
  <c r="B75" i="1"/>
  <c r="B213" i="1"/>
  <c r="B212" i="1"/>
  <c r="B211" i="1"/>
  <c r="B210" i="1"/>
  <c r="B209" i="1"/>
  <c r="B208" i="1"/>
  <c r="B207" i="1"/>
  <c r="B206" i="1"/>
  <c r="B205" i="1"/>
  <c r="B204" i="1"/>
  <c r="B203" i="1"/>
  <c r="B202" i="1"/>
  <c r="B201" i="1"/>
  <c r="B200" i="1"/>
  <c r="B199" i="1"/>
  <c r="B74" i="1"/>
  <c r="B73" i="1"/>
  <c r="B71" i="1"/>
  <c r="B70" i="1"/>
  <c r="B198" i="1"/>
  <c r="B69" i="1"/>
  <c r="B68" i="1"/>
  <c r="B67" i="1"/>
  <c r="B29" i="1"/>
  <c r="B197" i="1"/>
  <c r="B196" i="1"/>
  <c r="B195" i="1"/>
  <c r="B66" i="1"/>
  <c r="B65" i="1"/>
  <c r="B64" i="1"/>
  <c r="B63" i="1"/>
  <c r="B62" i="1"/>
  <c r="B61" i="1"/>
  <c r="B194" i="1"/>
  <c r="B193" i="1"/>
  <c r="B60" i="1"/>
  <c r="B59" i="1"/>
  <c r="B58" i="1"/>
  <c r="B57" i="1"/>
  <c r="B56" i="1"/>
  <c r="B55" i="1"/>
  <c r="B54" i="1"/>
  <c r="B53" i="1"/>
  <c r="B52" i="1"/>
  <c r="B51" i="1"/>
  <c r="B50" i="1"/>
  <c r="B49" i="1"/>
  <c r="B48" i="1"/>
  <c r="B47" i="1"/>
  <c r="B46" i="1"/>
  <c r="B45" i="1"/>
  <c r="B44" i="1"/>
  <c r="B43" i="1"/>
  <c r="B192" i="1"/>
  <c r="B191" i="1"/>
  <c r="B190" i="1"/>
  <c r="B28" i="1"/>
  <c r="B189" i="1"/>
  <c r="B188" i="1"/>
  <c r="B42" i="1"/>
  <c r="B187" i="1"/>
  <c r="B186" i="1"/>
  <c r="B185" i="1"/>
  <c r="B184" i="1"/>
  <c r="B27" i="1"/>
  <c r="B26" i="1"/>
  <c r="B25" i="1"/>
  <c r="B183" i="1"/>
  <c r="B41" i="1"/>
  <c r="B182" i="1"/>
  <c r="B181" i="1"/>
  <c r="B180" i="1"/>
  <c r="B179" i="1"/>
  <c r="B178" i="1"/>
  <c r="B177" i="1"/>
  <c r="B176" i="1"/>
  <c r="B175" i="1"/>
  <c r="B174" i="1"/>
  <c r="B173" i="1"/>
  <c r="B24" i="1"/>
  <c r="B172" i="1"/>
  <c r="B171" i="1"/>
  <c r="B170" i="1"/>
  <c r="B169" i="1"/>
  <c r="B40" i="1"/>
  <c r="B39" i="1"/>
  <c r="B168" i="1"/>
  <c r="B23" i="1"/>
  <c r="B167" i="1"/>
  <c r="B166" i="1"/>
  <c r="B165" i="1"/>
  <c r="B164" i="1"/>
  <c r="B163" i="1"/>
  <c r="B162" i="1"/>
  <c r="B161" i="1"/>
  <c r="B22" i="1"/>
  <c r="B21" i="1"/>
  <c r="B160" i="1"/>
  <c r="B159" i="1"/>
  <c r="B158" i="1"/>
  <c r="B157" i="1"/>
  <c r="B156" i="1"/>
  <c r="B38" i="1"/>
  <c r="B155" i="1"/>
  <c r="B154" i="1"/>
  <c r="B153" i="1"/>
  <c r="B152" i="1"/>
  <c r="B151" i="1"/>
  <c r="B150" i="1"/>
  <c r="B149" i="1"/>
  <c r="B20" i="1"/>
  <c r="B19" i="1"/>
  <c r="B18" i="1"/>
  <c r="B17" i="1"/>
  <c r="B148" i="1"/>
  <c r="B147" i="1"/>
  <c r="B146" i="1"/>
  <c r="B16" i="1"/>
  <c r="B145" i="1"/>
  <c r="B144" i="1"/>
  <c r="B15" i="1"/>
  <c r="B143" i="1"/>
  <c r="B14" i="1"/>
  <c r="B13" i="1"/>
  <c r="B142" i="1"/>
  <c r="B141" i="1"/>
  <c r="B140" i="1"/>
  <c r="B139" i="1"/>
  <c r="B138" i="1"/>
  <c r="B137" i="1"/>
  <c r="B136" i="1"/>
  <c r="B135" i="1"/>
  <c r="B12" i="1"/>
  <c r="B134" i="1"/>
  <c r="B133" i="1"/>
  <c r="B11"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 i="1"/>
  <c r="B106" i="1"/>
  <c r="B37" i="1"/>
  <c r="B9" i="1"/>
  <c r="B105" i="1"/>
  <c r="B104" i="1"/>
  <c r="B103" i="1"/>
  <c r="B102" i="1"/>
  <c r="B101" i="1"/>
  <c r="B100" i="1"/>
  <c r="B8" i="1"/>
  <c r="B7" i="1"/>
  <c r="B6" i="1"/>
  <c r="B99" i="1"/>
  <c r="B98" i="1"/>
  <c r="B97" i="1"/>
  <c r="B5" i="1"/>
  <c r="B96" i="1"/>
  <c r="B95" i="1"/>
  <c r="B94" i="1"/>
  <c r="B4" i="1"/>
  <c r="B3" i="1"/>
  <c r="B93" i="1"/>
  <c r="B92" i="1"/>
  <c r="B91" i="1"/>
  <c r="B90" i="1"/>
  <c r="B89" i="1"/>
  <c r="B88" i="1"/>
  <c r="B87" i="1"/>
  <c r="B36" i="1"/>
  <c r="B86" i="1"/>
  <c r="B85" i="1"/>
  <c r="B35" i="1"/>
  <c r="B84" i="1"/>
  <c r="B83" i="1"/>
  <c r="B82" i="1"/>
  <c r="B81" i="1"/>
  <c r="B80" i="1"/>
  <c r="B79" i="1"/>
  <c r="B78" i="1"/>
  <c r="B34" i="1"/>
  <c r="B33" i="1"/>
  <c r="B3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Rafael Genaro de Brito</author>
  </authors>
  <commentList>
    <comment ref="A2" authorId="0" shapeId="0" xr:uid="{00000000-0006-0000-0000-000001000000}">
      <text>
        <r>
          <rPr>
            <sz val="10"/>
            <color indexed="81"/>
            <rFont val="Lucida Console"/>
            <family val="3"/>
          </rPr>
          <t xml:space="preserve">Ordenado por: @VALIDADE, ORIGEM, CÓDIGO_x000D_
_x000D_
          1ª Coluna  ==  VALIDADE (Descendente)_x000D_
          2ª Coluna  ==  ORIGEM_x000D_
          3ª Coluna  ==  CÓDIGO_x000D_
</t>
        </r>
      </text>
    </comment>
    <comment ref="J3" authorId="0" shapeId="0" xr:uid="{00000000-0006-0000-0000-000002000000}">
      <text>
        <r>
          <rPr>
            <sz val="10"/>
            <color indexed="81"/>
            <rFont val="Lucida Console"/>
            <family val="3"/>
          </rPr>
          <t>12894|COTOVELO 90 GRAUS EM PVC RIGIDO SOLDAVEL DE 3/4"|PC|2020 Climatizadores|</t>
        </r>
      </text>
    </comment>
    <comment ref="J4" authorId="0" shapeId="0" xr:uid="{00000000-0006-0000-0000-000003000000}">
      <text>
        <r>
          <rPr>
            <sz val="10"/>
            <color indexed="81"/>
            <rFont val="Lucida Console"/>
            <family val="3"/>
          </rPr>
          <t>12956|LUVA DE PVC RIGIDO SOLDAVEL DE 3/4"|PC|2020 Climatizadores|</t>
        </r>
      </text>
    </comment>
    <comment ref="J5" authorId="0" shapeId="0" xr:uid="{00000000-0006-0000-0000-000004000000}">
      <text>
        <r>
          <rPr>
            <sz val="10"/>
            <color indexed="81"/>
            <rFont val="Lucida Console"/>
            <family val="3"/>
          </rPr>
          <t>13072|TE EM PVC RIGIDO SOLDAVEL 3/4"|PC|2020 Climatizadores|</t>
        </r>
      </text>
    </comment>
    <comment ref="J6" authorId="0" shapeId="0" xr:uid="{00000000-0006-0000-0000-000005000000}">
      <text>
        <r>
          <rPr>
            <sz val="10"/>
            <color indexed="81"/>
            <rFont val="Lucida Console"/>
            <family val="3"/>
          </rPr>
          <t>13117|REGISTRO DE PRESSAO 3/4" COM CANOPLA|PC|2020 Climatizadores|</t>
        </r>
      </text>
    </comment>
    <comment ref="J7" authorId="0" shapeId="0" xr:uid="{00000000-0006-0000-0000-000006000000}">
      <text>
        <r>
          <rPr>
            <sz val="10"/>
            <color indexed="81"/>
            <rFont val="Lucida Console"/>
            <family val="3"/>
          </rPr>
          <t>13120|REGISTRO DE GAVETA EM LIGA DE COBRE DE 3/4" S/ CANOPLA|PC|2020 Climatizadores|</t>
        </r>
      </text>
    </comment>
    <comment ref="J8" authorId="0" shapeId="0" xr:uid="{00000000-0006-0000-0000-000007000000}">
      <text>
        <r>
          <rPr>
            <sz val="10"/>
            <color indexed="81"/>
            <rFont val="Lucida Console"/>
            <family val="3"/>
          </rPr>
          <t>13179|BUCHA DE FIXACAO N° 8 DE PLASTICO|PC|2020 Climatizadores|</t>
        </r>
      </text>
    </comment>
    <comment ref="J9" authorId="0" shapeId="0" xr:uid="{00000000-0006-0000-0000-000008000000}">
      <text>
        <r>
          <rPr>
            <sz val="10"/>
            <color indexed="81"/>
            <rFont val="Lucida Console"/>
            <family val="3"/>
          </rPr>
          <t>13562|TUBO DE PVC RIGIDO SOLDAVEL DE 25 MM  - 3/4" X 06 M - CLASSE 15 MARROM - NBR 5648 - A MARCA DEVERA SER LITOGRAFADA NO PRODUTO|BR|2020 Climatizadores|</t>
        </r>
      </text>
    </comment>
    <comment ref="J10" authorId="0" shapeId="0" xr:uid="{00000000-0006-0000-0000-000009000000}">
      <text>
        <r>
          <rPr>
            <sz val="10"/>
            <color indexed="81"/>
            <rFont val="Lucida Console"/>
            <family val="3"/>
          </rPr>
          <t>14012|ABRACADEIRA GALVANIZADA TIPO U DE 3/4"|PC|2020 Climatizadores|</t>
        </r>
      </text>
    </comment>
    <comment ref="J11" authorId="0" shapeId="0" xr:uid="{00000000-0006-0000-0000-00000A000000}">
      <text>
        <r>
          <rPr>
            <sz val="10"/>
            <color indexed="81"/>
            <rFont val="Lucida Console"/>
            <family val="3"/>
          </rPr>
          <t>25523|COTOVELO EM PVC AZUL-COLA E ROSCA DE 3/4"|PC|2020 Climatizadores|</t>
        </r>
      </text>
    </comment>
    <comment ref="J12" authorId="0" shapeId="0" xr:uid="{00000000-0006-0000-0000-00000B000000}">
      <text>
        <r>
          <rPr>
            <sz val="10"/>
            <color indexed="81"/>
            <rFont val="Lucida Console"/>
            <family val="3"/>
          </rPr>
          <t>27287|FERRO CHATO 1 X 1/ 8" BARRA C/ 06 METROS|BR|2020 Climatizadores|</t>
        </r>
      </text>
    </comment>
    <comment ref="J13" authorId="0" shapeId="0" xr:uid="{00000000-0006-0000-0000-00000C000000}">
      <text>
        <r>
          <rPr>
            <sz val="10"/>
            <color indexed="81"/>
            <rFont val="Lucida Console"/>
            <family val="3"/>
          </rPr>
          <t>44398|TUBO DE FERRO TIPO METALON, 40 X 20 X 1,5 MM, BARRA COM 6 M|BR|2020 Climatizadores|</t>
        </r>
      </text>
    </comment>
    <comment ref="J14" authorId="0" shapeId="0" xr:uid="{00000000-0006-0000-0000-00000D000000}">
      <text>
        <r>
          <rPr>
            <sz val="10"/>
            <color indexed="81"/>
            <rFont val="Lucida Console"/>
            <family val="3"/>
          </rPr>
          <t>45607|UNIAO DE PVC COLA -  25 MM|PC|2020 Climatizadores|</t>
        </r>
      </text>
    </comment>
    <comment ref="J15" authorId="0" shapeId="0" xr:uid="{00000000-0006-0000-0000-00000E000000}">
      <text>
        <r>
          <rPr>
            <sz val="10"/>
            <color indexed="81"/>
            <rFont val="Lucida Console"/>
            <family val="3"/>
          </rPr>
          <t>54552|TUBO DE FERRO METALON - 50 X 50 X 1,5MM - BARRA COM 6 METRO|BR|2020 Climatizadores|</t>
        </r>
      </text>
    </comment>
    <comment ref="J16" authorId="0" shapeId="0" xr:uid="{00000000-0006-0000-0000-00000F000000}">
      <text>
        <r>
          <rPr>
            <sz val="10"/>
            <color indexed="81"/>
            <rFont val="Lucida Console"/>
            <family val="3"/>
          </rPr>
          <t>59018|CANTONEIRA DE FERRO - 1.1/2" X 1/8" BARRA COM 06 MET|BR|2020 Climatizadores|</t>
        </r>
      </text>
    </comment>
    <comment ref="J17" authorId="0" shapeId="0" xr:uid="{00000000-0006-0000-0000-000010000000}">
      <text>
        <r>
          <rPr>
            <sz val="10"/>
            <color indexed="81"/>
            <rFont val="Lucida Console"/>
            <family val="3"/>
          </rPr>
          <t>61201|LUVA DE PVC SOLDAVEL / ROSQUEAVEL AZUL - 3/4"|PC|2020 Climatizadores|</t>
        </r>
      </text>
    </comment>
    <comment ref="J18" authorId="0" shapeId="0" xr:uid="{00000000-0006-0000-0000-000011000000}">
      <text>
        <r>
          <rPr>
            <sz val="10"/>
            <color indexed="81"/>
            <rFont val="Lucida Console"/>
            <family val="3"/>
          </rPr>
          <t>64253|TUBO QUADRADO DE METALON - 1" X 1" X 1,5 MM - BARRA COM 06|BR|2020 Climatizadores|</t>
        </r>
      </text>
    </comment>
    <comment ref="J19" authorId="0" shapeId="0" xr:uid="{00000000-0006-0000-0000-000012000000}">
      <text>
        <r>
          <rPr>
            <sz val="10"/>
            <color indexed="81"/>
            <rFont val="Lucida Console"/>
            <family val="3"/>
          </rPr>
          <t>64607|CANTONEIRA DE FERRO - BARRA COM 6 M - 1" X 1/8"|BR|2020 Climatizadores|</t>
        </r>
      </text>
    </comment>
    <comment ref="J20" authorId="0" shapeId="0" xr:uid="{00000000-0006-0000-0000-000013000000}">
      <text>
        <r>
          <rPr>
            <sz val="10"/>
            <color indexed="81"/>
            <rFont val="Lucida Console"/>
            <family val="3"/>
          </rPr>
          <t>64609|CANTONEIRA DE FERRO - BARRA COM 6 M - 3/4" X 1/8"|BR|2020 Climatizadores|</t>
        </r>
      </text>
    </comment>
    <comment ref="J21" authorId="0" shapeId="0" xr:uid="{00000000-0006-0000-0000-000014000000}">
      <text>
        <r>
          <rPr>
            <sz val="10"/>
            <color indexed="81"/>
            <rFont val="Lucida Console"/>
            <family val="3"/>
          </rPr>
          <t>76776|CABO FLEXIVEL BITOLA 4,0 MM2, 750 VOLTS, ISOLACAO DE PVC 70° C, COR PRETA|M|2020 Climatizadores|</t>
        </r>
      </text>
    </comment>
    <comment ref="J22" authorId="0" shapeId="0" xr:uid="{00000000-0006-0000-0000-000015000000}">
      <text>
        <r>
          <rPr>
            <sz val="10"/>
            <color indexed="81"/>
            <rFont val="Lucida Console"/>
            <family val="3"/>
          </rPr>
          <t>76780|CABO FLEXIVEL BITOLA 4,0 MM2, 750 VOLTS, ISOLACAO DE PVC 70° C, COR VERDE|M|2020 Climatizadores|</t>
        </r>
      </text>
    </comment>
    <comment ref="J23" authorId="0" shapeId="0" xr:uid="{00000000-0006-0000-0000-000016000000}">
      <text>
        <r>
          <rPr>
            <sz val="10"/>
            <color indexed="81"/>
            <rFont val="Lucida Console"/>
            <family val="3"/>
          </rPr>
          <t>80387|DISCO DE CORTE 9" X 1/8" X 7/8"|PC|2020 Climatizadores|</t>
        </r>
      </text>
    </comment>
    <comment ref="J24" authorId="0" shapeId="0" xr:uid="{00000000-0006-0000-0000-000017000000}">
      <text>
        <r>
          <rPr>
            <sz val="10"/>
            <color indexed="81"/>
            <rFont val="Lucida Console"/>
            <family val="3"/>
          </rPr>
          <t>88728|DISJUNTOR NORMA DIN CURVA C PADRAO, BIPOLAR, 32 AMPERES|PC|2020 Climatizadores|</t>
        </r>
      </text>
    </comment>
    <comment ref="J25" authorId="0" shapeId="0" xr:uid="{00000000-0006-0000-0000-000018000000}">
      <text>
        <r>
          <rPr>
            <sz val="10"/>
            <color indexed="81"/>
            <rFont val="Lucida Console"/>
            <family val="3"/>
          </rPr>
          <t>106544|CHUMBADOR CBA  5/16" X 2.1/4"|PC|2020 Climatizadores|</t>
        </r>
      </text>
    </comment>
    <comment ref="J26" authorId="0" shapeId="0" xr:uid="{00000000-0006-0000-0000-000019000000}">
      <text>
        <r>
          <rPr>
            <sz val="10"/>
            <color indexed="81"/>
            <rFont val="Lucida Console"/>
            <family val="3"/>
          </rPr>
          <t>106546|CHUMBADOR CBA   5/16"  X  3.1/4"|PC|2020 Climatizadores|</t>
        </r>
      </text>
    </comment>
    <comment ref="J27" authorId="0" shapeId="0" xr:uid="{00000000-0006-0000-0000-00001A000000}">
      <text>
        <r>
          <rPr>
            <sz val="10"/>
            <color indexed="81"/>
            <rFont val="Lucida Console"/>
            <family val="3"/>
          </rPr>
          <t>113581|REGISTRO TIPO ESFERA, MATERIAL PVC, DIAMETRO 3/4"|PC|2020 Climatizadores|</t>
        </r>
      </text>
    </comment>
    <comment ref="J28" authorId="1" shapeId="0" xr:uid="{56D4409C-90CB-4116-8E0A-AB776325EE42}">
      <text>
        <r>
          <rPr>
            <sz val="9"/>
            <color indexed="81"/>
            <rFont val="Segoe UI"/>
            <family val="2"/>
          </rPr>
          <t>122305|DISCO DE CORTE 4 1/2" DE DIAMETRO EXTERNO, 1/8" DE ESPESSURA E 7/8" DE DIAMETRO DE FURO|UN|2020 Climatizadores|</t>
        </r>
      </text>
    </comment>
    <comment ref="J29" authorId="0" shapeId="0" xr:uid="{00000000-0006-0000-0000-00001C000000}">
      <text>
        <r>
          <rPr>
            <sz val="10"/>
            <color indexed="81"/>
            <rFont val="Lucida Console"/>
            <family val="3"/>
          </rPr>
          <t>133371|ELETRODO REVESTIDO PARA SOLDA 2,5 MM - NORMA AWS E-6013|KG|2020 Climatizadores|</t>
        </r>
      </text>
    </comment>
    <comment ref="J30" authorId="0" shapeId="0" xr:uid="{00000000-0006-0000-0000-00001D000000}">
      <text>
        <r>
          <rPr>
            <sz val="10"/>
            <color indexed="81"/>
            <rFont val="Lucida Console"/>
            <family val="3"/>
          </rPr>
          <t>135302|COTOVELO 90° DE REDUCAO DE PVC SOLDAVEL X ROSCA AZUL COM BUCHA DE LATAO 25 MM X 1/2", DE ACORDO COM A NBR 5648. TODAS AS INFORMACOES DEVERAO ESTAR LITOGRAFADAS NA PECA.|PC|2020 Climatizadores|</t>
        </r>
      </text>
    </comment>
    <comment ref="J31" authorId="1" shapeId="0" xr:uid="{6DE1CFA8-85C9-4EB2-ACEB-4FF2978F774A}">
      <text>
        <r>
          <rPr>
            <sz val="9"/>
            <color indexed="81"/>
            <rFont val="Segoe UI"/>
            <family val="2"/>
          </rPr>
          <t>136911|CABO PP DE COBRE FLEXIVEL COM PRIMEIRA E SEGUNDA CAMADA EM PVC, ISOLACAO DE 500 V,  3 VIAS DE 2,5 MM, SENDO A VIA TERRA NA COR VERDE.     ** NAO UTILIZAR - VIDE COD. 140063 **|M|2020 Climatizadores|</t>
        </r>
      </text>
    </comment>
    <comment ref="J32" authorId="0" shapeId="0" xr:uid="{00000000-0006-0000-0000-00001F000000}">
      <text>
        <r>
          <rPr>
            <sz val="10"/>
            <color indexed="81"/>
            <rFont val="Lucida Console"/>
            <family val="3"/>
          </rPr>
          <t>10547|FITA ADESIVA CREPADA  - 19 MM X 50 M|RL|2020 Material Escolar|</t>
        </r>
      </text>
    </comment>
    <comment ref="J33" authorId="0" shapeId="0" xr:uid="{00000000-0006-0000-0000-000020000000}">
      <text>
        <r>
          <rPr>
            <sz val="10"/>
            <color indexed="81"/>
            <rFont val="Lucida Console"/>
            <family val="3"/>
          </rPr>
          <t>11418|CANETA P/ RETROPROJETOR - PRETA, PONTA 2 MM|PC|2020 Material Escolar|</t>
        </r>
      </text>
    </comment>
    <comment ref="J34" authorId="0" shapeId="0" xr:uid="{00000000-0006-0000-0000-000021000000}">
      <text>
        <r>
          <rPr>
            <sz val="10"/>
            <color indexed="81"/>
            <rFont val="Lucida Console"/>
            <family val="3"/>
          </rPr>
          <t>11509|CANETA P/ RETROPROJETOR - VERMELHA, PONTA 2 MM|PC|2020 Material Escolar|</t>
        </r>
      </text>
    </comment>
    <comment ref="J35" authorId="0" shapeId="0" xr:uid="{00000000-0006-0000-0000-000022000000}">
      <text>
        <r>
          <rPr>
            <sz val="10"/>
            <color indexed="81"/>
            <rFont val="Lucida Console"/>
            <family val="3"/>
          </rPr>
          <t>12847|ROLO DE ESPUMA PARA PINTURA - 4 CM|PC|2020 Material Escolar|</t>
        </r>
      </text>
    </comment>
    <comment ref="J36" authorId="0" shapeId="0" xr:uid="{00000000-0006-0000-0000-000023000000}">
      <text>
        <r>
          <rPr>
            <sz val="10"/>
            <color indexed="81"/>
            <rFont val="Lucida Console"/>
            <family val="3"/>
          </rPr>
          <t>12856|TRINCHA PARA PINTURA - 2", COM CERDAS 100% NATURAIS|PC|2020 Material Escolar|</t>
        </r>
      </text>
    </comment>
    <comment ref="J37" authorId="0" shapeId="0" xr:uid="{00000000-0006-0000-0000-000024000000}">
      <text>
        <r>
          <rPr>
            <sz val="10"/>
            <color indexed="81"/>
            <rFont val="Lucida Console"/>
            <family val="3"/>
          </rPr>
          <t>13655|PASTA DE CARTOLINA PLASTIFICADA MOD. C/ FERRAGEM - PRETA -|UN|2020 Material Escolar|</t>
        </r>
      </text>
    </comment>
    <comment ref="J38" authorId="0" shapeId="0" xr:uid="{00000000-0006-0000-0000-000025000000}">
      <text>
        <r>
          <rPr>
            <sz val="10"/>
            <color indexed="81"/>
            <rFont val="Lucida Console"/>
            <family val="3"/>
          </rPr>
          <t>70379|PAPEL SULFITE, GRAMATURA 75G/M2, FORMATO A3, MEDINDO (297X420)MM, COR BRANCA|RM|2020 Material Escolar|</t>
        </r>
      </text>
    </comment>
    <comment ref="J39" authorId="0" shapeId="0" xr:uid="{00000000-0006-0000-0000-000026000000}">
      <text>
        <r>
          <rPr>
            <sz val="10"/>
            <color indexed="81"/>
            <rFont val="Lucida Console"/>
            <family val="3"/>
          </rPr>
          <t>81370|CORANTE LIQUIDO PARA FINS ALIMENTICIOS - COR VERMELHA - FRASCO COM 10ML|FR|2020 Material Escolar|</t>
        </r>
      </text>
    </comment>
    <comment ref="J40" authorId="0" shapeId="0" xr:uid="{00000000-0006-0000-0000-000027000000}">
      <text>
        <r>
          <rPr>
            <sz val="10"/>
            <color indexed="81"/>
            <rFont val="Lucida Console"/>
            <family val="3"/>
          </rPr>
          <t>81371|CORANTE LIQUIDO PARA FINS ALIMENTICIOS - COR AMARELA - FRASCO COM 10ML|FR|2020 Material Escolar|</t>
        </r>
      </text>
    </comment>
    <comment ref="J41" authorId="0" shapeId="0" xr:uid="{00000000-0006-0000-0000-000028000000}">
      <text>
        <r>
          <rPr>
            <sz val="10"/>
            <color indexed="81"/>
            <rFont val="Lucida Console"/>
            <family val="3"/>
          </rPr>
          <t>105259|PAPEL ADESIVO P/ ENCADERNACAO (TIPO CONTACT) - 0,50 M DE LARGURA (VARIACAO +/- 0,05M) - TRANSPARENTE - ROLO COM 25 M|RL|2020 Material Escolar|</t>
        </r>
      </text>
    </comment>
    <comment ref="J42" authorId="0" shapeId="0" xr:uid="{00000000-0006-0000-0000-000029000000}">
      <text>
        <r>
          <rPr>
            <sz val="10"/>
            <color indexed="81"/>
            <rFont val="Lucida Console"/>
            <family val="3"/>
          </rPr>
          <t>118660|PLASTICO CRISTAL TRANSPARENTE DE 0,40 MICRONS X 1,40 M LARGURA  X 30 M DE COMPRIMENTO|0|2020 Material Escolar|</t>
        </r>
      </text>
    </comment>
    <comment ref="J43" authorId="0" shapeId="0" xr:uid="{00000000-0006-0000-0000-00002A000000}">
      <text>
        <r>
          <rPr>
            <sz val="10"/>
            <color indexed="81"/>
            <rFont val="Lucida Console"/>
            <family val="3"/>
          </rPr>
          <t>130624|PAPEL CRIATIVO FLUORESCENTE, TIPO LUMIPAPER, 5 CORES|PT|2020 Material Escolar|</t>
        </r>
      </text>
    </comment>
    <comment ref="J44" authorId="0" shapeId="0" xr:uid="{00000000-0006-0000-0000-00002B000000}">
      <text>
        <r>
          <rPr>
            <sz val="10"/>
            <color indexed="81"/>
            <rFont val="Lucida Console"/>
            <family val="3"/>
          </rPr>
          <t>131917|APONTADOR DUPLO (LAPIS NORMAL E JUMBO), SEM DEPOSITO, CORPO METALICO EM ALUMINIO|UN|2020 Material Escolar|</t>
        </r>
      </text>
    </comment>
    <comment ref="J45" authorId="0" shapeId="0" xr:uid="{00000000-0006-0000-0000-00002C000000}">
      <text>
        <r>
          <rPr>
            <sz val="10"/>
            <color indexed="81"/>
            <rFont val="Lucida Console"/>
            <family val="3"/>
          </rPr>
          <t>131926|LAPIS PRETO 6B, MEDINDO 175MM (VARIACAO DE +/-10MM) DE COMPRIMENTO.|UN|2020 Material Escolar|</t>
        </r>
      </text>
    </comment>
    <comment ref="J46" authorId="0" shapeId="0" xr:uid="{00000000-0006-0000-0000-00002D000000}">
      <text>
        <r>
          <rPr>
            <sz val="10"/>
            <color indexed="81"/>
            <rFont val="Lucida Console"/>
            <family val="3"/>
          </rPr>
          <t>131927|LAPIS PRETO N.2 JUMBO TRIANGULAR, MEDINDO: 175MM (VARIACAO +/- 10MM)|UN|2020 Material Escolar|</t>
        </r>
      </text>
    </comment>
    <comment ref="J47" authorId="0" shapeId="0" xr:uid="{00000000-0006-0000-0000-00002E000000}">
      <text>
        <r>
          <rPr>
            <sz val="10"/>
            <color indexed="81"/>
            <rFont val="Lucida Console"/>
            <family val="3"/>
          </rPr>
          <t>131930|FITA ADESIVA DUPLA FACE, MEDINDO APROXIMADAMENTE 12MM X 30M|UN|2020 Material Escolar|</t>
        </r>
      </text>
    </comment>
    <comment ref="J48" authorId="0" shapeId="0" xr:uid="{00000000-0006-0000-0000-00002F000000}">
      <text>
        <r>
          <rPr>
            <sz val="10"/>
            <color indexed="81"/>
            <rFont val="Lucida Console"/>
            <family val="3"/>
          </rPr>
          <t>131935|PASTA EM PLASTICO PP CORRUGADO, COM ABAS E ELASTICO REVESTIDO DE TECIDO COM TERMINAIS DE PLASTICO MEDINDO 180MM X 245MM X 20MM|UN|2020 Material Escolar|</t>
        </r>
      </text>
    </comment>
    <comment ref="J49" authorId="0" shapeId="0" xr:uid="{00000000-0006-0000-0000-000030000000}">
      <text>
        <r>
          <rPr>
            <sz val="10"/>
            <color indexed="81"/>
            <rFont val="Lucida Console"/>
            <family val="3"/>
          </rPr>
          <t>131937|PINCEL PARA PINTURA, CABO EM MADEIRA CURTO, FORMATO BROXA REDONDO, CERDA GRIS, TAMANHO 4.|UN|2020 Material Escolar|</t>
        </r>
      </text>
    </comment>
    <comment ref="J50" authorId="0" shapeId="0" xr:uid="{00000000-0006-0000-0000-000031000000}">
      <text>
        <r>
          <rPr>
            <sz val="10"/>
            <color indexed="81"/>
            <rFont val="Lucida Console"/>
            <family val="3"/>
          </rPr>
          <t>131938|PINCEL PARA PINTURA, CABO EM MADEIRA CURTO, FORMATO CHATO, CERDA BRANCA, TAMANHO 12.|UN|2020 Material Escolar|</t>
        </r>
      </text>
    </comment>
    <comment ref="J51" authorId="0" shapeId="0" xr:uid="{00000000-0006-0000-0000-000032000000}">
      <text>
        <r>
          <rPr>
            <sz val="10"/>
            <color indexed="81"/>
            <rFont val="Lucida Console"/>
            <family val="3"/>
          </rPr>
          <t>131939|PINCEL PARA PINTURA, CABO EM MADEIRA CURTO, FORMATO CHATO, CERDA BRANCA, TAMANHO 16.|UN|2020 Material Escolar|</t>
        </r>
      </text>
    </comment>
    <comment ref="J52" authorId="0" shapeId="0" xr:uid="{00000000-0006-0000-0000-000033000000}">
      <text>
        <r>
          <rPr>
            <sz val="10"/>
            <color indexed="81"/>
            <rFont val="Lucida Console"/>
            <family val="3"/>
          </rPr>
          <t>132290|FITA ADESIVA COLORIDA, MEDINDO APROXIMADAMENTE 12MM X 10M. COR: VERMELHO. COMPOSICAO: FILME POLIPROPILENO COM ADESIVO ACRILICO A BASE D´AGUA|RL|2020 Material Escolar|</t>
        </r>
      </text>
    </comment>
    <comment ref="J53" authorId="0" shapeId="0" xr:uid="{00000000-0006-0000-0000-000034000000}">
      <text>
        <r>
          <rPr>
            <sz val="10"/>
            <color indexed="81"/>
            <rFont val="Lucida Console"/>
            <family val="3"/>
          </rPr>
          <t>132296|FITA ADESIVA TRANSPARENTE, MEDINDO APROXIMADAMENTE 19MM X 50M. COMPOSICAO: FILME DE POLIPROPILENO, COM ADESIVO A BASE DE RESINA, BORRACHA SINTETICA E PIGMENTO, ADESIVO HOT MELT|RL|2020 Material Escolar|</t>
        </r>
      </text>
    </comment>
    <comment ref="J54" authorId="0" shapeId="0" xr:uid="{00000000-0006-0000-0000-000035000000}">
      <text>
        <r>
          <rPr>
            <sz val="10"/>
            <color indexed="81"/>
            <rFont val="Lucida Console"/>
            <family val="3"/>
          </rPr>
          <t>132297|FITA ADESIVA TRANSPARENTE, MEDINDO APROXIMADAMENTE 48MM X 50M (VARIACAO +/- 05 MM) -  COMPOSICAO: FILME DE POLIPROPILENO, COM ADESIVO A BASE DE RESINA, BORRACHA SINTETICA E PIGMENTO, ADESIVO HOT MELT|RL|2020 Material Escolar|</t>
        </r>
      </text>
    </comment>
    <comment ref="J55" authorId="0" shapeId="0" xr:uid="{00000000-0006-0000-0000-000036000000}">
      <text>
        <r>
          <rPr>
            <sz val="10"/>
            <color indexed="81"/>
            <rFont val="Lucida Console"/>
            <family val="3"/>
          </rPr>
          <t>132300|LAPIS DE COR AQUARELAVEL, CAIXA COM 12 CORES, TINTAS ATOXICAS, SOLUVEIS EM AGUA. DIMENSAO DA CAIXA: 215MM X 95MM X 13MM (VARIACAO +/- 10MM). PRODUTO COM CERTIFICACAO DO INMETRO|CX|2020 Material Escolar|</t>
        </r>
      </text>
    </comment>
    <comment ref="J56" authorId="0" shapeId="0" xr:uid="{00000000-0006-0000-0000-000037000000}">
      <text>
        <r>
          <rPr>
            <sz val="10"/>
            <color indexed="81"/>
            <rFont val="Lucida Console"/>
            <family val="3"/>
          </rPr>
          <t>132303|PAPEL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MARGEM|BC|2020 Material Escolar|</t>
        </r>
      </text>
    </comment>
    <comment ref="J57" authorId="0" shapeId="0" xr:uid="{00000000-0006-0000-0000-000038000000}">
      <text>
        <r>
          <rPr>
            <sz val="10"/>
            <color indexed="81"/>
            <rFont val="Lucida Console"/>
            <family val="3"/>
          </rPr>
          <t>132305|PINCEL PARA PINTURA, CABO EM MADEIRA CURTO, FORMATO CHATO, CERDA BRANCA, TAMANHO 20|UN|2020 Material Escolar|</t>
        </r>
      </text>
    </comment>
    <comment ref="J58" authorId="0" shapeId="0" xr:uid="{00000000-0006-0000-0000-000039000000}">
      <text>
        <r>
          <rPr>
            <sz val="10"/>
            <color indexed="81"/>
            <rFont val="Lucida Console"/>
            <family val="3"/>
          </rPr>
          <t>132394|FITA ADESIVA COLORIDA, MEDINDO APROXIMADAMENTE 12MM X 10M. COR: AMARELA. COMPOSICAO: FILME POLIPROPILENO COM ADESIVO ACRILICO A BASE D´AGUA.|RL|2020 Material Escolar|</t>
        </r>
      </text>
    </comment>
    <comment ref="J59" authorId="0" shapeId="0" xr:uid="{00000000-0006-0000-0000-00003A000000}">
      <text>
        <r>
          <rPr>
            <sz val="10"/>
            <color indexed="81"/>
            <rFont val="Lucida Console"/>
            <family val="3"/>
          </rPr>
          <t>132395|FITA ADESIVA COLORIDA, MEDINDO APROXIMADAMENTE 12MM X 10M. COR: AZUL ESCURA. COMPOSICAO: FILME POLIPROPILENO COM ADESIVO ACRILICO A BASE D´AGUA.|RL|2020 Material Escolar|</t>
        </r>
      </text>
    </comment>
    <comment ref="J60" authorId="0" shapeId="0" xr:uid="{00000000-0006-0000-0000-00003B000000}">
      <text>
        <r>
          <rPr>
            <sz val="10"/>
            <color indexed="81"/>
            <rFont val="Lucida Console"/>
            <family val="3"/>
          </rPr>
          <t>132400|CORANTE LIQUIDO PARA FINS ALIMENTICIOS - COR AZUL - FRASCO COM 10ML.|FR|2020 Material Escolar|</t>
        </r>
      </text>
    </comment>
    <comment ref="J61" authorId="0" shapeId="0" xr:uid="{00000000-0006-0000-0000-00003C000000}">
      <text>
        <r>
          <rPr>
            <sz val="10"/>
            <color indexed="81"/>
            <rFont val="Lucida Console"/>
            <family val="3"/>
          </rPr>
          <t>132646|CANETA HIDROGRAFICA JUMBO COM 12 CORES, PONTA GROSSA, TINTA LAVAVEL|CJ|2020 Material Escolar|</t>
        </r>
      </text>
    </comment>
    <comment ref="J62" authorId="0" shapeId="0" xr:uid="{00000000-0006-0000-0000-00003D000000}">
      <text>
        <r>
          <rPr>
            <sz val="10"/>
            <color indexed="81"/>
            <rFont val="Lucida Console"/>
            <family val="3"/>
          </rPr>
          <t>132647|CANETA HIDROGRAFICA JUMBO PRETA, PONTA GROSSA, TINTA LAVAVEL.|UN|2020 Material Escolar|</t>
        </r>
      </text>
    </comment>
    <comment ref="J63" authorId="0" shapeId="0" xr:uid="{00000000-0006-0000-0000-00003E000000}">
      <text>
        <r>
          <rPr>
            <sz val="10"/>
            <color indexed="81"/>
            <rFont val="Lucida Console"/>
            <family val="3"/>
          </rPr>
          <t>132649|CANETA HIDROGRAFICA PRETA PONTA DE 2MM.|UN|2020 Material Escolar|</t>
        </r>
      </text>
    </comment>
    <comment ref="J64" authorId="0" shapeId="0" xr:uid="{00000000-0006-0000-0000-00003F000000}">
      <text>
        <r>
          <rPr>
            <sz val="10"/>
            <color indexed="81"/>
            <rFont val="Lucida Console"/>
            <family val="3"/>
          </rPr>
          <t>132650|COLA BRANCA , FRASCO COM 1 KG - COMPOSICAO RESINA DE PVA, LAVAVEL, CERTIFICADA PELO INMETRO|UN|2020 Material Escolar|</t>
        </r>
      </text>
    </comment>
    <comment ref="J65" authorId="0" shapeId="0" xr:uid="{00000000-0006-0000-0000-000040000000}">
      <text>
        <r>
          <rPr>
            <sz val="10"/>
            <color indexed="81"/>
            <rFont val="Lucida Console"/>
            <family val="3"/>
          </rPr>
          <t>132655|MARCADOR DE QUADRO BRANCO, PONTA DE 04 MM (MINIMO) REDONDA DE ACRILICO OU POLIESTER. COR INTENSA E FACIL DE APAGAR. A MARCA DEVERA SER LITOGRAFADA NO PRODUTO. COR: AZUL|UN|2020 Material Escolar|</t>
        </r>
      </text>
    </comment>
    <comment ref="J66" authorId="0" shapeId="0" xr:uid="{00000000-0006-0000-0000-000041000000}">
      <text>
        <r>
          <rPr>
            <sz val="10"/>
            <color indexed="81"/>
            <rFont val="Lucida Console"/>
            <family val="3"/>
          </rPr>
          <t>132656|MARCADOR DE QUADRO BRANCO, PONTA DE 04 MM (MINIMO) REDONDA DE ACRILICO OU POLIESTER. COR INTENSA E FACIL DE APAGAR. A MARCA DEVERA SER LITOGRAFADA NO PRODUTO. COR: PRETO|UN|2020 Material Escolar|</t>
        </r>
      </text>
    </comment>
    <comment ref="J67" authorId="0" shapeId="0" xr:uid="{00000000-0006-0000-0000-000042000000}">
      <text>
        <r>
          <rPr>
            <sz val="10"/>
            <color indexed="81"/>
            <rFont val="Lucida Console"/>
            <family val="3"/>
          </rPr>
          <t>133778|BORRACHA BRANCA COMUM (SEM CINTA), MEDIDA: 40MM X 30MM X 10MM.|UN|2020 Material Escolar|</t>
        </r>
      </text>
    </comment>
    <comment ref="J68" authorId="0" shapeId="0" xr:uid="{00000000-0006-0000-0000-000043000000}">
      <text>
        <r>
          <rPr>
            <sz val="10"/>
            <color indexed="81"/>
            <rFont val="Lucida Console"/>
            <family val="3"/>
          </rPr>
          <t>133781|CADERNO ESPIRAL CAPA DURA 1/4 96 FLS, CAPA DURA.|UN|2020 Material Escolar|</t>
        </r>
      </text>
    </comment>
    <comment ref="J69" authorId="0" shapeId="0" xr:uid="{00000000-0006-0000-0000-000044000000}">
      <text>
        <r>
          <rPr>
            <sz val="10"/>
            <color indexed="81"/>
            <rFont val="Lucida Console"/>
            <family val="3"/>
          </rPr>
          <t>133787|COLA BRANCA 90G|0|2020 Material Escolar|</t>
        </r>
      </text>
    </comment>
    <comment ref="J70" authorId="0" shapeId="0" xr:uid="{00000000-0006-0000-0000-000045000000}">
      <text>
        <r>
          <rPr>
            <sz val="10"/>
            <color indexed="81"/>
            <rFont val="Lucida Console"/>
            <family val="3"/>
          </rPr>
          <t>133950|CADERNO DE DESENHO ESPIRAL, 96 FOLHAS, CAPA DURA.|UN|2020 Material Escolar|</t>
        </r>
      </text>
    </comment>
    <comment ref="J71" authorId="0" shapeId="0" xr:uid="{00000000-0006-0000-0000-000046000000}">
      <text>
        <r>
          <rPr>
            <sz val="10"/>
            <color indexed="81"/>
            <rFont val="Lucida Console"/>
            <family val="3"/>
          </rPr>
          <t>133953|CANETA HIDROGRAFICA PONTA FINA/MEDIA, CONJUNTO COM 12  CORES|CJ|2020 Material Escolar|</t>
        </r>
      </text>
    </comment>
    <comment ref="J72" authorId="0" shapeId="0" xr:uid="{00000000-0006-0000-0000-000047000000}">
      <text>
        <r>
          <rPr>
            <sz val="10"/>
            <color indexed="81"/>
            <rFont val="Lucida Console"/>
            <family val="3"/>
          </rPr>
          <t>133953|CANETA HIDROGRAFICA PONTA FINA/MEDIA, CONJUNTO COM 12  CORES|CJ|2020 Material Escolar|</t>
        </r>
      </text>
    </comment>
    <comment ref="J73" authorId="0" shapeId="0" xr:uid="{00000000-0006-0000-0000-000048000000}">
      <text>
        <r>
          <rPr>
            <sz val="10"/>
            <color indexed="81"/>
            <rFont val="Lucida Console"/>
            <family val="3"/>
          </rPr>
          <t>133954|GIZ DE CERA JUMBO, COM NO MINIMO 12 CORES, ATOXICO.|CX|2020 Material Escolar|</t>
        </r>
      </text>
    </comment>
    <comment ref="J74" authorId="0" shapeId="0" xr:uid="{00000000-0006-0000-0000-000049000000}">
      <text>
        <r>
          <rPr>
            <sz val="10"/>
            <color indexed="81"/>
            <rFont val="Lucida Console"/>
            <family val="3"/>
          </rPr>
          <t>133955|LAPIS DE COR, SEXTAVADO, COM 24 CORES|CX|2020 Material Escolar|</t>
        </r>
      </text>
    </comment>
    <comment ref="J75" authorId="0" shapeId="0" xr:uid="{00000000-0006-0000-0000-00004A000000}">
      <text>
        <r>
          <rPr>
            <sz val="10"/>
            <color indexed="81"/>
            <rFont val="Lucida Console"/>
            <family val="3"/>
          </rPr>
          <t>135297|LAPIS DE COR JUMBO, MODELO TRIANGULAR, EM 12 CORES.|CX|2020 Material Escolar|</t>
        </r>
      </text>
    </comment>
    <comment ref="J76" authorId="0" shapeId="0" xr:uid="{00000000-0006-0000-0000-00004B000000}">
      <text>
        <r>
          <rPr>
            <sz val="10"/>
            <color indexed="81"/>
            <rFont val="Lucida Console"/>
            <family val="3"/>
          </rPr>
          <t>135700|LAPIS GRAFITE Nº 2, SEXTAVADO, CORPO FEITO EM MADEIRA.|UN|2020 Material Escolar|</t>
        </r>
      </text>
    </comment>
    <comment ref="J77" authorId="0" shapeId="0" xr:uid="{00000000-0006-0000-0000-00004C000000}">
      <text>
        <r>
          <rPr>
            <sz val="10"/>
            <color indexed="81"/>
            <rFont val="Lucida Console"/>
            <family val="3"/>
          </rPr>
          <t>135704|TESOURA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INMETRO.|UN|2020 Material Escolar|</t>
        </r>
      </text>
    </comment>
    <comment ref="J78" authorId="0" shapeId="0" xr:uid="{00000000-0006-0000-0000-00004D000000}">
      <text>
        <r>
          <rPr>
            <sz val="10"/>
            <color indexed="81"/>
            <rFont val="Lucida Console"/>
            <family val="3"/>
          </rPr>
          <t>12763|CAL HIDRATADA - SACO COM 20 KG|SO|2020 Novas Salas|</t>
        </r>
      </text>
    </comment>
    <comment ref="J79" authorId="0" shapeId="0" xr:uid="{00000000-0006-0000-0000-00004E000000}">
      <text>
        <r>
          <rPr>
            <sz val="10"/>
            <color indexed="81"/>
            <rFont val="Lucida Console"/>
            <family val="3"/>
          </rPr>
          <t>12813|ADAPTADOR DE PVC RIGIDO SOLDAVEL C/ FLANGE SEXTAVADA FIXO P/ CAIXA D'AGUA - 32 MM X 1"|PC|2020 Novas Salas|</t>
        </r>
      </text>
    </comment>
    <comment ref="J80" authorId="0" shapeId="0" xr:uid="{00000000-0006-0000-0000-00004F000000}">
      <text>
        <r>
          <rPr>
            <sz val="10"/>
            <color indexed="81"/>
            <rFont val="Lucida Console"/>
            <family val="3"/>
          </rPr>
          <t>12820|CORANTE PARA COLORIR TINTA LATEX - AMARELO - 50 ML|TB|2020 Novas Salas|</t>
        </r>
      </text>
    </comment>
    <comment ref="J81" authorId="0" shapeId="0" xr:uid="{00000000-0006-0000-0000-000050000000}">
      <text>
        <r>
          <rPr>
            <sz val="10"/>
            <color indexed="81"/>
            <rFont val="Lucida Console"/>
            <family val="3"/>
          </rPr>
          <t>12824|ADAPTADOR DE PVC RIGIDO SOLDAVEL C/ FLANGE SEXTAVADA FIXO - 25 MM X 3/4"|PC|2020 Novas Salas|</t>
        </r>
      </text>
    </comment>
    <comment ref="J82" authorId="0" shapeId="0" xr:uid="{00000000-0006-0000-0000-000051000000}">
      <text>
        <r>
          <rPr>
            <sz val="10"/>
            <color indexed="81"/>
            <rFont val="Lucida Console"/>
            <family val="3"/>
          </rPr>
          <t>12830|ADAPTADOR DE PVC SOLDAVEL 1.1/2"|PC|2020 Novas Salas|</t>
        </r>
      </text>
    </comment>
    <comment ref="J83" authorId="0" shapeId="0" xr:uid="{00000000-0006-0000-0000-000052000000}">
      <text>
        <r>
          <rPr>
            <sz val="10"/>
            <color indexed="81"/>
            <rFont val="Lucida Console"/>
            <family val="3"/>
          </rPr>
          <t>12835|ADAPTADOR DE PVC SOLDAVEL 3/4"|PC|2020 Novas Salas|</t>
        </r>
      </text>
    </comment>
    <comment ref="J84" authorId="0" shapeId="0" xr:uid="{00000000-0006-0000-0000-000053000000}">
      <text>
        <r>
          <rPr>
            <sz val="10"/>
            <color indexed="81"/>
            <rFont val="Lucida Console"/>
            <family val="3"/>
          </rPr>
          <t>12838|CORANTE PARA COLORIR TINTA LATEX - VERMELHO - 50 ML|TB|2020 Novas Salas|</t>
        </r>
      </text>
    </comment>
    <comment ref="J85" authorId="0" shapeId="0" xr:uid="{00000000-0006-0000-0000-000054000000}">
      <text>
        <r>
          <rPr>
            <sz val="10"/>
            <color indexed="81"/>
            <rFont val="Lucida Console"/>
            <family val="3"/>
          </rPr>
          <t>12853|TRINCHA PARA PINTURA - 1", COM CERDAS 100% NATURAIS|PC|2020 Novas Salas|</t>
        </r>
      </text>
    </comment>
    <comment ref="J86" authorId="0" shapeId="0" xr:uid="{00000000-0006-0000-0000-000055000000}">
      <text>
        <r>
          <rPr>
            <sz val="10"/>
            <color indexed="81"/>
            <rFont val="Lucida Console"/>
            <family val="3"/>
          </rPr>
          <t>12856|TRINCHA PARA PINTURA - 2", COM CERDAS 100% NATURAIS|PC|2020 Novas Salas|</t>
        </r>
      </text>
    </comment>
    <comment ref="J87" authorId="0" shapeId="0" xr:uid="{00000000-0006-0000-0000-000056000000}">
      <text>
        <r>
          <rPr>
            <sz val="10"/>
            <color indexed="81"/>
            <rFont val="Lucida Console"/>
            <family val="3"/>
          </rPr>
          <t>12857|TRINCHA PARA PINTURA - 3", COM CERDAS 100% NATURAIS|PC|2020 Novas Salas|</t>
        </r>
      </text>
    </comment>
    <comment ref="J88" authorId="0" shapeId="0" xr:uid="{00000000-0006-0000-0000-000057000000}">
      <text>
        <r>
          <rPr>
            <sz val="10"/>
            <color indexed="81"/>
            <rFont val="Lucida Console"/>
            <family val="3"/>
          </rPr>
          <t>12877|TINTA LATEX PVA BRANCO, LATA COM 18 LITROS|LT|2020 Novas Salas|</t>
        </r>
      </text>
    </comment>
    <comment ref="J89" authorId="0" shapeId="0" xr:uid="{00000000-0006-0000-0000-000058000000}">
      <text>
        <r>
          <rPr>
            <sz val="10"/>
            <color indexed="81"/>
            <rFont val="Lucida Console"/>
            <family val="3"/>
          </rPr>
          <t>12881|COTOVELO 90° GRAUS EM PVC RIGIDO SOLDAVEL DE 2" (ESGOTO)|PC|2020 Novas Salas|</t>
        </r>
      </text>
    </comment>
    <comment ref="J90" authorId="0" shapeId="0" xr:uid="{00000000-0006-0000-0000-000059000000}">
      <text>
        <r>
          <rPr>
            <sz val="10"/>
            <color indexed="81"/>
            <rFont val="Lucida Console"/>
            <family val="3"/>
          </rPr>
          <t>12884|COTOVELO 90 GRAUS EM PVC RIGIDO SOLDAVEL DE 4" (ESGOTO)|PC|2020 Novas Salas|</t>
        </r>
      </text>
    </comment>
    <comment ref="J91" authorId="0" shapeId="0" xr:uid="{00000000-0006-0000-0000-00005A000000}">
      <text>
        <r>
          <rPr>
            <sz val="10"/>
            <color indexed="81"/>
            <rFont val="Lucida Console"/>
            <family val="3"/>
          </rPr>
          <t>12886|COTOVELO 90 GRAUS EM PVC RIGIDO SOLDAVEL - 1.1/2"|PC|2020 Novas Salas|</t>
        </r>
      </text>
    </comment>
    <comment ref="J92" authorId="0" shapeId="0" xr:uid="{00000000-0006-0000-0000-00005B000000}">
      <text>
        <r>
          <rPr>
            <sz val="10"/>
            <color indexed="81"/>
            <rFont val="Lucida Console"/>
            <family val="3"/>
          </rPr>
          <t>12891|COTOVELO 90 GRAUS EM PVC RIGIDO SOLDAVEL DE 32 MM (1")|PC|2020 Novas Salas|</t>
        </r>
      </text>
    </comment>
    <comment ref="J93" authorId="0" shapeId="0" xr:uid="{00000000-0006-0000-0000-00005C000000}">
      <text>
        <r>
          <rPr>
            <sz val="10"/>
            <color indexed="81"/>
            <rFont val="Lucida Console"/>
            <family val="3"/>
          </rPr>
          <t>12894|COTOVELO 90 GRAUS EM PVC RIGIDO SOLDAVEL DE 3/4"|PC|2020 Novas Salas|</t>
        </r>
      </text>
    </comment>
    <comment ref="J94" authorId="0" shapeId="0" xr:uid="{00000000-0006-0000-0000-00005D000000}">
      <text>
        <r>
          <rPr>
            <sz val="10"/>
            <color indexed="81"/>
            <rFont val="Lucida Console"/>
            <family val="3"/>
          </rPr>
          <t>12971|CAIXA DE PASSAGEM RETANGULAR 2 X 4 - EM PVC|PC|2020 Novas Salas|</t>
        </r>
      </text>
    </comment>
    <comment ref="J95" authorId="0" shapeId="0" xr:uid="{00000000-0006-0000-0000-00005E000000}">
      <text>
        <r>
          <rPr>
            <sz val="10"/>
            <color indexed="81"/>
            <rFont val="Lucida Console"/>
            <family val="3"/>
          </rPr>
          <t>13063|COLA P/ TUBO PVC - BISNAGA C/ 75 GR|TB|2020 Novas Salas|</t>
        </r>
      </text>
    </comment>
    <comment ref="J96" authorId="0" shapeId="0" xr:uid="{00000000-0006-0000-0000-00005F000000}">
      <text>
        <r>
          <rPr>
            <sz val="10"/>
            <color indexed="81"/>
            <rFont val="Lucida Console"/>
            <family val="3"/>
          </rPr>
          <t>13064|FITA DE TEFLON P/ VEDACAO HIDRAULICA (VEDA ROSCA) - 18 MM X|RL|2020 Novas Salas|</t>
        </r>
      </text>
    </comment>
    <comment ref="J97" authorId="0" shapeId="0" xr:uid="{00000000-0006-0000-0000-000060000000}">
      <text>
        <r>
          <rPr>
            <sz val="10"/>
            <color indexed="81"/>
            <rFont val="Lucida Console"/>
            <family val="3"/>
          </rPr>
          <t>13095|TE DE PVC SOLDAVEL - 1.1/2"|PC|2020 Novas Salas|</t>
        </r>
      </text>
    </comment>
    <comment ref="J98" authorId="0" shapeId="0" xr:uid="{00000000-0006-0000-0000-000061000000}">
      <text>
        <r>
          <rPr>
            <sz val="10"/>
            <color indexed="81"/>
            <rFont val="Lucida Console"/>
            <family val="3"/>
          </rPr>
          <t>13109|LIXA P/ FERRO E METAIS EM FOLHA DE 225 X 275 MM N° 60|FL|2020 Novas Salas|</t>
        </r>
      </text>
    </comment>
    <comment ref="J99" authorId="0" shapeId="0" xr:uid="{00000000-0006-0000-0000-000062000000}">
      <text>
        <r>
          <rPr>
            <sz val="10"/>
            <color indexed="81"/>
            <rFont val="Lucida Console"/>
            <family val="3"/>
          </rPr>
          <t>13116|REGISTRO DE PRESSAO 3/4" SEM CANOPLA|PC|2020 Novas Salas|</t>
        </r>
      </text>
    </comment>
    <comment ref="J100" authorId="0" shapeId="0" xr:uid="{00000000-0006-0000-0000-000063000000}">
      <text>
        <r>
          <rPr>
            <sz val="10"/>
            <color indexed="81"/>
            <rFont val="Lucida Console"/>
            <family val="3"/>
          </rPr>
          <t>13180|CADEADO DE LATAO - 30 MM|PC|2020 Novas Salas|</t>
        </r>
      </text>
    </comment>
    <comment ref="J101" authorId="0" shapeId="0" xr:uid="{00000000-0006-0000-0000-000064000000}">
      <text>
        <r>
          <rPr>
            <sz val="10"/>
            <color indexed="81"/>
            <rFont val="Lucida Console"/>
            <family val="3"/>
          </rPr>
          <t>13221|PARAFUSO GALVANIZADO P/ FIXACAO DE TELHAS MODULADAS - 5/16 X 110 MM|PC|2020 Novas Salas|</t>
        </r>
      </text>
    </comment>
    <comment ref="J102" authorId="0" shapeId="0" xr:uid="{00000000-0006-0000-0000-000065000000}">
      <text>
        <r>
          <rPr>
            <sz val="10"/>
            <color indexed="81"/>
            <rFont val="Lucida Console"/>
            <family val="3"/>
          </rPr>
          <t>13518|TE DE PVC RIGIDO SOLDAVEL P/ ESGOTO DE 4"|PC|2020 Novas Salas|</t>
        </r>
      </text>
    </comment>
    <comment ref="J103" authorId="0" shapeId="0" xr:uid="{00000000-0006-0000-0000-000066000000}">
      <text>
        <r>
          <rPr>
            <sz val="10"/>
            <color indexed="81"/>
            <rFont val="Lucida Console"/>
            <family val="3"/>
          </rPr>
          <t>13558|TUBO DE PVC RIGIDO SOLDAVEL 2" X 06 M (P/ESGOTO)|BR|2020 Novas Salas|</t>
        </r>
      </text>
    </comment>
    <comment ref="J104" authorId="0" shapeId="0" xr:uid="{00000000-0006-0000-0000-000067000000}">
      <text>
        <r>
          <rPr>
            <sz val="10"/>
            <color indexed="81"/>
            <rFont val="Lucida Console"/>
            <family val="3"/>
          </rPr>
          <t>13559|TUBO DE PVC RIGIDO SOLDAVEL DE 100 MM - 4" X 6 M (P/ESGOTO)|BR|2020 Novas Salas|</t>
        </r>
      </text>
    </comment>
    <comment ref="J105" authorId="0" shapeId="0" xr:uid="{00000000-0006-0000-0000-000068000000}">
      <text>
        <r>
          <rPr>
            <sz val="10"/>
            <color indexed="81"/>
            <rFont val="Lucida Console"/>
            <family val="3"/>
          </rPr>
          <t>13562|TUBO DE PVC RIGIDO SOLDAVEL DE 25 MM  - 3/4" X 06 M - CLASSE 15 MARROM - NBR 5648 - A MARCA DEVERA SER LITOGRAFADA NO PRODUTO|BR|2020 Novas Salas|</t>
        </r>
      </text>
    </comment>
    <comment ref="J106" authorId="0" shapeId="0" xr:uid="{00000000-0006-0000-0000-000069000000}">
      <text>
        <r>
          <rPr>
            <sz val="10"/>
            <color indexed="81"/>
            <rFont val="Lucida Console"/>
            <family val="3"/>
          </rPr>
          <t>14001|MASSA CORRIDA PVA - LATA C/ 18 LITROS|LT|2020 Novas Salas|</t>
        </r>
      </text>
    </comment>
    <comment ref="J107" authorId="0" shapeId="0" xr:uid="{00000000-0006-0000-0000-00006A000000}">
      <text>
        <r>
          <rPr>
            <sz val="10"/>
            <color indexed="81"/>
            <rFont val="Lucida Console"/>
            <family val="3"/>
          </rPr>
          <t>14055|PREGO COMUM DE CABECA CHATA - 19 X 36|KG|2020 Novas Salas|</t>
        </r>
      </text>
    </comment>
    <comment ref="J108" authorId="0" shapeId="0" xr:uid="{00000000-0006-0000-0000-00006B000000}">
      <text>
        <r>
          <rPr>
            <sz val="10"/>
            <color indexed="81"/>
            <rFont val="Lucida Console"/>
            <family val="3"/>
          </rPr>
          <t>14662|CIMENTO COMUM CPII-32 - SACO C/ 50KG - O MATERIAL DEVERA SER ENTREGUE EM LOTE PALETIZADO PROTEGIDO COM FILME PLASTICO.|SO|2020 Novas Salas|</t>
        </r>
      </text>
    </comment>
    <comment ref="J109" authorId="0" shapeId="0" xr:uid="{00000000-0006-0000-0000-00006C000000}">
      <text>
        <r>
          <rPr>
            <sz val="10"/>
            <color indexed="81"/>
            <rFont val="Lucida Console"/>
            <family val="3"/>
          </rPr>
          <t>15167|LUMINARIA FECHADA TIPO CALHA P/ LAMPADA FLUORESCENTE 2 X 40|PC|2020 Novas Salas|</t>
        </r>
      </text>
    </comment>
    <comment ref="J110" authorId="0" shapeId="0" xr:uid="{00000000-0006-0000-0000-00006D000000}">
      <text>
        <r>
          <rPr>
            <sz val="10"/>
            <color indexed="81"/>
            <rFont val="Lucida Console"/>
            <family val="3"/>
          </rPr>
          <t>15668|TERMINAL DE COMPRESSAO TIPO OLHAL P/ CABO DE COBRE 120MM2|PC|2020 Novas Salas|</t>
        </r>
      </text>
    </comment>
    <comment ref="J111" authorId="0" shapeId="0" xr:uid="{00000000-0006-0000-0000-00006E000000}">
      <text>
        <r>
          <rPr>
            <sz val="10"/>
            <color indexed="81"/>
            <rFont val="Lucida Console"/>
            <family val="3"/>
          </rPr>
          <t>15761|COTOVELO 45 GRAUS EM PVC RIGIDO SOLDAVEL 2"|PC|2020 Novas Salas|</t>
        </r>
      </text>
    </comment>
    <comment ref="J112" authorId="0" shapeId="0" xr:uid="{00000000-0006-0000-0000-00006F000000}">
      <text>
        <r>
          <rPr>
            <sz val="10"/>
            <color indexed="81"/>
            <rFont val="Lucida Console"/>
            <family val="3"/>
          </rPr>
          <t>16053|ADESIVO P/ CHAPISCO, CONCRETO E ARGAMASSA - BALDE C/18 LITROS|BD|2020 Novas Salas|</t>
        </r>
      </text>
    </comment>
    <comment ref="J113" authorId="0" shapeId="0" xr:uid="{00000000-0006-0000-0000-000070000000}">
      <text>
        <r>
          <rPr>
            <sz val="10"/>
            <color indexed="81"/>
            <rFont val="Lucida Console"/>
            <family val="3"/>
          </rPr>
          <t>16363|CHAPA DE MADEIRA RESINADA C/ 2,20 X 1,10 M ESP. 10,0 MM|PC|2020 Novas Salas|</t>
        </r>
      </text>
    </comment>
    <comment ref="J114" authorId="0" shapeId="0" xr:uid="{00000000-0006-0000-0000-000071000000}">
      <text>
        <r>
          <rPr>
            <sz val="10"/>
            <color indexed="81"/>
            <rFont val="Lucida Console"/>
            <family val="3"/>
          </rPr>
          <t>16365|CHAPA DE MADEIRA RESINADA C/ 2,20 X 1,10 M ESP. 15,0 MM|PC|2020 Novas Salas|</t>
        </r>
      </text>
    </comment>
    <comment ref="J115" authorId="0" shapeId="0" xr:uid="{00000000-0006-0000-0000-000072000000}">
      <text>
        <r>
          <rPr>
            <sz val="10"/>
            <color indexed="81"/>
            <rFont val="Lucida Console"/>
            <family val="3"/>
          </rPr>
          <t>17422|CAIXA SIFONADA REDONDA EM PVC RIGIDO DE 100 X 150 X 50 MM (4" X 6" X 2")|PC|2020 Novas Salas|</t>
        </r>
      </text>
    </comment>
    <comment ref="J116" authorId="0" shapeId="0" xr:uid="{00000000-0006-0000-0000-000073000000}">
      <text>
        <r>
          <rPr>
            <sz val="10"/>
            <color indexed="81"/>
            <rFont val="Lucida Console"/>
            <family val="3"/>
          </rPr>
          <t>17426|CAIXA DE DESCARGA COM CORPO PLASTICO (ACOMPANHA ENGATE E|PC|2020 Novas Salas|</t>
        </r>
      </text>
    </comment>
    <comment ref="J117" authorId="0" shapeId="0" xr:uid="{00000000-0006-0000-0000-000074000000}">
      <text>
        <r>
          <rPr>
            <sz val="10"/>
            <color indexed="81"/>
            <rFont val="Lucida Console"/>
            <family val="3"/>
          </rPr>
          <t>17662|LIXA D'AGUA EM FOLHA 225 X 275 MM GRAO 120|FL|2020 Novas Salas|</t>
        </r>
      </text>
    </comment>
    <comment ref="J118" authorId="0" shapeId="0" xr:uid="{00000000-0006-0000-0000-000075000000}">
      <text>
        <r>
          <rPr>
            <sz val="10"/>
            <color indexed="81"/>
            <rFont val="Lucida Console"/>
            <family val="3"/>
          </rPr>
          <t>18346|PREGO COMUM DE CABECA CHATA - 15 X 15|KG|2020 Novas Salas|</t>
        </r>
      </text>
    </comment>
    <comment ref="J119" authorId="0" shapeId="0" xr:uid="{00000000-0006-0000-0000-000076000000}">
      <text>
        <r>
          <rPr>
            <sz val="10"/>
            <color indexed="81"/>
            <rFont val="Lucida Console"/>
            <family val="3"/>
          </rPr>
          <t>18353|PREGO COMUM DE CABECA CHATA - 17 X 21|KG|2020 Novas Salas|</t>
        </r>
      </text>
    </comment>
    <comment ref="J120" authorId="0" shapeId="0" xr:uid="{00000000-0006-0000-0000-000077000000}">
      <text>
        <r>
          <rPr>
            <sz val="10"/>
            <color indexed="81"/>
            <rFont val="Lucida Console"/>
            <family val="3"/>
          </rPr>
          <t>18357|PREGO COMUM DE CABECA CHATA - 18 X 27|KG|2020 Novas Salas|</t>
        </r>
      </text>
    </comment>
    <comment ref="J121" authorId="0" shapeId="0" xr:uid="{00000000-0006-0000-0000-000078000000}">
      <text>
        <r>
          <rPr>
            <sz val="10"/>
            <color indexed="81"/>
            <rFont val="Lucida Console"/>
            <family val="3"/>
          </rPr>
          <t>18358|PREGO COMUM DE CABECA CHATA - 18 X 30|KG|2020 Novas Salas|</t>
        </r>
      </text>
    </comment>
    <comment ref="J122" authorId="0" shapeId="0" xr:uid="{00000000-0006-0000-0000-000079000000}">
      <text>
        <r>
          <rPr>
            <sz val="10"/>
            <color indexed="81"/>
            <rFont val="Lucida Console"/>
            <family val="3"/>
          </rPr>
          <t>20001|BROCA DE ACO RAPIDO HELICOIDAL DE 1/8" COM HASTE CILINDRICA|PC|2020 Novas Salas|</t>
        </r>
      </text>
    </comment>
    <comment ref="J123" authorId="0" shapeId="0" xr:uid="{00000000-0006-0000-0000-00007A000000}">
      <text>
        <r>
          <rPr>
            <sz val="10"/>
            <color indexed="81"/>
            <rFont val="Lucida Console"/>
            <family val="3"/>
          </rPr>
          <t>20035|BROCA DE ACO RAPIDO HELICOIDAL DE 3/32" COM HASTE CILINDRIC|PC|2020 Novas Salas|</t>
        </r>
      </text>
    </comment>
    <comment ref="J124" authorId="0" shapeId="0" xr:uid="{00000000-0006-0000-0000-00007B000000}">
      <text>
        <r>
          <rPr>
            <sz val="10"/>
            <color indexed="81"/>
            <rFont val="Lucida Console"/>
            <family val="3"/>
          </rPr>
          <t>20135|CHAPA DE ACO CARBONO GALVANIZADO ZINCADO N°22 ESP=0,80 MM -|PC|2020 Novas Salas|</t>
        </r>
      </text>
    </comment>
    <comment ref="J125" authorId="0" shapeId="0" xr:uid="{00000000-0006-0000-0000-00007C000000}">
      <text>
        <r>
          <rPr>
            <sz val="10"/>
            <color indexed="81"/>
            <rFont val="Lucida Console"/>
            <family val="3"/>
          </rPr>
          <t>20760|TINTA ACRILICA P/ DEMARCACAO DE SOLO - BALDE C/ 18 LITROS -|BD|2020 Novas Salas|</t>
        </r>
      </text>
    </comment>
    <comment ref="J126" authorId="0" shapeId="0" xr:uid="{00000000-0006-0000-0000-00007D000000}">
      <text>
        <r>
          <rPr>
            <sz val="10"/>
            <color indexed="81"/>
            <rFont val="Lucida Console"/>
            <family val="3"/>
          </rPr>
          <t>20763|TINTA ACRILICA P/ DEMARCACAO DO SOLO - BALDE COM 18 LITROS - AMARELA|BD|2020 Novas Salas|</t>
        </r>
      </text>
    </comment>
    <comment ref="J127" authorId="0" shapeId="0" xr:uid="{00000000-0006-0000-0000-00007E000000}">
      <text>
        <r>
          <rPr>
            <sz val="10"/>
            <color indexed="81"/>
            <rFont val="Lucida Console"/>
            <family val="3"/>
          </rPr>
          <t>23676|CONJUNTO DE VEDACAO PLASTICA P/ TELHA 6 MM|CJ|2020 Novas Salas|</t>
        </r>
      </text>
    </comment>
    <comment ref="J128" authorId="0" shapeId="0" xr:uid="{00000000-0006-0000-0000-00007F000000}">
      <text>
        <r>
          <rPr>
            <sz val="10"/>
            <color indexed="81"/>
            <rFont val="Lucida Console"/>
            <family val="3"/>
          </rPr>
          <t>23778|SOLVENTE P/ TINTA DE DEMARCACAO VIARIA -BALDE C/ 18 LITROS - TIPO DER 3.09|BD|2020 Novas Salas|</t>
        </r>
      </text>
    </comment>
    <comment ref="J129" authorId="0" shapeId="0" xr:uid="{00000000-0006-0000-0000-000080000000}">
      <text>
        <r>
          <rPr>
            <sz val="10"/>
            <color indexed="81"/>
            <rFont val="Lucida Console"/>
            <family val="3"/>
          </rPr>
          <t>24205|ROLO DE LA DE CARNEIRO P/ PINTURA - 23 CM C/ CABO|PC|2020 Novas Salas|</t>
        </r>
      </text>
    </comment>
    <comment ref="J130" authorId="0" shapeId="0" xr:uid="{00000000-0006-0000-0000-000081000000}">
      <text>
        <r>
          <rPr>
            <sz val="10"/>
            <color indexed="81"/>
            <rFont val="Lucida Console"/>
            <family val="3"/>
          </rPr>
          <t>24371|BLOCO DE CONCRETO - 15 X 20 X 40 CM|PC|2020 Novas Salas|</t>
        </r>
      </text>
    </comment>
    <comment ref="J131" authorId="0" shapeId="0" xr:uid="{00000000-0006-0000-0000-000082000000}">
      <text>
        <r>
          <rPr>
            <sz val="10"/>
            <color indexed="81"/>
            <rFont val="Lucida Console"/>
            <family val="3"/>
          </rPr>
          <t>24500|CANOPLA COMPLETA P/ VALVULA DE DESCARGA|PC|2020 Novas Salas|</t>
        </r>
      </text>
    </comment>
    <comment ref="J132" authorId="0" shapeId="0" xr:uid="{00000000-0006-0000-0000-000083000000}">
      <text>
        <r>
          <rPr>
            <sz val="10"/>
            <color indexed="81"/>
            <rFont val="Lucida Console"/>
            <family val="3"/>
          </rPr>
          <t>24888|PREGO COMUM DE CABECA CHATA - 10 X 10|KG|2020 Novas Salas|</t>
        </r>
      </text>
    </comment>
    <comment ref="J133" authorId="0" shapeId="0" xr:uid="{00000000-0006-0000-0000-000084000000}">
      <text>
        <r>
          <rPr>
            <sz val="10"/>
            <color indexed="81"/>
            <rFont val="Lucida Console"/>
            <family val="3"/>
          </rPr>
          <t>25630|REGISTRO DE GAVETA EM LIGA DE COBRE DE 3/4" C/ CANOPLA|PC|2020 Novas Salas|</t>
        </r>
      </text>
    </comment>
    <comment ref="J134" authorId="0" shapeId="0" xr:uid="{00000000-0006-0000-0000-000085000000}">
      <text>
        <r>
          <rPr>
            <sz val="10"/>
            <color indexed="81"/>
            <rFont val="Lucida Console"/>
            <family val="3"/>
          </rPr>
          <t>25756|REGISTRO DE GAVETA EM LIGA DE COBRE DE 1.1/2" C/ CANOPLA|PC|2020 Novas Salas|</t>
        </r>
      </text>
    </comment>
    <comment ref="J135" authorId="0" shapeId="0" xr:uid="{00000000-0006-0000-0000-000086000000}">
      <text>
        <r>
          <rPr>
            <sz val="10"/>
            <color indexed="81"/>
            <rFont val="Lucida Console"/>
            <family val="3"/>
          </rPr>
          <t>27353|GESSO ESTUQUE, EMBALAGEM C/ 01 KG|SO|2020 Novas Salas|</t>
        </r>
      </text>
    </comment>
    <comment ref="J136" authorId="0" shapeId="0" xr:uid="{00000000-0006-0000-0000-000087000000}">
      <text>
        <r>
          <rPr>
            <sz val="10"/>
            <color indexed="81"/>
            <rFont val="Lucida Console"/>
            <family val="3"/>
          </rPr>
          <t>27479|PRIMER ANTICORROSIVO, SECAGEM RAPIDA, COR CINZA, GL C/ 3,6ML|GL|2020 Novas Salas|</t>
        </r>
      </text>
    </comment>
    <comment ref="J137" authorId="0" shapeId="0" xr:uid="{00000000-0006-0000-0000-000088000000}">
      <text>
        <r>
          <rPr>
            <sz val="10"/>
            <color indexed="81"/>
            <rFont val="Lucida Console"/>
            <family val="3"/>
          </rPr>
          <t>29296|ESTOPA BRANCA - PACOTE C/ 500 GR, NA EMBALAGEM DEVERA CONTER MARCA DO FABRICANTE|PT|2020 Novas Salas|</t>
        </r>
      </text>
    </comment>
    <comment ref="J138" authorId="0" shapeId="0" xr:uid="{00000000-0006-0000-0000-000089000000}">
      <text>
        <r>
          <rPr>
            <sz val="10"/>
            <color indexed="81"/>
            <rFont val="Lucida Console"/>
            <family val="3"/>
          </rPr>
          <t>31321|CABO FLEXIVEL - 2,5 MM2 - PRETO|M|2020 Novas Salas|</t>
        </r>
      </text>
    </comment>
    <comment ref="J139" authorId="0" shapeId="0" xr:uid="{00000000-0006-0000-0000-00008A000000}">
      <text>
        <r>
          <rPr>
            <sz val="10"/>
            <color indexed="81"/>
            <rFont val="Lucida Console"/>
            <family val="3"/>
          </rPr>
          <t>33623|ARAME DE ACO CARBONO RECOZIDO (LISO) - BWG N° 18 (1,24 MM)|KG|2020 Novas Salas|</t>
        </r>
      </text>
    </comment>
    <comment ref="J140" authorId="0" shapeId="0" xr:uid="{00000000-0006-0000-0000-00008B000000}">
      <text>
        <r>
          <rPr>
            <sz val="10"/>
            <color indexed="81"/>
            <rFont val="Lucida Console"/>
            <family val="3"/>
          </rPr>
          <t>34801|BLOCO DE CONCRETO - 10 X 20 X 40 CM|PC|2020 Novas Salas|</t>
        </r>
      </text>
    </comment>
    <comment ref="J141" authorId="0" shapeId="0" xr:uid="{00000000-0006-0000-0000-00008C000000}">
      <text>
        <r>
          <rPr>
            <sz val="10"/>
            <color indexed="81"/>
            <rFont val="Lucida Console"/>
            <family val="3"/>
          </rPr>
          <t>35227|LUVA DE PVC, 1", RIGIDO SOLDAVEL|PC|2020 Novas Salas|</t>
        </r>
      </text>
    </comment>
    <comment ref="J142" authorId="0" shapeId="0" xr:uid="{00000000-0006-0000-0000-00008D000000}">
      <text>
        <r>
          <rPr>
            <sz val="10"/>
            <color indexed="81"/>
            <rFont val="Lucida Console"/>
            <family val="3"/>
          </rPr>
          <t>40685|CABO FLEXIVEL - 6 MM2 - VERDE|M|2020 Novas Salas|</t>
        </r>
      </text>
    </comment>
    <comment ref="J143" authorId="0" shapeId="0" xr:uid="{00000000-0006-0000-0000-00008E000000}">
      <text>
        <r>
          <rPr>
            <sz val="10"/>
            <color indexed="81"/>
            <rFont val="Lucida Console"/>
            <family val="3"/>
          </rPr>
          <t>53446|REJUNTE BRANCO - SACO COM 01 KG|SO|2020 Novas Salas|</t>
        </r>
      </text>
    </comment>
    <comment ref="J144" authorId="0" shapeId="0" xr:uid="{00000000-0006-0000-0000-00008F000000}">
      <text>
        <r>
          <rPr>
            <sz val="10"/>
            <color indexed="81"/>
            <rFont val="Lucida Console"/>
            <family val="3"/>
          </rPr>
          <t>56519|FOLHA DE PORTA TIPO MEXICANA - MED.: 0,82 X 2,10 M|PC|2020 Novas Salas|</t>
        </r>
      </text>
    </comment>
    <comment ref="J145" authorId="0" shapeId="0" xr:uid="{00000000-0006-0000-0000-000090000000}">
      <text>
        <r>
          <rPr>
            <sz val="10"/>
            <color indexed="81"/>
            <rFont val="Lucida Console"/>
            <family val="3"/>
          </rPr>
          <t>58706|PONTALETE DE CEDRINHO 3" X 3" - COM 03 METROS DE COMPRIMENT|PC|2020 Novas Salas|</t>
        </r>
      </text>
    </comment>
    <comment ref="J146" authorId="0" shapeId="0" xr:uid="{00000000-0006-0000-0000-000091000000}">
      <text>
        <r>
          <rPr>
            <sz val="10"/>
            <color indexed="81"/>
            <rFont val="Lucida Console"/>
            <family val="3"/>
          </rPr>
          <t>59882|BARRA/FIO REDONDO DE ACO CA 50 P/CONSTRUCAO NBR 7480 - 3/8"|BR|2020 Novas Salas|</t>
        </r>
      </text>
    </comment>
    <comment ref="J147" authorId="0" shapeId="0" xr:uid="{00000000-0006-0000-0000-000092000000}">
      <text>
        <r>
          <rPr>
            <sz val="10"/>
            <color indexed="81"/>
            <rFont val="Lucida Console"/>
            <family val="3"/>
          </rPr>
          <t>60116|TUBO DESCARGA PONTA AZUL - 18|PC|2020 Novas Salas|</t>
        </r>
      </text>
    </comment>
    <comment ref="J148" authorId="0" shapeId="0" xr:uid="{00000000-0006-0000-0000-000093000000}">
      <text>
        <r>
          <rPr>
            <sz val="10"/>
            <color indexed="81"/>
            <rFont val="Lucida Console"/>
            <family val="3"/>
          </rPr>
          <t>61201|LUVA DE PVC SOLDAVEL / ROSQUEAVEL AZUL - 3/4"|PC|2020 Novas Salas|</t>
        </r>
      </text>
    </comment>
    <comment ref="J149" authorId="0" shapeId="0" xr:uid="{00000000-0006-0000-0000-000094000000}">
      <text>
        <r>
          <rPr>
            <sz val="10"/>
            <color indexed="81"/>
            <rFont val="Lucida Console"/>
            <family val="3"/>
          </rPr>
          <t>64635|LUVA DE REDUCAO EM PVC RIGIDO - BRANCA - 150 X 100 MM - 6"|PC|2020 Novas Salas|</t>
        </r>
      </text>
    </comment>
    <comment ref="J150" authorId="0" shapeId="0" xr:uid="{00000000-0006-0000-0000-000095000000}">
      <text>
        <r>
          <rPr>
            <sz val="10"/>
            <color indexed="81"/>
            <rFont val="Lucida Console"/>
            <family val="3"/>
          </rPr>
          <t>64636|LUVA DE REDUCAO EM PVC RIGIDO - MARROM - SOLDAVEL - 1.1/2"|PC|2020 Novas Salas|</t>
        </r>
      </text>
    </comment>
    <comment ref="J151" authorId="0" shapeId="0" xr:uid="{00000000-0006-0000-0000-000096000000}">
      <text>
        <r>
          <rPr>
            <sz val="10"/>
            <color indexed="81"/>
            <rFont val="Lucida Console"/>
            <family val="3"/>
          </rPr>
          <t>64647|TE DE REDUCAO EM PVC RIGIDO - SOLDAVEL - 150 X 100 MM - 6"|PC|2020 Novas Salas|</t>
        </r>
      </text>
    </comment>
    <comment ref="J152" authorId="0" shapeId="0" xr:uid="{00000000-0006-0000-0000-000097000000}">
      <text>
        <r>
          <rPr>
            <sz val="10"/>
            <color indexed="81"/>
            <rFont val="Lucida Console"/>
            <family val="3"/>
          </rPr>
          <t>64822|TINTA P/ PISO - BRANCA - C/ 18 LT|LT|2020 Novas Salas|</t>
        </r>
      </text>
    </comment>
    <comment ref="J153" authorId="0" shapeId="0" xr:uid="{00000000-0006-0000-0000-000098000000}">
      <text>
        <r>
          <rPr>
            <sz val="10"/>
            <color indexed="81"/>
            <rFont val="Lucida Console"/>
            <family val="3"/>
          </rPr>
          <t>65748|CABO FLEXIVEL - 2,5 MM2 - VERDE|M|2020 Novas Salas|</t>
        </r>
      </text>
    </comment>
    <comment ref="J154" authorId="0" shapeId="0" xr:uid="{00000000-0006-0000-0000-000099000000}">
      <text>
        <r>
          <rPr>
            <sz val="10"/>
            <color indexed="81"/>
            <rFont val="Lucida Console"/>
            <family val="3"/>
          </rPr>
          <t>67376|CUMEEIRA DE FIBRA SINTETICA 10 GRAUS PARA TELHA ONDULADA ES|PC|2020 Novas Salas|</t>
        </r>
      </text>
    </comment>
    <comment ref="J155" authorId="0" shapeId="0" xr:uid="{00000000-0006-0000-0000-00009A000000}">
      <text>
        <r>
          <rPr>
            <sz val="10"/>
            <color indexed="81"/>
            <rFont val="Lucida Console"/>
            <family val="3"/>
          </rPr>
          <t>69229|TINTA ACRILICA P/ DEMARCACAO DE SOLO - BALDE C/ 18 LITROS -|BD|2020 Novas Salas|</t>
        </r>
      </text>
    </comment>
    <comment ref="J156" authorId="0" shapeId="0" xr:uid="{00000000-0006-0000-0000-00009B000000}">
      <text>
        <r>
          <rPr>
            <sz val="10"/>
            <color indexed="81"/>
            <rFont val="Lucida Console"/>
            <family val="3"/>
          </rPr>
          <t>74124|CABO FLEXIVEL - 1,5MM - PRETO|M|2020 Novas Salas|</t>
        </r>
      </text>
    </comment>
    <comment ref="J157" authorId="0" shapeId="0" xr:uid="{00000000-0006-0000-0000-00009C000000}">
      <text>
        <r>
          <rPr>
            <sz val="10"/>
            <color indexed="81"/>
            <rFont val="Lucida Console"/>
            <family val="3"/>
          </rPr>
          <t>74907|VIGA DE GARAPEIRA BRUTA - MEDIDAS: 06 CM X 16 CM X 5,50 M|PC|2020 Novas Salas|</t>
        </r>
      </text>
    </comment>
    <comment ref="J158" authorId="0" shapeId="0" xr:uid="{00000000-0006-0000-0000-00009D000000}">
      <text>
        <r>
          <rPr>
            <sz val="10"/>
            <color indexed="81"/>
            <rFont val="Lucida Console"/>
            <family val="3"/>
          </rPr>
          <t>74908|VIGA DE GARAPEIRA BRUTA - MEDIDAS: 06 CM X 16 CM X 4,00 M|PC|2020 Novas Salas|</t>
        </r>
      </text>
    </comment>
    <comment ref="J159" authorId="0" shapeId="0" xr:uid="{00000000-0006-0000-0000-00009E000000}">
      <text>
        <r>
          <rPr>
            <sz val="10"/>
            <color indexed="81"/>
            <rFont val="Lucida Console"/>
            <family val="3"/>
          </rPr>
          <t>74911|VIGA DE GARAPEIRA BRUTA - 6 X 12 CM X 4,50 M COMPRIMENTO|PC|2020 Novas Salas|</t>
        </r>
      </text>
    </comment>
    <comment ref="J160" authorId="0" shapeId="0" xr:uid="{00000000-0006-0000-0000-00009F000000}">
      <text>
        <r>
          <rPr>
            <sz val="10"/>
            <color indexed="81"/>
            <rFont val="Lucida Console"/>
            <family val="3"/>
          </rPr>
          <t>76776|CABO FLEXIVEL BITOLA 4,0 MM2, 750 VOLTS, ISOLACAO DE PVC 70° C, COR PRETA|M|2020 Novas Salas|</t>
        </r>
      </text>
    </comment>
    <comment ref="J161" authorId="0" shapeId="0" xr:uid="{00000000-0006-0000-0000-0000A0000000}">
      <text>
        <r>
          <rPr>
            <sz val="10"/>
            <color indexed="81"/>
            <rFont val="Lucida Console"/>
            <family val="3"/>
          </rPr>
          <t>76806|PERFILADO - 38 X 38 MM, PERFURADO,  C/ 6M DE COMPRIMENTO|BR|2020 Novas Salas|</t>
        </r>
      </text>
    </comment>
    <comment ref="J162" authorId="0" shapeId="0" xr:uid="{00000000-0006-0000-0000-0000A1000000}">
      <text>
        <r>
          <rPr>
            <sz val="10"/>
            <color indexed="81"/>
            <rFont val="Lucida Console"/>
            <family val="3"/>
          </rPr>
          <t>77554|VIGA DE GARAPEIRA BRUTA - 6 CM X 12 CM X 5,50 M COMPRIMENTO|PC|2020 Novas Salas|</t>
        </r>
      </text>
    </comment>
    <comment ref="J163" authorId="0" shapeId="0" xr:uid="{00000000-0006-0000-0000-0000A2000000}">
      <text>
        <r>
          <rPr>
            <sz val="10"/>
            <color indexed="81"/>
            <rFont val="Lucida Console"/>
            <family val="3"/>
          </rPr>
          <t>77556|VIGA DE GARAPEIRA BRUTA - MEDIDAS: 06 CM X 16 CM X 4,50 M|PC|2020 Novas Salas|</t>
        </r>
      </text>
    </comment>
    <comment ref="J164" authorId="0" shapeId="0" xr:uid="{00000000-0006-0000-0000-0000A3000000}">
      <text>
        <r>
          <rPr>
            <sz val="10"/>
            <color indexed="81"/>
            <rFont val="Lucida Console"/>
            <family val="3"/>
          </rPr>
          <t>77562|SARRAFO DE CEDRINHO DE 1ª, 25 X 100 M/M, BRUTO DE 4,00 M COMPRIMENTO|PC|2020 Novas Salas|</t>
        </r>
      </text>
    </comment>
    <comment ref="J165" authorId="0" shapeId="0" xr:uid="{00000000-0006-0000-0000-0000A4000000}">
      <text>
        <r>
          <rPr>
            <sz val="10"/>
            <color indexed="81"/>
            <rFont val="Lucida Console"/>
            <family val="3"/>
          </rPr>
          <t>78416|PARAFUSO FRANCES - 1/2" X 8" - COM PORCA E ARRUELA|PC|2020 Novas Salas|</t>
        </r>
      </text>
    </comment>
    <comment ref="J166" authorId="0" shapeId="0" xr:uid="{00000000-0006-0000-0000-0000A5000000}">
      <text>
        <r>
          <rPr>
            <sz val="10"/>
            <color indexed="81"/>
            <rFont val="Lucida Console"/>
            <family val="3"/>
          </rPr>
          <t>78646|TINTA GUACHE - POTE COM 250ML - COR VERMELHA|PO|2020 Novas Salas|</t>
        </r>
      </text>
    </comment>
    <comment ref="J167" authorId="0" shapeId="0" xr:uid="{00000000-0006-0000-0000-0000A6000000}">
      <text>
        <r>
          <rPr>
            <sz val="10"/>
            <color indexed="81"/>
            <rFont val="Lucida Console"/>
            <family val="3"/>
          </rPr>
          <t>80300|BATENTE DE GARAPEIRA 0,92 X 2,10 M|PC|2020 Novas Salas|</t>
        </r>
      </text>
    </comment>
    <comment ref="J168" authorId="0" shapeId="0" xr:uid="{00000000-0006-0000-0000-0000A7000000}">
      <text>
        <r>
          <rPr>
            <sz val="10"/>
            <color indexed="81"/>
            <rFont val="Lucida Console"/>
            <family val="3"/>
          </rPr>
          <t>80650|ABRACADEIRA GALVANIZADA TIPO "D" 1 1/4"|PC|2020 Novas Salas|</t>
        </r>
      </text>
    </comment>
    <comment ref="J169" authorId="0" shapeId="0" xr:uid="{00000000-0006-0000-0000-0000A8000000}">
      <text>
        <r>
          <rPr>
            <sz val="10"/>
            <color indexed="81"/>
            <rFont val="Lucida Console"/>
            <family val="3"/>
          </rPr>
          <t>81514|PARAFUSO EM ACO BICROMATIZADO, CABECA CHATA - 3,5 X 16 MM - CABECA COM ENCAIXE PARA CHAVE PHILLIPS|PC|2020 Novas Salas|</t>
        </r>
      </text>
    </comment>
    <comment ref="J170" authorId="0" shapeId="0" xr:uid="{00000000-0006-0000-0000-0000A9000000}">
      <text>
        <r>
          <rPr>
            <sz val="10"/>
            <color indexed="81"/>
            <rFont val="Lucida Console"/>
            <family val="3"/>
          </rPr>
          <t>82185|VIGA DE GARAPEIRA BRUTA - 60MM X 160MM X 6,00 M COMPRIMENTO|PC|2020 Novas Salas|</t>
        </r>
      </text>
    </comment>
    <comment ref="J171" authorId="0" shapeId="0" xr:uid="{00000000-0006-0000-0000-0000AA000000}">
      <text>
        <r>
          <rPr>
            <sz val="10"/>
            <color indexed="81"/>
            <rFont val="Lucida Console"/>
            <family val="3"/>
          </rPr>
          <t>87157|PASTILHA CERAMICA TELADA, 10 X 10 CM, COR VERDE|M2|2020 Novas Salas|</t>
        </r>
      </text>
    </comment>
    <comment ref="J172" authorId="0" shapeId="0" xr:uid="{00000000-0006-0000-0000-0000AB000000}">
      <text>
        <r>
          <rPr>
            <sz val="10"/>
            <color indexed="81"/>
            <rFont val="Lucida Console"/>
            <family val="3"/>
          </rPr>
          <t>87586|TINTA ACRILICA P/ DEMARCACAO DE SOLO - BALDE C/ 18 L - VERMELHA - PADRAO DER 3.09|BD|2020 Novas Salas|</t>
        </r>
      </text>
    </comment>
    <comment ref="J173" authorId="0" shapeId="0" xr:uid="{00000000-0006-0000-0000-0000AC000000}">
      <text>
        <r>
          <rPr>
            <sz val="10"/>
            <color indexed="81"/>
            <rFont val="Lucida Console"/>
            <family val="3"/>
          </rPr>
          <t>88839|SELADOR ACRILICO - LATA COM 18 LITROS|LT|2020 Novas Salas|</t>
        </r>
      </text>
    </comment>
    <comment ref="J174" authorId="0" shapeId="0" xr:uid="{00000000-0006-0000-0000-0000AD000000}">
      <text>
        <r>
          <rPr>
            <sz val="10"/>
            <color indexed="81"/>
            <rFont val="Lucida Console"/>
            <family val="3"/>
          </rPr>
          <t>88849|ARRUELA LISA DE ACO DE 3/16"|KG|2020 Novas Salas|</t>
        </r>
      </text>
    </comment>
    <comment ref="J175" authorId="0" shapeId="0" xr:uid="{00000000-0006-0000-0000-0000AE000000}">
      <text>
        <r>
          <rPr>
            <sz val="10"/>
            <color indexed="81"/>
            <rFont val="Lucida Console"/>
            <family val="3"/>
          </rPr>
          <t>91868|VASSOURAO DE PIACAVA TIPO PREFEITURA - 40 CM|PC|2020 Novas Salas|</t>
        </r>
      </text>
    </comment>
    <comment ref="J176" authorId="0" shapeId="0" xr:uid="{00000000-0006-0000-0000-0000AF000000}">
      <text>
        <r>
          <rPr>
            <sz val="10"/>
            <color indexed="81"/>
            <rFont val="Lucida Console"/>
            <family val="3"/>
          </rPr>
          <t>95121|JOELHO 45° DE PVC SOLDAVEL PARA AGUA, MARROM, 25 MM|PC|2020 Novas Salas|</t>
        </r>
      </text>
    </comment>
    <comment ref="J177" authorId="0" shapeId="0" xr:uid="{00000000-0006-0000-0000-0000B0000000}">
      <text>
        <r>
          <rPr>
            <sz val="10"/>
            <color indexed="81"/>
            <rFont val="Lucida Console"/>
            <family val="3"/>
          </rPr>
          <t>98702|FORRO EM PVC BRANCO LISO, REGUA DE 6M DE COMPRIMENTO, 20CM DE LARGURA - 10MM DE ESPESSURA (ESPESSURA COM TOLERANCIA DE +/- 2MM)|M2|2020 Novas Salas|</t>
        </r>
      </text>
    </comment>
    <comment ref="J178" authorId="0" shapeId="0" xr:uid="{00000000-0006-0000-0000-0000B1000000}">
      <text>
        <r>
          <rPr>
            <sz val="10"/>
            <color indexed="81"/>
            <rFont val="Lucida Console"/>
            <family val="3"/>
          </rPr>
          <t>98703|PERFIL RODAFORRO PVC BRANCO LISO, BARRA COM 6 MT|BR|2020 Novas Salas|</t>
        </r>
      </text>
    </comment>
    <comment ref="J179" authorId="0" shapeId="0" xr:uid="{00000000-0006-0000-0000-0000B2000000}">
      <text>
        <r>
          <rPr>
            <sz val="10"/>
            <color indexed="81"/>
            <rFont val="Lucida Console"/>
            <family val="3"/>
          </rPr>
          <t>98704|PERFIL TIPO EMENDA PVC BRANCO LISO, BARRA COM 6 MT|BR|2020 Novas Salas|</t>
        </r>
      </text>
    </comment>
    <comment ref="J180" authorId="0" shapeId="0" xr:uid="{00000000-0006-0000-0000-0000B3000000}">
      <text>
        <r>
          <rPr>
            <sz val="10"/>
            <color indexed="81"/>
            <rFont val="Lucida Console"/>
            <family val="3"/>
          </rPr>
          <t>99810|CABO DE COBRE FLEXIVEL, BITOLA 10,0MM2, 1KV,  ISOLACAO DE PVC 70ºC, COR PRETA|M|2020 Novas Salas|</t>
        </r>
      </text>
    </comment>
    <comment ref="J181" authorId="0" shapeId="0" xr:uid="{00000000-0006-0000-0000-0000B4000000}">
      <text>
        <r>
          <rPr>
            <sz val="10"/>
            <color indexed="81"/>
            <rFont val="Lucida Console"/>
            <family val="3"/>
          </rPr>
          <t>103405|PASTA PARA LIMPEZA - 1 KG|PO|2020 Novas Salas|</t>
        </r>
      </text>
    </comment>
    <comment ref="J182" authorId="0" shapeId="0" xr:uid="{00000000-0006-0000-0000-0000B5000000}">
      <text>
        <r>
          <rPr>
            <sz val="10"/>
            <color indexed="81"/>
            <rFont val="Lucida Console"/>
            <family val="3"/>
          </rPr>
          <t>104667|VALVULA DE DESCARGA, EM LATAO, COM DIAMETRO NOMINAL DE 40 MM (1 1/2")|PC|2020 Novas Salas|</t>
        </r>
      </text>
    </comment>
    <comment ref="J183" authorId="0" shapeId="0" xr:uid="{00000000-0006-0000-0000-0000B6000000}">
      <text>
        <r>
          <rPr>
            <sz val="10"/>
            <color indexed="81"/>
            <rFont val="Lucida Console"/>
            <family val="3"/>
          </rPr>
          <t>106376|TELHA EM CIMENTO REFORCADO COM FIO SINTETICO(CRFS)|PC|2020 Novas Salas|</t>
        </r>
      </text>
    </comment>
    <comment ref="J184" authorId="0" shapeId="0" xr:uid="{00000000-0006-0000-0000-0000B7000000}">
      <text>
        <r>
          <rPr>
            <sz val="10"/>
            <color indexed="81"/>
            <rFont val="Lucida Console"/>
            <family val="3"/>
          </rPr>
          <t>113846|REJUNTE BEGE - SACO COM 01 KG|SO|2020 Novas Salas|</t>
        </r>
      </text>
    </comment>
    <comment ref="J185" authorId="0" shapeId="0" xr:uid="{00000000-0006-0000-0000-0000B8000000}">
      <text>
        <r>
          <rPr>
            <sz val="10"/>
            <color indexed="81"/>
            <rFont val="Lucida Console"/>
            <family val="3"/>
          </rPr>
          <t>114853|VIGA DE GARAPEIRA BRUTA - 60MM X 160MM X 7,00 M COMPRIMENTO|PC|2020 Novas Salas|</t>
        </r>
      </text>
    </comment>
    <comment ref="J186" authorId="0" shapeId="0" xr:uid="{00000000-0006-0000-0000-0000B9000000}">
      <text>
        <r>
          <rPr>
            <sz val="10"/>
            <color indexed="81"/>
            <rFont val="Lucida Console"/>
            <family val="3"/>
          </rPr>
          <t>117734|CAIXA PLASTICA DE SOBREPOR COM TAMPA - MEDIDAS: 23 X 17 X 9 CM|PC|2020 Novas Salas|</t>
        </r>
      </text>
    </comment>
    <comment ref="J187" authorId="0" shapeId="0" xr:uid="{00000000-0006-0000-0000-0000BA000000}">
      <text>
        <r>
          <rPr>
            <sz val="10"/>
            <color indexed="81"/>
            <rFont val="Lucida Console"/>
            <family val="3"/>
          </rPr>
          <t>118427|TABUA DE CAMBARA DE 1ª, 25 X 300 MM, BRUTA|M|2020 Novas Salas|</t>
        </r>
      </text>
    </comment>
    <comment ref="J188" authorId="0" shapeId="0" xr:uid="{00000000-0006-0000-0000-0000BB000000}">
      <text>
        <r>
          <rPr>
            <sz val="10"/>
            <color indexed="81"/>
            <rFont val="Lucida Console"/>
            <family val="3"/>
          </rPr>
          <t>118994|REVESTIMENTO CERAMICO - MEDIDA: A 32,5 X 57 CM - COR: SPECTRO OLIVA|M2|2020 Novas Salas|</t>
        </r>
      </text>
    </comment>
    <comment ref="J189" authorId="0" shapeId="0" xr:uid="{00000000-0006-0000-0000-0000BC000000}">
      <text>
        <r>
          <rPr>
            <sz val="10"/>
            <color indexed="81"/>
            <rFont val="Lucida Console"/>
            <family val="3"/>
          </rPr>
          <t>120995|ELETRODUTO CORRUGADO 1" - COR: AMARELA|M|2020 Novas Salas|</t>
        </r>
      </text>
    </comment>
    <comment ref="J190" authorId="0" shapeId="0" xr:uid="{00000000-0006-0000-0000-0000BD000000}">
      <text>
        <r>
          <rPr>
            <sz val="10"/>
            <color indexed="81"/>
            <rFont val="Lucida Console"/>
            <family val="3"/>
          </rPr>
          <t>123146|CIMENTO COLANTE - SACO COM 20 KG (PARA USO INTERNO E EXTERNO)|SO|2020 Novas Salas|</t>
        </r>
      </text>
    </comment>
    <comment ref="J191" authorId="0" shapeId="0" xr:uid="{00000000-0006-0000-0000-0000BE000000}">
      <text>
        <r>
          <rPr>
            <sz val="10"/>
            <color indexed="81"/>
            <rFont val="Lucida Console"/>
            <family val="3"/>
          </rPr>
          <t>128287|THINNER PARA PINTURA AUTOMOTIVA E MOVEIS LATA COM 05 LITROS|LT|2020 Novas Salas|</t>
        </r>
      </text>
    </comment>
    <comment ref="J192" authorId="0" shapeId="0" xr:uid="{00000000-0006-0000-0000-0000BF000000}">
      <text>
        <r>
          <rPr>
            <sz val="10"/>
            <color indexed="81"/>
            <rFont val="Lucida Console"/>
            <family val="3"/>
          </rPr>
          <t>128815|TAMPAO DE PVC PARA CONDULETE DE 3/4"|UN|2020 Novas Salas|</t>
        </r>
      </text>
    </comment>
    <comment ref="J193" authorId="0" shapeId="0" xr:uid="{00000000-0006-0000-0000-0000C0000000}">
      <text>
        <r>
          <rPr>
            <sz val="10"/>
            <color indexed="81"/>
            <rFont val="Lucida Console"/>
            <family val="3"/>
          </rPr>
          <t>132623|VASO SANITARIO INFANTIL, NA COR BRANCA, MATERIAL EM LOUCA NAS DIMENSOE: 30 X 31 X 41,5 CM (ALTURA/LARGURA/COMPRIMENTO)  MEDIDAS PODENDO VARIAR EM + / - 03 CM|UN|2020 Novas Salas|</t>
        </r>
      </text>
    </comment>
    <comment ref="J194" authorId="0" shapeId="0" xr:uid="{00000000-0006-0000-0000-0000C1000000}">
      <text>
        <r>
          <rPr>
            <sz val="10"/>
            <color indexed="81"/>
            <rFont val="Lucida Console"/>
            <family val="3"/>
          </rPr>
          <t>132624|LAVATORIO SUSPENSO INFANTIL, NA COR BRANCA, MATERIAL EM LOUCA NAS DIMENSOES: 38 X 28 CM (COMPRIMENTO/LARGURA). MEDIDAS PODENDO VARIAR EM + / - 03 CM.|UN|2020 Novas Salas|</t>
        </r>
      </text>
    </comment>
    <comment ref="J195" authorId="0" shapeId="0" xr:uid="{00000000-0006-0000-0000-0000C2000000}">
      <text>
        <r>
          <rPr>
            <sz val="10"/>
            <color indexed="81"/>
            <rFont val="Lucida Console"/>
            <family val="3"/>
          </rPr>
          <t>132714|CUMEEIRA ARTICULADA FIBRA SINTETICA CRFS, 1,10 X 06 MM - SUPERIOR|PC|2020 Novas Salas|</t>
        </r>
      </text>
    </comment>
    <comment ref="J196" authorId="0" shapeId="0" xr:uid="{00000000-0006-0000-0000-0000C3000000}">
      <text>
        <r>
          <rPr>
            <sz val="10"/>
            <color indexed="81"/>
            <rFont val="Lucida Console"/>
            <family val="3"/>
          </rPr>
          <t>132715|CUMEEIRA ARTICULADA FIBRA SINTETICA CRFS, 1,10 X 06 MM - INFERIOR|PC|2020 Novas Salas|</t>
        </r>
      </text>
    </comment>
    <comment ref="J197" authorId="0" shapeId="0" xr:uid="{00000000-0006-0000-0000-0000C4000000}">
      <text>
        <r>
          <rPr>
            <sz val="10"/>
            <color indexed="81"/>
            <rFont val="Lucida Console"/>
            <family val="3"/>
          </rPr>
          <t>133301|SOQUETE PARA BASE G13|PC|2020 Novas Salas|</t>
        </r>
      </text>
    </comment>
    <comment ref="J198" authorId="0" shapeId="0" xr:uid="{00000000-0006-0000-0000-0000C5000000}">
      <text>
        <r>
          <rPr>
            <sz val="10"/>
            <color indexed="81"/>
            <rFont val="Lucida Console"/>
            <family val="3"/>
          </rPr>
          <t>133819|ESPUDE BRANCO DE BORRACHA DE 1.1/2" PARA BACIAS CONVENCIONAIS DE 2"|PC|2020 Novas Salas|</t>
        </r>
      </text>
    </comment>
    <comment ref="J199" authorId="0" shapeId="0" xr:uid="{00000000-0006-0000-0000-0000C6000000}">
      <text>
        <r>
          <rPr>
            <sz val="10"/>
            <color indexed="81"/>
            <rFont val="Lucida Console"/>
            <family val="3"/>
          </rPr>
          <t>134045|DUCHA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MESES|UN|2020 Novas Salas|</t>
        </r>
      </text>
    </comment>
    <comment ref="J200" authorId="0" shapeId="0" xr:uid="{00000000-0006-0000-0000-0000C7000000}">
      <text>
        <r>
          <rPr>
            <sz val="10"/>
            <color indexed="81"/>
            <rFont val="Lucida Console"/>
            <family val="3"/>
          </rPr>
          <t>134246|AREIA MEDIA LAVADA(GRANULAMETRIA 0,6 A 2,4 MM), CONFORME ABNT. O MATERIAL ENTREGUE DEVERA ESTAR APTO A ENSAIOS DE PENEIRAMENTO, CONFORME TABELA 2 - LIMITES DA DISTRIBUICAO GRANULOMETRICA DO AGREGADO MIUDO (ABNT 7211/2005).EQUIVALENCIA APROXIMADA EM TONELADAS: 1,30 A 1,50|M3|2020 Novas Salas|</t>
        </r>
      </text>
    </comment>
    <comment ref="J201" authorId="0" shapeId="0" xr:uid="{00000000-0006-0000-0000-0000C8000000}">
      <text>
        <r>
          <rPr>
            <sz val="10"/>
            <color indexed="81"/>
            <rFont val="Lucida Console"/>
            <family val="3"/>
          </rPr>
          <t>134247|PEDRA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1,45|M3|2020 Novas Salas|</t>
        </r>
      </text>
    </comment>
    <comment ref="J202" authorId="0" shapeId="0" xr:uid="{00000000-0006-0000-0000-0000C9000000}">
      <text>
        <r>
          <rPr>
            <sz val="10"/>
            <color indexed="81"/>
            <rFont val="Lucida Console"/>
            <family val="3"/>
          </rPr>
          <t>134373|LAMPADA LED TUBULAR T8.|UN|2020 Novas Salas|</t>
        </r>
      </text>
    </comment>
    <comment ref="J203" authorId="0" shapeId="0" xr:uid="{00000000-0006-0000-0000-0000CA000000}">
      <text>
        <r>
          <rPr>
            <sz val="10"/>
            <color indexed="81"/>
            <rFont val="Lucida Console"/>
            <family val="3"/>
          </rPr>
          <t>134542|PORCELANATO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A)|M2|2020 Novas Salas|</t>
        </r>
      </text>
    </comment>
    <comment ref="J204" authorId="0" shapeId="0" xr:uid="{00000000-0006-0000-0000-0000CB000000}">
      <text>
        <r>
          <rPr>
            <sz val="10"/>
            <color indexed="81"/>
            <rFont val="Lucida Console"/>
            <family val="3"/>
          </rPr>
          <t>134543|PORCELANATO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A)|M2|2020 Novas Salas|</t>
        </r>
      </text>
    </comment>
    <comment ref="J205" authorId="0" shapeId="0" xr:uid="{00000000-0006-0000-0000-0000CC000000}">
      <text>
        <r>
          <rPr>
            <sz val="10"/>
            <color indexed="81"/>
            <rFont val="Lucida Console"/>
            <family val="3"/>
          </rPr>
          <t>134544|REVESTIMENTO CERAMICO, BRANCO BRILHANTE, 32 X 56 CM (VARIACAO +/- 2 CM).|M2|2020 Novas Salas|</t>
        </r>
      </text>
    </comment>
    <comment ref="J206" authorId="0" shapeId="0" xr:uid="{00000000-0006-0000-0000-0000CD000000}">
      <text>
        <r>
          <rPr>
            <sz val="10"/>
            <color indexed="81"/>
            <rFont val="Lucida Console"/>
            <family val="3"/>
          </rPr>
          <t>134546|PASTILHA CERAMICA, COR AZUL CLARO (PISCINA OU CEU), MEDINDO 10 X 10 CM, ESPESSURA DE 7 MM, UNIDAS POR PONTOS DE COLA.|M2|2020 Novas Salas|</t>
        </r>
      </text>
    </comment>
    <comment ref="J207" authorId="0" shapeId="0" xr:uid="{00000000-0006-0000-0000-0000CE000000}">
      <text>
        <r>
          <rPr>
            <sz val="10"/>
            <color indexed="81"/>
            <rFont val="Lucida Console"/>
            <family val="3"/>
          </rPr>
          <t>134548|PASTILHA CERAMICA, COR BRANCA, MEDINDO 10 X 10 CM.|M2|2020 Novas Salas|</t>
        </r>
      </text>
    </comment>
    <comment ref="J208" authorId="0" shapeId="0" xr:uid="{00000000-0006-0000-0000-0000CF000000}">
      <text>
        <r>
          <rPr>
            <sz val="10"/>
            <color indexed="81"/>
            <rFont val="Lucida Console"/>
            <family val="3"/>
          </rPr>
          <t>134582|TORNEIRA BOIA PARA CAIXA D´AGUA COM CORPO METALICO (LATAO) E FLUTUADOR EM PLASTICO ROSCA BSP NBR 8133 PRESSAO MAXIMA PARA FUNCIONAMENTO 150 MCA, PRESSAO MINIMA 2 MCA  BITOLA 3/4".|PC|2020 Novas Salas|</t>
        </r>
      </text>
    </comment>
    <comment ref="J209" authorId="0" shapeId="0" xr:uid="{00000000-0006-0000-0000-0000D0000000}">
      <text>
        <r>
          <rPr>
            <sz val="10"/>
            <color indexed="81"/>
            <rFont val="Lucida Console"/>
            <family val="3"/>
          </rPr>
          <t>135224|TINTA ESMALTE SINTETICO BRILHANTE, PADRAO PREMIUM, COR AZUL ROYAL, GALAO COM 3.600 ML.|GL|2020 Novas Salas|</t>
        </r>
      </text>
    </comment>
    <comment ref="J210" authorId="0" shapeId="0" xr:uid="{00000000-0006-0000-0000-0000D1000000}">
      <text>
        <r>
          <rPr>
            <sz val="10"/>
            <color indexed="81"/>
            <rFont val="Lucida Console"/>
            <family val="3"/>
          </rPr>
          <t>135225|TINTA LATEX ACRILICA SEMIBRILHO, PADRAO PREMIUM, COR AMARELO MELAO MADURO OU SIMILAR, LATA COM 18 LITROS.|LT|2020 Novas Salas|</t>
        </r>
      </text>
    </comment>
    <comment ref="J211" authorId="0" shapeId="0" xr:uid="{00000000-0006-0000-0000-0000D2000000}">
      <text>
        <r>
          <rPr>
            <sz val="10"/>
            <color indexed="81"/>
            <rFont val="Lucida Console"/>
            <family val="3"/>
          </rPr>
          <t>135226|TINTA LATEX ACRILICA SEMIBRILHO, PADRAO PREMIUM, COR AZUL BIONICO OU SIMILAR, LATA COM 18 LITROS.|LT|2020 Novas Salas|</t>
        </r>
      </text>
    </comment>
    <comment ref="J212" authorId="0" shapeId="0" xr:uid="{00000000-0006-0000-0000-0000D3000000}">
      <text>
        <r>
          <rPr>
            <sz val="10"/>
            <color indexed="81"/>
            <rFont val="Lucida Console"/>
            <family val="3"/>
          </rPr>
          <t>135227|TINTA LATEX ACRILICA SEMIBRILHO, PADRAO PREMIUM, COR BRANCO, LATA COM 18 LITROS.|LT|2020 Novas Salas|</t>
        </r>
      </text>
    </comment>
    <comment ref="J213" authorId="0" shapeId="0" xr:uid="{00000000-0006-0000-0000-0000D4000000}">
      <text>
        <r>
          <rPr>
            <sz val="10"/>
            <color indexed="81"/>
            <rFont val="Lucida Console"/>
            <family val="3"/>
          </rPr>
          <t>135238|TINTA ESMALTE SINTETICO BRILHANTE, PADRAO PREMIUM, COR BRANCA, GALAO COM 3.600 ML.|GL|2020 Novas Salas|</t>
        </r>
      </text>
    </comment>
    <comment ref="J214" authorId="0" shapeId="0" xr:uid="{00000000-0006-0000-0000-0000D5000000}">
      <text>
        <r>
          <rPr>
            <sz val="10"/>
            <color indexed="81"/>
            <rFont val="Lucida Console"/>
            <family val="3"/>
          </rPr>
          <t>135300|COTOVELO 45°, EM PVC SOLDAVEL PARA AGUA, MARROM, 2" (50 MM), DE ACORDO COM A NBR 5648. TODAS AS INFORMACOES DEVERAO ESTAR LITOGRAFADAS NA PECA.|PC|2020 Novas Salas|</t>
        </r>
      </text>
    </comment>
    <comment ref="J215" authorId="0" shapeId="0" xr:uid="{00000000-0006-0000-0000-0000D6000000}">
      <text>
        <r>
          <rPr>
            <sz val="10"/>
            <color indexed="81"/>
            <rFont val="Lucida Console"/>
            <family val="3"/>
          </rPr>
          <t>135301|COTOVELO DE 45°, EM PVC BRANCO, PARA ESGOTO, DE 4" (100 MM), DE ACORDO COM A NORMA NBR 5688. TODAS AS INFORMACOES DEVERAO ESTAR LITOGRAFADAS NA PECA.|PC|2020 Novas Salas|</t>
        </r>
      </text>
    </comment>
    <comment ref="J216" authorId="0" shapeId="0" xr:uid="{00000000-0006-0000-0000-0000D7000000}">
      <text>
        <r>
          <rPr>
            <sz val="10"/>
            <color indexed="81"/>
            <rFont val="Lucida Console"/>
            <family val="3"/>
          </rPr>
          <t>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EMBALAGEM.|GL|2020 Novas Salas|</t>
        </r>
      </text>
    </comment>
    <comment ref="J217" authorId="0" shapeId="0" xr:uid="{00000000-0006-0000-0000-0000D8000000}">
      <text>
        <r>
          <rPr>
            <sz val="10"/>
            <color indexed="81"/>
            <rFont val="Lucida Console"/>
            <family val="3"/>
          </rPr>
          <t>136040|TINTA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EMBALAGEM.|GL|2020 Novas Salas|</t>
        </r>
      </text>
    </comment>
    <comment ref="J218" authorId="0" shapeId="0" xr:uid="{00000000-0006-0000-0000-0000D9000000}">
      <text>
        <r>
          <rPr>
            <sz val="10"/>
            <color indexed="81"/>
            <rFont val="Lucida Console"/>
            <family val="3"/>
          </rPr>
          <t>136082|TOMADA PADRAO NBR 14136 COM 2 TOMADAS 2P + T DE 10A/250V DE EMBUTIR COM ESPELHO COR BRANCA PARA CAIXA 4X2.|UN|2020 Novas Salas|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Rafael Genaro de Brito</author>
  </authors>
  <commentList>
    <comment ref="A2" authorId="0" shapeId="0" xr:uid="{892EBE5A-0F1F-44C0-A299-8B1D5DE4A4A8}">
      <text>
        <r>
          <rPr>
            <sz val="10"/>
            <color indexed="81"/>
            <rFont val="Lucida Console"/>
            <family val="3"/>
          </rPr>
          <t xml:space="preserve">Ordenado por: CÓDIGO_x000D_
_x000D_
          1ª Coluna  ==  CÓDIGO_x000D_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200-000001000000}">
      <text>
        <r>
          <rPr>
            <sz val="10"/>
            <color indexed="81"/>
            <rFont val="Lucida Console"/>
            <family val="3"/>
          </rPr>
          <t xml:space="preserve">Ordenado por: @VALIDADE, CÓDIGO_x000D_
_x000D_
          1ª Coluna  ==  VALIDADE (Descendente)_x000D_
          2ª Coluna  ==  CÓDIGO_x000D_
</t>
        </r>
      </text>
    </comment>
    <comment ref="E3" authorId="0" shapeId="0" xr:uid="{00000000-0006-0000-0200-000002000000}">
      <text>
        <r>
          <rPr>
            <sz val="10"/>
            <color indexed="81"/>
            <rFont val="Lucida Console"/>
            <family val="3"/>
          </rPr>
          <t>2020 Novas Salas|Material utilizado na contrução de novas salas de aula|30|</t>
        </r>
      </text>
    </comment>
    <comment ref="E4" authorId="0" shapeId="0" xr:uid="{00000000-0006-0000-0200-000003000000}">
      <text>
        <r>
          <rPr>
            <sz val="10"/>
            <color indexed="81"/>
            <rFont val="Lucida Console"/>
            <family val="3"/>
          </rPr>
          <t>2020 Climatizadores|Material utilizado na instalação dos climatizadores|1|</t>
        </r>
      </text>
    </comment>
    <comment ref="E5" authorId="0" shapeId="0" xr:uid="{00000000-0006-0000-0200-000004000000}">
      <text>
        <r>
          <rPr>
            <sz val="10"/>
            <color indexed="81"/>
            <rFont val="Lucida Console"/>
            <family val="3"/>
          </rPr>
          <t>2020 Material Escolar|Lista de material escolar para entrega no início de 2020 conforme planilhas|1|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Rafael Genaro de Brito</author>
  </authors>
  <commentList>
    <comment ref="A3" authorId="0" shapeId="0" xr:uid="{C9243CED-9301-4489-955F-295C760BF083}">
      <text>
        <r>
          <rPr>
            <sz val="10"/>
            <color indexed="81"/>
            <rFont val="Lucida Console"/>
            <family val="3"/>
          </rPr>
          <t xml:space="preserve">Ordenado por: CÓDIGO_x000D_
_x000D_
          1ª Coluna  ==  CÓDIGO_x000D_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400-000001000000}">
      <text>
        <r>
          <rPr>
            <sz val="10"/>
            <color indexed="81"/>
            <rFont val="Lucida Console"/>
            <family val="3"/>
          </rPr>
          <t xml:space="preserve">Ordenado por: Referência_x000D_
_x000D_
          1ª Coluna  ==  Referência_x000D_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500-000001000000}">
      <text>
        <r>
          <rPr>
            <sz val="10"/>
            <color indexed="81"/>
            <rFont val="Lucida Console"/>
            <family val="3"/>
          </rPr>
          <t xml:space="preserve">Ordenado por: @ANO_REEMITIDA, @RC_REEMITIDA, ANO_ANTERIOR, RC_ANTERIOR, CODIGO_x000D_
_x000D_
          1ª Coluna  ==  ANO_REEMITIDA (Descendente)_x000D_
          2ª Coluna  ==  RC_REEMITIDA (Descendente)_x000D_
          3ª Coluna  ==  ANO_ANTERIOR_x000D_
          4ª Coluna  ==  RC_ANTERIOR_x000D_
</t>
        </r>
      </text>
    </comment>
    <comment ref="J3" authorId="0" shapeId="0" xr:uid="{00000000-0006-0000-0500-000002000000}">
      <text>
        <r>
          <rPr>
            <sz val="10"/>
            <color indexed="81"/>
            <rFont val="Lucida Console"/>
            <family val="3"/>
          </rPr>
          <t>|2020|4000|711|2019|700|131931|Item não atendido no PP 101/18. RC Cancelada pelo DRM|</t>
        </r>
      </text>
    </comment>
    <comment ref="J4" authorId="0" shapeId="0" xr:uid="{00000000-0006-0000-0500-000003000000}">
      <text>
        <r>
          <rPr>
            <sz val="10"/>
            <color indexed="81"/>
            <rFont val="Lucida Console"/>
            <family val="3"/>
          </rPr>
          <t>|2020|4000|845|2019|5000|131931|Item não atendido no PP 101/18. RC Cancelada pelo DRM|</t>
        </r>
      </text>
    </comment>
    <comment ref="J5" authorId="0" shapeId="0" xr:uid="{00000000-0006-0000-0500-000004000000}">
      <text>
        <r>
          <rPr>
            <sz val="10"/>
            <color indexed="81"/>
            <rFont val="Lucida Console"/>
            <family val="3"/>
          </rPr>
          <t>|2020|100|13192|2019|70|64634|Item não atendido no PP 207/19. RC Cancelada pelo DRM|</t>
        </r>
      </text>
    </comment>
    <comment ref="J6" authorId="0" shapeId="0" xr:uid="{00000000-0006-0000-0500-000005000000}">
      <text>
        <r>
          <rPr>
            <sz val="10"/>
            <color indexed="81"/>
            <rFont val="Lucida Console"/>
            <family val="3"/>
          </rPr>
          <t>|2020|300|13196|2019|100|135301|Item não atendido no PP 209/19. RC Cancelada pelo DRM|</t>
        </r>
      </text>
    </comment>
    <comment ref="J7" authorId="0" shapeId="0" xr:uid="{00000000-0006-0000-0500-000006000000}">
      <text>
        <r>
          <rPr>
            <sz val="10"/>
            <color indexed="81"/>
            <rFont val="Lucida Console"/>
            <family val="3"/>
          </rPr>
          <t>|2020|1000|13196|2019|1000|135302|Item não atendido no PP 209/19. RC Cancelada pelo DRM|</t>
        </r>
      </text>
    </comment>
    <comment ref="J8" authorId="0" shapeId="0" xr:uid="{00000000-0006-0000-0500-000007000000}">
      <text>
        <r>
          <rPr>
            <sz val="10"/>
            <color indexed="81"/>
            <rFont val="Lucida Console"/>
            <family val="3"/>
          </rPr>
          <t>|2020|6000|13260|2019|1000|76777|Item não atendido no PP 209/19. RC Cancelada pelo DRM|</t>
        </r>
      </text>
    </comment>
    <comment ref="J9" authorId="0" shapeId="0" xr:uid="{00000000-0006-0000-0500-000008000000}">
      <text>
        <r>
          <rPr>
            <sz val="10"/>
            <color indexed="81"/>
            <rFont val="Lucida Console"/>
            <family val="3"/>
          </rPr>
          <t>845|2019|800|5881|2018|800|131931|Item não atendido no PP 101/18. A RC 5881/18 foi complemento da RC 1500/18|</t>
        </r>
      </text>
    </comment>
    <comment ref="J10" authorId="0" shapeId="0" xr:uid="{00000000-0006-0000-0500-000009000000}">
      <text>
        <r>
          <rPr>
            <sz val="10"/>
            <color indexed="81"/>
            <rFont val="Lucida Console"/>
            <family val="3"/>
          </rPr>
          <t>845|2019|5000|5881|2018|5000|131935|Item não atendido no PP 101/18. A RC 5881/18 foi complemento da RC 1500/18|</t>
        </r>
      </text>
    </comment>
    <comment ref="J11" authorId="0" shapeId="0" xr:uid="{00000000-0006-0000-0500-00000A000000}">
      <text>
        <r>
          <rPr>
            <sz val="10"/>
            <color indexed="81"/>
            <rFont val="Lucida Console"/>
            <family val="3"/>
          </rPr>
          <t>711|2019|700|1500|2018|700|131931|Item não atendido no PP 101/18|</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600-000001000000}">
      <text>
        <r>
          <rPr>
            <sz val="10"/>
            <color indexed="81"/>
            <rFont val="Lucida Console"/>
            <family val="3"/>
          </rPr>
          <t xml:space="preserve">Ordenado por: CÓDIGO, @VALIDADE, ORIGEM_x000D_
_x000D_
          1ª Coluna  ==  CÓDIGO_x000D_
          2ª Coluna  ==  VALIDADE (Descendente)_x000D_
          3ª Coluna  ==  ORIGEM_x000D_
</t>
        </r>
      </text>
    </comment>
  </commentList>
</comments>
</file>

<file path=xl/sharedStrings.xml><?xml version="1.0" encoding="utf-8"?>
<sst xmlns="http://schemas.openxmlformats.org/spreadsheetml/2006/main" count="4843" uniqueCount="1591">
  <si>
    <t>CÓDIGO</t>
  </si>
  <si>
    <t>DESCRIÇÃO</t>
  </si>
  <si>
    <t>UNIDADE</t>
  </si>
  <si>
    <t>ORIGEM</t>
  </si>
  <si>
    <t>OBSERVAÇÃO</t>
  </si>
  <si>
    <t>CAL HIDRATADA - SACO COM 20 KG</t>
  </si>
  <si>
    <t># Verificar depois</t>
  </si>
  <si>
    <t>Já tem saldo suficiente</t>
  </si>
  <si>
    <t>CORANTE PARA COLORIR TINTA LATEX - AMARELO - 50 ML</t>
  </si>
  <si>
    <t>ADAPTADOR DE PVC SOLDAVEL 1.1/2"</t>
  </si>
  <si>
    <t>ADAPTADOR DE PVC SOLDAVEL 3/4"</t>
  </si>
  <si>
    <t>CORANTE PARA COLORIR TINTA LATEX - VERMELHO - 50 ML</t>
  </si>
  <si>
    <t>TRINCHA PARA PINTURA - 1", COM CERDAS 100% NATURAIS</t>
  </si>
  <si>
    <t>TRINCHA PARA PINTURA - 2", COM CERDAS 100% NATURAIS</t>
  </si>
  <si>
    <t>TRINCHA PARA PINTURA - 3", COM CERDAS 100% NATURAIS</t>
  </si>
  <si>
    <t>TINTA LATEX PVA BRANCO, LATA COM 18 LITROS</t>
  </si>
  <si>
    <t>COTOVELO 90° GRAUS EM PVC RIGIDO SOLDAVEL DE 2" (ESGOTO)</t>
  </si>
  <si>
    <t>COTOVELO 90 GRAUS EM PVC RIGIDO SOLDAVEL DE 4" (ESGOTO)</t>
  </si>
  <si>
    <t>COTOVELO 90 GRAUS EM PVC RIGIDO SOLDAVEL - 1.1/2"</t>
  </si>
  <si>
    <t>COTOVELO 90 GRAUS EM PVC RIGIDO SOLDAVEL DE 32 MM (1")</t>
  </si>
  <si>
    <t>COTOVELO 90 GRAUS EM PVC RIGIDO SOLDAVEL DE 3/4"</t>
  </si>
  <si>
    <t>CAIXA DE PASSAGEM RETANGULAR 2 X 4 - EM PVC</t>
  </si>
  <si>
    <t>COLA P/ TUBO PVC - BISNAGA C/ 75 GR</t>
  </si>
  <si>
    <t>LIXA P/ FERRO E METAIS EM FOLHA DE 225 X 275 MM N° 60</t>
  </si>
  <si>
    <t>REGISTRO DE PRESSAO 3/4" SEM CANOPLA</t>
  </si>
  <si>
    <t xml:space="preserve">Climatizadores </t>
  </si>
  <si>
    <t>CADEADO DE LATAO - 30 MM</t>
  </si>
  <si>
    <t>PARAFUSO GALVANIZADO P/ FIXACAO DE TELHAS MODULADAS - 5/16 X 110 MM</t>
  </si>
  <si>
    <t>ok</t>
  </si>
  <si>
    <t>TE DE PVC RIGIDO SOLDAVEL P/ ESGOTO DE 4"</t>
  </si>
  <si>
    <t>TUBO DE PVC RIGIDO SOLDAVEL DE 25 MM  - 3/4" X 06 M - CLASSE 15 MARROM - NBR 5648 - A MARCA DEVERA SER LITOGRAFADA NO PRODUTO</t>
  </si>
  <si>
    <t>MASSA CORRIDA PVA - LATA C/ 18 LITROS</t>
  </si>
  <si>
    <t>PREGO COMUM DE CABECA CHATA - 19 X 36</t>
  </si>
  <si>
    <t>CIMENTO COMUM CPII-32 - SACO C/ 50KG - O MATERIAL DEVERA SER ENTREGUE EM LOTE PALETIZADO PROTEGIDO COM FILME PLASTICO.</t>
  </si>
  <si>
    <t>ADESIVO P/ CHAPISCO, CONCRETO E ARGAMASSA - BALDE C/18 LITROS</t>
  </si>
  <si>
    <t>CHAPA DE MADEIRA RESINADA C/ 2,20 X 1,10 M ESP. 10,0 MM</t>
  </si>
  <si>
    <t>CHAPA DE MADEIRA RESINADA C/ 2,20 X 1,10 M ESP. 15,0 MM</t>
  </si>
  <si>
    <t>CAIXA SIFONADA REDONDA EM PVC RIGIDO DE 100 X 150 X 50 MM (4" X 6" X 2")</t>
  </si>
  <si>
    <t>LIXA D'AGUA EM FOLHA 225 X 275 MM GRAO 120</t>
  </si>
  <si>
    <t>PREGO COMUM DE CABECA CHATA - 15 X 15</t>
  </si>
  <si>
    <t>PREGO COMUM DE CABECA CHATA - 17 X 21</t>
  </si>
  <si>
    <t>PREGO COMUM DE CABECA CHATA - 18 X 27</t>
  </si>
  <si>
    <t>PREGO COMUM DE CABECA CHATA - 18 X 30</t>
  </si>
  <si>
    <t>BROCA DE ACO RAPIDO HELICOIDAL DE 1/8" COM HASTE CILINDRICA</t>
  </si>
  <si>
    <t>CONJUNTO DE VEDACAO PLASTICA P/ TELHA 6 MM</t>
  </si>
  <si>
    <t>SOLVENTE P/ TINTA DE DEMARCACAO VIARIA -BALDE C/ 18 LITROS - TIPO DER 3.09</t>
  </si>
  <si>
    <t>BLOCO DE CONCRETO - 15 X 20 X 40 CM</t>
  </si>
  <si>
    <t>CANOPLA COMPLETA P/ VALVULA DE DESCARGA</t>
  </si>
  <si>
    <t>PREGO COMUM DE CABECA CHATA - 10 X 10</t>
  </si>
  <si>
    <t>REGISTRO DE GAVETA EM LIGA DE COBRE DE 3/4" C/ CANOPLA</t>
  </si>
  <si>
    <t>GESSO ESTUQUE, EMBALAGEM C/ 01 KG</t>
  </si>
  <si>
    <t>ESTOPA BRANCA - PACOTE C/ 500 GR, NA EMBALAGEM DEVERA CONTER MARCA DO FABRICANTE</t>
  </si>
  <si>
    <t>CABO FLEXIVEL - 2,5 MM2 - PRETO</t>
  </si>
  <si>
    <t>BLOCO DE CONCRETO - 10 X 20 X 40 CM</t>
  </si>
  <si>
    <t>CABO FLEXIVEL - 6 MM2 - VERDE</t>
  </si>
  <si>
    <t>REJUNTE BRANCO - SACO COM 01 KG</t>
  </si>
  <si>
    <t>FOLHA DE PORTA TIPO MEXICANA - MED.: 0,82 X 2,10 M</t>
  </si>
  <si>
    <t>TUBO DESCARGA PONTA AZUL - 18</t>
  </si>
  <si>
    <t>TINTA P/ PISO - BRANCA - C/ 18 LT</t>
  </si>
  <si>
    <t>CABO FLEXIVEL - 2,5 MM2 - VERDE</t>
  </si>
  <si>
    <t>CABO FLEXIVEL - 1,5MM - PRETO</t>
  </si>
  <si>
    <t>VIGA DE GARAPEIRA BRUTA - MEDIDAS: 06 CM X 16 CM X 5,50 M</t>
  </si>
  <si>
    <t>VIGA DE GARAPEIRA BRUTA - MEDIDAS: 06 CM X 16 CM X 4,00 M</t>
  </si>
  <si>
    <t>VIGA DE GARAPEIRA BRUTA - 6 X 12 CM X 4,50 M COMPRIMENTO</t>
  </si>
  <si>
    <t>CABO FLEXIVEL BITOLA 4,0 MM2, 750 VOLTS, ISOLACAO DE PVC 70° C, COR PRETA</t>
  </si>
  <si>
    <t>PERFILADO - 38 X 38 MM, PERFURADO,  C/ 6M DE COMPRIMENTO</t>
  </si>
  <si>
    <t>VIGA DE GARAPEIRA BRUTA - 6 CM X 12 CM X 5,50 M COMPRIMENTO</t>
  </si>
  <si>
    <t>VIGA DE GARAPEIRA BRUTA - MEDIDAS: 06 CM X 16 CM X 4,50 M</t>
  </si>
  <si>
    <t>SARRAFO DE CEDRINHO DE 1ª, 25 X 100 M/M, BRUTO DE 4,00 M COMPRIMENTO</t>
  </si>
  <si>
    <t>PARAFUSO FRANCES - 1/2" X 8" - COM PORCA E ARRUELA</t>
  </si>
  <si>
    <t>IGNORAR! 15-8=240.</t>
  </si>
  <si>
    <t>BATENTE DE GARAPEIRA 0,92 X 2,10 M</t>
  </si>
  <si>
    <t>ABRACADEIRA GALVANIZADA TIPO "D" 1 1/4"</t>
  </si>
  <si>
    <t>PARAFUSO EM ACO BICROMATIZADO, CABECA CHATA - 3,5 X 16 MM - CABECA COM ENCAIXE PARA CHAVE PHILLIPS</t>
  </si>
  <si>
    <t>VIGA DE GARAPEIRA BRUTA - 60MM X 160MM X 6,00 M COMPRIMENTO</t>
  </si>
  <si>
    <t>PASTILHA CERAMICA TELADA, 10 X 10 CM, COR VERDE</t>
  </si>
  <si>
    <t>TINTA ACRILICA P/ DEMARCACAO DE SOLO - BALDE C/ 18 L - VERMELHA - PADRAO DER 3.09</t>
  </si>
  <si>
    <t>SELADOR ACRILICO - LATA COM 18 LITROS</t>
  </si>
  <si>
    <t>ARRUELA LISA DE ACO DE 3/16"</t>
  </si>
  <si>
    <t>FORRO EM PVC BRANCO LISO, REGUA DE 6M DE COMPRIMENTO, 20CM DE LARGURA - 10MM DE ESPESSURA (ESPESSURA COM TOLERANCIA DE +/- 2MM)</t>
  </si>
  <si>
    <t>CABO DE COBRE FLEXIVEL, BITOLA 10,0MM2, 1KV,  ISOLACAO DE PVC 70ºC, COR PRETA</t>
  </si>
  <si>
    <t>REJUNTE BEGE - SACO COM 01 KG</t>
  </si>
  <si>
    <t>VIGA DE GARAPEIRA BRUTA - 60MM X 160MM X 7,00 M COMPRIMENTO</t>
  </si>
  <si>
    <t>REVESTIMENTO CERAMICO - MEDIDA: A 32,5 X 57 CM - COR: SPECTRO OLIVA</t>
  </si>
  <si>
    <t>ELETRODUTO CORRUGADO 1" - COR: AMARELA</t>
  </si>
  <si>
    <t>CIMENTO COLANTE - SACO COM 20 KG (PARA USO INTERNO E EXTERNO)</t>
  </si>
  <si>
    <t>Já tem saldo em ata suficiente.</t>
  </si>
  <si>
    <t>TAMPAO DE PVC PARA CONDULETE DE 3/4"</t>
  </si>
  <si>
    <t>VASO SANITARIO INFANTIL, NA COR BRANCA, MATERIAL EM LOUCA NAS DIMENSOE: 30 X 31 X 41,5 CM (ALTURA/LARGURA/COMPRIMENTO)  MEDIDAS PODENDO VARIAR EM + / - 03 CM</t>
  </si>
  <si>
    <t>CUMEEIRA ARTICULADA FIBRA SINTETICA CRFS, 1,10 X 06 MM - SUPERIOR</t>
  </si>
  <si>
    <t>CUMEEIRA ARTICULADA FIBRA SINTETICA CRFS, 1,10 X 06 MM - INFERIOR</t>
  </si>
  <si>
    <t>ESPUDE BRANCO DE BORRACHA DE 1.1/2" PARA BACIAS CONVENCIONAIS DE 2"</t>
  </si>
  <si>
    <t>AREIA MEDIA LAVADA(GRANULAMETRIA 0,6 A 2,4 MM), CONFORME ABNT. O MATERIAL ENTREGUE DEVERA ESTAR APTO A ENSAIOS DE PENEIRAMENTO, CONFORME TABELA 2 - LIMITES DA DISTRIBUICAO GRANULOMETRICA DO AGREGADO MIUDO (ABNT 7211/2005).EQUIVALENCIA APROXIMADA EM TONELADAS: 1,30 A 1,50</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</si>
  <si>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</si>
  <si>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</si>
  <si>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Comp</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</si>
  <si>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</si>
  <si>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REVESTIMENTO CERAMICO, BRANCO BRILHANTE, 32 X 56 CM (VARIACAO +/- 2 CM).</t>
  </si>
  <si>
    <t>PASTILHA CERAMICA, COR AZUL CLARO (PISCINA OU CEU), MEDINDO 10 X 10 CM, ESPESSURA DE 7 MM, UNIDAS POR PONTOS DE COLA.</t>
  </si>
  <si>
    <t>TORNEIRA BOIA PARA CAIXA D´AGUA COM CORPO METALICO (LATAO) E FLUTUADOR EM PLASTICO ROSCA BSP NBR 8133 PRESSAO MAXIMA PARA FUNCIONAMENTO 150 MCA, PRESSAO MINIMA 2 MCA  BITOLA 3/4".</t>
  </si>
  <si>
    <t>COTOVELO 45°, EM PVC SOLDAVEL PARA AGUA, MARROM, 2" (50 MM), DE ACORDO COM A NBR 5648. TODAS AS INFORMACOES DEVERAO ESTAR LITOGRAFADAS NA PECA.</t>
  </si>
  <si>
    <t>COTOVELO DE 45°, EM PVC BRANCO, PARA ESGOTO, DE 4" (100 MM), DE ACORDO COM A NORMA NBR 5688. TODAS AS INFORMACOES DEVERAO ESTAR LITOGRAFADAS NA PECA.</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</si>
  <si>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</si>
  <si>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</si>
  <si>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TOMADA PADRAO NBR 14136 COM 2 TOMADAS 2P + T DE 10A/250V DE EMBUTIR COM ESPELHO COR BRANCA PARA CAIXA 4X2.</t>
  </si>
  <si>
    <t>FIM</t>
  </si>
  <si>
    <t>ABRACADEIRA GALVANIZADA TIPO D  - 1.1/2"</t>
  </si>
  <si>
    <t>ABRACADEIRA GALVANIZADA TIPO D DE 3/4"</t>
  </si>
  <si>
    <t>ABRACADEIRA GALVANIZADA TIPO U DE 3/4"</t>
  </si>
  <si>
    <t>ACUCAR REFINADO AMORFO/MICROCRISTALINO PT C/ 1KG</t>
  </si>
  <si>
    <t>ADAPTADOR DE PVC RIGIDO DE 2" SOLDAVEL</t>
  </si>
  <si>
    <t>ADAPTADOR DE PVC RIGIDO SOLDAVEL C/ FLANGE SEXTAVADA FIXO - 25 MM X 3/4"</t>
  </si>
  <si>
    <t>ADAPTADOR DE PVC RIGIDO SOLDAVEL C/ FLANGE SEXTAVADA FIXO - 50 MM X 1 1/2"</t>
  </si>
  <si>
    <t>ADAPTADOR DE PVC RIGIDO SOLDAVEL C/ FLANGE SEXTAVADA FIXO P/ CAIXA D'AGUA - 32 MM X 1"</t>
  </si>
  <si>
    <t>ADAPTADOR EM PVC RIGIDO SOLDAVEL DE 1"</t>
  </si>
  <si>
    <t>ADESIVO SELANTE PARA VEDACAO/CALAFETACAO  DE CALHAS RUFOS E AFINS,  A BASE DE POLIURETANO - TUBO DE 350 A 400 GRAMAS</t>
  </si>
  <si>
    <t>AGUA DESTILADA PARA BATERIA - FRASCO C/ 1 LITRO</t>
  </si>
  <si>
    <t>AGUA SANITARIA - FRASCO C/ 1 L.</t>
  </si>
  <si>
    <t>AGUARRAZ MINERAL/VEGETAL - 900 ML</t>
  </si>
  <si>
    <t>ALAVANCA EM FERRO  PARA VITRO, TAMANHO PADRAO</t>
  </si>
  <si>
    <t>ALCOOL ETILICO HIDRATADO EM GEL 70° INPM - PARA USO DOMESTICO- FRASCO COM NO MINIMO 480 GR</t>
  </si>
  <si>
    <t>ALCOOL GEL A 70%, FRASCO C/ 1.000 ML, VALVULA "TIPO PUMP", COM HIDRATANTE ALOE VERA</t>
  </si>
  <si>
    <t>ANEL DE VEDACAO PARA BACIA SANITARIA, CONFECCIONADO EM BORRACHA BUTILICA, MEDIDAS MINIMAS: 85 MM (DIAMETRO INTERNO), 110 MM (DIAMETRO EXTERNO) E 20 MM (LARGURA).</t>
  </si>
  <si>
    <t>APAGADOR PARA QUADRO BRANCO - NAO MAGNETICO</t>
  </si>
  <si>
    <t>APONTADOR DUPLO (LAPIS NORMAL E JUMBO), SEM DEPOSITO, CORPO METALICO EM ALUMINIO</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</si>
  <si>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</si>
  <si>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ARAME DE ACO CARBONO GALVANIZADO - BWG N° 10 (3,40 MM)</t>
  </si>
  <si>
    <t>ARAME DE ACO CARBONO GALVANIZADO - BWG N° 16 (1,65 MM)</t>
  </si>
  <si>
    <t>ARAME DE ACO CARBONO RECOZIDO (LISO) - BWG N° 18 (1,24 MM)</t>
  </si>
  <si>
    <t>ARAME PARA SOLDA MIG/MAG COM DIAMETRO DE 0,8 MM.</t>
  </si>
  <si>
    <t>ARRUELA LISA 1/4"</t>
  </si>
  <si>
    <t>ARRUELA LISA 5/16</t>
  </si>
  <si>
    <t>ARRUELA LISA DE ACO DE 3/8"</t>
  </si>
  <si>
    <t>ARTICULADOR PARA INFRAVERMELHO COM PARAFUSO</t>
  </si>
  <si>
    <t>ASSENTO EM MADEIRA  REVESTIDO C/ LAMINADO MELAMINICO 10 MM</t>
  </si>
  <si>
    <t>ASSENTO PARA VASO SANITARIO EM POLIURETANO EXPANDIDO COM TAMPA EM POLIPROPILENO, FIXACAO COM ELEMENTOS DE PLASTICO COM POSSIBILIDADE DE AJUSTE EM TODAS AS DIRECOES</t>
  </si>
  <si>
    <t>BALDINHO DE PRAIA EM PLASTICO - COLORIDO, ATOXICO, COM ACES</t>
  </si>
  <si>
    <t>BANDEIRA DE SAO JOSE DOS CAMPOS - 1,12 X 1,60 M, , MODELO BORDADO, CONFECCIONADA EM TECIDO 100% POLIESTER</t>
  </si>
  <si>
    <t>BANDEIRA DO BRASIL - 1,12 X 1,60 M, MODELO BORDADO, CONFECCIONADA EM TECIDO 100% POLIESTER</t>
  </si>
  <si>
    <t>BANDEIRA DO ESTADO DE SAO PAULO - 1,12 X 1,60 M, MODELO BORDADO, CONFECCIONADA EM TECIDO 100% POLIESTER</t>
  </si>
  <si>
    <t>BARBANTE DE ALGODAO 4 FIOS - ROLO COM 250 GR</t>
  </si>
  <si>
    <t>BARRA CHATA DE ALUMINIO 3/4" X 1/8" - BARRA COM 06 METROS</t>
  </si>
  <si>
    <t>BARRA DE FERRO TEE 1 X 1/8 - BARRA COM 06 METROS</t>
  </si>
  <si>
    <t>BARRA/FIO REDONDO DE ACO CA 50 P/CONSTRUCAO NBR 7480 - 3/8"</t>
  </si>
  <si>
    <t>BARRA/FIO REDONDO DE ACO CA 50 P/CONSTRUCAO NBR 7480 - 5/16</t>
  </si>
  <si>
    <t>BARRA/FIO REDONDO PARA CONSTRUCAO, DE ACO CA50 - 1/4"</t>
  </si>
  <si>
    <t>BARRA/FIO REDONDO PARA CONSTRUCAO, DE ACO CA50 - 3/16" - BARRA COM 12 METROS</t>
  </si>
  <si>
    <t>BATERIA DE 12 V E 7 A DO TIPO GELATINOSA</t>
  </si>
  <si>
    <t>BLOCO DE CONCRETO - 20 X 20 X 40 CM</t>
  </si>
  <si>
    <t>BLOCO P/ RECADOS AUTO COLANTE - MED 76 X 102 MM</t>
  </si>
  <si>
    <t>BLOCO P/ RECADOS AUTO COLANTE - MED. 38 X 51</t>
  </si>
  <si>
    <t>BOBINA DE SACO PLASTICO PICOTADO PARA EMBALAGEM - MED. 35 X 45 CM</t>
  </si>
  <si>
    <t xml:space="preserve">BORRACHA BRANCA COMUM NUMERO 20 (SEM CINTA), CONFECCIONADA EM MATERIAL NATURAL E MACIO, ATOXICA. APLICAVEL PARA QUALQUER SUPERFICIE E GRADUACAO DE GRAFITE. MEDIDA: 40MM X 30MM X 10MM (VARIACAO +/- 2MM). PRODUTO CERTIFICADO PELO INMETRO. </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</si>
  <si>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</si>
  <si>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</si>
  <si>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</si>
  <si>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</si>
  <si>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</si>
  <si>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</si>
  <si>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</si>
  <si>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BOTAO ALARME PANICO BLOQUEADOR</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</si>
  <si>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</si>
  <si>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</si>
  <si>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</si>
  <si>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</si>
  <si>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</si>
  <si>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</si>
  <si>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</si>
  <si>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</si>
  <si>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BROCA DE ACO RAPIDO HELICOIDAL DE 1/2" COM HASTE CILINDRICA</t>
  </si>
  <si>
    <t>BROCA DE ACO RAPIDO HELICOIDAL DE 1/4" C/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</si>
  <si>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</si>
  <si>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</si>
  <si>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</si>
  <si>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</si>
  <si>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</si>
  <si>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BROCA DE WIDIA 1/4"</t>
  </si>
  <si>
    <t>BROCA DE WIDIA 3/8"</t>
  </si>
  <si>
    <t>BROCA DE WIDIA 5/16"</t>
  </si>
  <si>
    <t>BROXA RETANGULAR - 16,5 X 6 CM</t>
  </si>
  <si>
    <t>BUCHA C/ARRUELA EM ZAMAK P/ELETRODUTO - DIAMETRO 1 1/2"</t>
  </si>
  <si>
    <t>BUCHA DE FIXACAO - N° 06 DE PLASTICO</t>
  </si>
  <si>
    <t>BUCHA DE FIXACAO N° 10 - DE NYLON</t>
  </si>
  <si>
    <t>BUCHA DE FIXACAO N° 8 DE PLASTICO</t>
  </si>
  <si>
    <t xml:space="preserve">BUCHA DE FIXACAO UNIVERSAL Nº 10 DE NYLON PARA BASES OCAS E MACICAS </t>
  </si>
  <si>
    <t xml:space="preserve">BUCHA DE FIXACAO UNIVERSAL Nº 8 DE NYLON PARA BASES OCAS E MACICAS </t>
  </si>
  <si>
    <t>BUCHA DE REDUCAO EM LATAO 3/4 X 1/2</t>
  </si>
  <si>
    <t>BUCHA DE REDUCAO EM PVC RIGIDO SOLDAVEL DE 4" X 2" - ESGOTO".</t>
  </si>
  <si>
    <t>BUCHA PARA GESSO ACARTONADO (DRYWALL)</t>
  </si>
  <si>
    <t>CABO 04 VIAS DE CORES DIFERENTES (4 X 60)</t>
  </si>
  <si>
    <t>CABO CTP-APL - SN - 50/10 PARES</t>
  </si>
  <si>
    <t>CABO DE COBRE FLEXIVEL BITOLA  95 MM²,  750 V ISOLACAO DE PVC 70° C, COR VERDE - ANTI-CHAMA.</t>
  </si>
  <si>
    <t>CABO DE COBRE FLEXIVEL BITOLA 10MM², 6,6/1 KV, ISOLACAO DE PVC 70ºC, COR VERDE - ANTICHAMA - ROLO COM 100 METROS</t>
  </si>
  <si>
    <t xml:space="preserve">CABO DE COBRE FLEXIVEL BITOLA 120 MM2 , ISOLACAO 0,6/1 KV, COR PRETA - ANTICHAMA </t>
  </si>
  <si>
    <t>CABO DE COBRE FLEXIVEL BITOLA 120MM², 750 V, ISOLACAO DE PVC - 70°C - COR VERDE</t>
  </si>
  <si>
    <t>CABO DE COBRE FLEXIVEL BITOLA 150 MM²,  0,6/1 KV ISOLACAO DE PVC 70° C, COR PRETA - ANTI-CHAMA</t>
  </si>
  <si>
    <t xml:space="preserve">CABO DE COBRE FLEXIVEL BITOLA 185 MM2 , ISOLACAO 0,6/1 KV, COR PRETA - ANTICHAMA </t>
  </si>
  <si>
    <t>CABO DE COBRE FLEXIVEL BITOLA 240 MM2 ISOLACAO 0,6/1KV , TEMPERATURA 70° C, COR PRETA - ANTICHAMA</t>
  </si>
  <si>
    <t>CABO DE COBRE FLEXIVEL BITOLA 240MM², 750 V, ISOLACAO DE PVC - 70°C - COR AZUL-CLARO</t>
  </si>
  <si>
    <t>CABO DE COBRE FLEXIVEL BITOLA 25 MM², 0.6/1 KV, ISOLACAO DE PVC 70ºC, COR VERDE - ANTICHAMA - ROLO COM 100 METROS</t>
  </si>
  <si>
    <t>CABO DE COBRE FLEXIVEL BITOLA 35 MM²,  0,6/1 KV ISOLACAO DE PVC 70° C, COR PRETA</t>
  </si>
  <si>
    <t>CABO DE COBRE FLEXIVEL BITOLA 70 MM²,  0,6/1 KV ISOLACAO DE PVC 70° C, COR PRETO - ANTI-CHAMA</t>
  </si>
  <si>
    <t>CABO DE COBRE FLEXIVEL BITOLA 70 MM²,  0,6/1 KV ISOLACAO DE PVC 70° COR AZUL CLARO - ANTI-CHAMA.</t>
  </si>
  <si>
    <t>CABO DE COBRE FLEXIVEL BITOLA 95 MM2 , ISOLACAO 0,6/1 KV, COR AZUL - ANTICHAMA</t>
  </si>
  <si>
    <t xml:space="preserve">CABO DE COBRE FLEXIVEL BITOLA 95 MM2 , ISOLACAO 0,6/1 KV, COR PRETA - ANTICHAMA </t>
  </si>
  <si>
    <t>CABO DE COBRE FLEXIVEL, BITOLA 10,0 MM2, 1KV, ISOLACAO DE PVC 70º, COR AZUL CLARO</t>
  </si>
  <si>
    <t>CABO DE COBRE FLEXIVEL, BITOLA 35,0MM2, 1KV,  ISOLACAO DE PVC 70ºC, COR AZUL CLARO- ANTI-CHAMA</t>
  </si>
  <si>
    <t>CABO DE COBRE FLEXIVEL, BITOLA 35,0MM2, 1KV,  ISOLACAO DE PVC 70ºC, COR VERDE</t>
  </si>
  <si>
    <t>CABO DE COBRE FLEXIVEL, BITOLA 50MM2, 0,6/1 KV, ISOLACAO DE PVC 70° C, COR AZUL CLARO - ANTI-CHAMA</t>
  </si>
  <si>
    <t>CABO DE COBRE FLEXIVEL, BITOLA 50MM2, 750 V, ISOLACAO DE PVC 70° C, COR VERDE - ANTI-CHAMA</t>
  </si>
  <si>
    <t>CABO FLEXIVEL - 6 MM2 - PRETO</t>
  </si>
  <si>
    <t>CABO FLEXIVEL 25MM, 1KV - COR PRETO</t>
  </si>
  <si>
    <t>CABO FLEXIVEL BITOLA 16,0 MM2, 1 KV, ISOLACAO DE PVC 70º,  ANTI-CHAMA. COR AZUL CLARA</t>
  </si>
  <si>
    <t>CABO FLEXIVEL BITOLA 16,0 MM2, 750 VOLTS, ISOLACAO DE PVC 70° C, COR PRETA</t>
  </si>
  <si>
    <t>CABO FLEXIVEL BITOLA 16,0 MM2, 750 VOLTS, ISOLACAO DE PVC 70° C, COR VERDE</t>
  </si>
  <si>
    <t>CABO FLEXIVEL BITOLA 4,0 MM2, 750 VOLTS, ISOLACAO DE PVC 70° C, COR VERDE</t>
  </si>
  <si>
    <t>CABO FLEXIVEL BITOLA 50 MM², ISOLACAO DE PVC 70° C, 1KV, 750V, ANTICHAMA, COR PRETA</t>
  </si>
  <si>
    <t>CABO UTP 23 AWG X 4 PARES CATEGORIA 6,CM</t>
  </si>
  <si>
    <t>CADEADO DE LATAO - 40 MM</t>
  </si>
  <si>
    <t>CADEADO DE LATAO - 50 MM</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</si>
  <si>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</si>
  <si>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</si>
  <si>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</si>
  <si>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</si>
  <si>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</si>
  <si>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CAFE TORRADO E MOIDO - PT C/ 500 G - EMBALAGEM TIJOLINHO</t>
  </si>
  <si>
    <t>CAIXA D'AGUA EM POLIETILENO, COM TAMPA - CAPACIDADE 1.000 LITROS</t>
  </si>
  <si>
    <t>CAIXA DE DESCARGA COM CORPO PLASTICO (ACOMPANHA ENGATE E</t>
  </si>
  <si>
    <t>CAIXA DE PASSAGEM EM CHAPA METALICA DE SOBREPOR</t>
  </si>
  <si>
    <t>CAIXA PARA ARQUIVO MORTO EM POLIONDA</t>
  </si>
  <si>
    <t>CAIXA PARA TELEFONIA TIPO TPF-10 COM TAMPA, PARA USO EXTERNO EM POSTE, COM BLOCO BER 10 PARES, PADRAO ANATEL.</t>
  </si>
  <si>
    <t>CAIXA PLASTICA DE SOBREPOR COM TAMPA - MEDIDAS: 23 X 17 X 9 CM</t>
  </si>
  <si>
    <t>CAIXA SIFONADA REDONDA EM PVC RIGIDO DE 100 X 100 X 50 MM - 4" X 4"X 2"</t>
  </si>
  <si>
    <t>CAIXILHO DE FERRO PERFILADO - DE CORRER - 1,20 X 2,00 M</t>
  </si>
  <si>
    <t>CAIXILHO DE FERRO PERFILADO DE CORRER, S/ GRADE - MEDIDAS:</t>
  </si>
  <si>
    <t>CAIXILHO DE FERRO PERFILADO, BASCULANTE - MEDIDAS: 0,80 X 0,60M</t>
  </si>
  <si>
    <t xml:space="preserve">CALCA DE BRIM N° 36, CONFECCIONADA EM TECIDO MISTO 67% ALGODAO NA COR AZUL MARINHO.   </t>
  </si>
  <si>
    <t>CALCA DE BRIM N° 40, CONFECCIONADA EM TECIDO MISTO 67% ALGODAO NA COR AZUL MARINHO</t>
  </si>
  <si>
    <t>CALCA DE BRIM N° 42, CONFECCIONADA EM TECIDO MISTO 67% ALGODAO NA COR AZUL MARINHO</t>
  </si>
  <si>
    <t>CALCA DE BRIM N° 44, CONFECCIONADA EM TECIDO MISTO 67% ALGODAO NA COR AZUL MARINHO</t>
  </si>
  <si>
    <t xml:space="preserve">CALCA DE BRIM N° 46, CONFECCIONADA EM TECIDO MISTO 67% ALGODAO NA COR AZUL MARINHO.   </t>
  </si>
  <si>
    <t>CALCA DE BRIM N° 48, CONFECCIONADA EM TECIDO MISTO 67% ALGODAO NA COR AZUL MARINHO</t>
  </si>
  <si>
    <t xml:space="preserve">CALCA DE BRIM N° 50, CONFECCIONADA EM TECIDO MISTO 67% ALGODAO NA COR AZUL MARINHO.   </t>
  </si>
  <si>
    <t>CALCA DE BRIM N° 52, CONFECCIONADA EM TECIDO MISTO 67% ALGODAO NA COR AZUL MARINHO</t>
  </si>
  <si>
    <t>CALCA DE BRIM N° 56, CONFECCIONADA EM TECIDO MISTO 67% ALGODAO NA COR AZUL MARINHO</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</si>
  <si>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</si>
  <si>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</si>
  <si>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</si>
  <si>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</si>
  <si>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</si>
  <si>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CAMARA DE AR PARA PNEU 3,25 X 8 - PARA CARRINHO DE MAO, TIPO PERUZ</t>
  </si>
  <si>
    <t>CAMISA DE BRIM N° 2, CONFECCIONADA EM TECIDO 100% ALGODAO, NA COR AZUL MARINHO, MANGAS LONGAS.</t>
  </si>
  <si>
    <t>CAMISA DE BRIM N° 3, CONFECCIONADA EM TECIDO 100% ALGODAO, NA COR AZUL MARINHO, MANGAS LONGAS.</t>
  </si>
  <si>
    <t>CAMISA DE BRIM N° 5, CONFECCIONADA EM TECIDO 100% ALGODAO, NA COR AZUL MARINHO, MANGAS LONGAS.</t>
  </si>
  <si>
    <t>CAMISA DE BRIM, N° 1, CONFECCIONADA EM TECIDO 100% ALGODAO, NA COR AZUL MARINHO.</t>
  </si>
  <si>
    <t>CAMISA DE BRIM, N° 2, CONFECCIONADA EM TECIDO 100% ALGODAO, COM ACABAMENTO ESPECIAL PARA PROTECAO AO ARCO ELETRICO E EXPOSICAO A CHAMAS,  NA COR CINZA.</t>
  </si>
  <si>
    <t>CAMISA DE BRIM, N° 2, CONFECCIONADA EM TECIDO 100% ALGODAO, NA COR AZUL MARINHO</t>
  </si>
  <si>
    <t>CAMISA DE BRIM, N° 3, CONFECCIONADA EM TECIDO 100% ALGODAO, COM ACABAMENTO ESPECIAL PARA PROTECAO AO ARCO ELETRICO E EXPOSICAO A CHAMAS,  NA COR CINZA.</t>
  </si>
  <si>
    <t>CAMISA DE BRIM, N° 3, CONFECCIONADA EM TECIDO 100% ALGODAO, NA COR AZUL MARINHO</t>
  </si>
  <si>
    <t>CAMISA DE BRIM, N° 4, CONFECCIONADA EM TECIDO 100% ALGODAO, COM ACABAMENTO ESPECIAL PARA PROTECAO AO ARCO ELETRICO E EXPOSICAO A CHAMAS,  NA COR CINZA.</t>
  </si>
  <si>
    <t>CAMISA DE BRIM, N° 4, CONFECCIONADA EM TECIDO 100% ALGODAO, NA COR AZUL MARINHO</t>
  </si>
  <si>
    <t>CAMISA DE BRIM, N° 5, CONFECCIONADA EM TECIDO 100% ALGODAO, NA COR AZUL MARINHO</t>
  </si>
  <si>
    <t>CAMISA DE BRIM, N° 6, CONFECCIONADA EM TECIDO 100% ALGODAO, COM ACABAMENTO ESPECIAL PARA PROTECAO AO ARCO ELETRICO E EXPOSICAO A CHAMAS,  NA COR CINZA.</t>
  </si>
  <si>
    <t>CAMISA DE BRIM, N° 6, CONFECCIONADA EM TECIDO 100% ALGODAO, NA COR AZUL MARINHO</t>
  </si>
  <si>
    <t>CAMISA DE BRIM, N° 7, CONFECCIONADA EM TECIDO 100% ALGODAO, NA COR AZUL MARINHO.</t>
  </si>
  <si>
    <t xml:space="preserve">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</si>
  <si>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 xml:space="preserve">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</si>
  <si>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CANETA HIDROGRAFICA JUMBO COM 12 CORES, PONTA GROSSA, TINTA LAVAVEL</t>
  </si>
  <si>
    <t>CANETA HIDROGRAFICA JUMBO PRETA, PONTA GROSSA, TINTA LAVAVEL.</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</si>
  <si>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</si>
  <si>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 xml:space="preserve">CANETA HIDROGRAFICA PRETA PONTA DE 2MM. </t>
  </si>
  <si>
    <t>CANETA MARCA TEXTO - AMARELA</t>
  </si>
  <si>
    <t>CANETA P/ RETROPROJETOR - PRETA, PONTA 2 MM</t>
  </si>
  <si>
    <t>CANETA P/ RETROPROJETOR - VERMELHA, PONTA 2 MM</t>
  </si>
  <si>
    <t>CANO DE ALUMINIO P/ CHUVEIRO - 40 CM</t>
  </si>
  <si>
    <t>CANTONEIRA DE FERRO - 1.1/2" X 1/8" BARRA COM 06 MET</t>
  </si>
  <si>
    <t>CANTONEIRA DE FERRO - BARRA COM 6 M - 1" X 1/8"</t>
  </si>
  <si>
    <t>CANTONEIRA DE FERRO - BARRA COM 6 M - 3/4" X 1/8"</t>
  </si>
  <si>
    <t>CANTONEIRA DE FERRO 2" X 1/8" - BARRA COM 06 METROS</t>
  </si>
  <si>
    <t>CANTONEIRA EM ACO PARA FIXACAO DE BALS MEDINDO 47 MM X 20 MM X 25 MM COM 3 FUROS</t>
  </si>
  <si>
    <t>CANTONEIRA EM ALUMINIO - 10 MM DE VAO - BR C/ 3 METROS  (P/</t>
  </si>
  <si>
    <t>CAP DE PVC MARROM PARA AGUA DE 50 MM  X  1 1/2" - DE ACORDO COM NBR 5648 E A MARCA, MEDIDA E NBR DEVERAO VIR LITOGRAFADA NA PECA</t>
  </si>
  <si>
    <t>CAP EM PVC DE 1 PARA AGUA MARROM</t>
  </si>
  <si>
    <t>CAP EM PVC DE 3/4 PARA AGUA MARROM</t>
  </si>
  <si>
    <t>CAPA DE CHUVA EM PVC COM CAPUZ - TAM G : CAPA DE CHUVA IMPERMEAVEL NA COR AMARELA, CONFECCIONADA EM TECIDO SINTETICO REVESTIDO DE PVC, COSTURAS ATRAVES DE SOLDA ELETRONICA, MANGAS LONGAS, CAPUZ FIXO, FECHAMENTO FRONTAL</t>
  </si>
  <si>
    <t>CAPA EM POLIPROPILENO, TAMANHO A4, 0,30 MM DE ESPESSURA, PRETO</t>
  </si>
  <si>
    <t>CAPA EM POLIPROPILENO, TAMANHO A4, 0,30 MM DE ESPESSURA, TRANSPARENTE</t>
  </si>
  <si>
    <t xml:space="preserve">CAPACETE DE SEGURANCA CLASSE B, TIPO II (ABA FRONTAL), COM SUSPENCAO PLASTICA, TIRA ABSORVENTE DE SUOR E SISTEMA DE REGULAGEM. TIRA JUGULAR EM POLIESTER JA FIXADA AO CAPACETE.  </t>
  </si>
  <si>
    <t>CAPACHO DE FIBRA DE COCO - 0,40 X 0,60 M</t>
  </si>
  <si>
    <t>CAPUZ OU BALACLAVA DE SEGURANCA MODELO ARABE, CONFECCIONADO EM BRIM</t>
  </si>
  <si>
    <t xml:space="preserve">CARRINHO DE MAO 150 KG ( 60 LITROS)  TOTALMENTE GALVANIZADO  </t>
  </si>
  <si>
    <t>CARTOLINA - AMARELA - 50 X 66 CM - 180 G/M2</t>
  </si>
  <si>
    <t>CARTOLINA - AZUL CLARO - 50 X 66 CM - 180 G/M2</t>
  </si>
  <si>
    <t>CARTOLINA - BRANCA  - 50 X 66 CM - 180 G/M2</t>
  </si>
  <si>
    <t>CARTOLINA - ROSA - 50 X 66 CM - 180 G/M2</t>
  </si>
  <si>
    <t>CARTOLINA - VERDE CLARO - 50 X 66 CM - GRAMATURA 180G/M2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</si>
  <si>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</si>
  <si>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</si>
  <si>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</si>
  <si>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</si>
  <si>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</si>
  <si>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</si>
  <si>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</si>
  <si>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</si>
  <si>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CESTO DE PLASTICO P/ LIXO, 6 LITROS - FECHADO</t>
  </si>
  <si>
    <t>CHA DE ERVA MATE TOSTADO - CAIXA COM 250 GR</t>
  </si>
  <si>
    <t>CHAPA DE ACO CARBONO GALVANIZADO ZINCADO N. 24 - ESP = 0,64</t>
  </si>
  <si>
    <t>CHAPA DE ACO CARBONO GALVANIZADO ZINCADO N°22 ESP=0,80 MM -</t>
  </si>
  <si>
    <t>CHAPA DE ACO INOX, BLANQUE: 430, ESPESSURA: 1,5MM, COMPRIMENTO: 2,00M E LARGURA: 1,20M</t>
  </si>
  <si>
    <t>CHAPA DE LAMINADO MELAMINICO  PARA LOUSA LISA QUADRICULADA (5X5CM) DE FUNDO BRANCO ACABAMENTO BRILHANTE C/ 3,08 X 1,25 M ESP =1,0MM. COR PADRAO: BRANCOLINE</t>
  </si>
  <si>
    <t>CHAPA DE MADEIRA COMPENSADA NAVAL C/ 2,20 X 1,60 M ESP.</t>
  </si>
  <si>
    <t>CHAPA DE MADEIRA COMPENSADO LAMINADO DE VIROLA - MEDIDAS: 2,20 M X 1,60 M X 15 MM</t>
  </si>
  <si>
    <t>CHAPA EM MDF ALTO BRILHO - MEDIDAS: 2,75 X 1,86 M X 06 MM DE ESPESSURA</t>
  </si>
  <si>
    <t>CHAPA EM MDF ALTO BRILHO - MEDIDAS: 2,75 X 1,86 M X 15 MM DE ESPESSURA</t>
  </si>
  <si>
    <t>CHAPA EM MDF CARVALHO 2 FACES, MEDINDO 2,75 X 1,83 M X 15 MM DE ESPESSURA</t>
  </si>
  <si>
    <t xml:space="preserve">CHAPA EM MDF ULTRA TX, BRANCO, DUAS FACES COM PROTECAO CONTRA UMIDADE E CUPIM. MEDINDO: 2,75M X 1,83M X 18MM. </t>
  </si>
  <si>
    <t>CHAPA EM MDF, BRANCO, 02 FACES - MED. 2,75 M X 1,83 M X 15 MM</t>
  </si>
  <si>
    <t>CHAPA EM MDF, CRU - MED. 2,75 M X 1,83 M X 09 MM</t>
  </si>
  <si>
    <t>CHAVE BOIA INFERIOR 15 A (CONTROLE DE NIVEL AUTOMATICO)</t>
  </si>
  <si>
    <t xml:space="preserve">CHAVE DE NIVEL TIPO BOIA </t>
  </si>
  <si>
    <t xml:space="preserve">CHUMBADOR CBA   5/16"  X  3.1/4" </t>
  </si>
  <si>
    <t xml:space="preserve">CHUMBADOR CBA  5/16" X 2.1/4" </t>
  </si>
  <si>
    <t>CHUVEIRO ELETRICO AUTOMATICO - CORPO EM PLASTICO 220V/5400W</t>
  </si>
  <si>
    <t>CIMENTO COLA AC3 - SACO C/20 KG</t>
  </si>
  <si>
    <t>CLIPS 30 MM DE COMPRIMENTO - CX C/ 100 UN</t>
  </si>
  <si>
    <t>COADOR DE PAPEL P/ CAFE N° 103 - CAIXA COM 30 UNIDADES</t>
  </si>
  <si>
    <t>COLA ADESIVO DE MONTAGEM PARA USO INTERNO</t>
  </si>
  <si>
    <t>COLA BRANCA , FRASCO COM 1 KG - COMPOSICAO RESINA DE PVA, LAVAVEL, CERTIFICADA PELO INMETRO</t>
  </si>
  <si>
    <t>COLA BRANCA LIQUIDA LAVAVEL. MINIMO 90 G, COM BICO APLICADOR ECONOMICO, COMPOSICAO: RESINA DE PVA. PRODUTO DEVERA ESTAR DE ACORDO COM A NORMA DE SEGURANCA DE ARTIGOS ESCOLARES. PRODUTO CERTIFICADO PELO INMETRO E COM CODIGO DE BARRAS NO PRODUTO.</t>
  </si>
  <si>
    <t>COLA DE CONTATO P/ LAMINADO MELAMINICO - 2,8 KG</t>
  </si>
  <si>
    <t>COLA HOTMELT, BRANCA, GRANULADA - PARA COLADEIRA DE FITA DE BORDO AM 753B - SACO COM 25 KG</t>
  </si>
  <si>
    <t>COLA P/ MADEIRA - 1 LITRO</t>
  </si>
  <si>
    <t>COLCHETE LATONADO N° 08 - CAIXA C/ 72 UNIDADES</t>
  </si>
  <si>
    <t xml:space="preserve">CONDULETE EM LIGA DE ALUMINIO </t>
  </si>
  <si>
    <t>CONDULETE EM LIGA DE ALUMINIO FUNDIDO</t>
  </si>
  <si>
    <t>CONECTOR A PRESSAO TIPO SPLIT BOLT-SIMPLES/SIMPLES P/ 2</t>
  </si>
  <si>
    <t>CONECTOR DE ALUMINIO PARA CONDULETE MULTIPLO DE 1.1/2"</t>
  </si>
  <si>
    <t>CONECTOR DE ALUMINIO PARA CONDULETE MULTIPLO DE 3/4"</t>
  </si>
  <si>
    <t>CONECTOR RJ-45 FEMEA, PARA CABO UTP CATEGORIA 6</t>
  </si>
  <si>
    <t>CONECTOR RJ-45 MACHO, PARA CABO UTP CATEGORIA 5E</t>
  </si>
  <si>
    <t>CONECTOR TIPO SPLIT BOLT-SIMPLES/SIMPLES P/ 2 CABOS DE COBRE DE 10MM2</t>
  </si>
  <si>
    <t>CONECTOR TIPO SPLIT BOLT-SIMPLES/SIMPLES P/ 2 CABOS DE COBRE DE 120 MM2</t>
  </si>
  <si>
    <t>CONECTOR TIPO SPLIT BOLT-SIMPLES/SIMPLES P/ 2 CABOS DE COBRE DE 16MM2</t>
  </si>
  <si>
    <t>CONECTOR TIPO SPLIT BOLT-SIMPLES/SIMPLES P/ 2 CABOS DE COBRE DE 240MM2</t>
  </si>
  <si>
    <t>CONECTOR TIPO SPLIT BOLT-SIMPLES/SIMPLES P/ 2 CABOS DE COBRE DE 25MM2</t>
  </si>
  <si>
    <t>CONECTOR TIPO SPLIT BOLT-SIMPLES/SIMPLES P/ 2 CABOS DE COBRE DE 50MM2</t>
  </si>
  <si>
    <t>CONECTOR TIPO SPLIT BOLT-SIMPLES/SIMPLES P/ 2 CABOS DE COBRE DE 70MM2</t>
  </si>
  <si>
    <t>CONECTOR TIPO SPLIT BOLT-SIMPLES/SIMPLES P/2 CABOS DE COBRE DE 35MM2</t>
  </si>
  <si>
    <t>CONECTOR TIPO SPLIT BOLT-SIMPLES/SIMPLES P/2 CABOS DE COBRE DE 95 MM2</t>
  </si>
  <si>
    <t>CONJUNTO DE CRUZETA, MOLA E PARAFUSO PARA VALVULA DE DESCARGA</t>
  </si>
  <si>
    <t xml:space="preserve">CONTATOR LC1 D18M7  </t>
  </si>
  <si>
    <t xml:space="preserve">CONTROLADOR ROTATIVO DE VELOCIDADE COM CHAVE PARA VENTILADORES </t>
  </si>
  <si>
    <t>COPO PLASTICO DESCARTAVEL - 180 ML - PT C/ 100 UN (AGUA)</t>
  </si>
  <si>
    <t>COPO PLASTICO DESCARTAVEL - 50 ML - PT C/ 100 UNID (CAFE)</t>
  </si>
  <si>
    <t>CORANTE LIQUIDO PARA FINS ALIMENTICIOS - COR AMARELA - FRASCO COM 10ML</t>
  </si>
  <si>
    <t>CORANTE LIQUIDO PARA FINS ALIMENTICIOS - COR AZUL - FRASCO COM 10ML.</t>
  </si>
  <si>
    <t>CORANTE LIQUIDO PARA FINS ALIMENTICIOS - COR VERMELHA - FRASCO COM 10ML</t>
  </si>
  <si>
    <t>CORANTE PARA COLORIR TINTA LATEX - AZUL ESCURO - 50 ML</t>
  </si>
  <si>
    <t>CORANTE PARA COLORIR TINTA LATEX - PRETO - 50 ML</t>
  </si>
  <si>
    <t>CORANTE PARA COLORIR TINTA LATEX - VERDE - 50 ML</t>
  </si>
  <si>
    <t>CORREDICA TELESCOPICA ZINCADA PARA GAVETA FZ 500 MM - COM CAPACIDADE PARA 35 KG</t>
  </si>
  <si>
    <t>CORREDICA TELESCOPICA, PARA GAVETA, FZ 405 MM - 45 KG</t>
  </si>
  <si>
    <t>CORRETIVO LIQUIDO A BASE DE AGUA - FR C/ 18 ML</t>
  </si>
  <si>
    <t>COTOVELO 45 GRAUS EM PVC - RIGIDO SOLDAVEL - 6"- (150 MM) -</t>
  </si>
  <si>
    <t>COTOVELO 45 GRAUS EM PVC RIGIDO SOLDAVEL 2"</t>
  </si>
  <si>
    <t>COTOVELO 45° DE PVC - 1" PARA AGUA, DE ACORDO COM A NORMA NBR 5648. TODAS AS INFORMACOES DEVERAO ESTAR LITOGRAFADAS NA PECA.</t>
  </si>
  <si>
    <t>COTOVELO 90 GRAUS EM PVC - RIGIDO SOLDAVEL - 6"- (150 MM) -</t>
  </si>
  <si>
    <t>COTOVELO 90 GRAUS EM PVC RIGIDO SOLDAVEL - 2"</t>
  </si>
  <si>
    <t>COTOVELO 90° DE REDUCAO DE PVC SOLDAVEL X ROSCA AZUL COM BUCHA DE LATAO 25 MM X 1/2", DE ACORDO COM A NBR 5648. TODAS AS INFORMACOES DEVERAO ESTAR LITOGRAFADAS NA PECA.</t>
  </si>
  <si>
    <t>COTOVELO DE REDUCAO EM PVC SOLDAVEL DE 1" X 3/4"</t>
  </si>
  <si>
    <t>COTOVELO EM PVC AZUL-COLA E ROSCA DE 3/4"</t>
  </si>
  <si>
    <t>COTOVELO GALVANIZADO DE 1, 1/2" X 90°, DE ACO ZINCADO A FOGO - NBR 6323</t>
  </si>
  <si>
    <t>COTOVELO RETO PERFURADO, GALVANIZADO, P/ELETROCALHA - 200 X 50MM</t>
  </si>
  <si>
    <t>CUMEEIRA DE BARRO COZIDO</t>
  </si>
  <si>
    <t>CUMEEIRA DE FIBRA SINTETICA 10 GRAUS PARA TELHA ONDULADA ES</t>
  </si>
  <si>
    <t>CUMEEIRA DE FIBRA SINTETICA 30 GRAUS PARA TELHA ONDULADA ESP. 06 MM</t>
  </si>
  <si>
    <t>CUMEEIRA NORMAL ( PARA TELHA DE CONCRETO ), INCLANACAO MINIMA : 30 OU 16,40º. SOBREPOSICAO TRANSVERSAL: 10 CM. RESISTENCIA A FLEXAO : ACIMA DE 300 KG. SEGUNDO AS NORMAS TECNICAS ABNT : NBR 13858-1 / 13858-2</t>
  </si>
  <si>
    <t>CURVA 90 GRAUS DE ACO CARBONO GALVANIZADO P/ ELETRODUTO</t>
  </si>
  <si>
    <t>CURVA LONGA DE ACO P/ELETRODUTO GALVANIZADO A FOGO, 90º - DIAMETRO 2"</t>
  </si>
  <si>
    <t>DESINFETANTE, MULTIUSO, ANTIBACTERICIDA, PERFUME LAVANDA, GALAO COM 5 LITROS</t>
  </si>
  <si>
    <t>DETERGENTE LIQUIDO,  NEUTRO - INCOLOR - FRASCO C/500ML</t>
  </si>
  <si>
    <t>DISCO DE CORTE 14" X 1/8" X 1" DE ACORDO COM AS NORMAS DA ABNT</t>
  </si>
  <si>
    <t>DISCO DE CORTE 14" X 3/16" X 1"</t>
  </si>
  <si>
    <t>DISCO DE CORTE 4 1/2" DE DIAMETRO EXTERNO, 01 MM DE ESPESSURA E 7/8" DE DIAMETRO DE FURO</t>
  </si>
  <si>
    <t>DISCO DE CORTE 7" X 1/8" X 7/8" (DIAM.EXT X ESPESSURA X DIAM. FURO)</t>
  </si>
  <si>
    <t>DISCO DE CORTE 9" X 1/8" X 7/8"</t>
  </si>
  <si>
    <t>DISCO DE CORTE PARA POLICORTE - MED. 10" DIAMETRO EXTERNO -</t>
  </si>
  <si>
    <t>DISCO DE DESBASTE 7" X 1/4" X 7/8"</t>
  </si>
  <si>
    <t>DISCO DE DESBASTE DE  FERRO - 4 1/2" X 3/16" X 7/8" - PARA USO EM LIXADEIRA E FABRICADO CONFORME NORMAS ABNT</t>
  </si>
  <si>
    <t>DISCO DE LIXA N. 40 - 30 CM DE DIAMETRO - PARA LIXADEIRA DE BANCADA</t>
  </si>
  <si>
    <t>DISCO DIAMANTADO (SECO) - DIAMETRO EXTERNO 110 MM E FURO 20</t>
  </si>
  <si>
    <t>DISJUNTOR NORMA DIN CURVA B PADRAO, BIPOLAR, 10 AMPERES</t>
  </si>
  <si>
    <t>DISJUNTOR NORMA DIN CURVA B PADRAO, BIPOLAR, 20 AMPERES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</si>
  <si>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</si>
  <si>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</si>
  <si>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</si>
  <si>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</si>
  <si>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</si>
  <si>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BIPOLAR, 63 AMPERES</t>
  </si>
  <si>
    <t>DISJUNTOR NORMA DIN CURVA C PADRAO, TRIPOLAR, 10 AMPERES</t>
  </si>
  <si>
    <t>DISJUNTOR NORMA DIN CURVA C PADRAO, TRIPOLAR, 100 AMPERES</t>
  </si>
  <si>
    <t>DISJUNTOR NORMA DIN CURVA C PADRAO, TRIPOLAR, 125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</si>
  <si>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</si>
  <si>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</si>
  <si>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</si>
  <si>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</si>
  <si>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TRIPOLAR, 63 AMPERES</t>
  </si>
  <si>
    <t>DISJUNTOR NORMA DIN CURVA C PADRAO, TRIPOLAR, 80 AMPERES</t>
  </si>
  <si>
    <t>DISJUNTOR NORMA DIN, CURVA C PADRAO, BIPOLAR - 25 AMPERES</t>
  </si>
  <si>
    <t>DISJUNTOR TRIPOLAR IN = 125A, TENSAO MINIMA DE OPERACAO 240V, CURVA C, NBR 60947-2 - CATEGORIA "A"</t>
  </si>
  <si>
    <t>DISJUNTOR TRIPOLAR IN = 150A, TENSAO MINIMA DE OPERACAO 240V, CURVA C, NBR 60947-2 - CATEGORIA "A"</t>
  </si>
  <si>
    <t>DISJUNTOR TRIPOLAR IN = 225 A, TENSAO MINIMA DE OPERACAO 240V</t>
  </si>
  <si>
    <t>DISJUNTOR TRIPOLAR IN 300 A, TENSAO MINIMA DE OPERACAO 220V, CURVA C, NBR 60947-2 - CATEGORIA A</t>
  </si>
  <si>
    <t>DISJUNTOR TRIPOLAR IN 350 A, TENSAO MINIMA DE OPERACAO 220 V, CURVA C, NBR 60947-2, CATEGORIA A</t>
  </si>
  <si>
    <t>DISPOSITIVO DE PROTECAO CONTRA SOBRETENSOES TRANSITORIAS, TENSAO NOMINAL MINIMA 220V, CORRENTE MINIMA DE SURTO 40KA (8/20US) PADRAO IEC (CONF. NORMA ABNT 5410)</t>
  </si>
  <si>
    <t>DISTRIBUIDOR GERAL PARA TELEFONIA</t>
  </si>
  <si>
    <t>DISTRIBUIDOR GERAL PARA TELEFONIA, COM VENEZIANAS, DE EMBUTIR</t>
  </si>
  <si>
    <t>DOBRADICA DE FERRO POLIDO 1.1/2"</t>
  </si>
  <si>
    <t>DOBRADICA DE FERRO POLIDO 2.1/2"</t>
  </si>
  <si>
    <t>DOBRADICA DE PRESSAO EM ACO, CURVA, COMPLETA, PARA ARMARIOS - 35 MM, FABRICADA EM ACO ZINCADO, ABERTURA COM ANGULO DE 110°, COM PARAFUSOS E COM MOLA, SEM AMORTECEDOR.</t>
  </si>
  <si>
    <t>DOBRADICA PARA PORTA EM ACO ZINCADO, MEDIDAS 3.1/2" X 2.1/4", ESPESSURA MINIMA DE 1,5 MM</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</si>
  <si>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</si>
  <si>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ELASTICO - EMBALAGEM COM 100GR</t>
  </si>
  <si>
    <t>ELEMENTO FILTRANTE DE MICRO-FIBRA DE PP</t>
  </si>
  <si>
    <t>ELETROCALHA LISA C/TAMPA C/FECHAMENTO POR PARAFUSO, GALVANIZADA, P/ELETROCALHA -  100 X 50MM</t>
  </si>
  <si>
    <t>ELETROCALHA PERFURADA C/TAMPA C/FECHAMENTO POR PRESSAO, GALVANIZADA - LARGURA 200 X 50MM</t>
  </si>
  <si>
    <t xml:space="preserve">ELETRODO REVESTIDO PARA SOLDA 2,5 MM - NORMA AWS E-6013 </t>
  </si>
  <si>
    <t>ELETRODUTO CORRUGADO EM PEAD (POLIETILENO DE ALTA DENSIDADE) PARA PROTECAO DE CABOS SUBTERRANEOS - DIAMETRO 110MM (4")</t>
  </si>
  <si>
    <t>ELETRODUTO DE ACO CARBONO GALVANIZADO A FOGO - DIAMETRO 1 1/2" - BARRA COM 3 M</t>
  </si>
  <si>
    <t>ELETRODUTO DE FERRO GALVANIZADO - 3/4"</t>
  </si>
  <si>
    <t>ELETRODUTO FLEXIVEL CORRUGADO DE 1.1/2"</t>
  </si>
  <si>
    <t>ELETRODUTO FLEXIVEL CORRUGADO DE 2"</t>
  </si>
  <si>
    <t>ELETRODUTO FLEXIVEL CORRUGADO DE 3/4" - COR AMARELA</t>
  </si>
  <si>
    <t xml:space="preserve">ELETRODUTO GALVANIZADO A FOGO - LEVE  1" </t>
  </si>
  <si>
    <t>EMENDA INTERNA PERFURA, GALVANIZADA, P/ELETROCALHA - 200 X 50MM</t>
  </si>
  <si>
    <t>ENCOSTO EM MADEIRA  EM LAMINADO MELAMINICO 10MM LISO 30 X 16CM - VERDE CLARO</t>
  </si>
  <si>
    <t>ENGATE DE PVC BRANCO FLEXIVEL DE 40 CM, COMPOSTO POR PORCAS E NIPLE ½" EM PVC RIGIDO E ANEIS DE VEDACAO DE BORRACHA FIXOS NAS EXTREMIDADES. MATERIAL DE ACORDO COM A ABNT NBR 14878:2015 E A MARCA DEVERA SER LITOGRAFADA NO PRODUTO.</t>
  </si>
  <si>
    <t>ENVELOPE BRANCO - OFICIO - 114 X 229 MM- GRAMATURA MINIMA 63 G/M²</t>
  </si>
  <si>
    <t>ENVELOPE OURO TIPO SACO 80 X 115 MM- GRAMATURA MINIMA 80 G/M²</t>
  </si>
  <si>
    <t>ENVELOPE PARDO TIPO SACO - 162 X 229MM - GRAMATURA MINIMA 80 G/M²</t>
  </si>
  <si>
    <t>ENVELOPE PARDO TIPO SACO 240 X 340MM- GRAMATURA MINIMA 80 G/M²</t>
  </si>
  <si>
    <t>ENVELOPE PARDO TIPO SACO 310  X 410 MM- GRAMATURA MINIMA 80 G/M²</t>
  </si>
  <si>
    <t>ESPIRAL 25 MM DE PVC - PACOTE COM NO MINIMO 45 UNIDADES.</t>
  </si>
  <si>
    <t>ESPIRAL 9 MM DE PVC - PACOTE COM 100 UNIDADES.</t>
  </si>
  <si>
    <t>ESPIRAL N. 12 (12 MM) DE PVC - PACOTE COM 100 UNIDADES</t>
  </si>
  <si>
    <t>ESPONJA DE NYLON DUPLA FACE, LISO E ABRASIVA - MED: 110 X 75 X 20 MM</t>
  </si>
  <si>
    <t>ESQUADRO DE 45° - COR: TRANSPARENTE.</t>
  </si>
  <si>
    <t>ESQUADRO DE 60° - COR: TRANSPARENTE.</t>
  </si>
  <si>
    <t>ESTILETE DE METAL C/ LAMINA ESTREITA</t>
  </si>
  <si>
    <t>ETIQUETA ADESIVA - 36 X 102 MM - FOLHA C/ 24 UNIDADES - TIPO FORMULARIO CONTINUO</t>
  </si>
  <si>
    <t>EXTRATOR DE GRAMPOS - TIPO ESPATULA</t>
  </si>
  <si>
    <t>FECHADURA DE EMBUTIR C/ TAMBOR - EXTERNA</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</si>
  <si>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</si>
  <si>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</si>
  <si>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FECHO CHATO COM PORTA CADEADO ZINCADO 5" REFORCADO, COM PARAFUSOS, MATERIAL DO FECHO:  ACO CARBONO, MEDIDA: 127MM.</t>
  </si>
  <si>
    <t>FERRO CHATO - 1" X 1/4" - BARRA COM 06 METROS</t>
  </si>
  <si>
    <t>FERRO CHATO - 1.1/2" X 1/4" - BARRA COM 06 METROS</t>
  </si>
  <si>
    <t>FERRO CHATO 1 1/2" X 1/8" BARRA C/ 06 METROS</t>
  </si>
  <si>
    <t>FERRO CHATO 1 X 1/ 8" BARRA C/ 06 METROS</t>
  </si>
  <si>
    <t>FERRO CHATO 1/2" X 1/4" - BARRA C/ 06 METROS</t>
  </si>
  <si>
    <t>FERRO CHATO 3/4" X 1/8" BARRA C/ 06 METROS</t>
  </si>
  <si>
    <t>FERRO REDONDO - 1/2" - MECANICO - BARRA COM 06 METROS</t>
  </si>
  <si>
    <t>FERRO REDONDO 3/8" MECANICO, BARRA C/ 06 METROS</t>
  </si>
  <si>
    <t>FERRO REDONDO DE 5/8" - BARRA COM 06 METROS (FERRO MECANICO</t>
  </si>
  <si>
    <t>FERRO TIPO U DE 2" X 1/8</t>
  </si>
  <si>
    <t>FERRO TIPO U DE 3" X 1/8" - BARRA COM 06 METROS</t>
  </si>
  <si>
    <t>FERRO TIPO U DE 6" X 1/8" - BARRA COM 06 METROS</t>
  </si>
  <si>
    <t>FILME DE POLIETILENO - MED. 500 MM LARGURA X 0,020 MM ESPESSURA X 140 METROS DE COMPRIMENTO</t>
  </si>
  <si>
    <t>FILTRO COM TAMPA E COPO EM POLIPROPILENO, VAZAO 1200 L/H, SAIDA 1/2", BRANCO COM ROSCA EXTERNA NO COPO E INTERNA NA TAMPA E COM REDUCAO DE 3/4" PARA 1/2" EM LATAO.</t>
  </si>
  <si>
    <t>FILTRO DE LUZ REDONDO P/ MASCARA DE PROTECAO - ESPESS 2MM,</t>
  </si>
  <si>
    <t>FILTRO DE LUZ RETANGULAR P/ MASCARA DE PROTECAO, TONALIDADE</t>
  </si>
  <si>
    <t xml:space="preserve">FILTRO QUIMICO PARA  VAPORES ORGANICOS </t>
  </si>
  <si>
    <t>FIO DE NYLON DE 3,0MM, QUADRADO, USO EM ROCADEIRA LATERAL STIHL FS 220 - PESO APROXIMADO: ROLO C/2 KG</t>
  </si>
  <si>
    <t>FIO TELEFONICO EXTERNO FE - AA - 80</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</si>
  <si>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</si>
  <si>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</si>
  <si>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FITA ADESIVA COLORIDA, MEDINDO APROXIMADAMENTE 12MM X 10M. COR: VERMELHO. COMPOSICAO: FILME POLIPROPILENO COM ADESIVO ACRILICO A BASE D´AGUA</t>
  </si>
  <si>
    <t>FITA ADESIVA CREPADA  - 19 MM X 50 M</t>
  </si>
  <si>
    <t>FITA ADESIVA DUPLA FACE, MEDINDO APROXIMADAMENTE 12MM X 30M</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</si>
  <si>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</si>
  <si>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</si>
  <si>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FITA DE BORDA CARVALHO MALVA OU SIMILAR, MEDINDO: 22 MM X 0,45 MM X 20 M.</t>
  </si>
  <si>
    <t>FITA DE BORDA CARVALHO PRATA 35 X 0,45 X 20 M</t>
  </si>
  <si>
    <t>FITA DE BORDA EM PVC TEXTURIZADA, 22MM - ROLO COM 300 MTS</t>
  </si>
  <si>
    <t>FITA DE BORDO EM PVC, COR BRANCA FOSCA, MEDIDAS 35 X 0,45MM, ROLO COM 300 METROS</t>
  </si>
  <si>
    <t>FITA DE TEFLON P/ VEDACAO HIDRAULICA (VEDA ROSCA) - 18 MM X</t>
  </si>
  <si>
    <t>FITA ISOLANTE 19 MM X 10 M DE AUTO FUSAO (ALTA TENSAO) -</t>
  </si>
  <si>
    <t>FITA ISOLANTE 19 MM X 20 M</t>
  </si>
  <si>
    <t>FITA PET VIRGEM (ALTA RESISTENCIA) 16MM X 0,80MM, UTILIZADA EM SELADOR ELETRICO, ROLO COM 20KG  - APROXIMADO. 1180 MTS</t>
  </si>
  <si>
    <t xml:space="preserve">FITA PLASTICA P/ ISOLAMENTO DE TRAFEGO PRETA/AMARELA - ROLO COM 100 M </t>
  </si>
  <si>
    <t>FOLHA DE PORTA - EM IMBUIA - 0,92 X 2,10 M</t>
  </si>
  <si>
    <t>FOLHA DE PORTA DE IMBUIA - MED. 1,02 X 2,10 M</t>
  </si>
  <si>
    <t>FOLHA DE PORTA EM IMBUIA - MED: 0,72 X 2,10 M</t>
  </si>
  <si>
    <t>FOLHA DE PORTA EM IMBUIA - MED: 0,82 X 2,10 M</t>
  </si>
  <si>
    <t>FOLHA DE PORTA TIPO MEXICANA - MED.: 0,92 X 2,10 M</t>
  </si>
  <si>
    <t>GANCHO CURTO PARA PERFILADO</t>
  </si>
  <si>
    <t>GARRAFA TERMICA - 1 LITRO, TAMPA EM FORMATO DE ROSCA</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</si>
  <si>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</si>
  <si>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GIZ DE CORES DIVERSAS, ANTIALERGICO, CAIXA COM 50 UNIDADES</t>
  </si>
  <si>
    <t>GIZAO DE CERA REDONDO, ATOXICO, COM 6 CORES</t>
  </si>
  <si>
    <t>GONZO COM ABAS N. 3 (65MM)</t>
  </si>
  <si>
    <t>GONZO COM CHUMBADOR N. 3 (65MM)</t>
  </si>
  <si>
    <t>GRAMPEADOR GRANDE, TAMANHO 26/6</t>
  </si>
  <si>
    <t>GRAMPO 26/6 P/ GRAMPEADOR CX C/ 5000 UNIDADES</t>
  </si>
  <si>
    <t>GRAMPO ISOLANTE FIX-FIO 1,0 A 2,5 MM2  (TIPO MIGUELAO) - CX</t>
  </si>
  <si>
    <t>GRAMPO P/ PAPEL N°1 TIPO TRANCADO - CX COM 12 UNID</t>
  </si>
  <si>
    <t>GRAMPO TRILHO P/ PASTA 80 MM</t>
  </si>
  <si>
    <t>GRELHA P/RALO EM INOX, 100MM (4")</t>
  </si>
  <si>
    <t>GRELHA REDONDA PARA RALO EM INOX, 6" COM DISPOSITIVO DE VEDACAO PARA INSETO</t>
  </si>
  <si>
    <t>GUARDANAPO DE PAPEL 23 X 22 CM</t>
  </si>
  <si>
    <t>GUARNICAO PARA POLICARBONATO, REFERENCIA "GUA-030", CONFECCIONADA EM EPDM - MEDIDAS: 12,0 X 6,5 X  4,8 X 2,5 MM (VARIACAO: 0,5 MM)</t>
  </si>
  <si>
    <t>GUARNICAO PARA PORTA 0,92 X 2,10 M</t>
  </si>
  <si>
    <t>HASTE DE ATERRAMENTO DE COBRE - 5/8" X 3,00 METROS</t>
  </si>
  <si>
    <t>HASTE GALVANIZADA - 1/4" X 350 MM - P/ FIXACAO DE TELHA DE</t>
  </si>
  <si>
    <t xml:space="preserve">HOLOFOTE RETANGULAR COM BASE E-40 EM ALUMINIO </t>
  </si>
  <si>
    <t>HOLOFOTE RETANGULAR, COM BASE 27 EM ALUMINIO ESTAMPADO MEDINDO 280 X 300 X 160 MM COM GRADE PROTETORA</t>
  </si>
  <si>
    <t>INSETICIDA AEROSOL A BASE DE AGUA FR C/ 300 ML</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</si>
  <si>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</si>
  <si>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</si>
  <si>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INTERRUPTOR 10A X 250V INTERNO C/ 01 TECLA PARALELA COM PLACA 4 X 2.</t>
  </si>
  <si>
    <t>INTERRUPTOR 10A X 250V INTERNO C/ 02 TECLAS C/ PLACA</t>
  </si>
  <si>
    <t>INTERRUPTOR 10A X 250V INTERNO C/ 03 TECLAS PARALELAS C/ PLACA 4 X 2.</t>
  </si>
  <si>
    <t>INTERRUPTOR 10A X 250V INTERNO C/PLACA-  01 TECLA</t>
  </si>
  <si>
    <t>INTERRUPTOR 10A X 250V INTERNO DE 03 TECLAS C/ PLACA</t>
  </si>
  <si>
    <t xml:space="preserve">INTERRUPTOR 10A/250V COM 2 TECLAS PARALELAS </t>
  </si>
  <si>
    <t>INTERRUPTOR DIFERENCIAL RESIDUAL BIPOLAR</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</si>
  <si>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</si>
  <si>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</si>
  <si>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</si>
  <si>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ISOPOR PARA FORRO, COM APLICACAO DE MASSA ACRILICA (IMPERMEAVEL), COR BRANCO, DIMENSAO: 625 X 1250 X 20 MM - VARIACAO: +/- 10 MM</t>
  </si>
  <si>
    <t>JOELHO 45° DE PVC SOLDAVEL PARA AGUA, MARROM, 25 MM</t>
  </si>
  <si>
    <t>JUNCAO INTERNA "I" - 38 X 38 MM</t>
  </si>
  <si>
    <t>JUNCAO INTERNA "L"  38 X 38 MM</t>
  </si>
  <si>
    <t>JUNCAO INTERNA "T" 38 X 38 MM</t>
  </si>
  <si>
    <t>KIT BARRAMENTO</t>
  </si>
  <si>
    <t xml:space="preserve">KIT BARRAMENTO CONTENDO: BARRAMENTO TRIFASICO DE COBRE CHATO ELETROLITICO 250 A  </t>
  </si>
  <si>
    <t>LA DE ACO - EMBALAGEM C/ 08 ESPONJAS.</t>
  </si>
  <si>
    <t>LAMINA DE SERRA EM ACO RAPIDO BI-METAL 1/2" X 12", 18 DPP (DENTES POR POLEGADA), ESPESSURA DE NO MINIMO 0,6 MM</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</si>
  <si>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</si>
  <si>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</si>
  <si>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LAMPADA A VAPOR METALICO TUBULAR 400W, BASE E-40, 220V, MAXIMA TEMPERATURA NA BASE 250ºC, MAXIMA TEMPERATURA NO BULBO 600ºC</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</si>
  <si>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</si>
  <si>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</si>
  <si>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</si>
  <si>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</si>
  <si>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LAMPADA LED TUBULAR T8.</t>
  </si>
  <si>
    <t>LAMPADA LUZ MISTA 250W X 230V- BASE E27</t>
  </si>
  <si>
    <t>LAMPADA LUZ MISTA 250W X 230V- BASE E40</t>
  </si>
  <si>
    <t>LAPIS DE COR AQUARELAVEL, CAIXA COM 12 CORES, TINTAS ATOXICAS, SOLUVEIS EM AGUA. DIMENSAO DA CAIXA: 215MM X 95MM X 13MM (VARIACAO +/- 10MM). PRODUTO COM CERTIFICACAO DO INMETRO</t>
  </si>
  <si>
    <t>LAPIS DE COR JUMBO, MODELO TRIANGULAR, EM 12 CORES.</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</si>
  <si>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</si>
  <si>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PRETO 6B, MEDINDO 175MM (VARIACAO DE +/-10MM) DE COMPRIMENTO.</t>
  </si>
  <si>
    <t>LAPIS PRETO N.2 JUMBO TRIANGULAR, MEDINDO: 175MM (VARIACAO +/- 10MM)</t>
  </si>
  <si>
    <t>LAVATORIO DE LOUCA C/ COLUNA - 52 X 42 CM</t>
  </si>
  <si>
    <t>LAVATORIO SUSPENSO INFANTIL, NA COR BRANCA, MATERIAL EM LOUCA NAS DIMENSOES: 38 X 28 CM (COMPRIMENTO/LARGURA). MEDIDAS PODENDO VARIAR EM + / - 03 CM.</t>
  </si>
  <si>
    <t xml:space="preserve">LEITE EM PO INTEGRAL INSTANTANEO ENRIQUECIDO </t>
  </si>
  <si>
    <t>LENCOL DESCARTAVEL 70 CM X 50 MT</t>
  </si>
  <si>
    <t>LIMPADOR GERAL DE MULTIPLO USO - LIMPEZA INSTANTANEA</t>
  </si>
  <si>
    <t>LINHA DE PEDREIRO - ROLO COM 100 M</t>
  </si>
  <si>
    <t>LIVRO DE ATA, CAPA DURA, COM 100 FOLHAS - MEDIDA: 206 X 300 MM (VARIACAO +/- 6 MM)</t>
  </si>
  <si>
    <t>LIVRO DE ATA, CAPA DURA, COM 50 FOLHAS - MEDIDA: 206 X 300 MM (VARIACAO +/- 6 MM)</t>
  </si>
  <si>
    <t>LIVRO P/ REGISTRO DE CORRESPONDENCIA - 100 FOLHAS - CAPA DURA - MED. 160 X 220 MM</t>
  </si>
  <si>
    <t>LIXA CINTA DE PANO P/ MADEIRA - MEDIDAS: 610 X 75 MM / GRAM</t>
  </si>
  <si>
    <t>LIXA CINTA DE PANO P/ MADEIRA - MEDIDAS: 610 X 75 MM GRAMAT</t>
  </si>
  <si>
    <t>LIXA CINTA DE PANO P/MADEIRA - 6,90M X 15CM - GRAM. 60</t>
  </si>
  <si>
    <t>LIXA D'AGUA EM FOLHA 225 X 275 MM GRAO 100</t>
  </si>
  <si>
    <t>LIXA D'AGUA EM FOLHA 225 X 275 MM GRAO 150</t>
  </si>
  <si>
    <t>LIXA D'AGUA EM FOLHA 225 X 275 MM GRAO 180</t>
  </si>
  <si>
    <t>LIXA D'AGUA EM FOLHA 225 X 275 MM GRAO 220</t>
  </si>
  <si>
    <t>LIXA D'AGUA EM FOLHA 225 X 275 MM GRAO 320</t>
  </si>
  <si>
    <t>LIXA DE PAPEL P/ MADEIRA EM FOLHA DE 225 X 275 MM - N° 120</t>
  </si>
  <si>
    <t>LIXA DE PAPEL P/ MADEIRA EM FOLHA DE 225 X 275 MM - N° 80</t>
  </si>
  <si>
    <t>LIXA DE PAPEL P/ MADEIRA EM FOLHA DE 225 X 275 MM - N°100</t>
  </si>
  <si>
    <t>LIXA P/ FERRO E METAIS EM FOLHA DE 200 X 275 MM - Nº 120</t>
  </si>
  <si>
    <t>LIXA P/ FERRO E METAIS EM FOLHA DE 225 X 275 MM - N.º 220</t>
  </si>
  <si>
    <t>LIXA P/ FERRO E METAIS EM FOLHA DE 225 X 275 MM N° 36</t>
  </si>
  <si>
    <t>LIXA PARA PAREDE - 120</t>
  </si>
  <si>
    <t>LIXA PARA PAREDE - 60</t>
  </si>
  <si>
    <t>LIXA PARA PAREDE Nº 80</t>
  </si>
  <si>
    <t>LIXEIRA COM PEDAL E TAMPA - CAPACIDADE PARA 100 LITROS</t>
  </si>
  <si>
    <t>LIXEIRA COM TAMPA E PEDAL - CAPACIDADE DE 60 LITROS</t>
  </si>
  <si>
    <t>LIXEIRA DE PLASTICO C/ TAMPA E PEDAL  - 30 LITROS</t>
  </si>
  <si>
    <t>LIXEIRA DE PLASTICO COM TAMPA E PEDAL - CAPACIDADE PARA 10 LITROS</t>
  </si>
  <si>
    <t>LONA PLASTICA - 4 X 100M - PRETA</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</si>
  <si>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</si>
  <si>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LUMINARIA FECHADA TIPO CALHA - P/ LAMPADA FLUORESCENTE - 2 X 20 W, CALHA COM SOQUETE DE PRESSAO E SUPORTE PARA FIXACAO TIPO PE DE GALINHA</t>
  </si>
  <si>
    <t>LUMINARIA FECHADA TIPO CALHA P/ LAMPADA FLUORESCENTE 2 X 40</t>
  </si>
  <si>
    <t>LUMINARIA HERMETICA PARA 2 LAMPADAS LED/FLUORESCENTES TUBULARES, SOQUETES T5 E T8 - DIMENSOES (A X L X C): 84 X 106 X 1250 MM (VARIACAO: +/- 10 MM).</t>
  </si>
  <si>
    <t>LUMINARIA TIPO ARANDELA,</t>
  </si>
  <si>
    <t>LUVA DE LATEX - TAMANHO G</t>
  </si>
  <si>
    <t>LUVA DE LATEX - TAMANHO M.</t>
  </si>
  <si>
    <t>LUVA DE LATEX PARA PROCEDIMENTO, TAM. G.</t>
  </si>
  <si>
    <t>LUVA DE LATEX PARA PROCEDIMENTO, TAM. M.</t>
  </si>
  <si>
    <t>LUVA DE PROTECAO CONFECCIONADA EM VAQUETA, REFORCO ENTRE O POLEGAR E O INDICADOR E REFORCO NA PALMA, AJUSTE COM ELASTICO NO DORSO. COMPRIMENTO TOTAL DA LUVA DE NO MINIMO 23 CM.</t>
  </si>
  <si>
    <t>LUVA DE PVC RIGIDO SOLDAVEL DE 1.1/2"</t>
  </si>
  <si>
    <t>LUVA DE PVC RIGIDO SOLDAVEL DE 1.1/4"</t>
  </si>
  <si>
    <t>LUVA DE PVC RIGIDO SOLDAVEL DE 2"</t>
  </si>
  <si>
    <t>LUVA DE PVC RIGIDO SOLDAVEL DE 3/4"</t>
  </si>
  <si>
    <t>LUVA DE PVC SOLDAVEL / ROSQUEAVEL AZUL - 3/4"</t>
  </si>
  <si>
    <t xml:space="preserve">LUVA DE PVC, 1", RIGIDO SOLDAVEL </t>
  </si>
  <si>
    <t>LUVA DE RASPA  - CANO MEDIO</t>
  </si>
  <si>
    <t>LUVA DE REDUCAO DE ESGOTO 2" X 1.1/2</t>
  </si>
  <si>
    <t>LUVA DE REDUCAO EM PVC DE 1.1/2" X 1.1/4"</t>
  </si>
  <si>
    <t>LUVA DE REDUCAO EM PVC RIGIDO - BRANCA - 150 X 100 MM - 6"</t>
  </si>
  <si>
    <t>LUVA DE REDUCAO EM PVC RIGIDO - MARROM - SOLDAVEL - 1.1/2"</t>
  </si>
  <si>
    <t>LUVA DE REDUCAO EM PVC RIGIDO SOLDAVEL DE 2" X 1 1/2"</t>
  </si>
  <si>
    <t>LUVA DE REDUCAO EM PVC RIGIDO SOLDAVEL DE 32 X 25 MM - 1" X</t>
  </si>
  <si>
    <t>LUVA DE SEGURANCA CONFECCIONADA EM LATEX NITRILICO, SEM FORRO, ACABAMENTO CLORINADO PALMA ANTIDERRAPANTE EM ALTO RELEVO, COMPRIMENTO MINIMO DE 330 MM - TAM. G</t>
  </si>
  <si>
    <t>LUVA DE SEGURANCA PARA PROCEDIMENTO NAO CIRURGICO, CONFECCIONADA EM NITRILO (BORRACHA SINTETICA), AMBIDESTRA,  NAO ESTERIL, LIVRE DE PO, PALMA LISA E DEDOS TEXTURIZADOS. CAIXA COM 100 UNIDADES. TAM G</t>
  </si>
  <si>
    <t>LUVA DESLIZANTE EM PVC COM ANEL - MARROM - 1 1/2"</t>
  </si>
  <si>
    <t>LUVA DESLIZANTE EM PVC COM ANEL - MARROM - 3/4"</t>
  </si>
  <si>
    <t>LUVA EM ACO CARBONO GALVANIZADO P/ ELETRODUTO 2" - ROSQUEAV</t>
  </si>
  <si>
    <t>LUVA PIGMENTADA - LUVA DE PROTECAO CONFECCIONADA EM FIBRAS NATURAIS E/OU FIBRAS SINTETICAS, PIGMENTOS ANTIDERRAPANTES DE PVC NA PALMA E FACE PALMAR DOS DEDOS. TAM 10</t>
  </si>
  <si>
    <t>MACANETA ALAVANCA CROMADA P/ PORTA DE MADEIRA</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</si>
  <si>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</si>
  <si>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MANGUEIRA EM PVC TRANCADA, REFORCADA, CRISTAL , ROLO DE 50 M, 1/2 X 1,5 MM, CAMADA INTERNA E EXTERNA EM PVC E CAMADA INTERMEDIARIA DE FIO POLIESTER TRANCADO, COM TERMINAL DE FERRO 3/4" E BICO REGULAVEL DE PRESSAO EM FERRO</t>
  </si>
  <si>
    <t>MANTA ASFALTICA, AUTO ADESIVA - MEDIDAS: 10CM DE LARGURA X 10 M DE COMPRIMENTO</t>
  </si>
  <si>
    <t xml:space="preserve">MARGARINA VEGETAL COM SAL - LIPIDEOS TOTAIS: MINIMO 75% E MAXIMO 85% </t>
  </si>
  <si>
    <t xml:space="preserve">MASCARA MOD DOBRAVEL </t>
  </si>
  <si>
    <t>MASSA PARA CALAFETAR A BASE DE POLIBUTENO EM FILETES - CAIX</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</si>
  <si>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</si>
  <si>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MASSA PLASTICA A BASE DE RECURSOS POLIESTERES - LATA C/ 700 GR</t>
  </si>
  <si>
    <t>MINIDICIONARIO DE LINGUA PORTUGUESA - COM MAIS DE 30 MIL VERBETES, COM DIVISAO SILABICA, ATUALIZADO COM A NOVA ORTOGRAFIA, ORIGEM NACIONAL - ACABAMENTO BROCHURA.</t>
  </si>
  <si>
    <t>MODULO DE EXPANSAO DE 8 ZONAS COM FIO + 2 SAIDAS DE RELES PROGRAMAVEIS DISPONIVEIS PARA CONTROLE DE LUZES, PORTAS, FECHADURAS E PORTOES (COMPATIVEIS COM CENTRAIS ADEMCO VISTA 48 LA.MODELO: 4229)</t>
  </si>
  <si>
    <t>NIPLE DUPLO DE REDUCAO ROSQUEAVEL 3/4 X 1/2 EM LATAO</t>
  </si>
  <si>
    <t>OCULOS DE SEGURANCA CONTRA IMPACTOS- OCULOS DE SEGURANCA, CONSTITUIDOS DE ARMACAO E VISOR EM UMA UNICA PECA DE POLICARBONATO INCOLOR, COM APOIO NASAL. AS HASTES CONFECCIONADAS EM MATERIAL PLASTICO OU DO MESMO MATERIAL DO VISOR.</t>
  </si>
  <si>
    <t>OLEO DESENGRIPANTE - 300 ML</t>
  </si>
  <si>
    <t>OLEO LUBRIFICANTE PARA MOTORES 2 TEMPOS, PROPORCAO DE MISTURA DE NO MINIMO 1:50, FRASCO COM 500 ML. DEVERA ESTAR GRAVADO NA EMBALAGEM A PROPORCAO DE DILUICAO DO PRODUTO</t>
  </si>
  <si>
    <t>OLEO SOLUVEL BIODEGRADAVEL PARA CORTE DE METAIS - GALAO DE 5 LITROS</t>
  </si>
  <si>
    <t>PA DE LIXO, CORPO EM POLIPROPILENO, CABO LONGO</t>
  </si>
  <si>
    <t xml:space="preserve">PALHA DE ACO Nº 01 - PACOTE COM 25  A 30 GRAMAS  </t>
  </si>
  <si>
    <t>PANO DE CHAO, MEDIDAS: 45 X 75 CM (VARIACAO +/- 5 CM), 100% ALGODAO, ALVEJADO, PESO MINIMO DE 130 GRAMAS.</t>
  </si>
  <si>
    <t>PANO DE FLANELA 30 X 60CM - BRANCA</t>
  </si>
  <si>
    <t>PANO P/ COPA ATOALHADO</t>
  </si>
  <si>
    <t xml:space="preserve">PAPEL ADESIVO P/ ENCADERNACAO (TIPO CONTACT) - 0,50 M DE LARGURA (VARIACAO +/- 0,05M) - TRANSPARENTE - ROLO COM 25 M </t>
  </si>
  <si>
    <t>PAPEL CAMURCA - 60 X 40 - ROSA - AS MEDIDAS PODERAO VARIAR +/- 5 CM</t>
  </si>
  <si>
    <t>PAPEL CAMURCA - 60 X 40 CM - AZUL CLARO</t>
  </si>
  <si>
    <t>PAPEL CAMURCA - 60 X 40 CM - BRANCO</t>
  </si>
  <si>
    <t>PAPEL CAMURCA - 60 X 40 CM - MARROM</t>
  </si>
  <si>
    <t>PAPEL CAMURCA - 60 X 40 CM - PRETO</t>
  </si>
  <si>
    <t>PAPEL CAMURCA - 60 X 40 CM - VERMELHO</t>
  </si>
  <si>
    <t>PAPEL CAMURCA - 60 X 40CM - AMARELO</t>
  </si>
  <si>
    <t>PAPEL CARTAO - 50 X 70 CM - AMARELO (MEDIDAS PODERAO VARIAR +/- 5CM)</t>
  </si>
  <si>
    <t>PAPEL CARTAO - 50 X 70 CM - AZUL ESCURO (MEDIDAS PODERAO VARIAR +/- 5CM)</t>
  </si>
  <si>
    <t>PAPEL CARTAO - 50 X 70 CM - LARANJA (MEDIDAS PODERAO VARIAR +/- 5CM)</t>
  </si>
  <si>
    <t>PAPEL CARTAO - 50 X 70 CM - VERDE ESCURO (MEDIDAS PODERAO VARIAR +/- 5CM)</t>
  </si>
  <si>
    <t>PAPEL CARTAO - 50 X 70 CM - VERMELHO (MEDIDAS PODERAO VARIAR +/- 5CM)</t>
  </si>
  <si>
    <t>PAPEL CELOFANE - 90 X 100 CM - AMARELO</t>
  </si>
  <si>
    <t>PAPEL CELOFANE - 90 X 100 CM - AZUL</t>
  </si>
  <si>
    <t>PAPEL CELOFANE - 90 X 100 CM - VERDE</t>
  </si>
  <si>
    <t>PAPEL CELOFANE - 90 X 100 CM - VERMELHO</t>
  </si>
  <si>
    <t>PAPEL CREPOM - RL C/ 48 X 200 CM - AMARELO OURO</t>
  </si>
  <si>
    <t>PAPEL CREPOM - RL C/ 48 X 200 CM - AZUL ESCURO</t>
  </si>
  <si>
    <t>PAPEL CREPOM - RL C/ 48 X 200 CM - LARANJA</t>
  </si>
  <si>
    <t>PAPEL CREPOM - RL C/ 48 X 200 CM - ROSA</t>
  </si>
  <si>
    <t>PAPEL CREPOM - RL C/ 48 X 200 CM - VERDE ESCURO</t>
  </si>
  <si>
    <t>PAPEL CREPOM - RL C/ 48 X 200 CM - VERMELHO</t>
  </si>
  <si>
    <t>PAPEL CRIATIVO FLUORESCENTE, TIPO LUMIPAPER, 5 CORES</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</si>
  <si>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</si>
  <si>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</si>
  <si>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</si>
  <si>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</si>
  <si>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</si>
  <si>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</si>
  <si>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- 65 X 50 CM - ROSA</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</si>
  <si>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</si>
  <si>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</si>
  <si>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</si>
  <si>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</si>
  <si>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</si>
  <si>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PAPEL HIGIENICO 30 M X 10 CM, CLASSE 01, FOLHA DUPLA, GOFRADO, COR BRANCA, NEUTRO, MATERIA PRIMA 100% FIBRAS NATURAIS</t>
  </si>
  <si>
    <t>PAPEL HIGIENICO BRANCO, ROLO COM 300 METROS, FOLHA SIMPLES, MASSA UNIFORME, SEM CONTER FUROS, EXTRA LUXO, FIBRA 100% CELULOSICAS, ROLO MEDINDO 10 CM X 300 M. EMBALADOS EM FARDOS COM PLASTICO RESISTENTE CONTENDO 8 ROLOS</t>
  </si>
  <si>
    <t>PAPEL KRAFT 80G/M2 - 66 CM X 96 CM (PAPEL PARDO)</t>
  </si>
  <si>
    <t>PAPEL KRAFT MONOLUCIDO EM BOBINA, COR PARDA, MEDIDAS MINIMAS: 55 CM X 130 M, GRAMATURA MINIMA: 80G/M², PESO MINIMO DA BOBINA: 5,7 KG. PRODUZIDO EM FIBRAS CELULOSICAS VIRGENS NATURAIS, PURO, LISO, SEM APARAS.</t>
  </si>
  <si>
    <t>PAPEL LAMINADO - 50 X 60 CM - AZUL</t>
  </si>
  <si>
    <t>PAPEL LAMINADO - 50 X 60 CM - DOURADO - AS MEDIDAS PODERAO VARIAR +/- 5 CM</t>
  </si>
  <si>
    <t>PAPEL LAMINADO - 50 X 60 CM - PRATA</t>
  </si>
  <si>
    <t>PAPEL LAMINADO - 50 X 60 CM - VERDE</t>
  </si>
  <si>
    <t>PAPEL LAMINADO - 50 X 60 CM - VERMELHO</t>
  </si>
  <si>
    <t>PAPEL MANILHA EM BOBINA, COR ROSA - 60 CM X 250 M (VARIACAO: DE +/- 5 CM NA LARGURA E 10 M NO COMPRIMENTO), 55G/M2 (+/- 05G) - BOBINA COM PESO MINIMO DE 8 KG</t>
  </si>
  <si>
    <t>PAPEL MONOLUCIDO - 120 G/M2 660 X 960 MM  - PACOTE C/ 250</t>
  </si>
  <si>
    <t>PAPEL P/ REPROGRAFIA - 210 X 297 MM - A4 - GRAMATURA 75</t>
  </si>
  <si>
    <t>PAPEL P/ REPROGRAFIA 210 X 297 MM - AMARELO GR 75GR</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</si>
  <si>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</si>
  <si>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PAPEL SULFITE - 66 X 96 CM  120 G/M2 - BRANCO</t>
  </si>
  <si>
    <t>PAPEL SULFITE A4, 210 X 297, 75G, NA COR AZUL - PACOTE COM 500 FOLHAS</t>
  </si>
  <si>
    <t>PAPEL SULFITE A4, 210 X 297, 75G, NA COR ROSA - PACOTE COM 500 FOLHAS</t>
  </si>
  <si>
    <t>PAPEL SULFITE COATED HP 914 MM X 45 M GRAMATURA 90G/M² PARA PLOTER, HP DESIGNJET SERIE 4000</t>
  </si>
  <si>
    <t>PAPEL SULFITE, GRAMATURA 75G/M2, FORMATO A3, MEDINDO (297X420)MM, COR BRANCA</t>
  </si>
  <si>
    <t>PARAFUSO  ZINCO AMARELO, CABECA CHATA - PH 4,0 X 50 - CAIXA COM 500 UNIDADES</t>
  </si>
  <si>
    <t>PARAFUSO (FIXER) BICROMATIZADO.</t>
  </si>
  <si>
    <t>PARAFUSO AUTOBROCANTE, 1/4" X 1", COM CABECA SEXTAVADA FLANGEADA E ARRUELA DE EPDM - CAIXA COM 500 UNIDADES</t>
  </si>
  <si>
    <t>PARAFUSO CABECA FRANCESA 3/16 X 2" COM ARRUELA E PORCA</t>
  </si>
  <si>
    <t>PARAFUSO CABECA REDONDA P/ FIXACAO DE VASO SANITARIO - 4,5</t>
  </si>
  <si>
    <t>PARAFUSO DE ZINCO AMARELO, CABECA CHATA PH 6,0 X 40</t>
  </si>
  <si>
    <t xml:space="preserve">PARAFUSO DE ZINCO AMARELO, CABECA CHATA PH 6,0 X 50 </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</si>
  <si>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</si>
  <si>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</si>
  <si>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</si>
  <si>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</si>
  <si>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</si>
  <si>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</si>
  <si>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PARAFUSO GALVANIZADO P/ FIXACAO DE TELHAS MODULADAS - 8 X 1</t>
  </si>
  <si>
    <t>PARAFUSO MAQUINA CABECA REDONDA 3/8" X 3/4"</t>
  </si>
  <si>
    <t>PARAFUSO SEXTAVADO - 1/2" X 3.1/2" - COM PORCA</t>
  </si>
  <si>
    <t>PARAFUSO ZINCO AMARELO, CABECA CHATA PH  6,0 X 70 - CAIXA COM  100 UNIDADES</t>
  </si>
  <si>
    <t>PARAFUSO ZINCO AMARELO, CABECA CHATA PH 4,0 X 25 - CAIXA COM 500 UNIDADES</t>
  </si>
  <si>
    <t>PARAFUSO ZINCO AMARELO, CABECA CHATA PH 4,0 X 30 - CAIXA COM 500 UNIDADES</t>
  </si>
  <si>
    <t>PARAFUSO ZINCO AMARELO, CABECA CHATA PH 4,5 X 40 - CAIXA COM 500 UNIDADES</t>
  </si>
  <si>
    <t>PASTA DE CARTOLINA PLASTIFICADA MOD. C/ FERRAGEM - PRETA -</t>
  </si>
  <si>
    <t>PASTA EM PLASTICO PP CORRUGADO, COM ABAS E ELASTICO REVESTIDO DE TECIDO COM TERMINAIS DE PLASTICO MEDINDO 180MM X 245MM X 20MM</t>
  </si>
  <si>
    <t xml:space="preserve">PASTA MOLHA DEDO </t>
  </si>
  <si>
    <t>PASTA PARA LIMPEZA DE ALUMINIO, POTE COM 500 GRAMAS</t>
  </si>
  <si>
    <t xml:space="preserve">PASTA PLASTICA COM ELASTICO, SEM LOMBADA, MEDINDO 235 MM X 335 MM (VARIACAO DE +/- 2 MM). ATOXICA. ELASTICO DE BORRACHA REVESTIDO COM TECIDO TRANSPASSADO E TERMINAL PLASTICO, DE BOA QUALIDADE. COR: TRANSPARENTE/ CRISTAL. </t>
  </si>
  <si>
    <t>PASTILHA CERAMICA, COR AMARELO CANARIO, MEDINDO 10 X 10 CM.</t>
  </si>
  <si>
    <t>PASTILHA CERAMICA, COR AZUL ROYAL, MEDINDO 10 X 10 CM.</t>
  </si>
  <si>
    <t>PASTILHA CERAMICA, COR BRANCA, MEDINDO 10 X 10 CM.</t>
  </si>
  <si>
    <t>PASTILHA CERAMICA, COR VERDE AGUA, MEDINDO 10 X 10 CM.</t>
  </si>
  <si>
    <t>PE CONICO EM FERRO CROMADO DE 15 CM</t>
  </si>
  <si>
    <t>PERFIL CADEIRA CHAPA DOBRADA 30 MM X 25 MM - BARRA COM 03 METROS</t>
  </si>
  <si>
    <t>PERFIL CADEIRA DE FERRO, COM 30 CM DE LARGURA X 2,5 DE ALTURA - BARRA COM 3 METROS</t>
  </si>
  <si>
    <t>PERFIL CADEIRA DE FERRO, MEDINDO 50 MM X 25 MM, BARRA COM 3 METROS.</t>
  </si>
  <si>
    <t>PERFIL GUIA INFERIOR - MEDIDAS: 100 CM DE LARGURA TOTAL X 2,5 CM DE ALTURA, CHAPA 16 - BARRA COM 3 METROS</t>
  </si>
  <si>
    <t>PERFIL GUIA SUPERIOR 0,50 M DE ALTURA X 0,50 M DE LARGURA DE CIMA X 0,25 M DE LARGURA DE BAIXO X 0,8 DE BERAL, CHAPA 16 - BARRA COM 3 METROS</t>
  </si>
  <si>
    <t>PERFIL RODAFORRO PVC BRANCO LISO, BARRA COM 6 MT</t>
  </si>
  <si>
    <t>PERFIL TAMPA GUIA SUPERIOR 0,50 M DE LARGURA COM UMA DOBRA DE 0,10 MM, CHAPA 16 - BARRA COM 3 METROS</t>
  </si>
  <si>
    <t>PERFIL TEE, CHAPA DOBRADA, 25 MM X 25 MM - BARRA COM 03 METROS</t>
  </si>
  <si>
    <t>PERFIL TIPO EMENDA PVC BRANCO LISO, BARRA COM 6 MT</t>
  </si>
  <si>
    <t>PERFURADOR P/ PAPEL - 2 FUROS - MEDIO</t>
  </si>
  <si>
    <t>PERNEIRA DE SEGURANCA CONFECCIONADA EM RASPA, FECHAMENTO EM VELCRO. OBJETIVO: PROTECAO DAS PERNAS DO USUARIO CONTRA AGENTES ABRASIVOS, ESCORIANTES E TERMICOS PROVENIENTES DE OPERACOES DE SOLDAGEM E PROCESSOS SIMILARES.</t>
  </si>
  <si>
    <t>PIA DE ACO INOX COM 01 CUBA, MEDINDO 1,50 M DE COMP. E LARGURA MINIMA DE 53 CM</t>
  </si>
  <si>
    <t>PIA DE ACO INOX COM 02 CUBAS, MEDINDO 2,00 M DE COMP. E LARGURA MINIMA DE 53 CM</t>
  </si>
  <si>
    <t>PIA DE ACO INOX, 1 CUBA - 2,00 X 0,53M</t>
  </si>
  <si>
    <t>PILHA PALITO AAA - ALCALINA</t>
  </si>
  <si>
    <t>PINCEL ATOMICO PONTA RETANGULAR 5 X 8 MM, CHANFRADA - COR PRETA</t>
  </si>
  <si>
    <t>PINCEL ATOMICO PONTA RETANGULAR, COR VERMELHA</t>
  </si>
  <si>
    <t xml:space="preserve">PINCEL PARA PINTURA, CABO EM MADEIRA CURTO, FORMATO BROXA REDONDO, CERDA GRIS, TAMANHO 4. </t>
  </si>
  <si>
    <t xml:space="preserve">PINCEL PARA PINTURA, CABO EM MADEIRA CURTO, FORMATO CHATO, CERDA BRANCA, TAMANHO 12. </t>
  </si>
  <si>
    <t xml:space="preserve">PINCEL PARA PINTURA, CABO EM MADEIRA CURTO, FORMATO CHATO, CERDA BRANCA, TAMANHO 16. </t>
  </si>
  <si>
    <t>PINCEL PARA PINTURA, CABO EM MADEIRA CURTO, FORMATO CHATO, CERDA BRANCA, TAMANHO 20</t>
  </si>
  <si>
    <t xml:space="preserve">PINCEL PARA PINTURA, CABO EM MADEIRA LONGO, FORMATO CHATO, CERDA BRANCA, TAMANHO 24. </t>
  </si>
  <si>
    <t>PINO F25 - CAIXA COM 5.000 PINOS</t>
  </si>
  <si>
    <t>PINO F30 - CAIXA COM 5.000 PINOS</t>
  </si>
  <si>
    <t>PINO P/ TORNEIRA - 1/2"</t>
  </si>
  <si>
    <t>PINO P/TORNEIRA DE 3/4"</t>
  </si>
  <si>
    <t>PISO DE BORRACHA MODELO I, COR AZUL, ISENTO DE SUBSTANCIAS TOXICAS COM ABSORCAO DE IMPACTOS ANTI DERRAPANTES, NA MEDIDA 335 X255 X20 MM</t>
  </si>
  <si>
    <t>PISO DE BORRACHA MODELO I, COR: AMARELO, NA MEDIDA 335 X 255 X 20 MM.</t>
  </si>
  <si>
    <t>PISO DE CONCRETO, TIPO INTERTRAVADO RETANGULAR, COR NATURAL, DIMENSOES: 200 X 100MM, ESPESSURA: 60MM, RESISTENCIA DE 35MPA</t>
  </si>
  <si>
    <t>PISO HIDRAULICO, ANTIDERRAPANTE</t>
  </si>
  <si>
    <t>PISO HIDRAULICO, ANTIDERRAPANTE, COR CINZA.</t>
  </si>
  <si>
    <t>PLASTICO BOLHA - MEDIDA 1,20 M LARGURA</t>
  </si>
  <si>
    <t>PLASTICO OLEADO, TIPO FLANELADO - NAS CORES AZUL CLARO E BR</t>
  </si>
  <si>
    <t>PLUG EM PVC RIGIDO ROSCAVEL DE 1/2"</t>
  </si>
  <si>
    <t>PLUG EM PVC RIGIDO ROSCAVEL DE 3/4"</t>
  </si>
  <si>
    <t>PLUG MOVEL 2P + T 90° PADRAO NBR 14136 DE 10A/250V GIGANTE</t>
  </si>
  <si>
    <t>PLUG MOVEL 2P + T 90° PADRAO NBR 14136 DE 20A/250V GIGANTE</t>
  </si>
  <si>
    <t>PNEU 325 X 8 COM 02 LONAS - PARA CARRINHO DE MAO, TIPO PERU</t>
  </si>
  <si>
    <t>PONTALETE DE CEDRINHO 3" X 3" - COM 03 METROS DE COMPRIMENT</t>
  </si>
  <si>
    <t>PONTEIRA BIT PH2 DUPLA, IMANTADA, COMPRIMENTO DE 110 MM, EM ACO CROMO VANADIO</t>
  </si>
  <si>
    <t>PONTEIRA DE BORRACHA - DIAMETRO INTERNO 7/8"</t>
  </si>
  <si>
    <t>PONTEIRA PLASTICA INTERNA NA COR PRETA PARA TUBO QUADRADO DE 1"</t>
  </si>
  <si>
    <t>PONTEIRA PLASTICA NA COR PRETA PARA TUBO RETANGULAR 20 MM X 40 MM</t>
  </si>
  <si>
    <t>PORTA CADEADO DE FERRO ZINCADO 2"</t>
  </si>
  <si>
    <t>PORTA CADEADO DE FERRO ZINCADO DE 3 1/2"</t>
  </si>
  <si>
    <t>PORTA ELETRODO DE 500 AMPERES</t>
  </si>
  <si>
    <t>PORTA GRELHA REDONDA, EM PVC, 100MM (4"), ALTURA MINIMA DE 20 MM</t>
  </si>
  <si>
    <t>PREGO COMUM DE CABECA CHATA - 12 X 12</t>
  </si>
  <si>
    <t>PREGO COMUM DE CABECA CHATA - 22 X 48</t>
  </si>
  <si>
    <t>PREGO DE ACO C/ CABECA - 12 X 12</t>
  </si>
  <si>
    <t>PREGO DE ACO C/ CABECA - 15 X 15</t>
  </si>
  <si>
    <t>PRIMER ANTICORROSIVO, SECAGEM RAPIDA, COR CINZA, GL C/ 3,6ML</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</si>
  <si>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</si>
  <si>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</si>
  <si>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DE CABELO TIPO REDE EM NYLON PRETA</t>
  </si>
  <si>
    <t>PROTETOR FACIAL INCOLOR TIPO BOLHA</t>
  </si>
  <si>
    <t>PROTETOR REDE ELETRICA - PROTECAO CONTRA DESCARGAS ELETRICAS, COMPOSICAO VARISTORES E CENTELHADOR DE GAS, BORNE PARA CONEXAO FIO TERRA, BIVOLT, MONOFASICO 110V OU 220V.</t>
  </si>
  <si>
    <t>PROTETOR SOLAR FPS 30 - LOCAO CREMOSA, COM REPELENTE DE INSETOS (PERNILONGOS, CARAPANAS, BORRACHUDOS, MOSQUITOS, MURICOCAS E OUTROS TIPOS)</t>
  </si>
  <si>
    <t>PUXADOR EXTERNO PARA ARMARIO, COM 2 PARAFUSOS - TIPO ALCA - MEDIDA: 14,5 CM X 2,5 CM</t>
  </si>
  <si>
    <t>PUXADOR PARA MOVEL EM ABS, BOLA GRANDE, COM PARAFUSO 3,50 X 30 MM, CABECA FLANGE, COR:</t>
  </si>
  <si>
    <t>QUADRO DE DISTRIBUICAO DE EMBUTIR PARA 56 DISJUNTORES</t>
  </si>
  <si>
    <t>QUADRO DE DISTRIBUICAO DE SOBREPOR TRIFASICO 225 AMPERES PARA 70 DISJUNTORES TIPO DIN</t>
  </si>
  <si>
    <t>QUADRO DE DISTRIBUICAO PARA 36 DISJUNTORES TIPO DIN DE PVC, DE EMBUTIR</t>
  </si>
  <si>
    <t>RALO SIFONADO EM PVC DE 100 X 40 MM (1 1/2")</t>
  </si>
  <si>
    <t>REATOR CHOQUE, EXTERNO, TIPO CANECO ALTO FATOR DE POTENCIA 250 W X 220 V PARA LAMPADAS A VAPOR SODIO DE 4,5 HS X 220 V</t>
  </si>
  <si>
    <t>REATOR DE PARTIDA RAPIDA ELETRONICO - 2 X 20W  - 110/220V</t>
  </si>
  <si>
    <t>REATOR ELETROMAGNETICO DE ALTA PRESSAO PARA LAMPADA A VAPOR DE SODIO E METALICA, 250W, 220V/60HZ, USO INTERNO</t>
  </si>
  <si>
    <t>REATOR INTERNO A VAPOR METALICO - 70W, 220 V</t>
  </si>
  <si>
    <t>REATOR PARA LAMPADA DE VAPOR METALICO</t>
  </si>
  <si>
    <t>REBITE DE REPUCHO EM ALUMINIO C/ MANDRIL DE ACO 4 X 12 MM</t>
  </si>
  <si>
    <t>REBITE DE REPUCHO EM ALUMINIO C/ MANDRIL DE ACO 4 X 16 MM</t>
  </si>
  <si>
    <t>REBITE DE REPUCHO EM ALUMINIO C/ MANDRIL DE ACO 4,76 X 25MM</t>
  </si>
  <si>
    <t>REBITE DE REPUCHO EM ALUMINIO C/ MANDRIL DE ACO 6 X 25 MM</t>
  </si>
  <si>
    <t>REBITE DE REPUCHO EM ALUMINIO C/ MANDRIL DE ACO 6 X 30 MM</t>
  </si>
  <si>
    <t>REFIL DE BORRACHA PARA RODO DE ALUMINIO DE 40 CM</t>
  </si>
  <si>
    <t>REFIL DE BORRACHA PARA RODO DE ALUMINIO DE 60 CM</t>
  </si>
  <si>
    <t>REGISTRO DE GAVETA EM LIGA DE COBRE - 1" - S/ CANOPLA</t>
  </si>
  <si>
    <t>REGISTRO DE GAVETA EM LIGA DE COBRE DE 1.1/2" C/ CANOPLA</t>
  </si>
  <si>
    <t>REGISTRO DE GAVETA EM LIGA DE COBRE DE 1.1/2"- S/ CANOPLA</t>
  </si>
  <si>
    <t>REGISTRO DE GAVETA EM LIGA DE COBRE DE 1.1/4 - S/ CANOPLA</t>
  </si>
  <si>
    <t>REGISTRO DE GAVETA EM LIGA DE COBRE DE 3/4" S/ CANOPLA</t>
  </si>
  <si>
    <t>REGISTRO DE PRESSAO 3/4" COM CANOPLA</t>
  </si>
  <si>
    <t>REGISTRO TIPO ESFERA, MATERIAL PVC, DIAMETRO 3/4"</t>
  </si>
  <si>
    <t>REGUA DE 30 CM EM POLIESTIRENO. COR: TRANSPARENTE, CRISTAL.</t>
  </si>
  <si>
    <t>REJUNTE CINZA CLARO - SC C/ 01 KG</t>
  </si>
  <si>
    <t>RELE FOTOELETRICO COM BASE 220 V - 1000 W - TIPO NF</t>
  </si>
  <si>
    <t>RELE TERMICO 12 A 18A LRD21 ( SCH )</t>
  </si>
  <si>
    <t>RELE TERMICO 5.5 A 8A LRD12 ( SCH )</t>
  </si>
  <si>
    <t>RELE TERMICO 7 A 10A LRD14 ( SCH )</t>
  </si>
  <si>
    <t>REPARO ACIONADOR PARA VALVULA DE DESCARGA HYDRA LUXO - REF. 4336004</t>
  </si>
  <si>
    <t>REPARO COMPLETO UNIVERSAL PARA DESCARGA -  CAIXA  ACOPLADA</t>
  </si>
  <si>
    <t>REPARO P/ VALVULA DE DESCARGA - MARCA HYDRA-MAX</t>
  </si>
  <si>
    <t>REPARO P/ VALVULA DE DESCARGA - MARCA LORENZETTI - P-20</t>
  </si>
  <si>
    <t>REPARO P/ VALVULA DE DESCARGA - MARCA LORENZETTI - P-21</t>
  </si>
  <si>
    <t>REPARO P/ VALVULA DE DESCARGA - MARCA LORENZETTI - P-41</t>
  </si>
  <si>
    <t>REPARO P/ VALVULA DE DESCARGA 1 1/2" (MARCA DOCOL)</t>
  </si>
  <si>
    <t>REPARO P/ VALVULA DE DESCARGA 1 1/4" (MARCA DOCOL)</t>
  </si>
  <si>
    <t>REPARO PARA VALVULA HYDRA LUXO - REF. 4686924</t>
  </si>
  <si>
    <t xml:space="preserve">RESPIRADOR PURIFICADOR DE AR TIPO PECA SEMIFACIAL FILTRANTE PARA PARTICULAS PFF2, COM VALVULA DE EXALACAO, TIRANTES ELASTICOS FIXADOS AO EQUIPAMENTO E MOLDADOR NASAL. </t>
  </si>
  <si>
    <t>RESPIRADOR SEMI-FACIAL, COM ENCAIXE TIPO ROSCA PARA 02 CARTUCHOS DE FILTROS</t>
  </si>
  <si>
    <t>RODIZIO GIRATORIO DE 2" - P/CARRINHO COM PLACA</t>
  </si>
  <si>
    <t>RODO DE ALUMINIO DE 40 CM C/ CABO DE ALUMINIO MED. 1,30 M - BORRACHA UNICA E SUBSTITUIVEL (VARIACAO +/-05 CM DO CABO)</t>
  </si>
  <si>
    <t>RODO DE ALUMINIO DE 60 CM C/ CABO DE ALUMINIO MEDINDO APROXIMADAMENTE 1,30 M  - BORRACHA UNICA E SUBSTITUIVEL</t>
  </si>
  <si>
    <t>ROLAMENTO - 6201 ZZ</t>
  </si>
  <si>
    <t>ROLAMENTO - 6202 - ZZ</t>
  </si>
  <si>
    <t>ROLAMENTO - 6203 - ZZ</t>
  </si>
  <si>
    <t>ROLAMENTO 6000 - 2 RS</t>
  </si>
  <si>
    <t xml:space="preserve">ROLAMENTO 6300 - ZZ </t>
  </si>
  <si>
    <t>ROLAMENTO 6301 - ZZ</t>
  </si>
  <si>
    <t>ROLAMENTO 6302 - ZZ</t>
  </si>
  <si>
    <t>ROLDANA 2.1/2" COM CAIXA EM "V"</t>
  </si>
  <si>
    <t>ROLDANA PLASTICA P/ FIXACAO DE FIOS ELETRICOS - 24 X 24 - C</t>
  </si>
  <si>
    <t>ROLDANA PLASTICA P/ FIXACAO DE FIOS ELETRICOS - 30 X 30 - C</t>
  </si>
  <si>
    <t>ROLO DE ESPUMA P/ PINTURA - 15 CM C/ CABO</t>
  </si>
  <si>
    <t>ROLO DE ESPUMA PARA PINTURA - 4 CM</t>
  </si>
  <si>
    <t>ROLO DE LA DE CARNEIRO P/ PINTURA - 23 CM C/ CABO</t>
  </si>
  <si>
    <t>ROLO DE LA DE CARNEIRO P/ PINTURA - 9 CM C/ CABO</t>
  </si>
  <si>
    <t>SABAO DESENGRAXANTE, INDICADO PARA DESENGORDURAR E DESENGRAXAR, COM COMPONENTES ABRASIVOS PARA FACILITAR A LIMPEZA - POTE COM 1 KG.</t>
  </si>
  <si>
    <t>SABAO EM PO - EMBALAGEM C/ 01 KG</t>
  </si>
  <si>
    <t>SABONETE LIQUIDO PEROLADO, FRASCO COM 1 LITRO</t>
  </si>
  <si>
    <t>SACO PLASTICO - GROSSO - 4 FUROS - TAMANHO OFICIO</t>
  </si>
  <si>
    <t>SACO PLASTICO P/ LIXO - 15 L, COR PRETA.</t>
  </si>
  <si>
    <t>SACO PLASTICO P/ LIXO - 50 L - 63 X 80 CM X 0,12 MM OU 120 MICRAS DE ESPESSURA (0,06 MM POR PAREDE)</t>
  </si>
  <si>
    <t>SACO PLASTICO P/ LIXO  CAP. 100 LITROS, COR PRETA - 75 X 105 CM X 0,14 MM OU 140 MICRAS DE ESPESSURA (0,07 MM POR PAREDE)</t>
  </si>
  <si>
    <t>SACO PLASTICO TRANSPARENTE, MEDINDO 15 X 30 CM - PACOTE COM 05 KG - AS MEDIDAS PODERAO VARIAR +/- 2 CM</t>
  </si>
  <si>
    <t>SACOLA PLASTICA P/ EMBALAGEM  - LEITOSA - 40 X 50 CM - ALÇA CAMISETA</t>
  </si>
  <si>
    <t>SAPATA INTERNA 38 X 38 MM</t>
  </si>
  <si>
    <t>SAPATA LATERAL 16 MM</t>
  </si>
  <si>
    <t>SAPATA REGULAVEL PARA MOVEIS, COM BUCHA 1/4 X 25 MM</t>
  </si>
  <si>
    <t>SAPATILHA DESCARTAVEL (TIPO PRO PE) DE COR BRANCA, CONFECCIONADA EM TECIDO NAO TECIDO, 30 G DE GRAMATURA, COM ELASTICO A VOLTA, CONTENDO NA EMBALAGEM DADOS DE IDENTIFICACAO E PROCEDENCIA</t>
  </si>
  <si>
    <t>SAPATO DE COURO N° 38, MOD. FEMININO.</t>
  </si>
  <si>
    <t>SAPATO DE SEGURANCA N° 37,  MOD. FEMININO.</t>
  </si>
  <si>
    <t>SELADORA PARA MADEIRA GALAO DE 3,6 LITROS</t>
  </si>
  <si>
    <t>SIFAO SANFONADO UNIVERSAL</t>
  </si>
  <si>
    <t>SILICONE PARA VEDACAO - TUBO COM NO MINIMO 280G</t>
  </si>
  <si>
    <t>SOQUETE DE PORCELANA E-27 P/ LAMPADA INCANDESCENTE</t>
  </si>
  <si>
    <t>SOQUETE PARA BASE G13</t>
  </si>
  <si>
    <t>SUPORTE TUBINHO BRANCO, COM PARAFUSO (APOIO DE PRATELEIRA) - EMBALAGEM COM 100 UNIDADES</t>
  </si>
  <si>
    <t>SUSPENSOR P/CABO DE ACO (P/PERFILADO)</t>
  </si>
  <si>
    <t>TABUA DE CAMBARA DE 1ª, 25 X 300 MM, BRUTA</t>
  </si>
  <si>
    <t>TAMPA CEGA DE ALUMINIO PARA CONDULETE DE 1.1/2"</t>
  </si>
  <si>
    <t xml:space="preserve">TAMPA P/ CONDULETE DE PVC 3/4" CEGA </t>
  </si>
  <si>
    <t>TAMPAO DE PVC PARA CONDULETE DE 1.1/2"</t>
  </si>
  <si>
    <t>TAMPO E ASSENTO P/ VASO SANITARIO ( INFANTIL )</t>
  </si>
  <si>
    <t>TAMPO REDONDO PARA MESA, COM 1,10 M (VARIACAO +/- 0,05 M) DE DIAMETRO, EM MDF BRANCO TX 18 MM, ACABAMENTO NAS LATERIAIS COM FITA DE BORDA BRANCA.</t>
  </si>
  <si>
    <t>TANQUE DE CONCRETO PRE-MOLDADO P/ LAVAGEM DE ROUPAS DE 0,70 X 0,70M</t>
  </si>
  <si>
    <t>TARJETA CROMADA 2"</t>
  </si>
  <si>
    <t>TARJETA CROMADA 3"</t>
  </si>
  <si>
    <t>TE DE PVC RIGIDO SOLDAVEL P/ ESGOTO DE 2"</t>
  </si>
  <si>
    <t>TE DE PVC SOLDAVEL - 1.1/2"</t>
  </si>
  <si>
    <t>TE DE REDUCAO EM PVC RIGIDO - SOLDAVEL - 150 X 100 MM - 6"</t>
  </si>
  <si>
    <t>TE DE REDUCAO EM PVC RIGIDO SOLDAVEL 1" X 3/4"</t>
  </si>
  <si>
    <t>TE DE REDUCAO EM PVC SOLDAVEL, ROSCA, DE 25 MM - 1/2" - AZU</t>
  </si>
  <si>
    <t>TE DE REDUCAO PVC RIGIDO SOLDAVEL 1.1/2 X 3/4"</t>
  </si>
  <si>
    <t>TE EM PVC RIGIDO - SOLDAVEL - 90 GRAUS - 150 MM - 6" - PARA</t>
  </si>
  <si>
    <t>TE EM PVC RIGIDO SOLDAVEL 3/4"</t>
  </si>
  <si>
    <t>TE EM PVC RIGIDO SOLDAVEL ROSCA AZUL - 3/4"</t>
  </si>
  <si>
    <t>TELA DE ARAME GALVANIZADO - FIO 10 - MALHA 2.1/2" X 2 M DE</t>
  </si>
  <si>
    <t>TELA DE ARAME GALVANIZADO - FIO 10 - MALHA 2.1/2" X 4 METRO</t>
  </si>
  <si>
    <t>TELA EM ACO INOX 304, MALHA 14, DIAMETRO DO FIO 0,25 MM, LARGURA 1.200 MM (PODENDO VARIAR +/- 50 MM) - ROLO COM 30 METROS.</t>
  </si>
  <si>
    <t>TELA ONDULADA FIO 14, MALHA 3/4 - MED. 10 X 2,00 M</t>
  </si>
  <si>
    <t>TELHA DE BARRO COZIDO - TIPO ROMANA</t>
  </si>
  <si>
    <t>TELHA DE CONCRETO, INCLINACAO MINIMA : 30 OU 16, 40º. SOBREPOSICAO TRANSVERSAL: 10 CM, RESISTENCIA A FLEXAO: ACIMA DE 300 KG, SEGUNDO AS NORMAS TECNICAS ABNT: NBR 13858-1 / 13858-2</t>
  </si>
  <si>
    <t>TELHA DE FIBROCIMENTO - 0,90 X 8,20 M - TIPO CANALETE</t>
  </si>
  <si>
    <t>TELHA EM CIMENTO REFORCADO</t>
  </si>
  <si>
    <t>TELHA EM CIMENTO REFORCADO COM FIO SINTETICO(CRFS)</t>
  </si>
  <si>
    <t>TERMINAL A COMPRESSAO PARA 1 CABO DE COBRE 25 MM2 COM 1 FURO DE FIXACAO</t>
  </si>
  <si>
    <t>TERMINAL A COMPRESSAO PARA 1 CABO DE COBRE 50 MM2 TIPO ANEL</t>
  </si>
  <si>
    <t>TERMINAL A COMPRESSAO REFORCADO P/ 1 CABO DE COBRE 150MM2 C/ 1 FURO DE FIXACAO</t>
  </si>
  <si>
    <t>TERMINAL A COMPRESSAO REFORCADO P/ 1 CABO DE COBRE 95 MM2 C/ 1 FURO DE FIXACAO</t>
  </si>
  <si>
    <t>TERMINAL A PRESSAO POR ALICATE BITOLA 16,0MM - TIPO ANEL</t>
  </si>
  <si>
    <t>TERMINAL A PRESSAO REFORCADO P/ 1 CABO DE COBRE 50MM2 C/ 1</t>
  </si>
  <si>
    <t>TERMINAL A PRESSAO REFORCADO P/ 1 CABO DE COBRE 95MM2 C/ 1</t>
  </si>
  <si>
    <t>TERMINAL DE COMPRESSAO TIPO OLHAL P/ CABO DE  COBRE 35MM2</t>
  </si>
  <si>
    <t>TERMINAL DE COMPRESSAO TIPO OLHAL P/ CABO DE COBRE 10MM2 C/</t>
  </si>
  <si>
    <t>TERMINAL DE COMPRESSAO TIPO OLHAL P/ CABO DE COBRE 120MM2</t>
  </si>
  <si>
    <t>TERMINAL DE COMPRESSAO TIPO OLHAL P/ CABO DE COBRE 240MM2</t>
  </si>
  <si>
    <t>TERMINAL DE COMPRESSAO TIPO OLHAL P/ CABO DE COBRE 70MM2 C/</t>
  </si>
  <si>
    <t>TESOURA EM ACO INOXIDAVEL, COM CABO EM POLIPROPILENO, 18 CM (VARIAÇÃO +/- 3 CM)</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</si>
  <si>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</si>
  <si>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TEXTURA ACRILICA GRAFIATO HIDROREPELENTE NA COR BRANCA - BARRICA COM 25 KG.</t>
  </si>
  <si>
    <t>THINNER PARA PINTURA AUTOMOTIVA E MOVEIS LATA COM 05 LITROS</t>
  </si>
  <si>
    <t>TIJOLO COMUM DE BARRO MEDINDO 20 X 9 X 4 CM</t>
  </si>
  <si>
    <t xml:space="preserve">TINTA A BASE DE AGUA PARA USO EM CARIMBO AUTO ENTINTADO - FRASCO COM  30 ML -  COR PRETA </t>
  </si>
  <si>
    <t>TINTA ACRILICA P/ DEMARCACAO DE SOLO - BALDE C/ 18 L - PRETA - PADRAO DER 3.09</t>
  </si>
  <si>
    <t>TINTA ACRILICA P/ DEMARCACAO DE SOLO - BALDE C/ 18 LITROS -</t>
  </si>
  <si>
    <t>TINTA ACRILICA P/ DEMARCACAO DO SOLO - BALDE COM 18 LITROS - AMARELA</t>
  </si>
  <si>
    <t>TINTA BETUMINOSA PARA IMPERMEABILIZACAO DE ALVENARIA - LATA</t>
  </si>
  <si>
    <t>TINTA ESMALTE SINTETICO BRILHANTE, PADRAO PREMIUM, COR AZUL ROYAL, GALAO COM 3.600 ML.</t>
  </si>
  <si>
    <t>TINTA ESMALTE SINTETICO BRILHANTE, PADRAO PREMIUM, COR BRANCA, GALAO COM 3.600 ML.</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</si>
  <si>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</si>
  <si>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</si>
  <si>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GUACHE - POTE COM 250ML - COR BRANCA</t>
  </si>
  <si>
    <t>TINTA GUACHE - POTE COM 250ML - COR PRETA</t>
  </si>
  <si>
    <t>TINTA GUACHE - POTE COM 250ML - COR VERDE</t>
  </si>
  <si>
    <t>TINTA GUACHE - POTE COM 250ML - COR VERMELHA</t>
  </si>
  <si>
    <t>TINTA GUACHE,  ATOXICA, COR AMARELO-OURO, CONTENDO 250 ML</t>
  </si>
  <si>
    <t>TINTA GUACHE, POTE COM 250 ML, AZUL CLARO</t>
  </si>
  <si>
    <t>TINTA GUACHE, POTE COM 250 ML, LARANJA</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</si>
  <si>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</si>
  <si>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</si>
  <si>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</si>
  <si>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P/ PISO - AMARELO - LATA COM 18 LITROS</t>
  </si>
  <si>
    <t>TINTA P/ PISO - AZUL MARINHO - LATA C/ 18 LITROS</t>
  </si>
  <si>
    <t>TINTA P/ PISO - PRETO - GL C/3.600 ML</t>
  </si>
  <si>
    <t>TINTA P/ PISO - VERDE ESCURO - LT C/ 18 L</t>
  </si>
  <si>
    <t>TINTA P/ PISO - VERMELHO - LT C/ 18 L</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</si>
  <si>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</si>
  <si>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TOMADA 2P + T DE 10/250V DE EMBUTIR COM ESPELHO PARA CAIXA 4X2, PADRAO NBR 14136</t>
  </si>
  <si>
    <t>TOMADA 2P+T DE 20A/250V DE EMBUTIR COM ESPELHO PARA CAIXA 4X2, PADRAO NBR 14136</t>
  </si>
  <si>
    <t xml:space="preserve">TOMADA 2P+T DE 20A/250V DE SOBREPOR COM CAIXA, PADRAO NBR 14136 </t>
  </si>
  <si>
    <t>TOMADA COM 2 TOMADAS 2P+T DE 20A/250V DE EMBUTIR COM ESPELHO PARA CAIXA 4X2, PADRAO NBR 14136</t>
  </si>
  <si>
    <t>TOMADA MOVEL 2P+T NBR 14136 DE 20A/250V</t>
  </si>
  <si>
    <t>TOMADA MOVEL PADRAO NBR 14136 2 +T  DE 10A/250V</t>
  </si>
  <si>
    <t>TOMADA PADRAO NBR 14136 2P + T DE 10A/250V DE SOBREPOR COM CAIXA COR BRANCA.</t>
  </si>
  <si>
    <t>TOMADA TELEFONICA PADRAO TELEBRAS DE EMBUTIR, COM SUPORTE E COM CONECTOR RJ-11 E PLACA 4X2", COM PARAFUSOS</t>
  </si>
  <si>
    <t>TORNEIRA BOIA PARA CAIXA D´AGUA COM CORPO METALICO (LATAO) E FLUTUADOR EM PLASTICO ROSCA BSP NBR 8133 PRESSAO MAXIMA PARA FUNCIONAMENTO 150 MCA, PRESSAO MINIMA 2 MCA  BITOLA 1".</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</si>
  <si>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</si>
  <si>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TORNEIRA DE PRESSAO EM LATAO CROMADO 1/2" P/ LAVATORIO</t>
  </si>
  <si>
    <t>TORNEIRA DE PRESSAO EM LATAO CROMADO 1/2" X 18 CM - P/ PIA - SEM ADAPTADOR</t>
  </si>
  <si>
    <t>TORNEIRA DE PRESSAO EM LATAO NATURAL CURTA 3/4"P/ TANQUE E</t>
  </si>
  <si>
    <t>TORNEIRA EM METAL CROMADO, PARA PIA DE COZINHA BICA MOVEL COM AREJADOR, TIPO PAREDE COM CANOPLA C50. MEDIDA DA ROSCA 1/2 POLEGADAS COM REDUCAO 3/4 POLEGADAS. EM FORMATO PESCOCO DE GANSO</t>
  </si>
  <si>
    <t>TOUCA DE PROTECAO PARA CABELOS, TIPO COZINHEIRA, EM MATERIAL DESCARTAVEL (TNT) SANFONADA</t>
  </si>
  <si>
    <t>TRANSFERIDOR DE 180° - COR: TRANSPARENTE</t>
  </si>
  <si>
    <t>TRANSFORMADOR (TRAFO/FONTE) - ENTRADA 110/220 VOLTS, SAIDA DE 16 VOLTS, AMPERAGEM 1,5 A.</t>
  </si>
  <si>
    <t>TRAVA DE SEGURANCA, CHAVE TETRA, P/ PORTAS</t>
  </si>
  <si>
    <t>TRILHO PARA DISJUNTOR TIPO DIN</t>
  </si>
  <si>
    <t>TUBO DE FERRO GALVANIZADO 4" BR C/ 6 M</t>
  </si>
  <si>
    <t xml:space="preserve">TUBO DE FERRO GALVANIZADO DN (DIAMETRO NOMINAL) 1" </t>
  </si>
  <si>
    <t>TUBO DE FERRO GALVANIZADO DN (DIAMETRO NOMINAL) 1.1/2" - DIAMETRO EXTERNO BASICO 48,3MM</t>
  </si>
  <si>
    <t>TUBO DE FERRO GALVANIZADO DN (DIAMETRO NOMINAL) 1.1/4"</t>
  </si>
  <si>
    <t>TUBO DE FERRO GALVANIZADO DN (DIAMETRO NOMINAL) 1/2"</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</si>
  <si>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</si>
  <si>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</si>
  <si>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TUBO DE FERRO GALVANIZADO DN (DIAMETRO NOMINAL) 3´´ - DIAMETRO EXTERNO BASICO MINIMO 87,9MM E MAXIMO 89,4MM, ESPESSURA DA PAREDE DE 4MM, CLASSE M - ABNT NBR 5580/02 - BARRA COM 6 METROS.</t>
  </si>
  <si>
    <t>TUBO DE FERRO METALON - 40 X 40 X 1,5MM - BARRA COM 6 METRO</t>
  </si>
  <si>
    <t>TUBO DE FERRO METALON - 50 X 50 X 1,5MM - BARRA COM 6 METRO</t>
  </si>
  <si>
    <t>TUBO DE FERRO TIPO METALON, 40 X 20 X 1,5 MM, BARRA COM 6 M</t>
  </si>
  <si>
    <t>TUBO DE POLIETILENO DE 1" - (PONTA VERMELHA)</t>
  </si>
  <si>
    <t>TUBO DE POLIETILENO DE 3/4" -  (PONTA VERMELHA)</t>
  </si>
  <si>
    <t>TUBO DE PVC BRANCO PARA ESGOTO, DE 150 MM - 6" X 06 M</t>
  </si>
  <si>
    <t xml:space="preserve">TUBO DE PVC RIGIDO SOLDAVEL 2" X 06 M (P/ESGOTO) </t>
  </si>
  <si>
    <t>TUBO DE PVC RIGIDO SOLDAVEL DE 100 MM - 4" X 6 M (P/ESGOTO)</t>
  </si>
  <si>
    <t>TUBO DE PVC RIGIDO SOLDAVEL DE 32 MM - 1" X 06 M  - CLASSE</t>
  </si>
  <si>
    <t>TUBO DE PVC RIGIDO SOLDAVEL DE 40 MM - 1.1/2" X 06 M</t>
  </si>
  <si>
    <t>TUBO DE PVC RIGIDO SOLDAVEL DE 50 MM - 1.1/2" X 06 M</t>
  </si>
  <si>
    <t>TUBO DE PVC SOLDAVEL, 10" 250MM X 6M PARA ESGOTO NA COR BRANCA</t>
  </si>
  <si>
    <t>TUBO QUADRADO DE METALON - 1" X 1" X 1,5 MM - BARRA COM 06</t>
  </si>
  <si>
    <t>TUBO QUADRADO DE METALON 100 X 100 X 2 MM - BARRA COM 06 METROS</t>
  </si>
  <si>
    <t>TUBO QUADRADO DE METALON 20MM X 20MM X 1,5MM - BARRA COM 06</t>
  </si>
  <si>
    <t>UNIAO DE PVC COLA -  25 MM</t>
  </si>
  <si>
    <t>UNIAO PARA TUBO DE POLIETILENO - 3/4"</t>
  </si>
  <si>
    <t>UNIAO PVC COLA DE 1"</t>
  </si>
  <si>
    <t>UNIAO PVC COLA DE 1.1/2"</t>
  </si>
  <si>
    <t>UNIAO PVC COLA DE 1.1/4"</t>
  </si>
  <si>
    <t>VALVULA AMERICANA 3 1/2" X 1 1/2" EM INOX</t>
  </si>
  <si>
    <t>VALVULA DE DESCARGA, EM LATAO, COM DIAMETRO NOMINAL DE 40 MM (1 1/2")</t>
  </si>
  <si>
    <t>VALVULA EM PVC PARA LAVATORIO 1" SEM LADRAO</t>
  </si>
  <si>
    <t>VASO SANITARIO SIFONADO CONVENCIONAL DE LOUÇA PADRAO POPULAR NA COR BRANCA</t>
  </si>
  <si>
    <t>VASSOURA DE PELO DE 40 CM, COM CABO EM MADEIRA, MEDINDO NO MINIMO: 1,15 M DE COMPRIMENTO X 2,5 CM DE DIAMETRO</t>
  </si>
  <si>
    <t xml:space="preserve">VASSOURA DE PIACAVA N° 05 </t>
  </si>
  <si>
    <t>VASSOURAO DE PIACAVA TIPO PREFEITURA - 40 CM</t>
  </si>
  <si>
    <t>VELA(REFIL), PARA FILTRO MOD. AP 055</t>
  </si>
  <si>
    <t>VERGALHAO ROSQUEADO DE 1/4" X 3 METROS</t>
  </si>
  <si>
    <t>VERNIZ MARITIMO - GALAO C/ 3,6 LITROS</t>
  </si>
  <si>
    <t>VIGA DE GARAPEIRA BRUTA - 0,06 X 0,16 X 5,00 M COMPRIMENTO</t>
  </si>
  <si>
    <t>VIGA DE GARAPEIRA BRUTA - 6 CM X 12 CM X 5,00 M COMPRIMENTO</t>
  </si>
  <si>
    <t>VIGA DE GARAPEIRA BRUTA - 60MM X 160MM X 6,50 M COMPRIMENTO</t>
  </si>
  <si>
    <t>VITRO DE CORRER EM ALUMINIO COM VIDROS E GRADE EM ALUMINIO FOSCO MEDINDO: 1,50 X 1,20M</t>
  </si>
  <si>
    <t>VITRO DE CORRER EM ALUMINIO COM VIDROS E GRADE EM ALUMINIO FOSCO MEDINDO: 2,00 X 1,20M</t>
  </si>
  <si>
    <t>WIDIA PARA CORTAR PISOS E AZULEJOS</t>
  </si>
  <si>
    <t>ABRACADEIRA GALVANIZADA TIPO D DE 1/2"</t>
  </si>
  <si>
    <t>ABRACADEIRA GALVANIZADA TIPO U DE 1"</t>
  </si>
  <si>
    <t>ABRACADEIRA GALVANIZADA TIPO U DE 1/2"</t>
  </si>
  <si>
    <t>ABRACADEIRA REGULAVEL ROSCA SEM FIM DE 1"</t>
  </si>
  <si>
    <t>ABRACADEIRA REGULAVEL ROSCA SEM FIM DE 1/2"</t>
  </si>
  <si>
    <t>ABRACADEIRA REGULAVEL ROSCA SEM FIM DE 3/4"</t>
  </si>
  <si>
    <t>APONTADOR PARA LAPIS Nº 02, COM DEPOSITO.</t>
  </si>
  <si>
    <t>ARAME FARPADO DE ACO GALVANIZADO A FOGO CORDOALHA 1,60 MM</t>
  </si>
  <si>
    <t>ARRUELA GALVANIZADA DE 1/2</t>
  </si>
  <si>
    <t>AVENTAL - TIPO JALECO, EM TECIDO MISTO DE POLIESTER E ALGODAO , C/MANGA CURTA - COR: AZUL CLARO - TAM: G</t>
  </si>
  <si>
    <t>AVENTAL - TIPO JALECO, EM TECIDO MISTO DE POLIESTER E ALGODAO , C/MANGA CURTA - COR: AZUL CLARO - TAM: M</t>
  </si>
  <si>
    <t>AVENTAL - TIPO JALECO, EM TECIDO MISTO DE POLIESTER E ALGODAO , C/MANGA CURTA - COR: AZUL CLARO - TAM: P</t>
  </si>
  <si>
    <t>BOLSA EM POLIETILENO FLEXIVEL DIAM. 1.1/2" P/ BACIA SANITAR</t>
  </si>
  <si>
    <t>BROCA DE WIDIA 5/32"</t>
  </si>
  <si>
    <t>BULE DE ALUMINIO - 3 LITROS</t>
  </si>
  <si>
    <t>CABO DE ACO GALVANIZADO DE 1/4"</t>
  </si>
  <si>
    <t>CABO DE ACO POLIDO COM ALMA DE ACO DE 5/16"</t>
  </si>
  <si>
    <t>CABO PARA ALARME (4 VIAS AWG24) - METROS DE CABO COM QUATRO VIAS DE CORES COM NO MINIMO 4X0,50 MM DE DIAMETRO POR FIO (AWG24) SOLIDO.</t>
  </si>
  <si>
    <t>CADERNO BROCHURA, 96 FOLHAS, CAPA DURA.</t>
  </si>
  <si>
    <t>CADERNO ESPIRAL UNIVERSITARIO, 200 FOLHAS, CAPA DURA.</t>
  </si>
  <si>
    <t>CADERNO ESPIRAL UNIVERSITARIO, 96 FOLHAS, CAPA DURA.</t>
  </si>
  <si>
    <t>CANECA PLASTICA (POLIPROPILENO), CAPACIDADE P/ 330 ML</t>
  </si>
  <si>
    <t>CANETA ESFEROGRAFICA AZUL, CORPO SEXTAVADO.</t>
  </si>
  <si>
    <t>CANETA ESFEROGRAFICA VERMELHA, CORPO SEXTAVADO.</t>
  </si>
  <si>
    <t>CHAPA DE LAMINADO MELAMINICO C/ 3,08 X 1,25 M, ESPESSURA 0,8 MM</t>
  </si>
  <si>
    <t>CHAPA DE MADEIRA COMPENSADA DE VIROLA - MEDIDAS: 2,20 M X 1,60 M X 6 MM</t>
  </si>
  <si>
    <t>CHAPA EM MDF, BRANCO, 02 FACES 2,75 X 1,83 X 25 MM</t>
  </si>
  <si>
    <t>COADOR DE PANO P/ CAFE - DIAM. 16 CM</t>
  </si>
  <si>
    <t>CONCHA DE ALUMINIO - DIAMETRO 10 CM</t>
  </si>
  <si>
    <t>CONDULETE "LL" 2</t>
  </si>
  <si>
    <t>CONDULETE DE ALUMINIO TIPO E 11/2´´ SEM ROSCA</t>
  </si>
  <si>
    <t>CONDULETE EM LIGA DE ALUMINIO FUNDIDO TIPO "E"  - 1</t>
  </si>
  <si>
    <t>CONDULETE EM LIGA DE ALUMINIO FUNDIDO TIPO "LL" - DIAMETRO 1 1/2" - S/VEDACAO</t>
  </si>
  <si>
    <t>CONDULETE EM LIGA DE ALUMINIO FUNDIDO, TIPO "C",  Ø2", S/VEDACAO</t>
  </si>
  <si>
    <t>CONECTOR CABO-HASTE 5/8"</t>
  </si>
  <si>
    <t>CORANTE PARA COLORIR TINTA LATEX - VIOLETA - 50 ML</t>
  </si>
  <si>
    <t>COTOVELO 90 GRAUS EM PVC RIGIDO SOLDAVEL DE 20 MM (1/2")</t>
  </si>
  <si>
    <t>CRUZETA 90º, PERFURADA, GALVANIZADA, P/ELETROCALHA - 200 X 50MM</t>
  </si>
  <si>
    <t>CRUZETA E ACO GALVANIZADO AO FOGO</t>
  </si>
  <si>
    <t>CUMEEIRA ARTICULADA PARA TELHA CALHETAO 90 - SUPERIOR</t>
  </si>
  <si>
    <t>CUMEEIRA ARTICULADA PARA TELHA KALHETAO 90 - INFERIOR</t>
  </si>
  <si>
    <t xml:space="preserve">CUMEEIRA DE FIBROCIMENTO ONDA DA MEDIDA 0,50 CM X 15° </t>
  </si>
  <si>
    <t xml:space="preserve">CUMEEIRA PARA TELHA TRAPEZOIDAL, MODELO L38 </t>
  </si>
  <si>
    <t>CURVA DE INVERSAO PERFURADA, P/ELETROCALHA - LARGURA 300MM X ALTURA 50MM</t>
  </si>
  <si>
    <t>CURVA LONGA DE ACO P/ELETRODUTO GALVANIZADO A FOGO - DIAMETRO 1 1/2"</t>
  </si>
  <si>
    <t>DESENTUPIDOR DE BACIA SANITARIA, CABO LONGO</t>
  </si>
  <si>
    <t>DESVIO A DIREITA, GALVANIZADO P/ELETROCALHA - LARGURA 300MM X ALTURA 50MM</t>
  </si>
  <si>
    <t>DESVIO A DIREITA, PERFURADO, GALVANIZADO P/ELETROCALHA - LARGURA 200MM X ALTURA 50MM</t>
  </si>
  <si>
    <t>DESVIO A ESQUERDA, GALVANIZADO P/ELETROCALHA - LARGURA 300MM X ALTURA 50MM</t>
  </si>
  <si>
    <t>DISCO DE CORTE - 12" X 1/8" X 5/8" (300 X 3,2 X 15,9 MM DIA</t>
  </si>
  <si>
    <t>DISCO DE CORTE 10" X 1/8" X 5/8" (254 X 3,2 X 15,8 MM - DIA</t>
  </si>
  <si>
    <t>DISCO DE LIXA N° 60 - 7" E FURO 7/8"</t>
  </si>
  <si>
    <t>DISJUNTOR NORMA DIN CURVA C PADRAO, BIPOLAR, 100 AMPERES</t>
  </si>
  <si>
    <t>DISJUNTOR NORMA DIN CURVA C PADRAO, BIPOLAR, 80 AMPERES</t>
  </si>
  <si>
    <t>DISJUNTOR TERMOMAGNETICO BIPOLAR UL 40A X 110 / 220V</t>
  </si>
  <si>
    <t>DISPENSADOR PARA PAPEL TOALHA INTERFOLHA. DIMENSOES: 320X250X130MM (AXLXP)</t>
  </si>
  <si>
    <t>DOBRADICA DE PRESSAO EM ACO, CURVA, COMPLETA, PARA ARMARIOS</t>
  </si>
  <si>
    <t>ELETRODUTO FLEXIVEL CORRUGADO DE 1/2" - COR AMARELA</t>
  </si>
  <si>
    <t>ENVELOPE BRANCO - CARTA - 114 X 162 MM- GRAMATURA MINIMA 56 G/M²</t>
  </si>
  <si>
    <t>ESCUMADEIRA DE ALUMINIO - GRANDE - N.14</t>
  </si>
  <si>
    <t>ESCUMADEIRA DE ALUMINIO, MEDIA, NR. 12</t>
  </si>
  <si>
    <t>FACA DE CORTE DE LEGUMES COM CABO DE POLIETILENO OU POLIPROPILENO BRANCO -</t>
  </si>
  <si>
    <t>FACA P/ CARNE E COZINHA - TAMANHO 8"</t>
  </si>
  <si>
    <t>FACA P/ DESOSSAR</t>
  </si>
  <si>
    <t>FECHADURA DE EMBUTIR S/ TAMBOR - INTERNA</t>
  </si>
  <si>
    <t>FITA DE BORDA EM PVC TEXTURIZADA, 35MM - ROLO COM 50 MTS</t>
  </si>
  <si>
    <t>FITA DE BORDO EM PVC TEXTURIZADA, COR BRANCA, MEDIDAS 45 X 0,45MM, ROLO COM 300 METROS</t>
  </si>
  <si>
    <t>FOSFORO P/ ACENDIMENTO, PEQUENO, PACOTE C/ 10 CX DE 40 UN C</t>
  </si>
  <si>
    <t>FRIGIDEIRA DE ALUMINIO, C/ REVESTIMENTO ANTI-ADERENTE, 26CM, C/ TAMPA</t>
  </si>
  <si>
    <t>GANCHO HORIZONTAL, GALVANIZADO P/ELETROCALHA - LARGURA 210MM X ALTURA 70MM</t>
  </si>
  <si>
    <t>GANCHO VERTICAL, GALVANIZADO, P/ELETROCALHA -  210 X 70MM</t>
  </si>
  <si>
    <t>GARFO P/ COZINHA - 2 DENTES - GRANDE</t>
  </si>
  <si>
    <t>GARFO P/ SOBREMESA INOX</t>
  </si>
  <si>
    <t>GOTEJADOR GALVANIZADO P/ELETROCALHA - LARGURA 200MM X ALTURA 50MM</t>
  </si>
  <si>
    <t>GOTEJADOR GALVANIZADO P/ELETROCALHA - LARGURA 300MM X ALTURA 50MM</t>
  </si>
  <si>
    <t>GRAMPO DE ACO DE 1/4" P/ CABO DE ACO</t>
  </si>
  <si>
    <t>GRAMPO ROSEIRA Nº 10</t>
  </si>
  <si>
    <t>GUARNICAO ADESIVA, EM EPDM PRETA, MEDIDA: 11 X 6,4 MM (VARIACAO: +/- 1 MM)</t>
  </si>
  <si>
    <t>HASTE GALVANIZADA - 1/4" X 300 MM - P/ FIXACAO DE TELHAS DE</t>
  </si>
  <si>
    <t>HASTE GALVANIZADA - 5/16" X 150 MM - P/ FIXACAO DE TELHAS DE FIBROCIMENTO - C/ PORCA, ARRUELA DE ALUMINIO E PLASTICA</t>
  </si>
  <si>
    <t>INTERRUPTOR MODULAR BIPOLAR 10A/250V COM SUPORTE E PLACA 4X2", COMPATIVEL COM A MARCA ILUS.</t>
  </si>
  <si>
    <t>INTERRUPTOR MODULAR PARALELO MONOPOLAR 10 A/250V COM SUPORTE E PLACA 4X2" DE UM POSTO.</t>
  </si>
  <si>
    <t>LAMPADA  DE VAPOR METALICO OVOIDE 400W</t>
  </si>
  <si>
    <t>LAMPADA FLUORESCENTE - 32W / 220V</t>
  </si>
  <si>
    <t>LAMPADA FLUORESCENTE LUZ DO DIA 20W - BASE G13 - 230V</t>
  </si>
  <si>
    <t>LAMPADA HALOGENA 300W, 220 VOLTS</t>
  </si>
  <si>
    <t>LAMPADA VAPOR METALICO, PADRAO HQI, 70 W - 220 V</t>
  </si>
  <si>
    <t>LAVATINA DE NYLON P/ VASO SANITARIO (VASSOURINHA)</t>
  </si>
  <si>
    <t>LIXA CINTA DE PANO, PARA MADEIRA, GRAU 80 - MED. 1,5 M X 15</t>
  </si>
  <si>
    <t>LUMINARIA DE SOBREPOR ALETADA, 2 LAMPADAS TUBULARES DE 32W</t>
  </si>
  <si>
    <t>LUMINARIA FECHADA TIPO CALHA - P/ LAMPADA FLUORESCENTE - 1</t>
  </si>
  <si>
    <t>LUMINARIA FECHADA TIPO CALHA P/ LAMPADA FLUORESCENTE 1 X 40</t>
  </si>
  <si>
    <t>LUVA DE PVC RIGIDO SOLDAVEL DE 1/2"</t>
  </si>
  <si>
    <t>NIPLE DUPLO DE REDUCAO ROSQUEAVEL 3/4 X 1/2 EM METAL</t>
  </si>
  <si>
    <t>NIPLE DUPLO EM PVC RIGIDO ROSQUEAVEL DE 1"</t>
  </si>
  <si>
    <t>NIPLE DUPLO EM PVC RIGIDO ROSQUEAVEL DE 1/2"</t>
  </si>
  <si>
    <t>NIPLE DUPLO EM PVC RIGIDO ROSQUEAVEL DE 3/4 (25 MM)</t>
  </si>
  <si>
    <t>PAPEL ALMACO C/ PAUTA</t>
  </si>
  <si>
    <t>PAPEL DE SEDA BRANCO CALANDRADO 14 X 14 CM (GUARDANAPO TIPO TV), 100% FIBRAS CELULOSICAS, EM PACOTES COM 500 UNIDADES</t>
  </si>
  <si>
    <t>PAPEL SULFITE A4, 210 X 297, 75G, NA COR VERDE - PACOTE COM 500 FOLHAS</t>
  </si>
  <si>
    <t>PARAFUSO ZINCO AMARELO, CABECA CHATA - PH 2,5 X 16 -  CAIXA COM 1.000 UNIDADES</t>
  </si>
  <si>
    <t>PASTA PLASTICA COM ELASTICO, SEM LOMBADA, MEDINDO 235MM X 350MM</t>
  </si>
  <si>
    <t>PASTILHA CERAMICA 10 X 10 CM TELADO, COR BOUDOUX</t>
  </si>
  <si>
    <t>PASTILHA CERAMICA MEDINDO 10 X 10 CM - COR CATANO MEDIO</t>
  </si>
  <si>
    <t>PASTILHA CERAMICA TELADO MEDINDO 10 X 10 CM - COR CATANO CLARO</t>
  </si>
  <si>
    <t>PIA DE ACO INOX COM 01 CUBA, MEDINDO 1,20 M DE COMP. E LARGURA MINIMA DE 53 CM</t>
  </si>
  <si>
    <t>PINO ADAPTADOR PARA TOMADA 2P+T UNIVERSAL PARA TOMADA 2P+T 10A PADRAO NBR 14136</t>
  </si>
  <si>
    <t>PINO ADAPTADOR REVERSO DE TOMADA</t>
  </si>
  <si>
    <t>PINO F15 - CAIXA COM 5.000 PINOS</t>
  </si>
  <si>
    <t>PINO F20 - CAIXA COM 5.000 PINOS</t>
  </si>
  <si>
    <t>PINO F35 - CAIXA COM 5.000 PINOS</t>
  </si>
  <si>
    <t>PINO F40 - CAIXA COM 5.000 PINOS</t>
  </si>
  <si>
    <t>PINO F45 - CAIXA COM 5.000 PINOS</t>
  </si>
  <si>
    <t>PINO T-50 - P/PINADEIRA</t>
  </si>
  <si>
    <t>PINO TRIFASICO DE SEGURANCA 2 P + T - 30 A X 250 W</t>
  </si>
  <si>
    <t>PISO HIDRAULICO, ANTIDERRAPANTE, COR PRETO</t>
  </si>
  <si>
    <t>PISO HIDRAULICO, ANTIDERRAPANTE, COR VERMELHO</t>
  </si>
  <si>
    <t xml:space="preserve">PNEU 28 X 9 - 15 (7,0) MACICO PARA EMPILHADEIRA </t>
  </si>
  <si>
    <t>PNEU 700/12, 14 LONAS, PNEUMATICO - PARA EMPILHADEIRA</t>
  </si>
  <si>
    <t>PONTEIRA REDONDA DE BORRACHA,  EXTERNA DE 5/8"</t>
  </si>
  <si>
    <t>PORCA SEXTAVADA DE ACO DE 1/2"</t>
  </si>
  <si>
    <t>PORCA SEXTAVADA DE ACO DE 1/4"</t>
  </si>
  <si>
    <t>PORCA SEXTAVADA DE ACO DE 3/8"</t>
  </si>
  <si>
    <t>PORCA SEXTAVADA DE ACO DE 5/16"</t>
  </si>
  <si>
    <t>PORTA CADEADO DE FERRO ZINCADO DE 1 1/2"</t>
  </si>
  <si>
    <t>PORTA PAPEL HIGIENICO - ROLO INDUSTRIAL</t>
  </si>
  <si>
    <t>PRATO RASO</t>
  </si>
  <si>
    <t>PREGO COMUM DE CABECA CHATA - 08 X 08</t>
  </si>
  <si>
    <t>PREGO COMUM DE CABECA CHATA - 13 X 15</t>
  </si>
  <si>
    <t>PREGO COMUM DE CABECA CHATA - 16 X 21</t>
  </si>
  <si>
    <t>PREGO COMUM DE CABECA CHATA - 6 X 6</t>
  </si>
  <si>
    <t>PREGO COMUM S/ CABECA - 12 X 12</t>
  </si>
  <si>
    <t>PREGO COMUM S/ CABECA - 13 X 15</t>
  </si>
  <si>
    <t>PREGO COMUM S/ CABECA - 14 X 21</t>
  </si>
  <si>
    <t>PREGO COMUM S/ CABECA - 16 X 21</t>
  </si>
  <si>
    <t>PREGO COMUM S/ CABECA 15 X 15</t>
  </si>
  <si>
    <t>PREGO GALV. C/ CABECA P/ FIXACAO DE TELHA DE CIMENTO AMIANT</t>
  </si>
  <si>
    <t>PROTETOR DE LINHA TELEFONICA</t>
  </si>
  <si>
    <t>PROTETOR DE LINHA, PARA ALARME, TIPO LD</t>
  </si>
  <si>
    <t>RALADOR DE LEGUMES EM INOX</t>
  </si>
  <si>
    <t>REATOR ELETROMAGNETICO DE ALTA PRESSAO PARA LAMPADA A VAPOR DE SODIO E METALICA, 400W, 220V/60HZ</t>
  </si>
  <si>
    <t>REATOR ELETRONICO 2 X 32 P/ LAMPADA FLUORESCENTE 32W / 220V</t>
  </si>
  <si>
    <t>REATOR ELETRONICO SERIE 2 X 40 W - 127V / 220 V - ALTO FATO</t>
  </si>
  <si>
    <t>REGISTRO DE GAVETA DE 2.1/2" - S/ CANOPLA</t>
  </si>
  <si>
    <t>REGISTRO DE GAVETA EM LIGA DE COBRE DE 1/2" SEM CANOPLA</t>
  </si>
  <si>
    <t>REGISTRO DE GAVETA EM LIGA DE COBRE DE 2" SEM CANOPLA</t>
  </si>
  <si>
    <t xml:space="preserve">REGUA DE 30CM EM POLIESTIRENO. COR: TRANSPARENTE, CRISTAL. </t>
  </si>
  <si>
    <t xml:space="preserve">RESERVATORIO INTERNO PARA SABONETEIRA EM PLASTICO - CAPACIDADE 800 ML </t>
  </si>
  <si>
    <t>RESPIRO P/ ENTRADA DE AR - P/ USO EM ARMARIO</t>
  </si>
  <si>
    <t>REVESTIMENTO CERAMICO - MEDIDA: A 32,5 X 57 CM - COR: SPECTRO LAVANDA</t>
  </si>
  <si>
    <t>ROLAMENTO 32216, FABRICACAO NACIONAL, PARA USO EM PLAY GROUND</t>
  </si>
  <si>
    <t>SABONETE LIQUIDO PEROLADO - BOMBONA C/ 05 LITROS</t>
  </si>
  <si>
    <t>SABONETEIRA EM ABS NA COR BRANCA</t>
  </si>
  <si>
    <t>SENSOR DE MICROONDAS DE ALARME PARA AREA SEMI ABERTA</t>
  </si>
  <si>
    <t>SENSOR INFRAVERMELHO DUPLO</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</si>
  <si>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</si>
  <si>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SIFAO COPO, EM PVC RIGIDO, 1 1/2 X 2" - PARA PIA AMERICANA</t>
  </si>
  <si>
    <t>SIFAO DE LUXO (COPO) EM PVC 1" X 1.1/2"- COMPLETO C/ VALVULA P/ LAVATORIO</t>
  </si>
  <si>
    <t>SIFAO SANFONADO (CORRUGADO) DUPLO - UNIVERSAL</t>
  </si>
  <si>
    <t>SIRENE- POTENCIA SONORA DE 120 DB, ALIMENTACAO 12V, SUPORTE PARA FIXACAO.</t>
  </si>
  <si>
    <t>SOQUETE DE BAQUELITE EXTERNO C/ RABICHO E PROTETOR DE BOR</t>
  </si>
  <si>
    <t>SUPORTE ANGULAR, GALVANIZADO, P/ELETROCALHA -  210 X 50MM</t>
  </si>
  <si>
    <t>SUPORTE PARA CONDULETE</t>
  </si>
  <si>
    <t>T VERTICAL DESCIDA LATERAL, PERFURADA, GALVANIZADO, PARA ELETROCALHA - 200 X 50MM</t>
  </si>
  <si>
    <t>TAMPA PARA CONDULETE 3/4" PARA 1 CONDUTOR RJ</t>
  </si>
  <si>
    <t>TAMPO EM COMPENSADO DE 18MM REVESTIDO EM LAMINADO MELAMINICO, ACABAMENTO EM PERFIL DE PVC - 0,73 X 0,42 X 0,40M ()VARIACAO DE +/- 5CM)</t>
  </si>
  <si>
    <t>TAMPO PARA CARTEIRA - VERDE CLARO - 400MM X 600MM X 18MM</t>
  </si>
  <si>
    <t>TE DE PVC RIGIDO SOLDAVEL 1/2"</t>
  </si>
  <si>
    <t xml:space="preserve">TE DE PVC SOLDAVEL P/ ESGOTO 1.1/2" ( 40 MM )  </t>
  </si>
  <si>
    <t>TE DE REDUCAO EM PVC RIGIDO SOLDAVEL 3/4" X 1/2"</t>
  </si>
  <si>
    <t>TE DE REDUCAO SOLDAVEL 4" X 2"</t>
  </si>
  <si>
    <t>TECLADO PARA ALARMES- COMPATIBILIDADE COM PLACA CENTRAL DE ALARME ADEMCO VISTA 48, VISOR DE CRISTAL LIQUIDO ALFANUMERICO, TECLAS ILUMINADAS.</t>
  </si>
  <si>
    <t>TELA ONDULADA FIO 14, MALHA 3/4 - MED. 10 X 1,74 M</t>
  </si>
  <si>
    <t>TELHA DE BARRO COZIDO - TIPO PAULISTINHA</t>
  </si>
  <si>
    <t>TELHA TRAPEZOIDAL 5000MM COMPRIMENTO X 1056MM LARGURA X 38 MM ALTURA</t>
  </si>
  <si>
    <t>TERMINAL GALVANIZADO P/ELETROCALHA - LARGURA 100MM X ALTURA 50MM</t>
  </si>
  <si>
    <t>TERMINAL GALVANIZADO P/ELETROCALHA - LARGURA 300MM X ALTURA 50MM</t>
  </si>
  <si>
    <t>TINTA ACRILICA LAVAVEL - AZUL CLARO - 18 LITROS</t>
  </si>
  <si>
    <t>TINTA ESMALTE SINTETICO BRILHANTE VERDE COLONIAL - GALAO CO</t>
  </si>
  <si>
    <t>TRINCO FECHO CHATO 4"</t>
  </si>
  <si>
    <t>VIGA "U", CHAPA DOBRAGA ENRIJECIDA - 100 X 50 X 2,25 X 6.0</t>
  </si>
  <si>
    <t>ACUCAR REFINADO AMORFO/MICROCRISTALINO - 5 KG</t>
  </si>
  <si>
    <t>SABAO EM PEDRA C/ 200 GR - COMUM, A BASE DE GLICERINA,SAIS</t>
  </si>
  <si>
    <t>SABONETE COMUM 90 G</t>
  </si>
  <si>
    <t xml:space="preserve">SAPONACEO EM PO, 300G </t>
  </si>
  <si>
    <t>BUCHA DE FIBRA DE COCO - MEDIA - N° 03</t>
  </si>
  <si>
    <t>VERNIZ SINTETICO BRILHANTE, GL C/ 3.600 ML</t>
  </si>
  <si>
    <t>ESPATULA DE ACO CARBONO COM CABO - N° 08</t>
  </si>
  <si>
    <t>LAMINA DE SERRA EM ACO RAPIDO 1/2" X 12" 24 DENTES</t>
  </si>
  <si>
    <t>LUVA DE REDUCAO EM PVC RIGIDO SOLDAVEL DE 3/4" X 1/2"</t>
  </si>
  <si>
    <t>CABO DE COBRE ISOLACAO PVS 750V C/ COBERTURA DE PVC 2 X2,5 MM2</t>
  </si>
  <si>
    <t>CAIXILHO DE FERRO PERFILADO BASCULANTE - MEDIDAS: 0,80 X 0,</t>
  </si>
  <si>
    <t>PREGO COMUM S/ CABECA - 15 X 21</t>
  </si>
  <si>
    <t>LAVATORIO LOUCA SIMPLES S/ COLUNA PADRAO POPULAR NA COR</t>
  </si>
  <si>
    <t>TORNEIRA BOIA P/ CAIXA D'AGUA C/ CORPO PLASTICO DE 1"</t>
  </si>
  <si>
    <t>DOBRADICA DE FERRO POLIDO 3.1/2</t>
  </si>
  <si>
    <t>BALDE PLASTICO - 20 L.</t>
  </si>
  <si>
    <t>SABAO DE COCO, PEDACO C/ 200 GR</t>
  </si>
  <si>
    <t>ENGATE DE PVC BRANCO FLEXIVEL DE 1/2"- COMP. 40 CM P/LAVATORIO</t>
  </si>
  <si>
    <t>TUBO DE PVC RIGIDO SOLDAVEL DE 20 MM - 1/2" - BARRA COM 6 METROS</t>
  </si>
  <si>
    <t>TELHA DE BARRO COZIDO - TIPO FRANCESA</t>
  </si>
  <si>
    <t>TINTA ESMALTE SINTETICO BRILHANTE - AMARELO OURO - GALAO COM 3.600 ML</t>
  </si>
  <si>
    <t>TINTA SMALTE SINTETICO BRILHANTE BRANCO, GALAO C 3.600 ML</t>
  </si>
  <si>
    <t>TINTA ESMALTE SINTETICO BRILHANTE PRETO, GL COM 3.600 ML</t>
  </si>
  <si>
    <t>TINTA ESMALTE SINTETICO BRILHANTE VERMELHO - GL C/ 3.600 ML</t>
  </si>
  <si>
    <t>TINTA ESMALTE SINTETICO BRILHANTE - AZUL DEL REY - GALAO C/ 3.600 ML</t>
  </si>
  <si>
    <t>GARRAFA TERMICA - 5 LITROS</t>
  </si>
  <si>
    <t>PENEIRA MALHA FINA ARO DE MADEIRA - 70CM</t>
  </si>
  <si>
    <t>PANELA DE PRESSAO 07 LITROS</t>
  </si>
  <si>
    <t>PANELA DE PRESSAO 12 LITROS</t>
  </si>
  <si>
    <t>PANELA DE PRESSAO 20 LITROS</t>
  </si>
  <si>
    <t>COLHER DE INOX P/ SOBREMESA</t>
  </si>
  <si>
    <t>GARFO P/ MESA INOX</t>
  </si>
  <si>
    <t>FACA P/ MESA - INOX - 20 CM</t>
  </si>
  <si>
    <t>CHALEIRA DE ALUMINIO - 3 LITROS</t>
  </si>
  <si>
    <t>COLHER DE INOX P/ SOPA</t>
  </si>
  <si>
    <t>ASSADEIRA DE ALUMINIO - MED. APROX. 41 X 29 X 5 CM</t>
  </si>
  <si>
    <t>TALHADEIRA DE ACO 200 X 19 MM DE 3/4 X 8"</t>
  </si>
  <si>
    <t>LIXA CINTA DE PANO P/ MADEIRA - 6,00 M X 15 CM - GRAO 60</t>
  </si>
  <si>
    <t>BROCA DE WIDIA 1/8"</t>
  </si>
  <si>
    <t>BROCA DE WIDIA 3/16"</t>
  </si>
  <si>
    <t>COPO DE VIDRO AMERICANO - 200 ML</t>
  </si>
  <si>
    <t>RASTELO DE ACO 12 DENTES</t>
  </si>
  <si>
    <t>PREGO COMUM S/ CABECA - 10 X 10</t>
  </si>
  <si>
    <t>REBITE DE REPUCHO EM ALUMINIO C/ MANDRIL DE ACO 6 X 35 MM</t>
  </si>
  <si>
    <t>PAPEL TERMICO P/ FAX  30M X 216MM</t>
  </si>
  <si>
    <t>PAPEL CREPOM - RL C/ 48 X 200 CM - PRETO</t>
  </si>
  <si>
    <t>DESEMPENADEIRA DE MADEIRA - 12 X 20CM</t>
  </si>
  <si>
    <t>PREGO COMUM S/ CABECA - 13 X 18</t>
  </si>
  <si>
    <t>COLHER EM ACO INOX P/ ARROZ- GRANDE</t>
  </si>
  <si>
    <t>CAIXILHO DE FERRO PERFILADO BASCULANTE - MEDIDAS: 1,00 X 1,</t>
  </si>
  <si>
    <t>ENCOSTO EM MADEIRA COMPENSADA MULTILAMINADA, C/ FRENTE E</t>
  </si>
  <si>
    <t>ASSENTO EM MADEIRA  REVESTIDO C/ LAMINADO MELAMINICO 10MM</t>
  </si>
  <si>
    <t>BUCHA DE FIXACAO N° 12 - DE NYLON</t>
  </si>
  <si>
    <t>TINTA P/ PISO - AMARELA - GL C/ 3.600 ML</t>
  </si>
  <si>
    <t>TINTA P/ PISO - BRANCO - GALAO COM 3.600 ML</t>
  </si>
  <si>
    <t>COTOVELO DE REDUCAO EM PVC RIGIDO SOLDAVEL DE 3/4" X 1/2"</t>
  </si>
  <si>
    <t>ROLO DE ESPUMA P/ PINTURA - 09 CM C/ CABO</t>
  </si>
  <si>
    <t>PAPEL CAMURCA - 60 X 40 CM - ABOBORA</t>
  </si>
  <si>
    <t>VALVULA P/ PIA AMERICANA EM PVC CROMADO - 1.1/2"</t>
  </si>
  <si>
    <t>LEITEIRA DE ALUMINIO 3 L  - C/ TAMPA</t>
  </si>
  <si>
    <t>LEITEIRA DE ALUMINIO 5 L - C/ TAMPA</t>
  </si>
  <si>
    <t>PREGO COMUM S/ CABECA - 8 X 8</t>
  </si>
  <si>
    <t>PREGO COMUM S/ CABECA - 17 X 21</t>
  </si>
  <si>
    <t>PNEU 185/60 R 14 RADIAL</t>
  </si>
  <si>
    <t>PERNEIRA DE PROTECAO CONFECCIONADA EM RASPA DE COURO VACUM, FECHAMENTO EM VELCRO, COR E ESPESSURA UNIFORME, SEM FIAPOS DE COURO</t>
  </si>
  <si>
    <t>CORDAO DE COBRE PARALELO ISOLACAO 300 V - 2 X 1,5 MM2  - ROLO COM 100 METROS</t>
  </si>
  <si>
    <t>CHAPA DE MADEIRA ISOLANTE C/ 12 MM DE ESPESS - MED: 1,22 X 2,44 M</t>
  </si>
  <si>
    <t>ABRACADEIRA TIPO "D" - 1"</t>
  </si>
  <si>
    <t>PNEU 165/70 R 13, RADIAL PARA EIXO DIRECIONAL E LIVRE, INDICE DE CARGA 78 (CARGA POR PNEU 425 KG), INDICE DE VELOCIDADE T (ATE 190 KM/H), PROFUNDIDADE DOS SULCOS 8,0 MM.</t>
  </si>
  <si>
    <t>PARAFUSO FRANCES - 2" X 5/16" - C/ PORCA E ARRUELA</t>
  </si>
  <si>
    <t>PARAFUSO FRANCES - 1.1/2" X 5/16" - C/ PORCA E ARRUELA</t>
  </si>
  <si>
    <t>CHAPA DE MADEIRA CHAPADUR - MED:2,75 X 1,22 M - ESPESSURA:3,2 MM (PODENDO VARIAR +/- 0,2 MM)</t>
  </si>
  <si>
    <t>CORDAO PARALELO - 2 X 4 MM2</t>
  </si>
  <si>
    <t>PNEU 185 R14, PARA ASFALTO RADIAL SEM CAMARA</t>
  </si>
  <si>
    <t>ESCORREDOR P/ ARROZ (LAVA ARROZ) EM ALUMINIO - 35 CM DIAME</t>
  </si>
  <si>
    <t>CACAROLA DE ALUMINIO FUNDIDO(BATIDO) - C/ DUAS ALCAS E TAMP</t>
  </si>
  <si>
    <t>GARRAFAO TERMICO C/ TORNEIRA - CAPACIDADE P/ 09 LITROS</t>
  </si>
  <si>
    <t>CACAROLA DE ALUMINIO C/ ALCAS LATERAIS E C/ TAMPA - CAPACID</t>
  </si>
  <si>
    <t>TINTA LATEX ACRILICA FOSCA - PESSEGO - 18 LITROS</t>
  </si>
  <si>
    <t>BATENTE DE GARAPEIRA 0,62 X 2,10 M</t>
  </si>
  <si>
    <t>BATENTE DE GARAPEIRA 0,72 X 2,10 M</t>
  </si>
  <si>
    <t>MOURAO DE CONCRETO ARMADO CURVO - 2,45 X 0,45 M PARA ALAMBRADO</t>
  </si>
  <si>
    <t>CORANTE PARA COLORIR TINTA LATEX - OCRE - 50 ML</t>
  </si>
  <si>
    <t>PUXADOR PARA PORTA - TIPO CONCHA CROMADO</t>
  </si>
  <si>
    <t>TELA DE ARAME GALVANIZADO - FIO 10 - MALHA 2.1/2" X 2 METROS DE ALTURA</t>
  </si>
  <si>
    <t>MISTURA PARA O PREPARO DE BOLO FORMIGUEIRO</t>
  </si>
  <si>
    <t>BACIA DE PLASTICO - CAPACIDADE P/ 32 LITROS</t>
  </si>
  <si>
    <t>PRATO DE POLIPROPILENO AZUL ESCURO,C/BORDA,3 CM ALT X 22CM</t>
  </si>
  <si>
    <t>TIGELA (POLIPROPILENO) - CAP 350 ML. 6CM DE ALT X 11 CM DIA</t>
  </si>
  <si>
    <t>BARRA/FIO REDONDO PARA CONSTRUCAO, DE ACO CA50 - 5/8" - BARRA COM 12 METROS</t>
  </si>
  <si>
    <t>CANTONEIRA DE FERRO - BARRA COM 6 M - 1/4" X 1"</t>
  </si>
  <si>
    <t>DISCO DE LIXA N. 50 - 7" E FURO 7/8" - PARA LIXADEIRA MANUA</t>
  </si>
  <si>
    <t>TELA DE ARAME GALVANIZADO, FIO 10, MALHA C/ 2 1/2", COM 04</t>
  </si>
  <si>
    <t>TELHA DE BARRO COZIDO, TIPO PLANA, CAPA E CANAL</t>
  </si>
  <si>
    <t>TAMPO REDONDO, PARA MESA, C/ 1,10 M DE DIAMETRO, EM COMPENSADO DE 18 MM,</t>
  </si>
  <si>
    <t>ROLO DE ESPUMA P/ PINTURA - 23 CM C/ CABO</t>
  </si>
  <si>
    <t>CORREDICA BASE PARA GAVETA 450 MM</t>
  </si>
  <si>
    <t>CORREDICA BASE PARA GAVETA 350 MM</t>
  </si>
  <si>
    <t>ALGODAO HIDROFILO EM FLOCOS - PT COM 100 GRAMAS</t>
  </si>
  <si>
    <t>CHAPA DE ACO INOXIDAVEL 304 - A 240 - MED. 0,40 MM X 1240 MM X 3500 MM</t>
  </si>
  <si>
    <t>VIGA DE GARAPEIRA BRUTA - 6 CM X 12 CM X 3,50 M COMPRIMENTO</t>
  </si>
  <si>
    <t>VIGA DE GARAPEIRA BRUTA - 6 X 16 X 3,50 M COMPRIMENTO</t>
  </si>
  <si>
    <t>LIXEIRA BASCULANTE, COM TAMPA E ALCA, 59 LITROS</t>
  </si>
  <si>
    <t>COLHER EM POLIETILENO, MEDINDO ENTRE 60 E 65 CM DE COMPRIMENTO</t>
  </si>
  <si>
    <t>PA DE CALDEIRAO EM POLIETILENO, SEM FUROS - MED. 1,5 CM X 9 CM X 75 CM</t>
  </si>
  <si>
    <t>PNEU 225/75 R15, RADIAL PARA EIXO DIRECIONAL E LIVRE, INDICE DE CARGA 105 (CARGA POR PNEU 925 KG), INDICE DE VELOCIDADE S (ATE 180 KM POR/H), PROFUNDIDADE DOS SULCOS 11,0 MM.</t>
  </si>
  <si>
    <t>GRELHA COM PORTA GRELHA, REDONDA EM ALUMINIO 4"</t>
  </si>
  <si>
    <t>CORREDICA BASE PARA GAVETA DE 30 CM</t>
  </si>
  <si>
    <t>TABUA PARA CARNE, EM POLIPROPILENO, INQUEBRAVEL, DE FACIL HIGIENIZACAO E QUE NAO PERMITA A PROLIFERACAO DE FUNGOS, BACTERIAS E ODORES - ESPESSURA 1,5 CM - MEDIDAS: 25 X 37CM (PODERA TER VARIACAO DE +/- 5 CM)</t>
  </si>
  <si>
    <t>PISO CERAMICO ANTI-DERRAPANTE, PEI 5, TRAFEGO ALTO, MEDIDA APROX. 354 X 354 MM</t>
  </si>
  <si>
    <t>PEGADOR DE MACARRAO EM ACO INOX, COMPRIMENTO APROXIMADO DE 20 CM</t>
  </si>
  <si>
    <t>PASTILHA CERAMICA 10 X 10 CM TELADO COR VERMELHA</t>
  </si>
  <si>
    <t>PNEU 225/70 R15, 08 LONAS</t>
  </si>
  <si>
    <t>PNEU 205/75 - R 16, 08 LONAS, LISO</t>
  </si>
  <si>
    <t xml:space="preserve">BOTINA DE COURO N° 38, C/BICO DE ACO, SOLADO PU  </t>
  </si>
  <si>
    <t>BOTINA DE COURO N° 41, C/BICO DE ACO, SOLADO PU</t>
  </si>
  <si>
    <t>BOTINA DE COURO N° 42, C/BICO DE ACO, SOLADO PU</t>
  </si>
  <si>
    <t>LIXA CINTA DE PANO P/MADEIRA - 610 X 100MM - GRAM. 80</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</si>
  <si>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</si>
  <si>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</si>
  <si>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</si>
  <si>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</si>
  <si>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</si>
  <si>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</si>
  <si>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</si>
  <si>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PAPEL DE SEDA - 48 X 60 CM - VERDE CLARO</t>
  </si>
  <si>
    <t xml:space="preserve">MANGOTE DE RASPA </t>
  </si>
  <si>
    <t>PERNEIRA DE PROTECAO</t>
  </si>
  <si>
    <t xml:space="preserve">AVENTAL DE RASPA,  EM COURO. </t>
  </si>
  <si>
    <t>AVENTAL - TIPO JALECO, EM TECIDO MISTO DE POLIESTER E ALGODAO , C/MANGA CURTA - COR: AZUL CLARO - TAM: GG</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</si>
  <si>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</si>
  <si>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</si>
  <si>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</si>
  <si>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</si>
  <si>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</si>
  <si>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</si>
  <si>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LUVA DE VAQUETA - COMPRIMENTO DE 28 CM</t>
  </si>
  <si>
    <t>DESVIO A ESQUERDA, PERFURADO, GALVANIZADO P/ELETROCALHA - LARGURA 200MM X ALTURA 50MM</t>
  </si>
  <si>
    <t>CABO UTP 24 AWG X 4 PARES CATEGORIA 6, CM</t>
  </si>
  <si>
    <t>LUMINARIA DE SOBREPOR HERMETICA, 2 LAMPADAS TUBULARES DE 32W</t>
  </si>
  <si>
    <t>PASTA PARA LIMPEZA - 1 KG</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</si>
  <si>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</si>
  <si>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</si>
  <si>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</si>
  <si>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</si>
  <si>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</si>
  <si>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</si>
  <si>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</si>
  <si>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REVESTIMENTO CERAMICO PARA PISOS - 41 X 41 CM - PEI 4 - COR PALHA</t>
  </si>
  <si>
    <t>TINTA ACRILICA LAVAVEL. - BEGE - 18 LITROS</t>
  </si>
  <si>
    <t>CALCADO DE SEGURANCA, N° 45 SEM COMPONENTES METALICOS</t>
  </si>
  <si>
    <t>LUVA DE RASPA DE COURO, CANO LONGO</t>
  </si>
  <si>
    <t>ESCORREDOR DE PRATO EM INOX</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</si>
  <si>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</si>
  <si>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</si>
  <si>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</si>
  <si>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</si>
  <si>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PUXADOR EXTERNO PARA ARMARIO</t>
  </si>
  <si>
    <t xml:space="preserve">VASSOURA PARA GRAMA  REGULAVEL 22 PALHETAS ACHATADAS  COM CABO </t>
  </si>
  <si>
    <t>BOTA DE PVC N° 38 - CANO CURTO</t>
  </si>
  <si>
    <t>BOTA DE PVC N° 40 - CANO CURTO</t>
  </si>
  <si>
    <t>BOTA DE PVC N° 41 - CANO CURTO</t>
  </si>
  <si>
    <t>BOTA DE PVC N° 42 - CANO CURTO</t>
  </si>
  <si>
    <t xml:space="preserve">GUIA DE CONCRETO PRE MOLDADA FINA, PADRAO PMRJ. MEDIDAS: 10CM (ESPESSURA TOPO) X 12CM (ESPESSURA BASE) X 30CM (ALTURA) X 1M (COMPRIMENTO). </t>
  </si>
  <si>
    <t xml:space="preserve">RODIZIO GIRATORIO DE 1" 1/2 PARA CARRINHO </t>
  </si>
  <si>
    <t>PLUG MOVEL 2P 90° PADRAO NBR 14136 DE 20A/250V GIGANTE</t>
  </si>
  <si>
    <t xml:space="preserve">ELETRODO P/ SOLDA 2,5 MM E 6013  </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</si>
  <si>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</si>
  <si>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</si>
  <si>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</si>
  <si>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</si>
  <si>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CONDULETE EM LIGA DE ALUMINIO FUNDIDO TIPO "LR"  - 3/4</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</si>
  <si>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</si>
  <si>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</si>
  <si>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</si>
  <si>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</si>
  <si>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</si>
  <si>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 xml:space="preserve">PISO CERAMICO ANTI-DERRAPANTE PEI-5 MEDINDO 52 X 52CM - COR: </t>
  </si>
  <si>
    <t>PLASTICO CRISTAL TRANSPARENTE DE 0,40 MICRONS X 1,40 M LARGURA  X 30 M DE COMPRIMENTO</t>
  </si>
  <si>
    <t>FECHADURA DE SOBREPOR PARA GAVETA, 22MM</t>
  </si>
  <si>
    <t>FECHADURA DE SOBREPOR PARA GAVETA, COM CILINDRO, 31 MM</t>
  </si>
  <si>
    <t xml:space="preserve">TOMADA PADRAO  DE SOBREPOR </t>
  </si>
  <si>
    <t>PASTILHA CERAMICA TELADO MEDINDO 10 X 10 CM - COR AZUL CEU</t>
  </si>
  <si>
    <t>PASTILHA CERAMICA TELADO MEDINDO 10 X 10 CM - COR CREMA</t>
  </si>
  <si>
    <t>PASTILHA CERAMICA TELADO MEDINDO 10 X 10 CM - COR LARANJA</t>
  </si>
  <si>
    <t>PNEU 205/55 R16</t>
  </si>
  <si>
    <t>DISCO DE DESBASTE DE 4 ¹/2  X 1/4 X 7/8 - CONFORME NORMAS DA ABNT</t>
  </si>
  <si>
    <t xml:space="preserve">LUMINARIA AUTONOMA DE EMERGENCIA COM LEDS, ALIMENTACAO 110/220V </t>
  </si>
  <si>
    <t>PNEU 275/80R22,5 - 16 LONAS, RADIAL PARA EIXO TRATIVO, PISO MISTO (ASFALTO/TERRA),CAPACIDADE DE CARGA SIMPLES/DUPLO (KG) 3250/3000, CODIGO DE VELOCIDADE "K", PROFUNDIDADE DOS SULCOS MINIMO 26,0 MM</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</si>
  <si>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</si>
  <si>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</si>
  <si>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PISO DE BORRACHA MODELO S, COR : TERRACOTA NA MEDIDA: 270 X 180 X 60 MM.</t>
  </si>
  <si>
    <t>TOMADA MODULAR 2P+T 20 A/250V NBR 14136 COM SUPORTE E PLACA 4X2" DE UM POSTO.</t>
  </si>
  <si>
    <t>INTERRUPTOR MODULAR SIMPLES 10 A/250V COM SUPORTE E PLACA 4X2" DE UM POSTO.</t>
  </si>
  <si>
    <t>INTERRUPTOR MODULAR PARALELO BIPOLAR 10 A/250V COM SUPORTE E PLACA 4X2" DE UM POSTO.</t>
  </si>
  <si>
    <t>REVESTIMENTO CERAMICO PARA PISOS - 45 X 45 CM, NA COR PALHA.</t>
  </si>
  <si>
    <t>REVESTIMENTO CERAMICO PARA PISOS - 45 X 45 CM, NA COR MARFIM.</t>
  </si>
  <si>
    <t xml:space="preserve">PLACA CENTRAL PARA ALARMES ADEMCO VISTA 48 PLACA DE MONITORAMENTO LOCAL DO TIPO MICRO-PROCESSADA, COM NO MINIMO 08 PERIMETROS, CARREGADOR DE BATERIA, FORMATO DE COMUNICACAO CONTACT ID. </t>
  </si>
  <si>
    <t>CAPA DE CHUVA NA COR AMARELA, CONFECCIONADA EM PVC LAMINADO COM FORRO DE POLIESTER - TAM. G</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</si>
  <si>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</si>
  <si>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</si>
  <si>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</si>
  <si>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</si>
  <si>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MINIDICIONÁRIO</t>
  </si>
  <si>
    <t>REVESTIMENTO CERAMICO PARA PISOS - 45 X 45 CM, PODENDO VARIAR +/- 2 CM,  4 MM DE ESPESSURA, PODENDO VARIAR +/- 1 MM,  DE PEI 4 - NA COR BRANCA.</t>
  </si>
  <si>
    <t>LAMPADA LED BULBO 10W - LAMPADA LED BULBO, BASE E27, POTENCIA 10W, TENSAO 100-240V</t>
  </si>
  <si>
    <t>LAMPADA LED BULBO 20W - LAMPADA LED BULBO, BASE E27, POTENCIA 20W, TENSAO 100-240V</t>
  </si>
  <si>
    <t>ESTICADOR EM FERRO GALVANIZADO PARA CABO DE ACO DE ATE 5/16"</t>
  </si>
  <si>
    <t>APONTADOR PARA LÁPIS Nº 2</t>
  </si>
  <si>
    <t>BORRACHA BRANCA COMUM (SEM CINTA), MEDIDA: 40MM X 30MM X 10MM.</t>
  </si>
  <si>
    <t>CADERNO ESPIRAL CAPA DURA 1/4 96 FLS, CAPA DURA.</t>
  </si>
  <si>
    <t>COLA BRANCA 90G</t>
  </si>
  <si>
    <t>TESOURA ESCOLAR</t>
  </si>
  <si>
    <t xml:space="preserve">PAPEL KRAFT (PAPEL PARDO) EM BOBINA - 60 CM X 150 M </t>
  </si>
  <si>
    <t>CADERNO DE DESENHO ESPIRAL, 96 FOLHAS, CAPA DURA.</t>
  </si>
  <si>
    <t>CANETA HIDROGRAFICA PONTA FINA/MEDIA, CONJUNTO COM 12  CORES</t>
  </si>
  <si>
    <t>GIZ DE CERA JUMBO, COM NO MINIMO 12 CORES, ATOXICO.</t>
  </si>
  <si>
    <t>LAPIS DE COR, SEXTAVADO, COM 24 CORES</t>
  </si>
  <si>
    <t>CALCADO DE SEGURANCA, TIPO BOTINA - Nº 38</t>
  </si>
  <si>
    <t>CALCADO DE SEGURANCA, TIPO BOTINA - Nº 39</t>
  </si>
  <si>
    <t>CALCADO DE SEGURANCA, TIPO BOTINA - Nº 40</t>
  </si>
  <si>
    <t>CALCADO DE SEGURANCA, TIPO BOTINA - Nº 42</t>
  </si>
  <si>
    <t>TINTA ESMALTE SINTETICO BRILHANTE, PADRAO PREMIUM, COR AZUL DEL REY, GALAO COM 3.600 ML.</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</si>
  <si>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</si>
  <si>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</si>
  <si>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</si>
  <si>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PC</t>
  </si>
  <si>
    <t>PT</t>
  </si>
  <si>
    <t>BD</t>
  </si>
  <si>
    <t>TB</t>
  </si>
  <si>
    <t>L</t>
  </si>
  <si>
    <t>FR</t>
  </si>
  <si>
    <t>LT</t>
  </si>
  <si>
    <t>UN</t>
  </si>
  <si>
    <t>KG</t>
  </si>
  <si>
    <t>M3</t>
  </si>
  <si>
    <t>CJ</t>
  </si>
  <si>
    <t>RL</t>
  </si>
  <si>
    <t>BR</t>
  </si>
  <si>
    <t>BC</t>
  </si>
  <si>
    <t>BB</t>
  </si>
  <si>
    <t>PR</t>
  </si>
  <si>
    <t>M</t>
  </si>
  <si>
    <t>SO</t>
  </si>
  <si>
    <t>ET</t>
  </si>
  <si>
    <t>FL</t>
  </si>
  <si>
    <t>CX</t>
  </si>
  <si>
    <t>CH</t>
  </si>
  <si>
    <t>GL</t>
  </si>
  <si>
    <t>M2</t>
  </si>
  <si>
    <t>JG</t>
  </si>
  <si>
    <t>KT</t>
  </si>
  <si>
    <t>RM</t>
  </si>
  <si>
    <t>PO</t>
  </si>
  <si>
    <t>CT</t>
  </si>
  <si>
    <t>BA</t>
  </si>
  <si>
    <t>BN</t>
  </si>
  <si>
    <t>PD</t>
  </si>
  <si>
    <t>GF</t>
  </si>
  <si>
    <t>US_NOME</t>
  </si>
  <si>
    <t>US_DATH</t>
  </si>
  <si>
    <t>Lista de material escolar para entrega no início de 2020 conforme planilhas</t>
  </si>
  <si>
    <t>FATOR</t>
  </si>
  <si>
    <t>marcos.pereira</t>
  </si>
  <si>
    <t xml:space="preserve">2020 Material Escolar </t>
  </si>
  <si>
    <t>2020 Novas Salas</t>
  </si>
  <si>
    <t>Material utilizado na contrução de novas salas de aula</t>
  </si>
  <si>
    <t>2020 Climatizadores</t>
  </si>
  <si>
    <t>Material utilizado na instalação dos climatizadores</t>
  </si>
  <si>
    <t>VALIDADE</t>
  </si>
  <si>
    <t>QUANTIDADE</t>
  </si>
  <si>
    <t>TOTAL</t>
  </si>
  <si>
    <t>ITENS PARA EXCLUIR DO ESTOQUE</t>
  </si>
  <si>
    <t>GRUPO</t>
  </si>
  <si>
    <t>SUBGR</t>
  </si>
  <si>
    <t>TRANSF</t>
  </si>
  <si>
    <t>ENVELOPE PARDO - TIPO SACO 200 X 280MM- GRAMATURA MINIMA 80 G/M²</t>
  </si>
  <si>
    <t>LUVA DE PROTECAO,  CONFECCIONADA EM RASPA DE COURO,  DORSO EM LONA, PUNHO IGUAL A 7 CM.</t>
  </si>
  <si>
    <t>T HORIZONTAL 90° P/ELETROCALHA 200X50</t>
  </si>
  <si>
    <t>TINTA ACRÍLICA BRANCA</t>
  </si>
  <si>
    <t>TINTA ACRILICA, A BASE DE AGUA, LAVAVEL, SEM CHEIRO (APOS 3 HORAS APLICACAO), PARA USO INTERNO, COR VERDE CLARO, ACABAMENTO ACETINADO, LATA COM 18 LITROS, RENDIMENTO ENTRE 225 A 275 M2/DEMAO</t>
  </si>
  <si>
    <t>TINTA ACRILICA, A BASE DE AGUA, LAVAVEL, SEM CHEIRO (APOS 3 HORAS APLICACAO), PARA USO INTERNO, COR AMARELO CLARO, ACABAMENTO ACETINADO, LATA COM 18 LITROS, RENDIMENTO ENTRE 225 A 275 M2/DEMAO</t>
  </si>
  <si>
    <t>Referência</t>
  </si>
  <si>
    <t>Valor</t>
  </si>
  <si>
    <t>Observações</t>
  </si>
  <si>
    <t>CaminhoPadrãoDasPlanilhasDeCompraNaRede</t>
  </si>
  <si>
    <t>G:\Suprimentos\Compras\3 Planilhas Compras Estoque\</t>
  </si>
  <si>
    <t>Caminho padrão na rede. Mudar somente se necessário.</t>
  </si>
  <si>
    <t>PlanilhaPrincipal</t>
  </si>
  <si>
    <t>ABA#</t>
  </si>
  <si>
    <t>Extras</t>
  </si>
  <si>
    <t>priscila.miranda</t>
  </si>
  <si>
    <t>6/10/2019  2:10:29 PM</t>
  </si>
  <si>
    <t>5/27/2019  3:31:16 PM</t>
  </si>
  <si>
    <t>6/27/2019  2:54:12 PM</t>
  </si>
  <si>
    <t>6/11/2019  2:59:49 PM</t>
  </si>
  <si>
    <t>6/11/2019  2:47:16 PM</t>
  </si>
  <si>
    <t>5/28/2019  9:21:22 AM</t>
  </si>
  <si>
    <t>5/22/2019  9:57:19 AM</t>
  </si>
  <si>
    <t>6/6/2019  4:40:08 PM</t>
  </si>
  <si>
    <t>6/24/2019  9:40:53 AM</t>
  </si>
  <si>
    <t>6/12/2019  2:41:30 PM</t>
  </si>
  <si>
    <t>6/14/2019  1:24:39 PM</t>
  </si>
  <si>
    <t>5/21/2019  11:24:44 AM</t>
  </si>
  <si>
    <t>6/11/2019  2:46:24 PM</t>
  </si>
  <si>
    <t>6/12/2019  11:52:18 AM</t>
  </si>
  <si>
    <t>6/11/2019  3:22:46 PM</t>
  </si>
  <si>
    <t>6/3/2019  3:12:16 PM</t>
  </si>
  <si>
    <t>6/6/2019  4:40:22 PM</t>
  </si>
  <si>
    <t>5/15/2019  5:13:06 PM</t>
  </si>
  <si>
    <t>5/20/2019  1:23:50 PM</t>
  </si>
  <si>
    <t>6/5/2019  10:16:37 AM</t>
  </si>
  <si>
    <t>6/14/2019  1:32:45 PM</t>
  </si>
  <si>
    <t>6/11/2019  2:49:51 PM</t>
  </si>
  <si>
    <t>5/29/2019  4:52:30 PM</t>
  </si>
  <si>
    <t>6/24/2019  9:41:50 AM</t>
  </si>
  <si>
    <t>6/11/2019  3:11:36 PM</t>
  </si>
  <si>
    <t>6/6/2019  11:17:37 AM</t>
  </si>
  <si>
    <t>6/6/2019  11:18:20 AM</t>
  </si>
  <si>
    <t>5/22/2019  8:03:23 AM</t>
  </si>
  <si>
    <t>6/6/2019  10:46:52 AM</t>
  </si>
  <si>
    <t>Excluir?</t>
  </si>
  <si>
    <t>RC_REEMITIDA</t>
  </si>
  <si>
    <t>ANO_REEMITIDA</t>
  </si>
  <si>
    <t>RC_ANTERIOR</t>
  </si>
  <si>
    <t>ANO_ANTERIOR</t>
  </si>
  <si>
    <t>Item não atendido no PP 101/18. A RC 5881/18 foi complemento da RC 1500/18</t>
  </si>
  <si>
    <t>Item não atendido no PP 101/18</t>
  </si>
  <si>
    <t>QTD_REEMITIDA</t>
  </si>
  <si>
    <t>QTD_ANTERIOR</t>
  </si>
  <si>
    <t>Item não atendido no PP 101/18. RC Cancelada pelo DRM</t>
  </si>
  <si>
    <t>Item não atendido no PP 209/19. RC Cancelada pelo DRM</t>
  </si>
  <si>
    <t>Item não atendido no PP 207/19. RC Cancelada pelo DRM</t>
  </si>
  <si>
    <t>PLASTICO A3 PARA PLASTIFICACAO - POLASEAL 0,05 MM- 303 X 426 - CAIXA COM 100 UNIDADES</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</si>
  <si>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</si>
  <si>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</si>
  <si>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</si>
  <si>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</si>
  <si>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</si>
  <si>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LUMINARIA HIGH BAY, COM DRIVER INCORPORADO, VIDA UTIL MINIMA DE 50.000 HS, IRC MINIMO 70%, FLUXO LUMINOSO MINIMO DE 18.000 LM, EFICIENCIA ENERGETICA MINIMA DE 100LM/W, TEMPERATURA DE COR 5000 A 6500 K, POTENCIA MAXIMA 200W, TENSAO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</si>
  <si>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</si>
  <si>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</si>
  <si>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PROJETOR/REFLETOR LED COM DRIVER INCORPORADO, VIDA UTIL MINIMA DE 50.000 HS, IRC MINIMO 70, FLUXO LUMINOSO MINIMO 18.000 LM, EFICIENCIA ENERGETICA MINIMA DE 112,5 LM/W, TEMPERATURA DE COR 5000 A 6500 K, POTENCIA MAXIMA 160W, 220V/60HZ</t>
  </si>
  <si>
    <t>MASCARA DE SOLDA DE SEGURANCA TIPO ESCURECIMENTO AUTOMATICO</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</si>
  <si>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</si>
  <si>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AVENTAL DE SEGURANCA CONFECCIONADO EM TECIDO SINTETICO PLASTIFICADO COM PVC EM AMBAS AS FACES, TIRAS DE AJUSTES NO PESCOCO E NA CINTURA JA FIXADAS NO AVENTAL ATRAVES DE ILHOSES REFORCADOS OU SOLDADAS ELETRONICAMENTE.</t>
  </si>
  <si>
    <t>OCULOS CONTRA IMPACTOS DE SOBREPOSICAO</t>
  </si>
  <si>
    <t>ALCOOL GEL A 70% , FRASCO COM 500 ML, COM HIDRATANTE ALOE VERA. PROTEGIDO EM CAIXA DE PAPELAO RESISTENTE, CONTENDO DATA DE FABRICACAO, DATA DE VALIDADE MINIMA DE 12 (DOZE) MESES A PARTIR DA DATA DE ENTREGA, NUMERO DO LOTE, IDENTIFICACAO DO FABRICANTE E NUMERO DE REGISTRO NA ANVISA COMO COSMETICO, CLASSIFICADO COMO GRAU 2.</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</si>
  <si>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</si>
  <si>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</si>
  <si>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LUVA DE RASPA CANO MEDIO - LUVA DE SEGURANCA, CONFECCIONADA EM RASPA, REFORCO INTERNO EM RASPA NA PALMA E FACE PALMAR DOS DEDOS, REFORCO EXTERNO EM RASPA ENTRE O POLEGAR E O INDICADOR. CANO MEDIO DE CUMPRIMENTO IGUAL A 15 CM</t>
  </si>
  <si>
    <t>DISCO DE DESBASTE INDUSTRIAL PARA ACO / ACO INOX, DIMENSOES: Ø 4.1/2" X 1/4" X Ø 7/8", ROTACAO: 12.250 A 13.200 RPM</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</si>
  <si>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</si>
  <si>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CABO DE COBRE FLEXIVEL BITOLA 25 MM², 0,6/1 KV ISOLACAO DE PVC 70° C, ANTICHAMA, COR AZUL-CLARO   ** NAO UTILIZAR - VIDE COD. 140242 **</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</si>
  <si>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</si>
  <si>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</si>
  <si>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LIXA CINTA DE PANO, PARA MADEIRA, GRAU 60 - MED. 1,5 M X 15CM</t>
  </si>
  <si>
    <t>LUVA DE LATEX PARA PROCEDIMENTOS TAM "G"</t>
  </si>
  <si>
    <t>LUVA DE LATEX PARA PROCEDIMENTOS TAM "M"</t>
  </si>
  <si>
    <t>ROLO PARA PINTURA 23 CM, CONFECCIONADO EM LA DE CARNEIRO 100% NATURAL COM ALTURA MINIMA DE 30 MM, CABO TIPO GARFO-GAIOLA PRODUZIDO EM ACO ZINCADO COM PUNHO E BUCHA DE POLIETILENO OU SIMILAR</t>
  </si>
  <si>
    <t>ABRACADEIRA DE NYLON COMPRIMENTO 200 MM</t>
  </si>
  <si>
    <t>ABRACADEIRA DE NYLON COMPRIMENTO 300 MM</t>
  </si>
  <si>
    <t>ADESIVO SELANTE A BASE DE POLIURETANO, PARA A CONSTRUCAO CIVIL. ADERENCIA A MADEIRA, CONCRETO, ALVENARIA, GESSO, PVC, FERRO E ALUMINIO, ENTRE OUTRAS - TUBO COM, NO MINIMO, 350 GRAMAS.</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</si>
  <si>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</si>
  <si>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</si>
  <si>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</si>
  <si>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</si>
  <si>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</si>
  <si>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</si>
  <si>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</si>
  <si>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</si>
  <si>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</si>
  <si>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</si>
  <si>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</si>
  <si>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</si>
  <si>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</si>
  <si>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</si>
  <si>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</si>
  <si>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</si>
  <si>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</si>
  <si>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</si>
  <si>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</si>
  <si>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</si>
  <si>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</si>
  <si>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</si>
  <si>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50,00 MM²  COR VERDE, ISOLACAO HEPR 90ºC, 0,6/1KV E COBERTURA NAO HALOGENADA,  ANTI-CHAMA CONFORME NBR VIGENTE E CERTIFICACAO COMPULSORIA INMETRO.</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</si>
  <si>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</si>
  <si>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</si>
  <si>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</si>
  <si>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95,00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</si>
  <si>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</si>
  <si>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</si>
  <si>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CALCA DE BRIM N° 38, CONFECCIONADA EM TECIDO MISTO 67% ALGODAO NA COR AZUL MARINHO.</t>
  </si>
  <si>
    <t>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t>
  </si>
  <si>
    <t>DISCO DE CORTE 4 1/2" DE DIAMETRO EXTERNO, 1/8" DE ESPESSURA E 7/8" DE DIAMETRO DE FURO</t>
  </si>
  <si>
    <t>FERRO "U" PENDURAL, MED. 40 MM DE LARGURA X 7 MM DE ESPESSURA X 40 CM DE COMPRIMENTO</t>
  </si>
  <si>
    <t>FUNDO PARA GALVANIZADOS, LINHA PREMIUM, NA COR CINZA - GALAO COM 3,600 ML</t>
  </si>
  <si>
    <t>GIZAO DE CERA REDONDO, ATOXICO, COM 6 CORES. DIMENSOES MINIMAS: 22 MM DE DIAMETRO E 69 MM DE COMPRIMENTO, COM PESO MINIMO DE 185 GRAMAS, COMPOSICAO: A BASE DE CERA, CARGAS MINERAIS INERTES E PIGMENTOS.</t>
  </si>
  <si>
    <t>LAVATORIO DE LOUCA COM COLUNA, NA COR BRANCA, DIMENSOES MINIMAS: 41 X 34 CM.</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</si>
  <si>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</si>
  <si>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LUVA DE RASPA DORSO EM LONA CANO LONGO - LUVA DE SEGURANCA CONFECCIONADA EM RASPA NA PALMA, TIRA DE REFORCO ENTRE OS DEDOS POLEGAR E INDICADOR, DORSO EM LONA, PUNHO EM MALHA. CANO LONGO DE COMPRIMENTO SUPERIOR A 20CM.</t>
  </si>
  <si>
    <t>MASSA CORRIDA ACRILICA - LT COM 18 L</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</si>
  <si>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</si>
  <si>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</si>
  <si>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</si>
  <si>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ROLO DE PELE DE CARNEIRO PARA PINTURA DE SUPERFICIES ASPERAS E RUGOSAS, USO COM TINTAS LATEX E ACRILICA COM 19 MM DE ALTURA E LARGURA DE 23 CM, COM CABO</t>
  </si>
  <si>
    <t>SACO PLASTICO PARA LIXO, COR AZUL, 100 LITROS</t>
  </si>
  <si>
    <t>TINTA ACRILICA PISO,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</si>
  <si>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</si>
  <si>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</si>
  <si>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</si>
  <si>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ESMALTE SINTETICO BRILHANTE, LINHA PREMIUM. COR BRANCO - GALAO COM 3.600 ML, A BASE DE SOLVENTE</t>
  </si>
  <si>
    <t>TINTA ESMALTE SINTETICO BRILHANTE, LINHA PREMIUM.COR PRETO, GALAO COM 3.600 ML, A BASE DE SOLVENTE</t>
  </si>
  <si>
    <t>TINTA ESMALTE SINTETICO BRILHANTE, LINHA PREMIUM.COR VERDE FOLHA, GALAO COM 3.600 ML, A BASE DE SOLVENTE</t>
  </si>
  <si>
    <t>TINTA LATEX ACRILICA SEMIBRILHO, LINHA PREMIUM, COR  AMARELO MELAO MADURO - LATA COM 18 LITROS</t>
  </si>
  <si>
    <t>TINTA LATEX ACRILICA SEMIBRILHO, LINHA PREMIUM, COR  AZUL BIONICO - LATA COM 18 LITROS</t>
  </si>
  <si>
    <t>TINTA LATEX ACRILICA SEMIBRILHO, LINHA PREMIUM, COR BRANCO - LATA COM 18 LITROS</t>
  </si>
  <si>
    <t>TORNEIRA DE PRESSAO CURTA PARA TANQUE E JARDIM, EM LATAO NATURAL, BITOLA DE ½" COM BUCHA ADAPTAVEL EM LATAO DE ½" PARA ¾". MARCA DEVERA SER LITOGRAFADA NO PRODUTO.</t>
  </si>
  <si>
    <t>VERNIZ SINTETICO MARITIMO BRILHANTE, LINHA PREMIUM, GALAO COM 3,6 LITROS, USO INTERIOR E EXTERIOR, COR TRANSPARENTE , PARA DILUICAO A BASE DE SOLVENTE</t>
  </si>
  <si>
    <t>rafael.brito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</si>
</sst>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dd\.mm\.yyyy\ \-\ hh:mm"/>
    <numFmt numFmtId="165" formatCode="dd\.mm\.yyyy"/>
    <numFmt numFmtId="166" formatCode="_ dd/mm/yyyy\ hh:mm"/>
    <numFmt numFmtId="167" formatCode="dd/mm/yyyy\ hh:mm;@"/>
    <numFmt numFmtId="168" formatCode="dd\.mm\.yyyy\ \-\ \ hh:mm;@"/>
    <numFmt numFmtId="169" formatCode="#,##0_;"/>
  </numFmts>
  <fonts count="22" x14ac:knownFonts="1">
    <font>
      <sz val="11"/>
      <color theme="1"/>
      <name val="Calibri"/>
      <family val="2"/>
      <scheme val="minor"/>
    </font>
    <font>
      <b/>
      <sz val="11"/>
      <color theme="1"/>
      <name val="Calibri"/>
      <family val="2"/>
      <scheme val="minor"/>
    </font>
    <font>
      <b/>
      <sz val="20"/>
      <color theme="1"/>
      <name val="Calibri"/>
      <family val="2"/>
      <scheme val="minor"/>
    </font>
    <font>
      <b/>
      <sz val="12"/>
      <color theme="1"/>
      <name val="Calibri"/>
      <family val="2"/>
      <scheme val="minor"/>
    </font>
    <font>
      <sz val="10"/>
      <color indexed="81"/>
      <name val="Lucida Console"/>
      <family val="3"/>
    </font>
    <font>
      <sz val="8"/>
      <color theme="1"/>
      <name val="Lucida Console"/>
      <family val="3"/>
    </font>
    <font>
      <b/>
      <sz val="14"/>
      <color theme="1"/>
      <name val="Calibri"/>
      <family val="2"/>
      <scheme val="minor"/>
    </font>
    <font>
      <b/>
      <sz val="8"/>
      <color theme="1"/>
      <name val="Lucida Console"/>
      <family val="3"/>
    </font>
    <font>
      <b/>
      <sz val="12"/>
      <color rgb="FFFF0000"/>
      <name val="Calibri"/>
      <family val="2"/>
      <scheme val="minor"/>
    </font>
    <font>
      <b/>
      <sz val="16"/>
      <color theme="1"/>
      <name val="Calibri"/>
      <family val="2"/>
      <scheme val="minor"/>
    </font>
    <font>
      <sz val="14"/>
      <color theme="1"/>
      <name val="Calibri"/>
      <family val="2"/>
      <scheme val="minor"/>
    </font>
    <font>
      <u/>
      <sz val="11"/>
      <color theme="10"/>
      <name val="Calibri"/>
      <family val="2"/>
      <scheme val="minor"/>
    </font>
    <font>
      <b/>
      <sz val="10"/>
      <color theme="1"/>
      <name val="Lucida Console"/>
      <family val="3"/>
    </font>
    <font>
      <sz val="10"/>
      <color theme="1"/>
      <name val="Lucida Console"/>
      <family val="3"/>
    </font>
    <font>
      <b/>
      <sz val="10"/>
      <color rgb="FFFF0000"/>
      <name val="Lucida Console"/>
      <family val="3"/>
    </font>
    <font>
      <sz val="10"/>
      <name val="Lucida Console"/>
      <family val="3"/>
    </font>
    <font>
      <b/>
      <sz val="10"/>
      <color theme="1"/>
      <name val="Lucida Console"/>
      <family val="3"/>
    </font>
    <font>
      <sz val="10"/>
      <color theme="1"/>
      <name val="Lucida Console"/>
      <family val="3"/>
    </font>
    <font>
      <b/>
      <sz val="10"/>
      <color rgb="FFFF0000"/>
      <name val="Lucida Console"/>
      <family val="3"/>
    </font>
    <font>
      <sz val="10"/>
      <name val="Lucida Console"/>
      <family val="3"/>
    </font>
    <font>
      <sz val="8"/>
      <color theme="1"/>
      <name val="Calibri"/>
      <family val="2"/>
      <scheme val="minor"/>
    </font>
    <font>
      <sz val="9"/>
      <color indexed="81"/>
      <name val="Segoe UI"/>
      <family val="2"/>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12">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style="medium">
        <color indexed="64"/>
      </left>
      <right/>
      <top/>
      <bottom/>
      <diagonal/>
    </border>
  </borders>
  <cellStyleXfs count="2">
    <xf numFmtId="0" fontId="0" fillId="0" borderId="0"/>
    <xf numFmtId="0" fontId="11" fillId="0" borderId="0" applyNumberFormat="0" applyFill="0" applyBorder="0" applyAlignment="0" applyProtection="0"/>
  </cellStyleXfs>
  <cellXfs count="112">
    <xf numFmtId="0" fontId="0" fillId="0" borderId="0" xfId="0"/>
    <xf numFmtId="0" fontId="1" fillId="0" borderId="2" xfId="0" applyFont="1" applyBorder="1" applyAlignment="1">
      <alignment horizontal="center" vertical="center" wrapText="1"/>
    </xf>
    <xf numFmtId="0" fontId="1" fillId="0" borderId="2" xfId="0" applyFont="1" applyBorder="1" applyAlignment="1">
      <alignment horizontal="center" vertical="center" textRotation="90" wrapText="1"/>
    </xf>
    <xf numFmtId="0" fontId="0" fillId="0" borderId="5" xfId="0" applyNumberFormat="1" applyFill="1" applyBorder="1" applyAlignment="1">
      <alignment vertical="center" wrapText="1"/>
    </xf>
    <xf numFmtId="0" fontId="0" fillId="0" borderId="5" xfId="0" applyNumberFormat="1" applyFill="1" applyBorder="1" applyAlignment="1">
      <alignment horizontal="center" vertical="center" wrapText="1"/>
    </xf>
    <xf numFmtId="0" fontId="0" fillId="0" borderId="0" xfId="0" applyAlignment="1">
      <alignment horizontal="left" vertical="top" wrapText="1" indent="1"/>
    </xf>
    <xf numFmtId="0" fontId="0" fillId="0" borderId="0" xfId="0" applyAlignment="1">
      <alignment horizontal="center" vertical="top"/>
    </xf>
    <xf numFmtId="0" fontId="0" fillId="0" borderId="0" xfId="0" applyFill="1"/>
    <xf numFmtId="3" fontId="1"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horizontal="left" vertical="center" wrapText="1" indent="1"/>
    </xf>
    <xf numFmtId="0" fontId="0" fillId="0" borderId="0" xfId="0" applyAlignment="1">
      <alignment horizontal="left" vertical="center"/>
    </xf>
    <xf numFmtId="49" fontId="1" fillId="0" borderId="0" xfId="0" applyNumberFormat="1" applyFont="1" applyAlignment="1">
      <alignment horizontal="left" vertical="top" indent="1"/>
    </xf>
    <xf numFmtId="0" fontId="5" fillId="0" borderId="0" xfId="0" applyFont="1" applyAlignment="1">
      <alignment horizontal="left" vertical="top"/>
    </xf>
    <xf numFmtId="0" fontId="2" fillId="0" borderId="0" xfId="0" applyFont="1" applyAlignment="1">
      <alignment vertical="center"/>
    </xf>
    <xf numFmtId="0" fontId="6" fillId="0" borderId="1" xfId="0" applyFont="1" applyBorder="1" applyAlignment="1">
      <alignment horizontal="center" vertical="center" wrapText="1"/>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1" fillId="0" borderId="0" xfId="0" applyFont="1" applyAlignment="1">
      <alignment horizontal="center" vertical="top"/>
    </xf>
    <xf numFmtId="49" fontId="7" fillId="0" borderId="5" xfId="0" applyNumberFormat="1" applyFont="1" applyFill="1" applyBorder="1" applyAlignment="1">
      <alignment horizontal="left" vertical="top" indent="1"/>
    </xf>
    <xf numFmtId="164" fontId="7" fillId="0" borderId="5" xfId="0" applyNumberFormat="1" applyFont="1" applyFill="1" applyBorder="1" applyAlignment="1">
      <alignment horizontal="left" vertical="top"/>
    </xf>
    <xf numFmtId="49" fontId="7" fillId="0" borderId="8" xfId="0" applyNumberFormat="1" applyFont="1" applyFill="1" applyBorder="1" applyAlignment="1">
      <alignment horizontal="left" vertical="top" indent="1"/>
    </xf>
    <xf numFmtId="164" fontId="7" fillId="0" borderId="8" xfId="0" applyNumberFormat="1" applyFont="1" applyFill="1" applyBorder="1" applyAlignment="1">
      <alignment horizontal="left" vertical="top"/>
    </xf>
    <xf numFmtId="3" fontId="0" fillId="0" borderId="4" xfId="0" applyNumberFormat="1" applyFill="1" applyBorder="1" applyAlignment="1" applyProtection="1">
      <alignment horizontal="right" vertical="center" wrapText="1" indent="1"/>
      <protection locked="0"/>
    </xf>
    <xf numFmtId="3" fontId="0" fillId="0" borderId="7" xfId="0" applyNumberFormat="1" applyFill="1" applyBorder="1" applyAlignment="1" applyProtection="1">
      <alignment horizontal="right" vertical="center" wrapText="1" indent="1"/>
      <protection locked="0"/>
    </xf>
    <xf numFmtId="49" fontId="0" fillId="0" borderId="6" xfId="0" applyNumberFormat="1" applyFill="1" applyBorder="1" applyAlignment="1" applyProtection="1">
      <alignment horizontal="left" vertical="center" wrapText="1" indent="1"/>
      <protection locked="0"/>
    </xf>
    <xf numFmtId="165" fontId="0" fillId="0" borderId="6" xfId="0" applyNumberFormat="1" applyFill="1" applyBorder="1" applyAlignment="1" applyProtection="1">
      <alignment horizontal="center" vertical="center"/>
    </xf>
    <xf numFmtId="165" fontId="0" fillId="0" borderId="5" xfId="0" applyNumberFormat="1" applyFill="1" applyBorder="1" applyAlignment="1" applyProtection="1">
      <alignment horizontal="center" vertical="center"/>
    </xf>
    <xf numFmtId="165" fontId="0" fillId="0" borderId="9" xfId="0" applyNumberFormat="1" applyFill="1" applyBorder="1" applyAlignment="1" applyProtection="1">
      <alignment horizontal="center" vertical="center"/>
    </xf>
    <xf numFmtId="165" fontId="0" fillId="0" borderId="8" xfId="0" applyNumberFormat="1" applyFill="1" applyBorder="1" applyAlignment="1" applyProtection="1">
      <alignment horizontal="center" vertical="center"/>
    </xf>
    <xf numFmtId="3" fontId="0" fillId="0" borderId="6" xfId="0" applyNumberFormat="1" applyFill="1" applyBorder="1" applyAlignment="1" applyProtection="1">
      <alignment horizontal="center" vertical="center"/>
    </xf>
    <xf numFmtId="3" fontId="0" fillId="0" borderId="5" xfId="0" applyNumberFormat="1" applyFill="1" applyBorder="1" applyAlignment="1" applyProtection="1">
      <alignment horizontal="center" vertical="center"/>
    </xf>
    <xf numFmtId="3" fontId="0" fillId="0" borderId="9" xfId="0" applyNumberFormat="1" applyFill="1" applyBorder="1" applyAlignment="1" applyProtection="1">
      <alignment horizontal="center" vertical="center"/>
    </xf>
    <xf numFmtId="3" fontId="0" fillId="0" borderId="8" xfId="0" applyNumberFormat="1" applyFill="1" applyBorder="1" applyAlignment="1" applyProtection="1">
      <alignment horizontal="center" vertical="center"/>
    </xf>
    <xf numFmtId="165" fontId="0" fillId="0" borderId="0" xfId="0" applyNumberFormat="1" applyFont="1" applyAlignment="1">
      <alignment horizontal="center" vertical="top"/>
    </xf>
    <xf numFmtId="166" fontId="5" fillId="0" borderId="0" xfId="0" applyNumberFormat="1" applyFont="1" applyAlignment="1">
      <alignment horizontal="left" vertical="top"/>
    </xf>
    <xf numFmtId="0" fontId="3" fillId="0" borderId="3" xfId="0" applyFont="1" applyBorder="1" applyAlignment="1">
      <alignment horizontal="center" vertical="center" wrapText="1"/>
    </xf>
    <xf numFmtId="3" fontId="8" fillId="0" borderId="5" xfId="0" applyNumberFormat="1" applyFont="1" applyFill="1" applyBorder="1" applyAlignment="1">
      <alignment horizontal="right" vertical="center" wrapText="1" indent="1"/>
    </xf>
    <xf numFmtId="3" fontId="0" fillId="0" borderId="6" xfId="0" applyNumberFormat="1" applyFill="1" applyBorder="1" applyAlignment="1" applyProtection="1">
      <alignment horizontal="center" vertical="center"/>
      <protection locked="0"/>
    </xf>
    <xf numFmtId="3" fontId="0" fillId="0" borderId="5" xfId="0" applyNumberFormat="1" applyFill="1" applyBorder="1" applyAlignment="1" applyProtection="1">
      <alignment horizontal="center" vertical="center"/>
      <protection locked="0"/>
    </xf>
    <xf numFmtId="3" fontId="0" fillId="0" borderId="9" xfId="0" applyNumberFormat="1" applyFill="1" applyBorder="1" applyAlignment="1" applyProtection="1">
      <alignment horizontal="center" vertical="center"/>
      <protection locked="0"/>
    </xf>
    <xf numFmtId="3" fontId="0" fillId="0" borderId="8" xfId="0" applyNumberFormat="1" applyFill="1" applyBorder="1" applyAlignment="1" applyProtection="1">
      <alignment horizontal="center" vertical="center"/>
      <protection locked="0"/>
    </xf>
    <xf numFmtId="49" fontId="0" fillId="0" borderId="5" xfId="0" applyNumberFormat="1" applyFill="1" applyBorder="1" applyAlignment="1" applyProtection="1">
      <alignment horizontal="left" vertical="center" wrapText="1" indent="1"/>
      <protection locked="0"/>
    </xf>
    <xf numFmtId="49" fontId="0" fillId="0" borderId="8" xfId="0" applyNumberFormat="1" applyFill="1" applyBorder="1" applyAlignment="1" applyProtection="1">
      <alignment horizontal="left" vertical="center" wrapText="1" indent="1"/>
      <protection locked="0"/>
    </xf>
    <xf numFmtId="3" fontId="8" fillId="0" borderId="5" xfId="0" applyNumberFormat="1" applyFont="1" applyFill="1" applyBorder="1" applyAlignment="1" applyProtection="1">
      <alignment horizontal="right" vertical="center" wrapText="1" indent="1"/>
    </xf>
    <xf numFmtId="3" fontId="0" fillId="0" borderId="4" xfId="0" applyNumberFormat="1" applyFill="1" applyBorder="1" applyAlignment="1" applyProtection="1">
      <alignment horizontal="right" vertical="center" wrapText="1" indent="1"/>
    </xf>
    <xf numFmtId="0" fontId="0" fillId="0" borderId="5" xfId="0" applyNumberFormat="1" applyFill="1" applyBorder="1" applyAlignment="1" applyProtection="1">
      <alignment vertical="center" wrapText="1"/>
    </xf>
    <xf numFmtId="0" fontId="0" fillId="0" borderId="5" xfId="0" applyNumberFormat="1" applyFill="1" applyBorder="1" applyAlignment="1" applyProtection="1">
      <alignment horizontal="center" vertical="center" wrapText="1"/>
    </xf>
    <xf numFmtId="49" fontId="0" fillId="0" borderId="6" xfId="0" applyNumberFormat="1" applyFill="1" applyBorder="1" applyAlignment="1" applyProtection="1">
      <alignment horizontal="left" vertical="center" wrapText="1" indent="1"/>
    </xf>
    <xf numFmtId="49" fontId="0" fillId="0" borderId="5" xfId="0" applyNumberFormat="1" applyFill="1" applyBorder="1" applyAlignment="1" applyProtection="1">
      <alignment horizontal="left" vertical="center" wrapText="1" indent="1"/>
    </xf>
    <xf numFmtId="49" fontId="7" fillId="0" borderId="5" xfId="0" applyNumberFormat="1" applyFont="1" applyFill="1" applyBorder="1" applyAlignment="1" applyProtection="1">
      <alignment horizontal="left" vertical="center" indent="1"/>
    </xf>
    <xf numFmtId="164" fontId="7" fillId="0" borderId="5" xfId="0" applyNumberFormat="1" applyFont="1" applyFill="1" applyBorder="1" applyAlignment="1" applyProtection="1">
      <alignment horizontal="left" vertical="center"/>
    </xf>
    <xf numFmtId="0" fontId="0" fillId="0" borderId="8" xfId="0" applyNumberFormat="1" applyFill="1" applyBorder="1" applyAlignment="1">
      <alignment vertical="center" wrapText="1"/>
    </xf>
    <xf numFmtId="0" fontId="0" fillId="0" borderId="8" xfId="0" applyNumberFormat="1" applyFill="1" applyBorder="1" applyAlignment="1">
      <alignment horizontal="center" vertical="center" wrapText="1"/>
    </xf>
    <xf numFmtId="49" fontId="0" fillId="0" borderId="9" xfId="0" applyNumberFormat="1" applyFill="1" applyBorder="1" applyAlignment="1" applyProtection="1">
      <alignment horizontal="left" vertical="center" wrapText="1" indent="1"/>
      <protection locked="0"/>
    </xf>
    <xf numFmtId="0" fontId="0" fillId="0" borderId="7" xfId="0" applyNumberFormat="1" applyFill="1" applyBorder="1" applyAlignment="1">
      <alignment horizontal="center" vertical="center" wrapText="1"/>
    </xf>
    <xf numFmtId="3" fontId="8" fillId="0" borderId="8" xfId="0" applyNumberFormat="1" applyFont="1" applyFill="1" applyBorder="1" applyAlignment="1">
      <alignment horizontal="right" vertical="center" wrapText="1" indent="1"/>
    </xf>
    <xf numFmtId="49" fontId="7" fillId="0" borderId="9" xfId="0" applyNumberFormat="1" applyFont="1" applyFill="1" applyBorder="1" applyAlignment="1">
      <alignment horizontal="left" vertical="top" indent="1"/>
    </xf>
    <xf numFmtId="164" fontId="7" fillId="0" borderId="7" xfId="0" applyNumberFormat="1" applyFont="1" applyFill="1" applyBorder="1" applyAlignment="1">
      <alignment horizontal="left" vertical="top"/>
    </xf>
    <xf numFmtId="3" fontId="1" fillId="0" borderId="2" xfId="0" applyNumberFormat="1" applyFont="1" applyFill="1" applyBorder="1" applyAlignment="1">
      <alignment horizontal="right" vertical="top" indent="1"/>
    </xf>
    <xf numFmtId="0" fontId="1" fillId="0" borderId="2" xfId="0" applyFont="1" applyFill="1" applyBorder="1" applyAlignment="1">
      <alignment horizontal="center" vertical="top" wrapText="1"/>
    </xf>
    <xf numFmtId="49" fontId="1" fillId="0" borderId="2" xfId="0" applyNumberFormat="1" applyFont="1" applyFill="1" applyBorder="1" applyAlignment="1">
      <alignment horizontal="center" vertical="top"/>
    </xf>
    <xf numFmtId="1" fontId="1" fillId="0" borderId="2" xfId="0" applyNumberFormat="1" applyFont="1" applyFill="1" applyBorder="1" applyAlignment="1">
      <alignment horizontal="right" vertical="top" indent="1"/>
    </xf>
    <xf numFmtId="1" fontId="1" fillId="0" borderId="10" xfId="0" applyNumberFormat="1" applyFont="1" applyFill="1" applyBorder="1" applyAlignment="1">
      <alignment horizontal="left" vertical="top" indent="1"/>
    </xf>
    <xf numFmtId="0" fontId="1" fillId="0" borderId="10" xfId="0" applyFont="1" applyFill="1" applyBorder="1" applyAlignment="1">
      <alignment horizontal="center" vertical="top" wrapText="1"/>
    </xf>
    <xf numFmtId="3" fontId="0" fillId="0" borderId="0" xfId="0" applyNumberFormat="1" applyAlignment="1">
      <alignment horizontal="right" vertical="top" indent="1"/>
    </xf>
    <xf numFmtId="0" fontId="0" fillId="0" borderId="0" xfId="0" applyAlignment="1">
      <alignment horizontal="left" vertical="top" indent="1"/>
    </xf>
    <xf numFmtId="1" fontId="0" fillId="0" borderId="0" xfId="0" applyNumberFormat="1" applyAlignment="1">
      <alignment horizontal="right" vertical="top" indent="1"/>
    </xf>
    <xf numFmtId="0" fontId="9" fillId="0" borderId="0" xfId="0" applyFont="1" applyAlignment="1">
      <alignment horizontal="center" vertical="top"/>
    </xf>
    <xf numFmtId="0" fontId="9" fillId="0" borderId="0" xfId="0" applyFont="1" applyAlignment="1">
      <alignment horizontal="left" vertical="top" indent="1"/>
    </xf>
    <xf numFmtId="0" fontId="6" fillId="0" borderId="0" xfId="0" applyFont="1" applyFill="1" applyAlignment="1">
      <alignment horizontal="left" vertical="top" indent="1"/>
    </xf>
    <xf numFmtId="0" fontId="10" fillId="0" borderId="0" xfId="0" applyFont="1" applyFill="1" applyAlignment="1">
      <alignment horizontal="left" vertical="top" indent="1"/>
    </xf>
    <xf numFmtId="0" fontId="11" fillId="0" borderId="0" xfId="1" applyFill="1" applyAlignment="1">
      <alignment horizontal="left" vertical="top" indent="1"/>
    </xf>
    <xf numFmtId="3" fontId="5" fillId="0" borderId="5" xfId="0" applyNumberFormat="1" applyFont="1" applyFill="1" applyBorder="1" applyAlignment="1">
      <alignment horizontal="center" vertical="top"/>
    </xf>
    <xf numFmtId="3" fontId="5" fillId="0" borderId="8" xfId="0" applyNumberFormat="1" applyFont="1" applyFill="1" applyBorder="1" applyAlignment="1">
      <alignment horizontal="center" vertical="top"/>
    </xf>
    <xf numFmtId="3" fontId="5" fillId="0" borderId="7" xfId="0" applyNumberFormat="1" applyFont="1" applyFill="1" applyBorder="1" applyAlignment="1">
      <alignment horizontal="center" vertical="top"/>
    </xf>
    <xf numFmtId="0" fontId="0" fillId="0" borderId="0" xfId="0" applyNumberFormat="1" applyAlignment="1">
      <alignment horizontal="center" vertical="top"/>
    </xf>
    <xf numFmtId="0" fontId="0" fillId="0" borderId="0" xfId="0" applyAlignment="1">
      <alignment horizontal="left" vertical="center" indent="1"/>
    </xf>
    <xf numFmtId="0" fontId="0" fillId="0" borderId="0" xfId="0" applyAlignment="1">
      <alignment horizontal="center" vertical="center" textRotation="90"/>
    </xf>
    <xf numFmtId="3" fontId="12" fillId="0" borderId="0" xfId="0" applyNumberFormat="1" applyFont="1" applyAlignment="1">
      <alignment horizontal="right" vertical="top" indent="1"/>
    </xf>
    <xf numFmtId="1" fontId="12" fillId="0" borderId="0" xfId="0" applyNumberFormat="1" applyFont="1" applyAlignment="1">
      <alignment horizontal="center" vertical="top"/>
    </xf>
    <xf numFmtId="169" fontId="13" fillId="0" borderId="0" xfId="0" applyNumberFormat="1" applyFont="1" applyAlignment="1">
      <alignment horizontal="right" vertical="top"/>
    </xf>
    <xf numFmtId="3" fontId="14" fillId="0" borderId="0" xfId="0" applyNumberFormat="1" applyFont="1" applyAlignment="1">
      <alignment horizontal="right" vertical="top" indent="1"/>
    </xf>
    <xf numFmtId="1" fontId="14" fillId="0" borderId="0" xfId="0" applyNumberFormat="1" applyFont="1" applyAlignment="1">
      <alignment horizontal="center" vertical="top"/>
    </xf>
    <xf numFmtId="3" fontId="15" fillId="0" borderId="0" xfId="0" applyNumberFormat="1" applyFont="1" applyAlignment="1">
      <alignment horizontal="right" vertical="top" indent="1"/>
    </xf>
    <xf numFmtId="0" fontId="15" fillId="0" borderId="0" xfId="0" applyNumberFormat="1" applyFont="1" applyAlignment="1">
      <alignment horizontal="left" vertical="top" indent="1"/>
    </xf>
    <xf numFmtId="49" fontId="13" fillId="0" borderId="0" xfId="0" applyNumberFormat="1" applyFont="1" applyAlignment="1">
      <alignment horizontal="left" vertical="top" wrapText="1" indent="1"/>
    </xf>
    <xf numFmtId="0" fontId="13" fillId="0" borderId="0" xfId="0" applyFont="1" applyAlignment="1">
      <alignment horizontal="left" vertical="top" indent="1"/>
    </xf>
    <xf numFmtId="168" fontId="13" fillId="0" borderId="0" xfId="0" applyNumberFormat="1" applyFont="1" applyAlignment="1">
      <alignment horizontal="left" vertical="top"/>
    </xf>
    <xf numFmtId="0" fontId="13" fillId="0" borderId="0" xfId="0" applyFont="1" applyAlignment="1">
      <alignment horizontal="center" vertical="top"/>
    </xf>
    <xf numFmtId="169" fontId="14" fillId="0" borderId="0" xfId="0" applyNumberFormat="1" applyFont="1" applyAlignment="1">
      <alignment horizontal="right" vertical="top"/>
    </xf>
    <xf numFmtId="3" fontId="16" fillId="0" borderId="0" xfId="0" applyNumberFormat="1" applyFont="1" applyAlignment="1">
      <alignment horizontal="right" vertical="top" indent="1"/>
    </xf>
    <xf numFmtId="1" fontId="16" fillId="0" borderId="0" xfId="0" applyNumberFormat="1" applyFont="1" applyAlignment="1">
      <alignment horizontal="center" vertical="top"/>
    </xf>
    <xf numFmtId="169" fontId="17" fillId="0" borderId="0" xfId="0" applyNumberFormat="1" applyFont="1" applyAlignment="1">
      <alignment horizontal="right" vertical="top"/>
    </xf>
    <xf numFmtId="3" fontId="18" fillId="0" borderId="0" xfId="0" applyNumberFormat="1" applyFont="1" applyAlignment="1">
      <alignment horizontal="right" vertical="top" indent="1"/>
    </xf>
    <xf numFmtId="1" fontId="18" fillId="0" borderId="0" xfId="0" applyNumberFormat="1" applyFont="1" applyAlignment="1">
      <alignment horizontal="center" vertical="top"/>
    </xf>
    <xf numFmtId="169" fontId="18" fillId="0" borderId="0" xfId="0" applyNumberFormat="1" applyFont="1" applyAlignment="1">
      <alignment horizontal="right" vertical="top"/>
    </xf>
    <xf numFmtId="3" fontId="19" fillId="0" borderId="0" xfId="0" applyNumberFormat="1" applyFont="1" applyAlignment="1">
      <alignment horizontal="right" vertical="top" indent="1"/>
    </xf>
    <xf numFmtId="0" fontId="19" fillId="0" borderId="0" xfId="0" applyNumberFormat="1" applyFont="1" applyAlignment="1">
      <alignment horizontal="left" vertical="top" indent="1"/>
    </xf>
    <xf numFmtId="49" fontId="17" fillId="0" borderId="0" xfId="0" applyNumberFormat="1" applyFont="1" applyAlignment="1">
      <alignment horizontal="left" vertical="top" wrapText="1" indent="1"/>
    </xf>
    <xf numFmtId="0" fontId="17" fillId="0" borderId="0" xfId="0" applyFont="1" applyAlignment="1">
      <alignment horizontal="left" vertical="top" indent="1"/>
    </xf>
    <xf numFmtId="168" fontId="17" fillId="0" borderId="0" xfId="0" applyNumberFormat="1" applyFont="1" applyAlignment="1">
      <alignment horizontal="left" vertical="top"/>
    </xf>
    <xf numFmtId="0" fontId="17" fillId="0" borderId="0" xfId="0" applyFont="1" applyAlignment="1">
      <alignment horizontal="center" vertical="top"/>
    </xf>
    <xf numFmtId="3" fontId="0" fillId="0" borderId="5" xfId="0" applyNumberFormat="1" applyFont="1" applyBorder="1" applyAlignment="1">
      <alignment horizontal="center" vertical="top"/>
    </xf>
    <xf numFmtId="3" fontId="5" fillId="0" borderId="0" xfId="0" applyNumberFormat="1" applyFont="1" applyFill="1" applyBorder="1" applyAlignment="1">
      <alignment horizontal="center" vertical="top"/>
    </xf>
    <xf numFmtId="0" fontId="2" fillId="0" borderId="0" xfId="0" applyFont="1" applyAlignment="1">
      <alignment horizontal="center" vertical="center"/>
    </xf>
    <xf numFmtId="0" fontId="0" fillId="0" borderId="0" xfId="0" applyAlignment="1">
      <alignment horizontal="center"/>
    </xf>
    <xf numFmtId="0" fontId="2" fillId="2" borderId="11" xfId="0" applyFont="1" applyFill="1" applyBorder="1" applyAlignment="1">
      <alignment horizontal="center" vertical="center"/>
    </xf>
    <xf numFmtId="0" fontId="2" fillId="2" borderId="0" xfId="0" applyFont="1" applyFill="1" applyBorder="1" applyAlignment="1">
      <alignment horizontal="center" vertical="center"/>
    </xf>
    <xf numFmtId="3" fontId="0" fillId="3" borderId="0" xfId="0" applyNumberFormat="1" applyFill="1" applyAlignment="1">
      <alignment horizontal="center" vertical="top"/>
    </xf>
    <xf numFmtId="49" fontId="20" fillId="0" borderId="0" xfId="0" applyNumberFormat="1" applyFont="1" applyAlignment="1">
      <alignment horizontal="left" vertical="top" indent="1"/>
    </xf>
    <xf numFmtId="167" fontId="20" fillId="0" borderId="0" xfId="0" applyNumberFormat="1" applyFont="1" applyAlignment="1">
      <alignment horizontal="left" vertical="top" indent="1"/>
    </xf>
  </cellXfs>
  <cellStyles count="2">
    <cellStyle name="Hiperlink" xfId="1" builtinId="8"/>
    <cellStyle name="Normal" xfId="0" builtinId="0"/>
  </cellStyles>
  <dxfs count="100">
    <dxf>
      <font>
        <color rgb="FF9C0006"/>
      </font>
      <fill>
        <patternFill>
          <bgColor rgb="FFFFC7CE"/>
        </patternFill>
      </fill>
    </dxf>
    <dxf>
      <font>
        <b/>
        <i val="0"/>
      </font>
    </dxf>
    <dxf>
      <font>
        <b/>
        <i val="0"/>
        <color rgb="FFFF0000"/>
      </font>
    </dxf>
    <dxf>
      <font>
        <b/>
        <i val="0"/>
        <color rgb="FFFF0000"/>
      </font>
    </dxf>
    <dxf>
      <font>
        <color rgb="FF9C0006"/>
      </font>
      <fill>
        <patternFill>
          <bgColor rgb="FFFFC7CE"/>
        </patternFill>
      </fill>
    </dxf>
    <dxf>
      <font>
        <b/>
        <i val="0"/>
        <color rgb="FFFF0000"/>
      </font>
    </dxf>
    <dxf>
      <font>
        <color rgb="FF9C0006"/>
      </font>
      <fill>
        <patternFill>
          <bgColor rgb="FFFFC7CE"/>
        </patternFill>
      </fill>
    </dxf>
    <dxf>
      <font>
        <color rgb="FF9C0006"/>
      </font>
      <fill>
        <patternFill>
          <bgColor rgb="FFFFC7CE"/>
        </patternFill>
      </fill>
    </dxf>
    <dxf>
      <font>
        <b/>
        <i val="0"/>
        <color rgb="FFFF0000"/>
      </font>
    </dxf>
    <dxf>
      <font>
        <color rgb="FF9C0006"/>
      </font>
      <fill>
        <patternFill>
          <bgColor rgb="FFFFC7CE"/>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color rgb="FF9C0006"/>
      </font>
      <fill>
        <patternFill>
          <bgColor rgb="FFFFC7CE"/>
        </patternFill>
      </fill>
    </dxf>
    <dxf>
      <font>
        <b/>
        <i val="0"/>
      </font>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i val="0"/>
        <strike val="0"/>
        <outline val="0"/>
        <shadow val="0"/>
        <u val="none"/>
        <vertAlign val="baseline"/>
        <sz val="8"/>
        <color theme="1"/>
        <name val="Lucida Console"/>
        <scheme val="none"/>
      </font>
      <numFmt numFmtId="164" formatCode="_ dd\.mm\.yyyy\ \-\ hh:mm"/>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style="thin">
          <color indexed="64"/>
        </top>
        <bottom style="thin">
          <color indexed="64"/>
        </bottom>
      </border>
      <protection locked="1" hidden="0"/>
    </dxf>
    <dxf>
      <font>
        <b/>
        <i val="0"/>
        <strike val="0"/>
        <outline val="0"/>
        <shadow val="0"/>
        <u val="none"/>
        <vertAlign val="baseline"/>
        <sz val="8"/>
        <color theme="1"/>
        <name val="Lucida Console"/>
        <scheme val="none"/>
      </font>
      <numFmt numFmtId="30" formatCode="@"/>
      <fill>
        <patternFill patternType="none">
          <fgColor indexed="64"/>
          <bgColor indexed="65"/>
        </patternFill>
      </fill>
      <alignment horizontal="left" vertical="center" textRotation="0" wrapText="0" indent="1" justifyLastLine="0" shrinkToFit="0" readingOrder="0"/>
      <border diagonalUp="0" diagonalDown="0">
        <left style="thin">
          <color indexed="64"/>
        </left>
        <right/>
        <top style="thin">
          <color indexed="64"/>
        </top>
        <bottom style="thin">
          <color indexed="64"/>
        </bottom>
      </border>
      <protection locked="1" hidden="0"/>
    </dxf>
    <dxf>
      <numFmt numFmtId="30" formatCode="@"/>
      <fill>
        <patternFill patternType="none">
          <fgColor indexed="64"/>
          <bgColor indexed="65"/>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border>
      <protection locked="1" hidden="0"/>
    </dxf>
    <dxf>
      <font>
        <b/>
        <i val="0"/>
        <strike val="0"/>
        <outline val="0"/>
        <shadow val="0"/>
        <u val="none"/>
        <vertAlign val="baseline"/>
        <sz val="12"/>
        <color rgb="FFFF0000"/>
        <name val="Calibri"/>
        <scheme val="minor"/>
      </font>
      <numFmt numFmtId="3" formatCode="#,##0"/>
      <fill>
        <patternFill patternType="none">
          <fgColor indexed="64"/>
          <bgColor indexed="65"/>
        </patternFill>
      </fill>
      <alignment horizontal="righ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165" formatCode="dd\.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0" formatCode="@"/>
      <fill>
        <patternFill patternType="none">
          <fgColor indexed="64"/>
          <bgColor indexed="65"/>
        </patternFill>
      </fill>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fill>
        <patternFill patternType="none">
          <fgColor indexed="64"/>
          <bgColor indexed="65"/>
        </patternFill>
      </fill>
      <alignmen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3" formatCode="#,##0"/>
      <fill>
        <patternFill patternType="none">
          <fgColor indexed="64"/>
          <bgColor indexed="65"/>
        </patternFill>
      </fill>
      <alignment horizontal="right" vertical="center" textRotation="0" wrapText="1" indent="1" justifyLastLine="0" shrinkToFit="0" readingOrder="0"/>
      <border diagonalUp="0" diagonalDown="0">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rgb="FF000000"/>
          <bgColor rgb="FFFFFFFF"/>
        </patternFill>
      </fill>
      <alignment vertical="center" textRotation="0" wrapText="1" indent="0" justifyLastLine="0" shrinkToFit="0" readingOrder="0"/>
      <protection locked="1" hidden="0"/>
    </dxf>
    <dxf>
      <border outline="0">
        <bottom style="thin">
          <color rgb="FF000000"/>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left style="thin">
          <color indexed="64"/>
        </left>
        <right style="thin">
          <color indexed="64"/>
        </right>
        <top/>
        <bottom/>
      </border>
    </dxf>
    <dxf>
      <font>
        <strike val="0"/>
        <outline val="0"/>
        <shadow val="0"/>
        <u val="none"/>
        <vertAlign val="baseline"/>
        <sz val="10"/>
        <color theme="1"/>
        <name val="Lucida Console"/>
        <scheme val="none"/>
      </font>
      <alignment horizontal="center" vertical="top" textRotation="0" wrapText="0" indent="0" justifyLastLine="0" shrinkToFit="0" readingOrder="0"/>
    </dxf>
    <dxf>
      <font>
        <b val="0"/>
        <i val="0"/>
        <strike val="0"/>
        <condense val="0"/>
        <extend val="0"/>
        <outline val="0"/>
        <shadow val="0"/>
        <u val="none"/>
        <vertAlign val="baseline"/>
        <sz val="10"/>
        <color theme="1"/>
        <name val="Lucida Console"/>
        <scheme val="none"/>
      </font>
      <numFmt numFmtId="168" formatCode="dd\.mm\.yyyy\ \-\ \ hh:mm;@"/>
      <alignment horizontal="left" vertical="top" textRotation="0" wrapText="0" indent="0" justifyLastLine="0" shrinkToFit="0" readingOrder="0"/>
    </dxf>
    <dxf>
      <font>
        <b val="0"/>
        <i val="0"/>
        <strike val="0"/>
        <condense val="0"/>
        <extend val="0"/>
        <outline val="0"/>
        <shadow val="0"/>
        <u val="none"/>
        <vertAlign val="baseline"/>
        <sz val="10"/>
        <color theme="1"/>
        <name val="Lucida Console"/>
        <scheme val="none"/>
      </font>
      <alignment horizontal="left" vertical="top" textRotation="0" wrapText="0" indent="1" justifyLastLine="0" shrinkToFit="0" readingOrder="0"/>
    </dxf>
    <dxf>
      <font>
        <b val="0"/>
        <i val="0"/>
        <strike val="0"/>
        <condense val="0"/>
        <extend val="0"/>
        <outline val="0"/>
        <shadow val="0"/>
        <u val="none"/>
        <vertAlign val="baseline"/>
        <sz val="10"/>
        <color theme="1"/>
        <name val="Lucida Console"/>
        <scheme val="none"/>
      </font>
      <numFmt numFmtId="30" formatCode="@"/>
      <alignment horizontal="left" vertical="top" textRotation="0" wrapText="1" indent="1" justifyLastLine="0" shrinkToFit="0" readingOrder="0"/>
    </dxf>
    <dxf>
      <font>
        <b val="0"/>
        <i val="0"/>
        <strike val="0"/>
        <condense val="0"/>
        <extend val="0"/>
        <outline val="0"/>
        <shadow val="0"/>
        <u val="none"/>
        <vertAlign val="baseline"/>
        <sz val="10"/>
        <color auto="1"/>
        <name val="Lucida Console"/>
        <scheme val="none"/>
      </font>
      <numFmt numFmtId="0" formatCode="General"/>
      <alignment horizontal="left" vertical="top" textRotation="0" wrapText="0" indent="1" justifyLastLine="0" shrinkToFit="0" readingOrder="0"/>
    </dxf>
    <dxf>
      <font>
        <b val="0"/>
        <i val="0"/>
        <strike val="0"/>
        <condense val="0"/>
        <extend val="0"/>
        <outline val="0"/>
        <shadow val="0"/>
        <u val="none"/>
        <vertAlign val="baseline"/>
        <sz val="10"/>
        <color auto="1"/>
        <name val="Lucida Console"/>
        <scheme val="none"/>
      </font>
      <numFmt numFmtId="3" formatCode="#,##0"/>
      <alignment horizontal="right" vertical="top" textRotation="0" wrapText="0" indent="1" justifyLastLine="0" shrinkToFit="0" readingOrder="0"/>
    </dxf>
    <dxf>
      <font>
        <b/>
        <i val="0"/>
        <strike val="0"/>
        <condense val="0"/>
        <extend val="0"/>
        <outline val="0"/>
        <shadow val="0"/>
        <u val="none"/>
        <vertAlign val="baseline"/>
        <sz val="10"/>
        <color rgb="FFFF0000"/>
        <name val="Lucida Console"/>
        <scheme val="none"/>
      </font>
      <numFmt numFmtId="169" formatCode="#,##0_;"/>
      <alignment horizontal="right" vertical="top" textRotation="0" wrapText="0" indent="0" justifyLastLine="0" shrinkToFit="0" readingOrder="0"/>
    </dxf>
    <dxf>
      <font>
        <b/>
        <strike val="0"/>
        <outline val="0"/>
        <shadow val="0"/>
        <u val="none"/>
        <vertAlign val="baseline"/>
        <sz val="10"/>
        <color rgb="FFFF0000"/>
        <name val="Lucida Console"/>
        <scheme val="none"/>
      </font>
      <numFmt numFmtId="1" formatCode="0"/>
      <alignment horizontal="center" vertical="top" textRotation="0" wrapText="0" indent="0" justifyLastLine="0" shrinkToFit="0" readingOrder="0"/>
    </dxf>
    <dxf>
      <font>
        <b/>
        <strike val="0"/>
        <outline val="0"/>
        <shadow val="0"/>
        <u val="none"/>
        <vertAlign val="baseline"/>
        <sz val="10"/>
        <color rgb="FFFF0000"/>
        <name val="Lucida Console"/>
        <scheme val="none"/>
      </font>
      <numFmt numFmtId="3" formatCode="#,##0"/>
      <alignment horizontal="right" vertical="top" textRotation="0" wrapText="0" indent="1" justifyLastLine="0" shrinkToFit="0" readingOrder="0"/>
    </dxf>
    <dxf>
      <font>
        <b val="0"/>
        <i val="0"/>
        <strike val="0"/>
        <condense val="0"/>
        <extend val="0"/>
        <outline val="0"/>
        <shadow val="0"/>
        <u val="none"/>
        <vertAlign val="baseline"/>
        <sz val="10"/>
        <color theme="1"/>
        <name val="Lucida Console"/>
        <scheme val="none"/>
      </font>
      <numFmt numFmtId="169" formatCode="#,##0_;"/>
      <alignment horizontal="right" vertical="top" textRotation="0" wrapText="0" indent="0" justifyLastLine="0" shrinkToFit="0" readingOrder="0"/>
    </dxf>
    <dxf>
      <font>
        <b/>
        <i val="0"/>
        <strike val="0"/>
        <condense val="0"/>
        <extend val="0"/>
        <outline val="0"/>
        <shadow val="0"/>
        <u val="none"/>
        <vertAlign val="baseline"/>
        <sz val="10"/>
        <color theme="1"/>
        <name val="Lucida Console"/>
        <scheme val="none"/>
      </font>
      <numFmt numFmtId="1" formatCode="0"/>
      <alignment horizontal="center" vertical="top" textRotation="0" wrapText="0" indent="0" justifyLastLine="0" shrinkToFit="0" readingOrder="0"/>
    </dxf>
    <dxf>
      <font>
        <b/>
        <strike val="0"/>
        <outline val="0"/>
        <shadow val="0"/>
        <u val="none"/>
        <vertAlign val="baseline"/>
        <sz val="10"/>
        <color theme="1"/>
        <name val="Lucida Console"/>
        <scheme val="none"/>
      </font>
      <numFmt numFmtId="3" formatCode="#,##0"/>
      <alignment horizontal="right" vertical="top" textRotation="0" wrapText="0" indent="1" justifyLastLine="0" shrinkToFit="0" readingOrder="0"/>
    </dxf>
    <dxf>
      <font>
        <strike val="0"/>
        <outline val="0"/>
        <shadow val="0"/>
        <u val="none"/>
        <vertAlign val="baseline"/>
        <sz val="10"/>
        <color theme="1"/>
        <name val="Lucida Console"/>
        <scheme val="none"/>
      </font>
      <alignment vertical="top" textRotation="0" indent="0" justifyLastLine="0" shrinkToFit="0" readingOrder="0"/>
    </dxf>
    <dxf>
      <alignment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b val="0"/>
        <i val="0"/>
        <strike val="0"/>
        <outline val="0"/>
        <shadow val="0"/>
        <u val="none"/>
        <vertAlign val="baseline"/>
        <sz val="8"/>
        <color theme="1"/>
        <name val="Calibri"/>
        <scheme val="minor"/>
      </font>
      <numFmt numFmtId="167" formatCode="dd/mm/yyyy\ hh:mm;@"/>
      <alignment horizontal="left" vertical="top" textRotation="0" wrapText="0" indent="1" justifyLastLine="0" shrinkToFit="0" readingOrder="0"/>
    </dxf>
    <dxf>
      <font>
        <b val="0"/>
        <i val="0"/>
        <strike val="0"/>
        <outline val="0"/>
        <shadow val="0"/>
        <u val="none"/>
        <vertAlign val="baseline"/>
        <sz val="8"/>
        <color theme="1"/>
        <name val="Calibri"/>
        <scheme val="minor"/>
      </font>
      <numFmt numFmtId="30" formatCode="@"/>
      <alignment horizontal="left" vertical="top" textRotation="0" wrapText="0" indent="1" justifyLastLine="0" shrinkToFit="0" readingOrder="0"/>
    </dxf>
    <dxf>
      <numFmt numFmtId="1" formatCode="0"/>
      <alignment horizontal="right" vertical="top" textRotation="0" wrapText="0" indent="1" justifyLastLine="0" shrinkToFit="0" readingOrder="0"/>
    </dxf>
    <dxf>
      <numFmt numFmtId="1" formatCode="0"/>
      <alignment horizontal="right" vertical="top" textRotation="0" wrapText="0" indent="1" justifyLastLine="0" shrinkToFit="0" readingOrder="0"/>
    </dxf>
    <dxf>
      <alignment horizontal="center" vertical="top" textRotation="0" wrapText="0" indent="0" justifyLastLine="0" shrinkToFit="0" readingOrder="0"/>
    </dxf>
    <dxf>
      <alignment horizontal="left" vertical="top" textRotation="0" wrapText="0" indent="1" justifyLastLine="0" shrinkToFit="0" readingOrder="0"/>
    </dxf>
    <dxf>
      <numFmt numFmtId="3" formatCode="#,##0"/>
      <alignment horizontal="right" vertical="top" textRotation="0" wrapText="0" indent="1" justifyLastLine="0" shrinkToFit="0" readingOrder="0"/>
    </dxf>
    <dxf>
      <border outline="0">
        <bottom style="thin">
          <color indexed="64"/>
        </bottom>
      </border>
    </dxf>
    <dxf>
      <alignment horizontal="center" vertical="top" textRotation="0" wrapText="0" indent="0" justifyLastLine="0" shrinkToFit="0" readingOrder="0"/>
    </dxf>
    <dxf>
      <font>
        <b val="0"/>
        <i val="0"/>
        <strike val="0"/>
        <outline val="0"/>
        <shadow val="0"/>
        <u val="none"/>
        <vertAlign val="baseline"/>
        <sz val="8"/>
        <color theme="1"/>
        <name val="Lucida Console"/>
        <scheme val="none"/>
      </font>
      <numFmt numFmtId="166" formatCode="_ dd/mm/yyyy\ hh:mm"/>
      <alignment horizontal="left" vertical="top" textRotation="0" wrapText="0" indent="0" justifyLastLine="0" shrinkToFit="0" readingOrder="0"/>
    </dxf>
    <dxf>
      <font>
        <b val="0"/>
        <i val="0"/>
        <strike val="0"/>
        <outline val="0"/>
        <shadow val="0"/>
        <u val="none"/>
        <vertAlign val="baseline"/>
        <sz val="8"/>
        <color theme="1"/>
        <name val="Lucida Console"/>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165" formatCode="dd\.mm\.yyyy"/>
      <alignment horizontal="center" vertical="top" textRotation="0" wrapText="0" indent="0" justifyLastLine="0" shrinkToFit="0" readingOrder="0"/>
    </dxf>
    <dxf>
      <font>
        <b/>
      </font>
      <alignment horizontal="center" vertical="top" textRotation="0" wrapText="0" indent="0" justifyLastLine="0" shrinkToFit="0" readingOrder="0"/>
    </dxf>
    <dxf>
      <alignment horizontal="left" vertical="top" textRotation="0" wrapText="1" indent="1" justifyLastLine="0" shrinkToFit="0" readingOrder="0"/>
    </dxf>
    <dxf>
      <font>
        <b/>
      </font>
      <numFmt numFmtId="30" formatCode="@"/>
      <alignment horizontal="left" vertical="top" textRotation="0" wrapText="0" indent="1" justifyLastLine="0" shrinkToFit="0" readingOrder="0"/>
    </dxf>
    <dxf>
      <alignment vertical="center" textRotation="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alignment horizontal="center" vertical="top" textRotation="0" wrapText="0" indent="0" justifyLastLine="0" shrinkToFit="0" readingOrder="0"/>
    </dxf>
    <dxf>
      <alignment horizontal="left" vertical="top" textRotation="0" wrapText="1" indent="1" justifyLastLine="0" shrinkToFit="0" readingOrder="0"/>
    </dxf>
    <dxf>
      <font>
        <b/>
      </font>
      <numFmt numFmtId="3" formatCode="#,##0"/>
      <alignment horizontal="right" vertical="top" textRotation="0" wrapText="0" indent="1" justifyLastLine="0" shrinkToFit="0" readingOrder="0"/>
    </dxf>
    <dxf>
      <alignment vertical="center" textRotation="0"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8"/>
        <color theme="1"/>
        <name val="Lucida Console"/>
        <scheme val="none"/>
      </font>
      <numFmt numFmtId="3" formatCode="#,##0"/>
      <fill>
        <patternFill patternType="none">
          <fgColor indexed="64"/>
          <bgColor indexed="65"/>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border>
    </dxf>
    <dxf>
      <font>
        <b/>
        <i val="0"/>
        <strike val="0"/>
        <outline val="0"/>
        <shadow val="0"/>
        <u val="none"/>
        <vertAlign val="baseline"/>
        <sz val="8"/>
        <color theme="1"/>
        <name val="Lucida Console"/>
        <scheme val="none"/>
      </font>
      <numFmt numFmtId="164" formatCode="_ dd\.mm\.yyyy\ \-\ hh:mm"/>
      <fill>
        <patternFill patternType="none">
          <fgColor indexed="64"/>
          <bgColor indexed="65"/>
        </patternFill>
      </fill>
      <alignment horizontal="left" vertical="top" textRotation="0" wrapText="0" indent="0" justifyLastLine="0" shrinkToFit="0" readingOrder="0"/>
      <border diagonalUp="0" diagonalDown="0" outline="0">
        <left/>
        <right/>
        <top style="thin">
          <color indexed="64"/>
        </top>
        <bottom style="thin">
          <color indexed="64"/>
        </bottom>
      </border>
    </dxf>
    <dxf>
      <font>
        <b/>
        <i val="0"/>
        <strike val="0"/>
        <outline val="0"/>
        <shadow val="0"/>
        <u val="none"/>
        <vertAlign val="baseline"/>
        <sz val="8"/>
        <color theme="1"/>
        <name val="Lucida Console"/>
        <scheme val="none"/>
      </font>
      <numFmt numFmtId="30" formatCode="@"/>
      <fill>
        <patternFill patternType="none">
          <fgColor indexed="64"/>
          <bgColor indexed="65"/>
        </patternFill>
      </fill>
      <alignment horizontal="left" vertical="top" textRotation="0" wrapText="0" indent="1" justifyLastLine="0" shrinkToFit="0" readingOrder="0"/>
      <border diagonalUp="0" diagonalDown="0" outline="0">
        <left style="thin">
          <color indexed="64"/>
        </left>
        <right/>
        <top style="thin">
          <color indexed="64"/>
        </top>
        <bottom style="thin">
          <color indexed="64"/>
        </bottom>
      </border>
    </dxf>
    <dxf>
      <numFmt numFmtId="30" formatCode="@"/>
      <fill>
        <patternFill patternType="none">
          <fgColor indexed="64"/>
          <bgColor indexed="65"/>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border>
      <protection locked="0" hidden="0"/>
    </dxf>
    <dxf>
      <font>
        <b/>
        <i val="0"/>
        <strike val="0"/>
        <outline val="0"/>
        <shadow val="0"/>
        <u val="none"/>
        <vertAlign val="baseline"/>
        <sz val="12"/>
        <color rgb="FFFF0000"/>
        <name val="Calibri"/>
        <scheme val="minor"/>
      </font>
      <numFmt numFmtId="3" formatCode="#,##0"/>
      <fill>
        <patternFill patternType="none">
          <fgColor indexed="64"/>
          <bgColor indexed="65"/>
        </patternFill>
      </fill>
      <alignment horizontal="righ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165" formatCode="dd\.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0" formatCode="@"/>
      <fill>
        <patternFill patternType="none">
          <fgColor indexed="64"/>
          <bgColor indexed="65"/>
        </patternFill>
      </fill>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indexed="65"/>
        </patternFill>
      </fill>
      <alignmen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 formatCode="#,##0"/>
      <fill>
        <patternFill patternType="none">
          <fgColor indexed="64"/>
          <bgColor indexed="65"/>
        </patternFill>
      </fill>
      <alignment horizontal="right" vertical="center" textRotation="0" wrapText="1" indent="1" justifyLastLine="0" shrinkToFit="0" readingOrder="0"/>
      <border diagonalUp="0" diagonalDown="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1.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1.emf"/><Relationship Id="rId1" Type="http://schemas.openxmlformats.org/officeDocument/2006/relationships/image" Target="../media/image10.emf"/><Relationship Id="rId5" Type="http://schemas.openxmlformats.org/officeDocument/2006/relationships/image" Target="../media/image8.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590550</xdr:colOff>
          <xdr:row>0</xdr:row>
          <xdr:rowOff>85725</xdr:rowOff>
        </xdr:from>
        <xdr:to>
          <xdr:col>8</xdr:col>
          <xdr:colOff>2124075</xdr:colOff>
          <xdr:row>0</xdr:row>
          <xdr:rowOff>533400</xdr:rowOff>
        </xdr:to>
        <xdr:sp macro="" textlink="">
          <xdr:nvSpPr>
            <xdr:cNvPr id="1025" name="btn_ExtrasVoltarIte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0</xdr:row>
          <xdr:rowOff>85725</xdr:rowOff>
        </xdr:from>
        <xdr:to>
          <xdr:col>1</xdr:col>
          <xdr:colOff>1628775</xdr:colOff>
          <xdr:row>0</xdr:row>
          <xdr:rowOff>533400</xdr:rowOff>
        </xdr:to>
        <xdr:sp macro="" textlink="">
          <xdr:nvSpPr>
            <xdr:cNvPr id="1026" name="btn_ExtrasFilCó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1695450</xdr:colOff>
          <xdr:row>0</xdr:row>
          <xdr:rowOff>85725</xdr:rowOff>
        </xdr:from>
        <xdr:to>
          <xdr:col>1</xdr:col>
          <xdr:colOff>4105275</xdr:colOff>
          <xdr:row>0</xdr:row>
          <xdr:rowOff>533400</xdr:rowOff>
        </xdr:to>
        <xdr:sp macro="" textlink="">
          <xdr:nvSpPr>
            <xdr:cNvPr id="1027" name="btn_ExtrasReord"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4171950</xdr:colOff>
          <xdr:row>0</xdr:row>
          <xdr:rowOff>85725</xdr:rowOff>
        </xdr:from>
        <xdr:to>
          <xdr:col>3</xdr:col>
          <xdr:colOff>142875</xdr:colOff>
          <xdr:row>0</xdr:row>
          <xdr:rowOff>533400</xdr:rowOff>
        </xdr:to>
        <xdr:sp macro="" textlink="">
          <xdr:nvSpPr>
            <xdr:cNvPr id="1713" name="btn_ExtrasDesbloq" hidden="1">
              <a:extLst>
                <a:ext uri="{63B3BB69-23CF-44E3-9099-C40C66FF867C}">
                  <a14:compatExt spid="_x0000_s1713"/>
                </a:ext>
                <a:ext uri="{FF2B5EF4-FFF2-40B4-BE49-F238E27FC236}">
                  <a16:creationId xmlns:a16="http://schemas.microsoft.com/office/drawing/2014/main" id="{00000000-0008-0000-0000-0000B1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0</xdr:row>
          <xdr:rowOff>85725</xdr:rowOff>
        </xdr:from>
        <xdr:to>
          <xdr:col>4</xdr:col>
          <xdr:colOff>800100</xdr:colOff>
          <xdr:row>0</xdr:row>
          <xdr:rowOff>533400</xdr:rowOff>
        </xdr:to>
        <xdr:sp macro="" textlink="">
          <xdr:nvSpPr>
            <xdr:cNvPr id="1756" name="btn_ExtrasArquivar" hidden="1">
              <a:extLst>
                <a:ext uri="{63B3BB69-23CF-44E3-9099-C40C66FF867C}">
                  <a14:compatExt spid="_x0000_s1756"/>
                </a:ext>
                <a:ext uri="{FF2B5EF4-FFF2-40B4-BE49-F238E27FC236}">
                  <a16:creationId xmlns:a16="http://schemas.microsoft.com/office/drawing/2014/main" id="{00000000-0008-0000-0000-0000DC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85725</xdr:rowOff>
        </xdr:from>
        <xdr:to>
          <xdr:col>1</xdr:col>
          <xdr:colOff>1485900</xdr:colOff>
          <xdr:row>0</xdr:row>
          <xdr:rowOff>533400</xdr:rowOff>
        </xdr:to>
        <xdr:sp macro="" textlink="">
          <xdr:nvSpPr>
            <xdr:cNvPr id="2049" name="btn_Lista_Ord"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1543050</xdr:colOff>
          <xdr:row>0</xdr:row>
          <xdr:rowOff>85725</xdr:rowOff>
        </xdr:from>
        <xdr:to>
          <xdr:col>1</xdr:col>
          <xdr:colOff>4086225</xdr:colOff>
          <xdr:row>0</xdr:row>
          <xdr:rowOff>533400</xdr:rowOff>
        </xdr:to>
        <xdr:sp macro="" textlink="">
          <xdr:nvSpPr>
            <xdr:cNvPr id="2069" name="btn_Lista_Import"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2028825</xdr:colOff>
          <xdr:row>0</xdr:row>
          <xdr:rowOff>85725</xdr:rowOff>
        </xdr:from>
        <xdr:to>
          <xdr:col>1</xdr:col>
          <xdr:colOff>1076325</xdr:colOff>
          <xdr:row>0</xdr:row>
          <xdr:rowOff>533400</xdr:rowOff>
        </xdr:to>
        <xdr:sp macro="" textlink="">
          <xdr:nvSpPr>
            <xdr:cNvPr id="4097" name="btn_Origens_Ord"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1143000</xdr:colOff>
          <xdr:row>0</xdr:row>
          <xdr:rowOff>85725</xdr:rowOff>
        </xdr:from>
        <xdr:to>
          <xdr:col>1</xdr:col>
          <xdr:colOff>3048000</xdr:colOff>
          <xdr:row>0</xdr:row>
          <xdr:rowOff>533400</xdr:rowOff>
        </xdr:to>
        <xdr:sp macro="" textlink="">
          <xdr:nvSpPr>
            <xdr:cNvPr id="4100" name="btn_Origens_Desbloq"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3114675</xdr:colOff>
          <xdr:row>0</xdr:row>
          <xdr:rowOff>85725</xdr:rowOff>
        </xdr:from>
        <xdr:to>
          <xdr:col>1</xdr:col>
          <xdr:colOff>5019675</xdr:colOff>
          <xdr:row>0</xdr:row>
          <xdr:rowOff>533400</xdr:rowOff>
        </xdr:to>
        <xdr:sp macro="" textlink="">
          <xdr:nvSpPr>
            <xdr:cNvPr id="4106" name="btn_Origens_AtuExtra"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0</xdr:row>
          <xdr:rowOff>85725</xdr:rowOff>
        </xdr:from>
        <xdr:to>
          <xdr:col>0</xdr:col>
          <xdr:colOff>1971675</xdr:colOff>
          <xdr:row>0</xdr:row>
          <xdr:rowOff>533400</xdr:rowOff>
        </xdr:to>
        <xdr:sp macro="" textlink="">
          <xdr:nvSpPr>
            <xdr:cNvPr id="4107" name="btn_Origens_Volta"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5076825</xdr:colOff>
          <xdr:row>0</xdr:row>
          <xdr:rowOff>85725</xdr:rowOff>
        </xdr:from>
        <xdr:to>
          <xdr:col>3</xdr:col>
          <xdr:colOff>695325</xdr:colOff>
          <xdr:row>0</xdr:row>
          <xdr:rowOff>533400</xdr:rowOff>
        </xdr:to>
        <xdr:sp macro="" textlink="">
          <xdr:nvSpPr>
            <xdr:cNvPr id="4108" name="btn_Origens_Novo" hidden="1">
              <a:extLst>
                <a:ext uri="{63B3BB69-23CF-44E3-9099-C40C66FF867C}">
                  <a14:compatExt spid="_x0000_s4108"/>
                </a:ext>
                <a:ext uri="{FF2B5EF4-FFF2-40B4-BE49-F238E27FC236}">
                  <a16:creationId xmlns:a16="http://schemas.microsoft.com/office/drawing/2014/main" id="{00000000-0008-0000-02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1</xdr:row>
          <xdr:rowOff>38100</xdr:rowOff>
        </xdr:from>
        <xdr:to>
          <xdr:col>1</xdr:col>
          <xdr:colOff>952500</xdr:colOff>
          <xdr:row>1</xdr:row>
          <xdr:rowOff>371475</xdr:rowOff>
        </xdr:to>
        <xdr:sp macro="" textlink="">
          <xdr:nvSpPr>
            <xdr:cNvPr id="7169" name="btn_Excluir_OcultarReexibir"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2600325</xdr:colOff>
          <xdr:row>1</xdr:row>
          <xdr:rowOff>38100</xdr:rowOff>
        </xdr:from>
        <xdr:to>
          <xdr:col>1</xdr:col>
          <xdr:colOff>4124325</xdr:colOff>
          <xdr:row>1</xdr:row>
          <xdr:rowOff>371475</xdr:rowOff>
        </xdr:to>
        <xdr:sp macro="" textlink="">
          <xdr:nvSpPr>
            <xdr:cNvPr id="7170" name="btn_Excluir_Atualizar_Planilha"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1009650</xdr:colOff>
          <xdr:row>1</xdr:row>
          <xdr:rowOff>38100</xdr:rowOff>
        </xdr:from>
        <xdr:to>
          <xdr:col>1</xdr:col>
          <xdr:colOff>2533650</xdr:colOff>
          <xdr:row>1</xdr:row>
          <xdr:rowOff>371475</xdr:rowOff>
        </xdr:to>
        <xdr:sp macro="" textlink="">
          <xdr:nvSpPr>
            <xdr:cNvPr id="7171" name="btn_Excluir_VoltarParaItens"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4191000</xdr:colOff>
          <xdr:row>1</xdr:row>
          <xdr:rowOff>38100</xdr:rowOff>
        </xdr:from>
        <xdr:to>
          <xdr:col>1</xdr:col>
          <xdr:colOff>5715000</xdr:colOff>
          <xdr:row>1</xdr:row>
          <xdr:rowOff>371475</xdr:rowOff>
        </xdr:to>
        <xdr:sp macro="" textlink="">
          <xdr:nvSpPr>
            <xdr:cNvPr id="7172" name="btn_Excluir_AbrirCadastro" hidden="1">
              <a:extLst>
                <a:ext uri="{63B3BB69-23CF-44E3-9099-C40C66FF867C}">
                  <a14:compatExt spid="_x0000_s7172"/>
                </a:ext>
                <a:ext uri="{FF2B5EF4-FFF2-40B4-BE49-F238E27FC236}">
                  <a16:creationId xmlns:a16="http://schemas.microsoft.com/office/drawing/2014/main" id="{00000000-0008-0000-03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5772150</xdr:colOff>
          <xdr:row>1</xdr:row>
          <xdr:rowOff>38100</xdr:rowOff>
        </xdr:from>
        <xdr:to>
          <xdr:col>1</xdr:col>
          <xdr:colOff>7296150</xdr:colOff>
          <xdr:row>1</xdr:row>
          <xdr:rowOff>371475</xdr:rowOff>
        </xdr:to>
        <xdr:sp macro="" textlink="">
          <xdr:nvSpPr>
            <xdr:cNvPr id="7173" name="btn_Excluir_FilCód" hidden="1">
              <a:extLst>
                <a:ext uri="{63B3BB69-23CF-44E3-9099-C40C66FF867C}">
                  <a14:compatExt spid="_x0000_s7173"/>
                </a:ext>
                <a:ext uri="{FF2B5EF4-FFF2-40B4-BE49-F238E27FC236}">
                  <a16:creationId xmlns:a16="http://schemas.microsoft.com/office/drawing/2014/main" id="{00000000-0008-0000-03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0</xdr:row>
          <xdr:rowOff>123825</xdr:rowOff>
        </xdr:from>
        <xdr:to>
          <xdr:col>0</xdr:col>
          <xdr:colOff>3181350</xdr:colOff>
          <xdr:row>0</xdr:row>
          <xdr:rowOff>571500</xdr:rowOff>
        </xdr:to>
        <xdr:sp macro="" textlink="">
          <xdr:nvSpPr>
            <xdr:cNvPr id="8193" name="btn_Parâmetros_Reordenar"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104775</xdr:rowOff>
        </xdr:from>
        <xdr:to>
          <xdr:col>2</xdr:col>
          <xdr:colOff>428625</xdr:colOff>
          <xdr:row>0</xdr:row>
          <xdr:rowOff>485775</xdr:rowOff>
        </xdr:to>
        <xdr:sp macro="" textlink="">
          <xdr:nvSpPr>
            <xdr:cNvPr id="10241" name="btn_RCsReemReord"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85725</xdr:rowOff>
        </xdr:from>
        <xdr:to>
          <xdr:col>1</xdr:col>
          <xdr:colOff>1762125</xdr:colOff>
          <xdr:row>0</xdr:row>
          <xdr:rowOff>533400</xdr:rowOff>
        </xdr:to>
        <xdr:sp macro="" textlink="">
          <xdr:nvSpPr>
            <xdr:cNvPr id="5121" name="btn_ExtrasBVoltarExtra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1819275</xdr:colOff>
          <xdr:row>0</xdr:row>
          <xdr:rowOff>85725</xdr:rowOff>
        </xdr:from>
        <xdr:to>
          <xdr:col>1</xdr:col>
          <xdr:colOff>4362450</xdr:colOff>
          <xdr:row>0</xdr:row>
          <xdr:rowOff>533400</xdr:rowOff>
        </xdr:to>
        <xdr:sp macro="" textlink="">
          <xdr:nvSpPr>
            <xdr:cNvPr id="5122" name="btn_ExtrasBFilCód"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4419600</xdr:colOff>
          <xdr:row>0</xdr:row>
          <xdr:rowOff>85725</xdr:rowOff>
        </xdr:from>
        <xdr:to>
          <xdr:col>3</xdr:col>
          <xdr:colOff>523875</xdr:colOff>
          <xdr:row>0</xdr:row>
          <xdr:rowOff>533400</xdr:rowOff>
        </xdr:to>
        <xdr:sp macro="" textlink="">
          <xdr:nvSpPr>
            <xdr:cNvPr id="5123" name="btn_ExtrasbReord"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xtras" displayName="tabExtras" ref="A2:M218" totalsRowShown="0" headerRowDxfId="99" dataDxfId="97" headerRowBorderDxfId="98" tableBorderDxfId="96" totalsRowBorderDxfId="95">
  <autoFilter ref="A2:M218" xr:uid="{D850E4C1-6B9C-47EE-9FC2-2FD31FE44FEF}"/>
  <tableColumns count="13">
    <tableColumn id="1" xr3:uid="{00000000-0010-0000-0000-000001000000}" name="CÓDIGO" dataDxfId="94"/>
    <tableColumn id="2" xr3:uid="{00000000-0010-0000-0000-000002000000}" name="DESCRIÇÃO" dataDxfId="93"/>
    <tableColumn id="3" xr3:uid="{00000000-0010-0000-0000-000003000000}" name="UNIDADE" dataDxfId="92"/>
    <tableColumn id="13" xr3:uid="{00000000-0010-0000-0000-00000D000000}" name="ORIGEM" dataDxfId="91"/>
    <tableColumn id="9" xr3:uid="{00000000-0010-0000-0000-000009000000}" name="VALIDADE" dataDxfId="90"/>
    <tableColumn id="12" xr3:uid="{00000000-0010-0000-0000-00000C000000}" name="FATOR" dataDxfId="89"/>
    <tableColumn id="14" xr3:uid="{00000000-0010-0000-0000-00000E000000}" name="QUANTIDADE" dataDxfId="88"/>
    <tableColumn id="15" xr3:uid="{00000000-0010-0000-0000-00000F000000}" name="TOTAL" dataDxfId="87"/>
    <tableColumn id="10" xr3:uid="{00000000-0010-0000-0000-00000A000000}" name="OBSERVAÇÃO" dataDxfId="86"/>
    <tableColumn id="8" xr3:uid="{00000000-0010-0000-0000-000008000000}" name="US_NOME" dataDxfId="85"/>
    <tableColumn id="7" xr3:uid="{00000000-0010-0000-0000-000007000000}" name="US_DATH" dataDxfId="84"/>
    <tableColumn id="4" xr3:uid="{00000000-0010-0000-0000-000004000000}" name="Excluir?" dataDxfId="83">
      <calculatedColumnFormula>_xlfn.IFNA(IF(VLOOKUP($A3,tabExcluirDoEstoque[#Data],1,FALSE),"sim",""),"")</calculatedColumnFormula>
    </tableColumn>
    <tableColumn id="11" xr3:uid="{00000000-0010-0000-0000-00000B000000}" name="FIM" dataDxfId="82"/>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istaItens" displayName="tabListaItens" ref="A2:E1485" totalsRowShown="0" headerRowDxfId="81">
  <autoFilter ref="A2:E1485" xr:uid="{628D52A7-E798-46B8-9F5C-7DDA6FCCEB34}"/>
  <tableColumns count="5">
    <tableColumn id="1" xr3:uid="{00000000-0010-0000-0100-000001000000}" name="CÓDIGO" dataDxfId="80"/>
    <tableColumn id="2" xr3:uid="{00000000-0010-0000-0100-000002000000}" name="DESCRIÇÃO" dataDxfId="79"/>
    <tableColumn id="4" xr3:uid="{00000000-0010-0000-0100-000004000000}" name="UNIDADE" dataDxfId="78"/>
    <tableColumn id="5" xr3:uid="{00000000-0010-0000-0100-000005000000}" name="Excluir?" dataDxfId="77">
      <calculatedColumnFormula>_xlfn.IFNA(IF(VLOOKUP(tabListaItens[[#This Row],[CÓDIGO]],tabExcluirDoEstoque[#Data],1,FALSE),"sim",""),"")</calculatedColumnFormula>
    </tableColumn>
    <tableColumn id="3" xr3:uid="{00000000-0010-0000-0100-000003000000}" name="FIM" dataDxfId="76">
      <calculatedColumnFormula>"*"</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Origens" displayName="tabOrigens" ref="A2:G5" totalsRowShown="0" headerRowDxfId="75">
  <tableColumns count="7">
    <tableColumn id="1" xr3:uid="{00000000-0010-0000-0200-000001000000}" name="CÓDIGO" dataDxfId="74"/>
    <tableColumn id="2" xr3:uid="{00000000-0010-0000-0200-000002000000}" name="DESCRIÇÃO" dataDxfId="73"/>
    <tableColumn id="4" xr3:uid="{00000000-0010-0000-0200-000004000000}" name="FATOR" dataDxfId="72"/>
    <tableColumn id="7" xr3:uid="{00000000-0010-0000-0200-000007000000}" name="VALIDADE" dataDxfId="71"/>
    <tableColumn id="6" xr3:uid="{00000000-0010-0000-0200-000006000000}" name="US_NOME" dataDxfId="70"/>
    <tableColumn id="5" xr3:uid="{00000000-0010-0000-0200-000005000000}" name="US_DATH" dataDxfId="69"/>
    <tableColumn id="3" xr3:uid="{00000000-0010-0000-0200-000003000000}" name="FIM" dataDxfId="68"/>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xcluirDoEstoque" displayName="tabExcluirDoEstoque" ref="A3:H551" totalsRowShown="0" headerRowBorderDxfId="67">
  <tableColumns count="8">
    <tableColumn id="1" xr3:uid="{00000000-0010-0000-0300-000001000000}" name="CÓDIGO" dataDxfId="66"/>
    <tableColumn id="2" xr3:uid="{00000000-0010-0000-0300-000002000000}" name="DESCRIÇÃO" dataDxfId="65"/>
    <tableColumn id="3" xr3:uid="{00000000-0010-0000-0300-000003000000}" name="UN" dataDxfId="64"/>
    <tableColumn id="4" xr3:uid="{00000000-0010-0000-0300-000004000000}" name="GRUPO" dataDxfId="63"/>
    <tableColumn id="5" xr3:uid="{00000000-0010-0000-0300-000005000000}" name="SUBGR" dataDxfId="62"/>
    <tableColumn id="8" xr3:uid="{00000000-0010-0000-0300-000008000000}" name="US_NOME" dataDxfId="61"/>
    <tableColumn id="7" xr3:uid="{00000000-0010-0000-0300-000007000000}" name="US_DATH" dataDxfId="60"/>
    <tableColumn id="6" xr3:uid="{00000000-0010-0000-0300-000006000000}" name="TRANSF"/>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Parametros" displayName="tabParametros" ref="A2:C4" totalsRowShown="0" headerRowDxfId="59" dataDxfId="58">
  <autoFilter ref="A2:C4" xr:uid="{00000000-0009-0000-0100-000006000000}"/>
  <sortState ref="A3:C14">
    <sortCondition ref="A3:A14"/>
  </sortState>
  <tableColumns count="3">
    <tableColumn id="1" xr3:uid="{00000000-0010-0000-0400-000001000000}" name="Referência" dataDxfId="57"/>
    <tableColumn id="2" xr3:uid="{00000000-0010-0000-0400-000002000000}" name="Valor" dataDxfId="56"/>
    <tableColumn id="3" xr3:uid="{00000000-0010-0000-0400-000003000000}" name="Observações" dataDxfId="55"/>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abRCsReemitidas" displayName="tabRCsReemitidas" ref="A2:L11" totalsRowShown="0" headerRowDxfId="54" dataDxfId="53">
  <tableColumns count="12">
    <tableColumn id="1" xr3:uid="{00000000-0010-0000-0500-000001000000}" name="RC_REEMITIDA" dataDxfId="52"/>
    <tableColumn id="7" xr3:uid="{00000000-0010-0000-0500-000007000000}" name="ANO_REEMITIDA" dataDxfId="51"/>
    <tableColumn id="11" xr3:uid="{00000000-0010-0000-0500-00000B000000}" name="QTD_REEMITIDA" dataDxfId="50"/>
    <tableColumn id="2" xr3:uid="{00000000-0010-0000-0500-000002000000}" name="RC_ANTERIOR" dataDxfId="49"/>
    <tableColumn id="3" xr3:uid="{00000000-0010-0000-0500-000003000000}" name="ANO_ANTERIOR" dataDxfId="48"/>
    <tableColumn id="12" xr3:uid="{00000000-0010-0000-0500-00000C000000}" name="QTD_ANTERIOR" dataDxfId="47"/>
    <tableColumn id="9" xr3:uid="{00000000-0010-0000-0500-000009000000}" name="CÓDIGO" dataDxfId="46"/>
    <tableColumn id="10" xr3:uid="{00000000-0010-0000-0500-00000A000000}" name="DESCRIÇÃO" dataDxfId="45">
      <calculatedColumnFormula>VLOOKUP(tabRCsReemitidas[CÓDIGO],tabListaItens[#Data],2,FALSE)</calculatedColumnFormula>
    </tableColumn>
    <tableColumn id="8" xr3:uid="{00000000-0010-0000-0500-000008000000}" name="OBSERVAÇÃO" dataDxfId="44"/>
    <tableColumn id="6" xr3:uid="{00000000-0010-0000-0500-000006000000}" name="US_NOME" dataDxfId="43"/>
    <tableColumn id="5" xr3:uid="{00000000-0010-0000-0500-000005000000}" name="US_DATH" dataDxfId="42"/>
    <tableColumn id="4" xr3:uid="{00000000-0010-0000-0500-000004000000}" name="FIM" dataDxfId="41">
      <calculatedColumnFormula>"*"</calculatedColumnFormula>
    </tableColumn>
  </tableColumns>
  <tableStyleInfo name="TableStyleMedium1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ExtrasBackup" displayName="tabExtrasBackup" ref="A2:L3" insertRow="1" totalsRowShown="0" headerRowDxfId="40" dataDxfId="38" headerRowBorderDxfId="39" tableBorderDxfId="37" totalsRowBorderDxfId="36">
  <autoFilter ref="A2:L3" xr:uid="{00000000-0009-0000-0100-000003000000}"/>
  <tableColumns count="12">
    <tableColumn id="1" xr3:uid="{00000000-0010-0000-0600-000001000000}" name="CÓDIGO" dataDxfId="35"/>
    <tableColumn id="2" xr3:uid="{00000000-0010-0000-0600-000002000000}" name="DESCRIÇÃO" dataDxfId="34"/>
    <tableColumn id="3" xr3:uid="{00000000-0010-0000-0600-000003000000}" name="UNIDADE" dataDxfId="33"/>
    <tableColumn id="13" xr3:uid="{00000000-0010-0000-0600-00000D000000}" name="ORIGEM" dataDxfId="32"/>
    <tableColumn id="9" xr3:uid="{00000000-0010-0000-0600-000009000000}" name="VALIDADE" dataDxfId="31"/>
    <tableColumn id="12" xr3:uid="{00000000-0010-0000-0600-00000C000000}" name="FATOR" dataDxfId="30"/>
    <tableColumn id="14" xr3:uid="{00000000-0010-0000-0600-00000E000000}" name="QUANTIDADE" dataDxfId="29"/>
    <tableColumn id="15" xr3:uid="{00000000-0010-0000-0600-00000F000000}" name="TOTAL" dataDxfId="28"/>
    <tableColumn id="10" xr3:uid="{00000000-0010-0000-0600-00000A000000}" name="OBSERVAÇÃO" dataDxfId="27"/>
    <tableColumn id="8" xr3:uid="{00000000-0010-0000-0600-000008000000}" name="US_NOME" dataDxfId="26"/>
    <tableColumn id="7" xr3:uid="{00000000-0010-0000-0600-000007000000}" name="US_DATH" dataDxfId="25"/>
    <tableColumn id="11" xr3:uid="{00000000-0010-0000-0600-00000B000000}" name="FIM" dataDxfId="24"/>
  </tableColumns>
  <tableStyleInfo name="TableStyleMedium15"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2.emf"/><Relationship Id="rId3" Type="http://schemas.openxmlformats.org/officeDocument/2006/relationships/vmlDrawing" Target="../drawings/vmlDrawing3.vml"/><Relationship Id="rId7" Type="http://schemas.openxmlformats.org/officeDocument/2006/relationships/image" Target="../media/image9.emf"/><Relationship Id="rId12" Type="http://schemas.openxmlformats.org/officeDocument/2006/relationships/control" Target="../activeX/activeX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image" Target="../media/image11.emf"/><Relationship Id="rId5" Type="http://schemas.openxmlformats.org/officeDocument/2006/relationships/image" Target="../media/image8.emf"/><Relationship Id="rId15" Type="http://schemas.openxmlformats.org/officeDocument/2006/relationships/comments" Target="../comments3.xml"/><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10.emf"/><Relationship Id="rId1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17.emf"/><Relationship Id="rId3" Type="http://schemas.openxmlformats.org/officeDocument/2006/relationships/vmlDrawing" Target="../drawings/vmlDrawing4.vml"/><Relationship Id="rId7" Type="http://schemas.openxmlformats.org/officeDocument/2006/relationships/image" Target="../media/image14.emf"/><Relationship Id="rId12" Type="http://schemas.openxmlformats.org/officeDocument/2006/relationships/control" Target="../activeX/activeX1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4.xml"/><Relationship Id="rId10" Type="http://schemas.openxmlformats.org/officeDocument/2006/relationships/control" Target="../activeX/activeX16.xml"/><Relationship Id="rId4" Type="http://schemas.openxmlformats.org/officeDocument/2006/relationships/control" Target="../activeX/activeX13.xml"/><Relationship Id="rId9" Type="http://schemas.openxmlformats.org/officeDocument/2006/relationships/image" Target="../media/image15.emf"/><Relationship Id="rId1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image" Target="../media/image18.emf"/><Relationship Id="rId4" Type="http://schemas.openxmlformats.org/officeDocument/2006/relationships/control" Target="../activeX/activeX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image" Target="../media/image19.emf"/><Relationship Id="rId4" Type="http://schemas.openxmlformats.org/officeDocument/2006/relationships/control" Target="../activeX/activeX1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7.vml"/><Relationship Id="rId7" Type="http://schemas.openxmlformats.org/officeDocument/2006/relationships/image" Target="../media/image21.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21.xml"/><Relationship Id="rId11" Type="http://schemas.openxmlformats.org/officeDocument/2006/relationships/comments" Target="../comments7.xml"/><Relationship Id="rId5" Type="http://schemas.openxmlformats.org/officeDocument/2006/relationships/image" Target="../media/image20.emf"/><Relationship Id="rId10" Type="http://schemas.openxmlformats.org/officeDocument/2006/relationships/table" Target="../tables/table7.xml"/><Relationship Id="rId4" Type="http://schemas.openxmlformats.org/officeDocument/2006/relationships/control" Target="../activeX/activeX20.xml"/><Relationship Id="rId9" Type="http://schemas.openxmlformats.org/officeDocument/2006/relationships/image" Target="../media/image2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5">
    <tabColor theme="5" tint="-0.499984740745262"/>
    <pageSetUpPr fitToPage="1"/>
  </sheetPr>
  <dimension ref="A1:N218"/>
  <sheetViews>
    <sheetView tabSelected="1" workbookViewId="0">
      <pane ySplit="2" topLeftCell="A180" activePane="bottomLeft" state="frozen"/>
      <selection pane="bottomLeft" activeCell="B43" sqref="B43"/>
    </sheetView>
  </sheetViews>
  <sheetFormatPr defaultRowHeight="15" x14ac:dyDescent="0.25"/>
  <cols>
    <col min="1" max="1" width="12.7109375" customWidth="1"/>
    <col min="2" max="2" width="91.5703125" customWidth="1"/>
    <col min="3" max="3" width="5" customWidth="1"/>
    <col min="4" max="4" width="27.28515625" customWidth="1"/>
    <col min="5" max="5" width="13.140625" customWidth="1"/>
    <col min="6" max="6" width="11.85546875" customWidth="1"/>
    <col min="7" max="7" width="16.28515625" customWidth="1"/>
    <col min="8" max="8" width="13.140625" customWidth="1"/>
    <col min="9" max="9" width="34" customWidth="1"/>
    <col min="10" max="10" width="24.7109375" hidden="1" customWidth="1"/>
    <col min="11" max="11" width="23" hidden="1" customWidth="1"/>
    <col min="12" max="12" width="7.85546875" hidden="1" customWidth="1"/>
    <col min="13" max="13" width="3.7109375" bestFit="1" customWidth="1"/>
    <col min="14" max="14" width="9" bestFit="1" customWidth="1"/>
  </cols>
  <sheetData>
    <row r="1" spans="1:14" ht="45.75" customHeight="1" x14ac:dyDescent="0.25">
      <c r="A1" s="105"/>
      <c r="B1" s="105"/>
      <c r="C1" s="105"/>
      <c r="D1" s="105"/>
      <c r="E1" s="105"/>
      <c r="F1" s="105"/>
      <c r="G1" s="105"/>
      <c r="H1" s="105"/>
      <c r="I1" s="105"/>
      <c r="J1" s="105"/>
      <c r="K1" s="105"/>
      <c r="L1" s="105"/>
      <c r="M1" s="105"/>
      <c r="N1" s="14"/>
    </row>
    <row r="2" spans="1:14" ht="49.5" customHeight="1" x14ac:dyDescent="0.25">
      <c r="A2" s="15" t="s">
        <v>0</v>
      </c>
      <c r="B2" s="16" t="s">
        <v>1</v>
      </c>
      <c r="C2" s="2" t="s">
        <v>2</v>
      </c>
      <c r="D2" s="17" t="s">
        <v>3</v>
      </c>
      <c r="E2" s="17" t="s">
        <v>1440</v>
      </c>
      <c r="F2" s="17" t="s">
        <v>1433</v>
      </c>
      <c r="G2" s="36" t="s">
        <v>1441</v>
      </c>
      <c r="H2" s="36" t="s">
        <v>1442</v>
      </c>
      <c r="I2" s="1" t="s">
        <v>4</v>
      </c>
      <c r="J2" s="1" t="s">
        <v>1430</v>
      </c>
      <c r="K2" s="1" t="s">
        <v>1431</v>
      </c>
      <c r="L2" s="1" t="s">
        <v>1492</v>
      </c>
      <c r="M2" s="2" t="s">
        <v>105</v>
      </c>
    </row>
    <row r="3" spans="1:14" ht="15.75" x14ac:dyDescent="0.25">
      <c r="A3" s="23">
        <v>12894</v>
      </c>
      <c r="B3" s="3" t="str">
        <f>IFERROR(VLOOKUP(tabExtras[CÓDIGO],tabListaItens[#Data],2,FALSE),"&lt;&lt; não enconrado &gt;&gt;")</f>
        <v>COTOVELO 90 GRAUS EM PVC RIGIDO SOLDAVEL DE 3/4"</v>
      </c>
      <c r="C3" s="4" t="str">
        <f>IFERROR(VLOOKUP(tabExtras[CÓDIGO],tabListaItens[#Data],3,FALSE),"")</f>
        <v>PC</v>
      </c>
      <c r="D3" s="25" t="s">
        <v>1438</v>
      </c>
      <c r="E3" s="26">
        <v>43889</v>
      </c>
      <c r="F3" s="30">
        <v>1</v>
      </c>
      <c r="G3" s="38">
        <v>1500</v>
      </c>
      <c r="H3" s="37">
        <f>tabExtras[FATOR] * tabExtras[QUANTIDADE]</f>
        <v>1500</v>
      </c>
      <c r="I3" s="42"/>
      <c r="J3" s="19" t="s">
        <v>1434</v>
      </c>
      <c r="K3" s="20">
        <v>43850.592881944445</v>
      </c>
      <c r="L3" s="73" t="str">
        <f>_xlfn.IFNA(IF(VLOOKUP($A3,tabExcluirDoEstoque[#Data],1,FALSE),"sim",""),"")</f>
        <v/>
      </c>
      <c r="M3" s="4" t="str">
        <f t="shared" ref="M3:M66" si="0">"*"</f>
        <v>*</v>
      </c>
    </row>
    <row r="4" spans="1:14" ht="15.75" x14ac:dyDescent="0.25">
      <c r="A4" s="23">
        <v>12956</v>
      </c>
      <c r="B4" s="3" t="str">
        <f>IFERROR(VLOOKUP(tabExtras[CÓDIGO],tabListaItens[#Data],2,FALSE),"&lt;&lt; não enconrado &gt;&gt;")</f>
        <v>LUVA DE PVC RIGIDO SOLDAVEL DE 3/4"</v>
      </c>
      <c r="C4" s="4" t="str">
        <f>IFERROR(VLOOKUP(tabExtras[CÓDIGO],tabListaItens[#Data],3,FALSE),"")</f>
        <v>PC</v>
      </c>
      <c r="D4" s="25" t="s">
        <v>1438</v>
      </c>
      <c r="E4" s="26">
        <v>43889</v>
      </c>
      <c r="F4" s="30">
        <v>1</v>
      </c>
      <c r="G4" s="38">
        <v>600</v>
      </c>
      <c r="H4" s="37">
        <f>tabExtras[FATOR] * tabExtras[QUANTIDADE]</f>
        <v>600</v>
      </c>
      <c r="I4" s="42"/>
      <c r="J4" s="19" t="s">
        <v>1434</v>
      </c>
      <c r="K4" s="20">
        <v>43850.592881944445</v>
      </c>
      <c r="L4" s="73" t="str">
        <f>_xlfn.IFNA(IF(VLOOKUP($A4,tabExcluirDoEstoque[#Data],1,FALSE),"sim",""),"")</f>
        <v/>
      </c>
      <c r="M4" s="4" t="str">
        <f t="shared" si="0"/>
        <v>*</v>
      </c>
    </row>
    <row r="5" spans="1:14" ht="15.75" x14ac:dyDescent="0.25">
      <c r="A5" s="23">
        <v>13072</v>
      </c>
      <c r="B5" s="3" t="str">
        <f>IFERROR(VLOOKUP(tabExtras[CÓDIGO],tabListaItens[#Data],2,FALSE),"&lt;&lt; não enconrado &gt;&gt;")</f>
        <v>TE EM PVC RIGIDO SOLDAVEL 3/4"</v>
      </c>
      <c r="C5" s="4" t="str">
        <f>IFERROR(VLOOKUP(tabExtras[CÓDIGO],tabListaItens[#Data],3,FALSE),"")</f>
        <v>PC</v>
      </c>
      <c r="D5" s="25" t="s">
        <v>1438</v>
      </c>
      <c r="E5" s="26">
        <v>43889</v>
      </c>
      <c r="F5" s="30">
        <v>1</v>
      </c>
      <c r="G5" s="38">
        <v>750</v>
      </c>
      <c r="H5" s="37">
        <f>tabExtras[FATOR] * tabExtras[QUANTIDADE]</f>
        <v>750</v>
      </c>
      <c r="I5" s="42"/>
      <c r="J5" s="19" t="s">
        <v>1434</v>
      </c>
      <c r="K5" s="20">
        <v>43850.592881944445</v>
      </c>
      <c r="L5" s="73" t="str">
        <f>_xlfn.IFNA(IF(VLOOKUP($A5,tabExcluirDoEstoque[#Data],1,FALSE),"sim",""),"")</f>
        <v/>
      </c>
      <c r="M5" s="4" t="str">
        <f t="shared" si="0"/>
        <v>*</v>
      </c>
    </row>
    <row r="6" spans="1:14" ht="15.75" x14ac:dyDescent="0.25">
      <c r="A6" s="23">
        <v>13117</v>
      </c>
      <c r="B6" s="3" t="str">
        <f>IFERROR(VLOOKUP(tabExtras[CÓDIGO],tabListaItens[#Data],2,FALSE),"&lt;&lt; não enconrado &gt;&gt;")</f>
        <v>REGISTRO DE PRESSAO 3/4" COM CANOPLA</v>
      </c>
      <c r="C6" s="4" t="str">
        <f>IFERROR(VLOOKUP(tabExtras[CÓDIGO],tabListaItens[#Data],3,FALSE),"")</f>
        <v>PC</v>
      </c>
      <c r="D6" s="25" t="s">
        <v>1438</v>
      </c>
      <c r="E6" s="26">
        <v>43889</v>
      </c>
      <c r="F6" s="30">
        <v>1</v>
      </c>
      <c r="G6" s="38">
        <v>90</v>
      </c>
      <c r="H6" s="37">
        <f>tabExtras[FATOR] * tabExtras[QUANTIDADE]</f>
        <v>90</v>
      </c>
      <c r="I6" s="42"/>
      <c r="J6" s="19" t="s">
        <v>1434</v>
      </c>
      <c r="K6" s="20">
        <v>43850.592881944445</v>
      </c>
      <c r="L6" s="73" t="str">
        <f>_xlfn.IFNA(IF(VLOOKUP($A6,tabExcluirDoEstoque[#Data],1,FALSE),"sim",""),"")</f>
        <v/>
      </c>
      <c r="M6" s="4" t="str">
        <f t="shared" si="0"/>
        <v>*</v>
      </c>
    </row>
    <row r="7" spans="1:14" ht="15.75" x14ac:dyDescent="0.25">
      <c r="A7" s="23">
        <v>13120</v>
      </c>
      <c r="B7" s="3" t="str">
        <f>IFERROR(VLOOKUP(tabExtras[CÓDIGO],tabListaItens[#Data],2,FALSE),"&lt;&lt; não enconrado &gt;&gt;")</f>
        <v>REGISTRO DE GAVETA EM LIGA DE COBRE DE 3/4" S/ CANOPLA</v>
      </c>
      <c r="C7" s="4" t="str">
        <f>IFERROR(VLOOKUP(tabExtras[CÓDIGO],tabListaItens[#Data],3,FALSE),"")</f>
        <v>PC</v>
      </c>
      <c r="D7" s="25" t="s">
        <v>1438</v>
      </c>
      <c r="E7" s="26">
        <v>43889</v>
      </c>
      <c r="F7" s="30">
        <v>1</v>
      </c>
      <c r="G7" s="38">
        <v>60</v>
      </c>
      <c r="H7" s="37">
        <f>tabExtras[FATOR] * tabExtras[QUANTIDADE]</f>
        <v>60</v>
      </c>
      <c r="I7" s="42"/>
      <c r="J7" s="19" t="s">
        <v>1434</v>
      </c>
      <c r="K7" s="20">
        <v>43850.592881944445</v>
      </c>
      <c r="L7" s="73" t="str">
        <f>_xlfn.IFNA(IF(VLOOKUP($A7,tabExcluirDoEstoque[#Data],1,FALSE),"sim",""),"")</f>
        <v/>
      </c>
      <c r="M7" s="4" t="str">
        <f t="shared" si="0"/>
        <v>*</v>
      </c>
    </row>
    <row r="8" spans="1:14" ht="15.75" x14ac:dyDescent="0.25">
      <c r="A8" s="23">
        <v>13179</v>
      </c>
      <c r="B8" s="3" t="str">
        <f>IFERROR(VLOOKUP(tabExtras[CÓDIGO],tabListaItens[#Data],2,FALSE),"&lt;&lt; não enconrado &gt;&gt;")</f>
        <v>BUCHA DE FIXACAO N° 8 DE PLASTICO</v>
      </c>
      <c r="C8" s="4" t="str">
        <f>IFERROR(VLOOKUP(tabExtras[CÓDIGO],tabListaItens[#Data],3,FALSE),"")</f>
        <v>PC</v>
      </c>
      <c r="D8" s="25" t="s">
        <v>1438</v>
      </c>
      <c r="E8" s="26">
        <v>43889</v>
      </c>
      <c r="F8" s="30">
        <v>1</v>
      </c>
      <c r="G8" s="38">
        <v>900</v>
      </c>
      <c r="H8" s="37">
        <f>tabExtras[FATOR] * tabExtras[QUANTIDADE]</f>
        <v>900</v>
      </c>
      <c r="I8" s="42"/>
      <c r="J8" s="19" t="s">
        <v>1434</v>
      </c>
      <c r="K8" s="20">
        <v>43850.592881944445</v>
      </c>
      <c r="L8" s="73" t="str">
        <f>_xlfn.IFNA(IF(VLOOKUP($A8,tabExcluirDoEstoque[#Data],1,FALSE),"sim",""),"")</f>
        <v/>
      </c>
      <c r="M8" s="4" t="str">
        <f t="shared" si="0"/>
        <v>*</v>
      </c>
    </row>
    <row r="9" spans="1:14" ht="30" x14ac:dyDescent="0.25">
      <c r="A9" s="23">
        <v>13562</v>
      </c>
      <c r="B9" s="3" t="str">
        <f>IFERROR(VLOOKUP(tabExtras[CÓDIGO],tabListaItens[#Data],2,FALSE),"&lt;&lt; não enconrado &gt;&gt;")</f>
        <v>TUBO DE PVC RIGIDO SOLDAVEL DE 25 MM  - 3/4" X 06 M - CLASSE 15 MARROM - NBR 5648 - A MARCA DEVERA SER LITOGRAFADA NO PRODUTO</v>
      </c>
      <c r="C9" s="4" t="str">
        <f>IFERROR(VLOOKUP(tabExtras[CÓDIGO],tabListaItens[#Data],3,FALSE),"")</f>
        <v>BR</v>
      </c>
      <c r="D9" s="25" t="s">
        <v>1438</v>
      </c>
      <c r="E9" s="26">
        <v>43889</v>
      </c>
      <c r="F9" s="30">
        <v>1</v>
      </c>
      <c r="G9" s="38">
        <v>1350</v>
      </c>
      <c r="H9" s="37">
        <f>tabExtras[FATOR] * tabExtras[QUANTIDADE]</f>
        <v>1350</v>
      </c>
      <c r="I9" s="42"/>
      <c r="J9" s="19" t="s">
        <v>1434</v>
      </c>
      <c r="K9" s="20">
        <v>43850.592881944445</v>
      </c>
      <c r="L9" s="73" t="str">
        <f>_xlfn.IFNA(IF(VLOOKUP($A9,tabExcluirDoEstoque[#Data],1,FALSE),"sim",""),"")</f>
        <v/>
      </c>
      <c r="M9" s="4" t="str">
        <f t="shared" si="0"/>
        <v>*</v>
      </c>
    </row>
    <row r="10" spans="1:14" ht="15.75" x14ac:dyDescent="0.25">
      <c r="A10" s="23">
        <v>14012</v>
      </c>
      <c r="B10" s="3" t="str">
        <f>IFERROR(VLOOKUP(tabExtras[CÓDIGO],tabListaItens[#Data],2,FALSE),"&lt;&lt; não enconrado &gt;&gt;")</f>
        <v>ABRACADEIRA GALVANIZADA TIPO U DE 3/4"</v>
      </c>
      <c r="C10" s="4" t="str">
        <f>IFERROR(VLOOKUP(tabExtras[CÓDIGO],tabListaItens[#Data],3,FALSE),"")</f>
        <v>PC</v>
      </c>
      <c r="D10" s="25" t="s">
        <v>1438</v>
      </c>
      <c r="E10" s="26">
        <v>43889</v>
      </c>
      <c r="F10" s="30">
        <v>1</v>
      </c>
      <c r="G10" s="38">
        <v>450</v>
      </c>
      <c r="H10" s="37">
        <f>tabExtras[FATOR] * tabExtras[QUANTIDADE]</f>
        <v>450</v>
      </c>
      <c r="I10" s="42"/>
      <c r="J10" s="19" t="s">
        <v>1434</v>
      </c>
      <c r="K10" s="20">
        <v>43850.592881944445</v>
      </c>
      <c r="L10" s="73" t="str">
        <f>_xlfn.IFNA(IF(VLOOKUP($A10,tabExcluirDoEstoque[#Data],1,FALSE),"sim",""),"")</f>
        <v/>
      </c>
      <c r="M10" s="4" t="str">
        <f t="shared" si="0"/>
        <v>*</v>
      </c>
    </row>
    <row r="11" spans="1:14" ht="15.75" x14ac:dyDescent="0.25">
      <c r="A11" s="23">
        <v>25523</v>
      </c>
      <c r="B11" s="3" t="str">
        <f>IFERROR(VLOOKUP(tabExtras[CÓDIGO],tabListaItens[#Data],2,FALSE),"&lt;&lt; não enconrado &gt;&gt;")</f>
        <v>COTOVELO EM PVC AZUL-COLA E ROSCA DE 3/4"</v>
      </c>
      <c r="C11" s="4" t="str">
        <f>IFERROR(VLOOKUP(tabExtras[CÓDIGO],tabListaItens[#Data],3,FALSE),"")</f>
        <v>PC</v>
      </c>
      <c r="D11" s="25" t="s">
        <v>1438</v>
      </c>
      <c r="E11" s="26">
        <v>43889</v>
      </c>
      <c r="F11" s="30">
        <v>1</v>
      </c>
      <c r="G11" s="38">
        <v>150</v>
      </c>
      <c r="H11" s="37">
        <f>tabExtras[FATOR] * tabExtras[QUANTIDADE]</f>
        <v>150</v>
      </c>
      <c r="I11" s="42"/>
      <c r="J11" s="19" t="s">
        <v>1434</v>
      </c>
      <c r="K11" s="20">
        <v>43850.592881944445</v>
      </c>
      <c r="L11" s="73" t="str">
        <f>_xlfn.IFNA(IF(VLOOKUP($A11,tabExcluirDoEstoque[#Data],1,FALSE),"sim",""),"")</f>
        <v/>
      </c>
      <c r="M11" s="4" t="str">
        <f t="shared" si="0"/>
        <v>*</v>
      </c>
    </row>
    <row r="12" spans="1:14" ht="15.75" x14ac:dyDescent="0.25">
      <c r="A12" s="23">
        <v>27287</v>
      </c>
      <c r="B12" s="3" t="str">
        <f>IFERROR(VLOOKUP(tabExtras[CÓDIGO],tabListaItens[#Data],2,FALSE),"&lt;&lt; não enconrado &gt;&gt;")</f>
        <v>FERRO CHATO 1 X 1/ 8" BARRA C/ 06 METROS</v>
      </c>
      <c r="C12" s="4" t="str">
        <f>IFERROR(VLOOKUP(tabExtras[CÓDIGO],tabListaItens[#Data],3,FALSE),"")</f>
        <v>BR</v>
      </c>
      <c r="D12" s="25" t="s">
        <v>1438</v>
      </c>
      <c r="E12" s="26">
        <v>43889</v>
      </c>
      <c r="F12" s="30">
        <v>1</v>
      </c>
      <c r="G12" s="38">
        <v>90</v>
      </c>
      <c r="H12" s="37">
        <f>tabExtras[FATOR] * tabExtras[QUANTIDADE]</f>
        <v>90</v>
      </c>
      <c r="I12" s="42"/>
      <c r="J12" s="19" t="s">
        <v>1434</v>
      </c>
      <c r="K12" s="20">
        <v>43850.592881944445</v>
      </c>
      <c r="L12" s="73" t="str">
        <f>_xlfn.IFNA(IF(VLOOKUP($A12,tabExcluirDoEstoque[#Data],1,FALSE),"sim",""),"")</f>
        <v/>
      </c>
      <c r="M12" s="4" t="str">
        <f t="shared" si="0"/>
        <v>*</v>
      </c>
    </row>
    <row r="13" spans="1:14" ht="15.75" x14ac:dyDescent="0.25">
      <c r="A13" s="23">
        <v>44398</v>
      </c>
      <c r="B13" s="3" t="str">
        <f>IFERROR(VLOOKUP(tabExtras[CÓDIGO],tabListaItens[#Data],2,FALSE),"&lt;&lt; não enconrado &gt;&gt;")</f>
        <v>TUBO DE FERRO TIPO METALON, 40 X 20 X 1,5 MM, BARRA COM 6 M</v>
      </c>
      <c r="C13" s="4" t="str">
        <f>IFERROR(VLOOKUP(tabExtras[CÓDIGO],tabListaItens[#Data],3,FALSE),"")</f>
        <v>BR</v>
      </c>
      <c r="D13" s="25" t="s">
        <v>1438</v>
      </c>
      <c r="E13" s="26">
        <v>43889</v>
      </c>
      <c r="F13" s="30">
        <v>1</v>
      </c>
      <c r="G13" s="38">
        <v>450</v>
      </c>
      <c r="H13" s="37">
        <f>tabExtras[FATOR] * tabExtras[QUANTIDADE]</f>
        <v>450</v>
      </c>
      <c r="I13" s="42"/>
      <c r="J13" s="19" t="s">
        <v>1434</v>
      </c>
      <c r="K13" s="20">
        <v>43850.592881944445</v>
      </c>
      <c r="L13" s="73" t="str">
        <f>_xlfn.IFNA(IF(VLOOKUP($A13,tabExcluirDoEstoque[#Data],1,FALSE),"sim",""),"")</f>
        <v/>
      </c>
      <c r="M13" s="4" t="str">
        <f t="shared" si="0"/>
        <v>*</v>
      </c>
    </row>
    <row r="14" spans="1:14" ht="15.75" x14ac:dyDescent="0.25">
      <c r="A14" s="23">
        <v>45607</v>
      </c>
      <c r="B14" s="3" t="str">
        <f>IFERROR(VLOOKUP(tabExtras[CÓDIGO],tabListaItens[#Data],2,FALSE),"&lt;&lt; não enconrado &gt;&gt;")</f>
        <v>UNIAO DE PVC COLA -  25 MM</v>
      </c>
      <c r="C14" s="4" t="str">
        <f>IFERROR(VLOOKUP(tabExtras[CÓDIGO],tabListaItens[#Data],3,FALSE),"")</f>
        <v>PC</v>
      </c>
      <c r="D14" s="25" t="s">
        <v>1438</v>
      </c>
      <c r="E14" s="26">
        <v>43889</v>
      </c>
      <c r="F14" s="30">
        <v>1</v>
      </c>
      <c r="G14" s="38">
        <v>360</v>
      </c>
      <c r="H14" s="37">
        <f>tabExtras[FATOR] * tabExtras[QUANTIDADE]</f>
        <v>360</v>
      </c>
      <c r="I14" s="42"/>
      <c r="J14" s="19" t="s">
        <v>1434</v>
      </c>
      <c r="K14" s="20">
        <v>43850.592881944445</v>
      </c>
      <c r="L14" s="73" t="str">
        <f>_xlfn.IFNA(IF(VLOOKUP($A14,tabExcluirDoEstoque[#Data],1,FALSE),"sim",""),"")</f>
        <v/>
      </c>
      <c r="M14" s="4" t="str">
        <f t="shared" si="0"/>
        <v>*</v>
      </c>
    </row>
    <row r="15" spans="1:14" ht="15.75" x14ac:dyDescent="0.25">
      <c r="A15" s="23">
        <v>54552</v>
      </c>
      <c r="B15" s="3" t="str">
        <f>IFERROR(VLOOKUP(tabExtras[CÓDIGO],tabListaItens[#Data],2,FALSE),"&lt;&lt; não enconrado &gt;&gt;")</f>
        <v>TUBO DE FERRO METALON - 50 X 50 X 1,5MM - BARRA COM 6 METRO</v>
      </c>
      <c r="C15" s="4" t="str">
        <f>IFERROR(VLOOKUP(tabExtras[CÓDIGO],tabListaItens[#Data],3,FALSE),"")</f>
        <v>BR</v>
      </c>
      <c r="D15" s="25" t="s">
        <v>1438</v>
      </c>
      <c r="E15" s="26">
        <v>43889</v>
      </c>
      <c r="F15" s="30">
        <v>1</v>
      </c>
      <c r="G15" s="38">
        <v>450</v>
      </c>
      <c r="H15" s="37">
        <f>tabExtras[FATOR] * tabExtras[QUANTIDADE]</f>
        <v>450</v>
      </c>
      <c r="I15" s="42"/>
      <c r="J15" s="19" t="s">
        <v>1434</v>
      </c>
      <c r="K15" s="20">
        <v>43850.592881944445</v>
      </c>
      <c r="L15" s="73" t="str">
        <f>_xlfn.IFNA(IF(VLOOKUP($A15,tabExcluirDoEstoque[#Data],1,FALSE),"sim",""),"")</f>
        <v/>
      </c>
      <c r="M15" s="4" t="str">
        <f t="shared" si="0"/>
        <v>*</v>
      </c>
    </row>
    <row r="16" spans="1:14" ht="15.75" x14ac:dyDescent="0.25">
      <c r="A16" s="23">
        <v>59018</v>
      </c>
      <c r="B16" s="3" t="str">
        <f>IFERROR(VLOOKUP(tabExtras[CÓDIGO],tabListaItens[#Data],2,FALSE),"&lt;&lt; não enconrado &gt;&gt;")</f>
        <v>CANTONEIRA DE FERRO - 1.1/2" X 1/8" BARRA COM 06 MET</v>
      </c>
      <c r="C16" s="4" t="str">
        <f>IFERROR(VLOOKUP(tabExtras[CÓDIGO],tabListaItens[#Data],3,FALSE),"")</f>
        <v>BR</v>
      </c>
      <c r="D16" s="25" t="s">
        <v>1438</v>
      </c>
      <c r="E16" s="26">
        <v>43889</v>
      </c>
      <c r="F16" s="30">
        <v>1</v>
      </c>
      <c r="G16" s="38">
        <v>150</v>
      </c>
      <c r="H16" s="37">
        <f>tabExtras[FATOR] * tabExtras[QUANTIDADE]</f>
        <v>150</v>
      </c>
      <c r="I16" s="42"/>
      <c r="J16" s="19" t="s">
        <v>1434</v>
      </c>
      <c r="K16" s="20">
        <v>43850.592881944445</v>
      </c>
      <c r="L16" s="73" t="str">
        <f>_xlfn.IFNA(IF(VLOOKUP($A16,tabExcluirDoEstoque[#Data],1,FALSE),"sim",""),"")</f>
        <v/>
      </c>
      <c r="M16" s="4" t="str">
        <f t="shared" si="0"/>
        <v>*</v>
      </c>
    </row>
    <row r="17" spans="1:13" ht="15.75" x14ac:dyDescent="0.25">
      <c r="A17" s="23">
        <v>61201</v>
      </c>
      <c r="B17" s="3" t="str">
        <f>IFERROR(VLOOKUP(tabExtras[CÓDIGO],tabListaItens[#Data],2,FALSE),"&lt;&lt; não enconrado &gt;&gt;")</f>
        <v>LUVA DE PVC SOLDAVEL / ROSQUEAVEL AZUL - 3/4"</v>
      </c>
      <c r="C17" s="4" t="str">
        <f>IFERROR(VLOOKUP(tabExtras[CÓDIGO],tabListaItens[#Data],3,FALSE),"")</f>
        <v>PC</v>
      </c>
      <c r="D17" s="25" t="s">
        <v>1438</v>
      </c>
      <c r="E17" s="26">
        <v>43889</v>
      </c>
      <c r="F17" s="30">
        <v>1</v>
      </c>
      <c r="G17" s="38">
        <v>963</v>
      </c>
      <c r="H17" s="37">
        <f>tabExtras[FATOR] * tabExtras[QUANTIDADE]</f>
        <v>963</v>
      </c>
      <c r="I17" s="42"/>
      <c r="J17" s="19" t="s">
        <v>1434</v>
      </c>
      <c r="K17" s="20">
        <v>43850.592881944445</v>
      </c>
      <c r="L17" s="73" t="str">
        <f>_xlfn.IFNA(IF(VLOOKUP($A17,tabExcluirDoEstoque[#Data],1,FALSE),"sim",""),"")</f>
        <v/>
      </c>
      <c r="M17" s="4" t="str">
        <f t="shared" si="0"/>
        <v>*</v>
      </c>
    </row>
    <row r="18" spans="1:13" ht="15.75" x14ac:dyDescent="0.25">
      <c r="A18" s="23">
        <v>64253</v>
      </c>
      <c r="B18" s="3" t="str">
        <f>IFERROR(VLOOKUP(tabExtras[CÓDIGO],tabListaItens[#Data],2,FALSE),"&lt;&lt; não enconrado &gt;&gt;")</f>
        <v>TUBO QUADRADO DE METALON - 1" X 1" X 1,5 MM - BARRA COM 06</v>
      </c>
      <c r="C18" s="4" t="str">
        <f>IFERROR(VLOOKUP(tabExtras[CÓDIGO],tabListaItens[#Data],3,FALSE),"")</f>
        <v>BR</v>
      </c>
      <c r="D18" s="25" t="s">
        <v>1438</v>
      </c>
      <c r="E18" s="26">
        <v>43889</v>
      </c>
      <c r="F18" s="30">
        <v>1</v>
      </c>
      <c r="G18" s="38">
        <v>450</v>
      </c>
      <c r="H18" s="37">
        <f>tabExtras[FATOR] * tabExtras[QUANTIDADE]</f>
        <v>450</v>
      </c>
      <c r="I18" s="42"/>
      <c r="J18" s="19" t="s">
        <v>1434</v>
      </c>
      <c r="K18" s="20">
        <v>43850.592881944445</v>
      </c>
      <c r="L18" s="73" t="str">
        <f>_xlfn.IFNA(IF(VLOOKUP($A18,tabExcluirDoEstoque[#Data],1,FALSE),"sim",""),"")</f>
        <v/>
      </c>
      <c r="M18" s="4" t="str">
        <f t="shared" si="0"/>
        <v>*</v>
      </c>
    </row>
    <row r="19" spans="1:13" ht="15.75" x14ac:dyDescent="0.25">
      <c r="A19" s="23">
        <v>64607</v>
      </c>
      <c r="B19" s="3" t="str">
        <f>IFERROR(VLOOKUP(tabExtras[CÓDIGO],tabListaItens[#Data],2,FALSE),"&lt;&lt; não enconrado &gt;&gt;")</f>
        <v>CANTONEIRA DE FERRO - BARRA COM 6 M - 1" X 1/8"</v>
      </c>
      <c r="C19" s="4" t="str">
        <f>IFERROR(VLOOKUP(tabExtras[CÓDIGO],tabListaItens[#Data],3,FALSE),"")</f>
        <v>BR</v>
      </c>
      <c r="D19" s="25" t="s">
        <v>1438</v>
      </c>
      <c r="E19" s="27">
        <v>43889</v>
      </c>
      <c r="F19" s="31">
        <v>1</v>
      </c>
      <c r="G19" s="39">
        <v>450</v>
      </c>
      <c r="H19" s="37">
        <f>tabExtras[FATOR] * tabExtras[QUANTIDADE]</f>
        <v>450</v>
      </c>
      <c r="I19" s="42"/>
      <c r="J19" s="19" t="s">
        <v>1434</v>
      </c>
      <c r="K19" s="20">
        <v>43850.592881944445</v>
      </c>
      <c r="L19" s="73" t="str">
        <f>_xlfn.IFNA(IF(VLOOKUP($A19,tabExcluirDoEstoque[#Data],1,FALSE),"sim",""),"")</f>
        <v/>
      </c>
      <c r="M19" s="4" t="str">
        <f t="shared" si="0"/>
        <v>*</v>
      </c>
    </row>
    <row r="20" spans="1:13" ht="15.75" x14ac:dyDescent="0.25">
      <c r="A20" s="23">
        <v>64609</v>
      </c>
      <c r="B20" s="3" t="str">
        <f>IFERROR(VLOOKUP(tabExtras[CÓDIGO],tabListaItens[#Data],2,FALSE),"&lt;&lt; não enconrado &gt;&gt;")</f>
        <v>CANTONEIRA DE FERRO - BARRA COM 6 M - 3/4" X 1/8"</v>
      </c>
      <c r="C20" s="4" t="str">
        <f>IFERROR(VLOOKUP(tabExtras[CÓDIGO],tabListaItens[#Data],3,FALSE),"")</f>
        <v>BR</v>
      </c>
      <c r="D20" s="25" t="s">
        <v>1438</v>
      </c>
      <c r="E20" s="27">
        <v>43889</v>
      </c>
      <c r="F20" s="31">
        <v>1</v>
      </c>
      <c r="G20" s="39">
        <v>600</v>
      </c>
      <c r="H20" s="37">
        <f>tabExtras[FATOR] * tabExtras[QUANTIDADE]</f>
        <v>600</v>
      </c>
      <c r="I20" s="42"/>
      <c r="J20" s="19" t="s">
        <v>1434</v>
      </c>
      <c r="K20" s="20">
        <v>43850.592881944445</v>
      </c>
      <c r="L20" s="73" t="str">
        <f>_xlfn.IFNA(IF(VLOOKUP($A20,tabExcluirDoEstoque[#Data],1,FALSE),"sim",""),"")</f>
        <v/>
      </c>
      <c r="M20" s="4" t="str">
        <f t="shared" si="0"/>
        <v>*</v>
      </c>
    </row>
    <row r="21" spans="1:13" ht="15.75" x14ac:dyDescent="0.25">
      <c r="A21" s="23">
        <v>76776</v>
      </c>
      <c r="B21" s="3" t="str">
        <f>IFERROR(VLOOKUP(tabExtras[CÓDIGO],tabListaItens[#Data],2,FALSE),"&lt;&lt; não enconrado &gt;&gt;")</f>
        <v>CABO FLEXIVEL BITOLA 4,0 MM2, 750 VOLTS, ISOLACAO DE PVC 70° C, COR PRETA</v>
      </c>
      <c r="C21" s="4" t="str">
        <f>IFERROR(VLOOKUP(tabExtras[CÓDIGO],tabListaItens[#Data],3,FALSE),"")</f>
        <v>M</v>
      </c>
      <c r="D21" s="25" t="s">
        <v>1438</v>
      </c>
      <c r="E21" s="26">
        <v>43889</v>
      </c>
      <c r="F21" s="30">
        <v>1</v>
      </c>
      <c r="G21" s="38">
        <v>32400</v>
      </c>
      <c r="H21" s="37">
        <f>tabExtras[FATOR] * tabExtras[QUANTIDADE]</f>
        <v>32400</v>
      </c>
      <c r="I21" s="42"/>
      <c r="J21" s="19" t="s">
        <v>1434</v>
      </c>
      <c r="K21" s="20">
        <v>43850.592881944445</v>
      </c>
      <c r="L21" s="73" t="str">
        <f>_xlfn.IFNA(IF(VLOOKUP($A21,tabExcluirDoEstoque[#Data],1,FALSE),"sim",""),"")</f>
        <v>sim</v>
      </c>
      <c r="M21" s="4" t="str">
        <f t="shared" si="0"/>
        <v>*</v>
      </c>
    </row>
    <row r="22" spans="1:13" ht="15.75" x14ac:dyDescent="0.25">
      <c r="A22" s="23">
        <v>76780</v>
      </c>
      <c r="B22" s="3" t="str">
        <f>IFERROR(VLOOKUP(tabExtras[CÓDIGO],tabListaItens[#Data],2,FALSE),"&lt;&lt; não enconrado &gt;&gt;")</f>
        <v>CABO FLEXIVEL BITOLA 4,0 MM2, 750 VOLTS, ISOLACAO DE PVC 70° C, COR VERDE</v>
      </c>
      <c r="C22" s="4" t="str">
        <f>IFERROR(VLOOKUP(tabExtras[CÓDIGO],tabListaItens[#Data],3,FALSE),"")</f>
        <v>M</v>
      </c>
      <c r="D22" s="25" t="s">
        <v>1438</v>
      </c>
      <c r="E22" s="26">
        <v>43889</v>
      </c>
      <c r="F22" s="30">
        <v>1</v>
      </c>
      <c r="G22" s="38">
        <v>16200</v>
      </c>
      <c r="H22" s="37">
        <f>tabExtras[FATOR] * tabExtras[QUANTIDADE]</f>
        <v>16200</v>
      </c>
      <c r="I22" s="42"/>
      <c r="J22" s="19" t="s">
        <v>1434</v>
      </c>
      <c r="K22" s="20">
        <v>43850.592881944445</v>
      </c>
      <c r="L22" s="73" t="str">
        <f>_xlfn.IFNA(IF(VLOOKUP($A22,tabExcluirDoEstoque[#Data],1,FALSE),"sim",""),"")</f>
        <v>sim</v>
      </c>
      <c r="M22" s="4" t="str">
        <f t="shared" si="0"/>
        <v>*</v>
      </c>
    </row>
    <row r="23" spans="1:13" ht="15.75" x14ac:dyDescent="0.25">
      <c r="A23" s="23">
        <v>80387</v>
      </c>
      <c r="B23" s="3" t="str">
        <f>IFERROR(VLOOKUP(tabExtras[CÓDIGO],tabListaItens[#Data],2,FALSE),"&lt;&lt; não enconrado &gt;&gt;")</f>
        <v>DISCO DE CORTE 9" X 1/8" X 7/8"</v>
      </c>
      <c r="C23" s="4" t="str">
        <f>IFERROR(VLOOKUP(tabExtras[CÓDIGO],tabListaItens[#Data],3,FALSE),"")</f>
        <v>PC</v>
      </c>
      <c r="D23" s="25" t="s">
        <v>1438</v>
      </c>
      <c r="E23" s="26">
        <v>43889</v>
      </c>
      <c r="F23" s="30">
        <v>1</v>
      </c>
      <c r="G23" s="38">
        <v>150</v>
      </c>
      <c r="H23" s="37">
        <f>tabExtras[FATOR] * tabExtras[QUANTIDADE]</f>
        <v>150</v>
      </c>
      <c r="I23" s="42"/>
      <c r="J23" s="19" t="s">
        <v>1434</v>
      </c>
      <c r="K23" s="20">
        <v>43850.592881944445</v>
      </c>
      <c r="L23" s="73" t="str">
        <f>_xlfn.IFNA(IF(VLOOKUP($A23,tabExcluirDoEstoque[#Data],1,FALSE),"sim",""),"")</f>
        <v/>
      </c>
      <c r="M23" s="4" t="str">
        <f t="shared" si="0"/>
        <v>*</v>
      </c>
    </row>
    <row r="24" spans="1:13" ht="15.75" x14ac:dyDescent="0.25">
      <c r="A24" s="23">
        <v>88728</v>
      </c>
      <c r="B24" s="3" t="str">
        <f>IFERROR(VLOOKUP(tabExtras[CÓDIGO],tabListaItens[#Data],2,FALSE),"&lt;&lt; não enconrado &gt;&gt;")</f>
        <v>DISJUNTOR NORMA DIN CURVA C PADRAO, BIPOLAR, 32 AMPERES</v>
      </c>
      <c r="C24" s="4" t="str">
        <f>IFERROR(VLOOKUP(tabExtras[CÓDIGO],tabListaItens[#Data],3,FALSE),"")</f>
        <v>PC</v>
      </c>
      <c r="D24" s="25" t="s">
        <v>1438</v>
      </c>
      <c r="E24" s="27">
        <v>43889</v>
      </c>
      <c r="F24" s="31">
        <v>1</v>
      </c>
      <c r="G24" s="39">
        <v>108</v>
      </c>
      <c r="H24" s="37">
        <f>tabExtras[FATOR] * tabExtras[QUANTIDADE]</f>
        <v>108</v>
      </c>
      <c r="I24" s="42"/>
      <c r="J24" s="19" t="s">
        <v>1434</v>
      </c>
      <c r="K24" s="20">
        <v>43850.592881944445</v>
      </c>
      <c r="L24" s="73" t="str">
        <f>_xlfn.IFNA(IF(VLOOKUP($A24,tabExcluirDoEstoque[#Data],1,FALSE),"sim",""),"")</f>
        <v/>
      </c>
      <c r="M24" s="4" t="str">
        <f t="shared" si="0"/>
        <v>*</v>
      </c>
    </row>
    <row r="25" spans="1:13" ht="15.75" x14ac:dyDescent="0.25">
      <c r="A25" s="23">
        <v>106544</v>
      </c>
      <c r="B25" s="3" t="str">
        <f>IFERROR(VLOOKUP(tabExtras[CÓDIGO],tabListaItens[#Data],2,FALSE),"&lt;&lt; não enconrado &gt;&gt;")</f>
        <v xml:space="preserve">CHUMBADOR CBA  5/16" X 2.1/4" </v>
      </c>
      <c r="C25" s="4" t="str">
        <f>IFERROR(VLOOKUP(tabExtras[CÓDIGO],tabListaItens[#Data],3,FALSE),"")</f>
        <v>PC</v>
      </c>
      <c r="D25" s="25" t="s">
        <v>1438</v>
      </c>
      <c r="E25" s="26">
        <v>43889</v>
      </c>
      <c r="F25" s="30">
        <v>1</v>
      </c>
      <c r="G25" s="38">
        <v>3000</v>
      </c>
      <c r="H25" s="37">
        <f>tabExtras[FATOR] * tabExtras[QUANTIDADE]</f>
        <v>3000</v>
      </c>
      <c r="I25" s="42"/>
      <c r="J25" s="19" t="s">
        <v>1434</v>
      </c>
      <c r="K25" s="20">
        <v>43850.592881944445</v>
      </c>
      <c r="L25" s="73" t="str">
        <f>_xlfn.IFNA(IF(VLOOKUP($A25,tabExcluirDoEstoque[#Data],1,FALSE),"sim",""),"")</f>
        <v/>
      </c>
      <c r="M25" s="4" t="str">
        <f t="shared" si="0"/>
        <v>*</v>
      </c>
    </row>
    <row r="26" spans="1:13" ht="15.75" x14ac:dyDescent="0.25">
      <c r="A26" s="23">
        <v>106546</v>
      </c>
      <c r="B26" s="3" t="str">
        <f>IFERROR(VLOOKUP(tabExtras[CÓDIGO],tabListaItens[#Data],2,FALSE),"&lt;&lt; não enconrado &gt;&gt;")</f>
        <v xml:space="preserve">CHUMBADOR CBA   5/16"  X  3.1/4" </v>
      </c>
      <c r="C26" s="4" t="str">
        <f>IFERROR(VLOOKUP(tabExtras[CÓDIGO],tabListaItens[#Data],3,FALSE),"")</f>
        <v>PC</v>
      </c>
      <c r="D26" s="25" t="s">
        <v>1438</v>
      </c>
      <c r="E26" s="26">
        <v>43889</v>
      </c>
      <c r="F26" s="30">
        <v>1</v>
      </c>
      <c r="G26" s="38">
        <v>3000</v>
      </c>
      <c r="H26" s="37">
        <f>tabExtras[FATOR] * tabExtras[QUANTIDADE]</f>
        <v>3000</v>
      </c>
      <c r="I26" s="42"/>
      <c r="J26" s="19" t="s">
        <v>1434</v>
      </c>
      <c r="K26" s="20">
        <v>43850.592881944445</v>
      </c>
      <c r="L26" s="73" t="str">
        <f>_xlfn.IFNA(IF(VLOOKUP($A26,tabExcluirDoEstoque[#Data],1,FALSE),"sim",""),"")</f>
        <v/>
      </c>
      <c r="M26" s="4" t="str">
        <f t="shared" si="0"/>
        <v>*</v>
      </c>
    </row>
    <row r="27" spans="1:13" ht="15.75" x14ac:dyDescent="0.25">
      <c r="A27" s="23">
        <v>113581</v>
      </c>
      <c r="B27" s="3" t="str">
        <f>IFERROR(VLOOKUP(tabExtras[CÓDIGO],tabListaItens[#Data],2,FALSE),"&lt;&lt; não enconrado &gt;&gt;")</f>
        <v>REGISTRO TIPO ESFERA, MATERIAL PVC, DIAMETRO 3/4"</v>
      </c>
      <c r="C27" s="4" t="str">
        <f>IFERROR(VLOOKUP(tabExtras[CÓDIGO],tabListaItens[#Data],3,FALSE),"")</f>
        <v>PC</v>
      </c>
      <c r="D27" s="25" t="s">
        <v>1438</v>
      </c>
      <c r="E27" s="26">
        <v>43889</v>
      </c>
      <c r="F27" s="30">
        <v>1</v>
      </c>
      <c r="G27" s="38">
        <v>1080</v>
      </c>
      <c r="H27" s="37">
        <f>tabExtras[FATOR] * tabExtras[QUANTIDADE]</f>
        <v>1080</v>
      </c>
      <c r="I27" s="42"/>
      <c r="J27" s="19" t="s">
        <v>1434</v>
      </c>
      <c r="K27" s="20">
        <v>43850.592881944445</v>
      </c>
      <c r="L27" s="73" t="str">
        <f>_xlfn.IFNA(IF(VLOOKUP($A27,tabExcluirDoEstoque[#Data],1,FALSE),"sim",""),"")</f>
        <v/>
      </c>
      <c r="M27" s="4" t="str">
        <f t="shared" si="0"/>
        <v>*</v>
      </c>
    </row>
    <row r="28" spans="1:13" ht="15.75" x14ac:dyDescent="0.25">
      <c r="A28" s="23">
        <v>122305</v>
      </c>
      <c r="B28" s="3" t="str">
        <f>IFERROR(VLOOKUP(tabExtras[CÓDIGO],tabListaItens[#Data],2,FALSE),"&lt;&lt; não enconrado &gt;&gt;")</f>
        <v>DISCO DE CORTE 4 1/2" DE DIAMETRO EXTERNO, 1/8" DE ESPESSURA E 7/8" DE DIAMETRO DE FURO</v>
      </c>
      <c r="C28" s="4" t="str">
        <f>IFERROR(VLOOKUP(tabExtras[CÓDIGO],tabListaItens[#Data],3,FALSE),"")</f>
        <v>UN</v>
      </c>
      <c r="D28" s="25" t="s">
        <v>1438</v>
      </c>
      <c r="E28" s="27">
        <v>43889</v>
      </c>
      <c r="F28" s="31">
        <v>1</v>
      </c>
      <c r="G28" s="39">
        <v>150</v>
      </c>
      <c r="H28" s="37">
        <f>tabExtras[FATOR] * tabExtras[QUANTIDADE]</f>
        <v>150</v>
      </c>
      <c r="I28" s="42"/>
      <c r="J28" s="19" t="s">
        <v>1590</v>
      </c>
      <c r="K28" s="20">
        <v>44418.355879629627</v>
      </c>
      <c r="L28" s="73" t="str">
        <f>_xlfn.IFNA(IF(VLOOKUP($A28,tabExcluirDoEstoque[#Data],1,FALSE),"sim",""),"")</f>
        <v/>
      </c>
      <c r="M28" s="4" t="str">
        <f t="shared" si="0"/>
        <v>*</v>
      </c>
    </row>
    <row r="29" spans="1:13" ht="15.75" x14ac:dyDescent="0.25">
      <c r="A29" s="23">
        <v>133371</v>
      </c>
      <c r="B29" s="3" t="str">
        <f>IFERROR(VLOOKUP(tabExtras[CÓDIGO],tabListaItens[#Data],2,FALSE),"&lt;&lt; não enconrado &gt;&gt;")</f>
        <v xml:space="preserve">ELETRODO REVESTIDO PARA SOLDA 2,5 MM - NORMA AWS E-6013 </v>
      </c>
      <c r="C29" s="4" t="str">
        <f>IFERROR(VLOOKUP(tabExtras[CÓDIGO],tabListaItens[#Data],3,FALSE),"")</f>
        <v>KG</v>
      </c>
      <c r="D29" s="25" t="s">
        <v>1438</v>
      </c>
      <c r="E29" s="27">
        <v>43889</v>
      </c>
      <c r="F29" s="31">
        <v>1</v>
      </c>
      <c r="G29" s="39">
        <v>60</v>
      </c>
      <c r="H29" s="37">
        <f>tabExtras[FATOR] * tabExtras[QUANTIDADE]</f>
        <v>60</v>
      </c>
      <c r="I29" s="42"/>
      <c r="J29" s="19" t="s">
        <v>1434</v>
      </c>
      <c r="K29" s="20">
        <v>43850.592881944445</v>
      </c>
      <c r="L29" s="73" t="str">
        <f>_xlfn.IFNA(IF(VLOOKUP($A29,tabExcluirDoEstoque[#Data],1,FALSE),"sim",""),"")</f>
        <v/>
      </c>
      <c r="M29" s="4" t="str">
        <f t="shared" si="0"/>
        <v>*</v>
      </c>
    </row>
    <row r="30" spans="1:13" ht="30" x14ac:dyDescent="0.25">
      <c r="A30" s="23">
        <v>135302</v>
      </c>
      <c r="B30" s="3" t="str">
        <f>IFERROR(VLOOKUP(tabExtras[CÓDIGO],tabListaItens[#Data],2,FALSE),"&lt;&lt; não enconrado &gt;&gt;")</f>
        <v>COTOVELO 90° DE REDUCAO DE PVC SOLDAVEL X ROSCA AZUL COM BUCHA DE LATAO 25 MM X 1/2", DE ACORDO COM A NBR 5648. TODAS AS INFORMACOES DEVERAO ESTAR LITOGRAFADAS NA PECA.</v>
      </c>
      <c r="C30" s="4" t="str">
        <f>IFERROR(VLOOKUP(tabExtras[CÓDIGO],tabListaItens[#Data],3,FALSE),"")</f>
        <v>PC</v>
      </c>
      <c r="D30" s="25" t="s">
        <v>1438</v>
      </c>
      <c r="E30" s="27">
        <v>43889</v>
      </c>
      <c r="F30" s="31">
        <v>1</v>
      </c>
      <c r="G30" s="39">
        <v>963</v>
      </c>
      <c r="H30" s="37">
        <f>tabExtras[FATOR] * tabExtras[QUANTIDADE]</f>
        <v>963</v>
      </c>
      <c r="I30" s="42" t="s">
        <v>25</v>
      </c>
      <c r="J30" s="19" t="s">
        <v>1434</v>
      </c>
      <c r="K30" s="20">
        <v>43852.314479166664</v>
      </c>
      <c r="L30" s="103" t="str">
        <f>_xlfn.IFNA(IF(VLOOKUP($A30,tabExcluirDoEstoque[#Data],1,FALSE),"sim",""),"")</f>
        <v/>
      </c>
      <c r="M30" s="4" t="str">
        <f t="shared" si="0"/>
        <v>*</v>
      </c>
    </row>
    <row r="31" spans="1:13" ht="30" x14ac:dyDescent="0.25">
      <c r="A31" s="23">
        <v>136911</v>
      </c>
      <c r="B31" s="3" t="str">
        <f>IFERROR(VLOOKUP(tabExtras[CÓDIGO],tabListaItens[#Data],2,FALSE),"&lt;&lt; não enconrado &gt;&gt;")</f>
        <v>CABO PP DE COBRE FLEXIVEL COM PRIMEIRA E SEGUNDA CAMADA EM PVC, ISOLACAO DE 500 V,  3 VIAS DE 2,5 MM, SENDO A VIA TERRA NA COR VERDE.     ** NAO UTILIZAR - VIDE COD. 140063 **</v>
      </c>
      <c r="C31" s="4" t="str">
        <f>IFERROR(VLOOKUP(tabExtras[CÓDIGO],tabListaItens[#Data],3,FALSE),"")</f>
        <v>M</v>
      </c>
      <c r="D31" s="25" t="s">
        <v>1438</v>
      </c>
      <c r="E31" s="26">
        <v>43889</v>
      </c>
      <c r="F31" s="30">
        <v>1</v>
      </c>
      <c r="G31" s="38">
        <v>5400</v>
      </c>
      <c r="H31" s="37">
        <f>tabExtras[FATOR] * tabExtras[QUANTIDADE]</f>
        <v>5400</v>
      </c>
      <c r="I31" s="42"/>
      <c r="J31" s="19" t="s">
        <v>1590</v>
      </c>
      <c r="K31" s="20">
        <v>44418.355879629627</v>
      </c>
      <c r="L31" s="73" t="str">
        <f>_xlfn.IFNA(IF(VLOOKUP($A31,tabExcluirDoEstoque[#Data],1,FALSE),"sim",""),"")</f>
        <v>sim</v>
      </c>
      <c r="M31" s="4" t="str">
        <f t="shared" si="0"/>
        <v>*</v>
      </c>
    </row>
    <row r="32" spans="1:13" ht="15.75" x14ac:dyDescent="0.25">
      <c r="A32" s="23">
        <v>10547</v>
      </c>
      <c r="B32" s="3" t="str">
        <f>IFERROR(VLOOKUP(tabExtras[CÓDIGO],tabListaItens[#Data],2,FALSE),"&lt;&lt; não enconrado &gt;&gt;")</f>
        <v>FITA ADESIVA CREPADA  - 19 MM X 50 M</v>
      </c>
      <c r="C32" s="4" t="str">
        <f>IFERROR(VLOOKUP(tabExtras[CÓDIGO],tabListaItens[#Data],3,FALSE),"")</f>
        <v>RL</v>
      </c>
      <c r="D32" s="25" t="s">
        <v>1435</v>
      </c>
      <c r="E32" s="26">
        <v>43861</v>
      </c>
      <c r="F32" s="30">
        <v>1</v>
      </c>
      <c r="G32" s="38">
        <v>3200</v>
      </c>
      <c r="H32" s="37">
        <f>tabExtras[FATOR] * tabExtras[QUANTIDADE]</f>
        <v>3200</v>
      </c>
      <c r="I32" s="42"/>
      <c r="J32" s="19" t="s">
        <v>1434</v>
      </c>
      <c r="K32" s="20">
        <v>43850.592881944445</v>
      </c>
      <c r="L32" s="73" t="str">
        <f>_xlfn.IFNA(IF(VLOOKUP($A32,tabExcluirDoEstoque[#Data],1,FALSE),"sim",""),"")</f>
        <v/>
      </c>
      <c r="M32" s="4" t="str">
        <f t="shared" si="0"/>
        <v>*</v>
      </c>
    </row>
    <row r="33" spans="1:13" ht="15.75" x14ac:dyDescent="0.25">
      <c r="A33" s="23">
        <v>11418</v>
      </c>
      <c r="B33" s="3" t="str">
        <f>IFERROR(VLOOKUP(tabExtras[CÓDIGO],tabListaItens[#Data],2,FALSE),"&lt;&lt; não enconrado &gt;&gt;")</f>
        <v>CANETA P/ RETROPROJETOR - PRETA, PONTA 2 MM</v>
      </c>
      <c r="C33" s="4" t="str">
        <f>IFERROR(VLOOKUP(tabExtras[CÓDIGO],tabListaItens[#Data],3,FALSE),"")</f>
        <v>PC</v>
      </c>
      <c r="D33" s="25" t="s">
        <v>1435</v>
      </c>
      <c r="E33" s="26">
        <v>43861</v>
      </c>
      <c r="F33" s="30">
        <v>1</v>
      </c>
      <c r="G33" s="38">
        <v>1933</v>
      </c>
      <c r="H33" s="37">
        <f>tabExtras[FATOR] * tabExtras[QUANTIDADE]</f>
        <v>1933</v>
      </c>
      <c r="I33" s="42"/>
      <c r="J33" s="19" t="s">
        <v>1434</v>
      </c>
      <c r="K33" s="20">
        <v>43850.592881944445</v>
      </c>
      <c r="L33" s="73" t="str">
        <f>_xlfn.IFNA(IF(VLOOKUP($A33,tabExcluirDoEstoque[#Data],1,FALSE),"sim",""),"")</f>
        <v/>
      </c>
      <c r="M33" s="4" t="str">
        <f t="shared" si="0"/>
        <v>*</v>
      </c>
    </row>
    <row r="34" spans="1:13" ht="15.75" x14ac:dyDescent="0.25">
      <c r="A34" s="23">
        <v>11509</v>
      </c>
      <c r="B34" s="3" t="str">
        <f>IFERROR(VLOOKUP(tabExtras[CÓDIGO],tabListaItens[#Data],2,FALSE),"&lt;&lt; não enconrado &gt;&gt;")</f>
        <v>CANETA P/ RETROPROJETOR - VERMELHA, PONTA 2 MM</v>
      </c>
      <c r="C34" s="4" t="str">
        <f>IFERROR(VLOOKUP(tabExtras[CÓDIGO],tabListaItens[#Data],3,FALSE),"")</f>
        <v>PC</v>
      </c>
      <c r="D34" s="25" t="s">
        <v>1435</v>
      </c>
      <c r="E34" s="26">
        <v>43861</v>
      </c>
      <c r="F34" s="30">
        <v>1</v>
      </c>
      <c r="G34" s="38">
        <v>1933</v>
      </c>
      <c r="H34" s="37">
        <f>tabExtras[FATOR] * tabExtras[QUANTIDADE]</f>
        <v>1933</v>
      </c>
      <c r="I34" s="42"/>
      <c r="J34" s="19" t="s">
        <v>1434</v>
      </c>
      <c r="K34" s="20">
        <v>43850.592881944445</v>
      </c>
      <c r="L34" s="73" t="str">
        <f>_xlfn.IFNA(IF(VLOOKUP($A34,tabExcluirDoEstoque[#Data],1,FALSE),"sim",""),"")</f>
        <v/>
      </c>
      <c r="M34" s="4" t="str">
        <f t="shared" si="0"/>
        <v>*</v>
      </c>
    </row>
    <row r="35" spans="1:13" ht="15.75" x14ac:dyDescent="0.25">
      <c r="A35" s="23">
        <v>12847</v>
      </c>
      <c r="B35" s="3" t="str">
        <f>IFERROR(VLOOKUP(tabExtras[CÓDIGO],tabListaItens[#Data],2,FALSE),"&lt;&lt; não enconrado &gt;&gt;")</f>
        <v>ROLO DE ESPUMA PARA PINTURA - 4 CM</v>
      </c>
      <c r="C35" s="4" t="str">
        <f>IFERROR(VLOOKUP(tabExtras[CÓDIGO],tabListaItens[#Data],3,FALSE),"")</f>
        <v>PC</v>
      </c>
      <c r="D35" s="25" t="s">
        <v>1435</v>
      </c>
      <c r="E35" s="26">
        <v>43861</v>
      </c>
      <c r="F35" s="30">
        <v>1</v>
      </c>
      <c r="G35" s="38">
        <v>3200</v>
      </c>
      <c r="H35" s="37">
        <f>tabExtras[FATOR] * tabExtras[QUANTIDADE]</f>
        <v>3200</v>
      </c>
      <c r="I35" s="42"/>
      <c r="J35" s="19" t="s">
        <v>1434</v>
      </c>
      <c r="K35" s="20">
        <v>43850.592881944445</v>
      </c>
      <c r="L35" s="73" t="str">
        <f>_xlfn.IFNA(IF(VLOOKUP($A35,tabExcluirDoEstoque[#Data],1,FALSE),"sim",""),"")</f>
        <v/>
      </c>
      <c r="M35" s="4" t="str">
        <f t="shared" si="0"/>
        <v>*</v>
      </c>
    </row>
    <row r="36" spans="1:13" ht="15.75" x14ac:dyDescent="0.25">
      <c r="A36" s="23">
        <v>12856</v>
      </c>
      <c r="B36" s="3" t="str">
        <f>IFERROR(VLOOKUP(tabExtras[CÓDIGO],tabListaItens[#Data],2,FALSE),"&lt;&lt; não enconrado &gt;&gt;")</f>
        <v>TRINCHA PARA PINTURA - 2", COM CERDAS 100% NATURAIS</v>
      </c>
      <c r="C36" s="4" t="str">
        <f>IFERROR(VLOOKUP(tabExtras[CÓDIGO],tabListaItens[#Data],3,FALSE),"")</f>
        <v>PC</v>
      </c>
      <c r="D36" s="25" t="s">
        <v>1435</v>
      </c>
      <c r="E36" s="26">
        <v>43861</v>
      </c>
      <c r="F36" s="30">
        <v>1</v>
      </c>
      <c r="G36" s="38">
        <v>3200</v>
      </c>
      <c r="H36" s="37">
        <f>tabExtras[FATOR] * tabExtras[QUANTIDADE]</f>
        <v>3200</v>
      </c>
      <c r="I36" s="42"/>
      <c r="J36" s="19" t="s">
        <v>1434</v>
      </c>
      <c r="K36" s="20">
        <v>43850.592881944445</v>
      </c>
      <c r="L36" s="73" t="str">
        <f>_xlfn.IFNA(IF(VLOOKUP($A36,tabExcluirDoEstoque[#Data],1,FALSE),"sim",""),"")</f>
        <v/>
      </c>
      <c r="M36" s="4" t="str">
        <f t="shared" si="0"/>
        <v>*</v>
      </c>
    </row>
    <row r="37" spans="1:13" ht="15.75" x14ac:dyDescent="0.25">
      <c r="A37" s="23">
        <v>13655</v>
      </c>
      <c r="B37" s="3" t="str">
        <f>IFERROR(VLOOKUP(tabExtras[CÓDIGO],tabListaItens[#Data],2,FALSE),"&lt;&lt; não enconrado &gt;&gt;")</f>
        <v>PASTA DE CARTOLINA PLASTIFICADA MOD. C/ FERRAGEM - PRETA -</v>
      </c>
      <c r="C37" s="4" t="str">
        <f>IFERROR(VLOOKUP(tabExtras[CÓDIGO],tabListaItens[#Data],3,FALSE),"")</f>
        <v>UN</v>
      </c>
      <c r="D37" s="25" t="s">
        <v>1435</v>
      </c>
      <c r="E37" s="27">
        <v>43861</v>
      </c>
      <c r="F37" s="31">
        <v>1</v>
      </c>
      <c r="G37" s="39">
        <v>5800</v>
      </c>
      <c r="H37" s="37">
        <f>tabExtras[FATOR] * tabExtras[QUANTIDADE]</f>
        <v>5800</v>
      </c>
      <c r="I37" s="42"/>
      <c r="J37" s="19" t="s">
        <v>1434</v>
      </c>
      <c r="K37" s="20">
        <v>43850.592881944445</v>
      </c>
      <c r="L37" s="73" t="str">
        <f>_xlfn.IFNA(IF(VLOOKUP($A37,tabExcluirDoEstoque[#Data],1,FALSE),"sim",""),"")</f>
        <v/>
      </c>
      <c r="M37" s="4" t="str">
        <f t="shared" si="0"/>
        <v>*</v>
      </c>
    </row>
    <row r="38" spans="1:13" ht="15.75" x14ac:dyDescent="0.25">
      <c r="A38" s="23">
        <v>70379</v>
      </c>
      <c r="B38" s="3" t="str">
        <f>IFERROR(VLOOKUP(tabExtras[CÓDIGO],tabListaItens[#Data],2,FALSE),"&lt;&lt; não enconrado &gt;&gt;")</f>
        <v>PAPEL SULFITE, GRAMATURA 75G/M2, FORMATO A3, MEDINDO (297X420)MM, COR BRANCA</v>
      </c>
      <c r="C38" s="4" t="str">
        <f>IFERROR(VLOOKUP(tabExtras[CÓDIGO],tabListaItens[#Data],3,FALSE),"")</f>
        <v>RM</v>
      </c>
      <c r="D38" s="25" t="s">
        <v>1435</v>
      </c>
      <c r="E38" s="26">
        <v>43861</v>
      </c>
      <c r="F38" s="30">
        <v>1</v>
      </c>
      <c r="G38" s="38">
        <v>1600</v>
      </c>
      <c r="H38" s="37">
        <f>tabExtras[FATOR] * tabExtras[QUANTIDADE]</f>
        <v>1600</v>
      </c>
      <c r="I38" s="42"/>
      <c r="J38" s="19" t="s">
        <v>1434</v>
      </c>
      <c r="K38" s="20">
        <v>43850.592881944445</v>
      </c>
      <c r="L38" s="73" t="str">
        <f>_xlfn.IFNA(IF(VLOOKUP($A38,tabExcluirDoEstoque[#Data],1,FALSE),"sim",""),"")</f>
        <v/>
      </c>
      <c r="M38" s="4" t="str">
        <f t="shared" si="0"/>
        <v>*</v>
      </c>
    </row>
    <row r="39" spans="1:13" ht="15.75" x14ac:dyDescent="0.25">
      <c r="A39" s="23">
        <v>81370</v>
      </c>
      <c r="B39" s="3" t="str">
        <f>IFERROR(VLOOKUP(tabExtras[CÓDIGO],tabListaItens[#Data],2,FALSE),"&lt;&lt; não enconrado &gt;&gt;")</f>
        <v>CORANTE LIQUIDO PARA FINS ALIMENTICIOS - COR VERMELHA - FRASCO COM 10ML</v>
      </c>
      <c r="C39" s="4" t="str">
        <f>IFERROR(VLOOKUP(tabExtras[CÓDIGO],tabListaItens[#Data],3,FALSE),"")</f>
        <v>FR</v>
      </c>
      <c r="D39" s="25" t="s">
        <v>1435</v>
      </c>
      <c r="E39" s="27">
        <v>43861</v>
      </c>
      <c r="F39" s="31">
        <v>1</v>
      </c>
      <c r="G39" s="39">
        <v>2133</v>
      </c>
      <c r="H39" s="37">
        <f>tabExtras[FATOR] * tabExtras[QUANTIDADE]</f>
        <v>2133</v>
      </c>
      <c r="I39" s="42"/>
      <c r="J39" s="19" t="s">
        <v>1434</v>
      </c>
      <c r="K39" s="20">
        <v>43850.592881944445</v>
      </c>
      <c r="L39" s="73" t="str">
        <f>_xlfn.IFNA(IF(VLOOKUP($A39,tabExcluirDoEstoque[#Data],1,FALSE),"sim",""),"")</f>
        <v/>
      </c>
      <c r="M39" s="4" t="str">
        <f t="shared" si="0"/>
        <v>*</v>
      </c>
    </row>
    <row r="40" spans="1:13" ht="15.75" x14ac:dyDescent="0.25">
      <c r="A40" s="23">
        <v>81371</v>
      </c>
      <c r="B40" s="3" t="str">
        <f>IFERROR(VLOOKUP(tabExtras[CÓDIGO],tabListaItens[#Data],2,FALSE),"&lt;&lt; não enconrado &gt;&gt;")</f>
        <v>CORANTE LIQUIDO PARA FINS ALIMENTICIOS - COR AMARELA - FRASCO COM 10ML</v>
      </c>
      <c r="C40" s="4" t="str">
        <f>IFERROR(VLOOKUP(tabExtras[CÓDIGO],tabListaItens[#Data],3,FALSE),"")</f>
        <v>FR</v>
      </c>
      <c r="D40" s="25" t="s">
        <v>1435</v>
      </c>
      <c r="E40" s="26">
        <v>43861</v>
      </c>
      <c r="F40" s="30">
        <v>1</v>
      </c>
      <c r="G40" s="38">
        <v>2133</v>
      </c>
      <c r="H40" s="37">
        <f>tabExtras[FATOR] * tabExtras[QUANTIDADE]</f>
        <v>2133</v>
      </c>
      <c r="I40" s="42"/>
      <c r="J40" s="19" t="s">
        <v>1434</v>
      </c>
      <c r="K40" s="20">
        <v>43850.592881944445</v>
      </c>
      <c r="L40" s="73" t="str">
        <f>_xlfn.IFNA(IF(VLOOKUP($A40,tabExcluirDoEstoque[#Data],1,FALSE),"sim",""),"")</f>
        <v/>
      </c>
      <c r="M40" s="4" t="str">
        <f t="shared" si="0"/>
        <v>*</v>
      </c>
    </row>
    <row r="41" spans="1:13" ht="30" x14ac:dyDescent="0.25">
      <c r="A41" s="23">
        <v>105259</v>
      </c>
      <c r="B41" s="3" t="str">
        <f>IFERROR(VLOOKUP(tabExtras[CÓDIGO],tabListaItens[#Data],2,FALSE),"&lt;&lt; não enconrado &gt;&gt;")</f>
        <v xml:space="preserve">PAPEL ADESIVO P/ ENCADERNACAO (TIPO CONTACT) - 0,50 M DE LARGURA (VARIACAO +/- 0,05M) - TRANSPARENTE - ROLO COM 25 M </v>
      </c>
      <c r="C41" s="4" t="str">
        <f>IFERROR(VLOOKUP(tabExtras[CÓDIGO],tabListaItens[#Data],3,FALSE),"")</f>
        <v>RL</v>
      </c>
      <c r="D41" s="25" t="s">
        <v>1435</v>
      </c>
      <c r="E41" s="26">
        <v>43861</v>
      </c>
      <c r="F41" s="30">
        <v>1</v>
      </c>
      <c r="G41" s="38">
        <v>1600</v>
      </c>
      <c r="H41" s="37">
        <f>tabExtras[FATOR] * tabExtras[QUANTIDADE]</f>
        <v>1600</v>
      </c>
      <c r="I41" s="42"/>
      <c r="J41" s="19" t="s">
        <v>1434</v>
      </c>
      <c r="K41" s="20">
        <v>43850.592881944445</v>
      </c>
      <c r="L41" s="73" t="str">
        <f>_xlfn.IFNA(IF(VLOOKUP($A41,tabExcluirDoEstoque[#Data],1,FALSE),"sim",""),"")</f>
        <v/>
      </c>
      <c r="M41" s="4" t="str">
        <f t="shared" si="0"/>
        <v>*</v>
      </c>
    </row>
    <row r="42" spans="1:13" ht="15.75" x14ac:dyDescent="0.25">
      <c r="A42" s="23">
        <v>118660</v>
      </c>
      <c r="B42" s="3" t="str">
        <f>IFERROR(VLOOKUP(tabExtras[CÓDIGO],tabListaItens[#Data],2,FALSE),"&lt;&lt; não enconrado &gt;&gt;")</f>
        <v>PLASTICO CRISTAL TRANSPARENTE DE 0,40 MICRONS X 1,40 M LARGURA  X 30 M DE COMPRIMENTO</v>
      </c>
      <c r="C42" s="4">
        <f>IFERROR(VLOOKUP(tabExtras[CÓDIGO],tabListaItens[#Data],3,FALSE),"")</f>
        <v>0</v>
      </c>
      <c r="D42" s="25" t="s">
        <v>1435</v>
      </c>
      <c r="E42" s="26">
        <v>43861</v>
      </c>
      <c r="F42" s="30">
        <v>1</v>
      </c>
      <c r="G42" s="38">
        <v>320</v>
      </c>
      <c r="H42" s="37">
        <f>tabExtras[FATOR] * tabExtras[QUANTIDADE]</f>
        <v>320</v>
      </c>
      <c r="I42" s="42"/>
      <c r="J42" s="19" t="s">
        <v>1434</v>
      </c>
      <c r="K42" s="20">
        <v>43850.592881944445</v>
      </c>
      <c r="L42" s="73" t="str">
        <f>_xlfn.IFNA(IF(VLOOKUP($A42,tabExcluirDoEstoque[#Data],1,FALSE),"sim",""),"")</f>
        <v>sim</v>
      </c>
      <c r="M42" s="4" t="str">
        <f t="shared" si="0"/>
        <v>*</v>
      </c>
    </row>
    <row r="43" spans="1:13" ht="15.75" x14ac:dyDescent="0.25">
      <c r="A43" s="23">
        <v>130624</v>
      </c>
      <c r="B43" s="3" t="str">
        <f>IFERROR(VLOOKUP(tabExtras[CÓDIGO],tabListaItens[#Data],2,FALSE),"&lt;&lt; não enconrado &gt;&gt;")</f>
        <v>PAPEL CRIATIVO FLUORESCENTE, TIPO LUMIPAPER, 5 CORES</v>
      </c>
      <c r="C43" s="4" t="str">
        <f>IFERROR(VLOOKUP(tabExtras[CÓDIGO],tabListaItens[#Data],3,FALSE),"")</f>
        <v>PT</v>
      </c>
      <c r="D43" s="25" t="s">
        <v>1435</v>
      </c>
      <c r="E43" s="26">
        <v>43861</v>
      </c>
      <c r="F43" s="30">
        <v>1</v>
      </c>
      <c r="G43" s="38">
        <v>6400</v>
      </c>
      <c r="H43" s="37">
        <f>tabExtras[FATOR] * tabExtras[QUANTIDADE]</f>
        <v>6400</v>
      </c>
      <c r="I43" s="42"/>
      <c r="J43" s="19" t="s">
        <v>1434</v>
      </c>
      <c r="K43" s="20">
        <v>43850.592881944445</v>
      </c>
      <c r="L43" s="73" t="str">
        <f>_xlfn.IFNA(IF(VLOOKUP($A43,tabExcluirDoEstoque[#Data],1,FALSE),"sim",""),"")</f>
        <v/>
      </c>
      <c r="M43" s="4" t="str">
        <f t="shared" si="0"/>
        <v>*</v>
      </c>
    </row>
    <row r="44" spans="1:13" ht="15.75" x14ac:dyDescent="0.25">
      <c r="A44" s="23">
        <v>131917</v>
      </c>
      <c r="B44" s="3" t="str">
        <f>IFERROR(VLOOKUP(tabExtras[CÓDIGO],tabListaItens[#Data],2,FALSE),"&lt;&lt; não enconrado &gt;&gt;")</f>
        <v>APONTADOR DUPLO (LAPIS NORMAL E JUMBO), SEM DEPOSITO, CORPO METALICO EM ALUMINIO</v>
      </c>
      <c r="C44" s="4" t="str">
        <f>IFERROR(VLOOKUP(tabExtras[CÓDIGO],tabListaItens[#Data],3,FALSE),"")</f>
        <v>UN</v>
      </c>
      <c r="D44" s="25" t="s">
        <v>1435</v>
      </c>
      <c r="E44" s="26">
        <v>43861</v>
      </c>
      <c r="F44" s="30">
        <v>1</v>
      </c>
      <c r="G44" s="38">
        <v>4571</v>
      </c>
      <c r="H44" s="37">
        <f>tabExtras[FATOR] * tabExtras[QUANTIDADE]</f>
        <v>4571</v>
      </c>
      <c r="I44" s="42"/>
      <c r="J44" s="19" t="s">
        <v>1434</v>
      </c>
      <c r="K44" s="20">
        <v>43850.592881944445</v>
      </c>
      <c r="L44" s="73" t="str">
        <f>_xlfn.IFNA(IF(VLOOKUP($A44,tabExcluirDoEstoque[#Data],1,FALSE),"sim",""),"")</f>
        <v/>
      </c>
      <c r="M44" s="4" t="str">
        <f t="shared" si="0"/>
        <v>*</v>
      </c>
    </row>
    <row r="45" spans="1:13" ht="15.75" x14ac:dyDescent="0.25">
      <c r="A45" s="23">
        <v>131926</v>
      </c>
      <c r="B45" s="3" t="str">
        <f>IFERROR(VLOOKUP(tabExtras[CÓDIGO],tabListaItens[#Data],2,FALSE),"&lt;&lt; não enconrado &gt;&gt;")</f>
        <v>LAPIS PRETO 6B, MEDINDO 175MM (VARIACAO DE +/-10MM) DE COMPRIMENTO.</v>
      </c>
      <c r="C45" s="4" t="str">
        <f>IFERROR(VLOOKUP(tabExtras[CÓDIGO],tabListaItens[#Data],3,FALSE),"")</f>
        <v>UN</v>
      </c>
      <c r="D45" s="25" t="s">
        <v>1435</v>
      </c>
      <c r="E45" s="26">
        <v>43861</v>
      </c>
      <c r="F45" s="30">
        <v>1</v>
      </c>
      <c r="G45" s="38">
        <v>2133</v>
      </c>
      <c r="H45" s="37">
        <f>tabExtras[FATOR] * tabExtras[QUANTIDADE]</f>
        <v>2133</v>
      </c>
      <c r="I45" s="42"/>
      <c r="J45" s="19" t="s">
        <v>1434</v>
      </c>
      <c r="K45" s="20">
        <v>43850.592881944445</v>
      </c>
      <c r="L45" s="73" t="str">
        <f>_xlfn.IFNA(IF(VLOOKUP($A45,tabExcluirDoEstoque[#Data],1,FALSE),"sim",""),"")</f>
        <v/>
      </c>
      <c r="M45" s="4" t="str">
        <f t="shared" si="0"/>
        <v>*</v>
      </c>
    </row>
    <row r="46" spans="1:13" ht="15.75" x14ac:dyDescent="0.25">
      <c r="A46" s="23">
        <v>131927</v>
      </c>
      <c r="B46" s="3" t="str">
        <f>IFERROR(VLOOKUP(tabExtras[CÓDIGO],tabListaItens[#Data],2,FALSE),"&lt;&lt; não enconrado &gt;&gt;")</f>
        <v>LAPIS PRETO N.2 JUMBO TRIANGULAR, MEDINDO: 175MM (VARIACAO +/- 10MM)</v>
      </c>
      <c r="C46" s="4" t="str">
        <f>IFERROR(VLOOKUP(tabExtras[CÓDIGO],tabListaItens[#Data],3,FALSE),"")</f>
        <v>UN</v>
      </c>
      <c r="D46" s="25" t="s">
        <v>1435</v>
      </c>
      <c r="E46" s="26">
        <v>43861</v>
      </c>
      <c r="F46" s="30">
        <v>1</v>
      </c>
      <c r="G46" s="38">
        <v>3200</v>
      </c>
      <c r="H46" s="37">
        <f>tabExtras[FATOR] * tabExtras[QUANTIDADE]</f>
        <v>3200</v>
      </c>
      <c r="I46" s="42"/>
      <c r="J46" s="19" t="s">
        <v>1434</v>
      </c>
      <c r="K46" s="20">
        <v>43850.592881944445</v>
      </c>
      <c r="L46" s="73" t="str">
        <f>_xlfn.IFNA(IF(VLOOKUP($A46,tabExcluirDoEstoque[#Data],1,FALSE),"sim",""),"")</f>
        <v/>
      </c>
      <c r="M46" s="4" t="str">
        <f t="shared" si="0"/>
        <v>*</v>
      </c>
    </row>
    <row r="47" spans="1:13" ht="15.75" x14ac:dyDescent="0.25">
      <c r="A47" s="23">
        <v>131930</v>
      </c>
      <c r="B47" s="3" t="str">
        <f>IFERROR(VLOOKUP(tabExtras[CÓDIGO],tabListaItens[#Data],2,FALSE),"&lt;&lt; não enconrado &gt;&gt;")</f>
        <v>FITA ADESIVA DUPLA FACE, MEDINDO APROXIMADAMENTE 12MM X 30M</v>
      </c>
      <c r="C47" s="4" t="str">
        <f>IFERROR(VLOOKUP(tabExtras[CÓDIGO],tabListaItens[#Data],3,FALSE),"")</f>
        <v>UN</v>
      </c>
      <c r="D47" s="25" t="s">
        <v>1435</v>
      </c>
      <c r="E47" s="26">
        <v>43861</v>
      </c>
      <c r="F47" s="30">
        <v>1</v>
      </c>
      <c r="G47" s="38">
        <v>2133</v>
      </c>
      <c r="H47" s="37">
        <f>tabExtras[FATOR] * tabExtras[QUANTIDADE]</f>
        <v>2133</v>
      </c>
      <c r="I47" s="42"/>
      <c r="J47" s="19" t="s">
        <v>1434</v>
      </c>
      <c r="K47" s="20">
        <v>43850.592881944445</v>
      </c>
      <c r="L47" s="73" t="str">
        <f>_xlfn.IFNA(IF(VLOOKUP($A47,tabExcluirDoEstoque[#Data],1,FALSE),"sim",""),"")</f>
        <v/>
      </c>
      <c r="M47" s="4" t="str">
        <f t="shared" si="0"/>
        <v>*</v>
      </c>
    </row>
    <row r="48" spans="1:13" ht="30" x14ac:dyDescent="0.25">
      <c r="A48" s="23">
        <v>131935</v>
      </c>
      <c r="B48" s="3" t="str">
        <f>IFERROR(VLOOKUP(tabExtras[CÓDIGO],tabListaItens[#Data],2,FALSE),"&lt;&lt; não enconrado &gt;&gt;")</f>
        <v>PASTA EM PLASTICO PP CORRUGADO, COM ABAS E ELASTICO REVESTIDO DE TECIDO COM TERMINAIS DE PLASTICO MEDINDO 180MM X 245MM X 20MM</v>
      </c>
      <c r="C48" s="4" t="str">
        <f>IFERROR(VLOOKUP(tabExtras[CÓDIGO],tabListaItens[#Data],3,FALSE),"")</f>
        <v>UN</v>
      </c>
      <c r="D48" s="25" t="s">
        <v>1435</v>
      </c>
      <c r="E48" s="26">
        <v>43861</v>
      </c>
      <c r="F48" s="30">
        <v>1</v>
      </c>
      <c r="G48" s="38">
        <v>3200</v>
      </c>
      <c r="H48" s="37">
        <f>tabExtras[FATOR] * tabExtras[QUANTIDADE]</f>
        <v>3200</v>
      </c>
      <c r="I48" s="42"/>
      <c r="J48" s="19" t="s">
        <v>1434</v>
      </c>
      <c r="K48" s="20">
        <v>43850.592881944445</v>
      </c>
      <c r="L48" s="73" t="str">
        <f>_xlfn.IFNA(IF(VLOOKUP($A48,tabExcluirDoEstoque[#Data],1,FALSE),"sim",""),"")</f>
        <v/>
      </c>
      <c r="M48" s="4" t="str">
        <f t="shared" si="0"/>
        <v>*</v>
      </c>
    </row>
    <row r="49" spans="1:13" ht="30" x14ac:dyDescent="0.25">
      <c r="A49" s="23">
        <v>131937</v>
      </c>
      <c r="B49" s="3" t="str">
        <f>IFERROR(VLOOKUP(tabExtras[CÓDIGO],tabListaItens[#Data],2,FALSE),"&lt;&lt; não enconrado &gt;&gt;")</f>
        <v xml:space="preserve">PINCEL PARA PINTURA, CABO EM MADEIRA CURTO, FORMATO BROXA REDONDO, CERDA GRIS, TAMANHO 4. </v>
      </c>
      <c r="C49" s="4" t="str">
        <f>IFERROR(VLOOKUP(tabExtras[CÓDIGO],tabListaItens[#Data],3,FALSE),"")</f>
        <v>UN</v>
      </c>
      <c r="D49" s="25" t="s">
        <v>1435</v>
      </c>
      <c r="E49" s="26">
        <v>43861</v>
      </c>
      <c r="F49" s="30">
        <v>1</v>
      </c>
      <c r="G49" s="38">
        <v>3200</v>
      </c>
      <c r="H49" s="37">
        <f>tabExtras[FATOR] * tabExtras[QUANTIDADE]</f>
        <v>3200</v>
      </c>
      <c r="I49" s="42"/>
      <c r="J49" s="19" t="s">
        <v>1434</v>
      </c>
      <c r="K49" s="20">
        <v>43850.592881944445</v>
      </c>
      <c r="L49" s="73" t="str">
        <f>_xlfn.IFNA(IF(VLOOKUP($A49,tabExcluirDoEstoque[#Data],1,FALSE),"sim",""),"")</f>
        <v/>
      </c>
      <c r="M49" s="4" t="str">
        <f t="shared" si="0"/>
        <v>*</v>
      </c>
    </row>
    <row r="50" spans="1:13" ht="30" x14ac:dyDescent="0.25">
      <c r="A50" s="23">
        <v>131938</v>
      </c>
      <c r="B50" s="3" t="str">
        <f>IFERROR(VLOOKUP(tabExtras[CÓDIGO],tabListaItens[#Data],2,FALSE),"&lt;&lt; não enconrado &gt;&gt;")</f>
        <v xml:space="preserve">PINCEL PARA PINTURA, CABO EM MADEIRA CURTO, FORMATO CHATO, CERDA BRANCA, TAMANHO 12. </v>
      </c>
      <c r="C50" s="4" t="str">
        <f>IFERROR(VLOOKUP(tabExtras[CÓDIGO],tabListaItens[#Data],3,FALSE),"")</f>
        <v>UN</v>
      </c>
      <c r="D50" s="25" t="s">
        <v>1435</v>
      </c>
      <c r="E50" s="26">
        <v>43861</v>
      </c>
      <c r="F50" s="30">
        <v>1</v>
      </c>
      <c r="G50" s="38">
        <v>3200</v>
      </c>
      <c r="H50" s="37">
        <f>tabExtras[FATOR] * tabExtras[QUANTIDADE]</f>
        <v>3200</v>
      </c>
      <c r="I50" s="42"/>
      <c r="J50" s="19" t="s">
        <v>1434</v>
      </c>
      <c r="K50" s="20">
        <v>43850.592881944445</v>
      </c>
      <c r="L50" s="73" t="str">
        <f>_xlfn.IFNA(IF(VLOOKUP($A50,tabExcluirDoEstoque[#Data],1,FALSE),"sim",""),"")</f>
        <v>sim</v>
      </c>
      <c r="M50" s="4" t="str">
        <f t="shared" si="0"/>
        <v>*</v>
      </c>
    </row>
    <row r="51" spans="1:13" ht="30" x14ac:dyDescent="0.25">
      <c r="A51" s="23">
        <v>131939</v>
      </c>
      <c r="B51" s="3" t="str">
        <f>IFERROR(VLOOKUP(tabExtras[CÓDIGO],tabListaItens[#Data],2,FALSE),"&lt;&lt; não enconrado &gt;&gt;")</f>
        <v xml:space="preserve">PINCEL PARA PINTURA, CABO EM MADEIRA CURTO, FORMATO CHATO, CERDA BRANCA, TAMANHO 16. </v>
      </c>
      <c r="C51" s="4" t="str">
        <f>IFERROR(VLOOKUP(tabExtras[CÓDIGO],tabListaItens[#Data],3,FALSE),"")</f>
        <v>UN</v>
      </c>
      <c r="D51" s="25" t="s">
        <v>1435</v>
      </c>
      <c r="E51" s="26">
        <v>43861</v>
      </c>
      <c r="F51" s="30">
        <v>1</v>
      </c>
      <c r="G51" s="38">
        <v>3200</v>
      </c>
      <c r="H51" s="37">
        <f>tabExtras[FATOR] * tabExtras[QUANTIDADE]</f>
        <v>3200</v>
      </c>
      <c r="I51" s="42"/>
      <c r="J51" s="19" t="s">
        <v>1434</v>
      </c>
      <c r="K51" s="20">
        <v>43850.592881944445</v>
      </c>
      <c r="L51" s="73" t="str">
        <f>_xlfn.IFNA(IF(VLOOKUP($A51,tabExcluirDoEstoque[#Data],1,FALSE),"sim",""),"")</f>
        <v>sim</v>
      </c>
      <c r="M51" s="4" t="str">
        <f t="shared" si="0"/>
        <v>*</v>
      </c>
    </row>
    <row r="52" spans="1:13" ht="30" x14ac:dyDescent="0.25">
      <c r="A52" s="23">
        <v>132290</v>
      </c>
      <c r="B52" s="3" t="str">
        <f>IFERROR(VLOOKUP(tabExtras[CÓDIGO],tabListaItens[#Data],2,FALSE),"&lt;&lt; não enconrado &gt;&gt;")</f>
        <v>FITA ADESIVA COLORIDA, MEDINDO APROXIMADAMENTE 12MM X 10M. COR: VERMELHO. COMPOSICAO: FILME POLIPROPILENO COM ADESIVO ACRILICO A BASE D´AGUA</v>
      </c>
      <c r="C52" s="4" t="str">
        <f>IFERROR(VLOOKUP(tabExtras[CÓDIGO],tabListaItens[#Data],3,FALSE),"")</f>
        <v>RL</v>
      </c>
      <c r="D52" s="25" t="s">
        <v>1435</v>
      </c>
      <c r="E52" s="26">
        <v>43861</v>
      </c>
      <c r="F52" s="30">
        <v>1</v>
      </c>
      <c r="G52" s="38">
        <v>2133</v>
      </c>
      <c r="H52" s="37">
        <f>tabExtras[FATOR] * tabExtras[QUANTIDADE]</f>
        <v>2133</v>
      </c>
      <c r="I52" s="42"/>
      <c r="J52" s="19" t="s">
        <v>1434</v>
      </c>
      <c r="K52" s="20">
        <v>43850.592881944445</v>
      </c>
      <c r="L52" s="73" t="str">
        <f>_xlfn.IFNA(IF(VLOOKUP($A52,tabExcluirDoEstoque[#Data],1,FALSE),"sim",""),"")</f>
        <v/>
      </c>
      <c r="M52" s="4" t="str">
        <f t="shared" si="0"/>
        <v>*</v>
      </c>
    </row>
    <row r="53" spans="1:13" ht="45" x14ac:dyDescent="0.25">
      <c r="A53" s="23">
        <v>132296</v>
      </c>
      <c r="B53" s="3" t="str">
        <f>IFERROR(VLOOKUP(tabExtras[CÓDIGO],tabListaItens[#Data],2,FALSE),"&lt;&lt; não enconrado &gt;&gt;")</f>
        <v>FITA ADESIVA TRANSPARENTE, MEDINDO APROXIMADAMENTE 19MM X 50M. COMPOSICAO: FILME DE POLIPROPILENO, COM ADESIVO A BASE DE RESINA, BORRACHA SINTETICA E PIGMENTO, ADESIVO HOT MELT</v>
      </c>
      <c r="C53" s="4" t="str">
        <f>IFERROR(VLOOKUP(tabExtras[CÓDIGO],tabListaItens[#Data],3,FALSE),"")</f>
        <v>RL</v>
      </c>
      <c r="D53" s="25" t="s">
        <v>1435</v>
      </c>
      <c r="E53" s="26">
        <v>43861</v>
      </c>
      <c r="F53" s="30">
        <v>1</v>
      </c>
      <c r="G53" s="38">
        <v>2133</v>
      </c>
      <c r="H53" s="37">
        <f>tabExtras[FATOR] * tabExtras[QUANTIDADE]</f>
        <v>2133</v>
      </c>
      <c r="I53" s="42"/>
      <c r="J53" s="19" t="s">
        <v>1434</v>
      </c>
      <c r="K53" s="20">
        <v>43850.592881944445</v>
      </c>
      <c r="L53" s="73" t="str">
        <f>_xlfn.IFNA(IF(VLOOKUP($A53,tabExcluirDoEstoque[#Data],1,FALSE),"sim",""),"")</f>
        <v/>
      </c>
      <c r="M53" s="4" t="str">
        <f t="shared" si="0"/>
        <v>*</v>
      </c>
    </row>
    <row r="54" spans="1:13" ht="45" x14ac:dyDescent="0.25">
      <c r="A54" s="23">
        <v>132297</v>
      </c>
      <c r="B54" s="3" t="str">
        <f>IFERROR(VLOOKUP(tabExtras[CÓDIGO],tabListaItens[#Data],2,FALSE),"&lt;&lt; não enconrado &gt;&gt;")</f>
        <v>FITA ADESIVA TRANSPARENTE, MEDINDO APROXIMADAMENTE 48MM X 50M (VARIACAO +/- 05 MM) -  COMPOSICAO: FILME DE POLIPROPILENO, COM ADESIVO A BASE DE RESINA, BORRACHA SINTETICA E PIGMENTO, ADESIVO HOT MELT</v>
      </c>
      <c r="C54" s="4" t="str">
        <f>IFERROR(VLOOKUP(tabExtras[CÓDIGO],tabListaItens[#Data],3,FALSE),"")</f>
        <v>RL</v>
      </c>
      <c r="D54" s="25" t="s">
        <v>1435</v>
      </c>
      <c r="E54" s="26">
        <v>43861</v>
      </c>
      <c r="F54" s="30">
        <v>1</v>
      </c>
      <c r="G54" s="38">
        <v>6400</v>
      </c>
      <c r="H54" s="37">
        <f>tabExtras[FATOR] * tabExtras[QUANTIDADE]</f>
        <v>6400</v>
      </c>
      <c r="I54" s="42"/>
      <c r="J54" s="19" t="s">
        <v>1434</v>
      </c>
      <c r="K54" s="20">
        <v>43850.592881944445</v>
      </c>
      <c r="L54" s="73" t="str">
        <f>_xlfn.IFNA(IF(VLOOKUP($A54,tabExcluirDoEstoque[#Data],1,FALSE),"sim",""),"")</f>
        <v/>
      </c>
      <c r="M54" s="4" t="str">
        <f t="shared" si="0"/>
        <v>*</v>
      </c>
    </row>
    <row r="55" spans="1:13" ht="45" x14ac:dyDescent="0.25">
      <c r="A55" s="23">
        <v>132300</v>
      </c>
      <c r="B55" s="3" t="str">
        <f>IFERROR(VLOOKUP(tabExtras[CÓDIGO],tabListaItens[#Data],2,FALSE),"&lt;&lt; não enconrado &gt;&gt;")</f>
        <v>LAPIS DE COR AQUARELAVEL, CAIXA COM 12 CORES, TINTAS ATOXICAS, SOLUVEIS EM AGUA. DIMENSAO DA CAIXA: 215MM X 95MM X 13MM (VARIACAO +/- 10MM). PRODUTO COM CERTIFICACAO DO INMETRO</v>
      </c>
      <c r="C55" s="4" t="str">
        <f>IFERROR(VLOOKUP(tabExtras[CÓDIGO],tabListaItens[#Data],3,FALSE),"")</f>
        <v>CX</v>
      </c>
      <c r="D55" s="25" t="s">
        <v>1435</v>
      </c>
      <c r="E55" s="26">
        <v>43861</v>
      </c>
      <c r="F55" s="30">
        <v>1</v>
      </c>
      <c r="G55" s="38">
        <v>3200</v>
      </c>
      <c r="H55" s="37">
        <f>tabExtras[FATOR] * tabExtras[QUANTIDADE]</f>
        <v>3200</v>
      </c>
      <c r="I55" s="42"/>
      <c r="J55" s="19" t="s">
        <v>1434</v>
      </c>
      <c r="K55" s="20">
        <v>43850.592881944445</v>
      </c>
      <c r="L55" s="73" t="str">
        <f>_xlfn.IFNA(IF(VLOOKUP($A55,tabExcluirDoEstoque[#Data],1,FALSE),"sim",""),"")</f>
        <v/>
      </c>
      <c r="M55" s="4" t="str">
        <f t="shared" si="0"/>
        <v>*</v>
      </c>
    </row>
    <row r="56" spans="1:13" ht="60" x14ac:dyDescent="0.25">
      <c r="A56" s="23">
        <v>132303</v>
      </c>
      <c r="B56" s="3" t="str">
        <f>IFERROR(VLOOKUP(tabExtras[CÓDIGO],tabListaItens[#Data],2,FALSE),"&lt;&lt; não enconrado &gt;&gt;")</f>
        <v>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v>
      </c>
      <c r="C56" s="4" t="str">
        <f>IFERROR(VLOOKUP(tabExtras[CÓDIGO],tabListaItens[#Data],3,FALSE),"")</f>
        <v>BC</v>
      </c>
      <c r="D56" s="25" t="s">
        <v>1435</v>
      </c>
      <c r="E56" s="26">
        <v>43861</v>
      </c>
      <c r="F56" s="30">
        <v>1</v>
      </c>
      <c r="G56" s="38">
        <v>3200</v>
      </c>
      <c r="H56" s="37">
        <f>tabExtras[FATOR] * tabExtras[QUANTIDADE]</f>
        <v>3200</v>
      </c>
      <c r="I56" s="42"/>
      <c r="J56" s="19" t="s">
        <v>1434</v>
      </c>
      <c r="K56" s="20">
        <v>43850.592881944445</v>
      </c>
      <c r="L56" s="73" t="str">
        <f>_xlfn.IFNA(IF(VLOOKUP($A56,tabExcluirDoEstoque[#Data],1,FALSE),"sim",""),"")</f>
        <v/>
      </c>
      <c r="M56" s="4" t="str">
        <f t="shared" si="0"/>
        <v>*</v>
      </c>
    </row>
    <row r="57" spans="1:13" ht="30" x14ac:dyDescent="0.25">
      <c r="A57" s="23">
        <v>132305</v>
      </c>
      <c r="B57" s="3" t="str">
        <f>IFERROR(VLOOKUP(tabExtras[CÓDIGO],tabListaItens[#Data],2,FALSE),"&lt;&lt; não enconrado &gt;&gt;")</f>
        <v>PINCEL PARA PINTURA, CABO EM MADEIRA CURTO, FORMATO CHATO, CERDA BRANCA, TAMANHO 20</v>
      </c>
      <c r="C57" s="4" t="str">
        <f>IFERROR(VLOOKUP(tabExtras[CÓDIGO],tabListaItens[#Data],3,FALSE),"")</f>
        <v>UN</v>
      </c>
      <c r="D57" s="25" t="s">
        <v>1435</v>
      </c>
      <c r="E57" s="26">
        <v>43861</v>
      </c>
      <c r="F57" s="30">
        <v>1</v>
      </c>
      <c r="G57" s="38">
        <v>3200</v>
      </c>
      <c r="H57" s="37">
        <f>tabExtras[FATOR] * tabExtras[QUANTIDADE]</f>
        <v>3200</v>
      </c>
      <c r="I57" s="42"/>
      <c r="J57" s="19" t="s">
        <v>1434</v>
      </c>
      <c r="K57" s="20">
        <v>43850.592881944445</v>
      </c>
      <c r="L57" s="73" t="str">
        <f>_xlfn.IFNA(IF(VLOOKUP($A57,tabExcluirDoEstoque[#Data],1,FALSE),"sim",""),"")</f>
        <v>sim</v>
      </c>
      <c r="M57" s="4" t="str">
        <f t="shared" si="0"/>
        <v>*</v>
      </c>
    </row>
    <row r="58" spans="1:13" ht="30" x14ac:dyDescent="0.25">
      <c r="A58" s="23">
        <v>132394</v>
      </c>
      <c r="B58" s="3" t="str">
        <f>IFERROR(VLOOKUP(tabExtras[CÓDIGO],tabListaItens[#Data],2,FALSE),"&lt;&lt; não enconrado &gt;&gt;")</f>
        <v>FITA ADESIVA COLORIDA, MEDINDO APROXIMADAMENTE 12MM X 10M. COR: AMARELA. COMPOSICAO: FILME POLIPROPILENO COM ADESIVO ACRILICO A BASE D´AGUA.</v>
      </c>
      <c r="C58" s="4" t="str">
        <f>IFERROR(VLOOKUP(tabExtras[CÓDIGO],tabListaItens[#Data],3,FALSE),"")</f>
        <v>RL</v>
      </c>
      <c r="D58" s="25" t="s">
        <v>1435</v>
      </c>
      <c r="E58" s="26">
        <v>43861</v>
      </c>
      <c r="F58" s="30">
        <v>1</v>
      </c>
      <c r="G58" s="38">
        <v>2133</v>
      </c>
      <c r="H58" s="37">
        <f>tabExtras[FATOR] * tabExtras[QUANTIDADE]</f>
        <v>2133</v>
      </c>
      <c r="I58" s="42"/>
      <c r="J58" s="19" t="s">
        <v>1434</v>
      </c>
      <c r="K58" s="20">
        <v>43850.592881944445</v>
      </c>
      <c r="L58" s="73" t="str">
        <f>_xlfn.IFNA(IF(VLOOKUP($A58,tabExcluirDoEstoque[#Data],1,FALSE),"sim",""),"")</f>
        <v/>
      </c>
      <c r="M58" s="4" t="str">
        <f t="shared" si="0"/>
        <v>*</v>
      </c>
    </row>
    <row r="59" spans="1:13" ht="30" x14ac:dyDescent="0.25">
      <c r="A59" s="23">
        <v>132395</v>
      </c>
      <c r="B59" s="3" t="str">
        <f>IFERROR(VLOOKUP(tabExtras[CÓDIGO],tabListaItens[#Data],2,FALSE),"&lt;&lt; não enconrado &gt;&gt;")</f>
        <v>FITA ADESIVA COLORIDA, MEDINDO APROXIMADAMENTE 12MM X 10M. COR: AZUL ESCURA. COMPOSICAO: FILME POLIPROPILENO COM ADESIVO ACRILICO A BASE D´AGUA.</v>
      </c>
      <c r="C59" s="4" t="str">
        <f>IFERROR(VLOOKUP(tabExtras[CÓDIGO],tabListaItens[#Data],3,FALSE),"")</f>
        <v>RL</v>
      </c>
      <c r="D59" s="25" t="s">
        <v>1435</v>
      </c>
      <c r="E59" s="26">
        <v>43861</v>
      </c>
      <c r="F59" s="30">
        <v>1</v>
      </c>
      <c r="G59" s="38">
        <v>2133</v>
      </c>
      <c r="H59" s="37">
        <f>tabExtras[FATOR] * tabExtras[QUANTIDADE]</f>
        <v>2133</v>
      </c>
      <c r="I59" s="42"/>
      <c r="J59" s="19" t="s">
        <v>1434</v>
      </c>
      <c r="K59" s="20">
        <v>43850.592881944445</v>
      </c>
      <c r="L59" s="73" t="str">
        <f>_xlfn.IFNA(IF(VLOOKUP($A59,tabExcluirDoEstoque[#Data],1,FALSE),"sim",""),"")</f>
        <v/>
      </c>
      <c r="M59" s="4" t="str">
        <f t="shared" si="0"/>
        <v>*</v>
      </c>
    </row>
    <row r="60" spans="1:13" ht="15.75" x14ac:dyDescent="0.25">
      <c r="A60" s="23">
        <v>132400</v>
      </c>
      <c r="B60" s="3" t="str">
        <f>IFERROR(VLOOKUP(tabExtras[CÓDIGO],tabListaItens[#Data],2,FALSE),"&lt;&lt; não enconrado &gt;&gt;")</f>
        <v>CORANTE LIQUIDO PARA FINS ALIMENTICIOS - COR AZUL - FRASCO COM 10ML.</v>
      </c>
      <c r="C60" s="4" t="str">
        <f>IFERROR(VLOOKUP(tabExtras[CÓDIGO],tabListaItens[#Data],3,FALSE),"")</f>
        <v>FR</v>
      </c>
      <c r="D60" s="25" t="s">
        <v>1435</v>
      </c>
      <c r="E60" s="26">
        <v>43861</v>
      </c>
      <c r="F60" s="30">
        <v>1</v>
      </c>
      <c r="G60" s="38">
        <v>2133</v>
      </c>
      <c r="H60" s="37">
        <f>tabExtras[FATOR] * tabExtras[QUANTIDADE]</f>
        <v>2133</v>
      </c>
      <c r="I60" s="42"/>
      <c r="J60" s="19" t="s">
        <v>1434</v>
      </c>
      <c r="K60" s="20">
        <v>43850.592881944445</v>
      </c>
      <c r="L60" s="73" t="str">
        <f>_xlfn.IFNA(IF(VLOOKUP($A60,tabExcluirDoEstoque[#Data],1,FALSE),"sim",""),"")</f>
        <v/>
      </c>
      <c r="M60" s="4" t="str">
        <f t="shared" si="0"/>
        <v>*</v>
      </c>
    </row>
    <row r="61" spans="1:13" ht="15.75" x14ac:dyDescent="0.25">
      <c r="A61" s="23">
        <v>132646</v>
      </c>
      <c r="B61" s="3" t="str">
        <f>IFERROR(VLOOKUP(tabExtras[CÓDIGO],tabListaItens[#Data],2,FALSE),"&lt;&lt; não enconrado &gt;&gt;")</f>
        <v>CANETA HIDROGRAFICA JUMBO COM 12 CORES, PONTA GROSSA, TINTA LAVAVEL</v>
      </c>
      <c r="C61" s="4" t="str">
        <f>IFERROR(VLOOKUP(tabExtras[CÓDIGO],tabListaItens[#Data],3,FALSE),"")</f>
        <v>CJ</v>
      </c>
      <c r="D61" s="25" t="s">
        <v>1435</v>
      </c>
      <c r="E61" s="26">
        <v>43861</v>
      </c>
      <c r="F61" s="30">
        <v>1</v>
      </c>
      <c r="G61" s="38">
        <v>6400</v>
      </c>
      <c r="H61" s="37">
        <f>tabExtras[FATOR] * tabExtras[QUANTIDADE]</f>
        <v>6400</v>
      </c>
      <c r="I61" s="42"/>
      <c r="J61" s="19" t="s">
        <v>1434</v>
      </c>
      <c r="K61" s="20">
        <v>43850.592881944445</v>
      </c>
      <c r="L61" s="73" t="str">
        <f>_xlfn.IFNA(IF(VLOOKUP($A61,tabExcluirDoEstoque[#Data],1,FALSE),"sim",""),"")</f>
        <v/>
      </c>
      <c r="M61" s="4" t="str">
        <f t="shared" si="0"/>
        <v>*</v>
      </c>
    </row>
    <row r="62" spans="1:13" ht="15.75" x14ac:dyDescent="0.25">
      <c r="A62" s="23">
        <v>132647</v>
      </c>
      <c r="B62" s="3" t="str">
        <f>IFERROR(VLOOKUP(tabExtras[CÓDIGO],tabListaItens[#Data],2,FALSE),"&lt;&lt; não enconrado &gt;&gt;")</f>
        <v>CANETA HIDROGRAFICA JUMBO PRETA, PONTA GROSSA, TINTA LAVAVEL.</v>
      </c>
      <c r="C62" s="4" t="str">
        <f>IFERROR(VLOOKUP(tabExtras[CÓDIGO],tabListaItens[#Data],3,FALSE),"")</f>
        <v>UN</v>
      </c>
      <c r="D62" s="25" t="s">
        <v>1435</v>
      </c>
      <c r="E62" s="26">
        <v>43861</v>
      </c>
      <c r="F62" s="30">
        <v>1</v>
      </c>
      <c r="G62" s="38">
        <v>4571</v>
      </c>
      <c r="H62" s="37">
        <f>tabExtras[FATOR] * tabExtras[QUANTIDADE]</f>
        <v>4571</v>
      </c>
      <c r="I62" s="42"/>
      <c r="J62" s="19" t="s">
        <v>1434</v>
      </c>
      <c r="K62" s="20">
        <v>43850.592881944445</v>
      </c>
      <c r="L62" s="73" t="str">
        <f>_xlfn.IFNA(IF(VLOOKUP($A62,tabExcluirDoEstoque[#Data],1,FALSE),"sim",""),"")</f>
        <v/>
      </c>
      <c r="M62" s="4" t="str">
        <f t="shared" si="0"/>
        <v>*</v>
      </c>
    </row>
    <row r="63" spans="1:13" ht="15.75" x14ac:dyDescent="0.25">
      <c r="A63" s="23">
        <v>132649</v>
      </c>
      <c r="B63" s="3" t="str">
        <f>IFERROR(VLOOKUP(tabExtras[CÓDIGO],tabListaItens[#Data],2,FALSE),"&lt;&lt; não enconrado &gt;&gt;")</f>
        <v xml:space="preserve">CANETA HIDROGRAFICA PRETA PONTA DE 2MM. </v>
      </c>
      <c r="C63" s="4" t="str">
        <f>IFERROR(VLOOKUP(tabExtras[CÓDIGO],tabListaItens[#Data],3,FALSE),"")</f>
        <v>UN</v>
      </c>
      <c r="D63" s="25" t="s">
        <v>1435</v>
      </c>
      <c r="E63" s="26">
        <v>43861</v>
      </c>
      <c r="F63" s="30">
        <v>1</v>
      </c>
      <c r="G63" s="38">
        <v>4571</v>
      </c>
      <c r="H63" s="37">
        <f>tabExtras[FATOR] * tabExtras[QUANTIDADE]</f>
        <v>4571</v>
      </c>
      <c r="I63" s="42"/>
      <c r="J63" s="19" t="s">
        <v>1434</v>
      </c>
      <c r="K63" s="20">
        <v>43850.592881944445</v>
      </c>
      <c r="L63" s="73" t="str">
        <f>_xlfn.IFNA(IF(VLOOKUP($A63,tabExcluirDoEstoque[#Data],1,FALSE),"sim",""),"")</f>
        <v/>
      </c>
      <c r="M63" s="4" t="str">
        <f t="shared" si="0"/>
        <v>*</v>
      </c>
    </row>
    <row r="64" spans="1:13" ht="30" x14ac:dyDescent="0.25">
      <c r="A64" s="23">
        <v>132650</v>
      </c>
      <c r="B64" s="3" t="str">
        <f>IFERROR(VLOOKUP(tabExtras[CÓDIGO],tabListaItens[#Data],2,FALSE),"&lt;&lt; não enconrado &gt;&gt;")</f>
        <v>COLA BRANCA , FRASCO COM 1 KG - COMPOSICAO RESINA DE PVA, LAVAVEL, CERTIFICADA PELO INMETRO</v>
      </c>
      <c r="C64" s="4" t="str">
        <f>IFERROR(VLOOKUP(tabExtras[CÓDIGO],tabListaItens[#Data],3,FALSE),"")</f>
        <v>UN</v>
      </c>
      <c r="D64" s="25" t="s">
        <v>1435</v>
      </c>
      <c r="E64" s="26">
        <v>43861</v>
      </c>
      <c r="F64" s="30">
        <v>1</v>
      </c>
      <c r="G64" s="38">
        <v>2133</v>
      </c>
      <c r="H64" s="37">
        <f>tabExtras[FATOR] * tabExtras[QUANTIDADE]</f>
        <v>2133</v>
      </c>
      <c r="I64" s="42"/>
      <c r="J64" s="19" t="s">
        <v>1434</v>
      </c>
      <c r="K64" s="20">
        <v>43850.592881944445</v>
      </c>
      <c r="L64" s="73" t="str">
        <f>_xlfn.IFNA(IF(VLOOKUP($A64,tabExcluirDoEstoque[#Data],1,FALSE),"sim",""),"")</f>
        <v/>
      </c>
      <c r="M64" s="4" t="str">
        <f t="shared" si="0"/>
        <v>*</v>
      </c>
    </row>
    <row r="65" spans="1:13" ht="30" x14ac:dyDescent="0.25">
      <c r="A65" s="23">
        <v>132655</v>
      </c>
      <c r="B65" s="3" t="str">
        <f>IFERROR(VLOOKUP(tabExtras[CÓDIGO],tabListaItens[#Data],2,FALSE),"&lt;&lt; não enconrado &gt;&gt;")</f>
        <v>MARCADOR DE QUADRO BRANCO, PONTA DE 04 MM (MINIMO) REDONDA DE ACRILICO OU POLIESTER. COR INTENSA E FACIL DE APAGAR. A MARCA DEVERA SER LITOGRAFADA NO PRODUTO. COR: AZUL</v>
      </c>
      <c r="C65" s="4" t="str">
        <f>IFERROR(VLOOKUP(tabExtras[CÓDIGO],tabListaItens[#Data],3,FALSE),"")</f>
        <v>UN</v>
      </c>
      <c r="D65" s="25" t="s">
        <v>1435</v>
      </c>
      <c r="E65" s="26">
        <v>43861</v>
      </c>
      <c r="F65" s="30">
        <v>1</v>
      </c>
      <c r="G65" s="38">
        <v>6400</v>
      </c>
      <c r="H65" s="37">
        <f>tabExtras[FATOR] * tabExtras[QUANTIDADE]</f>
        <v>6400</v>
      </c>
      <c r="I65" s="42"/>
      <c r="J65" s="19" t="s">
        <v>1434</v>
      </c>
      <c r="K65" s="20">
        <v>44019.644872685189</v>
      </c>
      <c r="L65" s="73" t="str">
        <f>_xlfn.IFNA(IF(VLOOKUP($A65,tabExcluirDoEstoque[#Data],1,FALSE),"sim",""),"")</f>
        <v/>
      </c>
      <c r="M65" s="4" t="str">
        <f t="shared" si="0"/>
        <v>*</v>
      </c>
    </row>
    <row r="66" spans="1:13" ht="30" x14ac:dyDescent="0.25">
      <c r="A66" s="23">
        <v>132656</v>
      </c>
      <c r="B66" s="3" t="str">
        <f>IFERROR(VLOOKUP(tabExtras[CÓDIGO],tabListaItens[#Data],2,FALSE),"&lt;&lt; não enconrado &gt;&gt;")</f>
        <v>MARCADOR DE QUADRO BRANCO, PONTA DE 04 MM (MINIMO) REDONDA DE ACRILICO OU POLIESTER. COR INTENSA E FACIL DE APAGAR. A MARCA DEVERA SER LITOGRAFADA NO PRODUTO. COR: PRETO</v>
      </c>
      <c r="C66" s="4" t="str">
        <f>IFERROR(VLOOKUP(tabExtras[CÓDIGO],tabListaItens[#Data],3,FALSE),"")</f>
        <v>UN</v>
      </c>
      <c r="D66" s="25" t="s">
        <v>1435</v>
      </c>
      <c r="E66" s="27">
        <v>43861</v>
      </c>
      <c r="F66" s="31">
        <v>1</v>
      </c>
      <c r="G66" s="39">
        <v>6400</v>
      </c>
      <c r="H66" s="37">
        <f>tabExtras[FATOR] * tabExtras[QUANTIDADE]</f>
        <v>6400</v>
      </c>
      <c r="I66" s="42"/>
      <c r="J66" s="19" t="s">
        <v>1434</v>
      </c>
      <c r="K66" s="20">
        <v>44019.644872685189</v>
      </c>
      <c r="L66" s="73" t="str">
        <f>_xlfn.IFNA(IF(VLOOKUP($A66,tabExcluirDoEstoque[#Data],1,FALSE),"sim",""),"")</f>
        <v/>
      </c>
      <c r="M66" s="4" t="str">
        <f t="shared" si="0"/>
        <v>*</v>
      </c>
    </row>
    <row r="67" spans="1:13" ht="15.75" x14ac:dyDescent="0.25">
      <c r="A67" s="23">
        <v>133778</v>
      </c>
      <c r="B67" s="3" t="str">
        <f>IFERROR(VLOOKUP(tabExtras[CÓDIGO],tabListaItens[#Data],2,FALSE),"&lt;&lt; não enconrado &gt;&gt;")</f>
        <v>BORRACHA BRANCA COMUM (SEM CINTA), MEDIDA: 40MM X 30MM X 10MM.</v>
      </c>
      <c r="C67" s="4" t="str">
        <f>IFERROR(VLOOKUP(tabExtras[CÓDIGO],tabListaItens[#Data],3,FALSE),"")</f>
        <v>UN</v>
      </c>
      <c r="D67" s="25" t="s">
        <v>1435</v>
      </c>
      <c r="E67" s="26">
        <v>43861</v>
      </c>
      <c r="F67" s="30">
        <v>1</v>
      </c>
      <c r="G67" s="38">
        <v>4571</v>
      </c>
      <c r="H67" s="37">
        <f>tabExtras[FATOR] * tabExtras[QUANTIDADE]</f>
        <v>4571</v>
      </c>
      <c r="I67" s="42"/>
      <c r="J67" s="19" t="s">
        <v>1434</v>
      </c>
      <c r="K67" s="20">
        <v>43850.592881944445</v>
      </c>
      <c r="L67" s="73" t="str">
        <f>_xlfn.IFNA(IF(VLOOKUP($A67,tabExcluirDoEstoque[#Data],1,FALSE),"sim",""),"")</f>
        <v>sim</v>
      </c>
      <c r="M67" s="4" t="str">
        <f t="shared" ref="M67:M130" si="1">"*"</f>
        <v>*</v>
      </c>
    </row>
    <row r="68" spans="1:13" ht="15.75" x14ac:dyDescent="0.25">
      <c r="A68" s="23">
        <v>133781</v>
      </c>
      <c r="B68" s="3" t="str">
        <f>IFERROR(VLOOKUP(tabExtras[CÓDIGO],tabListaItens[#Data],2,FALSE),"&lt;&lt; não enconrado &gt;&gt;")</f>
        <v>CADERNO ESPIRAL CAPA DURA 1/4 96 FLS, CAPA DURA.</v>
      </c>
      <c r="C68" s="4" t="str">
        <f>IFERROR(VLOOKUP(tabExtras[CÓDIGO],tabListaItens[#Data],3,FALSE),"")</f>
        <v>UN</v>
      </c>
      <c r="D68" s="25" t="s">
        <v>1435</v>
      </c>
      <c r="E68" s="26">
        <v>43861</v>
      </c>
      <c r="F68" s="30">
        <v>1</v>
      </c>
      <c r="G68" s="38">
        <v>32000</v>
      </c>
      <c r="H68" s="37">
        <f>tabExtras[FATOR] * tabExtras[QUANTIDADE]</f>
        <v>32000</v>
      </c>
      <c r="I68" s="42"/>
      <c r="J68" s="19" t="s">
        <v>1434</v>
      </c>
      <c r="K68" s="20">
        <v>43850.592881944445</v>
      </c>
      <c r="L68" s="73" t="str">
        <f>_xlfn.IFNA(IF(VLOOKUP($A68,tabExcluirDoEstoque[#Data],1,FALSE),"sim",""),"")</f>
        <v>sim</v>
      </c>
      <c r="M68" s="4" t="str">
        <f t="shared" si="1"/>
        <v>*</v>
      </c>
    </row>
    <row r="69" spans="1:13" ht="15.75" x14ac:dyDescent="0.25">
      <c r="A69" s="23">
        <v>133787</v>
      </c>
      <c r="B69" s="3" t="str">
        <f>IFERROR(VLOOKUP(tabExtras[CÓDIGO],tabListaItens[#Data],2,FALSE),"&lt;&lt; não enconrado &gt;&gt;")</f>
        <v>COLA BRANCA 90G</v>
      </c>
      <c r="C69" s="4">
        <f>IFERROR(VLOOKUP(tabExtras[CÓDIGO],tabListaItens[#Data],3,FALSE),"")</f>
        <v>0</v>
      </c>
      <c r="D69" s="25" t="s">
        <v>1435</v>
      </c>
      <c r="E69" s="27">
        <v>43861</v>
      </c>
      <c r="F69" s="31">
        <v>1</v>
      </c>
      <c r="G69" s="39">
        <v>9667</v>
      </c>
      <c r="H69" s="37">
        <f>tabExtras[FATOR] * tabExtras[QUANTIDADE]</f>
        <v>9667</v>
      </c>
      <c r="I69" s="42"/>
      <c r="J69" s="19" t="s">
        <v>1434</v>
      </c>
      <c r="K69" s="20">
        <v>43850.592881944445</v>
      </c>
      <c r="L69" s="73" t="str">
        <f>_xlfn.IFNA(IF(VLOOKUP($A69,tabExcluirDoEstoque[#Data],1,FALSE),"sim",""),"")</f>
        <v>sim</v>
      </c>
      <c r="M69" s="4" t="str">
        <f t="shared" si="1"/>
        <v>*</v>
      </c>
    </row>
    <row r="70" spans="1:13" ht="15.75" x14ac:dyDescent="0.25">
      <c r="A70" s="23">
        <v>133950</v>
      </c>
      <c r="B70" s="3" t="str">
        <f>IFERROR(VLOOKUP(tabExtras[CÓDIGO],tabListaItens[#Data],2,FALSE),"&lt;&lt; não enconrado &gt;&gt;")</f>
        <v>CADERNO DE DESENHO ESPIRAL, 96 FOLHAS, CAPA DURA.</v>
      </c>
      <c r="C70" s="4" t="str">
        <f>IFERROR(VLOOKUP(tabExtras[CÓDIGO],tabListaItens[#Data],3,FALSE),"")</f>
        <v>UN</v>
      </c>
      <c r="D70" s="25" t="s">
        <v>1435</v>
      </c>
      <c r="E70" s="26">
        <v>43861</v>
      </c>
      <c r="F70" s="30">
        <v>1</v>
      </c>
      <c r="G70" s="38">
        <v>4571</v>
      </c>
      <c r="H70" s="37">
        <f>tabExtras[FATOR] * tabExtras[QUANTIDADE]</f>
        <v>4571</v>
      </c>
      <c r="I70" s="42"/>
      <c r="J70" s="19" t="s">
        <v>1434</v>
      </c>
      <c r="K70" s="20">
        <v>43850.592881944445</v>
      </c>
      <c r="L70" s="73" t="str">
        <f>_xlfn.IFNA(IF(VLOOKUP($A70,tabExcluirDoEstoque[#Data],1,FALSE),"sim",""),"")</f>
        <v>sim</v>
      </c>
      <c r="M70" s="4" t="str">
        <f t="shared" si="1"/>
        <v>*</v>
      </c>
    </row>
    <row r="71" spans="1:13" ht="15.75" x14ac:dyDescent="0.25">
      <c r="A71" s="23">
        <v>133953</v>
      </c>
      <c r="B71" s="3" t="str">
        <f>IFERROR(VLOOKUP(tabExtras[CÓDIGO],tabListaItens[#Data],2,FALSE),"&lt;&lt; não enconrado &gt;&gt;")</f>
        <v>CANETA HIDROGRAFICA PONTA FINA/MEDIA, CONJUNTO COM 12  CORES</v>
      </c>
      <c r="C71" s="4" t="str">
        <f>IFERROR(VLOOKUP(tabExtras[CÓDIGO],tabListaItens[#Data],3,FALSE),"")</f>
        <v>CJ</v>
      </c>
      <c r="D71" s="25" t="s">
        <v>1435</v>
      </c>
      <c r="E71" s="26">
        <v>43861</v>
      </c>
      <c r="F71" s="30">
        <v>1</v>
      </c>
      <c r="G71" s="38">
        <v>4571</v>
      </c>
      <c r="H71" s="37">
        <f>tabExtras[FATOR] * tabExtras[QUANTIDADE]</f>
        <v>4571</v>
      </c>
      <c r="I71" s="42"/>
      <c r="J71" s="19" t="s">
        <v>1434</v>
      </c>
      <c r="K71" s="20">
        <v>43850.592881944445</v>
      </c>
      <c r="L71" s="73" t="str">
        <f>_xlfn.IFNA(IF(VLOOKUP($A71,tabExcluirDoEstoque[#Data],1,FALSE),"sim",""),"")</f>
        <v>sim</v>
      </c>
      <c r="M71" s="4" t="str">
        <f t="shared" si="1"/>
        <v>*</v>
      </c>
    </row>
    <row r="72" spans="1:13" ht="15.75" x14ac:dyDescent="0.25">
      <c r="A72" s="23">
        <v>133953</v>
      </c>
      <c r="B72" s="3" t="str">
        <f>IFERROR(VLOOKUP(tabExtras[CÓDIGO],tabListaItens[#Data],2,FALSE),"&lt;&lt; não enconrado &gt;&gt;")</f>
        <v>CANETA HIDROGRAFICA PONTA FINA/MEDIA, CONJUNTO COM 12  CORES</v>
      </c>
      <c r="C72" s="4" t="str">
        <f>IFERROR(VLOOKUP(tabExtras[CÓDIGO],tabListaItens[#Data],3,FALSE),"")</f>
        <v>CJ</v>
      </c>
      <c r="D72" s="25" t="s">
        <v>1435</v>
      </c>
      <c r="E72" s="26">
        <v>43861</v>
      </c>
      <c r="F72" s="30">
        <v>1</v>
      </c>
      <c r="G72" s="38">
        <v>4571</v>
      </c>
      <c r="H72" s="44">
        <f>tabExtras[FATOR] * tabExtras[QUANTIDADE]</f>
        <v>4571</v>
      </c>
      <c r="I72" s="42"/>
      <c r="J72" s="19" t="s">
        <v>1434</v>
      </c>
      <c r="K72" s="20">
        <v>43850.592881944445</v>
      </c>
      <c r="L72" s="73" t="str">
        <f>_xlfn.IFNA(IF(VLOOKUP($A72,tabExcluirDoEstoque[#Data],1,FALSE),"sim",""),"")</f>
        <v>sim</v>
      </c>
      <c r="M72" s="4" t="str">
        <f t="shared" si="1"/>
        <v>*</v>
      </c>
    </row>
    <row r="73" spans="1:13" ht="15.75" x14ac:dyDescent="0.25">
      <c r="A73" s="23">
        <v>133954</v>
      </c>
      <c r="B73" s="3" t="str">
        <f>IFERROR(VLOOKUP(tabExtras[CÓDIGO],tabListaItens[#Data],2,FALSE),"&lt;&lt; não enconrado &gt;&gt;")</f>
        <v>GIZ DE CERA JUMBO, COM NO MINIMO 12 CORES, ATOXICO.</v>
      </c>
      <c r="C73" s="4" t="str">
        <f>IFERROR(VLOOKUP(tabExtras[CÓDIGO],tabListaItens[#Data],3,FALSE),"")</f>
        <v>CX</v>
      </c>
      <c r="D73" s="25" t="s">
        <v>1435</v>
      </c>
      <c r="E73" s="26">
        <v>43861</v>
      </c>
      <c r="F73" s="30">
        <v>1</v>
      </c>
      <c r="G73" s="38">
        <v>4571</v>
      </c>
      <c r="H73" s="37">
        <f>tabExtras[FATOR] * tabExtras[QUANTIDADE]</f>
        <v>4571</v>
      </c>
      <c r="I73" s="42"/>
      <c r="J73" s="19" t="s">
        <v>1434</v>
      </c>
      <c r="K73" s="20">
        <v>43850.592881944445</v>
      </c>
      <c r="L73" s="73" t="str">
        <f>_xlfn.IFNA(IF(VLOOKUP($A73,tabExcluirDoEstoque[#Data],1,FALSE),"sim",""),"")</f>
        <v>sim</v>
      </c>
      <c r="M73" s="4" t="str">
        <f t="shared" si="1"/>
        <v>*</v>
      </c>
    </row>
    <row r="74" spans="1:13" ht="15.75" x14ac:dyDescent="0.25">
      <c r="A74" s="23">
        <v>133955</v>
      </c>
      <c r="B74" s="3" t="str">
        <f>IFERROR(VLOOKUP(tabExtras[CÓDIGO],tabListaItens[#Data],2,FALSE),"&lt;&lt; não enconrado &gt;&gt;")</f>
        <v>LAPIS DE COR, SEXTAVADO, COM 24 CORES</v>
      </c>
      <c r="C74" s="4" t="str">
        <f>IFERROR(VLOOKUP(tabExtras[CÓDIGO],tabListaItens[#Data],3,FALSE),"")</f>
        <v>CX</v>
      </c>
      <c r="D74" s="25" t="s">
        <v>1435</v>
      </c>
      <c r="E74" s="26">
        <v>43861</v>
      </c>
      <c r="F74" s="30">
        <v>1</v>
      </c>
      <c r="G74" s="38">
        <v>3200</v>
      </c>
      <c r="H74" s="37">
        <f>tabExtras[FATOR] * tabExtras[QUANTIDADE]</f>
        <v>3200</v>
      </c>
      <c r="I74" s="42"/>
      <c r="J74" s="19" t="s">
        <v>1434</v>
      </c>
      <c r="K74" s="20">
        <v>43850.592881944445</v>
      </c>
      <c r="L74" s="73" t="str">
        <f>_xlfn.IFNA(IF(VLOOKUP($A74,tabExcluirDoEstoque[#Data],1,FALSE),"sim",""),"")</f>
        <v>sim</v>
      </c>
      <c r="M74" s="4" t="str">
        <f t="shared" si="1"/>
        <v>*</v>
      </c>
    </row>
    <row r="75" spans="1:13" ht="15.75" x14ac:dyDescent="0.25">
      <c r="A75" s="23">
        <v>135297</v>
      </c>
      <c r="B75" s="3" t="str">
        <f>IFERROR(VLOOKUP(tabExtras[CÓDIGO],tabListaItens[#Data],2,FALSE),"&lt;&lt; não enconrado &gt;&gt;")</f>
        <v>LAPIS DE COR JUMBO, MODELO TRIANGULAR, EM 12 CORES.</v>
      </c>
      <c r="C75" s="4" t="str">
        <f>IFERROR(VLOOKUP(tabExtras[CÓDIGO],tabListaItens[#Data],3,FALSE),"")</f>
        <v>CX</v>
      </c>
      <c r="D75" s="25" t="s">
        <v>1435</v>
      </c>
      <c r="E75" s="26">
        <v>43861</v>
      </c>
      <c r="F75" s="30">
        <v>1</v>
      </c>
      <c r="G75" s="38">
        <v>4571</v>
      </c>
      <c r="H75" s="37">
        <f>tabExtras[FATOR] * tabExtras[QUANTIDADE]</f>
        <v>4571</v>
      </c>
      <c r="I75" s="42"/>
      <c r="J75" s="19" t="s">
        <v>1434</v>
      </c>
      <c r="K75" s="20">
        <v>43850.592881944445</v>
      </c>
      <c r="L75" s="73" t="str">
        <f>_xlfn.IFNA(IF(VLOOKUP($A75,tabExcluirDoEstoque[#Data],1,FALSE),"sim",""),"")</f>
        <v/>
      </c>
      <c r="M75" s="4" t="str">
        <f t="shared" si="1"/>
        <v>*</v>
      </c>
    </row>
    <row r="76" spans="1:13" ht="15.75" x14ac:dyDescent="0.25">
      <c r="A76" s="23">
        <v>135700</v>
      </c>
      <c r="B76" s="3" t="str">
        <f>IFERROR(VLOOKUP(tabExtras[CÓDIGO],tabListaItens[#Data],2,FALSE),"&lt;&lt; não enconrado &gt;&gt;")</f>
        <v>LAPIS GRAFITE Nº 2, SEXTAVADO, CORPO FEITO EM MADEIRA.</v>
      </c>
      <c r="C76" s="4" t="str">
        <f>IFERROR(VLOOKUP(tabExtras[CÓDIGO],tabListaItens[#Data],3,FALSE),"")</f>
        <v>UN</v>
      </c>
      <c r="D76" s="25" t="s">
        <v>1435</v>
      </c>
      <c r="E76" s="26">
        <v>43861</v>
      </c>
      <c r="F76" s="30">
        <v>1</v>
      </c>
      <c r="G76" s="38">
        <v>3200</v>
      </c>
      <c r="H76" s="37">
        <f>tabExtras[FATOR] * tabExtras[QUANTIDADE]</f>
        <v>3200</v>
      </c>
      <c r="I76" s="42"/>
      <c r="J76" s="19" t="s">
        <v>1434</v>
      </c>
      <c r="K76" s="20">
        <v>43850.592881944445</v>
      </c>
      <c r="L76" s="73" t="str">
        <f>_xlfn.IFNA(IF(VLOOKUP($A76,tabExcluirDoEstoque[#Data],1,FALSE),"sim",""),"")</f>
        <v>sim</v>
      </c>
      <c r="M76" s="4" t="str">
        <f t="shared" si="1"/>
        <v>*</v>
      </c>
    </row>
    <row r="77" spans="1:13" ht="75" x14ac:dyDescent="0.25">
      <c r="A77" s="23">
        <v>135704</v>
      </c>
      <c r="B77" s="3" t="str">
        <f>IFERROR(VLOOKUP(tabExtras[CÓDIGO],tabListaItens[#Data],2,FALSE),"&lt;&lt; não enconrado &gt;&gt;")</f>
        <v>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v>
      </c>
      <c r="C77" s="4" t="str">
        <f>IFERROR(VLOOKUP(tabExtras[CÓDIGO],tabListaItens[#Data],3,FALSE),"")</f>
        <v>UN</v>
      </c>
      <c r="D77" s="25" t="s">
        <v>1435</v>
      </c>
      <c r="E77" s="26">
        <v>43861</v>
      </c>
      <c r="F77" s="30">
        <v>1</v>
      </c>
      <c r="G77" s="38">
        <v>3200</v>
      </c>
      <c r="H77" s="37">
        <f>tabExtras[FATOR] * tabExtras[QUANTIDADE]</f>
        <v>3200</v>
      </c>
      <c r="I77" s="42"/>
      <c r="J77" s="19" t="s">
        <v>1434</v>
      </c>
      <c r="K77" s="20">
        <v>43850.592881944445</v>
      </c>
      <c r="L77" s="73" t="str">
        <f>_xlfn.IFNA(IF(VLOOKUP($A77,tabExcluirDoEstoque[#Data],1,FALSE),"sim",""),"")</f>
        <v>sim</v>
      </c>
      <c r="M77" s="4" t="str">
        <f t="shared" si="1"/>
        <v>*</v>
      </c>
    </row>
    <row r="78" spans="1:13" ht="15.75" x14ac:dyDescent="0.25">
      <c r="A78" s="23">
        <v>12763</v>
      </c>
      <c r="B78" s="3" t="str">
        <f>IFERROR(VLOOKUP(tabExtras[CÓDIGO],tabListaItens[#Data],2,FALSE),"&lt;&lt; não enconrado &gt;&gt;")</f>
        <v>CAL HIDRATADA - SACO COM 20 KG</v>
      </c>
      <c r="C78" s="4" t="str">
        <f>IFERROR(VLOOKUP(tabExtras[CÓDIGO],tabListaItens[#Data],3,FALSE),"")</f>
        <v>SO</v>
      </c>
      <c r="D78" s="25" t="s">
        <v>1436</v>
      </c>
      <c r="E78" s="27">
        <v>43861</v>
      </c>
      <c r="F78" s="31">
        <v>30</v>
      </c>
      <c r="G78" s="39">
        <v>30</v>
      </c>
      <c r="H78" s="37">
        <f>tabExtras[FATOR] * tabExtras[QUANTIDADE]</f>
        <v>900</v>
      </c>
      <c r="I78" s="42" t="s">
        <v>6</v>
      </c>
      <c r="J78" s="19" t="s">
        <v>1434</v>
      </c>
      <c r="K78" s="20">
        <v>43850.592881944445</v>
      </c>
      <c r="L78" s="73" t="str">
        <f>_xlfn.IFNA(IF(VLOOKUP($A78,tabExcluirDoEstoque[#Data],1,FALSE),"sim",""),"")</f>
        <v/>
      </c>
      <c r="M78" s="4" t="str">
        <f t="shared" si="1"/>
        <v>*</v>
      </c>
    </row>
    <row r="79" spans="1:13" ht="15.75" x14ac:dyDescent="0.25">
      <c r="A79" s="23">
        <v>12813</v>
      </c>
      <c r="B79" s="3" t="str">
        <f>IFERROR(VLOOKUP(tabExtras[CÓDIGO],tabListaItens[#Data],2,FALSE),"&lt;&lt; não enconrado &gt;&gt;")</f>
        <v>ADAPTADOR DE PVC RIGIDO SOLDAVEL C/ FLANGE SEXTAVADA FIXO P/ CAIXA D'AGUA - 32 MM X 1"</v>
      </c>
      <c r="C79" s="4" t="str">
        <f>IFERROR(VLOOKUP(tabExtras[CÓDIGO],tabListaItens[#Data],3,FALSE),"")</f>
        <v>PC</v>
      </c>
      <c r="D79" s="25" t="s">
        <v>1436</v>
      </c>
      <c r="E79" s="27">
        <v>43861</v>
      </c>
      <c r="F79" s="31">
        <v>30</v>
      </c>
      <c r="G79" s="39">
        <v>1</v>
      </c>
      <c r="H79" s="37">
        <f>tabExtras[FATOR] * tabExtras[QUANTIDADE]</f>
        <v>30</v>
      </c>
      <c r="I79" s="42" t="s">
        <v>7</v>
      </c>
      <c r="J79" s="19" t="s">
        <v>1434</v>
      </c>
      <c r="K79" s="20">
        <v>43850.592881944445</v>
      </c>
      <c r="L79" s="73" t="str">
        <f>_xlfn.IFNA(IF(VLOOKUP($A79,tabExcluirDoEstoque[#Data],1,FALSE),"sim",""),"")</f>
        <v/>
      </c>
      <c r="M79" s="4" t="str">
        <f t="shared" si="1"/>
        <v>*</v>
      </c>
    </row>
    <row r="80" spans="1:13" ht="15.75" x14ac:dyDescent="0.25">
      <c r="A80" s="23">
        <v>12820</v>
      </c>
      <c r="B80" s="3" t="str">
        <f>IFERROR(VLOOKUP(tabExtras[CÓDIGO],tabListaItens[#Data],2,FALSE),"&lt;&lt; não enconrado &gt;&gt;")</f>
        <v>CORANTE PARA COLORIR TINTA LATEX - AMARELO - 50 ML</v>
      </c>
      <c r="C80" s="4" t="str">
        <f>IFERROR(VLOOKUP(tabExtras[CÓDIGO],tabListaItens[#Data],3,FALSE),"")</f>
        <v>TB</v>
      </c>
      <c r="D80" s="25" t="s">
        <v>1436</v>
      </c>
      <c r="E80" s="26">
        <v>43861</v>
      </c>
      <c r="F80" s="30">
        <v>30</v>
      </c>
      <c r="G80" s="38">
        <v>3</v>
      </c>
      <c r="H80" s="37">
        <f>tabExtras[FATOR] * tabExtras[QUANTIDADE]</f>
        <v>90</v>
      </c>
      <c r="I80" s="42"/>
      <c r="J80" s="19" t="s">
        <v>1434</v>
      </c>
      <c r="K80" s="20">
        <v>43850.592881944445</v>
      </c>
      <c r="L80" s="73" t="str">
        <f>_xlfn.IFNA(IF(VLOOKUP($A80,tabExcluirDoEstoque[#Data],1,FALSE),"sim",""),"")</f>
        <v>sim</v>
      </c>
      <c r="M80" s="4" t="str">
        <f t="shared" si="1"/>
        <v>*</v>
      </c>
    </row>
    <row r="81" spans="1:13" ht="15.75" x14ac:dyDescent="0.25">
      <c r="A81" s="23">
        <v>12824</v>
      </c>
      <c r="B81" s="3" t="str">
        <f>IFERROR(VLOOKUP(tabExtras[CÓDIGO],tabListaItens[#Data],2,FALSE),"&lt;&lt; não enconrado &gt;&gt;")</f>
        <v>ADAPTADOR DE PVC RIGIDO SOLDAVEL C/ FLANGE SEXTAVADA FIXO - 25 MM X 3/4"</v>
      </c>
      <c r="C81" s="4" t="str">
        <f>IFERROR(VLOOKUP(tabExtras[CÓDIGO],tabListaItens[#Data],3,FALSE),"")</f>
        <v>PC</v>
      </c>
      <c r="D81" s="25" t="s">
        <v>1436</v>
      </c>
      <c r="E81" s="27">
        <v>43861</v>
      </c>
      <c r="F81" s="31">
        <v>30</v>
      </c>
      <c r="G81" s="39">
        <v>1</v>
      </c>
      <c r="H81" s="37">
        <f>tabExtras[FATOR] * tabExtras[QUANTIDADE]</f>
        <v>30</v>
      </c>
      <c r="I81" s="42" t="s">
        <v>7</v>
      </c>
      <c r="J81" s="19" t="s">
        <v>1434</v>
      </c>
      <c r="K81" s="20">
        <v>43850.592881944445</v>
      </c>
      <c r="L81" s="73" t="str">
        <f>_xlfn.IFNA(IF(VLOOKUP($A81,tabExcluirDoEstoque[#Data],1,FALSE),"sim",""),"")</f>
        <v/>
      </c>
      <c r="M81" s="4" t="str">
        <f t="shared" si="1"/>
        <v>*</v>
      </c>
    </row>
    <row r="82" spans="1:13" ht="15.75" x14ac:dyDescent="0.25">
      <c r="A82" s="23">
        <v>12830</v>
      </c>
      <c r="B82" s="3" t="str">
        <f>IFERROR(VLOOKUP(tabExtras[CÓDIGO],tabListaItens[#Data],2,FALSE),"&lt;&lt; não enconrado &gt;&gt;")</f>
        <v>ADAPTADOR DE PVC SOLDAVEL 1.1/2"</v>
      </c>
      <c r="C82" s="4" t="str">
        <f>IFERROR(VLOOKUP(tabExtras[CÓDIGO],tabListaItens[#Data],3,FALSE),"")</f>
        <v>PC</v>
      </c>
      <c r="D82" s="25" t="s">
        <v>1436</v>
      </c>
      <c r="E82" s="26">
        <v>43861</v>
      </c>
      <c r="F82" s="30">
        <v>30</v>
      </c>
      <c r="G82" s="38">
        <v>5</v>
      </c>
      <c r="H82" s="37">
        <f>tabExtras[FATOR] * tabExtras[QUANTIDADE]</f>
        <v>150</v>
      </c>
      <c r="I82" s="42"/>
      <c r="J82" s="19" t="s">
        <v>1434</v>
      </c>
      <c r="K82" s="20">
        <v>43850.592881944445</v>
      </c>
      <c r="L82" s="73" t="str">
        <f>_xlfn.IFNA(IF(VLOOKUP($A82,tabExcluirDoEstoque[#Data],1,FALSE),"sim",""),"")</f>
        <v/>
      </c>
      <c r="M82" s="4" t="str">
        <f t="shared" si="1"/>
        <v>*</v>
      </c>
    </row>
    <row r="83" spans="1:13" ht="15.75" x14ac:dyDescent="0.25">
      <c r="A83" s="23">
        <v>12835</v>
      </c>
      <c r="B83" s="3" t="str">
        <f>IFERROR(VLOOKUP(tabExtras[CÓDIGO],tabListaItens[#Data],2,FALSE),"&lt;&lt; não enconrado &gt;&gt;")</f>
        <v>ADAPTADOR DE PVC SOLDAVEL 3/4"</v>
      </c>
      <c r="C83" s="4" t="str">
        <f>IFERROR(VLOOKUP(tabExtras[CÓDIGO],tabListaItens[#Data],3,FALSE),"")</f>
        <v>PC</v>
      </c>
      <c r="D83" s="25" t="s">
        <v>1436</v>
      </c>
      <c r="E83" s="26">
        <v>43861</v>
      </c>
      <c r="F83" s="30">
        <v>30</v>
      </c>
      <c r="G83" s="38">
        <v>3</v>
      </c>
      <c r="H83" s="37">
        <f>tabExtras[FATOR] * tabExtras[QUANTIDADE]</f>
        <v>90</v>
      </c>
      <c r="I83" s="42"/>
      <c r="J83" s="19" t="s">
        <v>1434</v>
      </c>
      <c r="K83" s="20">
        <v>43850.592881944445</v>
      </c>
      <c r="L83" s="73" t="str">
        <f>_xlfn.IFNA(IF(VLOOKUP($A83,tabExcluirDoEstoque[#Data],1,FALSE),"sim",""),"")</f>
        <v/>
      </c>
      <c r="M83" s="4" t="str">
        <f t="shared" si="1"/>
        <v>*</v>
      </c>
    </row>
    <row r="84" spans="1:13" ht="15.75" x14ac:dyDescent="0.25">
      <c r="A84" s="23">
        <v>12838</v>
      </c>
      <c r="B84" s="3" t="str">
        <f>IFERROR(VLOOKUP(tabExtras[CÓDIGO],tabListaItens[#Data],2,FALSE),"&lt;&lt; não enconrado &gt;&gt;")</f>
        <v>CORANTE PARA COLORIR TINTA LATEX - VERMELHO - 50 ML</v>
      </c>
      <c r="C84" s="4" t="str">
        <f>IFERROR(VLOOKUP(tabExtras[CÓDIGO],tabListaItens[#Data],3,FALSE),"")</f>
        <v>TB</v>
      </c>
      <c r="D84" s="25" t="s">
        <v>1436</v>
      </c>
      <c r="E84" s="27">
        <v>43861</v>
      </c>
      <c r="F84" s="31">
        <v>30</v>
      </c>
      <c r="G84" s="39">
        <v>3</v>
      </c>
      <c r="H84" s="37">
        <f>tabExtras[FATOR] * tabExtras[QUANTIDADE]</f>
        <v>90</v>
      </c>
      <c r="I84" s="42"/>
      <c r="J84" s="19" t="s">
        <v>1434</v>
      </c>
      <c r="K84" s="20">
        <v>43850.592881944445</v>
      </c>
      <c r="L84" s="73" t="str">
        <f>_xlfn.IFNA(IF(VLOOKUP($A84,tabExcluirDoEstoque[#Data],1,FALSE),"sim",""),"")</f>
        <v>sim</v>
      </c>
      <c r="M84" s="4" t="str">
        <f t="shared" si="1"/>
        <v>*</v>
      </c>
    </row>
    <row r="85" spans="1:13" ht="15.75" x14ac:dyDescent="0.25">
      <c r="A85" s="23">
        <v>12853</v>
      </c>
      <c r="B85" s="3" t="str">
        <f>IFERROR(VLOOKUP(tabExtras[CÓDIGO],tabListaItens[#Data],2,FALSE),"&lt;&lt; não enconrado &gt;&gt;")</f>
        <v>TRINCHA PARA PINTURA - 1", COM CERDAS 100% NATURAIS</v>
      </c>
      <c r="C85" s="4" t="str">
        <f>IFERROR(VLOOKUP(tabExtras[CÓDIGO],tabListaItens[#Data],3,FALSE),"")</f>
        <v>PC</v>
      </c>
      <c r="D85" s="25" t="s">
        <v>1436</v>
      </c>
      <c r="E85" s="26">
        <v>43861</v>
      </c>
      <c r="F85" s="30">
        <v>30</v>
      </c>
      <c r="G85" s="38">
        <v>5</v>
      </c>
      <c r="H85" s="37">
        <f>tabExtras[FATOR] * tabExtras[QUANTIDADE]</f>
        <v>150</v>
      </c>
      <c r="I85" s="42"/>
      <c r="J85" s="19" t="s">
        <v>1434</v>
      </c>
      <c r="K85" s="20">
        <v>43850.592881944445</v>
      </c>
      <c r="L85" s="73" t="str">
        <f>_xlfn.IFNA(IF(VLOOKUP($A85,tabExcluirDoEstoque[#Data],1,FALSE),"sim",""),"")</f>
        <v/>
      </c>
      <c r="M85" s="4" t="str">
        <f t="shared" si="1"/>
        <v>*</v>
      </c>
    </row>
    <row r="86" spans="1:13" ht="15.75" x14ac:dyDescent="0.25">
      <c r="A86" s="23">
        <v>12856</v>
      </c>
      <c r="B86" s="3" t="str">
        <f>IFERROR(VLOOKUP(tabExtras[CÓDIGO],tabListaItens[#Data],2,FALSE),"&lt;&lt; não enconrado &gt;&gt;")</f>
        <v>TRINCHA PARA PINTURA - 2", COM CERDAS 100% NATURAIS</v>
      </c>
      <c r="C86" s="4" t="str">
        <f>IFERROR(VLOOKUP(tabExtras[CÓDIGO],tabListaItens[#Data],3,FALSE),"")</f>
        <v>PC</v>
      </c>
      <c r="D86" s="25" t="s">
        <v>1436</v>
      </c>
      <c r="E86" s="26">
        <v>43861</v>
      </c>
      <c r="F86" s="30">
        <v>30</v>
      </c>
      <c r="G86" s="38">
        <v>3</v>
      </c>
      <c r="H86" s="37">
        <f>tabExtras[FATOR] * tabExtras[QUANTIDADE]</f>
        <v>90</v>
      </c>
      <c r="I86" s="42"/>
      <c r="J86" s="19" t="s">
        <v>1434</v>
      </c>
      <c r="K86" s="20">
        <v>43850.592881944445</v>
      </c>
      <c r="L86" s="73" t="str">
        <f>_xlfn.IFNA(IF(VLOOKUP($A86,tabExcluirDoEstoque[#Data],1,FALSE),"sim",""),"")</f>
        <v/>
      </c>
      <c r="M86" s="4" t="str">
        <f t="shared" si="1"/>
        <v>*</v>
      </c>
    </row>
    <row r="87" spans="1:13" ht="15.75" x14ac:dyDescent="0.25">
      <c r="A87" s="23">
        <v>12857</v>
      </c>
      <c r="B87" s="3" t="str">
        <f>IFERROR(VLOOKUP(tabExtras[CÓDIGO],tabListaItens[#Data],2,FALSE),"&lt;&lt; não enconrado &gt;&gt;")</f>
        <v>TRINCHA PARA PINTURA - 3", COM CERDAS 100% NATURAIS</v>
      </c>
      <c r="C87" s="4" t="str">
        <f>IFERROR(VLOOKUP(tabExtras[CÓDIGO],tabListaItens[#Data],3,FALSE),"")</f>
        <v>PC</v>
      </c>
      <c r="D87" s="25" t="s">
        <v>1436</v>
      </c>
      <c r="E87" s="26">
        <v>43861</v>
      </c>
      <c r="F87" s="30">
        <v>30</v>
      </c>
      <c r="G87" s="38">
        <v>3</v>
      </c>
      <c r="H87" s="37">
        <f>tabExtras[FATOR] * tabExtras[QUANTIDADE]</f>
        <v>90</v>
      </c>
      <c r="I87" s="42"/>
      <c r="J87" s="19" t="s">
        <v>1434</v>
      </c>
      <c r="K87" s="20">
        <v>43850.592881944445</v>
      </c>
      <c r="L87" s="73" t="str">
        <f>_xlfn.IFNA(IF(VLOOKUP($A87,tabExcluirDoEstoque[#Data],1,FALSE),"sim",""),"")</f>
        <v/>
      </c>
      <c r="M87" s="4" t="str">
        <f t="shared" si="1"/>
        <v>*</v>
      </c>
    </row>
    <row r="88" spans="1:13" ht="15.75" x14ac:dyDescent="0.25">
      <c r="A88" s="23">
        <v>12877</v>
      </c>
      <c r="B88" s="3" t="str">
        <f>IFERROR(VLOOKUP(tabExtras[CÓDIGO],tabListaItens[#Data],2,FALSE),"&lt;&lt; não enconrado &gt;&gt;")</f>
        <v>TINTA LATEX PVA BRANCO, LATA COM 18 LITROS</v>
      </c>
      <c r="C88" s="4" t="str">
        <f>IFERROR(VLOOKUP(tabExtras[CÓDIGO],tabListaItens[#Data],3,FALSE),"")</f>
        <v>LT</v>
      </c>
      <c r="D88" s="25" t="s">
        <v>1436</v>
      </c>
      <c r="E88" s="27">
        <v>43861</v>
      </c>
      <c r="F88" s="31">
        <v>30</v>
      </c>
      <c r="G88" s="39">
        <v>1</v>
      </c>
      <c r="H88" s="37">
        <f>tabExtras[FATOR] * tabExtras[QUANTIDADE]</f>
        <v>30</v>
      </c>
      <c r="I88" s="42"/>
      <c r="J88" s="19" t="s">
        <v>1434</v>
      </c>
      <c r="K88" s="20">
        <v>43850.592881944445</v>
      </c>
      <c r="L88" s="73" t="str">
        <f>_xlfn.IFNA(IF(VLOOKUP($A88,tabExcluirDoEstoque[#Data],1,FALSE),"sim",""),"")</f>
        <v/>
      </c>
      <c r="M88" s="4" t="str">
        <f t="shared" si="1"/>
        <v>*</v>
      </c>
    </row>
    <row r="89" spans="1:13" ht="15.75" x14ac:dyDescent="0.25">
      <c r="A89" s="23">
        <v>12881</v>
      </c>
      <c r="B89" s="3" t="str">
        <f>IFERROR(VLOOKUP(tabExtras[CÓDIGO],tabListaItens[#Data],2,FALSE),"&lt;&lt; não enconrado &gt;&gt;")</f>
        <v>COTOVELO 90° GRAUS EM PVC RIGIDO SOLDAVEL DE 2" (ESGOTO)</v>
      </c>
      <c r="C89" s="4" t="str">
        <f>IFERROR(VLOOKUP(tabExtras[CÓDIGO],tabListaItens[#Data],3,FALSE),"")</f>
        <v>PC</v>
      </c>
      <c r="D89" s="25" t="s">
        <v>1436</v>
      </c>
      <c r="E89" s="27">
        <v>43861</v>
      </c>
      <c r="F89" s="31">
        <v>30</v>
      </c>
      <c r="G89" s="39">
        <v>2</v>
      </c>
      <c r="H89" s="37">
        <f>tabExtras[FATOR] * tabExtras[QUANTIDADE]</f>
        <v>60</v>
      </c>
      <c r="I89" s="42"/>
      <c r="J89" s="19" t="s">
        <v>1434</v>
      </c>
      <c r="K89" s="20">
        <v>43850.592881944445</v>
      </c>
      <c r="L89" s="73" t="str">
        <f>_xlfn.IFNA(IF(VLOOKUP($A89,tabExcluirDoEstoque[#Data],1,FALSE),"sim",""),"")</f>
        <v/>
      </c>
      <c r="M89" s="4" t="str">
        <f t="shared" si="1"/>
        <v>*</v>
      </c>
    </row>
    <row r="90" spans="1:13" ht="15.75" x14ac:dyDescent="0.25">
      <c r="A90" s="23">
        <v>12884</v>
      </c>
      <c r="B90" s="3" t="str">
        <f>IFERROR(VLOOKUP(tabExtras[CÓDIGO],tabListaItens[#Data],2,FALSE),"&lt;&lt; não enconrado &gt;&gt;")</f>
        <v>COTOVELO 90 GRAUS EM PVC RIGIDO SOLDAVEL DE 4" (ESGOTO)</v>
      </c>
      <c r="C90" s="4" t="str">
        <f>IFERROR(VLOOKUP(tabExtras[CÓDIGO],tabListaItens[#Data],3,FALSE),"")</f>
        <v>PC</v>
      </c>
      <c r="D90" s="25" t="s">
        <v>1436</v>
      </c>
      <c r="E90" s="27">
        <v>43861</v>
      </c>
      <c r="F90" s="31">
        <v>30</v>
      </c>
      <c r="G90" s="39">
        <v>3</v>
      </c>
      <c r="H90" s="37">
        <f>tabExtras[FATOR] * tabExtras[QUANTIDADE]</f>
        <v>90</v>
      </c>
      <c r="I90" s="42"/>
      <c r="J90" s="19" t="s">
        <v>1434</v>
      </c>
      <c r="K90" s="20">
        <v>43850.592881944445</v>
      </c>
      <c r="L90" s="73" t="str">
        <f>_xlfn.IFNA(IF(VLOOKUP($A90,tabExcluirDoEstoque[#Data],1,FALSE),"sim",""),"")</f>
        <v/>
      </c>
      <c r="M90" s="4" t="str">
        <f t="shared" si="1"/>
        <v>*</v>
      </c>
    </row>
    <row r="91" spans="1:13" ht="15.75" x14ac:dyDescent="0.25">
      <c r="A91" s="23">
        <v>12886</v>
      </c>
      <c r="B91" s="3" t="str">
        <f>IFERROR(VLOOKUP(tabExtras[CÓDIGO],tabListaItens[#Data],2,FALSE),"&lt;&lt; não enconrado &gt;&gt;")</f>
        <v>COTOVELO 90 GRAUS EM PVC RIGIDO SOLDAVEL - 1.1/2"</v>
      </c>
      <c r="C91" s="4" t="str">
        <f>IFERROR(VLOOKUP(tabExtras[CÓDIGO],tabListaItens[#Data],3,FALSE),"")</f>
        <v>PC</v>
      </c>
      <c r="D91" s="25" t="s">
        <v>1436</v>
      </c>
      <c r="E91" s="27">
        <v>43861</v>
      </c>
      <c r="F91" s="31">
        <v>30</v>
      </c>
      <c r="G91" s="39">
        <v>2</v>
      </c>
      <c r="H91" s="37">
        <f>tabExtras[FATOR] * tabExtras[QUANTIDADE]</f>
        <v>60</v>
      </c>
      <c r="I91" s="42"/>
      <c r="J91" s="19" t="s">
        <v>1434</v>
      </c>
      <c r="K91" s="20">
        <v>43850.592881944445</v>
      </c>
      <c r="L91" s="73" t="str">
        <f>_xlfn.IFNA(IF(VLOOKUP($A91,tabExcluirDoEstoque[#Data],1,FALSE),"sim",""),"")</f>
        <v/>
      </c>
      <c r="M91" s="4" t="str">
        <f t="shared" si="1"/>
        <v>*</v>
      </c>
    </row>
    <row r="92" spans="1:13" ht="15.75" x14ac:dyDescent="0.25">
      <c r="A92" s="23">
        <v>12891</v>
      </c>
      <c r="B92" s="3" t="str">
        <f>IFERROR(VLOOKUP(tabExtras[CÓDIGO],tabListaItens[#Data],2,FALSE),"&lt;&lt; não enconrado &gt;&gt;")</f>
        <v>COTOVELO 90 GRAUS EM PVC RIGIDO SOLDAVEL DE 32 MM (1")</v>
      </c>
      <c r="C92" s="4" t="str">
        <f>IFERROR(VLOOKUP(tabExtras[CÓDIGO],tabListaItens[#Data],3,FALSE),"")</f>
        <v>PC</v>
      </c>
      <c r="D92" s="25" t="s">
        <v>1436</v>
      </c>
      <c r="E92" s="26">
        <v>43861</v>
      </c>
      <c r="F92" s="30">
        <v>30</v>
      </c>
      <c r="G92" s="38">
        <v>1</v>
      </c>
      <c r="H92" s="37">
        <f>tabExtras[FATOR] * tabExtras[QUANTIDADE]</f>
        <v>30</v>
      </c>
      <c r="I92" s="42"/>
      <c r="J92" s="19" t="s">
        <v>1434</v>
      </c>
      <c r="K92" s="20">
        <v>43850.592881944445</v>
      </c>
      <c r="L92" s="73" t="str">
        <f>_xlfn.IFNA(IF(VLOOKUP($A92,tabExcluirDoEstoque[#Data],1,FALSE),"sim",""),"")</f>
        <v/>
      </c>
      <c r="M92" s="4" t="str">
        <f t="shared" si="1"/>
        <v>*</v>
      </c>
    </row>
    <row r="93" spans="1:13" ht="15.75" x14ac:dyDescent="0.25">
      <c r="A93" s="23">
        <v>12894</v>
      </c>
      <c r="B93" s="3" t="str">
        <f>IFERROR(VLOOKUP(tabExtras[CÓDIGO],tabListaItens[#Data],2,FALSE),"&lt;&lt; não enconrado &gt;&gt;")</f>
        <v>COTOVELO 90 GRAUS EM PVC RIGIDO SOLDAVEL DE 3/4"</v>
      </c>
      <c r="C93" s="4" t="str">
        <f>IFERROR(VLOOKUP(tabExtras[CÓDIGO],tabListaItens[#Data],3,FALSE),"")</f>
        <v>PC</v>
      </c>
      <c r="D93" s="25" t="s">
        <v>1436</v>
      </c>
      <c r="E93" s="26">
        <v>43861</v>
      </c>
      <c r="F93" s="30">
        <v>30</v>
      </c>
      <c r="G93" s="38">
        <v>3</v>
      </c>
      <c r="H93" s="37">
        <f>tabExtras[FATOR] * tabExtras[QUANTIDADE]</f>
        <v>90</v>
      </c>
      <c r="I93" s="42"/>
      <c r="J93" s="19" t="s">
        <v>1434</v>
      </c>
      <c r="K93" s="20">
        <v>43850.592881944445</v>
      </c>
      <c r="L93" s="73" t="str">
        <f>_xlfn.IFNA(IF(VLOOKUP($A93,tabExcluirDoEstoque[#Data],1,FALSE),"sim",""),"")</f>
        <v/>
      </c>
      <c r="M93" s="4" t="str">
        <f t="shared" si="1"/>
        <v>*</v>
      </c>
    </row>
    <row r="94" spans="1:13" ht="15.75" x14ac:dyDescent="0.25">
      <c r="A94" s="23">
        <v>12971</v>
      </c>
      <c r="B94" s="3" t="str">
        <f>IFERROR(VLOOKUP(tabExtras[CÓDIGO],tabListaItens[#Data],2,FALSE),"&lt;&lt; não enconrado &gt;&gt;")</f>
        <v>CAIXA DE PASSAGEM RETANGULAR 2 X 4 - EM PVC</v>
      </c>
      <c r="C94" s="4" t="str">
        <f>IFERROR(VLOOKUP(tabExtras[CÓDIGO],tabListaItens[#Data],3,FALSE),"")</f>
        <v>PC</v>
      </c>
      <c r="D94" s="25" t="s">
        <v>1436</v>
      </c>
      <c r="E94" s="26">
        <v>43861</v>
      </c>
      <c r="F94" s="30">
        <v>30</v>
      </c>
      <c r="G94" s="38">
        <v>2</v>
      </c>
      <c r="H94" s="37">
        <f>tabExtras[FATOR] * tabExtras[QUANTIDADE]</f>
        <v>60</v>
      </c>
      <c r="I94" s="42"/>
      <c r="J94" s="19" t="s">
        <v>1434</v>
      </c>
      <c r="K94" s="20">
        <v>43850.592881944445</v>
      </c>
      <c r="L94" s="73" t="str">
        <f>_xlfn.IFNA(IF(VLOOKUP($A94,tabExcluirDoEstoque[#Data],1,FALSE),"sim",""),"")</f>
        <v/>
      </c>
      <c r="M94" s="4" t="str">
        <f t="shared" si="1"/>
        <v>*</v>
      </c>
    </row>
    <row r="95" spans="1:13" ht="15.75" x14ac:dyDescent="0.25">
      <c r="A95" s="23">
        <v>13063</v>
      </c>
      <c r="B95" s="3" t="str">
        <f>IFERROR(VLOOKUP(tabExtras[CÓDIGO],tabListaItens[#Data],2,FALSE),"&lt;&lt; não enconrado &gt;&gt;")</f>
        <v>COLA P/ TUBO PVC - BISNAGA C/ 75 GR</v>
      </c>
      <c r="C95" s="4" t="str">
        <f>IFERROR(VLOOKUP(tabExtras[CÓDIGO],tabListaItens[#Data],3,FALSE),"")</f>
        <v>TB</v>
      </c>
      <c r="D95" s="25" t="s">
        <v>1436</v>
      </c>
      <c r="E95" s="26">
        <v>43861</v>
      </c>
      <c r="F95" s="30">
        <v>30</v>
      </c>
      <c r="G95" s="38">
        <v>3</v>
      </c>
      <c r="H95" s="37">
        <f>tabExtras[FATOR] * tabExtras[QUANTIDADE]</f>
        <v>90</v>
      </c>
      <c r="I95" s="42"/>
      <c r="J95" s="19" t="s">
        <v>1434</v>
      </c>
      <c r="K95" s="20">
        <v>43850.592881944445</v>
      </c>
      <c r="L95" s="73" t="str">
        <f>_xlfn.IFNA(IF(VLOOKUP($A95,tabExcluirDoEstoque[#Data],1,FALSE),"sim",""),"")</f>
        <v/>
      </c>
      <c r="M95" s="4" t="str">
        <f t="shared" si="1"/>
        <v>*</v>
      </c>
    </row>
    <row r="96" spans="1:13" ht="15.75" x14ac:dyDescent="0.25">
      <c r="A96" s="23">
        <v>13064</v>
      </c>
      <c r="B96" s="3" t="str">
        <f>IFERROR(VLOOKUP(tabExtras[CÓDIGO],tabListaItens[#Data],2,FALSE),"&lt;&lt; não enconrado &gt;&gt;")</f>
        <v>FITA DE TEFLON P/ VEDACAO HIDRAULICA (VEDA ROSCA) - 18 MM X</v>
      </c>
      <c r="C96" s="4" t="str">
        <f>IFERROR(VLOOKUP(tabExtras[CÓDIGO],tabListaItens[#Data],3,FALSE),"")</f>
        <v>RL</v>
      </c>
      <c r="D96" s="25" t="s">
        <v>1436</v>
      </c>
      <c r="E96" s="26">
        <v>43861</v>
      </c>
      <c r="F96" s="30">
        <v>30</v>
      </c>
      <c r="G96" s="38">
        <v>15</v>
      </c>
      <c r="H96" s="37">
        <f>tabExtras[FATOR] * tabExtras[QUANTIDADE]</f>
        <v>450</v>
      </c>
      <c r="I96" s="42"/>
      <c r="J96" s="19" t="s">
        <v>1434</v>
      </c>
      <c r="K96" s="20">
        <v>43850.592881944445</v>
      </c>
      <c r="L96" s="73" t="str">
        <f>_xlfn.IFNA(IF(VLOOKUP($A96,tabExcluirDoEstoque[#Data],1,FALSE),"sim",""),"")</f>
        <v/>
      </c>
      <c r="M96" s="4" t="str">
        <f t="shared" si="1"/>
        <v>*</v>
      </c>
    </row>
    <row r="97" spans="1:13" ht="15.75" x14ac:dyDescent="0.25">
      <c r="A97" s="23">
        <v>13095</v>
      </c>
      <c r="B97" s="3" t="str">
        <f>IFERROR(VLOOKUP(tabExtras[CÓDIGO],tabListaItens[#Data],2,FALSE),"&lt;&lt; não enconrado &gt;&gt;")</f>
        <v>TE DE PVC SOLDAVEL - 1.1/2"</v>
      </c>
      <c r="C97" s="4" t="str">
        <f>IFERROR(VLOOKUP(tabExtras[CÓDIGO],tabListaItens[#Data],3,FALSE),"")</f>
        <v>PC</v>
      </c>
      <c r="D97" s="25" t="s">
        <v>1436</v>
      </c>
      <c r="E97" s="26">
        <v>43861</v>
      </c>
      <c r="F97" s="30">
        <v>30</v>
      </c>
      <c r="G97" s="38">
        <v>6</v>
      </c>
      <c r="H97" s="37">
        <f>tabExtras[FATOR] * tabExtras[QUANTIDADE]</f>
        <v>180</v>
      </c>
      <c r="I97" s="42"/>
      <c r="J97" s="19" t="s">
        <v>1434</v>
      </c>
      <c r="K97" s="20">
        <v>43850.592881944445</v>
      </c>
      <c r="L97" s="73" t="str">
        <f>_xlfn.IFNA(IF(VLOOKUP($A97,tabExcluirDoEstoque[#Data],1,FALSE),"sim",""),"")</f>
        <v/>
      </c>
      <c r="M97" s="4" t="str">
        <f t="shared" si="1"/>
        <v>*</v>
      </c>
    </row>
    <row r="98" spans="1:13" ht="15.75" x14ac:dyDescent="0.25">
      <c r="A98" s="23">
        <v>13109</v>
      </c>
      <c r="B98" s="3" t="str">
        <f>IFERROR(VLOOKUP(tabExtras[CÓDIGO],tabListaItens[#Data],2,FALSE),"&lt;&lt; não enconrado &gt;&gt;")</f>
        <v>LIXA P/ FERRO E METAIS EM FOLHA DE 225 X 275 MM N° 60</v>
      </c>
      <c r="C98" s="4" t="str">
        <f>IFERROR(VLOOKUP(tabExtras[CÓDIGO],tabListaItens[#Data],3,FALSE),"")</f>
        <v>FL</v>
      </c>
      <c r="D98" s="25" t="s">
        <v>1436</v>
      </c>
      <c r="E98" s="26">
        <v>43861</v>
      </c>
      <c r="F98" s="30">
        <v>30</v>
      </c>
      <c r="G98" s="38">
        <v>5</v>
      </c>
      <c r="H98" s="37">
        <f>tabExtras[FATOR] * tabExtras[QUANTIDADE]</f>
        <v>150</v>
      </c>
      <c r="I98" s="42"/>
      <c r="J98" s="19" t="s">
        <v>1434</v>
      </c>
      <c r="K98" s="20">
        <v>43850.592881944445</v>
      </c>
      <c r="L98" s="73" t="str">
        <f>_xlfn.IFNA(IF(VLOOKUP($A98,tabExcluirDoEstoque[#Data],1,FALSE),"sim",""),"")</f>
        <v/>
      </c>
      <c r="M98" s="4" t="str">
        <f t="shared" si="1"/>
        <v>*</v>
      </c>
    </row>
    <row r="99" spans="1:13" ht="15.75" x14ac:dyDescent="0.25">
      <c r="A99" s="23">
        <v>13116</v>
      </c>
      <c r="B99" s="3" t="str">
        <f>IFERROR(VLOOKUP(tabExtras[CÓDIGO],tabListaItens[#Data],2,FALSE),"&lt;&lt; não enconrado &gt;&gt;")</f>
        <v>REGISTRO DE PRESSAO 3/4" SEM CANOPLA</v>
      </c>
      <c r="C99" s="4" t="str">
        <f>IFERROR(VLOOKUP(tabExtras[CÓDIGO],tabListaItens[#Data],3,FALSE),"")</f>
        <v>PC</v>
      </c>
      <c r="D99" s="25" t="s">
        <v>1436</v>
      </c>
      <c r="E99" s="26">
        <v>43861</v>
      </c>
      <c r="F99" s="30">
        <v>30</v>
      </c>
      <c r="G99" s="38">
        <v>1</v>
      </c>
      <c r="H99" s="37">
        <f>tabExtras[FATOR] * tabExtras[QUANTIDADE]</f>
        <v>30</v>
      </c>
      <c r="I99" s="42"/>
      <c r="J99" s="19" t="s">
        <v>1434</v>
      </c>
      <c r="K99" s="20">
        <v>43850.592881944445</v>
      </c>
      <c r="L99" s="73" t="str">
        <f>_xlfn.IFNA(IF(VLOOKUP($A99,tabExcluirDoEstoque[#Data],1,FALSE),"sim",""),"")</f>
        <v/>
      </c>
      <c r="M99" s="4" t="str">
        <f t="shared" si="1"/>
        <v>*</v>
      </c>
    </row>
    <row r="100" spans="1:13" ht="15.75" x14ac:dyDescent="0.25">
      <c r="A100" s="23">
        <v>13180</v>
      </c>
      <c r="B100" s="3" t="str">
        <f>IFERROR(VLOOKUP(tabExtras[CÓDIGO],tabListaItens[#Data],2,FALSE),"&lt;&lt; não enconrado &gt;&gt;")</f>
        <v>CADEADO DE LATAO - 30 MM</v>
      </c>
      <c r="C100" s="4" t="str">
        <f>IFERROR(VLOOKUP(tabExtras[CÓDIGO],tabListaItens[#Data],3,FALSE),"")</f>
        <v>PC</v>
      </c>
      <c r="D100" s="25" t="s">
        <v>1436</v>
      </c>
      <c r="E100" s="26">
        <v>43861</v>
      </c>
      <c r="F100" s="30">
        <v>30</v>
      </c>
      <c r="G100" s="38">
        <v>1</v>
      </c>
      <c r="H100" s="37">
        <f>tabExtras[FATOR] * tabExtras[QUANTIDADE]</f>
        <v>30</v>
      </c>
      <c r="I100" s="42"/>
      <c r="J100" s="19" t="s">
        <v>1434</v>
      </c>
      <c r="K100" s="20">
        <v>43850.592881944445</v>
      </c>
      <c r="L100" s="73" t="str">
        <f>_xlfn.IFNA(IF(VLOOKUP($A100,tabExcluirDoEstoque[#Data],1,FALSE),"sim",""),"")</f>
        <v/>
      </c>
      <c r="M100" s="4" t="str">
        <f t="shared" si="1"/>
        <v>*</v>
      </c>
    </row>
    <row r="101" spans="1:13" ht="15.75" x14ac:dyDescent="0.25">
      <c r="A101" s="23">
        <v>13221</v>
      </c>
      <c r="B101" s="3" t="str">
        <f>IFERROR(VLOOKUP(tabExtras[CÓDIGO],tabListaItens[#Data],2,FALSE),"&lt;&lt; não enconrado &gt;&gt;")</f>
        <v>PARAFUSO GALVANIZADO P/ FIXACAO DE TELHAS MODULADAS - 5/16 X 110 MM</v>
      </c>
      <c r="C101" s="4" t="str">
        <f>IFERROR(VLOOKUP(tabExtras[CÓDIGO],tabListaItens[#Data],3,FALSE),"")</f>
        <v>PC</v>
      </c>
      <c r="D101" s="25" t="s">
        <v>1436</v>
      </c>
      <c r="E101" s="26">
        <v>43861</v>
      </c>
      <c r="F101" s="30">
        <v>30</v>
      </c>
      <c r="G101" s="38">
        <v>105</v>
      </c>
      <c r="H101" s="37">
        <f>tabExtras[FATOR] * tabExtras[QUANTIDADE]</f>
        <v>3150</v>
      </c>
      <c r="I101" s="42" t="s">
        <v>28</v>
      </c>
      <c r="J101" s="19" t="s">
        <v>1434</v>
      </c>
      <c r="K101" s="20">
        <v>43850.592881944445</v>
      </c>
      <c r="L101" s="73" t="str">
        <f>_xlfn.IFNA(IF(VLOOKUP($A101,tabExcluirDoEstoque[#Data],1,FALSE),"sim",""),"")</f>
        <v/>
      </c>
      <c r="M101" s="4" t="str">
        <f t="shared" si="1"/>
        <v>*</v>
      </c>
    </row>
    <row r="102" spans="1:13" ht="15.75" x14ac:dyDescent="0.25">
      <c r="A102" s="23">
        <v>13518</v>
      </c>
      <c r="B102" s="3" t="str">
        <f>IFERROR(VLOOKUP(tabExtras[CÓDIGO],tabListaItens[#Data],2,FALSE),"&lt;&lt; não enconrado &gt;&gt;")</f>
        <v>TE DE PVC RIGIDO SOLDAVEL P/ ESGOTO DE 4"</v>
      </c>
      <c r="C102" s="4" t="str">
        <f>IFERROR(VLOOKUP(tabExtras[CÓDIGO],tabListaItens[#Data],3,FALSE),"")</f>
        <v>PC</v>
      </c>
      <c r="D102" s="25" t="s">
        <v>1436</v>
      </c>
      <c r="E102" s="26">
        <v>43861</v>
      </c>
      <c r="F102" s="30">
        <v>30</v>
      </c>
      <c r="G102" s="38">
        <v>1</v>
      </c>
      <c r="H102" s="37">
        <f>tabExtras[FATOR] * tabExtras[QUANTIDADE]</f>
        <v>30</v>
      </c>
      <c r="I102" s="42"/>
      <c r="J102" s="19" t="s">
        <v>1434</v>
      </c>
      <c r="K102" s="20">
        <v>43850.592881944445</v>
      </c>
      <c r="L102" s="73" t="str">
        <f>_xlfn.IFNA(IF(VLOOKUP($A102,tabExcluirDoEstoque[#Data],1,FALSE),"sim",""),"")</f>
        <v/>
      </c>
      <c r="M102" s="4" t="str">
        <f t="shared" si="1"/>
        <v>*</v>
      </c>
    </row>
    <row r="103" spans="1:13" ht="15.75" x14ac:dyDescent="0.25">
      <c r="A103" s="23">
        <v>13558</v>
      </c>
      <c r="B103" s="3" t="str">
        <f>IFERROR(VLOOKUP(tabExtras[CÓDIGO],tabListaItens[#Data],2,FALSE),"&lt;&lt; não enconrado &gt;&gt;")</f>
        <v xml:space="preserve">TUBO DE PVC RIGIDO SOLDAVEL 2" X 06 M (P/ESGOTO) </v>
      </c>
      <c r="C103" s="4" t="str">
        <f>IFERROR(VLOOKUP(tabExtras[CÓDIGO],tabListaItens[#Data],3,FALSE),"")</f>
        <v>BR</v>
      </c>
      <c r="D103" s="25" t="s">
        <v>1436</v>
      </c>
      <c r="E103" s="26">
        <v>43861</v>
      </c>
      <c r="F103" s="30">
        <v>30</v>
      </c>
      <c r="G103" s="38">
        <v>2</v>
      </c>
      <c r="H103" s="37">
        <f>tabExtras[FATOR] * tabExtras[QUANTIDADE]</f>
        <v>60</v>
      </c>
      <c r="I103" s="42"/>
      <c r="J103" s="19" t="s">
        <v>1434</v>
      </c>
      <c r="K103" s="20">
        <v>43850.592881944445</v>
      </c>
      <c r="L103" s="73" t="str">
        <f>_xlfn.IFNA(IF(VLOOKUP($A103,tabExcluirDoEstoque[#Data],1,FALSE),"sim",""),"")</f>
        <v/>
      </c>
      <c r="M103" s="4" t="str">
        <f t="shared" si="1"/>
        <v>*</v>
      </c>
    </row>
    <row r="104" spans="1:13" ht="15.75" x14ac:dyDescent="0.25">
      <c r="A104" s="23">
        <v>13559</v>
      </c>
      <c r="B104" s="3" t="str">
        <f>IFERROR(VLOOKUP(tabExtras[CÓDIGO],tabListaItens[#Data],2,FALSE),"&lt;&lt; não enconrado &gt;&gt;")</f>
        <v>TUBO DE PVC RIGIDO SOLDAVEL DE 100 MM - 4" X 6 M (P/ESGOTO)</v>
      </c>
      <c r="C104" s="4" t="str">
        <f>IFERROR(VLOOKUP(tabExtras[CÓDIGO],tabListaItens[#Data],3,FALSE),"")</f>
        <v>BR</v>
      </c>
      <c r="D104" s="25" t="s">
        <v>1436</v>
      </c>
      <c r="E104" s="27">
        <v>43861</v>
      </c>
      <c r="F104" s="31">
        <v>30</v>
      </c>
      <c r="G104" s="39">
        <v>5</v>
      </c>
      <c r="H104" s="37">
        <f>tabExtras[FATOR] * tabExtras[QUANTIDADE]</f>
        <v>150</v>
      </c>
      <c r="I104" s="42"/>
      <c r="J104" s="19" t="s">
        <v>1434</v>
      </c>
      <c r="K104" s="20">
        <v>43850.592881944445</v>
      </c>
      <c r="L104" s="73" t="str">
        <f>_xlfn.IFNA(IF(VLOOKUP($A104,tabExcluirDoEstoque[#Data],1,FALSE),"sim",""),"")</f>
        <v/>
      </c>
      <c r="M104" s="4" t="str">
        <f t="shared" si="1"/>
        <v>*</v>
      </c>
    </row>
    <row r="105" spans="1:13" ht="30" x14ac:dyDescent="0.25">
      <c r="A105" s="23">
        <v>13562</v>
      </c>
      <c r="B105" s="3" t="str">
        <f>IFERROR(VLOOKUP(tabExtras[CÓDIGO],tabListaItens[#Data],2,FALSE),"&lt;&lt; não enconrado &gt;&gt;")</f>
        <v>TUBO DE PVC RIGIDO SOLDAVEL DE 25 MM  - 3/4" X 06 M - CLASSE 15 MARROM - NBR 5648 - A MARCA DEVERA SER LITOGRAFADA NO PRODUTO</v>
      </c>
      <c r="C105" s="4" t="str">
        <f>IFERROR(VLOOKUP(tabExtras[CÓDIGO],tabListaItens[#Data],3,FALSE),"")</f>
        <v>BR</v>
      </c>
      <c r="D105" s="25" t="s">
        <v>1436</v>
      </c>
      <c r="E105" s="27">
        <v>43861</v>
      </c>
      <c r="F105" s="31">
        <v>30</v>
      </c>
      <c r="G105" s="39">
        <v>2</v>
      </c>
      <c r="H105" s="37">
        <f>tabExtras[FATOR] * tabExtras[QUANTIDADE]</f>
        <v>60</v>
      </c>
      <c r="I105" s="42"/>
      <c r="J105" s="19" t="s">
        <v>1434</v>
      </c>
      <c r="K105" s="20">
        <v>43850.592881944445</v>
      </c>
      <c r="L105" s="73" t="str">
        <f>_xlfn.IFNA(IF(VLOOKUP($A105,tabExcluirDoEstoque[#Data],1,FALSE),"sim",""),"")</f>
        <v/>
      </c>
      <c r="M105" s="4" t="str">
        <f t="shared" si="1"/>
        <v>*</v>
      </c>
    </row>
    <row r="106" spans="1:13" ht="15.75" x14ac:dyDescent="0.25">
      <c r="A106" s="23">
        <v>14001</v>
      </c>
      <c r="B106" s="3" t="str">
        <f>IFERROR(VLOOKUP(tabExtras[CÓDIGO],tabListaItens[#Data],2,FALSE),"&lt;&lt; não enconrado &gt;&gt;")</f>
        <v>MASSA CORRIDA PVA - LATA C/ 18 LITROS</v>
      </c>
      <c r="C106" s="4" t="str">
        <f>IFERROR(VLOOKUP(tabExtras[CÓDIGO],tabListaItens[#Data],3,FALSE),"")</f>
        <v>LT</v>
      </c>
      <c r="D106" s="25" t="s">
        <v>1436</v>
      </c>
      <c r="E106" s="26">
        <v>43861</v>
      </c>
      <c r="F106" s="30">
        <v>30</v>
      </c>
      <c r="G106" s="38">
        <v>5</v>
      </c>
      <c r="H106" s="37">
        <f>tabExtras[FATOR] * tabExtras[QUANTIDADE]</f>
        <v>150</v>
      </c>
      <c r="I106" s="42"/>
      <c r="J106" s="19" t="s">
        <v>1434</v>
      </c>
      <c r="K106" s="20">
        <v>43850.592881944445</v>
      </c>
      <c r="L106" s="73" t="str">
        <f>_xlfn.IFNA(IF(VLOOKUP($A106,tabExcluirDoEstoque[#Data],1,FALSE),"sim",""),"")</f>
        <v/>
      </c>
      <c r="M106" s="4" t="str">
        <f t="shared" si="1"/>
        <v>*</v>
      </c>
    </row>
    <row r="107" spans="1:13" ht="15.75" x14ac:dyDescent="0.25">
      <c r="A107" s="23">
        <v>14055</v>
      </c>
      <c r="B107" s="3" t="str">
        <f>IFERROR(VLOOKUP(tabExtras[CÓDIGO],tabListaItens[#Data],2,FALSE),"&lt;&lt; não enconrado &gt;&gt;")</f>
        <v>PREGO COMUM DE CABECA CHATA - 19 X 36</v>
      </c>
      <c r="C107" s="4" t="str">
        <f>IFERROR(VLOOKUP(tabExtras[CÓDIGO],tabListaItens[#Data],3,FALSE),"")</f>
        <v>KG</v>
      </c>
      <c r="D107" s="25" t="s">
        <v>1436</v>
      </c>
      <c r="E107" s="26">
        <v>43861</v>
      </c>
      <c r="F107" s="30">
        <v>30</v>
      </c>
      <c r="G107" s="38">
        <v>3</v>
      </c>
      <c r="H107" s="37">
        <f>tabExtras[FATOR] * tabExtras[QUANTIDADE]</f>
        <v>90</v>
      </c>
      <c r="I107" s="42" t="s">
        <v>7</v>
      </c>
      <c r="J107" s="19" t="s">
        <v>1434</v>
      </c>
      <c r="K107" s="20">
        <v>43850.592881944445</v>
      </c>
      <c r="L107" s="73" t="str">
        <f>_xlfn.IFNA(IF(VLOOKUP($A107,tabExcluirDoEstoque[#Data],1,FALSE),"sim",""),"")</f>
        <v/>
      </c>
      <c r="M107" s="4" t="str">
        <f t="shared" si="1"/>
        <v>*</v>
      </c>
    </row>
    <row r="108" spans="1:13" ht="30" x14ac:dyDescent="0.25">
      <c r="A108" s="23">
        <v>14662</v>
      </c>
      <c r="B108" s="3" t="str">
        <f>IFERROR(VLOOKUP(tabExtras[CÓDIGO],tabListaItens[#Data],2,FALSE),"&lt;&lt; não enconrado &gt;&gt;")</f>
        <v>CIMENTO COMUM CPII-32 - SACO C/ 50KG - O MATERIAL DEVERA SER ENTREGUE EM LOTE PALETIZADO PROTEGIDO COM FILME PLASTICO.</v>
      </c>
      <c r="C108" s="4" t="str">
        <f>IFERROR(VLOOKUP(tabExtras[CÓDIGO],tabListaItens[#Data],3,FALSE),"")</f>
        <v>SO</v>
      </c>
      <c r="D108" s="25" t="s">
        <v>1436</v>
      </c>
      <c r="E108" s="26">
        <v>43861</v>
      </c>
      <c r="F108" s="30">
        <v>30</v>
      </c>
      <c r="G108" s="38">
        <v>129</v>
      </c>
      <c r="H108" s="37">
        <f>tabExtras[FATOR] * tabExtras[QUANTIDADE]</f>
        <v>3870</v>
      </c>
      <c r="I108" s="42"/>
      <c r="J108" s="19" t="s">
        <v>1434</v>
      </c>
      <c r="K108" s="20">
        <v>43850.592881944445</v>
      </c>
      <c r="L108" s="73" t="str">
        <f>_xlfn.IFNA(IF(VLOOKUP($A108,tabExcluirDoEstoque[#Data],1,FALSE),"sim",""),"")</f>
        <v/>
      </c>
      <c r="M108" s="4" t="str">
        <f t="shared" si="1"/>
        <v>*</v>
      </c>
    </row>
    <row r="109" spans="1:13" ht="15.75" x14ac:dyDescent="0.25">
      <c r="A109" s="23">
        <v>15167</v>
      </c>
      <c r="B109" s="3" t="str">
        <f>IFERROR(VLOOKUP(tabExtras[CÓDIGO],tabListaItens[#Data],2,FALSE),"&lt;&lt; não enconrado &gt;&gt;")</f>
        <v>LUMINARIA FECHADA TIPO CALHA P/ LAMPADA FLUORESCENTE 2 X 40</v>
      </c>
      <c r="C109" s="4" t="str">
        <f>IFERROR(VLOOKUP(tabExtras[CÓDIGO],tabListaItens[#Data],3,FALSE),"")</f>
        <v>PC</v>
      </c>
      <c r="D109" s="25" t="s">
        <v>1436</v>
      </c>
      <c r="E109" s="26">
        <v>43861</v>
      </c>
      <c r="F109" s="30">
        <v>30</v>
      </c>
      <c r="G109" s="38">
        <v>8</v>
      </c>
      <c r="H109" s="37">
        <f>tabExtras[FATOR] * tabExtras[QUANTIDADE]</f>
        <v>240</v>
      </c>
      <c r="I109" s="42"/>
      <c r="J109" s="19" t="s">
        <v>1434</v>
      </c>
      <c r="K109" s="20">
        <v>43850.592881944445</v>
      </c>
      <c r="L109" s="73" t="str">
        <f>_xlfn.IFNA(IF(VLOOKUP($A109,tabExcluirDoEstoque[#Data],1,FALSE),"sim",""),"")</f>
        <v/>
      </c>
      <c r="M109" s="4" t="str">
        <f t="shared" si="1"/>
        <v>*</v>
      </c>
    </row>
    <row r="110" spans="1:13" ht="15.75" x14ac:dyDescent="0.25">
      <c r="A110" s="23">
        <v>15668</v>
      </c>
      <c r="B110" s="3" t="str">
        <f>IFERROR(VLOOKUP(tabExtras[CÓDIGO],tabListaItens[#Data],2,FALSE),"&lt;&lt; não enconrado &gt;&gt;")</f>
        <v>TERMINAL DE COMPRESSAO TIPO OLHAL P/ CABO DE COBRE 120MM2</v>
      </c>
      <c r="C110" s="4" t="str">
        <f>IFERROR(VLOOKUP(tabExtras[CÓDIGO],tabListaItens[#Data],3,FALSE),"")</f>
        <v>PC</v>
      </c>
      <c r="D110" s="25" t="s">
        <v>1436</v>
      </c>
      <c r="E110" s="26">
        <v>43861</v>
      </c>
      <c r="F110" s="30">
        <v>30</v>
      </c>
      <c r="G110" s="38">
        <v>5</v>
      </c>
      <c r="H110" s="37">
        <f>tabExtras[FATOR] * tabExtras[QUANTIDADE]</f>
        <v>150</v>
      </c>
      <c r="I110" s="42"/>
      <c r="J110" s="19" t="s">
        <v>1434</v>
      </c>
      <c r="K110" s="20">
        <v>43850.592881944445</v>
      </c>
      <c r="L110" s="73" t="str">
        <f>_xlfn.IFNA(IF(VLOOKUP($A110,tabExcluirDoEstoque[#Data],1,FALSE),"sim",""),"")</f>
        <v/>
      </c>
      <c r="M110" s="4" t="str">
        <f t="shared" si="1"/>
        <v>*</v>
      </c>
    </row>
    <row r="111" spans="1:13" ht="15.75" x14ac:dyDescent="0.25">
      <c r="A111" s="23">
        <v>15761</v>
      </c>
      <c r="B111" s="3" t="str">
        <f>IFERROR(VLOOKUP(tabExtras[CÓDIGO],tabListaItens[#Data],2,FALSE),"&lt;&lt; não enconrado &gt;&gt;")</f>
        <v>COTOVELO 45 GRAUS EM PVC RIGIDO SOLDAVEL 2"</v>
      </c>
      <c r="C111" s="4" t="str">
        <f>IFERROR(VLOOKUP(tabExtras[CÓDIGO],tabListaItens[#Data],3,FALSE),"")</f>
        <v>PC</v>
      </c>
      <c r="D111" s="25" t="s">
        <v>1436</v>
      </c>
      <c r="E111" s="26">
        <v>43861</v>
      </c>
      <c r="F111" s="30">
        <v>30</v>
      </c>
      <c r="G111" s="38">
        <v>1</v>
      </c>
      <c r="H111" s="37">
        <f>tabExtras[FATOR] * tabExtras[QUANTIDADE]</f>
        <v>30</v>
      </c>
      <c r="I111" s="42"/>
      <c r="J111" s="19" t="s">
        <v>1434</v>
      </c>
      <c r="K111" s="20">
        <v>43850.592881944445</v>
      </c>
      <c r="L111" s="73" t="str">
        <f>_xlfn.IFNA(IF(VLOOKUP($A111,tabExcluirDoEstoque[#Data],1,FALSE),"sim",""),"")</f>
        <v/>
      </c>
      <c r="M111" s="4" t="str">
        <f t="shared" si="1"/>
        <v>*</v>
      </c>
    </row>
    <row r="112" spans="1:13" ht="15.75" x14ac:dyDescent="0.25">
      <c r="A112" s="23">
        <v>16053</v>
      </c>
      <c r="B112" s="3" t="str">
        <f>IFERROR(VLOOKUP(tabExtras[CÓDIGO],tabListaItens[#Data],2,FALSE),"&lt;&lt; não enconrado &gt;&gt;")</f>
        <v>ADESIVO P/ CHAPISCO, CONCRETO E ARGAMASSA - BALDE C/18 LITROS</v>
      </c>
      <c r="C112" s="4" t="str">
        <f>IFERROR(VLOOKUP(tabExtras[CÓDIGO],tabListaItens[#Data],3,FALSE),"")</f>
        <v>BD</v>
      </c>
      <c r="D112" s="25" t="s">
        <v>1436</v>
      </c>
      <c r="E112" s="26">
        <v>43861</v>
      </c>
      <c r="F112" s="30">
        <v>30</v>
      </c>
      <c r="G112" s="38">
        <v>1</v>
      </c>
      <c r="H112" s="37">
        <f>tabExtras[FATOR] * tabExtras[QUANTIDADE]</f>
        <v>30</v>
      </c>
      <c r="I112" s="42"/>
      <c r="J112" s="19" t="s">
        <v>1434</v>
      </c>
      <c r="K112" s="20">
        <v>43850.592881944445</v>
      </c>
      <c r="L112" s="73" t="str">
        <f>_xlfn.IFNA(IF(VLOOKUP($A112,tabExcluirDoEstoque[#Data],1,FALSE),"sim",""),"")</f>
        <v/>
      </c>
      <c r="M112" s="4" t="str">
        <f t="shared" si="1"/>
        <v>*</v>
      </c>
    </row>
    <row r="113" spans="1:13" ht="15.75" x14ac:dyDescent="0.25">
      <c r="A113" s="23">
        <v>16363</v>
      </c>
      <c r="B113" s="3" t="str">
        <f>IFERROR(VLOOKUP(tabExtras[CÓDIGO],tabListaItens[#Data],2,FALSE),"&lt;&lt; não enconrado &gt;&gt;")</f>
        <v>CHAPA DE MADEIRA RESINADA C/ 2,20 X 1,10 M ESP. 10,0 MM</v>
      </c>
      <c r="C113" s="4" t="str">
        <f>IFERROR(VLOOKUP(tabExtras[CÓDIGO],tabListaItens[#Data],3,FALSE),"")</f>
        <v>PC</v>
      </c>
      <c r="D113" s="25" t="s">
        <v>1436</v>
      </c>
      <c r="E113" s="27">
        <v>43861</v>
      </c>
      <c r="F113" s="31">
        <v>30</v>
      </c>
      <c r="G113" s="39">
        <v>26</v>
      </c>
      <c r="H113" s="37">
        <f>tabExtras[FATOR] * tabExtras[QUANTIDADE]</f>
        <v>780</v>
      </c>
      <c r="I113" s="42"/>
      <c r="J113" s="19" t="s">
        <v>1434</v>
      </c>
      <c r="K113" s="20">
        <v>43850.592881944445</v>
      </c>
      <c r="L113" s="73" t="str">
        <f>_xlfn.IFNA(IF(VLOOKUP($A113,tabExcluirDoEstoque[#Data],1,FALSE),"sim",""),"")</f>
        <v/>
      </c>
      <c r="M113" s="4" t="str">
        <f t="shared" si="1"/>
        <v>*</v>
      </c>
    </row>
    <row r="114" spans="1:13" ht="15.75" x14ac:dyDescent="0.25">
      <c r="A114" s="23">
        <v>16365</v>
      </c>
      <c r="B114" s="3" t="str">
        <f>IFERROR(VLOOKUP(tabExtras[CÓDIGO],tabListaItens[#Data],2,FALSE),"&lt;&lt; não enconrado &gt;&gt;")</f>
        <v>CHAPA DE MADEIRA RESINADA C/ 2,20 X 1,10 M ESP. 15,0 MM</v>
      </c>
      <c r="C114" s="4" t="str">
        <f>IFERROR(VLOOKUP(tabExtras[CÓDIGO],tabListaItens[#Data],3,FALSE),"")</f>
        <v>PC</v>
      </c>
      <c r="D114" s="25" t="s">
        <v>1436</v>
      </c>
      <c r="E114" s="26">
        <v>43861</v>
      </c>
      <c r="F114" s="30">
        <v>30</v>
      </c>
      <c r="G114" s="38">
        <v>15</v>
      </c>
      <c r="H114" s="37">
        <f>tabExtras[FATOR] * tabExtras[QUANTIDADE]</f>
        <v>450</v>
      </c>
      <c r="I114" s="42"/>
      <c r="J114" s="19" t="s">
        <v>1434</v>
      </c>
      <c r="K114" s="20">
        <v>43850.592881944445</v>
      </c>
      <c r="L114" s="73" t="str">
        <f>_xlfn.IFNA(IF(VLOOKUP($A114,tabExcluirDoEstoque[#Data],1,FALSE),"sim",""),"")</f>
        <v/>
      </c>
      <c r="M114" s="4" t="str">
        <f t="shared" si="1"/>
        <v>*</v>
      </c>
    </row>
    <row r="115" spans="1:13" ht="15.75" x14ac:dyDescent="0.25">
      <c r="A115" s="23">
        <v>17422</v>
      </c>
      <c r="B115" s="3" t="str">
        <f>IFERROR(VLOOKUP(tabExtras[CÓDIGO],tabListaItens[#Data],2,FALSE),"&lt;&lt; não enconrado &gt;&gt;")</f>
        <v>CAIXA SIFONADA REDONDA EM PVC RIGIDO DE 100 X 150 X 50 MM (4" X 6" X 2")</v>
      </c>
      <c r="C115" s="4" t="str">
        <f>IFERROR(VLOOKUP(tabExtras[CÓDIGO],tabListaItens[#Data],3,FALSE),"")</f>
        <v>PC</v>
      </c>
      <c r="D115" s="25" t="s">
        <v>1436</v>
      </c>
      <c r="E115" s="26">
        <v>43861</v>
      </c>
      <c r="F115" s="30">
        <v>30</v>
      </c>
      <c r="G115" s="38">
        <v>1</v>
      </c>
      <c r="H115" s="37">
        <f>tabExtras[FATOR] * tabExtras[QUANTIDADE]</f>
        <v>30</v>
      </c>
      <c r="I115" s="42"/>
      <c r="J115" s="19" t="s">
        <v>1434</v>
      </c>
      <c r="K115" s="20">
        <v>43850.592881944445</v>
      </c>
      <c r="L115" s="73" t="str">
        <f>_xlfn.IFNA(IF(VLOOKUP($A115,tabExcluirDoEstoque[#Data],1,FALSE),"sim",""),"")</f>
        <v/>
      </c>
      <c r="M115" s="4" t="str">
        <f t="shared" si="1"/>
        <v>*</v>
      </c>
    </row>
    <row r="116" spans="1:13" ht="15.75" x14ac:dyDescent="0.25">
      <c r="A116" s="23">
        <v>17426</v>
      </c>
      <c r="B116" s="3" t="str">
        <f>IFERROR(VLOOKUP(tabExtras[CÓDIGO],tabListaItens[#Data],2,FALSE),"&lt;&lt; não enconrado &gt;&gt;")</f>
        <v>CAIXA DE DESCARGA COM CORPO PLASTICO (ACOMPANHA ENGATE E</v>
      </c>
      <c r="C116" s="4" t="str">
        <f>IFERROR(VLOOKUP(tabExtras[CÓDIGO],tabListaItens[#Data],3,FALSE),"")</f>
        <v>PC</v>
      </c>
      <c r="D116" s="25" t="s">
        <v>1436</v>
      </c>
      <c r="E116" s="26">
        <v>43861</v>
      </c>
      <c r="F116" s="30">
        <v>30</v>
      </c>
      <c r="G116" s="38">
        <v>1</v>
      </c>
      <c r="H116" s="37">
        <f>tabExtras[FATOR] * tabExtras[QUANTIDADE]</f>
        <v>30</v>
      </c>
      <c r="I116" s="42"/>
      <c r="J116" s="19" t="s">
        <v>1434</v>
      </c>
      <c r="K116" s="20">
        <v>43850.592881944445</v>
      </c>
      <c r="L116" s="73" t="str">
        <f>_xlfn.IFNA(IF(VLOOKUP($A116,tabExcluirDoEstoque[#Data],1,FALSE),"sim",""),"")</f>
        <v/>
      </c>
      <c r="M116" s="4" t="str">
        <f t="shared" si="1"/>
        <v>*</v>
      </c>
    </row>
    <row r="117" spans="1:13" ht="15.75" x14ac:dyDescent="0.25">
      <c r="A117" s="23">
        <v>17662</v>
      </c>
      <c r="B117" s="3" t="str">
        <f>IFERROR(VLOOKUP(tabExtras[CÓDIGO],tabListaItens[#Data],2,FALSE),"&lt;&lt; não enconrado &gt;&gt;")</f>
        <v>LIXA D'AGUA EM FOLHA 225 X 275 MM GRAO 120</v>
      </c>
      <c r="C117" s="4" t="str">
        <f>IFERROR(VLOOKUP(tabExtras[CÓDIGO],tabListaItens[#Data],3,FALSE),"")</f>
        <v>FL</v>
      </c>
      <c r="D117" s="25" t="s">
        <v>1436</v>
      </c>
      <c r="E117" s="26">
        <v>43861</v>
      </c>
      <c r="F117" s="30">
        <v>30</v>
      </c>
      <c r="G117" s="38">
        <v>25</v>
      </c>
      <c r="H117" s="37">
        <f>tabExtras[FATOR] * tabExtras[QUANTIDADE]</f>
        <v>750</v>
      </c>
      <c r="I117" s="42"/>
      <c r="J117" s="19" t="s">
        <v>1434</v>
      </c>
      <c r="K117" s="20">
        <v>43850.592881944445</v>
      </c>
      <c r="L117" s="73" t="str">
        <f>_xlfn.IFNA(IF(VLOOKUP($A117,tabExcluirDoEstoque[#Data],1,FALSE),"sim",""),"")</f>
        <v/>
      </c>
      <c r="M117" s="4" t="str">
        <f t="shared" si="1"/>
        <v>*</v>
      </c>
    </row>
    <row r="118" spans="1:13" ht="15.75" x14ac:dyDescent="0.25">
      <c r="A118" s="23">
        <v>18346</v>
      </c>
      <c r="B118" s="3" t="str">
        <f>IFERROR(VLOOKUP(tabExtras[CÓDIGO],tabListaItens[#Data],2,FALSE),"&lt;&lt; não enconrado &gt;&gt;")</f>
        <v>PREGO COMUM DE CABECA CHATA - 15 X 15</v>
      </c>
      <c r="C118" s="4" t="str">
        <f>IFERROR(VLOOKUP(tabExtras[CÓDIGO],tabListaItens[#Data],3,FALSE),"")</f>
        <v>KG</v>
      </c>
      <c r="D118" s="25" t="s">
        <v>1436</v>
      </c>
      <c r="E118" s="26">
        <v>43861</v>
      </c>
      <c r="F118" s="30">
        <v>30</v>
      </c>
      <c r="G118" s="38">
        <v>1</v>
      </c>
      <c r="H118" s="37">
        <f>tabExtras[FATOR] * tabExtras[QUANTIDADE]</f>
        <v>30</v>
      </c>
      <c r="I118" s="42" t="s">
        <v>28</v>
      </c>
      <c r="J118" s="19" t="s">
        <v>1434</v>
      </c>
      <c r="K118" s="20">
        <v>43850.592881944445</v>
      </c>
      <c r="L118" s="73" t="str">
        <f>_xlfn.IFNA(IF(VLOOKUP($A118,tabExcluirDoEstoque[#Data],1,FALSE),"sim",""),"")</f>
        <v/>
      </c>
      <c r="M118" s="4" t="str">
        <f t="shared" si="1"/>
        <v>*</v>
      </c>
    </row>
    <row r="119" spans="1:13" ht="15.75" x14ac:dyDescent="0.25">
      <c r="A119" s="23">
        <v>18353</v>
      </c>
      <c r="B119" s="3" t="str">
        <f>IFERROR(VLOOKUP(tabExtras[CÓDIGO],tabListaItens[#Data],2,FALSE),"&lt;&lt; não enconrado &gt;&gt;")</f>
        <v>PREGO COMUM DE CABECA CHATA - 17 X 21</v>
      </c>
      <c r="C119" s="4" t="str">
        <f>IFERROR(VLOOKUP(tabExtras[CÓDIGO],tabListaItens[#Data],3,FALSE),"")</f>
        <v>KG</v>
      </c>
      <c r="D119" s="25" t="s">
        <v>1436</v>
      </c>
      <c r="E119" s="27">
        <v>43861</v>
      </c>
      <c r="F119" s="31">
        <v>30</v>
      </c>
      <c r="G119" s="39">
        <v>8</v>
      </c>
      <c r="H119" s="37">
        <f>tabExtras[FATOR] * tabExtras[QUANTIDADE]</f>
        <v>240</v>
      </c>
      <c r="I119" s="42"/>
      <c r="J119" s="19" t="s">
        <v>1434</v>
      </c>
      <c r="K119" s="20">
        <v>43850.592881944445</v>
      </c>
      <c r="L119" s="73" t="str">
        <f>_xlfn.IFNA(IF(VLOOKUP($A119,tabExcluirDoEstoque[#Data],1,FALSE),"sim",""),"")</f>
        <v/>
      </c>
      <c r="M119" s="4" t="str">
        <f t="shared" si="1"/>
        <v>*</v>
      </c>
    </row>
    <row r="120" spans="1:13" ht="15.75" x14ac:dyDescent="0.25">
      <c r="A120" s="23">
        <v>18357</v>
      </c>
      <c r="B120" s="3" t="str">
        <f>IFERROR(VLOOKUP(tabExtras[CÓDIGO],tabListaItens[#Data],2,FALSE),"&lt;&lt; não enconrado &gt;&gt;")</f>
        <v>PREGO COMUM DE CABECA CHATA - 18 X 27</v>
      </c>
      <c r="C120" s="4" t="str">
        <f>IFERROR(VLOOKUP(tabExtras[CÓDIGO],tabListaItens[#Data],3,FALSE),"")</f>
        <v>KG</v>
      </c>
      <c r="D120" s="25" t="s">
        <v>1436</v>
      </c>
      <c r="E120" s="26">
        <v>43861</v>
      </c>
      <c r="F120" s="30">
        <v>30</v>
      </c>
      <c r="G120" s="38">
        <v>9</v>
      </c>
      <c r="H120" s="37">
        <f>tabExtras[FATOR] * tabExtras[QUANTIDADE]</f>
        <v>270</v>
      </c>
      <c r="I120" s="42" t="s">
        <v>28</v>
      </c>
      <c r="J120" s="19" t="s">
        <v>1434</v>
      </c>
      <c r="K120" s="20">
        <v>43850.592881944445</v>
      </c>
      <c r="L120" s="73" t="str">
        <f>_xlfn.IFNA(IF(VLOOKUP($A120,tabExcluirDoEstoque[#Data],1,FALSE),"sim",""),"")</f>
        <v/>
      </c>
      <c r="M120" s="4" t="str">
        <f t="shared" si="1"/>
        <v>*</v>
      </c>
    </row>
    <row r="121" spans="1:13" ht="15.75" x14ac:dyDescent="0.25">
      <c r="A121" s="23">
        <v>18358</v>
      </c>
      <c r="B121" s="3" t="str">
        <f>IFERROR(VLOOKUP(tabExtras[CÓDIGO],tabListaItens[#Data],2,FALSE),"&lt;&lt; não enconrado &gt;&gt;")</f>
        <v>PREGO COMUM DE CABECA CHATA - 18 X 30</v>
      </c>
      <c r="C121" s="4" t="str">
        <f>IFERROR(VLOOKUP(tabExtras[CÓDIGO],tabListaItens[#Data],3,FALSE),"")</f>
        <v>KG</v>
      </c>
      <c r="D121" s="25" t="s">
        <v>1436</v>
      </c>
      <c r="E121" s="26">
        <v>43861</v>
      </c>
      <c r="F121" s="30">
        <v>30</v>
      </c>
      <c r="G121" s="38">
        <v>6</v>
      </c>
      <c r="H121" s="37">
        <f>tabExtras[FATOR] * tabExtras[QUANTIDADE]</f>
        <v>180</v>
      </c>
      <c r="I121" s="42"/>
      <c r="J121" s="19" t="s">
        <v>1434</v>
      </c>
      <c r="K121" s="20">
        <v>43850.592881944445</v>
      </c>
      <c r="L121" s="73" t="str">
        <f>_xlfn.IFNA(IF(VLOOKUP($A121,tabExcluirDoEstoque[#Data],1,FALSE),"sim",""),"")</f>
        <v/>
      </c>
      <c r="M121" s="4" t="str">
        <f t="shared" si="1"/>
        <v>*</v>
      </c>
    </row>
    <row r="122" spans="1:13" ht="15.75" x14ac:dyDescent="0.25">
      <c r="A122" s="23">
        <v>20001</v>
      </c>
      <c r="B122" s="3" t="str">
        <f>IFERROR(VLOOKUP(tabExtras[CÓDIGO],tabListaItens[#Data],2,FALSE),"&lt;&lt; não enconrado &gt;&gt;")</f>
        <v>BROCA DE ACO RAPIDO HELICOIDAL DE 1/8" COM HASTE CILINDRICA</v>
      </c>
      <c r="C122" s="4" t="str">
        <f>IFERROR(VLOOKUP(tabExtras[CÓDIGO],tabListaItens[#Data],3,FALSE),"")</f>
        <v>PC</v>
      </c>
      <c r="D122" s="25" t="s">
        <v>1436</v>
      </c>
      <c r="E122" s="26">
        <v>43861</v>
      </c>
      <c r="F122" s="30">
        <v>30</v>
      </c>
      <c r="G122" s="38">
        <v>3</v>
      </c>
      <c r="H122" s="37">
        <f>tabExtras[FATOR] * tabExtras[QUANTIDADE]</f>
        <v>90</v>
      </c>
      <c r="I122" s="42"/>
      <c r="J122" s="19" t="s">
        <v>1434</v>
      </c>
      <c r="K122" s="20">
        <v>43850.592881944445</v>
      </c>
      <c r="L122" s="73" t="str">
        <f>_xlfn.IFNA(IF(VLOOKUP($A122,tabExcluirDoEstoque[#Data],1,FALSE),"sim",""),"")</f>
        <v/>
      </c>
      <c r="M122" s="4" t="str">
        <f t="shared" si="1"/>
        <v>*</v>
      </c>
    </row>
    <row r="123" spans="1:13" ht="15.75" x14ac:dyDescent="0.25">
      <c r="A123" s="23">
        <v>20035</v>
      </c>
      <c r="B123" s="3" t="str">
        <f>IFERROR(VLOOKUP(tabExtras[CÓDIGO],tabListaItens[#Data],2,FALSE),"&lt;&lt; não enconrado &gt;&gt;")</f>
        <v>BROCA DE ACO RAPIDO HELICOIDAL DE 3/32" COM HASTE CILINDRIC</v>
      </c>
      <c r="C123" s="4" t="str">
        <f>IFERROR(VLOOKUP(tabExtras[CÓDIGO],tabListaItens[#Data],3,FALSE),"")</f>
        <v>PC</v>
      </c>
      <c r="D123" s="25" t="s">
        <v>1436</v>
      </c>
      <c r="E123" s="26">
        <v>43861</v>
      </c>
      <c r="F123" s="30">
        <v>30</v>
      </c>
      <c r="G123" s="38">
        <v>3</v>
      </c>
      <c r="H123" s="37">
        <f>tabExtras[FATOR] * tabExtras[QUANTIDADE]</f>
        <v>90</v>
      </c>
      <c r="I123" s="42"/>
      <c r="J123" s="19" t="s">
        <v>1434</v>
      </c>
      <c r="K123" s="20">
        <v>43850.592881944445</v>
      </c>
      <c r="L123" s="73" t="str">
        <f>_xlfn.IFNA(IF(VLOOKUP($A123,tabExcluirDoEstoque[#Data],1,FALSE),"sim",""),"")</f>
        <v/>
      </c>
      <c r="M123" s="4" t="str">
        <f t="shared" si="1"/>
        <v>*</v>
      </c>
    </row>
    <row r="124" spans="1:13" ht="15.75" x14ac:dyDescent="0.25">
      <c r="A124" s="23">
        <v>20135</v>
      </c>
      <c r="B124" s="3" t="str">
        <f>IFERROR(VLOOKUP(tabExtras[CÓDIGO],tabListaItens[#Data],2,FALSE),"&lt;&lt; não enconrado &gt;&gt;")</f>
        <v>CHAPA DE ACO CARBONO GALVANIZADO ZINCADO N°22 ESP=0,80 MM -</v>
      </c>
      <c r="C124" s="4" t="str">
        <f>IFERROR(VLOOKUP(tabExtras[CÓDIGO],tabListaItens[#Data],3,FALSE),"")</f>
        <v>PC</v>
      </c>
      <c r="D124" s="25" t="s">
        <v>1436</v>
      </c>
      <c r="E124" s="26">
        <v>43861</v>
      </c>
      <c r="F124" s="30">
        <v>30</v>
      </c>
      <c r="G124" s="38">
        <v>10</v>
      </c>
      <c r="H124" s="37">
        <f>tabExtras[FATOR] * tabExtras[QUANTIDADE]</f>
        <v>300</v>
      </c>
      <c r="I124" s="42"/>
      <c r="J124" s="19" t="s">
        <v>1434</v>
      </c>
      <c r="K124" s="20">
        <v>43850.592881944445</v>
      </c>
      <c r="L124" s="73" t="str">
        <f>_xlfn.IFNA(IF(VLOOKUP($A124,tabExcluirDoEstoque[#Data],1,FALSE),"sim",""),"")</f>
        <v/>
      </c>
      <c r="M124" s="4" t="str">
        <f t="shared" si="1"/>
        <v>*</v>
      </c>
    </row>
    <row r="125" spans="1:13" ht="15.75" x14ac:dyDescent="0.25">
      <c r="A125" s="23">
        <v>20760</v>
      </c>
      <c r="B125" s="3" t="str">
        <f>IFERROR(VLOOKUP(tabExtras[CÓDIGO],tabListaItens[#Data],2,FALSE),"&lt;&lt; não enconrado &gt;&gt;")</f>
        <v>TINTA ACRILICA P/ DEMARCACAO DE SOLO - BALDE C/ 18 LITROS -</v>
      </c>
      <c r="C125" s="4" t="str">
        <f>IFERROR(VLOOKUP(tabExtras[CÓDIGO],tabListaItens[#Data],3,FALSE),"")</f>
        <v>BD</v>
      </c>
      <c r="D125" s="25" t="s">
        <v>1436</v>
      </c>
      <c r="E125" s="26">
        <v>43861</v>
      </c>
      <c r="F125" s="30">
        <v>30</v>
      </c>
      <c r="G125" s="38">
        <v>1</v>
      </c>
      <c r="H125" s="37">
        <f>tabExtras[FATOR] * tabExtras[QUANTIDADE]</f>
        <v>30</v>
      </c>
      <c r="I125" s="42"/>
      <c r="J125" s="19" t="s">
        <v>1434</v>
      </c>
      <c r="K125" s="20">
        <v>43850.592881944445</v>
      </c>
      <c r="L125" s="73" t="str">
        <f>_xlfn.IFNA(IF(VLOOKUP($A125,tabExcluirDoEstoque[#Data],1,FALSE),"sim",""),"")</f>
        <v/>
      </c>
      <c r="M125" s="4" t="str">
        <f t="shared" si="1"/>
        <v>*</v>
      </c>
    </row>
    <row r="126" spans="1:13" ht="15.75" x14ac:dyDescent="0.25">
      <c r="A126" s="23">
        <v>20763</v>
      </c>
      <c r="B126" s="3" t="str">
        <f>IFERROR(VLOOKUP(tabExtras[CÓDIGO],tabListaItens[#Data],2,FALSE),"&lt;&lt; não enconrado &gt;&gt;")</f>
        <v>TINTA ACRILICA P/ DEMARCACAO DO SOLO - BALDE COM 18 LITROS - AMARELA</v>
      </c>
      <c r="C126" s="4" t="str">
        <f>IFERROR(VLOOKUP(tabExtras[CÓDIGO],tabListaItens[#Data],3,FALSE),"")</f>
        <v>BD</v>
      </c>
      <c r="D126" s="25" t="s">
        <v>1436</v>
      </c>
      <c r="E126" s="26">
        <v>43861</v>
      </c>
      <c r="F126" s="30">
        <v>30</v>
      </c>
      <c r="G126" s="38">
        <v>2</v>
      </c>
      <c r="H126" s="37">
        <f>tabExtras[FATOR] * tabExtras[QUANTIDADE]</f>
        <v>60</v>
      </c>
      <c r="I126" s="42"/>
      <c r="J126" s="19" t="s">
        <v>1434</v>
      </c>
      <c r="K126" s="20">
        <v>43850.592881944445</v>
      </c>
      <c r="L126" s="73" t="str">
        <f>_xlfn.IFNA(IF(VLOOKUP($A126,tabExcluirDoEstoque[#Data],1,FALSE),"sim",""),"")</f>
        <v/>
      </c>
      <c r="M126" s="4" t="str">
        <f t="shared" si="1"/>
        <v>*</v>
      </c>
    </row>
    <row r="127" spans="1:13" ht="15.75" x14ac:dyDescent="0.25">
      <c r="A127" s="23">
        <v>23676</v>
      </c>
      <c r="B127" s="3" t="str">
        <f>IFERROR(VLOOKUP(tabExtras[CÓDIGO],tabListaItens[#Data],2,FALSE),"&lt;&lt; não enconrado &gt;&gt;")</f>
        <v>CONJUNTO DE VEDACAO PLASTICA P/ TELHA 6 MM</v>
      </c>
      <c r="C127" s="4" t="str">
        <f>IFERROR(VLOOKUP(tabExtras[CÓDIGO],tabListaItens[#Data],3,FALSE),"")</f>
        <v>CJ</v>
      </c>
      <c r="D127" s="25" t="s">
        <v>1436</v>
      </c>
      <c r="E127" s="26">
        <v>43861</v>
      </c>
      <c r="F127" s="30">
        <v>30</v>
      </c>
      <c r="G127" s="38">
        <v>150</v>
      </c>
      <c r="H127" s="37">
        <f>tabExtras[FATOR] * tabExtras[QUANTIDADE]</f>
        <v>4500</v>
      </c>
      <c r="I127" s="42"/>
      <c r="J127" s="19" t="s">
        <v>1434</v>
      </c>
      <c r="K127" s="20">
        <v>43850.592881944445</v>
      </c>
      <c r="L127" s="73" t="str">
        <f>_xlfn.IFNA(IF(VLOOKUP($A127,tabExcluirDoEstoque[#Data],1,FALSE),"sim",""),"")</f>
        <v/>
      </c>
      <c r="M127" s="4" t="str">
        <f t="shared" si="1"/>
        <v>*</v>
      </c>
    </row>
    <row r="128" spans="1:13" ht="15.75" x14ac:dyDescent="0.25">
      <c r="A128" s="23">
        <v>23778</v>
      </c>
      <c r="B128" s="3" t="str">
        <f>IFERROR(VLOOKUP(tabExtras[CÓDIGO],tabListaItens[#Data],2,FALSE),"&lt;&lt; não enconrado &gt;&gt;")</f>
        <v>SOLVENTE P/ TINTA DE DEMARCACAO VIARIA -BALDE C/ 18 LITROS - TIPO DER 3.09</v>
      </c>
      <c r="C128" s="4" t="str">
        <f>IFERROR(VLOOKUP(tabExtras[CÓDIGO],tabListaItens[#Data],3,FALSE),"")</f>
        <v>BD</v>
      </c>
      <c r="D128" s="25" t="s">
        <v>1436</v>
      </c>
      <c r="E128" s="26">
        <v>43861</v>
      </c>
      <c r="F128" s="30">
        <v>30</v>
      </c>
      <c r="G128" s="38">
        <v>2</v>
      </c>
      <c r="H128" s="37">
        <f>tabExtras[FATOR] * tabExtras[QUANTIDADE]</f>
        <v>60</v>
      </c>
      <c r="I128" s="42"/>
      <c r="J128" s="19" t="s">
        <v>1434</v>
      </c>
      <c r="K128" s="20">
        <v>43850.592881944445</v>
      </c>
      <c r="L128" s="73" t="str">
        <f>_xlfn.IFNA(IF(VLOOKUP($A128,tabExcluirDoEstoque[#Data],1,FALSE),"sim",""),"")</f>
        <v/>
      </c>
      <c r="M128" s="4" t="str">
        <f t="shared" si="1"/>
        <v>*</v>
      </c>
    </row>
    <row r="129" spans="1:13" ht="15.75" x14ac:dyDescent="0.25">
      <c r="A129" s="23">
        <v>24205</v>
      </c>
      <c r="B129" s="3" t="str">
        <f>IFERROR(VLOOKUP(tabExtras[CÓDIGO],tabListaItens[#Data],2,FALSE),"&lt;&lt; não enconrado &gt;&gt;")</f>
        <v>ROLO DE LA DE CARNEIRO P/ PINTURA - 23 CM C/ CABO</v>
      </c>
      <c r="C129" s="4" t="str">
        <f>IFERROR(VLOOKUP(tabExtras[CÓDIGO],tabListaItens[#Data],3,FALSE),"")</f>
        <v>PC</v>
      </c>
      <c r="D129" s="25" t="s">
        <v>1436</v>
      </c>
      <c r="E129" s="26">
        <v>43861</v>
      </c>
      <c r="F129" s="30">
        <v>30</v>
      </c>
      <c r="G129" s="38">
        <v>6</v>
      </c>
      <c r="H129" s="37">
        <f>tabExtras[FATOR] * tabExtras[QUANTIDADE]</f>
        <v>180</v>
      </c>
      <c r="I129" s="42"/>
      <c r="J129" s="19" t="s">
        <v>1434</v>
      </c>
      <c r="K129" s="20">
        <v>43850.592881944445</v>
      </c>
      <c r="L129" s="73" t="str">
        <f>_xlfn.IFNA(IF(VLOOKUP($A129,tabExcluirDoEstoque[#Data],1,FALSE),"sim",""),"")</f>
        <v>sim</v>
      </c>
      <c r="M129" s="4" t="str">
        <f t="shared" si="1"/>
        <v>*</v>
      </c>
    </row>
    <row r="130" spans="1:13" ht="15.75" x14ac:dyDescent="0.25">
      <c r="A130" s="23">
        <v>24371</v>
      </c>
      <c r="B130" s="3" t="str">
        <f>IFERROR(VLOOKUP(tabExtras[CÓDIGO],tabListaItens[#Data],2,FALSE),"&lt;&lt; não enconrado &gt;&gt;")</f>
        <v>BLOCO DE CONCRETO - 15 X 20 X 40 CM</v>
      </c>
      <c r="C130" s="4" t="str">
        <f>IFERROR(VLOOKUP(tabExtras[CÓDIGO],tabListaItens[#Data],3,FALSE),"")</f>
        <v>PC</v>
      </c>
      <c r="D130" s="25" t="s">
        <v>1436</v>
      </c>
      <c r="E130" s="26">
        <v>43861</v>
      </c>
      <c r="F130" s="30">
        <v>30</v>
      </c>
      <c r="G130" s="38">
        <v>832</v>
      </c>
      <c r="H130" s="37">
        <f>tabExtras[FATOR] * tabExtras[QUANTIDADE]</f>
        <v>24960</v>
      </c>
      <c r="I130" s="42"/>
      <c r="J130" s="19" t="s">
        <v>1434</v>
      </c>
      <c r="K130" s="20">
        <v>43850.592881944445</v>
      </c>
      <c r="L130" s="73" t="str">
        <f>_xlfn.IFNA(IF(VLOOKUP($A130,tabExcluirDoEstoque[#Data],1,FALSE),"sim",""),"")</f>
        <v/>
      </c>
      <c r="M130" s="4" t="str">
        <f t="shared" si="1"/>
        <v>*</v>
      </c>
    </row>
    <row r="131" spans="1:13" ht="15.75" x14ac:dyDescent="0.25">
      <c r="A131" s="23">
        <v>24500</v>
      </c>
      <c r="B131" s="3" t="str">
        <f>IFERROR(VLOOKUP(tabExtras[CÓDIGO],tabListaItens[#Data],2,FALSE),"&lt;&lt; não enconrado &gt;&gt;")</f>
        <v>CANOPLA COMPLETA P/ VALVULA DE DESCARGA</v>
      </c>
      <c r="C131" s="4" t="str">
        <f>IFERROR(VLOOKUP(tabExtras[CÓDIGO],tabListaItens[#Data],3,FALSE),"")</f>
        <v>PC</v>
      </c>
      <c r="D131" s="25" t="s">
        <v>1436</v>
      </c>
      <c r="E131" s="27">
        <v>43861</v>
      </c>
      <c r="F131" s="31">
        <v>30</v>
      </c>
      <c r="G131" s="39">
        <v>1</v>
      </c>
      <c r="H131" s="37">
        <f>tabExtras[FATOR] * tabExtras[QUANTIDADE]</f>
        <v>30</v>
      </c>
      <c r="I131" s="42"/>
      <c r="J131" s="19" t="s">
        <v>1434</v>
      </c>
      <c r="K131" s="20">
        <v>43850.592881944445</v>
      </c>
      <c r="L131" s="73" t="str">
        <f>_xlfn.IFNA(IF(VLOOKUP($A131,tabExcluirDoEstoque[#Data],1,FALSE),"sim",""),"")</f>
        <v/>
      </c>
      <c r="M131" s="4" t="str">
        <f t="shared" ref="M131:M194" si="2">"*"</f>
        <v>*</v>
      </c>
    </row>
    <row r="132" spans="1:13" ht="15.75" x14ac:dyDescent="0.25">
      <c r="A132" s="23">
        <v>24888</v>
      </c>
      <c r="B132" s="3" t="str">
        <f>IFERROR(VLOOKUP(tabExtras[CÓDIGO],tabListaItens[#Data],2,FALSE),"&lt;&lt; não enconrado &gt;&gt;")</f>
        <v>PREGO COMUM DE CABECA CHATA - 10 X 10</v>
      </c>
      <c r="C132" s="4" t="str">
        <f>IFERROR(VLOOKUP(tabExtras[CÓDIGO],tabListaItens[#Data],3,FALSE),"")</f>
        <v>KG</v>
      </c>
      <c r="D132" s="25" t="s">
        <v>1436</v>
      </c>
      <c r="E132" s="27">
        <v>43861</v>
      </c>
      <c r="F132" s="31">
        <v>30</v>
      </c>
      <c r="G132" s="39">
        <v>1</v>
      </c>
      <c r="H132" s="37">
        <f>tabExtras[FATOR] * tabExtras[QUANTIDADE]</f>
        <v>30</v>
      </c>
      <c r="I132" s="42"/>
      <c r="J132" s="19" t="s">
        <v>1434</v>
      </c>
      <c r="K132" s="20">
        <v>43850.592881944445</v>
      </c>
      <c r="L132" s="73" t="str">
        <f>_xlfn.IFNA(IF(VLOOKUP($A132,tabExcluirDoEstoque[#Data],1,FALSE),"sim",""),"")</f>
        <v/>
      </c>
      <c r="M132" s="4" t="str">
        <f t="shared" si="2"/>
        <v>*</v>
      </c>
    </row>
    <row r="133" spans="1:13" ht="15.75" x14ac:dyDescent="0.25">
      <c r="A133" s="23">
        <v>25630</v>
      </c>
      <c r="B133" s="3" t="str">
        <f>IFERROR(VLOOKUP(tabExtras[CÓDIGO],tabListaItens[#Data],2,FALSE),"&lt;&lt; não enconrado &gt;&gt;")</f>
        <v>REGISTRO DE GAVETA EM LIGA DE COBRE DE 3/4" C/ CANOPLA</v>
      </c>
      <c r="C133" s="4" t="str">
        <f>IFERROR(VLOOKUP(tabExtras[CÓDIGO],tabListaItens[#Data],3,FALSE),"")</f>
        <v>PC</v>
      </c>
      <c r="D133" s="25" t="s">
        <v>1436</v>
      </c>
      <c r="E133" s="27">
        <v>43861</v>
      </c>
      <c r="F133" s="31">
        <v>30</v>
      </c>
      <c r="G133" s="39">
        <v>2</v>
      </c>
      <c r="H133" s="37">
        <f>tabExtras[FATOR] * tabExtras[QUANTIDADE]</f>
        <v>60</v>
      </c>
      <c r="I133" s="42"/>
      <c r="J133" s="19" t="s">
        <v>1434</v>
      </c>
      <c r="K133" s="20">
        <v>43850.592881944445</v>
      </c>
      <c r="L133" s="73" t="str">
        <f>_xlfn.IFNA(IF(VLOOKUP($A133,tabExcluirDoEstoque[#Data],1,FALSE),"sim",""),"")</f>
        <v/>
      </c>
      <c r="M133" s="4" t="str">
        <f t="shared" si="2"/>
        <v>*</v>
      </c>
    </row>
    <row r="134" spans="1:13" ht="15.75" x14ac:dyDescent="0.25">
      <c r="A134" s="23">
        <v>25756</v>
      </c>
      <c r="B134" s="3" t="str">
        <f>IFERROR(VLOOKUP(tabExtras[CÓDIGO],tabListaItens[#Data],2,FALSE),"&lt;&lt; não enconrado &gt;&gt;")</f>
        <v>REGISTRO DE GAVETA EM LIGA DE COBRE DE 1.1/2" C/ CANOPLA</v>
      </c>
      <c r="C134" s="4" t="str">
        <f>IFERROR(VLOOKUP(tabExtras[CÓDIGO],tabListaItens[#Data],3,FALSE),"")</f>
        <v>PC</v>
      </c>
      <c r="D134" s="25" t="s">
        <v>1436</v>
      </c>
      <c r="E134" s="26">
        <v>43861</v>
      </c>
      <c r="F134" s="30">
        <v>30</v>
      </c>
      <c r="G134" s="38">
        <v>2</v>
      </c>
      <c r="H134" s="37">
        <f>tabExtras[FATOR] * tabExtras[QUANTIDADE]</f>
        <v>60</v>
      </c>
      <c r="I134" s="42"/>
      <c r="J134" s="19" t="s">
        <v>1434</v>
      </c>
      <c r="K134" s="20">
        <v>43850.592881944445</v>
      </c>
      <c r="L134" s="73" t="str">
        <f>_xlfn.IFNA(IF(VLOOKUP($A134,tabExcluirDoEstoque[#Data],1,FALSE),"sim",""),"")</f>
        <v/>
      </c>
      <c r="M134" s="4" t="str">
        <f t="shared" si="2"/>
        <v>*</v>
      </c>
    </row>
    <row r="135" spans="1:13" ht="15.75" x14ac:dyDescent="0.25">
      <c r="A135" s="23">
        <v>27353</v>
      </c>
      <c r="B135" s="3" t="str">
        <f>IFERROR(VLOOKUP(tabExtras[CÓDIGO],tabListaItens[#Data],2,FALSE),"&lt;&lt; não enconrado &gt;&gt;")</f>
        <v>GESSO ESTUQUE, EMBALAGEM C/ 01 KG</v>
      </c>
      <c r="C135" s="4" t="str">
        <f>IFERROR(VLOOKUP(tabExtras[CÓDIGO],tabListaItens[#Data],3,FALSE),"")</f>
        <v>SO</v>
      </c>
      <c r="D135" s="25" t="s">
        <v>1436</v>
      </c>
      <c r="E135" s="26">
        <v>43861</v>
      </c>
      <c r="F135" s="30">
        <v>30</v>
      </c>
      <c r="G135" s="38">
        <v>1</v>
      </c>
      <c r="H135" s="37">
        <f>tabExtras[FATOR] * tabExtras[QUANTIDADE]</f>
        <v>30</v>
      </c>
      <c r="I135" s="42"/>
      <c r="J135" s="19" t="s">
        <v>1434</v>
      </c>
      <c r="K135" s="20">
        <v>43850.592881944445</v>
      </c>
      <c r="L135" s="73" t="str">
        <f>_xlfn.IFNA(IF(VLOOKUP($A135,tabExcluirDoEstoque[#Data],1,FALSE),"sim",""),"")</f>
        <v/>
      </c>
      <c r="M135" s="4" t="str">
        <f t="shared" si="2"/>
        <v>*</v>
      </c>
    </row>
    <row r="136" spans="1:13" ht="15.75" x14ac:dyDescent="0.25">
      <c r="A136" s="23">
        <v>27479</v>
      </c>
      <c r="B136" s="3" t="str">
        <f>IFERROR(VLOOKUP(tabExtras[CÓDIGO],tabListaItens[#Data],2,FALSE),"&lt;&lt; não enconrado &gt;&gt;")</f>
        <v>PRIMER ANTICORROSIVO, SECAGEM RAPIDA, COR CINZA, GL C/ 3,6ML</v>
      </c>
      <c r="C136" s="4" t="str">
        <f>IFERROR(VLOOKUP(tabExtras[CÓDIGO],tabListaItens[#Data],3,FALSE),"")</f>
        <v>GL</v>
      </c>
      <c r="D136" s="25" t="s">
        <v>1436</v>
      </c>
      <c r="E136" s="26">
        <v>43861</v>
      </c>
      <c r="F136" s="30">
        <v>30</v>
      </c>
      <c r="G136" s="38">
        <v>1</v>
      </c>
      <c r="H136" s="37">
        <f>tabExtras[FATOR] * tabExtras[QUANTIDADE]</f>
        <v>30</v>
      </c>
      <c r="I136" s="42"/>
      <c r="J136" s="19" t="s">
        <v>1434</v>
      </c>
      <c r="K136" s="20">
        <v>43850.592881944445</v>
      </c>
      <c r="L136" s="73" t="str">
        <f>_xlfn.IFNA(IF(VLOOKUP($A136,tabExcluirDoEstoque[#Data],1,FALSE),"sim",""),"")</f>
        <v>sim</v>
      </c>
      <c r="M136" s="4" t="str">
        <f t="shared" si="2"/>
        <v>*</v>
      </c>
    </row>
    <row r="137" spans="1:13" ht="15.75" x14ac:dyDescent="0.25">
      <c r="A137" s="23">
        <v>29296</v>
      </c>
      <c r="B137" s="3" t="str">
        <f>IFERROR(VLOOKUP(tabExtras[CÓDIGO],tabListaItens[#Data],2,FALSE),"&lt;&lt; não enconrado &gt;&gt;")</f>
        <v>ESTOPA BRANCA - PACOTE C/ 500 GR, NA EMBALAGEM DEVERA CONTER MARCA DO FABRICANTE</v>
      </c>
      <c r="C137" s="4" t="str">
        <f>IFERROR(VLOOKUP(tabExtras[CÓDIGO],tabListaItens[#Data],3,FALSE),"")</f>
        <v>PT</v>
      </c>
      <c r="D137" s="25" t="s">
        <v>1436</v>
      </c>
      <c r="E137" s="26">
        <v>43861</v>
      </c>
      <c r="F137" s="30">
        <v>30</v>
      </c>
      <c r="G137" s="38">
        <v>1</v>
      </c>
      <c r="H137" s="37">
        <f>tabExtras[FATOR] * tabExtras[QUANTIDADE]</f>
        <v>30</v>
      </c>
      <c r="I137" s="42"/>
      <c r="J137" s="19" t="s">
        <v>1434</v>
      </c>
      <c r="K137" s="20">
        <v>43850.592881944445</v>
      </c>
      <c r="L137" s="73" t="str">
        <f>_xlfn.IFNA(IF(VLOOKUP($A137,tabExcluirDoEstoque[#Data],1,FALSE),"sim",""),"")</f>
        <v/>
      </c>
      <c r="M137" s="4" t="str">
        <f t="shared" si="2"/>
        <v>*</v>
      </c>
    </row>
    <row r="138" spans="1:13" ht="15.75" x14ac:dyDescent="0.25">
      <c r="A138" s="23">
        <v>31321</v>
      </c>
      <c r="B138" s="3" t="str">
        <f>IFERROR(VLOOKUP(tabExtras[CÓDIGO],tabListaItens[#Data],2,FALSE),"&lt;&lt; não enconrado &gt;&gt;")</f>
        <v>CABO FLEXIVEL - 2,5 MM2 - PRETO</v>
      </c>
      <c r="C138" s="4" t="str">
        <f>IFERROR(VLOOKUP(tabExtras[CÓDIGO],tabListaItens[#Data],3,FALSE),"")</f>
        <v>M</v>
      </c>
      <c r="D138" s="25" t="s">
        <v>1436</v>
      </c>
      <c r="E138" s="26">
        <v>43861</v>
      </c>
      <c r="F138" s="30">
        <v>30</v>
      </c>
      <c r="G138" s="38">
        <v>250</v>
      </c>
      <c r="H138" s="37">
        <f>tabExtras[FATOR] * tabExtras[QUANTIDADE]</f>
        <v>7500</v>
      </c>
      <c r="I138" s="42"/>
      <c r="J138" s="19" t="s">
        <v>1434</v>
      </c>
      <c r="K138" s="20">
        <v>43850.592881944445</v>
      </c>
      <c r="L138" s="73" t="str">
        <f>_xlfn.IFNA(IF(VLOOKUP($A138,tabExcluirDoEstoque[#Data],1,FALSE),"sim",""),"")</f>
        <v>sim</v>
      </c>
      <c r="M138" s="4" t="str">
        <f t="shared" si="2"/>
        <v>*</v>
      </c>
    </row>
    <row r="139" spans="1:13" ht="15.75" x14ac:dyDescent="0.25">
      <c r="A139" s="23">
        <v>33623</v>
      </c>
      <c r="B139" s="3" t="str">
        <f>IFERROR(VLOOKUP(tabExtras[CÓDIGO],tabListaItens[#Data],2,FALSE),"&lt;&lt; não enconrado &gt;&gt;")</f>
        <v>ARAME DE ACO CARBONO RECOZIDO (LISO) - BWG N° 18 (1,24 MM)</v>
      </c>
      <c r="C139" s="4" t="str">
        <f>IFERROR(VLOOKUP(tabExtras[CÓDIGO],tabListaItens[#Data],3,FALSE),"")</f>
        <v>KG</v>
      </c>
      <c r="D139" s="25" t="s">
        <v>1436</v>
      </c>
      <c r="E139" s="26">
        <v>43861</v>
      </c>
      <c r="F139" s="30">
        <v>30</v>
      </c>
      <c r="G139" s="38">
        <v>11</v>
      </c>
      <c r="H139" s="37">
        <f>tabExtras[FATOR] * tabExtras[QUANTIDADE]</f>
        <v>330</v>
      </c>
      <c r="I139" s="42"/>
      <c r="J139" s="19" t="s">
        <v>1434</v>
      </c>
      <c r="K139" s="20">
        <v>43850.592881944445</v>
      </c>
      <c r="L139" s="73" t="str">
        <f>_xlfn.IFNA(IF(VLOOKUP($A139,tabExcluirDoEstoque[#Data],1,FALSE),"sim",""),"")</f>
        <v/>
      </c>
      <c r="M139" s="4" t="str">
        <f t="shared" si="2"/>
        <v>*</v>
      </c>
    </row>
    <row r="140" spans="1:13" ht="15.75" x14ac:dyDescent="0.25">
      <c r="A140" s="23">
        <v>34801</v>
      </c>
      <c r="B140" s="3" t="str">
        <f>IFERROR(VLOOKUP(tabExtras[CÓDIGO],tabListaItens[#Data],2,FALSE),"&lt;&lt; não enconrado &gt;&gt;")</f>
        <v>BLOCO DE CONCRETO - 10 X 20 X 40 CM</v>
      </c>
      <c r="C140" s="4" t="str">
        <f>IFERROR(VLOOKUP(tabExtras[CÓDIGO],tabListaItens[#Data],3,FALSE),"")</f>
        <v>PC</v>
      </c>
      <c r="D140" s="25" t="s">
        <v>1436</v>
      </c>
      <c r="E140" s="27">
        <v>43861</v>
      </c>
      <c r="F140" s="31">
        <v>30</v>
      </c>
      <c r="G140" s="39">
        <v>40</v>
      </c>
      <c r="H140" s="37">
        <f>tabExtras[FATOR] * tabExtras[QUANTIDADE]</f>
        <v>1200</v>
      </c>
      <c r="I140" s="42"/>
      <c r="J140" s="19" t="s">
        <v>1434</v>
      </c>
      <c r="K140" s="20">
        <v>43850.592881944445</v>
      </c>
      <c r="L140" s="73" t="str">
        <f>_xlfn.IFNA(IF(VLOOKUP($A140,tabExcluirDoEstoque[#Data],1,FALSE),"sim",""),"")</f>
        <v/>
      </c>
      <c r="M140" s="4" t="str">
        <f t="shared" si="2"/>
        <v>*</v>
      </c>
    </row>
    <row r="141" spans="1:13" ht="15.75" x14ac:dyDescent="0.25">
      <c r="A141" s="23">
        <v>35227</v>
      </c>
      <c r="B141" s="3" t="str">
        <f>IFERROR(VLOOKUP(tabExtras[CÓDIGO],tabListaItens[#Data],2,FALSE),"&lt;&lt; não enconrado &gt;&gt;")</f>
        <v xml:space="preserve">LUVA DE PVC, 1", RIGIDO SOLDAVEL </v>
      </c>
      <c r="C141" s="4" t="str">
        <f>IFERROR(VLOOKUP(tabExtras[CÓDIGO],tabListaItens[#Data],3,FALSE),"")</f>
        <v>PC</v>
      </c>
      <c r="D141" s="25" t="s">
        <v>1436</v>
      </c>
      <c r="E141" s="26">
        <v>43861</v>
      </c>
      <c r="F141" s="30">
        <v>30</v>
      </c>
      <c r="G141" s="38">
        <v>1</v>
      </c>
      <c r="H141" s="37">
        <f>tabExtras[FATOR] * tabExtras[QUANTIDADE]</f>
        <v>30</v>
      </c>
      <c r="I141" s="42"/>
      <c r="J141" s="19" t="s">
        <v>1434</v>
      </c>
      <c r="K141" s="20">
        <v>43850.592881944445</v>
      </c>
      <c r="L141" s="73" t="str">
        <f>_xlfn.IFNA(IF(VLOOKUP($A141,tabExcluirDoEstoque[#Data],1,FALSE),"sim",""),"")</f>
        <v/>
      </c>
      <c r="M141" s="4" t="str">
        <f t="shared" si="2"/>
        <v>*</v>
      </c>
    </row>
    <row r="142" spans="1:13" ht="15.75" x14ac:dyDescent="0.25">
      <c r="A142" s="23">
        <v>40685</v>
      </c>
      <c r="B142" s="3" t="str">
        <f>IFERROR(VLOOKUP(tabExtras[CÓDIGO],tabListaItens[#Data],2,FALSE),"&lt;&lt; não enconrado &gt;&gt;")</f>
        <v>CABO FLEXIVEL - 6 MM2 - VERDE</v>
      </c>
      <c r="C142" s="4" t="str">
        <f>IFERROR(VLOOKUP(tabExtras[CÓDIGO],tabListaItens[#Data],3,FALSE),"")</f>
        <v>M</v>
      </c>
      <c r="D142" s="25" t="s">
        <v>1436</v>
      </c>
      <c r="E142" s="26">
        <v>43861</v>
      </c>
      <c r="F142" s="30">
        <v>30</v>
      </c>
      <c r="G142" s="38">
        <v>50</v>
      </c>
      <c r="H142" s="37">
        <f>tabExtras[FATOR] * tabExtras[QUANTIDADE]</f>
        <v>1500</v>
      </c>
      <c r="I142" s="42"/>
      <c r="J142" s="19" t="s">
        <v>1434</v>
      </c>
      <c r="K142" s="20">
        <v>43850.592881944445</v>
      </c>
      <c r="L142" s="73" t="str">
        <f>_xlfn.IFNA(IF(VLOOKUP($A142,tabExcluirDoEstoque[#Data],1,FALSE),"sim",""),"")</f>
        <v>sim</v>
      </c>
      <c r="M142" s="4" t="str">
        <f t="shared" si="2"/>
        <v>*</v>
      </c>
    </row>
    <row r="143" spans="1:13" ht="15.75" x14ac:dyDescent="0.25">
      <c r="A143" s="24">
        <v>53446</v>
      </c>
      <c r="B143" s="3" t="str">
        <f>IFERROR(VLOOKUP(tabExtras[CÓDIGO],tabListaItens[#Data],2,FALSE),"&lt;&lt; não enconrado &gt;&gt;")</f>
        <v>REJUNTE BRANCO - SACO COM 01 KG</v>
      </c>
      <c r="C143" s="4" t="str">
        <f>IFERROR(VLOOKUP(tabExtras[CÓDIGO],tabListaItens[#Data],3,FALSE),"")</f>
        <v>SO</v>
      </c>
      <c r="D143" s="25" t="s">
        <v>1436</v>
      </c>
      <c r="E143" s="28">
        <v>43861</v>
      </c>
      <c r="F143" s="32">
        <v>30</v>
      </c>
      <c r="G143" s="40">
        <v>38</v>
      </c>
      <c r="H143" s="37">
        <f>tabExtras[FATOR] * tabExtras[QUANTIDADE]</f>
        <v>1140</v>
      </c>
      <c r="I143" s="42"/>
      <c r="J143" s="19" t="s">
        <v>1434</v>
      </c>
      <c r="K143" s="20">
        <v>43850.592881944445</v>
      </c>
      <c r="L143" s="73" t="str">
        <f>_xlfn.IFNA(IF(VLOOKUP($A143,tabExcluirDoEstoque[#Data],1,FALSE),"sim",""),"")</f>
        <v/>
      </c>
      <c r="M143" s="4" t="str">
        <f t="shared" si="2"/>
        <v>*</v>
      </c>
    </row>
    <row r="144" spans="1:13" ht="15.75" x14ac:dyDescent="0.25">
      <c r="A144" s="24">
        <v>56519</v>
      </c>
      <c r="B144" s="3" t="str">
        <f>IFERROR(VLOOKUP(tabExtras[CÓDIGO],tabListaItens[#Data],2,FALSE),"&lt;&lt; não enconrado &gt;&gt;")</f>
        <v>FOLHA DE PORTA TIPO MEXICANA - MED.: 0,82 X 2,10 M</v>
      </c>
      <c r="C144" s="4" t="str">
        <f>IFERROR(VLOOKUP(tabExtras[CÓDIGO],tabListaItens[#Data],3,FALSE),"")</f>
        <v>PC</v>
      </c>
      <c r="D144" s="25" t="s">
        <v>1436</v>
      </c>
      <c r="E144" s="28">
        <v>43861</v>
      </c>
      <c r="F144" s="32">
        <v>30</v>
      </c>
      <c r="G144" s="40">
        <v>1</v>
      </c>
      <c r="H144" s="37">
        <f>tabExtras[FATOR] * tabExtras[QUANTIDADE]</f>
        <v>30</v>
      </c>
      <c r="I144" s="43"/>
      <c r="J144" s="21" t="s">
        <v>1434</v>
      </c>
      <c r="K144" s="22">
        <v>43850.592881944445</v>
      </c>
      <c r="L144" s="74" t="str">
        <f>_xlfn.IFNA(IF(VLOOKUP($A144,tabExcluirDoEstoque[#Data],1,FALSE),"sim",""),"")</f>
        <v/>
      </c>
      <c r="M144" s="4" t="str">
        <f t="shared" si="2"/>
        <v>*</v>
      </c>
    </row>
    <row r="145" spans="1:13" ht="15.75" x14ac:dyDescent="0.25">
      <c r="A145" s="24">
        <v>58706</v>
      </c>
      <c r="B145" s="3" t="str">
        <f>IFERROR(VLOOKUP(tabExtras[CÓDIGO],tabListaItens[#Data],2,FALSE),"&lt;&lt; não enconrado &gt;&gt;")</f>
        <v>PONTALETE DE CEDRINHO 3" X 3" - COM 03 METROS DE COMPRIMENT</v>
      </c>
      <c r="C145" s="4" t="str">
        <f>IFERROR(VLOOKUP(tabExtras[CÓDIGO],tabListaItens[#Data],3,FALSE),"")</f>
        <v>PC</v>
      </c>
      <c r="D145" s="25" t="s">
        <v>1436</v>
      </c>
      <c r="E145" s="28">
        <v>43861</v>
      </c>
      <c r="F145" s="32">
        <v>30</v>
      </c>
      <c r="G145" s="40">
        <v>15</v>
      </c>
      <c r="H145" s="37">
        <f>tabExtras[FATOR] * tabExtras[QUANTIDADE]</f>
        <v>450</v>
      </c>
      <c r="I145" s="43"/>
      <c r="J145" s="21" t="s">
        <v>1434</v>
      </c>
      <c r="K145" s="22">
        <v>43850.592881944445</v>
      </c>
      <c r="L145" s="74" t="str">
        <f>_xlfn.IFNA(IF(VLOOKUP($A145,tabExcluirDoEstoque[#Data],1,FALSE),"sim",""),"")</f>
        <v/>
      </c>
      <c r="M145" s="4" t="str">
        <f t="shared" si="2"/>
        <v>*</v>
      </c>
    </row>
    <row r="146" spans="1:13" ht="15.75" x14ac:dyDescent="0.25">
      <c r="A146" s="24">
        <v>59882</v>
      </c>
      <c r="B146" s="3" t="str">
        <f>IFERROR(VLOOKUP(tabExtras[CÓDIGO],tabListaItens[#Data],2,FALSE),"&lt;&lt; não enconrado &gt;&gt;")</f>
        <v>BARRA/FIO REDONDO DE ACO CA 50 P/CONSTRUCAO NBR 7480 - 3/8"</v>
      </c>
      <c r="C146" s="4" t="str">
        <f>IFERROR(VLOOKUP(tabExtras[CÓDIGO],tabListaItens[#Data],3,FALSE),"")</f>
        <v>BR</v>
      </c>
      <c r="D146" s="25" t="s">
        <v>1436</v>
      </c>
      <c r="E146" s="28">
        <v>43861</v>
      </c>
      <c r="F146" s="32">
        <v>30</v>
      </c>
      <c r="G146" s="40">
        <v>18</v>
      </c>
      <c r="H146" s="37">
        <f>tabExtras[FATOR] * tabExtras[QUANTIDADE]</f>
        <v>540</v>
      </c>
      <c r="I146" s="43"/>
      <c r="J146" s="21" t="s">
        <v>1434</v>
      </c>
      <c r="K146" s="22">
        <v>43850.592881944445</v>
      </c>
      <c r="L146" s="74" t="str">
        <f>_xlfn.IFNA(IF(VLOOKUP($A146,tabExcluirDoEstoque[#Data],1,FALSE),"sim",""),"")</f>
        <v/>
      </c>
      <c r="M146" s="4" t="str">
        <f t="shared" si="2"/>
        <v>*</v>
      </c>
    </row>
    <row r="147" spans="1:13" ht="15.75" x14ac:dyDescent="0.25">
      <c r="A147" s="24">
        <v>60116</v>
      </c>
      <c r="B147" s="3" t="str">
        <f>IFERROR(VLOOKUP(tabExtras[CÓDIGO],tabListaItens[#Data],2,FALSE),"&lt;&lt; não enconrado &gt;&gt;")</f>
        <v>TUBO DESCARGA PONTA AZUL - 18</v>
      </c>
      <c r="C147" s="4" t="str">
        <f>IFERROR(VLOOKUP(tabExtras[CÓDIGO],tabListaItens[#Data],3,FALSE),"")</f>
        <v>PC</v>
      </c>
      <c r="D147" s="25" t="s">
        <v>1436</v>
      </c>
      <c r="E147" s="28">
        <v>43861</v>
      </c>
      <c r="F147" s="32">
        <v>30</v>
      </c>
      <c r="G147" s="40">
        <v>1</v>
      </c>
      <c r="H147" s="37">
        <f>tabExtras[FATOR] * tabExtras[QUANTIDADE]</f>
        <v>30</v>
      </c>
      <c r="I147" s="43"/>
      <c r="J147" s="21" t="s">
        <v>1434</v>
      </c>
      <c r="K147" s="22">
        <v>43850.592881944445</v>
      </c>
      <c r="L147" s="74" t="str">
        <f>_xlfn.IFNA(IF(VLOOKUP($A147,tabExcluirDoEstoque[#Data],1,FALSE),"sim",""),"")</f>
        <v/>
      </c>
      <c r="M147" s="4" t="str">
        <f t="shared" si="2"/>
        <v>*</v>
      </c>
    </row>
    <row r="148" spans="1:13" ht="15.75" x14ac:dyDescent="0.25">
      <c r="A148" s="24">
        <v>61201</v>
      </c>
      <c r="B148" s="3" t="str">
        <f>IFERROR(VLOOKUP(tabExtras[CÓDIGO],tabListaItens[#Data],2,FALSE),"&lt;&lt; não enconrado &gt;&gt;")</f>
        <v>LUVA DE PVC SOLDAVEL / ROSQUEAVEL AZUL - 3/4"</v>
      </c>
      <c r="C148" s="4" t="str">
        <f>IFERROR(VLOOKUP(tabExtras[CÓDIGO],tabListaItens[#Data],3,FALSE),"")</f>
        <v>PC</v>
      </c>
      <c r="D148" s="25" t="s">
        <v>1436</v>
      </c>
      <c r="E148" s="28">
        <v>43861</v>
      </c>
      <c r="F148" s="32">
        <v>30</v>
      </c>
      <c r="G148" s="40">
        <v>6</v>
      </c>
      <c r="H148" s="37">
        <f>tabExtras[FATOR] * tabExtras[QUANTIDADE]</f>
        <v>180</v>
      </c>
      <c r="I148" s="43"/>
      <c r="J148" s="21" t="s">
        <v>1434</v>
      </c>
      <c r="K148" s="22">
        <v>43850.592881944445</v>
      </c>
      <c r="L148" s="74" t="str">
        <f>_xlfn.IFNA(IF(VLOOKUP($A148,tabExcluirDoEstoque[#Data],1,FALSE),"sim",""),"")</f>
        <v/>
      </c>
      <c r="M148" s="4" t="str">
        <f t="shared" si="2"/>
        <v>*</v>
      </c>
    </row>
    <row r="149" spans="1:13" ht="15.75" x14ac:dyDescent="0.25">
      <c r="A149" s="24">
        <v>64635</v>
      </c>
      <c r="B149" s="3" t="str">
        <f>IFERROR(VLOOKUP(tabExtras[CÓDIGO],tabListaItens[#Data],2,FALSE),"&lt;&lt; não enconrado &gt;&gt;")</f>
        <v>LUVA DE REDUCAO EM PVC RIGIDO - BRANCA - 150 X 100 MM - 6"</v>
      </c>
      <c r="C149" s="4" t="str">
        <f>IFERROR(VLOOKUP(tabExtras[CÓDIGO],tabListaItens[#Data],3,FALSE),"")</f>
        <v>PC</v>
      </c>
      <c r="D149" s="25" t="s">
        <v>1436</v>
      </c>
      <c r="E149" s="29">
        <v>43861</v>
      </c>
      <c r="F149" s="33">
        <v>30</v>
      </c>
      <c r="G149" s="41">
        <v>1</v>
      </c>
      <c r="H149" s="37">
        <f>tabExtras[FATOR] * tabExtras[QUANTIDADE]</f>
        <v>30</v>
      </c>
      <c r="I149" s="42"/>
      <c r="J149" s="19" t="s">
        <v>1434</v>
      </c>
      <c r="K149" s="20">
        <v>43850.592881944445</v>
      </c>
      <c r="L149" s="73" t="str">
        <f>_xlfn.IFNA(IF(VLOOKUP($A149,tabExcluirDoEstoque[#Data],1,FALSE),"sim",""),"")</f>
        <v/>
      </c>
      <c r="M149" s="4" t="str">
        <f t="shared" si="2"/>
        <v>*</v>
      </c>
    </row>
    <row r="150" spans="1:13" ht="15.75" x14ac:dyDescent="0.25">
      <c r="A150" s="24">
        <v>64636</v>
      </c>
      <c r="B150" s="3" t="str">
        <f>IFERROR(VLOOKUP(tabExtras[CÓDIGO],tabListaItens[#Data],2,FALSE),"&lt;&lt; não enconrado &gt;&gt;")</f>
        <v>LUVA DE REDUCAO EM PVC RIGIDO - MARROM - SOLDAVEL - 1.1/2"</v>
      </c>
      <c r="C150" s="4" t="str">
        <f>IFERROR(VLOOKUP(tabExtras[CÓDIGO],tabListaItens[#Data],3,FALSE),"")</f>
        <v>PC</v>
      </c>
      <c r="D150" s="25" t="s">
        <v>1436</v>
      </c>
      <c r="E150" s="28">
        <v>43861</v>
      </c>
      <c r="F150" s="32">
        <v>30</v>
      </c>
      <c r="G150" s="40">
        <v>1</v>
      </c>
      <c r="H150" s="37">
        <f>tabExtras[FATOR] * tabExtras[QUANTIDADE]</f>
        <v>30</v>
      </c>
      <c r="I150" s="43"/>
      <c r="J150" s="21" t="s">
        <v>1434</v>
      </c>
      <c r="K150" s="22">
        <v>43850.592881944445</v>
      </c>
      <c r="L150" s="74" t="str">
        <f>_xlfn.IFNA(IF(VLOOKUP($A150,tabExcluirDoEstoque[#Data],1,FALSE),"sim",""),"")</f>
        <v/>
      </c>
      <c r="M150" s="4" t="str">
        <f t="shared" si="2"/>
        <v>*</v>
      </c>
    </row>
    <row r="151" spans="1:13" ht="15.75" x14ac:dyDescent="0.25">
      <c r="A151" s="24">
        <v>64647</v>
      </c>
      <c r="B151" s="3" t="str">
        <f>IFERROR(VLOOKUP(tabExtras[CÓDIGO],tabListaItens[#Data],2,FALSE),"&lt;&lt; não enconrado &gt;&gt;")</f>
        <v>TE DE REDUCAO EM PVC RIGIDO - SOLDAVEL - 150 X 100 MM - 6"</v>
      </c>
      <c r="C151" s="4" t="str">
        <f>IFERROR(VLOOKUP(tabExtras[CÓDIGO],tabListaItens[#Data],3,FALSE),"")</f>
        <v>PC</v>
      </c>
      <c r="D151" s="25" t="s">
        <v>1436</v>
      </c>
      <c r="E151" s="28">
        <v>43861</v>
      </c>
      <c r="F151" s="32">
        <v>30</v>
      </c>
      <c r="G151" s="40">
        <v>1</v>
      </c>
      <c r="H151" s="37">
        <f>tabExtras[FATOR] * tabExtras[QUANTIDADE]</f>
        <v>30</v>
      </c>
      <c r="I151" s="43"/>
      <c r="J151" s="21" t="s">
        <v>1434</v>
      </c>
      <c r="K151" s="22">
        <v>43850.592881944445</v>
      </c>
      <c r="L151" s="74" t="str">
        <f>_xlfn.IFNA(IF(VLOOKUP($A151,tabExcluirDoEstoque[#Data],1,FALSE),"sim",""),"")</f>
        <v/>
      </c>
      <c r="M151" s="4" t="str">
        <f t="shared" si="2"/>
        <v>*</v>
      </c>
    </row>
    <row r="152" spans="1:13" ht="15.75" x14ac:dyDescent="0.25">
      <c r="A152" s="24">
        <v>64822</v>
      </c>
      <c r="B152" s="3" t="str">
        <f>IFERROR(VLOOKUP(tabExtras[CÓDIGO],tabListaItens[#Data],2,FALSE),"&lt;&lt; não enconrado &gt;&gt;")</f>
        <v>TINTA P/ PISO - BRANCA - C/ 18 LT</v>
      </c>
      <c r="C152" s="4" t="str">
        <f>IFERROR(VLOOKUP(tabExtras[CÓDIGO],tabListaItens[#Data],3,FALSE),"")</f>
        <v>LT</v>
      </c>
      <c r="D152" s="25" t="s">
        <v>1436</v>
      </c>
      <c r="E152" s="28">
        <v>43861</v>
      </c>
      <c r="F152" s="32">
        <v>30</v>
      </c>
      <c r="G152" s="40">
        <v>1</v>
      </c>
      <c r="H152" s="37">
        <f>tabExtras[FATOR] * tabExtras[QUANTIDADE]</f>
        <v>30</v>
      </c>
      <c r="I152" s="43"/>
      <c r="J152" s="21" t="s">
        <v>1434</v>
      </c>
      <c r="K152" s="22">
        <v>43850.592881944445</v>
      </c>
      <c r="L152" s="74" t="str">
        <f>_xlfn.IFNA(IF(VLOOKUP($A152,tabExcluirDoEstoque[#Data],1,FALSE),"sim",""),"")</f>
        <v>sim</v>
      </c>
      <c r="M152" s="4" t="str">
        <f t="shared" si="2"/>
        <v>*</v>
      </c>
    </row>
    <row r="153" spans="1:13" ht="15.75" x14ac:dyDescent="0.25">
      <c r="A153" s="24">
        <v>65748</v>
      </c>
      <c r="B153" s="3" t="str">
        <f>IFERROR(VLOOKUP(tabExtras[CÓDIGO],tabListaItens[#Data],2,FALSE),"&lt;&lt; não enconrado &gt;&gt;")</f>
        <v>CABO FLEXIVEL - 2,5 MM2 - VERDE</v>
      </c>
      <c r="C153" s="4" t="str">
        <f>IFERROR(VLOOKUP(tabExtras[CÓDIGO],tabListaItens[#Data],3,FALSE),"")</f>
        <v>M</v>
      </c>
      <c r="D153" s="25" t="s">
        <v>1436</v>
      </c>
      <c r="E153" s="28">
        <v>43861</v>
      </c>
      <c r="F153" s="32">
        <v>30</v>
      </c>
      <c r="G153" s="40">
        <v>100</v>
      </c>
      <c r="H153" s="37">
        <f>tabExtras[FATOR] * tabExtras[QUANTIDADE]</f>
        <v>3000</v>
      </c>
      <c r="I153" s="43"/>
      <c r="J153" s="21" t="s">
        <v>1434</v>
      </c>
      <c r="K153" s="22">
        <v>43850.592881944445</v>
      </c>
      <c r="L153" s="74" t="str">
        <f>_xlfn.IFNA(IF(VLOOKUP($A153,tabExcluirDoEstoque[#Data],1,FALSE),"sim",""),"")</f>
        <v>sim</v>
      </c>
      <c r="M153" s="4" t="str">
        <f t="shared" si="2"/>
        <v>*</v>
      </c>
    </row>
    <row r="154" spans="1:13" ht="15.75" x14ac:dyDescent="0.25">
      <c r="A154" s="24">
        <v>67376</v>
      </c>
      <c r="B154" s="3" t="str">
        <f>IFERROR(VLOOKUP(tabExtras[CÓDIGO],tabListaItens[#Data],2,FALSE),"&lt;&lt; não enconrado &gt;&gt;")</f>
        <v>CUMEEIRA DE FIBRA SINTETICA 10 GRAUS PARA TELHA ONDULADA ES</v>
      </c>
      <c r="C154" s="4" t="str">
        <f>IFERROR(VLOOKUP(tabExtras[CÓDIGO],tabListaItens[#Data],3,FALSE),"")</f>
        <v>PC</v>
      </c>
      <c r="D154" s="25" t="s">
        <v>1436</v>
      </c>
      <c r="E154" s="28">
        <v>43861</v>
      </c>
      <c r="F154" s="32">
        <v>30</v>
      </c>
      <c r="G154" s="40">
        <v>13</v>
      </c>
      <c r="H154" s="37">
        <f>tabExtras[FATOR] * tabExtras[QUANTIDADE]</f>
        <v>390</v>
      </c>
      <c r="I154" s="43"/>
      <c r="J154" s="21" t="s">
        <v>1434</v>
      </c>
      <c r="K154" s="22">
        <v>43850.592881944445</v>
      </c>
      <c r="L154" s="74" t="str">
        <f>_xlfn.IFNA(IF(VLOOKUP($A154,tabExcluirDoEstoque[#Data],1,FALSE),"sim",""),"")</f>
        <v/>
      </c>
      <c r="M154" s="4" t="str">
        <f t="shared" si="2"/>
        <v>*</v>
      </c>
    </row>
    <row r="155" spans="1:13" ht="15.75" x14ac:dyDescent="0.25">
      <c r="A155" s="24">
        <v>69229</v>
      </c>
      <c r="B155" s="3" t="str">
        <f>IFERROR(VLOOKUP(tabExtras[CÓDIGO],tabListaItens[#Data],2,FALSE),"&lt;&lt; não enconrado &gt;&gt;")</f>
        <v>TINTA ACRILICA P/ DEMARCACAO DE SOLO - BALDE C/ 18 LITROS -</v>
      </c>
      <c r="C155" s="4" t="str">
        <f>IFERROR(VLOOKUP(tabExtras[CÓDIGO],tabListaItens[#Data],3,FALSE),"")</f>
        <v>BD</v>
      </c>
      <c r="D155" s="25" t="s">
        <v>1436</v>
      </c>
      <c r="E155" s="28">
        <v>43861</v>
      </c>
      <c r="F155" s="32">
        <v>30</v>
      </c>
      <c r="G155" s="40">
        <v>2</v>
      </c>
      <c r="H155" s="37">
        <f>tabExtras[FATOR] * tabExtras[QUANTIDADE]</f>
        <v>60</v>
      </c>
      <c r="I155" s="43"/>
      <c r="J155" s="21" t="s">
        <v>1434</v>
      </c>
      <c r="K155" s="22">
        <v>43850.592881944445</v>
      </c>
      <c r="L155" s="74" t="str">
        <f>_xlfn.IFNA(IF(VLOOKUP($A155,tabExcluirDoEstoque[#Data],1,FALSE),"sim",""),"")</f>
        <v/>
      </c>
      <c r="M155" s="4" t="str">
        <f t="shared" si="2"/>
        <v>*</v>
      </c>
    </row>
    <row r="156" spans="1:13" ht="15.75" x14ac:dyDescent="0.25">
      <c r="A156" s="24">
        <v>74124</v>
      </c>
      <c r="B156" s="3" t="str">
        <f>IFERROR(VLOOKUP(tabExtras[CÓDIGO],tabListaItens[#Data],2,FALSE),"&lt;&lt; não enconrado &gt;&gt;")</f>
        <v>CABO FLEXIVEL - 1,5MM - PRETO</v>
      </c>
      <c r="C156" s="4" t="str">
        <f>IFERROR(VLOOKUP(tabExtras[CÓDIGO],tabListaItens[#Data],3,FALSE),"")</f>
        <v>M</v>
      </c>
      <c r="D156" s="25" t="s">
        <v>1436</v>
      </c>
      <c r="E156" s="28">
        <v>43861</v>
      </c>
      <c r="F156" s="32">
        <v>30</v>
      </c>
      <c r="G156" s="40">
        <v>50</v>
      </c>
      <c r="H156" s="37">
        <f>tabExtras[FATOR] * tabExtras[QUANTIDADE]</f>
        <v>1500</v>
      </c>
      <c r="I156" s="43"/>
      <c r="J156" s="21" t="s">
        <v>1434</v>
      </c>
      <c r="K156" s="22">
        <v>43850.592881944445</v>
      </c>
      <c r="L156" s="74" t="str">
        <f>_xlfn.IFNA(IF(VLOOKUP($A156,tabExcluirDoEstoque[#Data],1,FALSE),"sim",""),"")</f>
        <v>sim</v>
      </c>
      <c r="M156" s="4" t="str">
        <f t="shared" si="2"/>
        <v>*</v>
      </c>
    </row>
    <row r="157" spans="1:13" ht="15.75" x14ac:dyDescent="0.25">
      <c r="A157" s="24">
        <v>74907</v>
      </c>
      <c r="B157" s="3" t="str">
        <f>IFERROR(VLOOKUP(tabExtras[CÓDIGO],tabListaItens[#Data],2,FALSE),"&lt;&lt; não enconrado &gt;&gt;")</f>
        <v>VIGA DE GARAPEIRA BRUTA - MEDIDAS: 06 CM X 16 CM X 5,50 M</v>
      </c>
      <c r="C157" s="4" t="str">
        <f>IFERROR(VLOOKUP(tabExtras[CÓDIGO],tabListaItens[#Data],3,FALSE),"")</f>
        <v>PC</v>
      </c>
      <c r="D157" s="25" t="s">
        <v>1436</v>
      </c>
      <c r="E157" s="28">
        <v>43861</v>
      </c>
      <c r="F157" s="32">
        <v>30</v>
      </c>
      <c r="G157" s="40">
        <v>4</v>
      </c>
      <c r="H157" s="37">
        <f>tabExtras[FATOR] * tabExtras[QUANTIDADE]</f>
        <v>120</v>
      </c>
      <c r="I157" s="43"/>
      <c r="J157" s="21" t="s">
        <v>1434</v>
      </c>
      <c r="K157" s="22">
        <v>43850.592881944445</v>
      </c>
      <c r="L157" s="74" t="str">
        <f>_xlfn.IFNA(IF(VLOOKUP($A157,tabExcluirDoEstoque[#Data],1,FALSE),"sim",""),"")</f>
        <v/>
      </c>
      <c r="M157" s="4" t="str">
        <f t="shared" si="2"/>
        <v>*</v>
      </c>
    </row>
    <row r="158" spans="1:13" ht="15.75" x14ac:dyDescent="0.25">
      <c r="A158" s="24">
        <v>74908</v>
      </c>
      <c r="B158" s="3" t="str">
        <f>IFERROR(VLOOKUP(tabExtras[CÓDIGO],tabListaItens[#Data],2,FALSE),"&lt;&lt; não enconrado &gt;&gt;")</f>
        <v>VIGA DE GARAPEIRA BRUTA - MEDIDAS: 06 CM X 16 CM X 4,00 M</v>
      </c>
      <c r="C158" s="4" t="str">
        <f>IFERROR(VLOOKUP(tabExtras[CÓDIGO],tabListaItens[#Data],3,FALSE),"")</f>
        <v>PC</v>
      </c>
      <c r="D158" s="25" t="s">
        <v>1436</v>
      </c>
      <c r="E158" s="28">
        <v>43861</v>
      </c>
      <c r="F158" s="32">
        <v>30</v>
      </c>
      <c r="G158" s="40">
        <v>3</v>
      </c>
      <c r="H158" s="37">
        <f>tabExtras[FATOR] * tabExtras[QUANTIDADE]</f>
        <v>90</v>
      </c>
      <c r="I158" s="43"/>
      <c r="J158" s="21" t="s">
        <v>1434</v>
      </c>
      <c r="K158" s="22">
        <v>43850.592881944445</v>
      </c>
      <c r="L158" s="74" t="str">
        <f>_xlfn.IFNA(IF(VLOOKUP($A158,tabExcluirDoEstoque[#Data],1,FALSE),"sim",""),"")</f>
        <v/>
      </c>
      <c r="M158" s="4" t="str">
        <f t="shared" si="2"/>
        <v>*</v>
      </c>
    </row>
    <row r="159" spans="1:13" ht="15.75" x14ac:dyDescent="0.25">
      <c r="A159" s="24">
        <v>74911</v>
      </c>
      <c r="B159" s="3" t="str">
        <f>IFERROR(VLOOKUP(tabExtras[CÓDIGO],tabListaItens[#Data],2,FALSE),"&lt;&lt; não enconrado &gt;&gt;")</f>
        <v>VIGA DE GARAPEIRA BRUTA - 6 X 12 CM X 4,50 M COMPRIMENTO</v>
      </c>
      <c r="C159" s="4" t="str">
        <f>IFERROR(VLOOKUP(tabExtras[CÓDIGO],tabListaItens[#Data],3,FALSE),"")</f>
        <v>PC</v>
      </c>
      <c r="D159" s="25" t="s">
        <v>1436</v>
      </c>
      <c r="E159" s="28">
        <v>43861</v>
      </c>
      <c r="F159" s="32">
        <v>30</v>
      </c>
      <c r="G159" s="40">
        <v>3</v>
      </c>
      <c r="H159" s="37">
        <f>tabExtras[FATOR] * tabExtras[QUANTIDADE]</f>
        <v>90</v>
      </c>
      <c r="I159" s="43"/>
      <c r="J159" s="21" t="s">
        <v>1434</v>
      </c>
      <c r="K159" s="22">
        <v>43850.592881944445</v>
      </c>
      <c r="L159" s="74" t="str">
        <f>_xlfn.IFNA(IF(VLOOKUP($A159,tabExcluirDoEstoque[#Data],1,FALSE),"sim",""),"")</f>
        <v/>
      </c>
      <c r="M159" s="4" t="str">
        <f t="shared" si="2"/>
        <v>*</v>
      </c>
    </row>
    <row r="160" spans="1:13" ht="15.75" x14ac:dyDescent="0.25">
      <c r="A160" s="24">
        <v>76776</v>
      </c>
      <c r="B160" s="3" t="str">
        <f>IFERROR(VLOOKUP(tabExtras[CÓDIGO],tabListaItens[#Data],2,FALSE),"&lt;&lt; não enconrado &gt;&gt;")</f>
        <v>CABO FLEXIVEL BITOLA 4,0 MM2, 750 VOLTS, ISOLACAO DE PVC 70° C, COR PRETA</v>
      </c>
      <c r="C160" s="4" t="str">
        <f>IFERROR(VLOOKUP(tabExtras[CÓDIGO],tabListaItens[#Data],3,FALSE),"")</f>
        <v>M</v>
      </c>
      <c r="D160" s="25" t="s">
        <v>1436</v>
      </c>
      <c r="E160" s="28">
        <v>43861</v>
      </c>
      <c r="F160" s="32">
        <v>30</v>
      </c>
      <c r="G160" s="40">
        <v>50</v>
      </c>
      <c r="H160" s="37">
        <f>tabExtras[FATOR] * tabExtras[QUANTIDADE]</f>
        <v>1500</v>
      </c>
      <c r="I160" s="43"/>
      <c r="J160" s="21" t="s">
        <v>1434</v>
      </c>
      <c r="K160" s="22">
        <v>43850.592881944445</v>
      </c>
      <c r="L160" s="74" t="str">
        <f>_xlfn.IFNA(IF(VLOOKUP($A160,tabExcluirDoEstoque[#Data],1,FALSE),"sim",""),"")</f>
        <v>sim</v>
      </c>
      <c r="M160" s="4" t="str">
        <f t="shared" si="2"/>
        <v>*</v>
      </c>
    </row>
    <row r="161" spans="1:13" ht="15.75" x14ac:dyDescent="0.25">
      <c r="A161" s="24">
        <v>76806</v>
      </c>
      <c r="B161" s="3" t="str">
        <f>IFERROR(VLOOKUP(tabExtras[CÓDIGO],tabListaItens[#Data],2,FALSE),"&lt;&lt; não enconrado &gt;&gt;")</f>
        <v>PERFILADO - 38 X 38 MM, PERFURADO,  C/ 6M DE COMPRIMENTO</v>
      </c>
      <c r="C161" s="4" t="str">
        <f>IFERROR(VLOOKUP(tabExtras[CÓDIGO],tabListaItens[#Data],3,FALSE),"")</f>
        <v>BR</v>
      </c>
      <c r="D161" s="25" t="s">
        <v>1436</v>
      </c>
      <c r="E161" s="28">
        <v>43861</v>
      </c>
      <c r="F161" s="32">
        <v>30</v>
      </c>
      <c r="G161" s="40">
        <v>4</v>
      </c>
      <c r="H161" s="37">
        <f>tabExtras[FATOR] * tabExtras[QUANTIDADE]</f>
        <v>120</v>
      </c>
      <c r="I161" s="43"/>
      <c r="J161" s="21" t="s">
        <v>1434</v>
      </c>
      <c r="K161" s="22">
        <v>43850.592881944445</v>
      </c>
      <c r="L161" s="74" t="str">
        <f>_xlfn.IFNA(IF(VLOOKUP($A161,tabExcluirDoEstoque[#Data],1,FALSE),"sim",""),"")</f>
        <v/>
      </c>
      <c r="M161" s="4" t="str">
        <f t="shared" si="2"/>
        <v>*</v>
      </c>
    </row>
    <row r="162" spans="1:13" ht="15.75" x14ac:dyDescent="0.25">
      <c r="A162" s="24">
        <v>77554</v>
      </c>
      <c r="B162" s="3" t="str">
        <f>IFERROR(VLOOKUP(tabExtras[CÓDIGO],tabListaItens[#Data],2,FALSE),"&lt;&lt; não enconrado &gt;&gt;")</f>
        <v>VIGA DE GARAPEIRA BRUTA - 6 CM X 12 CM X 5,50 M COMPRIMENTO</v>
      </c>
      <c r="C162" s="4" t="str">
        <f>IFERROR(VLOOKUP(tabExtras[CÓDIGO],tabListaItens[#Data],3,FALSE),"")</f>
        <v>PC</v>
      </c>
      <c r="D162" s="25" t="s">
        <v>1436</v>
      </c>
      <c r="E162" s="28">
        <v>43861</v>
      </c>
      <c r="F162" s="32">
        <v>30</v>
      </c>
      <c r="G162" s="40">
        <v>11</v>
      </c>
      <c r="H162" s="37">
        <f>tabExtras[FATOR] * tabExtras[QUANTIDADE]</f>
        <v>330</v>
      </c>
      <c r="I162" s="43"/>
      <c r="J162" s="21" t="s">
        <v>1434</v>
      </c>
      <c r="K162" s="22">
        <v>43850.592881944445</v>
      </c>
      <c r="L162" s="74" t="str">
        <f>_xlfn.IFNA(IF(VLOOKUP($A162,tabExcluirDoEstoque[#Data],1,FALSE),"sim",""),"")</f>
        <v/>
      </c>
      <c r="M162" s="4" t="str">
        <f t="shared" si="2"/>
        <v>*</v>
      </c>
    </row>
    <row r="163" spans="1:13" ht="15.75" x14ac:dyDescent="0.25">
      <c r="A163" s="24">
        <v>77556</v>
      </c>
      <c r="B163" s="3" t="str">
        <f>IFERROR(VLOOKUP(tabExtras[CÓDIGO],tabListaItens[#Data],2,FALSE),"&lt;&lt; não enconrado &gt;&gt;")</f>
        <v>VIGA DE GARAPEIRA BRUTA - MEDIDAS: 06 CM X 16 CM X 4,50 M</v>
      </c>
      <c r="C163" s="4" t="str">
        <f>IFERROR(VLOOKUP(tabExtras[CÓDIGO],tabListaItens[#Data],3,FALSE),"")</f>
        <v>PC</v>
      </c>
      <c r="D163" s="25" t="s">
        <v>1436</v>
      </c>
      <c r="E163" s="28">
        <v>43861</v>
      </c>
      <c r="F163" s="32">
        <v>30</v>
      </c>
      <c r="G163" s="40">
        <v>4</v>
      </c>
      <c r="H163" s="37">
        <f>tabExtras[FATOR] * tabExtras[QUANTIDADE]</f>
        <v>120</v>
      </c>
      <c r="I163" s="43"/>
      <c r="J163" s="21" t="s">
        <v>1434</v>
      </c>
      <c r="K163" s="22">
        <v>43850.592881944445</v>
      </c>
      <c r="L163" s="74" t="str">
        <f>_xlfn.IFNA(IF(VLOOKUP($A163,tabExcluirDoEstoque[#Data],1,FALSE),"sim",""),"")</f>
        <v/>
      </c>
      <c r="M163" s="4" t="str">
        <f t="shared" si="2"/>
        <v>*</v>
      </c>
    </row>
    <row r="164" spans="1:13" ht="15.75" x14ac:dyDescent="0.25">
      <c r="A164" s="24">
        <v>77562</v>
      </c>
      <c r="B164" s="3" t="str">
        <f>IFERROR(VLOOKUP(tabExtras[CÓDIGO],tabListaItens[#Data],2,FALSE),"&lt;&lt; não enconrado &gt;&gt;")</f>
        <v>SARRAFO DE CEDRINHO DE 1ª, 25 X 100 M/M, BRUTO DE 4,00 M COMPRIMENTO</v>
      </c>
      <c r="C164" s="4" t="str">
        <f>IFERROR(VLOOKUP(tabExtras[CÓDIGO],tabListaItens[#Data],3,FALSE),"")</f>
        <v>PC</v>
      </c>
      <c r="D164" s="25" t="s">
        <v>1436</v>
      </c>
      <c r="E164" s="28">
        <v>43861</v>
      </c>
      <c r="F164" s="32">
        <v>30</v>
      </c>
      <c r="G164" s="40">
        <v>280</v>
      </c>
      <c r="H164" s="37">
        <f>tabExtras[FATOR] * tabExtras[QUANTIDADE]</f>
        <v>8400</v>
      </c>
      <c r="I164" s="43"/>
      <c r="J164" s="21" t="s">
        <v>1434</v>
      </c>
      <c r="K164" s="22">
        <v>43850.592881944445</v>
      </c>
      <c r="L164" s="74" t="str">
        <f>_xlfn.IFNA(IF(VLOOKUP($A164,tabExcluirDoEstoque[#Data],1,FALSE),"sim",""),"")</f>
        <v/>
      </c>
      <c r="M164" s="4" t="str">
        <f t="shared" si="2"/>
        <v>*</v>
      </c>
    </row>
    <row r="165" spans="1:13" ht="15.75" x14ac:dyDescent="0.25">
      <c r="A165" s="24">
        <v>78416</v>
      </c>
      <c r="B165" s="3" t="str">
        <f>IFERROR(VLOOKUP(tabExtras[CÓDIGO],tabListaItens[#Data],2,FALSE),"&lt;&lt; não enconrado &gt;&gt;")</f>
        <v>PARAFUSO FRANCES - 1/2" X 8" - COM PORCA E ARRUELA</v>
      </c>
      <c r="C165" s="4" t="str">
        <f>IFERROR(VLOOKUP(tabExtras[CÓDIGO],tabListaItens[#Data],3,FALSE),"")</f>
        <v>PC</v>
      </c>
      <c r="D165" s="25" t="s">
        <v>1436</v>
      </c>
      <c r="E165" s="28">
        <v>43861</v>
      </c>
      <c r="F165" s="32">
        <v>30</v>
      </c>
      <c r="G165" s="40">
        <v>2</v>
      </c>
      <c r="H165" s="37">
        <f>tabExtras[FATOR] * tabExtras[QUANTIDADE]</f>
        <v>60</v>
      </c>
      <c r="I165" s="43"/>
      <c r="J165" s="21" t="s">
        <v>1434</v>
      </c>
      <c r="K165" s="22">
        <v>43850.592881944445</v>
      </c>
      <c r="L165" s="74" t="str">
        <f>_xlfn.IFNA(IF(VLOOKUP($A165,tabExcluirDoEstoque[#Data],1,FALSE),"sim",""),"")</f>
        <v/>
      </c>
      <c r="M165" s="4" t="str">
        <f t="shared" si="2"/>
        <v>*</v>
      </c>
    </row>
    <row r="166" spans="1:13" ht="15.75" x14ac:dyDescent="0.25">
      <c r="A166" s="24">
        <v>78646</v>
      </c>
      <c r="B166" s="3" t="str">
        <f>IFERROR(VLOOKUP(tabExtras[CÓDIGO],tabListaItens[#Data],2,FALSE),"&lt;&lt; não enconrado &gt;&gt;")</f>
        <v>TINTA GUACHE - POTE COM 250ML - COR VERMELHA</v>
      </c>
      <c r="C166" s="4" t="str">
        <f>IFERROR(VLOOKUP(tabExtras[CÓDIGO],tabListaItens[#Data],3,FALSE),"")</f>
        <v>PO</v>
      </c>
      <c r="D166" s="25" t="s">
        <v>1436</v>
      </c>
      <c r="E166" s="28">
        <v>43861</v>
      </c>
      <c r="F166" s="32">
        <v>30</v>
      </c>
      <c r="G166" s="40">
        <v>0</v>
      </c>
      <c r="H166" s="37">
        <f>tabExtras[FATOR] * tabExtras[QUANTIDADE]</f>
        <v>0</v>
      </c>
      <c r="I166" s="43" t="s">
        <v>70</v>
      </c>
      <c r="J166" s="21" t="s">
        <v>1434</v>
      </c>
      <c r="K166" s="22">
        <v>43850.592881944445</v>
      </c>
      <c r="L166" s="74" t="str">
        <f>_xlfn.IFNA(IF(VLOOKUP($A166,tabExcluirDoEstoque[#Data],1,FALSE),"sim",""),"")</f>
        <v/>
      </c>
      <c r="M166" s="4" t="str">
        <f t="shared" si="2"/>
        <v>*</v>
      </c>
    </row>
    <row r="167" spans="1:13" ht="15.75" x14ac:dyDescent="0.25">
      <c r="A167" s="24">
        <v>80300</v>
      </c>
      <c r="B167" s="3" t="str">
        <f>IFERROR(VLOOKUP(tabExtras[CÓDIGO],tabListaItens[#Data],2,FALSE),"&lt;&lt; não enconrado &gt;&gt;")</f>
        <v>BATENTE DE GARAPEIRA 0,92 X 2,10 M</v>
      </c>
      <c r="C167" s="4" t="str">
        <f>IFERROR(VLOOKUP(tabExtras[CÓDIGO],tabListaItens[#Data],3,FALSE),"")</f>
        <v>PC</v>
      </c>
      <c r="D167" s="25" t="s">
        <v>1436</v>
      </c>
      <c r="E167" s="28">
        <v>43861</v>
      </c>
      <c r="F167" s="32">
        <v>30</v>
      </c>
      <c r="G167" s="40">
        <v>2</v>
      </c>
      <c r="H167" s="37">
        <f>tabExtras[FATOR] * tabExtras[QUANTIDADE]</f>
        <v>60</v>
      </c>
      <c r="I167" s="43"/>
      <c r="J167" s="21" t="s">
        <v>1434</v>
      </c>
      <c r="K167" s="22">
        <v>43850.592881944445</v>
      </c>
      <c r="L167" s="74" t="str">
        <f>_xlfn.IFNA(IF(VLOOKUP($A167,tabExcluirDoEstoque[#Data],1,FALSE),"sim",""),"")</f>
        <v/>
      </c>
      <c r="M167" s="4" t="str">
        <f t="shared" si="2"/>
        <v>*</v>
      </c>
    </row>
    <row r="168" spans="1:13" ht="15.75" x14ac:dyDescent="0.25">
      <c r="A168" s="24">
        <v>80650</v>
      </c>
      <c r="B168" s="3" t="str">
        <f>IFERROR(VLOOKUP(tabExtras[CÓDIGO],tabListaItens[#Data],2,FALSE),"&lt;&lt; não enconrado &gt;&gt;")</f>
        <v>ABRACADEIRA GALVANIZADA TIPO "D" 1 1/4"</v>
      </c>
      <c r="C168" s="4" t="str">
        <f>IFERROR(VLOOKUP(tabExtras[CÓDIGO],tabListaItens[#Data],3,FALSE),"")</f>
        <v>PC</v>
      </c>
      <c r="D168" s="25" t="s">
        <v>1436</v>
      </c>
      <c r="E168" s="28">
        <v>43861</v>
      </c>
      <c r="F168" s="32">
        <v>30</v>
      </c>
      <c r="G168" s="40">
        <v>10</v>
      </c>
      <c r="H168" s="37">
        <f>tabExtras[FATOR] * tabExtras[QUANTIDADE]</f>
        <v>300</v>
      </c>
      <c r="I168" s="43"/>
      <c r="J168" s="21" t="s">
        <v>1434</v>
      </c>
      <c r="K168" s="22">
        <v>43850.592881944445</v>
      </c>
      <c r="L168" s="74" t="str">
        <f>_xlfn.IFNA(IF(VLOOKUP($A168,tabExcluirDoEstoque[#Data],1,FALSE),"sim",""),"")</f>
        <v>sim</v>
      </c>
      <c r="M168" s="4" t="str">
        <f t="shared" si="2"/>
        <v>*</v>
      </c>
    </row>
    <row r="169" spans="1:13" ht="30" x14ac:dyDescent="0.25">
      <c r="A169" s="24">
        <v>81514</v>
      </c>
      <c r="B169" s="3" t="str">
        <f>IFERROR(VLOOKUP(tabExtras[CÓDIGO],tabListaItens[#Data],2,FALSE),"&lt;&lt; não enconrado &gt;&gt;")</f>
        <v>PARAFUSO EM ACO BICROMATIZADO, CABECA CHATA - 3,5 X 16 MM - CABECA COM ENCAIXE PARA CHAVE PHILLIPS</v>
      </c>
      <c r="C169" s="4" t="str">
        <f>IFERROR(VLOOKUP(tabExtras[CÓDIGO],tabListaItens[#Data],3,FALSE),"")</f>
        <v>PC</v>
      </c>
      <c r="D169" s="25" t="s">
        <v>1436</v>
      </c>
      <c r="E169" s="28">
        <v>43861</v>
      </c>
      <c r="F169" s="32">
        <v>30</v>
      </c>
      <c r="G169" s="40">
        <v>700</v>
      </c>
      <c r="H169" s="37">
        <f>tabExtras[FATOR] * tabExtras[QUANTIDADE]</f>
        <v>21000</v>
      </c>
      <c r="I169" s="43"/>
      <c r="J169" s="21" t="s">
        <v>1434</v>
      </c>
      <c r="K169" s="22">
        <v>43850.592881944445</v>
      </c>
      <c r="L169" s="74" t="str">
        <f>_xlfn.IFNA(IF(VLOOKUP($A169,tabExcluirDoEstoque[#Data],1,FALSE),"sim",""),"")</f>
        <v/>
      </c>
      <c r="M169" s="4" t="str">
        <f t="shared" si="2"/>
        <v>*</v>
      </c>
    </row>
    <row r="170" spans="1:13" ht="15.75" x14ac:dyDescent="0.25">
      <c r="A170" s="24">
        <v>82185</v>
      </c>
      <c r="B170" s="3" t="str">
        <f>IFERROR(VLOOKUP(tabExtras[CÓDIGO],tabListaItens[#Data],2,FALSE),"&lt;&lt; não enconrado &gt;&gt;")</f>
        <v>VIGA DE GARAPEIRA BRUTA - 60MM X 160MM X 6,00 M COMPRIMENTO</v>
      </c>
      <c r="C170" s="4" t="str">
        <f>IFERROR(VLOOKUP(tabExtras[CÓDIGO],tabListaItens[#Data],3,FALSE),"")</f>
        <v>PC</v>
      </c>
      <c r="D170" s="25" t="s">
        <v>1436</v>
      </c>
      <c r="E170" s="28">
        <v>43861</v>
      </c>
      <c r="F170" s="32">
        <v>30</v>
      </c>
      <c r="G170" s="40">
        <v>8</v>
      </c>
      <c r="H170" s="37">
        <f>tabExtras[FATOR] * tabExtras[QUANTIDADE]</f>
        <v>240</v>
      </c>
      <c r="I170" s="43"/>
      <c r="J170" s="21" t="s">
        <v>1434</v>
      </c>
      <c r="K170" s="22">
        <v>43850.592881944445</v>
      </c>
      <c r="L170" s="74" t="str">
        <f>_xlfn.IFNA(IF(VLOOKUP($A170,tabExcluirDoEstoque[#Data],1,FALSE),"sim",""),"")</f>
        <v/>
      </c>
      <c r="M170" s="4" t="str">
        <f t="shared" si="2"/>
        <v>*</v>
      </c>
    </row>
    <row r="171" spans="1:13" ht="15.75" x14ac:dyDescent="0.25">
      <c r="A171" s="24">
        <v>87157</v>
      </c>
      <c r="B171" s="3" t="str">
        <f>IFERROR(VLOOKUP(tabExtras[CÓDIGO],tabListaItens[#Data],2,FALSE),"&lt;&lt; não enconrado &gt;&gt;")</f>
        <v>PASTILHA CERAMICA TELADA, 10 X 10 CM, COR VERDE</v>
      </c>
      <c r="C171" s="4" t="str">
        <f>IFERROR(VLOOKUP(tabExtras[CÓDIGO],tabListaItens[#Data],3,FALSE),"")</f>
        <v>M2</v>
      </c>
      <c r="D171" s="25" t="s">
        <v>1436</v>
      </c>
      <c r="E171" s="28">
        <v>43861</v>
      </c>
      <c r="F171" s="32">
        <v>30</v>
      </c>
      <c r="G171" s="40">
        <v>8</v>
      </c>
      <c r="H171" s="37">
        <f>tabExtras[FATOR] * tabExtras[QUANTIDADE]</f>
        <v>240</v>
      </c>
      <c r="I171" s="43"/>
      <c r="J171" s="21" t="s">
        <v>1434</v>
      </c>
      <c r="K171" s="22">
        <v>43850.592881944445</v>
      </c>
      <c r="L171" s="74" t="str">
        <f>_xlfn.IFNA(IF(VLOOKUP($A171,tabExcluirDoEstoque[#Data],1,FALSE),"sim",""),"")</f>
        <v>sim</v>
      </c>
      <c r="M171" s="4" t="str">
        <f t="shared" si="2"/>
        <v>*</v>
      </c>
    </row>
    <row r="172" spans="1:13" ht="15.75" x14ac:dyDescent="0.25">
      <c r="A172" s="24">
        <v>87586</v>
      </c>
      <c r="B172" s="3" t="str">
        <f>IFERROR(VLOOKUP(tabExtras[CÓDIGO],tabListaItens[#Data],2,FALSE),"&lt;&lt; não enconrado &gt;&gt;")</f>
        <v>TINTA ACRILICA P/ DEMARCACAO DE SOLO - BALDE C/ 18 L - VERMELHA - PADRAO DER 3.09</v>
      </c>
      <c r="C172" s="4" t="str">
        <f>IFERROR(VLOOKUP(tabExtras[CÓDIGO],tabListaItens[#Data],3,FALSE),"")</f>
        <v>BD</v>
      </c>
      <c r="D172" s="25" t="s">
        <v>1436</v>
      </c>
      <c r="E172" s="29">
        <v>43861</v>
      </c>
      <c r="F172" s="33">
        <v>30</v>
      </c>
      <c r="G172" s="41">
        <v>1</v>
      </c>
      <c r="H172" s="37">
        <f>tabExtras[FATOR] * tabExtras[QUANTIDADE]</f>
        <v>30</v>
      </c>
      <c r="I172" s="42"/>
      <c r="J172" s="19" t="s">
        <v>1434</v>
      </c>
      <c r="K172" s="20">
        <v>43850.592881944445</v>
      </c>
      <c r="L172" s="73" t="str">
        <f>_xlfn.IFNA(IF(VLOOKUP($A172,tabExcluirDoEstoque[#Data],1,FALSE),"sim",""),"")</f>
        <v/>
      </c>
      <c r="M172" s="4" t="str">
        <f t="shared" si="2"/>
        <v>*</v>
      </c>
    </row>
    <row r="173" spans="1:13" ht="15.75" x14ac:dyDescent="0.25">
      <c r="A173" s="24">
        <v>88839</v>
      </c>
      <c r="B173" s="3" t="str">
        <f>IFERROR(VLOOKUP(tabExtras[CÓDIGO],tabListaItens[#Data],2,FALSE),"&lt;&lt; não enconrado &gt;&gt;")</f>
        <v>SELADOR ACRILICO - LATA COM 18 LITROS</v>
      </c>
      <c r="C173" s="4" t="str">
        <f>IFERROR(VLOOKUP(tabExtras[CÓDIGO],tabListaItens[#Data],3,FALSE),"")</f>
        <v>LT</v>
      </c>
      <c r="D173" s="25" t="s">
        <v>1436</v>
      </c>
      <c r="E173" s="29">
        <v>43861</v>
      </c>
      <c r="F173" s="33">
        <v>30</v>
      </c>
      <c r="G173" s="41">
        <v>1</v>
      </c>
      <c r="H173" s="37">
        <f>tabExtras[FATOR] * tabExtras[QUANTIDADE]</f>
        <v>30</v>
      </c>
      <c r="I173" s="42"/>
      <c r="J173" s="19" t="s">
        <v>1434</v>
      </c>
      <c r="K173" s="20">
        <v>43850.592881944445</v>
      </c>
      <c r="L173" s="73" t="str">
        <f>_xlfn.IFNA(IF(VLOOKUP($A173,tabExcluirDoEstoque[#Data],1,FALSE),"sim",""),"")</f>
        <v/>
      </c>
      <c r="M173" s="4" t="str">
        <f t="shared" si="2"/>
        <v>*</v>
      </c>
    </row>
    <row r="174" spans="1:13" ht="15.75" x14ac:dyDescent="0.25">
      <c r="A174" s="23">
        <v>88849</v>
      </c>
      <c r="B174" s="3" t="str">
        <f>IFERROR(VLOOKUP(tabExtras[CÓDIGO],tabListaItens[#Data],2,FALSE),"&lt;&lt; não enconrado &gt;&gt;")</f>
        <v>ARRUELA LISA DE ACO DE 3/16"</v>
      </c>
      <c r="C174" s="4" t="str">
        <f>IFERROR(VLOOKUP(tabExtras[CÓDIGO],tabListaItens[#Data],3,FALSE),"")</f>
        <v>KG</v>
      </c>
      <c r="D174" s="25" t="s">
        <v>1436</v>
      </c>
      <c r="E174" s="27">
        <v>43861</v>
      </c>
      <c r="F174" s="31">
        <v>30</v>
      </c>
      <c r="G174" s="39">
        <v>1</v>
      </c>
      <c r="H174" s="37">
        <f>tabExtras[FATOR] * tabExtras[QUANTIDADE]</f>
        <v>30</v>
      </c>
      <c r="I174" s="42"/>
      <c r="J174" s="19" t="s">
        <v>1434</v>
      </c>
      <c r="K174" s="20">
        <v>43850.592881944445</v>
      </c>
      <c r="L174" s="73" t="str">
        <f>_xlfn.IFNA(IF(VLOOKUP($A174,tabExcluirDoEstoque[#Data],1,FALSE),"sim",""),"")</f>
        <v/>
      </c>
      <c r="M174" s="4" t="str">
        <f t="shared" si="2"/>
        <v>*</v>
      </c>
    </row>
    <row r="175" spans="1:13" ht="15.75" x14ac:dyDescent="0.25">
      <c r="A175" s="23">
        <v>91868</v>
      </c>
      <c r="B175" s="3" t="str">
        <f>IFERROR(VLOOKUP(tabExtras[CÓDIGO],tabListaItens[#Data],2,FALSE),"&lt;&lt; não enconrado &gt;&gt;")</f>
        <v>VASSOURAO DE PIACAVA TIPO PREFEITURA - 40 CM</v>
      </c>
      <c r="C175" s="4" t="str">
        <f>IFERROR(VLOOKUP(tabExtras[CÓDIGO],tabListaItens[#Data],3,FALSE),"")</f>
        <v>PC</v>
      </c>
      <c r="D175" s="25" t="s">
        <v>1436</v>
      </c>
      <c r="E175" s="27">
        <v>43861</v>
      </c>
      <c r="F175" s="31">
        <v>30</v>
      </c>
      <c r="G175" s="39">
        <v>1</v>
      </c>
      <c r="H175" s="37">
        <f>tabExtras[FATOR] * tabExtras[QUANTIDADE]</f>
        <v>30</v>
      </c>
      <c r="I175" s="42"/>
      <c r="J175" s="19" t="s">
        <v>1434</v>
      </c>
      <c r="K175" s="20">
        <v>43850.592881944445</v>
      </c>
      <c r="L175" s="73" t="str">
        <f>_xlfn.IFNA(IF(VLOOKUP($A175,tabExcluirDoEstoque[#Data],1,FALSE),"sim",""),"")</f>
        <v/>
      </c>
      <c r="M175" s="4" t="str">
        <f t="shared" si="2"/>
        <v>*</v>
      </c>
    </row>
    <row r="176" spans="1:13" ht="15.75" x14ac:dyDescent="0.25">
      <c r="A176" s="23">
        <v>95121</v>
      </c>
      <c r="B176" s="3" t="str">
        <f>IFERROR(VLOOKUP(tabExtras[CÓDIGO],tabListaItens[#Data],2,FALSE),"&lt;&lt; não enconrado &gt;&gt;")</f>
        <v>JOELHO 45° DE PVC SOLDAVEL PARA AGUA, MARROM, 25 MM</v>
      </c>
      <c r="C176" s="4" t="str">
        <f>IFERROR(VLOOKUP(tabExtras[CÓDIGO],tabListaItens[#Data],3,FALSE),"")</f>
        <v>PC</v>
      </c>
      <c r="D176" s="25" t="s">
        <v>1436</v>
      </c>
      <c r="E176" s="27">
        <v>43861</v>
      </c>
      <c r="F176" s="31">
        <v>30</v>
      </c>
      <c r="G176" s="39">
        <v>3</v>
      </c>
      <c r="H176" s="37">
        <f>tabExtras[FATOR] * tabExtras[QUANTIDADE]</f>
        <v>90</v>
      </c>
      <c r="I176" s="42"/>
      <c r="J176" s="19" t="s">
        <v>1434</v>
      </c>
      <c r="K176" s="20">
        <v>43850.592881944445</v>
      </c>
      <c r="L176" s="73" t="str">
        <f>_xlfn.IFNA(IF(VLOOKUP($A176,tabExcluirDoEstoque[#Data],1,FALSE),"sim",""),"")</f>
        <v/>
      </c>
      <c r="M176" s="4" t="str">
        <f t="shared" si="2"/>
        <v>*</v>
      </c>
    </row>
    <row r="177" spans="1:13" ht="30" x14ac:dyDescent="0.25">
      <c r="A177" s="23">
        <v>98702</v>
      </c>
      <c r="B177" s="3" t="str">
        <f>IFERROR(VLOOKUP(tabExtras[CÓDIGO],tabListaItens[#Data],2,FALSE),"&lt;&lt; não enconrado &gt;&gt;")</f>
        <v>FORRO EM PVC BRANCO LISO, REGUA DE 6M DE COMPRIMENTO, 20CM DE LARGURA - 10MM DE ESPESSURA (ESPESSURA COM TOLERANCIA DE +/- 2MM)</v>
      </c>
      <c r="C177" s="4" t="str">
        <f>IFERROR(VLOOKUP(tabExtras[CÓDIGO],tabListaItens[#Data],3,FALSE),"")</f>
        <v>M2</v>
      </c>
      <c r="D177" s="25" t="s">
        <v>1436</v>
      </c>
      <c r="E177" s="27">
        <v>43861</v>
      </c>
      <c r="F177" s="31">
        <v>30</v>
      </c>
      <c r="G177" s="39">
        <v>188</v>
      </c>
      <c r="H177" s="37">
        <f>tabExtras[FATOR] * tabExtras[QUANTIDADE]</f>
        <v>5640</v>
      </c>
      <c r="I177" s="42"/>
      <c r="J177" s="19" t="s">
        <v>1434</v>
      </c>
      <c r="K177" s="20">
        <v>43850.592881944445</v>
      </c>
      <c r="L177" s="73" t="str">
        <f>_xlfn.IFNA(IF(VLOOKUP($A177,tabExcluirDoEstoque[#Data],1,FALSE),"sim",""),"")</f>
        <v/>
      </c>
      <c r="M177" s="4" t="str">
        <f t="shared" si="2"/>
        <v>*</v>
      </c>
    </row>
    <row r="178" spans="1:13" ht="15.75" x14ac:dyDescent="0.25">
      <c r="A178" s="23">
        <v>98703</v>
      </c>
      <c r="B178" s="3" t="str">
        <f>IFERROR(VLOOKUP(tabExtras[CÓDIGO],tabListaItens[#Data],2,FALSE),"&lt;&lt; não enconrado &gt;&gt;")</f>
        <v>PERFIL RODAFORRO PVC BRANCO LISO, BARRA COM 6 MT</v>
      </c>
      <c r="C178" s="4" t="str">
        <f>IFERROR(VLOOKUP(tabExtras[CÓDIGO],tabListaItens[#Data],3,FALSE),"")</f>
        <v>BR</v>
      </c>
      <c r="D178" s="25" t="s">
        <v>1436</v>
      </c>
      <c r="E178" s="27">
        <v>43861</v>
      </c>
      <c r="F178" s="31">
        <v>30</v>
      </c>
      <c r="G178" s="39">
        <v>38</v>
      </c>
      <c r="H178" s="37">
        <f>tabExtras[FATOR] * tabExtras[QUANTIDADE]</f>
        <v>1140</v>
      </c>
      <c r="I178" s="42"/>
      <c r="J178" s="19" t="s">
        <v>1434</v>
      </c>
      <c r="K178" s="20">
        <v>43850.592881944445</v>
      </c>
      <c r="L178" s="73" t="str">
        <f>_xlfn.IFNA(IF(VLOOKUP($A178,tabExcluirDoEstoque[#Data],1,FALSE),"sim",""),"")</f>
        <v/>
      </c>
      <c r="M178" s="4" t="str">
        <f t="shared" si="2"/>
        <v>*</v>
      </c>
    </row>
    <row r="179" spans="1:13" ht="15.75" x14ac:dyDescent="0.25">
      <c r="A179" s="23">
        <v>98704</v>
      </c>
      <c r="B179" s="3" t="str">
        <f>IFERROR(VLOOKUP(tabExtras[CÓDIGO],tabListaItens[#Data],2,FALSE),"&lt;&lt; não enconrado &gt;&gt;")</f>
        <v>PERFIL TIPO EMENDA PVC BRANCO LISO, BARRA COM 6 MT</v>
      </c>
      <c r="C179" s="4" t="str">
        <f>IFERROR(VLOOKUP(tabExtras[CÓDIGO],tabListaItens[#Data],3,FALSE),"")</f>
        <v>BR</v>
      </c>
      <c r="D179" s="25" t="s">
        <v>1436</v>
      </c>
      <c r="E179" s="27">
        <v>43861</v>
      </c>
      <c r="F179" s="31">
        <v>30</v>
      </c>
      <c r="G179" s="39">
        <v>2</v>
      </c>
      <c r="H179" s="37">
        <f>tabExtras[FATOR] * tabExtras[QUANTIDADE]</f>
        <v>60</v>
      </c>
      <c r="I179" s="42"/>
      <c r="J179" s="19" t="s">
        <v>1434</v>
      </c>
      <c r="K179" s="20">
        <v>43850.592881944445</v>
      </c>
      <c r="L179" s="73" t="str">
        <f>_xlfn.IFNA(IF(VLOOKUP($A179,tabExcluirDoEstoque[#Data],1,FALSE),"sim",""),"")</f>
        <v/>
      </c>
      <c r="M179" s="4" t="str">
        <f t="shared" si="2"/>
        <v>*</v>
      </c>
    </row>
    <row r="180" spans="1:13" ht="15.75" x14ac:dyDescent="0.25">
      <c r="A180" s="23">
        <v>99810</v>
      </c>
      <c r="B180" s="3" t="str">
        <f>IFERROR(VLOOKUP(tabExtras[CÓDIGO],tabListaItens[#Data],2,FALSE),"&lt;&lt; não enconrado &gt;&gt;")</f>
        <v>CABO DE COBRE FLEXIVEL, BITOLA 10,0MM2, 1KV,  ISOLACAO DE PVC 70ºC, COR PRETA</v>
      </c>
      <c r="C180" s="4" t="str">
        <f>IFERROR(VLOOKUP(tabExtras[CÓDIGO],tabListaItens[#Data],3,FALSE),"")</f>
        <v>M</v>
      </c>
      <c r="D180" s="25" t="s">
        <v>1436</v>
      </c>
      <c r="E180" s="27">
        <v>43861</v>
      </c>
      <c r="F180" s="31">
        <v>30</v>
      </c>
      <c r="G180" s="39">
        <v>39</v>
      </c>
      <c r="H180" s="37">
        <f>tabExtras[FATOR] * tabExtras[QUANTIDADE]</f>
        <v>1170</v>
      </c>
      <c r="I180" s="42"/>
      <c r="J180" s="19" t="s">
        <v>1434</v>
      </c>
      <c r="K180" s="20">
        <v>43850.592881944445</v>
      </c>
      <c r="L180" s="73" t="str">
        <f>_xlfn.IFNA(IF(VLOOKUP($A180,tabExcluirDoEstoque[#Data],1,FALSE),"sim",""),"")</f>
        <v>sim</v>
      </c>
      <c r="M180" s="4" t="str">
        <f t="shared" si="2"/>
        <v>*</v>
      </c>
    </row>
    <row r="181" spans="1:13" ht="15.75" x14ac:dyDescent="0.25">
      <c r="A181" s="23">
        <v>103405</v>
      </c>
      <c r="B181" s="3" t="str">
        <f>IFERROR(VLOOKUP(tabExtras[CÓDIGO],tabListaItens[#Data],2,FALSE),"&lt;&lt; não enconrado &gt;&gt;")</f>
        <v>PASTA PARA LIMPEZA - 1 KG</v>
      </c>
      <c r="C181" s="4" t="str">
        <f>IFERROR(VLOOKUP(tabExtras[CÓDIGO],tabListaItens[#Data],3,FALSE),"")</f>
        <v>PO</v>
      </c>
      <c r="D181" s="25" t="s">
        <v>1436</v>
      </c>
      <c r="E181" s="27">
        <v>43861</v>
      </c>
      <c r="F181" s="31">
        <v>30</v>
      </c>
      <c r="G181" s="39">
        <v>1</v>
      </c>
      <c r="H181" s="37">
        <f>tabExtras[FATOR] * tabExtras[QUANTIDADE]</f>
        <v>30</v>
      </c>
      <c r="I181" s="42"/>
      <c r="J181" s="19" t="s">
        <v>1434</v>
      </c>
      <c r="K181" s="20">
        <v>43850.592881944445</v>
      </c>
      <c r="L181" s="73" t="str">
        <f>_xlfn.IFNA(IF(VLOOKUP($A181,tabExcluirDoEstoque[#Data],1,FALSE),"sim",""),"")</f>
        <v>sim</v>
      </c>
      <c r="M181" s="4" t="str">
        <f t="shared" si="2"/>
        <v>*</v>
      </c>
    </row>
    <row r="182" spans="1:13" ht="15.75" x14ac:dyDescent="0.25">
      <c r="A182" s="23">
        <v>104667</v>
      </c>
      <c r="B182" s="3" t="str">
        <f>IFERROR(VLOOKUP(tabExtras[CÓDIGO],tabListaItens[#Data],2,FALSE),"&lt;&lt; não enconrado &gt;&gt;")</f>
        <v>VALVULA DE DESCARGA, EM LATAO, COM DIAMETRO NOMINAL DE 40 MM (1 1/2")</v>
      </c>
      <c r="C182" s="4" t="str">
        <f>IFERROR(VLOOKUP(tabExtras[CÓDIGO],tabListaItens[#Data],3,FALSE),"")</f>
        <v>PC</v>
      </c>
      <c r="D182" s="25" t="s">
        <v>1436</v>
      </c>
      <c r="E182" s="27">
        <v>43861</v>
      </c>
      <c r="F182" s="31">
        <v>30</v>
      </c>
      <c r="G182" s="39">
        <v>1</v>
      </c>
      <c r="H182" s="37">
        <f>tabExtras[FATOR] * tabExtras[QUANTIDADE]</f>
        <v>30</v>
      </c>
      <c r="I182" s="42"/>
      <c r="J182" s="19" t="s">
        <v>1434</v>
      </c>
      <c r="K182" s="20">
        <v>43850.592881944445</v>
      </c>
      <c r="L182" s="73" t="str">
        <f>_xlfn.IFNA(IF(VLOOKUP($A182,tabExcluirDoEstoque[#Data],1,FALSE),"sim",""),"")</f>
        <v/>
      </c>
      <c r="M182" s="4" t="str">
        <f t="shared" si="2"/>
        <v>*</v>
      </c>
    </row>
    <row r="183" spans="1:13" ht="15.75" x14ac:dyDescent="0.25">
      <c r="A183" s="23">
        <v>106376</v>
      </c>
      <c r="B183" s="3" t="str">
        <f>IFERROR(VLOOKUP(tabExtras[CÓDIGO],tabListaItens[#Data],2,FALSE),"&lt;&lt; não enconrado &gt;&gt;")</f>
        <v>TELHA EM CIMENTO REFORCADO COM FIO SINTETICO(CRFS)</v>
      </c>
      <c r="C183" s="4" t="str">
        <f>IFERROR(VLOOKUP(tabExtras[CÓDIGO],tabListaItens[#Data],3,FALSE),"")</f>
        <v>PC</v>
      </c>
      <c r="D183" s="25" t="s">
        <v>1436</v>
      </c>
      <c r="E183" s="27">
        <v>43861</v>
      </c>
      <c r="F183" s="31">
        <v>30</v>
      </c>
      <c r="G183" s="39">
        <v>78</v>
      </c>
      <c r="H183" s="37">
        <f>tabExtras[FATOR] * tabExtras[QUANTIDADE]</f>
        <v>2340</v>
      </c>
      <c r="I183" s="42"/>
      <c r="J183" s="19" t="s">
        <v>1434</v>
      </c>
      <c r="K183" s="20">
        <v>43850.592881944445</v>
      </c>
      <c r="L183" s="73" t="str">
        <f>_xlfn.IFNA(IF(VLOOKUP($A183,tabExcluirDoEstoque[#Data],1,FALSE),"sim",""),"")</f>
        <v/>
      </c>
      <c r="M183" s="4" t="str">
        <f t="shared" si="2"/>
        <v>*</v>
      </c>
    </row>
    <row r="184" spans="1:13" ht="15.75" x14ac:dyDescent="0.25">
      <c r="A184" s="23">
        <v>113846</v>
      </c>
      <c r="B184" s="3" t="str">
        <f>IFERROR(VLOOKUP(tabExtras[CÓDIGO],tabListaItens[#Data],2,FALSE),"&lt;&lt; não enconrado &gt;&gt;")</f>
        <v>REJUNTE BEGE - SACO COM 01 KG</v>
      </c>
      <c r="C184" s="4" t="str">
        <f>IFERROR(VLOOKUP(tabExtras[CÓDIGO],tabListaItens[#Data],3,FALSE),"")</f>
        <v>SO</v>
      </c>
      <c r="D184" s="25" t="s">
        <v>1436</v>
      </c>
      <c r="E184" s="27">
        <v>43861</v>
      </c>
      <c r="F184" s="31">
        <v>30</v>
      </c>
      <c r="G184" s="39">
        <v>60</v>
      </c>
      <c r="H184" s="37">
        <f>tabExtras[FATOR] * tabExtras[QUANTIDADE]</f>
        <v>1800</v>
      </c>
      <c r="I184" s="42"/>
      <c r="J184" s="19" t="s">
        <v>1434</v>
      </c>
      <c r="K184" s="20">
        <v>43851.65965277778</v>
      </c>
      <c r="L184" s="73" t="str">
        <f>_xlfn.IFNA(IF(VLOOKUP($A184,tabExcluirDoEstoque[#Data],1,FALSE),"sim",""),"")</f>
        <v/>
      </c>
      <c r="M184" s="4" t="str">
        <f t="shared" si="2"/>
        <v>*</v>
      </c>
    </row>
    <row r="185" spans="1:13" ht="15.75" x14ac:dyDescent="0.25">
      <c r="A185" s="23">
        <v>114853</v>
      </c>
      <c r="B185" s="3" t="str">
        <f>IFERROR(VLOOKUP(tabExtras[CÓDIGO],tabListaItens[#Data],2,FALSE),"&lt;&lt; não enconrado &gt;&gt;")</f>
        <v>VIGA DE GARAPEIRA BRUTA - 60MM X 160MM X 7,00 M COMPRIMENTO</v>
      </c>
      <c r="C185" s="4" t="str">
        <f>IFERROR(VLOOKUP(tabExtras[CÓDIGO],tabListaItens[#Data],3,FALSE),"")</f>
        <v>PC</v>
      </c>
      <c r="D185" s="25" t="s">
        <v>1436</v>
      </c>
      <c r="E185" s="27">
        <v>43861</v>
      </c>
      <c r="F185" s="31">
        <v>30</v>
      </c>
      <c r="G185" s="39">
        <v>3</v>
      </c>
      <c r="H185" s="37">
        <f>tabExtras[FATOR] * tabExtras[QUANTIDADE]</f>
        <v>90</v>
      </c>
      <c r="I185" s="42"/>
      <c r="J185" s="19" t="s">
        <v>1434</v>
      </c>
      <c r="K185" s="20">
        <v>43850.592881944445</v>
      </c>
      <c r="L185" s="73" t="str">
        <f>_xlfn.IFNA(IF(VLOOKUP($A185,tabExcluirDoEstoque[#Data],1,FALSE),"sim",""),"")</f>
        <v/>
      </c>
      <c r="M185" s="4" t="str">
        <f t="shared" si="2"/>
        <v>*</v>
      </c>
    </row>
    <row r="186" spans="1:13" ht="15.75" x14ac:dyDescent="0.25">
      <c r="A186" s="23">
        <v>117734</v>
      </c>
      <c r="B186" s="3" t="str">
        <f>IFERROR(VLOOKUP(tabExtras[CÓDIGO],tabListaItens[#Data],2,FALSE),"&lt;&lt; não enconrado &gt;&gt;")</f>
        <v>CAIXA PLASTICA DE SOBREPOR COM TAMPA - MEDIDAS: 23 X 17 X 9 CM</v>
      </c>
      <c r="C186" s="4" t="str">
        <f>IFERROR(VLOOKUP(tabExtras[CÓDIGO],tabListaItens[#Data],3,FALSE),"")</f>
        <v>PC</v>
      </c>
      <c r="D186" s="25" t="s">
        <v>1436</v>
      </c>
      <c r="E186" s="27">
        <v>43861</v>
      </c>
      <c r="F186" s="31">
        <v>30</v>
      </c>
      <c r="G186" s="39">
        <v>1</v>
      </c>
      <c r="H186" s="37">
        <f>tabExtras[FATOR] * tabExtras[QUANTIDADE]</f>
        <v>30</v>
      </c>
      <c r="I186" s="42"/>
      <c r="J186" s="19" t="s">
        <v>1434</v>
      </c>
      <c r="K186" s="20">
        <v>43850.592881944445</v>
      </c>
      <c r="L186" s="73" t="str">
        <f>_xlfn.IFNA(IF(VLOOKUP($A186,tabExcluirDoEstoque[#Data],1,FALSE),"sim",""),"")</f>
        <v/>
      </c>
      <c r="M186" s="4" t="str">
        <f t="shared" si="2"/>
        <v>*</v>
      </c>
    </row>
    <row r="187" spans="1:13" ht="15.75" x14ac:dyDescent="0.25">
      <c r="A187" s="23">
        <v>118427</v>
      </c>
      <c r="B187" s="3" t="str">
        <f>IFERROR(VLOOKUP(tabExtras[CÓDIGO],tabListaItens[#Data],2,FALSE),"&lt;&lt; não enconrado &gt;&gt;")</f>
        <v>TABUA DE CAMBARA DE 1ª, 25 X 300 MM, BRUTA</v>
      </c>
      <c r="C187" s="4" t="str">
        <f>IFERROR(VLOOKUP(tabExtras[CÓDIGO],tabListaItens[#Data],3,FALSE),"")</f>
        <v>M</v>
      </c>
      <c r="D187" s="25" t="s">
        <v>1436</v>
      </c>
      <c r="E187" s="27">
        <v>43861</v>
      </c>
      <c r="F187" s="31">
        <v>30</v>
      </c>
      <c r="G187" s="39">
        <v>190</v>
      </c>
      <c r="H187" s="37">
        <f>tabExtras[FATOR] * tabExtras[QUANTIDADE]</f>
        <v>5700</v>
      </c>
      <c r="I187" s="42"/>
      <c r="J187" s="19" t="s">
        <v>1434</v>
      </c>
      <c r="K187" s="20">
        <v>43850.592881944445</v>
      </c>
      <c r="L187" s="73" t="str">
        <f>_xlfn.IFNA(IF(VLOOKUP($A187,tabExcluirDoEstoque[#Data],1,FALSE),"sim",""),"")</f>
        <v/>
      </c>
      <c r="M187" s="4" t="str">
        <f t="shared" si="2"/>
        <v>*</v>
      </c>
    </row>
    <row r="188" spans="1:13" ht="15.75" x14ac:dyDescent="0.25">
      <c r="A188" s="23">
        <v>118994</v>
      </c>
      <c r="B188" s="3" t="str">
        <f>IFERROR(VLOOKUP(tabExtras[CÓDIGO],tabListaItens[#Data],2,FALSE),"&lt;&lt; não enconrado &gt;&gt;")</f>
        <v>REVESTIMENTO CERAMICO - MEDIDA: A 32,5 X 57 CM - COR: SPECTRO OLIVA</v>
      </c>
      <c r="C188" s="4" t="str">
        <f>IFERROR(VLOOKUP(tabExtras[CÓDIGO],tabListaItens[#Data],3,FALSE),"")</f>
        <v>M2</v>
      </c>
      <c r="D188" s="25" t="s">
        <v>1436</v>
      </c>
      <c r="E188" s="27">
        <v>43861</v>
      </c>
      <c r="F188" s="31">
        <v>30</v>
      </c>
      <c r="G188" s="39">
        <v>0</v>
      </c>
      <c r="H188" s="37">
        <f>tabExtras[FATOR] * tabExtras[QUANTIDADE]</f>
        <v>0</v>
      </c>
      <c r="I188" s="42"/>
      <c r="J188" s="19" t="s">
        <v>1434</v>
      </c>
      <c r="K188" s="20">
        <v>43850.592881944445</v>
      </c>
      <c r="L188" s="73" t="str">
        <f>_xlfn.IFNA(IF(VLOOKUP($A188,tabExcluirDoEstoque[#Data],1,FALSE),"sim",""),"")</f>
        <v>sim</v>
      </c>
      <c r="M188" s="4" t="str">
        <f t="shared" si="2"/>
        <v>*</v>
      </c>
    </row>
    <row r="189" spans="1:13" ht="15.75" x14ac:dyDescent="0.25">
      <c r="A189" s="24">
        <v>120995</v>
      </c>
      <c r="B189" s="3" t="str">
        <f>IFERROR(VLOOKUP(tabExtras[CÓDIGO],tabListaItens[#Data],2,FALSE),"&lt;&lt; não enconrado &gt;&gt;")</f>
        <v>ELETRODUTO CORRUGADO 1" - COR: AMARELA</v>
      </c>
      <c r="C189" s="4" t="str">
        <f>IFERROR(VLOOKUP(tabExtras[CÓDIGO],tabListaItens[#Data],3,FALSE),"")</f>
        <v>M</v>
      </c>
      <c r="D189" s="25" t="s">
        <v>1436</v>
      </c>
      <c r="E189" s="29">
        <v>43861</v>
      </c>
      <c r="F189" s="33">
        <v>30</v>
      </c>
      <c r="G189" s="41">
        <v>10</v>
      </c>
      <c r="H189" s="37">
        <f>tabExtras[FATOR] * tabExtras[QUANTIDADE]</f>
        <v>300</v>
      </c>
      <c r="I189" s="42"/>
      <c r="J189" s="19" t="s">
        <v>1434</v>
      </c>
      <c r="K189" s="20">
        <v>43850.592881944445</v>
      </c>
      <c r="L189" s="73" t="str">
        <f>_xlfn.IFNA(IF(VLOOKUP($A189,tabExcluirDoEstoque[#Data],1,FALSE),"sim",""),"")</f>
        <v/>
      </c>
      <c r="M189" s="4" t="str">
        <f t="shared" si="2"/>
        <v>*</v>
      </c>
    </row>
    <row r="190" spans="1:13" ht="15.75" x14ac:dyDescent="0.25">
      <c r="A190" s="24">
        <v>123146</v>
      </c>
      <c r="B190" s="3" t="str">
        <f>IFERROR(VLOOKUP(tabExtras[CÓDIGO],tabListaItens[#Data],2,FALSE),"&lt;&lt; não enconrado &gt;&gt;")</f>
        <v>CIMENTO COLANTE - SACO COM 20 KG (PARA USO INTERNO E EXTERNO)</v>
      </c>
      <c r="C190" s="4" t="str">
        <f>IFERROR(VLOOKUP(tabExtras[CÓDIGO],tabListaItens[#Data],3,FALSE),"")</f>
        <v>SO</v>
      </c>
      <c r="D190" s="25" t="s">
        <v>1436</v>
      </c>
      <c r="E190" s="29">
        <v>43861</v>
      </c>
      <c r="F190" s="33">
        <v>30</v>
      </c>
      <c r="G190" s="41">
        <v>73</v>
      </c>
      <c r="H190" s="37">
        <f>tabExtras[FATOR] * tabExtras[QUANTIDADE]</f>
        <v>2190</v>
      </c>
      <c r="I190" s="42"/>
      <c r="J190" s="19" t="s">
        <v>1434</v>
      </c>
      <c r="K190" s="20">
        <v>43850.592881944445</v>
      </c>
      <c r="L190" s="73" t="str">
        <f>_xlfn.IFNA(IF(VLOOKUP($A190,tabExcluirDoEstoque[#Data],1,FALSE),"sim",""),"")</f>
        <v/>
      </c>
      <c r="M190" s="4" t="str">
        <f t="shared" si="2"/>
        <v>*</v>
      </c>
    </row>
    <row r="191" spans="1:13" ht="15.75" x14ac:dyDescent="0.25">
      <c r="A191" s="24">
        <v>128287</v>
      </c>
      <c r="B191" s="3" t="str">
        <f>IFERROR(VLOOKUP(tabExtras[CÓDIGO],tabListaItens[#Data],2,FALSE),"&lt;&lt; não enconrado &gt;&gt;")</f>
        <v>THINNER PARA PINTURA AUTOMOTIVA E MOVEIS LATA COM 05 LITROS</v>
      </c>
      <c r="C191" s="4" t="str">
        <f>IFERROR(VLOOKUP(tabExtras[CÓDIGO],tabListaItens[#Data],3,FALSE),"")</f>
        <v>LT</v>
      </c>
      <c r="D191" s="25" t="s">
        <v>1436</v>
      </c>
      <c r="E191" s="29">
        <v>43861</v>
      </c>
      <c r="F191" s="33">
        <v>30</v>
      </c>
      <c r="G191" s="41">
        <v>2</v>
      </c>
      <c r="H191" s="37">
        <f>tabExtras[FATOR] * tabExtras[QUANTIDADE]</f>
        <v>60</v>
      </c>
      <c r="I191" s="42" t="s">
        <v>86</v>
      </c>
      <c r="J191" s="19" t="s">
        <v>1434</v>
      </c>
      <c r="K191" s="20">
        <v>43850.592881944445</v>
      </c>
      <c r="L191" s="73" t="str">
        <f>_xlfn.IFNA(IF(VLOOKUP($A191,tabExcluirDoEstoque[#Data],1,FALSE),"sim",""),"")</f>
        <v/>
      </c>
      <c r="M191" s="4" t="str">
        <f t="shared" si="2"/>
        <v>*</v>
      </c>
    </row>
    <row r="192" spans="1:13" ht="15.75" x14ac:dyDescent="0.25">
      <c r="A192" s="23">
        <v>128815</v>
      </c>
      <c r="B192" s="3" t="str">
        <f>IFERROR(VLOOKUP(tabExtras[CÓDIGO],tabListaItens[#Data],2,FALSE),"&lt;&lt; não enconrado &gt;&gt;")</f>
        <v>TAMPAO DE PVC PARA CONDULETE DE 3/4"</v>
      </c>
      <c r="C192" s="4" t="str">
        <f>IFERROR(VLOOKUP(tabExtras[CÓDIGO],tabListaItens[#Data],3,FALSE),"")</f>
        <v>UN</v>
      </c>
      <c r="D192" s="25" t="s">
        <v>1436</v>
      </c>
      <c r="E192" s="27">
        <v>43861</v>
      </c>
      <c r="F192" s="31">
        <v>30</v>
      </c>
      <c r="G192" s="39">
        <v>50</v>
      </c>
      <c r="H192" s="37">
        <f>tabExtras[FATOR] * tabExtras[QUANTIDADE]</f>
        <v>1500</v>
      </c>
      <c r="I192" s="42"/>
      <c r="J192" s="19" t="s">
        <v>1434</v>
      </c>
      <c r="K192" s="20">
        <v>43850.592881944445</v>
      </c>
      <c r="L192" s="73" t="str">
        <f>_xlfn.IFNA(IF(VLOOKUP($A192,tabExcluirDoEstoque[#Data],1,FALSE),"sim",""),"")</f>
        <v/>
      </c>
      <c r="M192" s="4" t="str">
        <f t="shared" si="2"/>
        <v>*</v>
      </c>
    </row>
    <row r="193" spans="1:13" ht="30" x14ac:dyDescent="0.25">
      <c r="A193" s="23">
        <v>132623</v>
      </c>
      <c r="B193" s="3" t="str">
        <f>IFERROR(VLOOKUP(tabExtras[CÓDIGO],tabListaItens[#Data],2,FALSE),"&lt;&lt; não enconrado &gt;&gt;")</f>
        <v>VASO SANITARIO INFANTIL, NA COR BRANCA, MATERIAL EM LOUCA NAS DIMENSOE: 30 X 31 X 41,5 CM (ALTURA/LARGURA/COMPRIMENTO)  MEDIDAS PODENDO VARIAR EM + / - 03 CM</v>
      </c>
      <c r="C193" s="4" t="str">
        <f>IFERROR(VLOOKUP(tabExtras[CÓDIGO],tabListaItens[#Data],3,FALSE),"")</f>
        <v>UN</v>
      </c>
      <c r="D193" s="25" t="s">
        <v>1436</v>
      </c>
      <c r="E193" s="27">
        <v>43861</v>
      </c>
      <c r="F193" s="31">
        <v>30</v>
      </c>
      <c r="G193" s="39">
        <v>1</v>
      </c>
      <c r="H193" s="37">
        <f>tabExtras[FATOR] * tabExtras[QUANTIDADE]</f>
        <v>30</v>
      </c>
      <c r="I193" s="42"/>
      <c r="J193" s="19" t="s">
        <v>1434</v>
      </c>
      <c r="K193" s="20">
        <v>43850.592881944445</v>
      </c>
      <c r="L193" s="73" t="str">
        <f>_xlfn.IFNA(IF(VLOOKUP($A193,tabExcluirDoEstoque[#Data],1,FALSE),"sim",""),"")</f>
        <v/>
      </c>
      <c r="M193" s="4" t="str">
        <f t="shared" si="2"/>
        <v>*</v>
      </c>
    </row>
    <row r="194" spans="1:13" ht="30" x14ac:dyDescent="0.25">
      <c r="A194" s="23">
        <v>132624</v>
      </c>
      <c r="B194" s="3" t="str">
        <f>IFERROR(VLOOKUP(tabExtras[CÓDIGO],tabListaItens[#Data],2,FALSE),"&lt;&lt; não enconrado &gt;&gt;")</f>
        <v>LAVATORIO SUSPENSO INFANTIL, NA COR BRANCA, MATERIAL EM LOUCA NAS DIMENSOES: 38 X 28 CM (COMPRIMENTO/LARGURA). MEDIDAS PODENDO VARIAR EM + / - 03 CM.</v>
      </c>
      <c r="C194" s="4" t="str">
        <f>IFERROR(VLOOKUP(tabExtras[CÓDIGO],tabListaItens[#Data],3,FALSE),"")</f>
        <v>UN</v>
      </c>
      <c r="D194" s="25" t="s">
        <v>1436</v>
      </c>
      <c r="E194" s="27">
        <v>43861</v>
      </c>
      <c r="F194" s="31">
        <v>30</v>
      </c>
      <c r="G194" s="39">
        <v>1</v>
      </c>
      <c r="H194" s="37">
        <f>tabExtras[FATOR] * tabExtras[QUANTIDADE]</f>
        <v>30</v>
      </c>
      <c r="I194" s="42"/>
      <c r="J194" s="19" t="s">
        <v>1434</v>
      </c>
      <c r="K194" s="20">
        <v>43850.592881944445</v>
      </c>
      <c r="L194" s="73" t="str">
        <f>_xlfn.IFNA(IF(VLOOKUP($A194,tabExcluirDoEstoque[#Data],1,FALSE),"sim",""),"")</f>
        <v/>
      </c>
      <c r="M194" s="4" t="str">
        <f t="shared" si="2"/>
        <v>*</v>
      </c>
    </row>
    <row r="195" spans="1:13" ht="15.75" x14ac:dyDescent="0.25">
      <c r="A195" s="23">
        <v>132714</v>
      </c>
      <c r="B195" s="3" t="str">
        <f>IFERROR(VLOOKUP(tabExtras[CÓDIGO],tabListaItens[#Data],2,FALSE),"&lt;&lt; não enconrado &gt;&gt;")</f>
        <v>CUMEEIRA ARTICULADA FIBRA SINTETICA CRFS, 1,10 X 06 MM - SUPERIOR</v>
      </c>
      <c r="C195" s="4" t="str">
        <f>IFERROR(VLOOKUP(tabExtras[CÓDIGO],tabListaItens[#Data],3,FALSE),"")</f>
        <v>PC</v>
      </c>
      <c r="D195" s="25" t="s">
        <v>1436</v>
      </c>
      <c r="E195" s="27">
        <v>43861</v>
      </c>
      <c r="F195" s="31">
        <v>30</v>
      </c>
      <c r="G195" s="39">
        <v>11</v>
      </c>
      <c r="H195" s="37">
        <f>tabExtras[FATOR] * tabExtras[QUANTIDADE]</f>
        <v>330</v>
      </c>
      <c r="I195" s="42"/>
      <c r="J195" s="19" t="s">
        <v>1434</v>
      </c>
      <c r="K195" s="20">
        <v>43850.592881944445</v>
      </c>
      <c r="L195" s="73" t="str">
        <f>_xlfn.IFNA(IF(VLOOKUP($A195,tabExcluirDoEstoque[#Data],1,FALSE),"sim",""),"")</f>
        <v>sim</v>
      </c>
      <c r="M195" s="4" t="str">
        <f t="shared" ref="M195:M218" si="3">"*"</f>
        <v>*</v>
      </c>
    </row>
    <row r="196" spans="1:13" ht="15.75" x14ac:dyDescent="0.25">
      <c r="A196" s="23">
        <v>132715</v>
      </c>
      <c r="B196" s="3" t="str">
        <f>IFERROR(VLOOKUP(tabExtras[CÓDIGO],tabListaItens[#Data],2,FALSE),"&lt;&lt; não enconrado &gt;&gt;")</f>
        <v>CUMEEIRA ARTICULADA FIBRA SINTETICA CRFS, 1,10 X 06 MM - INFERIOR</v>
      </c>
      <c r="C196" s="4" t="str">
        <f>IFERROR(VLOOKUP(tabExtras[CÓDIGO],tabListaItens[#Data],3,FALSE),"")</f>
        <v>PC</v>
      </c>
      <c r="D196" s="25" t="s">
        <v>1436</v>
      </c>
      <c r="E196" s="27">
        <v>43861</v>
      </c>
      <c r="F196" s="31">
        <v>30</v>
      </c>
      <c r="G196" s="39">
        <v>11</v>
      </c>
      <c r="H196" s="37">
        <f>tabExtras[FATOR] * tabExtras[QUANTIDADE]</f>
        <v>330</v>
      </c>
      <c r="I196" s="42"/>
      <c r="J196" s="19" t="s">
        <v>1434</v>
      </c>
      <c r="K196" s="20">
        <v>43850.592881944445</v>
      </c>
      <c r="L196" s="73" t="str">
        <f>_xlfn.IFNA(IF(VLOOKUP($A196,tabExcluirDoEstoque[#Data],1,FALSE),"sim",""),"")</f>
        <v>sim</v>
      </c>
      <c r="M196" s="4" t="str">
        <f t="shared" si="3"/>
        <v>*</v>
      </c>
    </row>
    <row r="197" spans="1:13" ht="15.75" x14ac:dyDescent="0.25">
      <c r="A197" s="23">
        <v>133301</v>
      </c>
      <c r="B197" s="3" t="str">
        <f>IFERROR(VLOOKUP(tabExtras[CÓDIGO],tabListaItens[#Data],2,FALSE),"&lt;&lt; não enconrado &gt;&gt;")</f>
        <v>SOQUETE PARA BASE G13</v>
      </c>
      <c r="C197" s="4" t="str">
        <f>IFERROR(VLOOKUP(tabExtras[CÓDIGO],tabListaItens[#Data],3,FALSE),"")</f>
        <v>PC</v>
      </c>
      <c r="D197" s="25" t="s">
        <v>1436</v>
      </c>
      <c r="E197" s="27">
        <v>43861</v>
      </c>
      <c r="F197" s="31">
        <v>30</v>
      </c>
      <c r="G197" s="39">
        <v>105</v>
      </c>
      <c r="H197" s="37">
        <f>tabExtras[FATOR] * tabExtras[QUANTIDADE]</f>
        <v>3150</v>
      </c>
      <c r="I197" s="42"/>
      <c r="J197" s="19" t="s">
        <v>1434</v>
      </c>
      <c r="K197" s="20">
        <v>43850.592881944445</v>
      </c>
      <c r="L197" s="73" t="str">
        <f>_xlfn.IFNA(IF(VLOOKUP($A197,tabExcluirDoEstoque[#Data],1,FALSE),"sim",""),"")</f>
        <v/>
      </c>
      <c r="M197" s="4" t="str">
        <f t="shared" si="3"/>
        <v>*</v>
      </c>
    </row>
    <row r="198" spans="1:13" ht="15.75" x14ac:dyDescent="0.25">
      <c r="A198" s="23">
        <v>133819</v>
      </c>
      <c r="B198" s="3" t="str">
        <f>IFERROR(VLOOKUP(tabExtras[CÓDIGO],tabListaItens[#Data],2,FALSE),"&lt;&lt; não enconrado &gt;&gt;")</f>
        <v>ESPUDE BRANCO DE BORRACHA DE 1.1/2" PARA BACIAS CONVENCIONAIS DE 2"</v>
      </c>
      <c r="C198" s="4" t="str">
        <f>IFERROR(VLOOKUP(tabExtras[CÓDIGO],tabListaItens[#Data],3,FALSE),"")</f>
        <v>PC</v>
      </c>
      <c r="D198" s="25" t="s">
        <v>1436</v>
      </c>
      <c r="E198" s="27">
        <v>43861</v>
      </c>
      <c r="F198" s="31">
        <v>30</v>
      </c>
      <c r="G198" s="39">
        <v>5</v>
      </c>
      <c r="H198" s="37">
        <f>tabExtras[FATOR] * tabExtras[QUANTIDADE]</f>
        <v>150</v>
      </c>
      <c r="I198" s="42"/>
      <c r="J198" s="19" t="s">
        <v>1434</v>
      </c>
      <c r="K198" s="20">
        <v>43850.592881944445</v>
      </c>
      <c r="L198" s="73" t="str">
        <f>_xlfn.IFNA(IF(VLOOKUP($A198,tabExcluirDoEstoque[#Data],1,FALSE),"sim",""),"")</f>
        <v/>
      </c>
      <c r="M198" s="4" t="str">
        <f t="shared" si="3"/>
        <v>*</v>
      </c>
    </row>
    <row r="199" spans="1:13" ht="75" x14ac:dyDescent="0.25">
      <c r="A199" s="23">
        <v>134045</v>
      </c>
      <c r="B199" s="3" t="str">
        <f>IFERROR(VLOOKUP(tabExtras[CÓDIGO],tabListaItens[#Data],2,FALSE),"&lt;&lt; não enconrado &gt;&gt;")</f>
        <v>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v>
      </c>
      <c r="C199" s="4" t="str">
        <f>IFERROR(VLOOKUP(tabExtras[CÓDIGO],tabListaItens[#Data],3,FALSE),"")</f>
        <v>UN</v>
      </c>
      <c r="D199" s="25" t="s">
        <v>1436</v>
      </c>
      <c r="E199" s="27">
        <v>43861</v>
      </c>
      <c r="F199" s="31">
        <v>30</v>
      </c>
      <c r="G199" s="39">
        <v>1</v>
      </c>
      <c r="H199" s="37">
        <f>tabExtras[FATOR] * tabExtras[QUANTIDADE]</f>
        <v>30</v>
      </c>
      <c r="I199" s="42"/>
      <c r="J199" s="19" t="s">
        <v>1434</v>
      </c>
      <c r="K199" s="20">
        <v>43850.592881944445</v>
      </c>
      <c r="L199" s="73" t="str">
        <f>_xlfn.IFNA(IF(VLOOKUP($A199,tabExcluirDoEstoque[#Data],1,FALSE),"sim",""),"")</f>
        <v>sim</v>
      </c>
      <c r="M199" s="4" t="str">
        <f t="shared" si="3"/>
        <v>*</v>
      </c>
    </row>
    <row r="200" spans="1:13" ht="60" x14ac:dyDescent="0.25">
      <c r="A200" s="23">
        <v>134246</v>
      </c>
      <c r="B200" s="3" t="str">
        <f>IFERROR(VLOOKUP(tabExtras[CÓDIGO],tabListaItens[#Data],2,FALSE),"&lt;&lt; não enconrado &gt;&gt;")</f>
        <v>AREIA MEDIA LAVADA(GRANULAMETRIA 0,6 A 2,4 MM), CONFORME ABNT. O MATERIAL ENTREGUE DEVERA ESTAR APTO A ENSAIOS DE PENEIRAMENTO, CONFORME TABELA 2 - LIMITES DA DISTRIBUICAO GRANULOMETRICA DO AGREGADO MIUDO (ABNT 7211/2005).EQUIVALENCIA APROXIMADA EM TONELADAS: 1,30 A 1,50</v>
      </c>
      <c r="C200" s="4" t="str">
        <f>IFERROR(VLOOKUP(tabExtras[CÓDIGO],tabListaItens[#Data],3,FALSE),"")</f>
        <v>M3</v>
      </c>
      <c r="D200" s="25" t="s">
        <v>1436</v>
      </c>
      <c r="E200" s="27">
        <v>43861</v>
      </c>
      <c r="F200" s="31">
        <v>30</v>
      </c>
      <c r="G200" s="39">
        <v>31</v>
      </c>
      <c r="H200" s="37">
        <f>tabExtras[FATOR] * tabExtras[QUANTIDADE]</f>
        <v>930</v>
      </c>
      <c r="I200" s="42"/>
      <c r="J200" s="19" t="s">
        <v>1434</v>
      </c>
      <c r="K200" s="20">
        <v>43850.592881944445</v>
      </c>
      <c r="L200" s="73" t="str">
        <f>_xlfn.IFNA(IF(VLOOKUP($A200,tabExcluirDoEstoque[#Data],1,FALSE),"sim",""),"")</f>
        <v/>
      </c>
      <c r="M200" s="4" t="str">
        <f t="shared" si="3"/>
        <v>*</v>
      </c>
    </row>
    <row r="201" spans="1:13" ht="75" x14ac:dyDescent="0.25">
      <c r="A201" s="23">
        <v>134247</v>
      </c>
      <c r="B201" s="3" t="str">
        <f>IFERROR(VLOOKUP(tabExtras[CÓDIGO],tabListaItens[#Data],2,FALSE),"&lt;&lt; não enconrado &gt;&gt;")</f>
        <v>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v>
      </c>
      <c r="C201" s="4" t="str">
        <f>IFERROR(VLOOKUP(tabExtras[CÓDIGO],tabListaItens[#Data],3,FALSE),"")</f>
        <v>M3</v>
      </c>
      <c r="D201" s="25" t="s">
        <v>1436</v>
      </c>
      <c r="E201" s="27">
        <v>43861</v>
      </c>
      <c r="F201" s="31">
        <v>30</v>
      </c>
      <c r="G201" s="39">
        <v>17</v>
      </c>
      <c r="H201" s="37">
        <f>tabExtras[FATOR] * tabExtras[QUANTIDADE]</f>
        <v>510</v>
      </c>
      <c r="I201" s="42"/>
      <c r="J201" s="19" t="s">
        <v>1434</v>
      </c>
      <c r="K201" s="20">
        <v>43850.592881944445</v>
      </c>
      <c r="L201" s="73" t="str">
        <f>_xlfn.IFNA(IF(VLOOKUP($A201,tabExcluirDoEstoque[#Data],1,FALSE),"sim",""),"")</f>
        <v/>
      </c>
      <c r="M201" s="4" t="str">
        <f t="shared" si="3"/>
        <v>*</v>
      </c>
    </row>
    <row r="202" spans="1:13" ht="15.75" x14ac:dyDescent="0.25">
      <c r="A202" s="23">
        <v>134373</v>
      </c>
      <c r="B202" s="3" t="str">
        <f>IFERROR(VLOOKUP(tabExtras[CÓDIGO],tabListaItens[#Data],2,FALSE),"&lt;&lt; não enconrado &gt;&gt;")</f>
        <v>LAMPADA LED TUBULAR T8.</v>
      </c>
      <c r="C202" s="4" t="str">
        <f>IFERROR(VLOOKUP(tabExtras[CÓDIGO],tabListaItens[#Data],3,FALSE),"")</f>
        <v>UN</v>
      </c>
      <c r="D202" s="25" t="s">
        <v>1436</v>
      </c>
      <c r="E202" s="27">
        <v>43861</v>
      </c>
      <c r="F202" s="31">
        <v>30</v>
      </c>
      <c r="G202" s="39">
        <v>25</v>
      </c>
      <c r="H202" s="37">
        <f>tabExtras[FATOR] * tabExtras[QUANTIDADE]</f>
        <v>750</v>
      </c>
      <c r="I202" s="42"/>
      <c r="J202" s="19" t="s">
        <v>1434</v>
      </c>
      <c r="K202" s="20">
        <v>43850.592881944445</v>
      </c>
      <c r="L202" s="73" t="str">
        <f>_xlfn.IFNA(IF(VLOOKUP($A202,tabExcluirDoEstoque[#Data],1,FALSE),"sim",""),"")</f>
        <v/>
      </c>
      <c r="M202" s="4" t="str">
        <f t="shared" si="3"/>
        <v>*</v>
      </c>
    </row>
    <row r="203" spans="1:13" ht="105" x14ac:dyDescent="0.25">
      <c r="A203" s="23">
        <v>134542</v>
      </c>
      <c r="B203" s="3" t="str">
        <f>IFERROR(VLOOKUP(tabExtras[CÓDIGO],tabListaItens[#Data],2,FALSE),"&lt;&lt; não enconrado &gt;&gt;")</f>
        <v>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v>
      </c>
      <c r="C203" s="4" t="str">
        <f>IFERROR(VLOOKUP(tabExtras[CÓDIGO],tabListaItens[#Data],3,FALSE),"")</f>
        <v>M2</v>
      </c>
      <c r="D203" s="25" t="s">
        <v>1436</v>
      </c>
      <c r="E203" s="27">
        <v>43861</v>
      </c>
      <c r="F203" s="31">
        <v>30</v>
      </c>
      <c r="G203" s="39">
        <v>73</v>
      </c>
      <c r="H203" s="37">
        <f>tabExtras[FATOR] * tabExtras[QUANTIDADE]</f>
        <v>2190</v>
      </c>
      <c r="I203" s="42" t="s">
        <v>95</v>
      </c>
      <c r="J203" s="19" t="s">
        <v>1434</v>
      </c>
      <c r="K203" s="20">
        <v>43850.592881944445</v>
      </c>
      <c r="L203" s="73" t="str">
        <f>_xlfn.IFNA(IF(VLOOKUP($A203,tabExcluirDoEstoque[#Data],1,FALSE),"sim",""),"")</f>
        <v>sim</v>
      </c>
      <c r="M203" s="4" t="str">
        <f t="shared" si="3"/>
        <v>*</v>
      </c>
    </row>
    <row r="204" spans="1:13" ht="120" x14ac:dyDescent="0.25">
      <c r="A204" s="23">
        <v>134543</v>
      </c>
      <c r="B204" s="3" t="str">
        <f>IFERROR(VLOOKUP(tabExtras[CÓDIGO],tabListaItens[#Data],2,FALSE),"&lt;&lt; não enconrado &gt;&gt;")</f>
        <v>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v>
      </c>
      <c r="C204" s="4" t="str">
        <f>IFERROR(VLOOKUP(tabExtras[CÓDIGO],tabListaItens[#Data],3,FALSE),"")</f>
        <v>M2</v>
      </c>
      <c r="D204" s="25" t="s">
        <v>1436</v>
      </c>
      <c r="E204" s="27">
        <v>43861</v>
      </c>
      <c r="F204" s="31">
        <v>30</v>
      </c>
      <c r="G204" s="39">
        <v>56</v>
      </c>
      <c r="H204" s="37">
        <f>tabExtras[FATOR] * tabExtras[QUANTIDADE]</f>
        <v>1680</v>
      </c>
      <c r="I204" s="42"/>
      <c r="J204" s="19" t="s">
        <v>1434</v>
      </c>
      <c r="K204" s="20">
        <v>43850.592881944445</v>
      </c>
      <c r="L204" s="73" t="str">
        <f>_xlfn.IFNA(IF(VLOOKUP($A204,tabExcluirDoEstoque[#Data],1,FALSE),"sim",""),"")</f>
        <v>sim</v>
      </c>
      <c r="M204" s="4" t="str">
        <f t="shared" si="3"/>
        <v>*</v>
      </c>
    </row>
    <row r="205" spans="1:13" ht="15.75" x14ac:dyDescent="0.25">
      <c r="A205" s="23">
        <v>134544</v>
      </c>
      <c r="B205" s="3" t="str">
        <f>IFERROR(VLOOKUP(tabExtras[CÓDIGO],tabListaItens[#Data],2,FALSE),"&lt;&lt; não enconrado &gt;&gt;")</f>
        <v>REVESTIMENTO CERAMICO, BRANCO BRILHANTE, 32 X 56 CM (VARIACAO +/- 2 CM).</v>
      </c>
      <c r="C205" s="4" t="str">
        <f>IFERROR(VLOOKUP(tabExtras[CÓDIGO],tabListaItens[#Data],3,FALSE),"")</f>
        <v>M2</v>
      </c>
      <c r="D205" s="25" t="s">
        <v>1436</v>
      </c>
      <c r="E205" s="27">
        <v>43861</v>
      </c>
      <c r="F205" s="31">
        <v>30</v>
      </c>
      <c r="G205" s="39">
        <v>35</v>
      </c>
      <c r="H205" s="37">
        <f>tabExtras[FATOR] * tabExtras[QUANTIDADE]</f>
        <v>1050</v>
      </c>
      <c r="I205" s="42"/>
      <c r="J205" s="19" t="s">
        <v>1434</v>
      </c>
      <c r="K205" s="20">
        <v>43850.592881944445</v>
      </c>
      <c r="L205" s="73" t="str">
        <f>_xlfn.IFNA(IF(VLOOKUP($A205,tabExcluirDoEstoque[#Data],1,FALSE),"sim",""),"")</f>
        <v/>
      </c>
      <c r="M205" s="4" t="str">
        <f t="shared" si="3"/>
        <v>*</v>
      </c>
    </row>
    <row r="206" spans="1:13" ht="30" x14ac:dyDescent="0.25">
      <c r="A206" s="23">
        <v>134546</v>
      </c>
      <c r="B206" s="3" t="str">
        <f>IFERROR(VLOOKUP(tabExtras[CÓDIGO],tabListaItens[#Data],2,FALSE),"&lt;&lt; não enconrado &gt;&gt;")</f>
        <v>PASTILHA CERAMICA, COR AZUL CLARO (PISCINA OU CEU), MEDINDO 10 X 10 CM, ESPESSURA DE 7 MM, UNIDAS POR PONTOS DE COLA.</v>
      </c>
      <c r="C206" s="4" t="str">
        <f>IFERROR(VLOOKUP(tabExtras[CÓDIGO],tabListaItens[#Data],3,FALSE),"")</f>
        <v>M2</v>
      </c>
      <c r="D206" s="25" t="s">
        <v>1436</v>
      </c>
      <c r="E206" s="27">
        <v>43861</v>
      </c>
      <c r="F206" s="31">
        <v>30</v>
      </c>
      <c r="G206" s="39">
        <v>17</v>
      </c>
      <c r="H206" s="37">
        <f>tabExtras[FATOR] * tabExtras[QUANTIDADE]</f>
        <v>510</v>
      </c>
      <c r="I206" s="42"/>
      <c r="J206" s="19" t="s">
        <v>1434</v>
      </c>
      <c r="K206" s="20">
        <v>43850.592881944445</v>
      </c>
      <c r="L206" s="73" t="str">
        <f>_xlfn.IFNA(IF(VLOOKUP($A206,tabExcluirDoEstoque[#Data],1,FALSE),"sim",""),"")</f>
        <v/>
      </c>
      <c r="M206" s="4" t="str">
        <f t="shared" si="3"/>
        <v>*</v>
      </c>
    </row>
    <row r="207" spans="1:13" ht="15.75" x14ac:dyDescent="0.25">
      <c r="A207" s="23">
        <v>134548</v>
      </c>
      <c r="B207" s="3" t="str">
        <f>IFERROR(VLOOKUP(tabExtras[CÓDIGO],tabListaItens[#Data],2,FALSE),"&lt;&lt; não enconrado &gt;&gt;")</f>
        <v>PASTILHA CERAMICA, COR BRANCA, MEDINDO 10 X 10 CM.</v>
      </c>
      <c r="C207" s="4" t="str">
        <f>IFERROR(VLOOKUP(tabExtras[CÓDIGO],tabListaItens[#Data],3,FALSE),"")</f>
        <v>M2</v>
      </c>
      <c r="D207" s="25" t="s">
        <v>1436</v>
      </c>
      <c r="E207" s="27">
        <v>43861</v>
      </c>
      <c r="F207" s="31">
        <v>30</v>
      </c>
      <c r="G207" s="39">
        <v>70</v>
      </c>
      <c r="H207" s="37">
        <f>tabExtras[FATOR] * tabExtras[QUANTIDADE]</f>
        <v>2100</v>
      </c>
      <c r="I207" s="42"/>
      <c r="J207" s="19" t="s">
        <v>1434</v>
      </c>
      <c r="K207" s="20">
        <v>43850.592881944445</v>
      </c>
      <c r="L207" s="73" t="str">
        <f>_xlfn.IFNA(IF(VLOOKUP($A207,tabExcluirDoEstoque[#Data],1,FALSE),"sim",""),"")</f>
        <v/>
      </c>
      <c r="M207" s="4" t="str">
        <f t="shared" si="3"/>
        <v>*</v>
      </c>
    </row>
    <row r="208" spans="1:13" ht="45" x14ac:dyDescent="0.25">
      <c r="A208" s="23">
        <v>134582</v>
      </c>
      <c r="B208" s="3" t="str">
        <f>IFERROR(VLOOKUP(tabExtras[CÓDIGO],tabListaItens[#Data],2,FALSE),"&lt;&lt; não enconrado &gt;&gt;")</f>
        <v>TORNEIRA BOIA PARA CAIXA D´AGUA COM CORPO METALICO (LATAO) E FLUTUADOR EM PLASTICO ROSCA BSP NBR 8133 PRESSAO MAXIMA PARA FUNCIONAMENTO 150 MCA, PRESSAO MINIMA 2 MCA  BITOLA 3/4".</v>
      </c>
      <c r="C208" s="4" t="str">
        <f>IFERROR(VLOOKUP(tabExtras[CÓDIGO],tabListaItens[#Data],3,FALSE),"")</f>
        <v>PC</v>
      </c>
      <c r="D208" s="25" t="s">
        <v>1436</v>
      </c>
      <c r="E208" s="27">
        <v>43861</v>
      </c>
      <c r="F208" s="31">
        <v>30</v>
      </c>
      <c r="G208" s="39">
        <v>1</v>
      </c>
      <c r="H208" s="37">
        <f>tabExtras[FATOR] * tabExtras[QUANTIDADE]</f>
        <v>30</v>
      </c>
      <c r="I208" s="42"/>
      <c r="J208" s="19" t="s">
        <v>1434</v>
      </c>
      <c r="K208" s="20">
        <v>43850.592881944445</v>
      </c>
      <c r="L208" s="73" t="str">
        <f>_xlfn.IFNA(IF(VLOOKUP($A208,tabExcluirDoEstoque[#Data],1,FALSE),"sim",""),"")</f>
        <v/>
      </c>
      <c r="M208" s="4" t="str">
        <f t="shared" si="3"/>
        <v>*</v>
      </c>
    </row>
    <row r="209" spans="1:13" ht="15.75" x14ac:dyDescent="0.25">
      <c r="A209" s="23">
        <v>135224</v>
      </c>
      <c r="B209" s="3" t="str">
        <f>IFERROR(VLOOKUP(tabExtras[CÓDIGO],tabListaItens[#Data],2,FALSE),"&lt;&lt; não enconrado &gt;&gt;")</f>
        <v>TINTA ESMALTE SINTETICO BRILHANTE, PADRAO PREMIUM, COR AZUL ROYAL, GALAO COM 3.600 ML.</v>
      </c>
      <c r="C209" s="4" t="str">
        <f>IFERROR(VLOOKUP(tabExtras[CÓDIGO],tabListaItens[#Data],3,FALSE),"")</f>
        <v>GL</v>
      </c>
      <c r="D209" s="25" t="s">
        <v>1436</v>
      </c>
      <c r="E209" s="27">
        <v>43861</v>
      </c>
      <c r="F209" s="31">
        <v>30</v>
      </c>
      <c r="G209" s="39">
        <v>2</v>
      </c>
      <c r="H209" s="37">
        <f>tabExtras[FATOR] * tabExtras[QUANTIDADE]</f>
        <v>60</v>
      </c>
      <c r="I209" s="42"/>
      <c r="J209" s="19" t="s">
        <v>1434</v>
      </c>
      <c r="K209" s="20">
        <v>43850.592881944445</v>
      </c>
      <c r="L209" s="73" t="str">
        <f>_xlfn.IFNA(IF(VLOOKUP($A209,tabExcluirDoEstoque[#Data],1,FALSE),"sim",""),"")</f>
        <v>sim</v>
      </c>
      <c r="M209" s="4" t="str">
        <f t="shared" si="3"/>
        <v>*</v>
      </c>
    </row>
    <row r="210" spans="1:13" ht="30" x14ac:dyDescent="0.25">
      <c r="A210" s="23">
        <v>135225</v>
      </c>
      <c r="B210" s="3" t="str">
        <f>IFERROR(VLOOKUP(tabExtras[CÓDIGO],tabListaItens[#Data],2,FALSE),"&lt;&lt; não enconrado &gt;&gt;")</f>
        <v>TINTA LATEX ACRILICA SEMIBRILHO, PADRAO PREMIUM, COR AMARELO MELAO MADURO OU SIMILAR, LATA COM 18 LITROS.</v>
      </c>
      <c r="C210" s="4" t="str">
        <f>IFERROR(VLOOKUP(tabExtras[CÓDIGO],tabListaItens[#Data],3,FALSE),"")</f>
        <v>LT</v>
      </c>
      <c r="D210" s="25" t="s">
        <v>1436</v>
      </c>
      <c r="E210" s="27">
        <v>43861</v>
      </c>
      <c r="F210" s="31">
        <v>30</v>
      </c>
      <c r="G210" s="39">
        <v>1</v>
      </c>
      <c r="H210" s="37">
        <f>tabExtras[FATOR] * tabExtras[QUANTIDADE]</f>
        <v>30</v>
      </c>
      <c r="I210" s="42"/>
      <c r="J210" s="19" t="s">
        <v>1434</v>
      </c>
      <c r="K210" s="20">
        <v>43850.592881944445</v>
      </c>
      <c r="L210" s="73" t="str">
        <f>_xlfn.IFNA(IF(VLOOKUP($A210,tabExcluirDoEstoque[#Data],1,FALSE),"sim",""),"")</f>
        <v>sim</v>
      </c>
      <c r="M210" s="4" t="str">
        <f t="shared" si="3"/>
        <v>*</v>
      </c>
    </row>
    <row r="211" spans="1:13" ht="30" x14ac:dyDescent="0.25">
      <c r="A211" s="23">
        <v>135226</v>
      </c>
      <c r="B211" s="3" t="str">
        <f>IFERROR(VLOOKUP(tabExtras[CÓDIGO],tabListaItens[#Data],2,FALSE),"&lt;&lt; não enconrado &gt;&gt;")</f>
        <v>TINTA LATEX ACRILICA SEMIBRILHO, PADRAO PREMIUM, COR AZUL BIONICO OU SIMILAR, LATA COM 18 LITROS.</v>
      </c>
      <c r="C211" s="4" t="str">
        <f>IFERROR(VLOOKUP(tabExtras[CÓDIGO],tabListaItens[#Data],3,FALSE),"")</f>
        <v>LT</v>
      </c>
      <c r="D211" s="25" t="s">
        <v>1436</v>
      </c>
      <c r="E211" s="27">
        <v>43861</v>
      </c>
      <c r="F211" s="31">
        <v>30</v>
      </c>
      <c r="G211" s="39">
        <v>1</v>
      </c>
      <c r="H211" s="37">
        <f>tabExtras[FATOR] * tabExtras[QUANTIDADE]</f>
        <v>30</v>
      </c>
      <c r="I211" s="42"/>
      <c r="J211" s="19" t="s">
        <v>1434</v>
      </c>
      <c r="K211" s="20">
        <v>43850.592881944445</v>
      </c>
      <c r="L211" s="73" t="str">
        <f>_xlfn.IFNA(IF(VLOOKUP($A211,tabExcluirDoEstoque[#Data],1,FALSE),"sim",""),"")</f>
        <v>sim</v>
      </c>
      <c r="M211" s="4" t="str">
        <f t="shared" si="3"/>
        <v>*</v>
      </c>
    </row>
    <row r="212" spans="1:13" ht="15.75" x14ac:dyDescent="0.25">
      <c r="A212" s="23">
        <v>135227</v>
      </c>
      <c r="B212" s="3" t="str">
        <f>IFERROR(VLOOKUP(tabExtras[CÓDIGO],tabListaItens[#Data],2,FALSE),"&lt;&lt; não enconrado &gt;&gt;")</f>
        <v>TINTA LATEX ACRILICA SEMIBRILHO, PADRAO PREMIUM, COR BRANCO, LATA COM 18 LITROS.</v>
      </c>
      <c r="C212" s="4" t="str">
        <f>IFERROR(VLOOKUP(tabExtras[CÓDIGO],tabListaItens[#Data],3,FALSE),"")</f>
        <v>LT</v>
      </c>
      <c r="D212" s="25" t="s">
        <v>1436</v>
      </c>
      <c r="E212" s="27">
        <v>43861</v>
      </c>
      <c r="F212" s="31">
        <v>30</v>
      </c>
      <c r="G212" s="39">
        <v>2</v>
      </c>
      <c r="H212" s="37">
        <f>tabExtras[FATOR] * tabExtras[QUANTIDADE]</f>
        <v>60</v>
      </c>
      <c r="I212" s="42"/>
      <c r="J212" s="19" t="s">
        <v>1434</v>
      </c>
      <c r="K212" s="20">
        <v>43850.592881944445</v>
      </c>
      <c r="L212" s="104" t="str">
        <f>_xlfn.IFNA(IF(VLOOKUP($A212,tabExcluirDoEstoque[#Data],1,FALSE),"sim",""),"")</f>
        <v>sim</v>
      </c>
      <c r="M212" s="4" t="str">
        <f t="shared" si="3"/>
        <v>*</v>
      </c>
    </row>
    <row r="213" spans="1:13" ht="15.75" x14ac:dyDescent="0.25">
      <c r="A213" s="23">
        <v>135238</v>
      </c>
      <c r="B213" s="3" t="str">
        <f>IFERROR(VLOOKUP(tabExtras[CÓDIGO],tabListaItens[#Data],2,FALSE),"&lt;&lt; não enconrado &gt;&gt;")</f>
        <v>TINTA ESMALTE SINTETICO BRILHANTE, PADRAO PREMIUM, COR BRANCA, GALAO COM 3.600 ML.</v>
      </c>
      <c r="C213" s="4" t="str">
        <f>IFERROR(VLOOKUP(tabExtras[CÓDIGO],tabListaItens[#Data],3,FALSE),"")</f>
        <v>GL</v>
      </c>
      <c r="D213" s="25" t="s">
        <v>1436</v>
      </c>
      <c r="E213" s="27">
        <v>43861</v>
      </c>
      <c r="F213" s="31">
        <v>30</v>
      </c>
      <c r="G213" s="39">
        <v>11</v>
      </c>
      <c r="H213" s="37">
        <f>tabExtras[FATOR] * tabExtras[QUANTIDADE]</f>
        <v>330</v>
      </c>
      <c r="I213" s="42"/>
      <c r="J213" s="19" t="s">
        <v>1434</v>
      </c>
      <c r="K213" s="20">
        <v>43850.592881944445</v>
      </c>
      <c r="L213" s="73" t="str">
        <f>_xlfn.IFNA(IF(VLOOKUP($A213,tabExcluirDoEstoque[#Data],1,FALSE),"sim",""),"")</f>
        <v>sim</v>
      </c>
      <c r="M213" s="4" t="str">
        <f t="shared" si="3"/>
        <v>*</v>
      </c>
    </row>
    <row r="214" spans="1:13" ht="30" x14ac:dyDescent="0.25">
      <c r="A214" s="23">
        <v>135300</v>
      </c>
      <c r="B214" s="3" t="str">
        <f>IFERROR(VLOOKUP(tabExtras[CÓDIGO],tabListaItens[#Data],2,FALSE),"&lt;&lt; não enconrado &gt;&gt;")</f>
        <v>COTOVELO 45°, EM PVC SOLDAVEL PARA AGUA, MARROM, 2" (50 MM), DE ACORDO COM A NBR 5648. TODAS AS INFORMACOES DEVERAO ESTAR LITOGRAFADAS NA PECA.</v>
      </c>
      <c r="C214" s="4" t="str">
        <f>IFERROR(VLOOKUP(tabExtras[CÓDIGO],tabListaItens[#Data],3,FALSE),"")</f>
        <v>PC</v>
      </c>
      <c r="D214" s="25" t="s">
        <v>1436</v>
      </c>
      <c r="E214" s="27">
        <v>43861</v>
      </c>
      <c r="F214" s="31">
        <v>30</v>
      </c>
      <c r="G214" s="39">
        <v>6</v>
      </c>
      <c r="H214" s="37">
        <f>tabExtras[FATOR] * tabExtras[QUANTIDADE]</f>
        <v>180</v>
      </c>
      <c r="I214" s="42"/>
      <c r="J214" s="19" t="s">
        <v>1434</v>
      </c>
      <c r="K214" s="20">
        <v>43850.592881944445</v>
      </c>
      <c r="L214" s="73" t="str">
        <f>_xlfn.IFNA(IF(VLOOKUP($A214,tabExcluirDoEstoque[#Data],1,FALSE),"sim",""),"")</f>
        <v/>
      </c>
      <c r="M214" s="4" t="str">
        <f t="shared" si="3"/>
        <v>*</v>
      </c>
    </row>
    <row r="215" spans="1:13" ht="30" x14ac:dyDescent="0.25">
      <c r="A215" s="23">
        <v>135301</v>
      </c>
      <c r="B215" s="3" t="str">
        <f>IFERROR(VLOOKUP(tabExtras[CÓDIGO],tabListaItens[#Data],2,FALSE),"&lt;&lt; não enconrado &gt;&gt;")</f>
        <v>COTOVELO DE 45°, EM PVC BRANCO, PARA ESGOTO, DE 4" (100 MM), DE ACORDO COM A NORMA NBR 5688. TODAS AS INFORMACOES DEVERAO ESTAR LITOGRAFADAS NA PECA.</v>
      </c>
      <c r="C215" s="4" t="str">
        <f>IFERROR(VLOOKUP(tabExtras[CÓDIGO],tabListaItens[#Data],3,FALSE),"")</f>
        <v>PC</v>
      </c>
      <c r="D215" s="25" t="s">
        <v>1436</v>
      </c>
      <c r="E215" s="27">
        <v>43861</v>
      </c>
      <c r="F215" s="31">
        <v>30</v>
      </c>
      <c r="G215" s="39">
        <v>3</v>
      </c>
      <c r="H215" s="37">
        <f>tabExtras[FATOR] * tabExtras[QUANTIDADE]</f>
        <v>90</v>
      </c>
      <c r="I215" s="42"/>
      <c r="J215" s="19" t="s">
        <v>1434</v>
      </c>
      <c r="K215" s="20">
        <v>43850.592881944445</v>
      </c>
      <c r="L215" s="73" t="str">
        <f>_xlfn.IFNA(IF(VLOOKUP($A215,tabExcluirDoEstoque[#Data],1,FALSE),"sim",""),"")</f>
        <v/>
      </c>
      <c r="M215" s="4" t="str">
        <f t="shared" si="3"/>
        <v>*</v>
      </c>
    </row>
    <row r="216" spans="1:13" ht="120" x14ac:dyDescent="0.25">
      <c r="A216" s="23">
        <v>136037</v>
      </c>
      <c r="B216" s="3" t="str">
        <f>IFERROR(VLOOKUP(tabExtras[CÓDIGO],tabListaItens[#Data],2,FALSE),"&lt;&lt; não enconrado &gt;&gt;")</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216" s="4" t="str">
        <f>IFERROR(VLOOKUP(tabExtras[CÓDIGO],tabListaItens[#Data],3,FALSE),"")</f>
        <v>GL</v>
      </c>
      <c r="D216" s="25" t="s">
        <v>1436</v>
      </c>
      <c r="E216" s="27">
        <v>43861</v>
      </c>
      <c r="F216" s="31">
        <v>30</v>
      </c>
      <c r="G216" s="39">
        <v>3</v>
      </c>
      <c r="H216" s="37">
        <f>tabExtras[FATOR] * tabExtras[QUANTIDADE]</f>
        <v>90</v>
      </c>
      <c r="I216" s="42"/>
      <c r="J216" s="19" t="s">
        <v>1434</v>
      </c>
      <c r="K216" s="20">
        <v>43850.592881944445</v>
      </c>
      <c r="L216" s="73" t="str">
        <f>_xlfn.IFNA(IF(VLOOKUP($A216,tabExcluirDoEstoque[#Data],1,FALSE),"sim",""),"")</f>
        <v>sim</v>
      </c>
      <c r="M216" s="4" t="str">
        <f t="shared" si="3"/>
        <v>*</v>
      </c>
    </row>
    <row r="217" spans="1:13" ht="120" x14ac:dyDescent="0.25">
      <c r="A217" s="24">
        <v>136040</v>
      </c>
      <c r="B217" s="3" t="str">
        <f>IFERROR(VLOOKUP(tabExtras[CÓDIGO],tabListaItens[#Data],2,FALSE),"&lt;&lt; não enconrado &gt;&gt;")</f>
        <v>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217" s="4" t="str">
        <f>IFERROR(VLOOKUP(tabExtras[CÓDIGO],tabListaItens[#Data],3,FALSE),"")</f>
        <v>GL</v>
      </c>
      <c r="D217" s="25" t="s">
        <v>1436</v>
      </c>
      <c r="E217" s="29">
        <v>43861</v>
      </c>
      <c r="F217" s="33">
        <v>30</v>
      </c>
      <c r="G217" s="41">
        <v>1</v>
      </c>
      <c r="H217" s="37">
        <f>tabExtras[FATOR] * tabExtras[QUANTIDADE]</f>
        <v>30</v>
      </c>
      <c r="I217" s="43"/>
      <c r="J217" s="21" t="s">
        <v>1434</v>
      </c>
      <c r="K217" s="22">
        <v>43850.592881944445</v>
      </c>
      <c r="L217" s="74" t="str">
        <f>_xlfn.IFNA(IF(VLOOKUP($A217,tabExcluirDoEstoque[#Data],1,FALSE),"sim",""),"")</f>
        <v>sim</v>
      </c>
      <c r="M217" s="4" t="str">
        <f t="shared" si="3"/>
        <v>*</v>
      </c>
    </row>
    <row r="218" spans="1:13" ht="30" x14ac:dyDescent="0.25">
      <c r="A218" s="24">
        <v>136082</v>
      </c>
      <c r="B218" s="52" t="str">
        <f>IFERROR(VLOOKUP(tabExtras[CÓDIGO],tabListaItens[#Data],2,FALSE),"&lt;&lt; não enconrado &gt;&gt;")</f>
        <v>TOMADA PADRAO NBR 14136 COM 2 TOMADAS 2P + T DE 10A/250V DE EMBUTIR COM ESPELHO COR BRANCA PARA CAIXA 4X2.</v>
      </c>
      <c r="C218" s="53" t="str">
        <f>IFERROR(VLOOKUP(tabExtras[CÓDIGO],tabListaItens[#Data],3,FALSE),"")</f>
        <v>UN</v>
      </c>
      <c r="D218" s="43" t="s">
        <v>1436</v>
      </c>
      <c r="E218" s="29">
        <v>43861</v>
      </c>
      <c r="F218" s="33">
        <v>30</v>
      </c>
      <c r="G218" s="41">
        <v>5</v>
      </c>
      <c r="H218" s="56">
        <f>tabExtras[FATOR] * tabExtras[QUANTIDADE]</f>
        <v>150</v>
      </c>
      <c r="I218" s="54"/>
      <c r="J218" s="57" t="s">
        <v>1434</v>
      </c>
      <c r="K218" s="58">
        <v>43850.592881944445</v>
      </c>
      <c r="L218" s="75" t="str">
        <f>_xlfn.IFNA(IF(VLOOKUP($A218,tabExcluirDoEstoque[#Data],1,FALSE),"sim",""),"")</f>
        <v/>
      </c>
      <c r="M218" s="55" t="str">
        <f t="shared" si="3"/>
        <v>*</v>
      </c>
    </row>
  </sheetData>
  <sortState ref="A3:M218">
    <sortCondition descending="1" ref="E2:E218"/>
    <sortCondition ref="D2:D218"/>
    <sortCondition ref="A2:A218"/>
  </sortState>
  <dataConsolidate/>
  <mergeCells count="1">
    <mergeCell ref="A1:M1"/>
  </mergeCells>
  <conditionalFormatting sqref="A191">
    <cfRule type="duplicateValues" dxfId="23" priority="22"/>
  </conditionalFormatting>
  <conditionalFormatting sqref="A192:A217">
    <cfRule type="duplicateValues" dxfId="22" priority="21"/>
  </conditionalFormatting>
  <conditionalFormatting sqref="A192:A217">
    <cfRule type="duplicateValues" dxfId="21" priority="20"/>
  </conditionalFormatting>
  <conditionalFormatting sqref="E3:E218">
    <cfRule type="cellIs" dxfId="20" priority="19" operator="lessThan">
      <formula>TODAY()</formula>
    </cfRule>
  </conditionalFormatting>
  <conditionalFormatting sqref="F3:F218">
    <cfRule type="cellIs" dxfId="19" priority="18" operator="greaterThan">
      <formula>1</formula>
    </cfRule>
  </conditionalFormatting>
  <conditionalFormatting sqref="A3:A218">
    <cfRule type="duplicateValues" dxfId="18" priority="217"/>
  </conditionalFormatting>
  <conditionalFormatting sqref="A218">
    <cfRule type="duplicateValues" dxfId="17" priority="6"/>
  </conditionalFormatting>
  <conditionalFormatting sqref="A218">
    <cfRule type="duplicateValues" dxfId="16" priority="5"/>
  </conditionalFormatting>
  <conditionalFormatting sqref="E218">
    <cfRule type="cellIs" dxfId="15" priority="4" operator="lessThan">
      <formula>TODAY()</formula>
    </cfRule>
  </conditionalFormatting>
  <conditionalFormatting sqref="F218">
    <cfRule type="cellIs" dxfId="14" priority="3" operator="greaterThan">
      <formula>1</formula>
    </cfRule>
  </conditionalFormatting>
  <conditionalFormatting sqref="A218">
    <cfRule type="duplicateValues" dxfId="13" priority="7"/>
  </conditionalFormatting>
  <conditionalFormatting sqref="L212">
    <cfRule type="expression" dxfId="12" priority="2">
      <formula>$D3="sim"</formula>
    </cfRule>
  </conditionalFormatting>
  <conditionalFormatting sqref="A3:M218">
    <cfRule type="expression" dxfId="11" priority="1">
      <formula>$L3="sim"</formula>
    </cfRule>
  </conditionalFormatting>
  <pageMargins left="0.51181102362204722" right="0.51181102362204722" top="0.78740157480314965" bottom="0.78740157480314965" header="0.31496062992125984" footer="0.31496062992125984"/>
  <pageSetup paperSize="9" scale="46" fitToHeight="0" orientation="portrait" r:id="rId1"/>
  <drawing r:id="rId2"/>
  <legacyDrawing r:id="rId3"/>
  <controls>
    <mc:AlternateContent xmlns:mc="http://schemas.openxmlformats.org/markup-compatibility/2006">
      <mc:Choice Requires="x14">
        <control shapeId="1756" r:id="rId4" name="btn_ExtrasArquivar">
          <controlPr defaultSize="0" autoLine="0" r:id="rId5">
            <anchor moveWithCells="1">
              <from>
                <xdr:col>3</xdr:col>
                <xdr:colOff>209550</xdr:colOff>
                <xdr:row>0</xdr:row>
                <xdr:rowOff>85725</xdr:rowOff>
              </from>
              <to>
                <xdr:col>4</xdr:col>
                <xdr:colOff>800100</xdr:colOff>
                <xdr:row>0</xdr:row>
                <xdr:rowOff>533400</xdr:rowOff>
              </to>
            </anchor>
          </controlPr>
        </control>
      </mc:Choice>
      <mc:Fallback>
        <control shapeId="1756" r:id="rId4" name="btn_ExtrasArquivar"/>
      </mc:Fallback>
    </mc:AlternateContent>
    <mc:AlternateContent xmlns:mc="http://schemas.openxmlformats.org/markup-compatibility/2006">
      <mc:Choice Requires="x14">
        <control shapeId="1027" r:id="rId6" name="btn_ExtrasReord">
          <controlPr defaultSize="0" autoLine="0" r:id="rId7">
            <anchor moveWithCells="1">
              <from>
                <xdr:col>1</xdr:col>
                <xdr:colOff>1695450</xdr:colOff>
                <xdr:row>0</xdr:row>
                <xdr:rowOff>85725</xdr:rowOff>
              </from>
              <to>
                <xdr:col>1</xdr:col>
                <xdr:colOff>4105275</xdr:colOff>
                <xdr:row>0</xdr:row>
                <xdr:rowOff>533400</xdr:rowOff>
              </to>
            </anchor>
          </controlPr>
        </control>
      </mc:Choice>
      <mc:Fallback>
        <control shapeId="1027" r:id="rId6" name="btn_ExtrasReord"/>
      </mc:Fallback>
    </mc:AlternateContent>
    <mc:AlternateContent xmlns:mc="http://schemas.openxmlformats.org/markup-compatibility/2006">
      <mc:Choice Requires="x14">
        <control shapeId="1026" r:id="rId8" name="btn_ExtrasFilCód">
          <controlPr defaultSize="0" autoLine="0" r:id="rId9">
            <anchor moveWithCells="1">
              <from>
                <xdr:col>0</xdr:col>
                <xdr:colOff>66675</xdr:colOff>
                <xdr:row>0</xdr:row>
                <xdr:rowOff>85725</xdr:rowOff>
              </from>
              <to>
                <xdr:col>1</xdr:col>
                <xdr:colOff>1628775</xdr:colOff>
                <xdr:row>0</xdr:row>
                <xdr:rowOff>533400</xdr:rowOff>
              </to>
            </anchor>
          </controlPr>
        </control>
      </mc:Choice>
      <mc:Fallback>
        <control shapeId="1026" r:id="rId8" name="btn_ExtrasFilCód"/>
      </mc:Fallback>
    </mc:AlternateContent>
    <mc:AlternateContent xmlns:mc="http://schemas.openxmlformats.org/markup-compatibility/2006">
      <mc:Choice Requires="x14">
        <control shapeId="1025" r:id="rId10" name="btn_ExtrasVoltarItens">
          <controlPr defaultSize="0" autoLine="0" r:id="rId11">
            <anchor moveWithCells="1">
              <from>
                <xdr:col>7</xdr:col>
                <xdr:colOff>590550</xdr:colOff>
                <xdr:row>0</xdr:row>
                <xdr:rowOff>85725</xdr:rowOff>
              </from>
              <to>
                <xdr:col>8</xdr:col>
                <xdr:colOff>2124075</xdr:colOff>
                <xdr:row>0</xdr:row>
                <xdr:rowOff>533400</xdr:rowOff>
              </to>
            </anchor>
          </controlPr>
        </control>
      </mc:Choice>
      <mc:Fallback>
        <control shapeId="1025" r:id="rId10" name="btn_ExtrasVoltarItens"/>
      </mc:Fallback>
    </mc:AlternateContent>
    <mc:AlternateContent xmlns:mc="http://schemas.openxmlformats.org/markup-compatibility/2006">
      <mc:Choice Requires="x14">
        <control shapeId="1713" r:id="rId12" name="btn_ExtrasDesbloq">
          <controlPr defaultSize="0" autoLine="0" r:id="rId13">
            <anchor moveWithCells="1">
              <from>
                <xdr:col>1</xdr:col>
                <xdr:colOff>4171950</xdr:colOff>
                <xdr:row>0</xdr:row>
                <xdr:rowOff>85725</xdr:rowOff>
              </from>
              <to>
                <xdr:col>3</xdr:col>
                <xdr:colOff>142875</xdr:colOff>
                <xdr:row>0</xdr:row>
                <xdr:rowOff>533400</xdr:rowOff>
              </to>
            </anchor>
          </controlPr>
        </control>
      </mc:Choice>
      <mc:Fallback>
        <control shapeId="1713" r:id="rId12" name="btn_ExtrasDesbloq"/>
      </mc:Fallback>
    </mc:AlternateContent>
  </controls>
  <tableParts count="1">
    <tablePart r:id="rId1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Origens!$A$3:$A$296</xm:f>
          </x14:formula1>
          <xm:sqref>D3:D218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1">
    <tabColor rgb="FF92D050"/>
  </sheetPr>
  <dimension ref="A1:BK1485"/>
  <sheetViews>
    <sheetView workbookViewId="0">
      <pane ySplit="2" topLeftCell="A852" activePane="bottomLeft" state="frozen"/>
      <selection pane="bottomLeft" activeCell="B853" sqref="B853"/>
    </sheetView>
  </sheetViews>
  <sheetFormatPr defaultRowHeight="15" x14ac:dyDescent="0.25"/>
  <cols>
    <col min="1" max="1" width="16.85546875" customWidth="1"/>
    <col min="2" max="2" width="178.7109375" customWidth="1"/>
    <col min="3" max="4" width="6.42578125" customWidth="1"/>
    <col min="5" max="5" width="4.28515625" customWidth="1"/>
  </cols>
  <sheetData>
    <row r="1" spans="1:63" ht="48.75" customHeight="1" x14ac:dyDescent="0.25">
      <c r="A1" s="106"/>
      <c r="B1" s="106"/>
      <c r="C1" s="106"/>
      <c r="D1" s="106"/>
      <c r="E1" s="106"/>
    </row>
    <row r="2" spans="1:63" ht="22.5" customHeight="1" x14ac:dyDescent="0.25">
      <c r="A2" s="9" t="s">
        <v>0</v>
      </c>
      <c r="B2" s="10" t="s">
        <v>1</v>
      </c>
      <c r="C2" s="11" t="s">
        <v>2</v>
      </c>
      <c r="D2" s="11" t="s">
        <v>1492</v>
      </c>
      <c r="E2" s="9" t="s">
        <v>105</v>
      </c>
    </row>
    <row r="3" spans="1:63" x14ac:dyDescent="0.25">
      <c r="A3" s="8">
        <v>0</v>
      </c>
      <c r="B3" s="5"/>
      <c r="C3" s="6"/>
      <c r="D3" s="76" t="str">
        <f>_xlfn.IFNA(IF(VLOOKUP(tabListaItens[[#This Row],[CÓDIGO]],tabExcluirDoEstoque[#Data],1,FALSE),"sim",""),"")</f>
        <v/>
      </c>
      <c r="E3" s="76" t="str">
        <f>"*"</f>
        <v>*</v>
      </c>
    </row>
    <row r="4" spans="1:63" x14ac:dyDescent="0.25">
      <c r="A4" s="8">
        <v>2278</v>
      </c>
      <c r="B4" s="5" t="s">
        <v>558</v>
      </c>
      <c r="C4" s="6" t="s">
        <v>1408</v>
      </c>
      <c r="D4" s="6" t="str">
        <f>_xlfn.IFNA(IF(VLOOKUP(tabListaItens[[#This Row],[CÓDIGO]],tabExcluirDoEstoque[#Data],1,FALSE),"sim",""),"")</f>
        <v/>
      </c>
      <c r="E4" s="6" t="str">
        <f>"*"</f>
        <v>*</v>
      </c>
      <c r="O4" s="7"/>
      <c r="S4" s="7"/>
      <c r="AK4" s="7"/>
      <c r="AR4" s="7"/>
      <c r="AY4" s="7"/>
      <c r="BF4" s="7"/>
      <c r="BK4" s="7"/>
    </row>
    <row r="5" spans="1:63" x14ac:dyDescent="0.25">
      <c r="A5" s="8">
        <v>4680</v>
      </c>
      <c r="B5" s="5" t="s">
        <v>556</v>
      </c>
      <c r="C5" s="6" t="s">
        <v>1408</v>
      </c>
      <c r="D5" s="6" t="str">
        <f>_xlfn.IFNA(IF(VLOOKUP(tabListaItens[[#This Row],[CÓDIGO]],tabExcluirDoEstoque[#Data],1,FALSE),"sim",""),"")</f>
        <v/>
      </c>
      <c r="E5" s="6" t="str">
        <f>"*"</f>
        <v>*</v>
      </c>
    </row>
    <row r="6" spans="1:63" x14ac:dyDescent="0.25">
      <c r="A6" s="8">
        <v>4689</v>
      </c>
      <c r="B6" s="5" t="s">
        <v>1529</v>
      </c>
      <c r="C6" s="6" t="s">
        <v>1397</v>
      </c>
      <c r="D6" s="76" t="str">
        <f>_xlfn.IFNA(IF(VLOOKUP(tabListaItens[[#This Row],[CÓDIGO]],tabExcluirDoEstoque[#Data],1,FALSE),"sim",""),"")</f>
        <v>sim</v>
      </c>
      <c r="E6" s="76" t="str">
        <f>"*"</f>
        <v>*</v>
      </c>
    </row>
    <row r="7" spans="1:63" x14ac:dyDescent="0.25">
      <c r="A7" s="8">
        <v>4690</v>
      </c>
      <c r="B7" s="5" t="s">
        <v>1528</v>
      </c>
      <c r="C7" s="6" t="s">
        <v>1397</v>
      </c>
      <c r="D7" s="76" t="str">
        <f>_xlfn.IFNA(IF(VLOOKUP(tabListaItens[[#This Row],[CÓDIGO]],tabExcluirDoEstoque[#Data],1,FALSE),"sim",""),"")</f>
        <v>sim</v>
      </c>
      <c r="E7" s="76" t="str">
        <f>"*"</f>
        <v>*</v>
      </c>
    </row>
    <row r="8" spans="1:63" x14ac:dyDescent="0.25">
      <c r="A8" s="8">
        <v>9413</v>
      </c>
      <c r="B8" s="5" t="s">
        <v>842</v>
      </c>
      <c r="C8" s="6" t="s">
        <v>1404</v>
      </c>
      <c r="D8" s="6" t="str">
        <f>_xlfn.IFNA(IF(VLOOKUP(tabListaItens[[#This Row],[CÓDIGO]],tabExcluirDoEstoque[#Data],1,FALSE),"sim",""),"")</f>
        <v/>
      </c>
      <c r="E8" s="6" t="str">
        <f>"*"</f>
        <v>*</v>
      </c>
    </row>
    <row r="9" spans="1:63" x14ac:dyDescent="0.25">
      <c r="A9" s="8">
        <v>10302</v>
      </c>
      <c r="B9" s="5" t="s">
        <v>682</v>
      </c>
      <c r="C9" s="6" t="s">
        <v>1423</v>
      </c>
      <c r="D9" s="6" t="str">
        <f>_xlfn.IFNA(IF(VLOOKUP(tabListaItens[[#This Row],[CÓDIGO]],tabExcluirDoEstoque[#Data],1,FALSE),"sim",""),"")</f>
        <v/>
      </c>
      <c r="E9" s="6" t="str">
        <f>"*"</f>
        <v>*</v>
      </c>
    </row>
    <row r="10" spans="1:63" x14ac:dyDescent="0.25">
      <c r="A10" s="8">
        <v>10359</v>
      </c>
      <c r="B10" s="5" t="s">
        <v>555</v>
      </c>
      <c r="C10" s="6" t="s">
        <v>1405</v>
      </c>
      <c r="D10" s="6" t="str">
        <f>_xlfn.IFNA(IF(VLOOKUP(tabListaItens[[#This Row],[CÓDIGO]],tabExcluirDoEstoque[#Data],1,FALSE),"sim",""),"")</f>
        <v/>
      </c>
      <c r="E10" s="6" t="str">
        <f>"*"</f>
        <v>*</v>
      </c>
    </row>
    <row r="11" spans="1:63" x14ac:dyDescent="0.25">
      <c r="A11" s="8">
        <v>10392</v>
      </c>
      <c r="B11" s="5" t="s">
        <v>271</v>
      </c>
      <c r="C11" s="6" t="s">
        <v>1397</v>
      </c>
      <c r="D11" s="6" t="str">
        <f>_xlfn.IFNA(IF(VLOOKUP(tabListaItens[[#This Row],[CÓDIGO]],tabExcluirDoEstoque[#Data],1,FALSE),"sim",""),"")</f>
        <v/>
      </c>
      <c r="E11" s="6" t="str">
        <f>"*"</f>
        <v>*</v>
      </c>
    </row>
    <row r="12" spans="1:63" x14ac:dyDescent="0.25">
      <c r="A12" s="8">
        <v>10412</v>
      </c>
      <c r="B12" s="5" t="s">
        <v>617</v>
      </c>
      <c r="C12" s="6" t="s">
        <v>1405</v>
      </c>
      <c r="D12" s="6" t="str">
        <f>_xlfn.IFNA(IF(VLOOKUP(tabListaItens[[#This Row],[CÓDIGO]],tabExcluirDoEstoque[#Data],1,FALSE),"sim",""),"")</f>
        <v/>
      </c>
      <c r="E12" s="6" t="str">
        <f>"*"</f>
        <v>*</v>
      </c>
    </row>
    <row r="13" spans="1:63" x14ac:dyDescent="0.25">
      <c r="A13" s="8">
        <v>10547</v>
      </c>
      <c r="B13" s="5" t="s">
        <v>477</v>
      </c>
      <c r="C13" s="6" t="s">
        <v>1408</v>
      </c>
      <c r="D13" s="6" t="str">
        <f>_xlfn.IFNA(IF(VLOOKUP(tabListaItens[[#This Row],[CÓDIGO]],tabExcluirDoEstoque[#Data],1,FALSE),"sim",""),"")</f>
        <v/>
      </c>
      <c r="E13" s="6" t="str">
        <f>"*"</f>
        <v>*</v>
      </c>
    </row>
    <row r="14" spans="1:63" x14ac:dyDescent="0.25">
      <c r="A14" s="8">
        <v>10719</v>
      </c>
      <c r="B14" s="5" t="s">
        <v>225</v>
      </c>
      <c r="C14" s="6" t="s">
        <v>1398</v>
      </c>
      <c r="D14" s="6" t="str">
        <f>_xlfn.IFNA(IF(VLOOKUP(tabListaItens[[#This Row],[CÓDIGO]],tabExcluirDoEstoque[#Data],1,FALSE),"sim",""),"")</f>
        <v/>
      </c>
      <c r="E14" s="6" t="str">
        <f>"*"</f>
        <v>*</v>
      </c>
    </row>
    <row r="15" spans="1:63" x14ac:dyDescent="0.25">
      <c r="A15" s="8">
        <v>10867</v>
      </c>
      <c r="B15" s="5" t="s">
        <v>109</v>
      </c>
      <c r="C15" s="6" t="s">
        <v>1398</v>
      </c>
      <c r="D15" s="6" t="str">
        <f>_xlfn.IFNA(IF(VLOOKUP(tabListaItens[[#This Row],[CÓDIGO]],tabExcluirDoEstoque[#Data],1,FALSE),"sim",""),"")</f>
        <v/>
      </c>
      <c r="E15" s="6" t="str">
        <f>"*"</f>
        <v>*</v>
      </c>
    </row>
    <row r="16" spans="1:63" x14ac:dyDescent="0.25">
      <c r="A16" s="8">
        <v>10870</v>
      </c>
      <c r="B16" s="5" t="s">
        <v>1171</v>
      </c>
      <c r="C16" s="6" t="s">
        <v>1398</v>
      </c>
      <c r="D16" s="6" t="str">
        <f>_xlfn.IFNA(IF(VLOOKUP(tabListaItens[[#This Row],[CÓDIGO]],tabExcluirDoEstoque[#Data],1,FALSE),"sim",""),"")</f>
        <v>sim</v>
      </c>
      <c r="E16" s="6" t="str">
        <f>"*"</f>
        <v>*</v>
      </c>
    </row>
    <row r="17" spans="1:5" x14ac:dyDescent="0.25">
      <c r="A17" s="8">
        <v>11072</v>
      </c>
      <c r="B17" s="5" t="s">
        <v>450</v>
      </c>
      <c r="C17" s="6" t="s">
        <v>1397</v>
      </c>
      <c r="D17" s="6" t="str">
        <f>_xlfn.IFNA(IF(VLOOKUP(tabListaItens[[#This Row],[CÓDIGO]],tabExcluirDoEstoque[#Data],1,FALSE),"sim",""),"")</f>
        <v/>
      </c>
      <c r="E17" s="6" t="str">
        <f>"*"</f>
        <v>*</v>
      </c>
    </row>
    <row r="18" spans="1:5" x14ac:dyDescent="0.25">
      <c r="A18" s="8">
        <v>11109</v>
      </c>
      <c r="B18" s="5" t="s">
        <v>324</v>
      </c>
      <c r="C18" s="6" t="s">
        <v>1417</v>
      </c>
      <c r="D18" s="6" t="str">
        <f>_xlfn.IFNA(IF(VLOOKUP(tabListaItens[[#This Row],[CÓDIGO]],tabExcluirDoEstoque[#Data],1,FALSE),"sim",""),"")</f>
        <v/>
      </c>
      <c r="E18" s="6" t="str">
        <f>"*"</f>
        <v>*</v>
      </c>
    </row>
    <row r="19" spans="1:5" x14ac:dyDescent="0.25">
      <c r="A19" s="8">
        <v>11116</v>
      </c>
      <c r="B19" s="5" t="s">
        <v>505</v>
      </c>
      <c r="C19" s="6" t="s">
        <v>1417</v>
      </c>
      <c r="D19" s="6" t="str">
        <f>_xlfn.IFNA(IF(VLOOKUP(tabListaItens[[#This Row],[CÓDIGO]],tabExcluirDoEstoque[#Data],1,FALSE),"sim",""),"")</f>
        <v/>
      </c>
      <c r="E19" s="6" t="str">
        <f>"*"</f>
        <v>*</v>
      </c>
    </row>
    <row r="20" spans="1:5" x14ac:dyDescent="0.25">
      <c r="A20" s="8">
        <v>11264</v>
      </c>
      <c r="B20" s="5" t="s">
        <v>728</v>
      </c>
      <c r="C20" s="6" t="s">
        <v>1397</v>
      </c>
      <c r="D20" s="6" t="str">
        <f>_xlfn.IFNA(IF(VLOOKUP(tabListaItens[[#This Row],[CÓDIGO]],tabExcluirDoEstoque[#Data],1,FALSE),"sim",""),"")</f>
        <v/>
      </c>
      <c r="E20" s="6" t="str">
        <f>"*"</f>
        <v>*</v>
      </c>
    </row>
    <row r="21" spans="1:5" x14ac:dyDescent="0.25">
      <c r="A21" s="8">
        <v>11287</v>
      </c>
      <c r="B21" s="5" t="s">
        <v>332</v>
      </c>
      <c r="C21" s="6" t="s">
        <v>1417</v>
      </c>
      <c r="D21" s="6" t="str">
        <f>_xlfn.IFNA(IF(VLOOKUP(tabListaItens[[#This Row],[CÓDIGO]],tabExcluirDoEstoque[#Data],1,FALSE),"sim",""),"")</f>
        <v>sim</v>
      </c>
      <c r="E21" s="6" t="str">
        <f>"*"</f>
        <v>*</v>
      </c>
    </row>
    <row r="22" spans="1:5" x14ac:dyDescent="0.25">
      <c r="A22" s="8">
        <v>11418</v>
      </c>
      <c r="B22" s="5" t="s">
        <v>272</v>
      </c>
      <c r="C22" s="6" t="s">
        <v>1397</v>
      </c>
      <c r="D22" s="6" t="str">
        <f>_xlfn.IFNA(IF(VLOOKUP(tabListaItens[[#This Row],[CÓDIGO]],tabExcluirDoEstoque[#Data],1,FALSE),"sim",""),"")</f>
        <v/>
      </c>
      <c r="E22" s="6" t="str">
        <f>"*"</f>
        <v>*</v>
      </c>
    </row>
    <row r="23" spans="1:5" x14ac:dyDescent="0.25">
      <c r="A23" s="8">
        <v>11448</v>
      </c>
      <c r="B23" s="5" t="s">
        <v>362</v>
      </c>
      <c r="C23" s="6" t="s">
        <v>1402</v>
      </c>
      <c r="D23" s="6" t="str">
        <f>_xlfn.IFNA(IF(VLOOKUP(tabListaItens[[#This Row],[CÓDIGO]],tabExcluirDoEstoque[#Data],1,FALSE),"sim",""),"")</f>
        <v/>
      </c>
      <c r="E23" s="6" t="str">
        <f>"*"</f>
        <v>*</v>
      </c>
    </row>
    <row r="24" spans="1:5" x14ac:dyDescent="0.25">
      <c r="A24" s="8">
        <v>11509</v>
      </c>
      <c r="B24" s="5" t="s">
        <v>273</v>
      </c>
      <c r="C24" s="6" t="s">
        <v>1397</v>
      </c>
      <c r="D24" s="6" t="str">
        <f>_xlfn.IFNA(IF(VLOOKUP(tabListaItens[[#This Row],[CÓDIGO]],tabExcluirDoEstoque[#Data],1,FALSE),"sim",""),"")</f>
        <v/>
      </c>
      <c r="E24" s="6" t="str">
        <f>"*"</f>
        <v>*</v>
      </c>
    </row>
    <row r="25" spans="1:5" x14ac:dyDescent="0.25">
      <c r="A25" s="8">
        <v>11590</v>
      </c>
      <c r="B25" s="5" t="s">
        <v>735</v>
      </c>
      <c r="C25" s="6" t="s">
        <v>1397</v>
      </c>
      <c r="D25" s="6" t="str">
        <f>_xlfn.IFNA(IF(VLOOKUP(tabListaItens[[#This Row],[CÓDIGO]],tabExcluirDoEstoque[#Data],1,FALSE),"sim",""),"")</f>
        <v/>
      </c>
      <c r="E25" s="6" t="str">
        <f>"*"</f>
        <v>*</v>
      </c>
    </row>
    <row r="26" spans="1:5" x14ac:dyDescent="0.25">
      <c r="A26" s="8">
        <v>11857</v>
      </c>
      <c r="B26" s="5" t="s">
        <v>439</v>
      </c>
      <c r="C26" s="6" t="s">
        <v>1404</v>
      </c>
      <c r="D26" s="6" t="str">
        <f>_xlfn.IFNA(IF(VLOOKUP(tabListaItens[[#This Row],[CÓDIGO]],tabExcluirDoEstoque[#Data],1,FALSE),"sim",""),"")</f>
        <v/>
      </c>
      <c r="E26" s="6" t="str">
        <f>"*"</f>
        <v>*</v>
      </c>
    </row>
    <row r="27" spans="1:5" x14ac:dyDescent="0.25">
      <c r="A27" s="8">
        <v>11882</v>
      </c>
      <c r="B27" s="5" t="s">
        <v>1005</v>
      </c>
      <c r="C27" s="6" t="s">
        <v>1413</v>
      </c>
      <c r="D27" s="6" t="str">
        <f>_xlfn.IFNA(IF(VLOOKUP(tabListaItens[[#This Row],[CÓDIGO]],tabExcluirDoEstoque[#Data],1,FALSE),"sim",""),"")</f>
        <v>sim</v>
      </c>
      <c r="E27" s="6" t="str">
        <f>"*"</f>
        <v>*</v>
      </c>
    </row>
    <row r="28" spans="1:5" x14ac:dyDescent="0.25">
      <c r="A28" s="8">
        <v>11956</v>
      </c>
      <c r="B28" s="5" t="s">
        <v>1006</v>
      </c>
      <c r="C28" s="6" t="s">
        <v>1413</v>
      </c>
      <c r="D28" s="6" t="str">
        <f>_xlfn.IFNA(IF(VLOOKUP(tabListaItens[[#This Row],[CÓDIGO]],tabExcluirDoEstoque[#Data],1,FALSE),"sim",""),"")</f>
        <v>sim</v>
      </c>
      <c r="E28" s="6" t="str">
        <f>"*"</f>
        <v>*</v>
      </c>
    </row>
    <row r="29" spans="1:5" x14ac:dyDescent="0.25">
      <c r="A29" s="8">
        <v>11980</v>
      </c>
      <c r="B29" s="5" t="s">
        <v>1048</v>
      </c>
      <c r="C29" s="6" t="s">
        <v>1404</v>
      </c>
      <c r="D29" s="6" t="str">
        <f>_xlfn.IFNA(IF(VLOOKUP(tabListaItens[[#This Row],[CÓDIGO]],tabExcluirDoEstoque[#Data],1,FALSE),"sim",""),"")</f>
        <v>sim</v>
      </c>
      <c r="E29" s="6" t="str">
        <f>"*"</f>
        <v>*</v>
      </c>
    </row>
    <row r="30" spans="1:5" x14ac:dyDescent="0.25">
      <c r="A30" s="8">
        <v>12018</v>
      </c>
      <c r="B30" s="5" t="s">
        <v>561</v>
      </c>
      <c r="C30" s="6" t="s">
        <v>1404</v>
      </c>
      <c r="D30" s="6" t="str">
        <f>_xlfn.IFNA(IF(VLOOKUP(tabListaItens[[#This Row],[CÓDIGO]],tabExcluirDoEstoque[#Data],1,FALSE),"sim",""),"")</f>
        <v/>
      </c>
      <c r="E30" s="6" t="str">
        <f>"*"</f>
        <v>*</v>
      </c>
    </row>
    <row r="31" spans="1:5" x14ac:dyDescent="0.25">
      <c r="A31" s="8">
        <v>12020</v>
      </c>
      <c r="B31" s="5" t="s">
        <v>1065</v>
      </c>
      <c r="C31" s="6" t="s">
        <v>1397</v>
      </c>
      <c r="D31" s="6" t="str">
        <f>_xlfn.IFNA(IF(VLOOKUP(tabListaItens[[#This Row],[CÓDIGO]],tabExcluirDoEstoque[#Data],1,FALSE),"sim",""),"")</f>
        <v>sim</v>
      </c>
      <c r="E31" s="6" t="str">
        <f>"*"</f>
        <v>*</v>
      </c>
    </row>
    <row r="32" spans="1:5" x14ac:dyDescent="0.25">
      <c r="A32" s="8">
        <v>12610</v>
      </c>
      <c r="B32" s="5" t="s">
        <v>1447</v>
      </c>
      <c r="C32" s="6" t="s">
        <v>1404</v>
      </c>
      <c r="D32" s="6" t="str">
        <f>_xlfn.IFNA(IF(VLOOKUP(tabListaItens[[#This Row],[CÓDIGO]],tabExcluirDoEstoque[#Data],1,FALSE),"sim",""),"")</f>
        <v>sim</v>
      </c>
      <c r="E32" s="6" t="str">
        <f>"*"</f>
        <v>*</v>
      </c>
    </row>
    <row r="33" spans="1:5" x14ac:dyDescent="0.25">
      <c r="A33" s="8">
        <v>12613</v>
      </c>
      <c r="B33" s="5" t="s">
        <v>440</v>
      </c>
      <c r="C33" s="6" t="s">
        <v>1404</v>
      </c>
      <c r="D33" s="6" t="str">
        <f>_xlfn.IFNA(IF(VLOOKUP(tabListaItens[[#This Row],[CÓDIGO]],tabExcluirDoEstoque[#Data],1,FALSE),"sim",""),"")</f>
        <v/>
      </c>
      <c r="E33" s="6" t="str">
        <f>"*"</f>
        <v>*</v>
      </c>
    </row>
    <row r="34" spans="1:5" x14ac:dyDescent="0.25">
      <c r="A34" s="8">
        <v>12614</v>
      </c>
      <c r="B34" s="5" t="s">
        <v>441</v>
      </c>
      <c r="C34" s="6" t="s">
        <v>1404</v>
      </c>
      <c r="D34" s="6" t="str">
        <f>_xlfn.IFNA(IF(VLOOKUP(tabListaItens[[#This Row],[CÓDIGO]],tabExcluirDoEstoque[#Data],1,FALSE),"sim",""),"")</f>
        <v/>
      </c>
      <c r="E34" s="6" t="str">
        <f>"*"</f>
        <v>*</v>
      </c>
    </row>
    <row r="35" spans="1:5" x14ac:dyDescent="0.25">
      <c r="A35" s="8">
        <v>12615</v>
      </c>
      <c r="B35" s="5" t="s">
        <v>1172</v>
      </c>
      <c r="C35" s="6" t="s">
        <v>1428</v>
      </c>
      <c r="D35" s="6" t="str">
        <f>_xlfn.IFNA(IF(VLOOKUP(tabListaItens[[#This Row],[CÓDIGO]],tabExcluirDoEstoque[#Data],1,FALSE),"sim",""),"")</f>
        <v>sim</v>
      </c>
      <c r="E35" s="6" t="str">
        <f>"*"</f>
        <v>*</v>
      </c>
    </row>
    <row r="36" spans="1:5" x14ac:dyDescent="0.25">
      <c r="A36" s="8">
        <v>12616</v>
      </c>
      <c r="B36" s="5" t="s">
        <v>681</v>
      </c>
      <c r="C36" s="6" t="s">
        <v>1423</v>
      </c>
      <c r="D36" s="6" t="str">
        <f>_xlfn.IFNA(IF(VLOOKUP(tabListaItens[[#This Row],[CÓDIGO]],tabExcluirDoEstoque[#Data],1,FALSE),"sim",""),"")</f>
        <v/>
      </c>
      <c r="E36" s="6" t="str">
        <f>"*"</f>
        <v>*</v>
      </c>
    </row>
    <row r="37" spans="1:5" x14ac:dyDescent="0.25">
      <c r="A37" s="8">
        <v>12623</v>
      </c>
      <c r="B37" s="5" t="s">
        <v>293</v>
      </c>
      <c r="C37" s="6" t="s">
        <v>1416</v>
      </c>
      <c r="D37" s="6" t="str">
        <f>_xlfn.IFNA(IF(VLOOKUP(tabListaItens[[#This Row],[CÓDIGO]],tabExcluirDoEstoque[#Data],1,FALSE),"sim",""),"")</f>
        <v/>
      </c>
      <c r="E37" s="6" t="str">
        <f>"*"</f>
        <v>*</v>
      </c>
    </row>
    <row r="38" spans="1:5" x14ac:dyDescent="0.25">
      <c r="A38" s="8">
        <v>12635</v>
      </c>
      <c r="B38" s="5" t="s">
        <v>291</v>
      </c>
      <c r="C38" s="6" t="s">
        <v>1416</v>
      </c>
      <c r="D38" s="6" t="str">
        <f>_xlfn.IFNA(IF(VLOOKUP(tabListaItens[[#This Row],[CÓDIGO]],tabExcluirDoEstoque[#Data],1,FALSE),"sim",""),"")</f>
        <v/>
      </c>
      <c r="E38" s="6" t="str">
        <f>"*"</f>
        <v>*</v>
      </c>
    </row>
    <row r="39" spans="1:5" x14ac:dyDescent="0.25">
      <c r="A39" s="8">
        <v>12652</v>
      </c>
      <c r="B39" s="5" t="s">
        <v>353</v>
      </c>
      <c r="C39" s="6" t="s">
        <v>1398</v>
      </c>
      <c r="D39" s="6" t="str">
        <f>_xlfn.IFNA(IF(VLOOKUP(tabListaItens[[#This Row],[CÓDIGO]],tabExcluirDoEstoque[#Data],1,FALSE),"sim",""),"")</f>
        <v/>
      </c>
      <c r="E39" s="6" t="str">
        <f>"*"</f>
        <v>*</v>
      </c>
    </row>
    <row r="40" spans="1:5" x14ac:dyDescent="0.25">
      <c r="A40" s="8">
        <v>12654</v>
      </c>
      <c r="B40" s="5" t="s">
        <v>352</v>
      </c>
      <c r="C40" s="6" t="s">
        <v>1398</v>
      </c>
      <c r="D40" s="6" t="str">
        <f>_xlfn.IFNA(IF(VLOOKUP(tabListaItens[[#This Row],[CÓDIGO]],tabExcluirDoEstoque[#Data],1,FALSE),"sim",""),"")</f>
        <v/>
      </c>
      <c r="E40" s="6" t="str">
        <f>"*"</f>
        <v>*</v>
      </c>
    </row>
    <row r="41" spans="1:5" x14ac:dyDescent="0.25">
      <c r="A41" s="8">
        <v>12657</v>
      </c>
      <c r="B41" s="5" t="s">
        <v>1057</v>
      </c>
      <c r="C41" s="6" t="s">
        <v>1398</v>
      </c>
      <c r="D41" s="6" t="str">
        <f>_xlfn.IFNA(IF(VLOOKUP(tabListaItens[[#This Row],[CÓDIGO]],tabExcluirDoEstoque[#Data],1,FALSE),"sim",""),"")</f>
        <v>sim</v>
      </c>
      <c r="E41" s="6" t="str">
        <f>"*"</f>
        <v>*</v>
      </c>
    </row>
    <row r="42" spans="1:5" x14ac:dyDescent="0.25">
      <c r="A42" s="8">
        <v>12659</v>
      </c>
      <c r="B42" s="5" t="s">
        <v>633</v>
      </c>
      <c r="C42" s="6" t="s">
        <v>1404</v>
      </c>
      <c r="D42" s="6" t="str">
        <f>_xlfn.IFNA(IF(VLOOKUP(tabListaItens[[#This Row],[CÓDIGO]],tabExcluirDoEstoque[#Data],1,FALSE),"sim",""),"")</f>
        <v/>
      </c>
      <c r="E42" s="6" t="str">
        <f>"*"</f>
        <v>*</v>
      </c>
    </row>
    <row r="43" spans="1:5" x14ac:dyDescent="0.25">
      <c r="A43" s="8">
        <v>12673</v>
      </c>
      <c r="B43" s="5" t="s">
        <v>978</v>
      </c>
      <c r="C43" s="6" t="s">
        <v>1397</v>
      </c>
      <c r="D43" s="6" t="str">
        <f>_xlfn.IFNA(IF(VLOOKUP(tabListaItens[[#This Row],[CÓDIGO]],tabExcluirDoEstoque[#Data],1,FALSE),"sim",""),"")</f>
        <v/>
      </c>
      <c r="E43" s="6" t="str">
        <f>"*"</f>
        <v>*</v>
      </c>
    </row>
    <row r="44" spans="1:5" x14ac:dyDescent="0.25">
      <c r="A44" s="8">
        <v>12675</v>
      </c>
      <c r="B44" s="5" t="s">
        <v>1077</v>
      </c>
      <c r="C44" s="6" t="s">
        <v>1397</v>
      </c>
      <c r="D44" s="6" t="str">
        <f>_xlfn.IFNA(IF(VLOOKUP(tabListaItens[[#This Row],[CÓDIGO]],tabExcluirDoEstoque[#Data],1,FALSE),"sim",""),"")</f>
        <v>sim</v>
      </c>
      <c r="E44" s="6" t="str">
        <f>"*"</f>
        <v>*</v>
      </c>
    </row>
    <row r="45" spans="1:5" x14ac:dyDescent="0.25">
      <c r="A45" s="8">
        <v>12685</v>
      </c>
      <c r="B45" s="5" t="s">
        <v>117</v>
      </c>
      <c r="C45" s="6" t="s">
        <v>1402</v>
      </c>
      <c r="D45" s="6" t="str">
        <f>_xlfn.IFNA(IF(VLOOKUP(tabListaItens[[#This Row],[CÓDIGO]],tabExcluirDoEstoque[#Data],1,FALSE),"sim",""),"")</f>
        <v/>
      </c>
      <c r="E45" s="6" t="str">
        <f>"*"</f>
        <v>*</v>
      </c>
    </row>
    <row r="46" spans="1:5" x14ac:dyDescent="0.25">
      <c r="A46" s="8">
        <v>12708</v>
      </c>
      <c r="B46" s="5" t="s">
        <v>1173</v>
      </c>
      <c r="C46" s="6"/>
      <c r="D46" s="6" t="str">
        <f>_xlfn.IFNA(IF(VLOOKUP(tabListaItens[[#This Row],[CÓDIGO]],tabExcluirDoEstoque[#Data],1,FALSE),"sim",""),"")</f>
        <v>sim</v>
      </c>
      <c r="E46" s="6" t="str">
        <f>"*"</f>
        <v>*</v>
      </c>
    </row>
    <row r="47" spans="1:5" x14ac:dyDescent="0.25">
      <c r="A47" s="8">
        <v>12712</v>
      </c>
      <c r="B47" s="5" t="s">
        <v>1174</v>
      </c>
      <c r="C47" s="6" t="s">
        <v>1397</v>
      </c>
      <c r="D47" s="6" t="str">
        <f>_xlfn.IFNA(IF(VLOOKUP(tabListaItens[[#This Row],[CÓDIGO]],tabExcluirDoEstoque[#Data],1,FALSE),"sim",""),"")</f>
        <v>sim</v>
      </c>
      <c r="E47" s="6" t="str">
        <f>"*"</f>
        <v>*</v>
      </c>
    </row>
    <row r="48" spans="1:5" x14ac:dyDescent="0.25">
      <c r="A48" s="8">
        <v>12720</v>
      </c>
      <c r="B48" s="5" t="s">
        <v>1175</v>
      </c>
      <c r="C48" s="6" t="s">
        <v>1397</v>
      </c>
      <c r="D48" s="6" t="str">
        <f>_xlfn.IFNA(IF(VLOOKUP(tabListaItens[[#This Row],[CÓDIGO]],tabExcluirDoEstoque[#Data],1,FALSE),"sim",""),"")</f>
        <v>sim</v>
      </c>
      <c r="E48" s="6" t="str">
        <f>"*"</f>
        <v>*</v>
      </c>
    </row>
    <row r="49" spans="1:5" x14ac:dyDescent="0.25">
      <c r="A49" s="8">
        <v>12754</v>
      </c>
      <c r="B49" s="5" t="s">
        <v>536</v>
      </c>
      <c r="C49" s="6" t="s">
        <v>1398</v>
      </c>
      <c r="D49" s="6" t="str">
        <f>_xlfn.IFNA(IF(VLOOKUP(tabListaItens[[#This Row],[CÓDIGO]],tabExcluirDoEstoque[#Data],1,FALSE),"sim",""),"")</f>
        <v/>
      </c>
      <c r="E49" s="6" t="str">
        <f>"*"</f>
        <v>*</v>
      </c>
    </row>
    <row r="50" spans="1:5" x14ac:dyDescent="0.25">
      <c r="A50" s="8">
        <v>12763</v>
      </c>
      <c r="B50" s="5" t="s">
        <v>5</v>
      </c>
      <c r="C50" s="6" t="s">
        <v>1414</v>
      </c>
      <c r="D50" s="6" t="str">
        <f>_xlfn.IFNA(IF(VLOOKUP(tabListaItens[[#This Row],[CÓDIGO]],tabExcluirDoEstoque[#Data],1,FALSE),"sim",""),"")</f>
        <v/>
      </c>
      <c r="E50" s="6" t="str">
        <f>"*"</f>
        <v>*</v>
      </c>
    </row>
    <row r="51" spans="1:5" x14ac:dyDescent="0.25">
      <c r="A51" s="8">
        <v>12806</v>
      </c>
      <c r="B51" s="5" t="s">
        <v>118</v>
      </c>
      <c r="C51" s="6" t="s">
        <v>1403</v>
      </c>
      <c r="D51" s="6" t="str">
        <f>_xlfn.IFNA(IF(VLOOKUP(tabListaItens[[#This Row],[CÓDIGO]],tabExcluirDoEstoque[#Data],1,FALSE),"sim",""),"")</f>
        <v>sim</v>
      </c>
      <c r="E51" s="6" t="str">
        <f>"*"</f>
        <v>*</v>
      </c>
    </row>
    <row r="52" spans="1:5" x14ac:dyDescent="0.25">
      <c r="A52" s="8">
        <v>12812</v>
      </c>
      <c r="B52" s="5" t="s">
        <v>179</v>
      </c>
      <c r="C52" s="6" t="s">
        <v>1397</v>
      </c>
      <c r="D52" s="6" t="str">
        <f>_xlfn.IFNA(IF(VLOOKUP(tabListaItens[[#This Row],[CÓDIGO]],tabExcluirDoEstoque[#Data],1,FALSE),"sim",""),"")</f>
        <v/>
      </c>
      <c r="E52" s="6" t="str">
        <f>"*"</f>
        <v>*</v>
      </c>
    </row>
    <row r="53" spans="1:5" x14ac:dyDescent="0.25">
      <c r="A53" s="8">
        <v>12813</v>
      </c>
      <c r="B53" s="5" t="s">
        <v>113</v>
      </c>
      <c r="C53" s="6" t="s">
        <v>1397</v>
      </c>
      <c r="D53" s="6" t="str">
        <f>_xlfn.IFNA(IF(VLOOKUP(tabListaItens[[#This Row],[CÓDIGO]],tabExcluirDoEstoque[#Data],1,FALSE),"sim",""),"")</f>
        <v/>
      </c>
      <c r="E53" s="6" t="str">
        <f>"*"</f>
        <v>*</v>
      </c>
    </row>
    <row r="54" spans="1:5" x14ac:dyDescent="0.25">
      <c r="A54" s="8">
        <v>12818</v>
      </c>
      <c r="B54" s="5" t="s">
        <v>359</v>
      </c>
      <c r="C54" s="6" t="s">
        <v>1400</v>
      </c>
      <c r="D54" s="6" t="str">
        <f>_xlfn.IFNA(IF(VLOOKUP(tabListaItens[[#This Row],[CÓDIGO]],tabExcluirDoEstoque[#Data],1,FALSE),"sim",""),"")</f>
        <v>sim</v>
      </c>
      <c r="E54" s="6" t="str">
        <f>"*"</f>
        <v>*</v>
      </c>
    </row>
    <row r="55" spans="1:5" x14ac:dyDescent="0.25">
      <c r="A55" s="8">
        <v>12820</v>
      </c>
      <c r="B55" s="5" t="s">
        <v>8</v>
      </c>
      <c r="C55" s="6" t="s">
        <v>1400</v>
      </c>
      <c r="D55" s="6" t="str">
        <f>_xlfn.IFNA(IF(VLOOKUP(tabListaItens[[#This Row],[CÓDIGO]],tabExcluirDoEstoque[#Data],1,FALSE),"sim",""),"")</f>
        <v>sim</v>
      </c>
      <c r="E55" s="6" t="str">
        <f>"*"</f>
        <v>*</v>
      </c>
    </row>
    <row r="56" spans="1:5" x14ac:dyDescent="0.25">
      <c r="A56" s="8">
        <v>12821</v>
      </c>
      <c r="B56" s="5" t="s">
        <v>112</v>
      </c>
      <c r="C56" s="6" t="s">
        <v>1397</v>
      </c>
      <c r="D56" s="6" t="str">
        <f>_xlfn.IFNA(IF(VLOOKUP(tabListaItens[[#This Row],[CÓDIGO]],tabExcluirDoEstoque[#Data],1,FALSE),"sim",""),"")</f>
        <v/>
      </c>
      <c r="E56" s="6" t="str">
        <f>"*"</f>
        <v>*</v>
      </c>
    </row>
    <row r="57" spans="1:5" x14ac:dyDescent="0.25">
      <c r="A57" s="8">
        <v>12824</v>
      </c>
      <c r="B57" s="5" t="s">
        <v>111</v>
      </c>
      <c r="C57" s="6" t="s">
        <v>1397</v>
      </c>
      <c r="D57" s="6" t="str">
        <f>_xlfn.IFNA(IF(VLOOKUP(tabListaItens[[#This Row],[CÓDIGO]],tabExcluirDoEstoque[#Data],1,FALSE),"sim",""),"")</f>
        <v/>
      </c>
      <c r="E57" s="6" t="str">
        <f>"*"</f>
        <v>*</v>
      </c>
    </row>
    <row r="58" spans="1:5" x14ac:dyDescent="0.25">
      <c r="A58" s="8">
        <v>12829</v>
      </c>
      <c r="B58" s="5" t="s">
        <v>357</v>
      </c>
      <c r="C58" s="6" t="s">
        <v>1400</v>
      </c>
      <c r="D58" s="6" t="str">
        <f>_xlfn.IFNA(IF(VLOOKUP(tabListaItens[[#This Row],[CÓDIGO]],tabExcluirDoEstoque[#Data],1,FALSE),"sim",""),"")</f>
        <v>sim</v>
      </c>
      <c r="E58" s="6" t="str">
        <f>"*"</f>
        <v>*</v>
      </c>
    </row>
    <row r="59" spans="1:5" x14ac:dyDescent="0.25">
      <c r="A59" s="8">
        <v>12830</v>
      </c>
      <c r="B59" s="5" t="s">
        <v>9</v>
      </c>
      <c r="C59" s="6" t="s">
        <v>1397</v>
      </c>
      <c r="D59" s="6" t="str">
        <f>_xlfn.IFNA(IF(VLOOKUP(tabListaItens[[#This Row],[CÓDIGO]],tabExcluirDoEstoque[#Data],1,FALSE),"sim",""),"")</f>
        <v/>
      </c>
      <c r="E59" s="6" t="str">
        <f>"*"</f>
        <v>*</v>
      </c>
    </row>
    <row r="60" spans="1:5" x14ac:dyDescent="0.25">
      <c r="A60" s="8">
        <v>12831</v>
      </c>
      <c r="B60" s="5" t="s">
        <v>358</v>
      </c>
      <c r="C60" s="6" t="s">
        <v>1400</v>
      </c>
      <c r="D60" s="6" t="str">
        <f>_xlfn.IFNA(IF(VLOOKUP(tabListaItens[[#This Row],[CÓDIGO]],tabExcluirDoEstoque[#Data],1,FALSE),"sim",""),"")</f>
        <v>sim</v>
      </c>
      <c r="E60" s="6" t="str">
        <f>"*"</f>
        <v>*</v>
      </c>
    </row>
    <row r="61" spans="1:5" x14ac:dyDescent="0.25">
      <c r="A61" s="8">
        <v>12835</v>
      </c>
      <c r="B61" s="5" t="s">
        <v>10</v>
      </c>
      <c r="C61" s="6" t="s">
        <v>1397</v>
      </c>
      <c r="D61" s="6" t="str">
        <f>_xlfn.IFNA(IF(VLOOKUP(tabListaItens[[#This Row],[CÓDIGO]],tabExcluirDoEstoque[#Data],1,FALSE),"sim",""),"")</f>
        <v/>
      </c>
      <c r="E61" s="6" t="str">
        <f>"*"</f>
        <v>*</v>
      </c>
    </row>
    <row r="62" spans="1:5" x14ac:dyDescent="0.25">
      <c r="A62" s="8">
        <v>12838</v>
      </c>
      <c r="B62" s="5" t="s">
        <v>11</v>
      </c>
      <c r="C62" s="6" t="s">
        <v>1400</v>
      </c>
      <c r="D62" s="6" t="str">
        <f>_xlfn.IFNA(IF(VLOOKUP(tabListaItens[[#This Row],[CÓDIGO]],tabExcluirDoEstoque[#Data],1,FALSE),"sim",""),"")</f>
        <v>sim</v>
      </c>
      <c r="E62" s="6" t="str">
        <f>"*"</f>
        <v>*</v>
      </c>
    </row>
    <row r="63" spans="1:5" x14ac:dyDescent="0.25">
      <c r="A63" s="8">
        <v>12847</v>
      </c>
      <c r="B63" s="5" t="s">
        <v>833</v>
      </c>
      <c r="C63" s="6" t="s">
        <v>1397</v>
      </c>
      <c r="D63" s="6" t="str">
        <f>_xlfn.IFNA(IF(VLOOKUP(tabListaItens[[#This Row],[CÓDIGO]],tabExcluirDoEstoque[#Data],1,FALSE),"sim",""),"")</f>
        <v/>
      </c>
      <c r="E63" s="6" t="str">
        <f>"*"</f>
        <v>*</v>
      </c>
    </row>
    <row r="64" spans="1:5" x14ac:dyDescent="0.25">
      <c r="A64" s="8">
        <v>12851</v>
      </c>
      <c r="B64" s="5" t="s">
        <v>1114</v>
      </c>
      <c r="C64" s="6" t="s">
        <v>1397</v>
      </c>
      <c r="D64" s="6" t="str">
        <f>_xlfn.IFNA(IF(VLOOKUP(tabListaItens[[#This Row],[CÓDIGO]],tabExcluirDoEstoque[#Data],1,FALSE),"sim",""),"")</f>
        <v>sim</v>
      </c>
      <c r="E64" s="6" t="str">
        <f>"*"</f>
        <v>*</v>
      </c>
    </row>
    <row r="65" spans="1:5" x14ac:dyDescent="0.25">
      <c r="A65" s="8">
        <v>12853</v>
      </c>
      <c r="B65" s="5" t="s">
        <v>12</v>
      </c>
      <c r="C65" s="6" t="s">
        <v>1397</v>
      </c>
      <c r="D65" s="6" t="str">
        <f>_xlfn.IFNA(IF(VLOOKUP(tabListaItens[[#This Row],[CÓDIGO]],tabExcluirDoEstoque[#Data],1,FALSE),"sim",""),"")</f>
        <v/>
      </c>
      <c r="E65" s="6" t="str">
        <f>"*"</f>
        <v>*</v>
      </c>
    </row>
    <row r="66" spans="1:5" x14ac:dyDescent="0.25">
      <c r="A66" s="8">
        <v>12856</v>
      </c>
      <c r="B66" s="5" t="s">
        <v>13</v>
      </c>
      <c r="C66" s="6" t="s">
        <v>1397</v>
      </c>
      <c r="D66" s="6" t="str">
        <f>_xlfn.IFNA(IF(VLOOKUP(tabListaItens[[#This Row],[CÓDIGO]],tabExcluirDoEstoque[#Data],1,FALSE),"sim",""),"")</f>
        <v/>
      </c>
      <c r="E66" s="6" t="str">
        <f>"*"</f>
        <v>*</v>
      </c>
    </row>
    <row r="67" spans="1:5" x14ac:dyDescent="0.25">
      <c r="A67" s="8">
        <v>12857</v>
      </c>
      <c r="B67" s="5" t="s">
        <v>14</v>
      </c>
      <c r="C67" s="6" t="s">
        <v>1397</v>
      </c>
      <c r="D67" s="6" t="str">
        <f>_xlfn.IFNA(IF(VLOOKUP(tabListaItens[[#This Row],[CÓDIGO]],tabExcluirDoEstoque[#Data],1,FALSE),"sim",""),"")</f>
        <v/>
      </c>
      <c r="E67" s="6" t="str">
        <f>"*"</f>
        <v>*</v>
      </c>
    </row>
    <row r="68" spans="1:5" x14ac:dyDescent="0.25">
      <c r="A68" s="8">
        <v>12869</v>
      </c>
      <c r="B68" s="5" t="s">
        <v>369</v>
      </c>
      <c r="C68" s="6" t="s">
        <v>1397</v>
      </c>
      <c r="D68" s="6" t="str">
        <f>_xlfn.IFNA(IF(VLOOKUP(tabListaItens[[#This Row],[CÓDIGO]],tabExcluirDoEstoque[#Data],1,FALSE),"sim",""),"")</f>
        <v>sim</v>
      </c>
      <c r="E68" s="6" t="str">
        <f>"*"</f>
        <v>*</v>
      </c>
    </row>
    <row r="69" spans="1:5" x14ac:dyDescent="0.25">
      <c r="A69" s="8">
        <v>12877</v>
      </c>
      <c r="B69" s="5" t="s">
        <v>15</v>
      </c>
      <c r="C69" s="6" t="s">
        <v>1403</v>
      </c>
      <c r="D69" s="6" t="str">
        <f>_xlfn.IFNA(IF(VLOOKUP(tabListaItens[[#This Row],[CÓDIGO]],tabExcluirDoEstoque[#Data],1,FALSE),"sim",""),"")</f>
        <v/>
      </c>
      <c r="E69" s="6" t="str">
        <f>"*"</f>
        <v>*</v>
      </c>
    </row>
    <row r="70" spans="1:5" x14ac:dyDescent="0.25">
      <c r="A70" s="8">
        <v>12881</v>
      </c>
      <c r="B70" s="5" t="s">
        <v>16</v>
      </c>
      <c r="C70" s="6" t="s">
        <v>1397</v>
      </c>
      <c r="D70" s="6" t="str">
        <f>_xlfn.IFNA(IF(VLOOKUP(tabListaItens[[#This Row],[CÓDIGO]],tabExcluirDoEstoque[#Data],1,FALSE),"sim",""),"")</f>
        <v/>
      </c>
      <c r="E70" s="6" t="str">
        <f>"*"</f>
        <v>*</v>
      </c>
    </row>
    <row r="71" spans="1:5" x14ac:dyDescent="0.25">
      <c r="A71" s="8">
        <v>12884</v>
      </c>
      <c r="B71" s="5" t="s">
        <v>17</v>
      </c>
      <c r="C71" s="6" t="s">
        <v>1397</v>
      </c>
      <c r="D71" s="6" t="str">
        <f>_xlfn.IFNA(IF(VLOOKUP(tabListaItens[[#This Row],[CÓDIGO]],tabExcluirDoEstoque[#Data],1,FALSE),"sim",""),"")</f>
        <v/>
      </c>
      <c r="E71" s="6" t="str">
        <f>"*"</f>
        <v>*</v>
      </c>
    </row>
    <row r="72" spans="1:5" x14ac:dyDescent="0.25">
      <c r="A72" s="8">
        <v>12886</v>
      </c>
      <c r="B72" s="5" t="s">
        <v>18</v>
      </c>
      <c r="C72" s="6" t="s">
        <v>1397</v>
      </c>
      <c r="D72" s="6" t="str">
        <f>_xlfn.IFNA(IF(VLOOKUP(tabListaItens[[#This Row],[CÓDIGO]],tabExcluirDoEstoque[#Data],1,FALSE),"sim",""),"")</f>
        <v/>
      </c>
      <c r="E72" s="6" t="str">
        <f>"*"</f>
        <v>*</v>
      </c>
    </row>
    <row r="73" spans="1:5" x14ac:dyDescent="0.25">
      <c r="A73" s="8">
        <v>12888</v>
      </c>
      <c r="B73" s="5" t="s">
        <v>1026</v>
      </c>
      <c r="C73" s="6" t="s">
        <v>1397</v>
      </c>
      <c r="D73" s="6" t="str">
        <f>_xlfn.IFNA(IF(VLOOKUP(tabListaItens[[#This Row],[CÓDIGO]],tabExcluirDoEstoque[#Data],1,FALSE),"sim",""),"")</f>
        <v>sim</v>
      </c>
      <c r="E73" s="6" t="str">
        <f>"*"</f>
        <v>*</v>
      </c>
    </row>
    <row r="74" spans="1:5" x14ac:dyDescent="0.25">
      <c r="A74" s="8">
        <v>12891</v>
      </c>
      <c r="B74" s="5" t="s">
        <v>19</v>
      </c>
      <c r="C74" s="6" t="s">
        <v>1397</v>
      </c>
      <c r="D74" s="6" t="str">
        <f>_xlfn.IFNA(IF(VLOOKUP(tabListaItens[[#This Row],[CÓDIGO]],tabExcluirDoEstoque[#Data],1,FALSE),"sim",""),"")</f>
        <v/>
      </c>
      <c r="E74" s="6" t="str">
        <f>"*"</f>
        <v>*</v>
      </c>
    </row>
    <row r="75" spans="1:5" x14ac:dyDescent="0.25">
      <c r="A75" s="8">
        <v>12894</v>
      </c>
      <c r="B75" s="5" t="s">
        <v>20</v>
      </c>
      <c r="C75" s="6" t="s">
        <v>1397</v>
      </c>
      <c r="D75" s="6" t="str">
        <f>_xlfn.IFNA(IF(VLOOKUP(tabListaItens[[#This Row],[CÓDIGO]],tabExcluirDoEstoque[#Data],1,FALSE),"sim",""),"")</f>
        <v/>
      </c>
      <c r="E75" s="6" t="str">
        <f>"*"</f>
        <v>*</v>
      </c>
    </row>
    <row r="76" spans="1:5" x14ac:dyDescent="0.25">
      <c r="A76" s="8">
        <v>12915</v>
      </c>
      <c r="B76" s="5" t="s">
        <v>1176</v>
      </c>
      <c r="C76" s="6" t="s">
        <v>1419</v>
      </c>
      <c r="D76" s="6" t="str">
        <f>_xlfn.IFNA(IF(VLOOKUP(tabListaItens[[#This Row],[CÓDIGO]],tabExcluirDoEstoque[#Data],1,FALSE),"sim",""),"")</f>
        <v>sim</v>
      </c>
      <c r="E76" s="6" t="str">
        <f>"*"</f>
        <v>*</v>
      </c>
    </row>
    <row r="77" spans="1:5" x14ac:dyDescent="0.25">
      <c r="A77" s="8">
        <v>12922</v>
      </c>
      <c r="B77" s="5" t="s">
        <v>606</v>
      </c>
      <c r="C77" s="6" t="s">
        <v>1397</v>
      </c>
      <c r="D77" s="6" t="str">
        <f>_xlfn.IFNA(IF(VLOOKUP(tabListaItens[[#This Row],[CÓDIGO]],tabExcluirDoEstoque[#Data],1,FALSE),"sim",""),"")</f>
        <v/>
      </c>
      <c r="E77" s="6" t="str">
        <f>"*"</f>
        <v>*</v>
      </c>
    </row>
    <row r="78" spans="1:5" x14ac:dyDescent="0.25">
      <c r="A78" s="8">
        <v>12925</v>
      </c>
      <c r="B78" s="5" t="s">
        <v>1177</v>
      </c>
      <c r="C78" s="6" t="s">
        <v>1397</v>
      </c>
      <c r="D78" s="6" t="str">
        <f>_xlfn.IFNA(IF(VLOOKUP(tabListaItens[[#This Row],[CÓDIGO]],tabExcluirDoEstoque[#Data],1,FALSE),"sim",""),"")</f>
        <v>sim</v>
      </c>
      <c r="E78" s="6" t="str">
        <f>"*"</f>
        <v>*</v>
      </c>
    </row>
    <row r="79" spans="1:5" x14ac:dyDescent="0.25">
      <c r="A79" s="8">
        <v>12934</v>
      </c>
      <c r="B79" s="5" t="s">
        <v>1178</v>
      </c>
      <c r="C79" s="6" t="s">
        <v>1397</v>
      </c>
      <c r="D79" s="6" t="str">
        <f>_xlfn.IFNA(IF(VLOOKUP(tabListaItens[[#This Row],[CÓDIGO]],tabExcluirDoEstoque[#Data],1,FALSE),"sim",""),"")</f>
        <v>sim</v>
      </c>
      <c r="E79" s="6" t="str">
        <f>"*"</f>
        <v>*</v>
      </c>
    </row>
    <row r="80" spans="1:5" x14ac:dyDescent="0.25">
      <c r="A80" s="8">
        <v>12937</v>
      </c>
      <c r="B80" s="5" t="s">
        <v>1044</v>
      </c>
      <c r="C80" s="6" t="s">
        <v>1397</v>
      </c>
      <c r="D80" s="6" t="str">
        <f>_xlfn.IFNA(IF(VLOOKUP(tabListaItens[[#This Row],[CÓDIGO]],tabExcluirDoEstoque[#Data],1,FALSE),"sim",""),"")</f>
        <v>sim</v>
      </c>
      <c r="E80" s="6" t="str">
        <f>"*"</f>
        <v>*</v>
      </c>
    </row>
    <row r="81" spans="1:5" x14ac:dyDescent="0.25">
      <c r="A81" s="8">
        <v>12938</v>
      </c>
      <c r="B81" s="5"/>
      <c r="C81" s="6" t="s">
        <v>1397</v>
      </c>
      <c r="D81" s="6" t="str">
        <f>_xlfn.IFNA(IF(VLOOKUP(tabListaItens[[#This Row],[CÓDIGO]],tabExcluirDoEstoque[#Data],1,FALSE),"sim",""),"")</f>
        <v/>
      </c>
      <c r="E81" s="6" t="str">
        <f>"*"</f>
        <v>*</v>
      </c>
    </row>
    <row r="82" spans="1:5" x14ac:dyDescent="0.25">
      <c r="A82" s="8">
        <v>12944</v>
      </c>
      <c r="B82" s="5" t="s">
        <v>1179</v>
      </c>
      <c r="C82" s="6" t="s">
        <v>1397</v>
      </c>
      <c r="D82" s="6" t="str">
        <f>_xlfn.IFNA(IF(VLOOKUP(tabListaItens[[#This Row],[CÓDIGO]],tabExcluirDoEstoque[#Data],1,FALSE),"sim",""),"")</f>
        <v>sim</v>
      </c>
      <c r="E82" s="6" t="str">
        <f>"*"</f>
        <v>*</v>
      </c>
    </row>
    <row r="83" spans="1:5" x14ac:dyDescent="0.25">
      <c r="A83" s="8">
        <v>12948</v>
      </c>
      <c r="B83" s="5" t="s">
        <v>596</v>
      </c>
      <c r="C83" s="6" t="s">
        <v>1397</v>
      </c>
      <c r="D83" s="6" t="str">
        <f>_xlfn.IFNA(IF(VLOOKUP(tabListaItens[[#This Row],[CÓDIGO]],tabExcluirDoEstoque[#Data],1,FALSE),"sim",""),"")</f>
        <v/>
      </c>
      <c r="E83" s="6" t="str">
        <f>"*"</f>
        <v>*</v>
      </c>
    </row>
    <row r="84" spans="1:5" x14ac:dyDescent="0.25">
      <c r="A84" s="8">
        <v>12950</v>
      </c>
      <c r="B84" s="5" t="s">
        <v>594</v>
      </c>
      <c r="C84" s="6" t="s">
        <v>1397</v>
      </c>
      <c r="D84" s="6" t="str">
        <f>_xlfn.IFNA(IF(VLOOKUP(tabListaItens[[#This Row],[CÓDIGO]],tabExcluirDoEstoque[#Data],1,FALSE),"sim",""),"")</f>
        <v/>
      </c>
      <c r="E84" s="6" t="str">
        <f>"*"</f>
        <v>*</v>
      </c>
    </row>
    <row r="85" spans="1:5" x14ac:dyDescent="0.25">
      <c r="A85" s="8">
        <v>12953</v>
      </c>
      <c r="B85" s="5" t="s">
        <v>1082</v>
      </c>
      <c r="C85" s="6" t="s">
        <v>1397</v>
      </c>
      <c r="D85" s="6" t="str">
        <f>_xlfn.IFNA(IF(VLOOKUP(tabListaItens[[#This Row],[CÓDIGO]],tabExcluirDoEstoque[#Data],1,FALSE),"sim",""),"")</f>
        <v>sim</v>
      </c>
      <c r="E85" s="6" t="str">
        <f>"*"</f>
        <v>*</v>
      </c>
    </row>
    <row r="86" spans="1:5" x14ac:dyDescent="0.25">
      <c r="A86" s="8">
        <v>12956</v>
      </c>
      <c r="B86" s="5" t="s">
        <v>597</v>
      </c>
      <c r="C86" s="6" t="s">
        <v>1397</v>
      </c>
      <c r="D86" s="6" t="str">
        <f>_xlfn.IFNA(IF(VLOOKUP(tabListaItens[[#This Row],[CÓDIGO]],tabExcluirDoEstoque[#Data],1,FALSE),"sim",""),"")</f>
        <v/>
      </c>
      <c r="E86" s="6" t="str">
        <f>"*"</f>
        <v>*</v>
      </c>
    </row>
    <row r="87" spans="1:5" x14ac:dyDescent="0.25">
      <c r="A87" s="8">
        <v>12961</v>
      </c>
      <c r="B87" s="5" t="s">
        <v>1084</v>
      </c>
      <c r="C87" s="6" t="s">
        <v>1397</v>
      </c>
      <c r="D87" s="6" t="str">
        <f>_xlfn.IFNA(IF(VLOOKUP(tabListaItens[[#This Row],[CÓDIGO]],tabExcluirDoEstoque[#Data],1,FALSE),"sim",""),"")</f>
        <v>sim</v>
      </c>
      <c r="E87" s="6" t="str">
        <f>"*"</f>
        <v>*</v>
      </c>
    </row>
    <row r="88" spans="1:5" x14ac:dyDescent="0.25">
      <c r="A88" s="8">
        <v>12964</v>
      </c>
      <c r="B88" s="5" t="s">
        <v>1086</v>
      </c>
      <c r="C88" s="6" t="s">
        <v>1397</v>
      </c>
      <c r="D88" s="6" t="str">
        <f>_xlfn.IFNA(IF(VLOOKUP(tabListaItens[[#This Row],[CÓDIGO]],tabExcluirDoEstoque[#Data],1,FALSE),"sim",""),"")</f>
        <v>sim</v>
      </c>
      <c r="E88" s="6" t="str">
        <f>"*"</f>
        <v>*</v>
      </c>
    </row>
    <row r="89" spans="1:5" x14ac:dyDescent="0.25">
      <c r="A89" s="8">
        <v>12971</v>
      </c>
      <c r="B89" s="5" t="s">
        <v>21</v>
      </c>
      <c r="C89" s="6" t="s">
        <v>1397</v>
      </c>
      <c r="D89" s="6" t="str">
        <f>_xlfn.IFNA(IF(VLOOKUP(tabListaItens[[#This Row],[CÓDIGO]],tabExcluirDoEstoque[#Data],1,FALSE),"sim",""),"")</f>
        <v/>
      </c>
      <c r="E89" s="6" t="str">
        <f>"*"</f>
        <v>*</v>
      </c>
    </row>
    <row r="90" spans="1:5" x14ac:dyDescent="0.25">
      <c r="A90" s="8">
        <v>12989</v>
      </c>
      <c r="B90" s="5" t="s">
        <v>520</v>
      </c>
      <c r="C90" s="6" t="s">
        <v>1397</v>
      </c>
      <c r="D90" s="6" t="str">
        <f>_xlfn.IFNA(IF(VLOOKUP(tabListaItens[[#This Row],[CÓDIGO]],tabExcluirDoEstoque[#Data],1,FALSE),"sim",""),"")</f>
        <v/>
      </c>
      <c r="E90" s="6" t="str">
        <f>"*"</f>
        <v>*</v>
      </c>
    </row>
    <row r="91" spans="1:5" x14ac:dyDescent="0.25">
      <c r="A91" s="8">
        <v>12992</v>
      </c>
      <c r="B91" s="5" t="s">
        <v>523</v>
      </c>
      <c r="C91" s="6" t="s">
        <v>1397</v>
      </c>
      <c r="D91" s="6" t="str">
        <f>_xlfn.IFNA(IF(VLOOKUP(tabListaItens[[#This Row],[CÓDIGO]],tabExcluirDoEstoque[#Data],1,FALSE),"sim",""),"")</f>
        <v/>
      </c>
      <c r="E91" s="6" t="str">
        <f>"*"</f>
        <v>*</v>
      </c>
    </row>
    <row r="92" spans="1:5" x14ac:dyDescent="0.25">
      <c r="A92" s="8">
        <v>13007</v>
      </c>
      <c r="B92" s="5" t="s">
        <v>1047</v>
      </c>
      <c r="C92" s="6" t="s">
        <v>1413</v>
      </c>
      <c r="D92" s="6" t="str">
        <f>_xlfn.IFNA(IF(VLOOKUP(tabListaItens[[#This Row],[CÓDIGO]],tabExcluirDoEstoque[#Data],1,FALSE),"sim",""),"")</f>
        <v>sim</v>
      </c>
      <c r="E92" s="6" t="str">
        <f>"*"</f>
        <v>*</v>
      </c>
    </row>
    <row r="93" spans="1:5" x14ac:dyDescent="0.25">
      <c r="A93" s="8">
        <v>13009</v>
      </c>
      <c r="B93" s="5" t="s">
        <v>432</v>
      </c>
      <c r="C93" s="6" t="s">
        <v>1413</v>
      </c>
      <c r="D93" s="6" t="str">
        <f>_xlfn.IFNA(IF(VLOOKUP(tabListaItens[[#This Row],[CÓDIGO]],tabExcluirDoEstoque[#Data],1,FALSE),"sim",""),"")</f>
        <v/>
      </c>
      <c r="E93" s="6" t="str">
        <f>"*"</f>
        <v>*</v>
      </c>
    </row>
    <row r="94" spans="1:5" x14ac:dyDescent="0.25">
      <c r="A94" s="8">
        <v>13013</v>
      </c>
      <c r="B94" s="5" t="s">
        <v>1081</v>
      </c>
      <c r="C94" s="6" t="s">
        <v>1397</v>
      </c>
      <c r="D94" s="6" t="str">
        <f>_xlfn.IFNA(IF(VLOOKUP(tabListaItens[[#This Row],[CÓDIGO]],tabExcluirDoEstoque[#Data],1,FALSE),"sim",""),"")</f>
        <v>sim</v>
      </c>
      <c r="E94" s="6" t="str">
        <f>"*"</f>
        <v>*</v>
      </c>
    </row>
    <row r="95" spans="1:5" x14ac:dyDescent="0.25">
      <c r="A95" s="8">
        <v>13019</v>
      </c>
      <c r="B95" s="5" t="s">
        <v>1180</v>
      </c>
      <c r="C95" s="6"/>
      <c r="D95" s="6" t="str">
        <f>_xlfn.IFNA(IF(VLOOKUP(tabListaItens[[#This Row],[CÓDIGO]],tabExcluirDoEstoque[#Data],1,FALSE),"sim",""),"")</f>
        <v>sim</v>
      </c>
      <c r="E95" s="6" t="str">
        <f>"*"</f>
        <v>*</v>
      </c>
    </row>
    <row r="96" spans="1:5" x14ac:dyDescent="0.25">
      <c r="A96" s="8">
        <v>13021</v>
      </c>
      <c r="B96" s="5" t="s">
        <v>504</v>
      </c>
      <c r="C96" s="6" t="s">
        <v>1417</v>
      </c>
      <c r="D96" s="6" t="str">
        <f>_xlfn.IFNA(IF(VLOOKUP(tabListaItens[[#This Row],[CÓDIGO]],tabExcluirDoEstoque[#Data],1,FALSE),"sim",""),"")</f>
        <v/>
      </c>
      <c r="E96" s="6" t="str">
        <f>"*"</f>
        <v>*</v>
      </c>
    </row>
    <row r="97" spans="1:5" x14ac:dyDescent="0.25">
      <c r="A97" s="8">
        <v>13033</v>
      </c>
      <c r="B97" s="5" t="s">
        <v>1181</v>
      </c>
      <c r="C97" s="6" t="s">
        <v>1397</v>
      </c>
      <c r="D97" s="6" t="str">
        <f>_xlfn.IFNA(IF(VLOOKUP(tabListaItens[[#This Row],[CÓDIGO]],tabExcluirDoEstoque[#Data],1,FALSE),"sim",""),"")</f>
        <v>sim</v>
      </c>
      <c r="E97" s="6" t="str">
        <f>"*"</f>
        <v>*</v>
      </c>
    </row>
    <row r="98" spans="1:5" x14ac:dyDescent="0.25">
      <c r="A98" s="8">
        <v>13053</v>
      </c>
      <c r="B98" s="5" t="s">
        <v>1074</v>
      </c>
      <c r="C98" s="6" t="s">
        <v>1397</v>
      </c>
      <c r="D98" s="6" t="str">
        <f>_xlfn.IFNA(IF(VLOOKUP(tabListaItens[[#This Row],[CÓDIGO]],tabExcluirDoEstoque[#Data],1,FALSE),"sim",""),"")</f>
        <v>sim</v>
      </c>
      <c r="E98" s="6" t="str">
        <f>"*"</f>
        <v>*</v>
      </c>
    </row>
    <row r="99" spans="1:5" x14ac:dyDescent="0.25">
      <c r="A99" s="8">
        <v>13059</v>
      </c>
      <c r="B99" s="5" t="s">
        <v>546</v>
      </c>
      <c r="C99" s="6" t="s">
        <v>1397</v>
      </c>
      <c r="D99" s="6" t="str">
        <f>_xlfn.IFNA(IF(VLOOKUP(tabListaItens[[#This Row],[CÓDIGO]],tabExcluirDoEstoque[#Data],1,FALSE),"sim",""),"")</f>
        <v>sim</v>
      </c>
      <c r="E99" s="6" t="str">
        <f>"*"</f>
        <v>*</v>
      </c>
    </row>
    <row r="100" spans="1:5" x14ac:dyDescent="0.25">
      <c r="A100" s="8">
        <v>13060</v>
      </c>
      <c r="B100" s="5" t="s">
        <v>547</v>
      </c>
      <c r="C100" s="6" t="s">
        <v>1397</v>
      </c>
      <c r="D100" s="6" t="str">
        <f>_xlfn.IFNA(IF(VLOOKUP(tabListaItens[[#This Row],[CÓDIGO]],tabExcluirDoEstoque[#Data],1,FALSE),"sim",""),"")</f>
        <v>sim</v>
      </c>
      <c r="E100" s="6" t="str">
        <f>"*"</f>
        <v>*</v>
      </c>
    </row>
    <row r="101" spans="1:5" x14ac:dyDescent="0.25">
      <c r="A101" s="8">
        <v>13063</v>
      </c>
      <c r="B101" s="5" t="s">
        <v>22</v>
      </c>
      <c r="C101" s="6" t="s">
        <v>1400</v>
      </c>
      <c r="D101" s="6" t="str">
        <f>_xlfn.IFNA(IF(VLOOKUP(tabListaItens[[#This Row],[CÓDIGO]],tabExcluirDoEstoque[#Data],1,FALSE),"sim",""),"")</f>
        <v/>
      </c>
      <c r="E101" s="6" t="str">
        <f>"*"</f>
        <v>*</v>
      </c>
    </row>
    <row r="102" spans="1:5" x14ac:dyDescent="0.25">
      <c r="A102" s="8">
        <v>13064</v>
      </c>
      <c r="B102" s="5" t="s">
        <v>485</v>
      </c>
      <c r="C102" s="6" t="s">
        <v>1408</v>
      </c>
      <c r="D102" s="6" t="str">
        <f>_xlfn.IFNA(IF(VLOOKUP(tabListaItens[[#This Row],[CÓDIGO]],tabExcluirDoEstoque[#Data],1,FALSE),"sim",""),"")</f>
        <v/>
      </c>
      <c r="E102" s="6" t="str">
        <f>"*"</f>
        <v>*</v>
      </c>
    </row>
    <row r="103" spans="1:5" x14ac:dyDescent="0.25">
      <c r="A103" s="8">
        <v>13066</v>
      </c>
      <c r="B103" s="5" t="s">
        <v>566</v>
      </c>
      <c r="C103" s="6" t="s">
        <v>1416</v>
      </c>
      <c r="D103" s="6" t="str">
        <f>_xlfn.IFNA(IF(VLOOKUP(tabListaItens[[#This Row],[CÓDIGO]],tabExcluirDoEstoque[#Data],1,FALSE),"sim",""),"")</f>
        <v/>
      </c>
      <c r="E103" s="6" t="str">
        <f>"*"</f>
        <v>*</v>
      </c>
    </row>
    <row r="104" spans="1:5" x14ac:dyDescent="0.25">
      <c r="A104" s="8">
        <v>13068</v>
      </c>
      <c r="B104" s="5" t="s">
        <v>872</v>
      </c>
      <c r="C104" s="6" t="s">
        <v>1397</v>
      </c>
      <c r="D104" s="6" t="str">
        <f>_xlfn.IFNA(IF(VLOOKUP(tabListaItens[[#This Row],[CÓDIGO]],tabExcluirDoEstoque[#Data],1,FALSE),"sim",""),"")</f>
        <v/>
      </c>
      <c r="E104" s="6" t="str">
        <f>"*"</f>
        <v>*</v>
      </c>
    </row>
    <row r="105" spans="1:5" x14ac:dyDescent="0.25">
      <c r="A105" s="8">
        <v>13070</v>
      </c>
      <c r="B105" s="5" t="s">
        <v>1002</v>
      </c>
      <c r="C105" s="6" t="s">
        <v>1397</v>
      </c>
      <c r="D105" s="6" t="str">
        <f>_xlfn.IFNA(IF(VLOOKUP(tabListaItens[[#This Row],[CÓDIGO]],tabExcluirDoEstoque[#Data],1,FALSE),"sim",""),"")</f>
        <v>sim</v>
      </c>
      <c r="E105" s="6" t="str">
        <f>"*"</f>
        <v>*</v>
      </c>
    </row>
    <row r="106" spans="1:5" x14ac:dyDescent="0.25">
      <c r="A106" s="8">
        <v>13072</v>
      </c>
      <c r="B106" s="5" t="s">
        <v>874</v>
      </c>
      <c r="C106" s="6" t="s">
        <v>1397</v>
      </c>
      <c r="D106" s="6" t="str">
        <f>_xlfn.IFNA(IF(VLOOKUP(tabListaItens[[#This Row],[CÓDIGO]],tabExcluirDoEstoque[#Data],1,FALSE),"sim",""),"")</f>
        <v/>
      </c>
      <c r="E106" s="6" t="str">
        <f>"*"</f>
        <v>*</v>
      </c>
    </row>
    <row r="107" spans="1:5" x14ac:dyDescent="0.25">
      <c r="A107" s="8">
        <v>13076</v>
      </c>
      <c r="B107" s="5" t="s">
        <v>1126</v>
      </c>
      <c r="C107" s="6" t="s">
        <v>1405</v>
      </c>
      <c r="D107" s="6" t="str">
        <f>_xlfn.IFNA(IF(VLOOKUP(tabListaItens[[#This Row],[CÓDIGO]],tabExcluirDoEstoque[#Data],1,FALSE),"sim",""),"")</f>
        <v>sim</v>
      </c>
      <c r="E107" s="6" t="str">
        <f>"*"</f>
        <v>*</v>
      </c>
    </row>
    <row r="108" spans="1:5" x14ac:dyDescent="0.25">
      <c r="A108" s="8">
        <v>13077</v>
      </c>
      <c r="B108" s="5" t="s">
        <v>1182</v>
      </c>
      <c r="C108" s="6" t="s">
        <v>1405</v>
      </c>
      <c r="D108" s="6" t="str">
        <f>_xlfn.IFNA(IF(VLOOKUP(tabListaItens[[#This Row],[CÓDIGO]],tabExcluirDoEstoque[#Data],1,FALSE),"sim",""),"")</f>
        <v>sim</v>
      </c>
      <c r="E108" s="6" t="str">
        <f>"*"</f>
        <v>*</v>
      </c>
    </row>
    <row r="109" spans="1:5" x14ac:dyDescent="0.25">
      <c r="A109" s="8">
        <v>13078</v>
      </c>
      <c r="B109" s="5" t="s">
        <v>1157</v>
      </c>
      <c r="C109" s="6" t="s">
        <v>1397</v>
      </c>
      <c r="D109" s="6" t="str">
        <f>_xlfn.IFNA(IF(VLOOKUP(tabListaItens[[#This Row],[CÓDIGO]],tabExcluirDoEstoque[#Data],1,FALSE),"sim",""),"")</f>
        <v>sim</v>
      </c>
      <c r="E109" s="6" t="str">
        <f>"*"</f>
        <v>*</v>
      </c>
    </row>
    <row r="110" spans="1:5" x14ac:dyDescent="0.25">
      <c r="A110" s="8">
        <v>13087</v>
      </c>
      <c r="B110" s="5" t="s">
        <v>568</v>
      </c>
      <c r="C110" s="6" t="s">
        <v>1416</v>
      </c>
      <c r="D110" s="6" t="str">
        <f>_xlfn.IFNA(IF(VLOOKUP(tabListaItens[[#This Row],[CÓDIGO]],tabExcluirDoEstoque[#Data],1,FALSE),"sim",""),"")</f>
        <v/>
      </c>
      <c r="E110" s="6" t="str">
        <f>"*"</f>
        <v>*</v>
      </c>
    </row>
    <row r="111" spans="1:5" x14ac:dyDescent="0.25">
      <c r="A111" s="8">
        <v>13088</v>
      </c>
      <c r="B111" s="5" t="s">
        <v>569</v>
      </c>
      <c r="C111" s="6" t="s">
        <v>1416</v>
      </c>
      <c r="D111" s="6" t="str">
        <f>_xlfn.IFNA(IF(VLOOKUP(tabListaItens[[#This Row],[CÓDIGO]],tabExcluirDoEstoque[#Data],1,FALSE),"sim",""),"")</f>
        <v/>
      </c>
      <c r="E111" s="6" t="str">
        <f>"*"</f>
        <v>*</v>
      </c>
    </row>
    <row r="112" spans="1:5" x14ac:dyDescent="0.25">
      <c r="A112" s="8">
        <v>13091</v>
      </c>
      <c r="B112" s="5" t="s">
        <v>449</v>
      </c>
      <c r="C112" s="6" t="s">
        <v>1416</v>
      </c>
      <c r="D112" s="6" t="str">
        <f>_xlfn.IFNA(IF(VLOOKUP(tabListaItens[[#This Row],[CÓDIGO]],tabExcluirDoEstoque[#Data],1,FALSE),"sim",""),"")</f>
        <v/>
      </c>
      <c r="E112" s="6" t="str">
        <f>"*"</f>
        <v>*</v>
      </c>
    </row>
    <row r="113" spans="1:5" x14ac:dyDescent="0.25">
      <c r="A113" s="8">
        <v>13092</v>
      </c>
      <c r="B113" s="5" t="s">
        <v>232</v>
      </c>
      <c r="C113" s="6" t="s">
        <v>1397</v>
      </c>
      <c r="D113" s="6" t="str">
        <f>_xlfn.IFNA(IF(VLOOKUP(tabListaItens[[#This Row],[CÓDIGO]],tabExcluirDoEstoque[#Data],1,FALSE),"sim",""),"")</f>
        <v/>
      </c>
      <c r="E113" s="6" t="str">
        <f>"*"</f>
        <v>*</v>
      </c>
    </row>
    <row r="114" spans="1:5" x14ac:dyDescent="0.25">
      <c r="A114" s="8">
        <v>13094</v>
      </c>
      <c r="B114" s="5" t="s">
        <v>866</v>
      </c>
      <c r="C114" s="6" t="s">
        <v>1397</v>
      </c>
      <c r="D114" s="6" t="str">
        <f>_xlfn.IFNA(IF(VLOOKUP(tabListaItens[[#This Row],[CÓDIGO]],tabExcluirDoEstoque[#Data],1,FALSE),"sim",""),"")</f>
        <v/>
      </c>
      <c r="E114" s="6" t="str">
        <f>"*"</f>
        <v>*</v>
      </c>
    </row>
    <row r="115" spans="1:5" x14ac:dyDescent="0.25">
      <c r="A115" s="8">
        <v>13095</v>
      </c>
      <c r="B115" s="5" t="s">
        <v>868</v>
      </c>
      <c r="C115" s="6" t="s">
        <v>1397</v>
      </c>
      <c r="D115" s="6" t="str">
        <f>_xlfn.IFNA(IF(VLOOKUP(tabListaItens[[#This Row],[CÓDIGO]],tabExcluirDoEstoque[#Data],1,FALSE),"sim",""),"")</f>
        <v/>
      </c>
      <c r="E115" s="6" t="str">
        <f>"*"</f>
        <v>*</v>
      </c>
    </row>
    <row r="116" spans="1:5" x14ac:dyDescent="0.25">
      <c r="A116" s="8">
        <v>13096</v>
      </c>
      <c r="B116" s="5" t="s">
        <v>1183</v>
      </c>
      <c r="C116" s="6" t="s">
        <v>1397</v>
      </c>
      <c r="D116" s="6" t="str">
        <f>_xlfn.IFNA(IF(VLOOKUP(tabListaItens[[#This Row],[CÓDIGO]],tabExcluirDoEstoque[#Data],1,FALSE),"sim",""),"")</f>
        <v>sim</v>
      </c>
      <c r="E116" s="6" t="str">
        <f>"*"</f>
        <v>*</v>
      </c>
    </row>
    <row r="117" spans="1:5" x14ac:dyDescent="0.25">
      <c r="A117" s="8">
        <v>13100</v>
      </c>
      <c r="B117" s="5" t="s">
        <v>1159</v>
      </c>
      <c r="C117" s="6" t="s">
        <v>1397</v>
      </c>
      <c r="D117" s="6" t="str">
        <f>_xlfn.IFNA(IF(VLOOKUP(tabListaItens[[#This Row],[CÓDIGO]],tabExcluirDoEstoque[#Data],1,FALSE),"sim",""),"")</f>
        <v>sim</v>
      </c>
      <c r="E117" s="6" t="str">
        <f>"*"</f>
        <v>*</v>
      </c>
    </row>
    <row r="118" spans="1:5" x14ac:dyDescent="0.25">
      <c r="A118" s="8">
        <v>13101</v>
      </c>
      <c r="B118" s="5" t="s">
        <v>575</v>
      </c>
      <c r="C118" s="6" t="s">
        <v>1416</v>
      </c>
      <c r="D118" s="6" t="str">
        <f>_xlfn.IFNA(IF(VLOOKUP(tabListaItens[[#This Row],[CÓDIGO]],tabExcluirDoEstoque[#Data],1,FALSE),"sim",""),"")</f>
        <v/>
      </c>
      <c r="E118" s="6" t="str">
        <f>"*"</f>
        <v>*</v>
      </c>
    </row>
    <row r="119" spans="1:5" x14ac:dyDescent="0.25">
      <c r="A119" s="8">
        <v>13102</v>
      </c>
      <c r="B119" s="5" t="s">
        <v>870</v>
      </c>
      <c r="C119" s="6" t="s">
        <v>1397</v>
      </c>
      <c r="D119" s="6" t="str">
        <f>_xlfn.IFNA(IF(VLOOKUP(tabListaItens[[#This Row],[CÓDIGO]],tabExcluirDoEstoque[#Data],1,FALSE),"sim",""),"")</f>
        <v/>
      </c>
      <c r="E119" s="6" t="str">
        <f>"*"</f>
        <v>*</v>
      </c>
    </row>
    <row r="120" spans="1:5" x14ac:dyDescent="0.25">
      <c r="A120" s="8">
        <v>13109</v>
      </c>
      <c r="B120" s="5" t="s">
        <v>23</v>
      </c>
      <c r="C120" s="6" t="s">
        <v>1416</v>
      </c>
      <c r="D120" s="6" t="str">
        <f>_xlfn.IFNA(IF(VLOOKUP(tabListaItens[[#This Row],[CÓDIGO]],tabExcluirDoEstoque[#Data],1,FALSE),"sim",""),"")</f>
        <v/>
      </c>
      <c r="E120" s="6" t="str">
        <f>"*"</f>
        <v>*</v>
      </c>
    </row>
    <row r="121" spans="1:5" x14ac:dyDescent="0.25">
      <c r="A121" s="8">
        <v>13116</v>
      </c>
      <c r="B121" s="5" t="s">
        <v>24</v>
      </c>
      <c r="C121" s="6" t="s">
        <v>1397</v>
      </c>
      <c r="D121" s="6" t="str">
        <f>_xlfn.IFNA(IF(VLOOKUP(tabListaItens[[#This Row],[CÓDIGO]],tabExcluirDoEstoque[#Data],1,FALSE),"sim",""),"")</f>
        <v/>
      </c>
      <c r="E121" s="6" t="str">
        <f>"*"</f>
        <v>*</v>
      </c>
    </row>
    <row r="122" spans="1:5" x14ac:dyDescent="0.25">
      <c r="A122" s="8">
        <v>13117</v>
      </c>
      <c r="B122" s="5" t="s">
        <v>800</v>
      </c>
      <c r="C122" s="6" t="s">
        <v>1397</v>
      </c>
      <c r="D122" s="6" t="str">
        <f>_xlfn.IFNA(IF(VLOOKUP(tabListaItens[[#This Row],[CÓDIGO]],tabExcluirDoEstoque[#Data],1,FALSE),"sim",""),"")</f>
        <v/>
      </c>
      <c r="E122" s="6" t="str">
        <f>"*"</f>
        <v>*</v>
      </c>
    </row>
    <row r="123" spans="1:5" x14ac:dyDescent="0.25">
      <c r="A123" s="8">
        <v>13120</v>
      </c>
      <c r="B123" s="5" t="s">
        <v>799</v>
      </c>
      <c r="C123" s="6" t="s">
        <v>1397</v>
      </c>
      <c r="D123" s="6" t="str">
        <f>_xlfn.IFNA(IF(VLOOKUP(tabListaItens[[#This Row],[CÓDIGO]],tabExcluirDoEstoque[#Data],1,FALSE),"sim",""),"")</f>
        <v/>
      </c>
      <c r="E123" s="6" t="str">
        <f>"*"</f>
        <v>*</v>
      </c>
    </row>
    <row r="124" spans="1:5" x14ac:dyDescent="0.25">
      <c r="A124" s="8">
        <v>13123</v>
      </c>
      <c r="B124" s="5" t="s">
        <v>1134</v>
      </c>
      <c r="C124" s="6" t="s">
        <v>1397</v>
      </c>
      <c r="D124" s="6" t="str">
        <f>_xlfn.IFNA(IF(VLOOKUP(tabListaItens[[#This Row],[CÓDIGO]],tabExcluirDoEstoque[#Data],1,FALSE),"sim",""),"")</f>
        <v>sim</v>
      </c>
      <c r="E124" s="6" t="str">
        <f>"*"</f>
        <v>*</v>
      </c>
    </row>
    <row r="125" spans="1:5" x14ac:dyDescent="0.25">
      <c r="A125" s="8">
        <v>13125</v>
      </c>
      <c r="B125" s="5" t="s">
        <v>1135</v>
      </c>
      <c r="C125" s="6" t="s">
        <v>1397</v>
      </c>
      <c r="D125" s="6" t="str">
        <f>_xlfn.IFNA(IF(VLOOKUP(tabListaItens[[#This Row],[CÓDIGO]],tabExcluirDoEstoque[#Data],1,FALSE),"sim",""),"")</f>
        <v>sim</v>
      </c>
      <c r="E125" s="6" t="str">
        <f>"*"</f>
        <v>*</v>
      </c>
    </row>
    <row r="126" spans="1:5" x14ac:dyDescent="0.25">
      <c r="A126" s="8">
        <v>13130</v>
      </c>
      <c r="B126" s="5" t="s">
        <v>1147</v>
      </c>
      <c r="C126" s="6"/>
      <c r="D126" s="6" t="str">
        <f>_xlfn.IFNA(IF(VLOOKUP(tabListaItens[[#This Row],[CÓDIGO]],tabExcluirDoEstoque[#Data],1,FALSE),"sim",""),"")</f>
        <v>sim</v>
      </c>
      <c r="E126" s="6" t="str">
        <f>"*"</f>
        <v>*</v>
      </c>
    </row>
    <row r="127" spans="1:5" x14ac:dyDescent="0.25">
      <c r="A127" s="8">
        <v>13152</v>
      </c>
      <c r="B127" s="5" t="s">
        <v>1184</v>
      </c>
      <c r="C127" s="6" t="s">
        <v>1397</v>
      </c>
      <c r="D127" s="6" t="str">
        <f>_xlfn.IFNA(IF(VLOOKUP(tabListaItens[[#This Row],[CÓDIGO]],tabExcluirDoEstoque[#Data],1,FALSE),"sim",""),"")</f>
        <v>sim</v>
      </c>
      <c r="E127" s="6" t="str">
        <f>"*"</f>
        <v>*</v>
      </c>
    </row>
    <row r="128" spans="1:5" x14ac:dyDescent="0.25">
      <c r="A128" s="8">
        <v>13161</v>
      </c>
      <c r="B128" s="5" t="s">
        <v>937</v>
      </c>
      <c r="C128" s="6" t="s">
        <v>1397</v>
      </c>
      <c r="D128" s="6" t="str">
        <f>_xlfn.IFNA(IF(VLOOKUP(tabListaItens[[#This Row],[CÓDIGO]],tabExcluirDoEstoque[#Data],1,FALSE),"sim",""),"")</f>
        <v/>
      </c>
      <c r="E128" s="6" t="str">
        <f>"*"</f>
        <v>*</v>
      </c>
    </row>
    <row r="129" spans="1:5" x14ac:dyDescent="0.25">
      <c r="A129" s="8">
        <v>13165</v>
      </c>
      <c r="B129" s="5" t="s">
        <v>938</v>
      </c>
      <c r="C129" s="6" t="s">
        <v>1397</v>
      </c>
      <c r="D129" s="6" t="str">
        <f>_xlfn.IFNA(IF(VLOOKUP(tabListaItens[[#This Row],[CÓDIGO]],tabExcluirDoEstoque[#Data],1,FALSE),"sim",""),"")</f>
        <v/>
      </c>
      <c r="E129" s="6" t="str">
        <f>"*"</f>
        <v>*</v>
      </c>
    </row>
    <row r="130" spans="1:5" x14ac:dyDescent="0.25">
      <c r="A130" s="8">
        <v>13175</v>
      </c>
      <c r="B130" s="5" t="s">
        <v>939</v>
      </c>
      <c r="C130" s="6" t="s">
        <v>1397</v>
      </c>
      <c r="D130" s="6" t="str">
        <f>_xlfn.IFNA(IF(VLOOKUP(tabListaItens[[#This Row],[CÓDIGO]],tabExcluirDoEstoque[#Data],1,FALSE),"sim",""),"")</f>
        <v>sim</v>
      </c>
      <c r="E130" s="6" t="str">
        <f>"*"</f>
        <v>*</v>
      </c>
    </row>
    <row r="131" spans="1:5" x14ac:dyDescent="0.25">
      <c r="A131" s="8">
        <v>13178</v>
      </c>
      <c r="B131" s="5" t="s">
        <v>181</v>
      </c>
      <c r="C131" s="6" t="s">
        <v>1397</v>
      </c>
      <c r="D131" s="6" t="str">
        <f>_xlfn.IFNA(IF(VLOOKUP(tabListaItens[[#This Row],[CÓDIGO]],tabExcluirDoEstoque[#Data],1,FALSE),"sim",""),"")</f>
        <v/>
      </c>
      <c r="E131" s="6" t="str">
        <f>"*"</f>
        <v>*</v>
      </c>
    </row>
    <row r="132" spans="1:5" x14ac:dyDescent="0.25">
      <c r="A132" s="8">
        <v>13179</v>
      </c>
      <c r="B132" s="5" t="s">
        <v>183</v>
      </c>
      <c r="C132" s="6" t="s">
        <v>1397</v>
      </c>
      <c r="D132" s="6" t="str">
        <f>_xlfn.IFNA(IF(VLOOKUP(tabListaItens[[#This Row],[CÓDIGO]],tabExcluirDoEstoque[#Data],1,FALSE),"sim",""),"")</f>
        <v/>
      </c>
      <c r="E132" s="6" t="str">
        <f>"*"</f>
        <v>*</v>
      </c>
    </row>
    <row r="133" spans="1:5" x14ac:dyDescent="0.25">
      <c r="A133" s="8">
        <v>13180</v>
      </c>
      <c r="B133" s="5" t="s">
        <v>26</v>
      </c>
      <c r="C133" s="6" t="s">
        <v>1397</v>
      </c>
      <c r="D133" s="6" t="str">
        <f>_xlfn.IFNA(IF(VLOOKUP(tabListaItens[[#This Row],[CÓDIGO]],tabExcluirDoEstoque[#Data],1,FALSE),"sim",""),"")</f>
        <v/>
      </c>
      <c r="E133" s="6" t="str">
        <f>"*"</f>
        <v>*</v>
      </c>
    </row>
    <row r="134" spans="1:5" x14ac:dyDescent="0.25">
      <c r="A134" s="8">
        <v>13181</v>
      </c>
      <c r="B134" s="5" t="s">
        <v>219</v>
      </c>
      <c r="C134" s="6" t="s">
        <v>1397</v>
      </c>
      <c r="D134" s="6" t="str">
        <f>_xlfn.IFNA(IF(VLOOKUP(tabListaItens[[#This Row],[CÓDIGO]],tabExcluirDoEstoque[#Data],1,FALSE),"sim",""),"")</f>
        <v/>
      </c>
      <c r="E134" s="6" t="str">
        <f>"*"</f>
        <v>*</v>
      </c>
    </row>
    <row r="135" spans="1:5" x14ac:dyDescent="0.25">
      <c r="A135" s="8">
        <v>13186</v>
      </c>
      <c r="B135" s="5" t="s">
        <v>331</v>
      </c>
      <c r="C135" s="6" t="s">
        <v>1402</v>
      </c>
      <c r="D135" s="6" t="str">
        <f>_xlfn.IFNA(IF(VLOOKUP(tabListaItens[[#This Row],[CÓDIGO]],tabExcluirDoEstoque[#Data],1,FALSE),"sim",""),"")</f>
        <v/>
      </c>
      <c r="E135" s="6" t="str">
        <f>"*"</f>
        <v>*</v>
      </c>
    </row>
    <row r="136" spans="1:5" x14ac:dyDescent="0.25">
      <c r="A136" s="8">
        <v>13192</v>
      </c>
      <c r="B136" s="5" t="s">
        <v>977</v>
      </c>
      <c r="C136" s="6" t="s">
        <v>1397</v>
      </c>
      <c r="D136" s="6" t="str">
        <f>_xlfn.IFNA(IF(VLOOKUP(tabListaItens[[#This Row],[CÓDIGO]],tabExcluirDoEstoque[#Data],1,FALSE),"sim",""),"")</f>
        <v/>
      </c>
      <c r="E136" s="6" t="str">
        <f>"*"</f>
        <v>*</v>
      </c>
    </row>
    <row r="137" spans="1:5" x14ac:dyDescent="0.25">
      <c r="A137" s="8">
        <v>13197</v>
      </c>
      <c r="B137" s="5" t="s">
        <v>417</v>
      </c>
      <c r="C137" s="6" t="s">
        <v>1397</v>
      </c>
      <c r="D137" s="6" t="str">
        <f>_xlfn.IFNA(IF(VLOOKUP(tabListaItens[[#This Row],[CÓDIGO]],tabExcluirDoEstoque[#Data],1,FALSE),"sim",""),"")</f>
        <v/>
      </c>
      <c r="E137" s="6" t="str">
        <f>"*"</f>
        <v>*</v>
      </c>
    </row>
    <row r="138" spans="1:5" x14ac:dyDescent="0.25">
      <c r="A138" s="8">
        <v>13199</v>
      </c>
      <c r="B138" s="5" t="s">
        <v>418</v>
      </c>
      <c r="C138" s="6" t="s">
        <v>1397</v>
      </c>
      <c r="D138" s="6" t="str">
        <f>_xlfn.IFNA(IF(VLOOKUP(tabListaItens[[#This Row],[CÓDIGO]],tabExcluirDoEstoque[#Data],1,FALSE),"sim",""),"")</f>
        <v/>
      </c>
      <c r="E138" s="6" t="str">
        <f>"*"</f>
        <v>*</v>
      </c>
    </row>
    <row r="139" spans="1:5" x14ac:dyDescent="0.25">
      <c r="A139" s="8">
        <v>13202</v>
      </c>
      <c r="B139" s="5" t="s">
        <v>1185</v>
      </c>
      <c r="C139" s="6"/>
      <c r="D139" s="6" t="str">
        <f>_xlfn.IFNA(IF(VLOOKUP(tabListaItens[[#This Row],[CÓDIGO]],tabExcluirDoEstoque[#Data],1,FALSE),"sim",""),"")</f>
        <v>sim</v>
      </c>
      <c r="E139" s="6" t="str">
        <f>"*"</f>
        <v>*</v>
      </c>
    </row>
    <row r="140" spans="1:5" x14ac:dyDescent="0.25">
      <c r="A140" s="8">
        <v>13218</v>
      </c>
      <c r="B140" s="5" t="s">
        <v>565</v>
      </c>
      <c r="C140" s="6" t="s">
        <v>1416</v>
      </c>
      <c r="D140" s="6" t="str">
        <f>_xlfn.IFNA(IF(VLOOKUP(tabListaItens[[#This Row],[CÓDIGO]],tabExcluirDoEstoque[#Data],1,FALSE),"sim",""),"")</f>
        <v/>
      </c>
      <c r="E140" s="6" t="str">
        <f>"*"</f>
        <v>*</v>
      </c>
    </row>
    <row r="141" spans="1:5" x14ac:dyDescent="0.25">
      <c r="A141" s="8">
        <v>13221</v>
      </c>
      <c r="B141" s="5" t="s">
        <v>27</v>
      </c>
      <c r="C141" s="6" t="s">
        <v>1397</v>
      </c>
      <c r="D141" s="6" t="str">
        <f>_xlfn.IFNA(IF(VLOOKUP(tabListaItens[[#This Row],[CÓDIGO]],tabExcluirDoEstoque[#Data],1,FALSE),"sim",""),"")</f>
        <v/>
      </c>
      <c r="E141" s="6" t="str">
        <f>"*"</f>
        <v>*</v>
      </c>
    </row>
    <row r="142" spans="1:5" x14ac:dyDescent="0.25">
      <c r="A142" s="8">
        <v>13222</v>
      </c>
      <c r="B142" s="5" t="s">
        <v>702</v>
      </c>
      <c r="C142" s="6" t="s">
        <v>1397</v>
      </c>
      <c r="D142" s="6" t="str">
        <f>_xlfn.IFNA(IF(VLOOKUP(tabListaItens[[#This Row],[CÓDIGO]],tabExcluirDoEstoque[#Data],1,FALSE),"sim",""),"")</f>
        <v/>
      </c>
      <c r="E142" s="6" t="str">
        <f>"*"</f>
        <v>*</v>
      </c>
    </row>
    <row r="143" spans="1:5" x14ac:dyDescent="0.25">
      <c r="A143" s="8">
        <v>13225</v>
      </c>
      <c r="B143" s="5" t="s">
        <v>1169</v>
      </c>
      <c r="C143" s="6" t="s">
        <v>1397</v>
      </c>
      <c r="D143" s="6" t="str">
        <f>_xlfn.IFNA(IF(VLOOKUP(tabListaItens[[#This Row],[CÓDIGO]],tabExcluirDoEstoque[#Data],1,FALSE),"sim",""),"")</f>
        <v>sim</v>
      </c>
      <c r="E143" s="6" t="str">
        <f>"*"</f>
        <v>*</v>
      </c>
    </row>
    <row r="144" spans="1:5" x14ac:dyDescent="0.25">
      <c r="A144" s="8">
        <v>13517</v>
      </c>
      <c r="B144" s="5" t="s">
        <v>867</v>
      </c>
      <c r="C144" s="6" t="s">
        <v>1397</v>
      </c>
      <c r="D144" s="6" t="str">
        <f>_xlfn.IFNA(IF(VLOOKUP(tabListaItens[[#This Row],[CÓDIGO]],tabExcluirDoEstoque[#Data],1,FALSE),"sim",""),"")</f>
        <v/>
      </c>
      <c r="E144" s="6" t="str">
        <f>"*"</f>
        <v>*</v>
      </c>
    </row>
    <row r="145" spans="1:5" x14ac:dyDescent="0.25">
      <c r="A145" s="8">
        <v>13518</v>
      </c>
      <c r="B145" s="5" t="s">
        <v>29</v>
      </c>
      <c r="C145" s="6" t="s">
        <v>1397</v>
      </c>
      <c r="D145" s="6" t="str">
        <f>_xlfn.IFNA(IF(VLOOKUP(tabListaItens[[#This Row],[CÓDIGO]],tabExcluirDoEstoque[#Data],1,FALSE),"sim",""),"")</f>
        <v/>
      </c>
      <c r="E145" s="6" t="str">
        <f>"*"</f>
        <v>*</v>
      </c>
    </row>
    <row r="146" spans="1:5" x14ac:dyDescent="0.25">
      <c r="A146" s="8">
        <v>13539</v>
      </c>
      <c r="B146" s="5" t="s">
        <v>123</v>
      </c>
      <c r="C146" s="6" t="s">
        <v>1397</v>
      </c>
      <c r="D146" s="6" t="str">
        <f>_xlfn.IFNA(IF(VLOOKUP(tabListaItens[[#This Row],[CÓDIGO]],tabExcluirDoEstoque[#Data],1,FALSE),"sim",""),"")</f>
        <v/>
      </c>
      <c r="E146" s="6" t="str">
        <f>"*"</f>
        <v>*</v>
      </c>
    </row>
    <row r="147" spans="1:5" x14ac:dyDescent="0.25">
      <c r="A147" s="8">
        <v>13556</v>
      </c>
      <c r="B147" s="5" t="s">
        <v>946</v>
      </c>
      <c r="C147" s="6" t="s">
        <v>1409</v>
      </c>
      <c r="D147" s="6" t="str">
        <f>_xlfn.IFNA(IF(VLOOKUP(tabListaItens[[#This Row],[CÓDIGO]],tabExcluirDoEstoque[#Data],1,FALSE),"sim",""),"")</f>
        <v/>
      </c>
      <c r="E147" s="6" t="str">
        <f>"*"</f>
        <v>*</v>
      </c>
    </row>
    <row r="148" spans="1:5" x14ac:dyDescent="0.25">
      <c r="A148" s="8">
        <v>13558</v>
      </c>
      <c r="B148" s="5" t="s">
        <v>960</v>
      </c>
      <c r="C148" s="6" t="s">
        <v>1409</v>
      </c>
      <c r="D148" s="6" t="str">
        <f>_xlfn.IFNA(IF(VLOOKUP(tabListaItens[[#This Row],[CÓDIGO]],tabExcluirDoEstoque[#Data],1,FALSE),"sim",""),"")</f>
        <v/>
      </c>
      <c r="E148" s="6" t="str">
        <f>"*"</f>
        <v>*</v>
      </c>
    </row>
    <row r="149" spans="1:5" x14ac:dyDescent="0.25">
      <c r="A149" s="8">
        <v>13559</v>
      </c>
      <c r="B149" s="5" t="s">
        <v>961</v>
      </c>
      <c r="C149" s="6" t="s">
        <v>1409</v>
      </c>
      <c r="D149" s="6" t="str">
        <f>_xlfn.IFNA(IF(VLOOKUP(tabListaItens[[#This Row],[CÓDIGO]],tabExcluirDoEstoque[#Data],1,FALSE),"sim",""),"")</f>
        <v/>
      </c>
      <c r="E149" s="6" t="str">
        <f>"*"</f>
        <v>*</v>
      </c>
    </row>
    <row r="150" spans="1:5" x14ac:dyDescent="0.25">
      <c r="A150" s="8">
        <v>13560</v>
      </c>
      <c r="B150" s="5" t="s">
        <v>962</v>
      </c>
      <c r="C150" s="6" t="s">
        <v>1409</v>
      </c>
      <c r="D150" s="6" t="str">
        <f>_xlfn.IFNA(IF(VLOOKUP(tabListaItens[[#This Row],[CÓDIGO]],tabExcluirDoEstoque[#Data],1,FALSE),"sim",""),"")</f>
        <v/>
      </c>
      <c r="E150" s="6" t="str">
        <f>"*"</f>
        <v>*</v>
      </c>
    </row>
    <row r="151" spans="1:5" x14ac:dyDescent="0.25">
      <c r="A151" s="8">
        <v>13561</v>
      </c>
      <c r="B151" s="5" t="s">
        <v>964</v>
      </c>
      <c r="C151" s="6" t="s">
        <v>1409</v>
      </c>
      <c r="D151" s="6" t="str">
        <f>_xlfn.IFNA(IF(VLOOKUP(tabListaItens[[#This Row],[CÓDIGO]],tabExcluirDoEstoque[#Data],1,FALSE),"sim",""),"")</f>
        <v/>
      </c>
      <c r="E151" s="6" t="str">
        <f>"*"</f>
        <v>*</v>
      </c>
    </row>
    <row r="152" spans="1:5" x14ac:dyDescent="0.25">
      <c r="A152" s="8">
        <v>13562</v>
      </c>
      <c r="B152" s="5" t="s">
        <v>30</v>
      </c>
      <c r="C152" s="6" t="s">
        <v>1409</v>
      </c>
      <c r="D152" s="6" t="str">
        <f>_xlfn.IFNA(IF(VLOOKUP(tabListaItens[[#This Row],[CÓDIGO]],tabExcluirDoEstoque[#Data],1,FALSE),"sim",""),"")</f>
        <v/>
      </c>
      <c r="E152" s="6" t="str">
        <f>"*"</f>
        <v>*</v>
      </c>
    </row>
    <row r="153" spans="1:5" x14ac:dyDescent="0.25">
      <c r="A153" s="8">
        <v>13563</v>
      </c>
      <c r="B153" s="5" t="s">
        <v>744</v>
      </c>
      <c r="C153" s="6" t="s">
        <v>1397</v>
      </c>
      <c r="D153" s="6" t="str">
        <f>_xlfn.IFNA(IF(VLOOKUP(tabListaItens[[#This Row],[CÓDIGO]],tabExcluirDoEstoque[#Data],1,FALSE),"sim",""),"")</f>
        <v/>
      </c>
      <c r="E153" s="6" t="str">
        <f>"*"</f>
        <v>*</v>
      </c>
    </row>
    <row r="154" spans="1:5" x14ac:dyDescent="0.25">
      <c r="A154" s="8">
        <v>13655</v>
      </c>
      <c r="B154" s="5" t="s">
        <v>709</v>
      </c>
      <c r="C154" s="6" t="s">
        <v>1404</v>
      </c>
      <c r="D154" s="6" t="str">
        <f>_xlfn.IFNA(IF(VLOOKUP(tabListaItens[[#This Row],[CÓDIGO]],tabExcluirDoEstoque[#Data],1,FALSE),"sim",""),"")</f>
        <v/>
      </c>
      <c r="E154" s="6" t="str">
        <f>"*"</f>
        <v>*</v>
      </c>
    </row>
    <row r="155" spans="1:5" x14ac:dyDescent="0.25">
      <c r="A155" s="8">
        <v>13768</v>
      </c>
      <c r="B155" s="5" t="s">
        <v>229</v>
      </c>
      <c r="C155" s="6" t="s">
        <v>1397</v>
      </c>
      <c r="D155" s="6" t="str">
        <f>_xlfn.IFNA(IF(VLOOKUP(tabListaItens[[#This Row],[CÓDIGO]],tabExcluirDoEstoque[#Data],1,FALSE),"sim",""),"")</f>
        <v/>
      </c>
      <c r="E155" s="6" t="str">
        <f>"*"</f>
        <v>*</v>
      </c>
    </row>
    <row r="156" spans="1:5" x14ac:dyDescent="0.25">
      <c r="A156" s="8">
        <v>13905</v>
      </c>
      <c r="B156" s="5" t="s">
        <v>557</v>
      </c>
      <c r="C156" s="6" t="s">
        <v>1402</v>
      </c>
      <c r="D156" s="6" t="str">
        <f>_xlfn.IFNA(IF(VLOOKUP(tabListaItens[[#This Row],[CÓDIGO]],tabExcluirDoEstoque[#Data],1,FALSE),"sim",""),"")</f>
        <v/>
      </c>
      <c r="E156" s="6" t="str">
        <f>"*"</f>
        <v>*</v>
      </c>
    </row>
    <row r="157" spans="1:5" x14ac:dyDescent="0.25">
      <c r="A157" s="8">
        <v>13975</v>
      </c>
      <c r="B157" s="5" t="s">
        <v>1186</v>
      </c>
      <c r="C157" s="6" t="s">
        <v>1397</v>
      </c>
      <c r="D157" s="6" t="str">
        <f>_xlfn.IFNA(IF(VLOOKUP(tabListaItens[[#This Row],[CÓDIGO]],tabExcluirDoEstoque[#Data],1,FALSE),"sim",""),"")</f>
        <v>sim</v>
      </c>
      <c r="E157" s="6" t="str">
        <f>"*"</f>
        <v>*</v>
      </c>
    </row>
    <row r="158" spans="1:5" x14ac:dyDescent="0.25">
      <c r="A158" s="8">
        <v>13991</v>
      </c>
      <c r="B158" s="5" t="s">
        <v>304</v>
      </c>
      <c r="C158" s="6" t="s">
        <v>1397</v>
      </c>
      <c r="D158" s="6" t="str">
        <f>_xlfn.IFNA(IF(VLOOKUP(tabListaItens[[#This Row],[CÓDIGO]],tabExcluirDoEstoque[#Data],1,FALSE),"sim",""),"")</f>
        <v/>
      </c>
      <c r="E158" s="6" t="str">
        <f>"*"</f>
        <v>*</v>
      </c>
    </row>
    <row r="159" spans="1:5" x14ac:dyDescent="0.25">
      <c r="A159" s="8">
        <v>14001</v>
      </c>
      <c r="B159" s="5" t="s">
        <v>31</v>
      </c>
      <c r="C159" s="6" t="s">
        <v>1403</v>
      </c>
      <c r="D159" s="6" t="str">
        <f>_xlfn.IFNA(IF(VLOOKUP(tabListaItens[[#This Row],[CÓDIGO]],tabExcluirDoEstoque[#Data],1,FALSE),"sim",""),"")</f>
        <v/>
      </c>
      <c r="E159" s="6" t="str">
        <f>"*"</f>
        <v>*</v>
      </c>
    </row>
    <row r="160" spans="1:5" x14ac:dyDescent="0.25">
      <c r="A160" s="8">
        <v>14009</v>
      </c>
      <c r="B160" s="5" t="s">
        <v>991</v>
      </c>
      <c r="C160" s="6" t="s">
        <v>1397</v>
      </c>
      <c r="D160" s="6" t="str">
        <f>_xlfn.IFNA(IF(VLOOKUP(tabListaItens[[#This Row],[CÓDIGO]],tabExcluirDoEstoque[#Data],1,FALSE),"sim",""),"")</f>
        <v>sim</v>
      </c>
      <c r="E160" s="6" t="str">
        <f>"*"</f>
        <v>*</v>
      </c>
    </row>
    <row r="161" spans="1:5" x14ac:dyDescent="0.25">
      <c r="A161" s="8">
        <v>14010</v>
      </c>
      <c r="B161" s="5" t="s">
        <v>992</v>
      </c>
      <c r="C161" s="6" t="s">
        <v>1397</v>
      </c>
      <c r="D161" s="6" t="str">
        <f>_xlfn.IFNA(IF(VLOOKUP(tabListaItens[[#This Row],[CÓDIGO]],tabExcluirDoEstoque[#Data],1,FALSE),"sim",""),"")</f>
        <v>sim</v>
      </c>
      <c r="E161" s="6" t="str">
        <f>"*"</f>
        <v>*</v>
      </c>
    </row>
    <row r="162" spans="1:5" x14ac:dyDescent="0.25">
      <c r="A162" s="8">
        <v>14012</v>
      </c>
      <c r="B162" s="5" t="s">
        <v>108</v>
      </c>
      <c r="C162" s="6" t="s">
        <v>1397</v>
      </c>
      <c r="D162" s="6" t="str">
        <f>_xlfn.IFNA(IF(VLOOKUP(tabListaItens[[#This Row],[CÓDIGO]],tabExcluirDoEstoque[#Data],1,FALSE),"sim",""),"")</f>
        <v/>
      </c>
      <c r="E162" s="6" t="str">
        <f>"*"</f>
        <v>*</v>
      </c>
    </row>
    <row r="163" spans="1:5" x14ac:dyDescent="0.25">
      <c r="A163" s="8">
        <v>14013</v>
      </c>
      <c r="B163" s="5" t="s">
        <v>107</v>
      </c>
      <c r="C163" s="6" t="s">
        <v>1397</v>
      </c>
      <c r="D163" s="6" t="str">
        <f>_xlfn.IFNA(IF(VLOOKUP(tabListaItens[[#This Row],[CÓDIGO]],tabExcluirDoEstoque[#Data],1,FALSE),"sim",""),"")</f>
        <v/>
      </c>
      <c r="E163" s="6" t="str">
        <f>"*"</f>
        <v>*</v>
      </c>
    </row>
    <row r="164" spans="1:5" x14ac:dyDescent="0.25">
      <c r="A164" s="8">
        <v>14014</v>
      </c>
      <c r="B164" s="5" t="s">
        <v>995</v>
      </c>
      <c r="C164" s="6" t="s">
        <v>1397</v>
      </c>
      <c r="D164" s="6" t="str">
        <f>_xlfn.IFNA(IF(VLOOKUP(tabListaItens[[#This Row],[CÓDIGO]],tabExcluirDoEstoque[#Data],1,FALSE),"sim",""),"")</f>
        <v>sim</v>
      </c>
      <c r="E164" s="6" t="str">
        <f>"*"</f>
        <v>*</v>
      </c>
    </row>
    <row r="165" spans="1:5" x14ac:dyDescent="0.25">
      <c r="A165" s="8">
        <v>14055</v>
      </c>
      <c r="B165" s="5" t="s">
        <v>32</v>
      </c>
      <c r="C165" s="6" t="s">
        <v>1405</v>
      </c>
      <c r="D165" s="6" t="str">
        <f>_xlfn.IFNA(IF(VLOOKUP(tabListaItens[[#This Row],[CÓDIGO]],tabExcluirDoEstoque[#Data],1,FALSE),"sim",""),"")</f>
        <v/>
      </c>
      <c r="E165" s="6" t="str">
        <f>"*"</f>
        <v>*</v>
      </c>
    </row>
    <row r="166" spans="1:5" x14ac:dyDescent="0.25">
      <c r="A166" s="8">
        <v>14056</v>
      </c>
      <c r="B166" s="5" t="s">
        <v>763</v>
      </c>
      <c r="C166" s="6" t="s">
        <v>1397</v>
      </c>
      <c r="D166" s="6" t="str">
        <f>_xlfn.IFNA(IF(VLOOKUP(tabListaItens[[#This Row],[CÓDIGO]],tabExcluirDoEstoque[#Data],1,FALSE),"sim",""),"")</f>
        <v/>
      </c>
      <c r="E166" s="6" t="str">
        <f>"*"</f>
        <v>*</v>
      </c>
    </row>
    <row r="167" spans="1:5" x14ac:dyDescent="0.25">
      <c r="A167" s="8">
        <v>14121</v>
      </c>
      <c r="B167" s="5" t="s">
        <v>841</v>
      </c>
      <c r="C167" s="6" t="s">
        <v>1404</v>
      </c>
      <c r="D167" s="6" t="str">
        <f>_xlfn.IFNA(IF(VLOOKUP(tabListaItens[[#This Row],[CÓDIGO]],tabExcluirDoEstoque[#Data],1,FALSE),"sim",""),"")</f>
        <v/>
      </c>
      <c r="E167" s="6" t="str">
        <f>"*"</f>
        <v>*</v>
      </c>
    </row>
    <row r="168" spans="1:5" x14ac:dyDescent="0.25">
      <c r="A168" s="8">
        <v>14154</v>
      </c>
      <c r="B168" s="5" t="s">
        <v>445</v>
      </c>
      <c r="C168" s="6" t="s">
        <v>1397</v>
      </c>
      <c r="D168" s="6" t="str">
        <f>_xlfn.IFNA(IF(VLOOKUP(tabListaItens[[#This Row],[CÓDIGO]],tabExcluirDoEstoque[#Data],1,FALSE),"sim",""),"")</f>
        <v/>
      </c>
      <c r="E168" s="6" t="str">
        <f>"*"</f>
        <v>*</v>
      </c>
    </row>
    <row r="169" spans="1:5" x14ac:dyDescent="0.25">
      <c r="A169" s="8">
        <v>14199</v>
      </c>
      <c r="B169" s="5" t="s">
        <v>1187</v>
      </c>
      <c r="C169" s="6" t="s">
        <v>1428</v>
      </c>
      <c r="D169" s="6" t="str">
        <f>_xlfn.IFNA(IF(VLOOKUP(tabListaItens[[#This Row],[CÓDIGO]],tabExcluirDoEstoque[#Data],1,FALSE),"sim",""),"")</f>
        <v>sim</v>
      </c>
      <c r="E169" s="6" t="str">
        <f>"*"</f>
        <v>*</v>
      </c>
    </row>
    <row r="170" spans="1:5" x14ac:dyDescent="0.25">
      <c r="A170" s="8">
        <v>14662</v>
      </c>
      <c r="B170" s="5" t="s">
        <v>33</v>
      </c>
      <c r="C170" s="6" t="s">
        <v>1414</v>
      </c>
      <c r="D170" s="6" t="str">
        <f>_xlfn.IFNA(IF(VLOOKUP(tabListaItens[[#This Row],[CÓDIGO]],tabExcluirDoEstoque[#Data],1,FALSE),"sim",""),"")</f>
        <v/>
      </c>
      <c r="E170" s="6" t="str">
        <f>"*"</f>
        <v>*</v>
      </c>
    </row>
    <row r="171" spans="1:5" x14ac:dyDescent="0.25">
      <c r="A171" s="8">
        <v>14737</v>
      </c>
      <c r="B171" s="5" t="s">
        <v>903</v>
      </c>
      <c r="C171" s="6" t="s">
        <v>1399</v>
      </c>
      <c r="D171" s="6" t="str">
        <f>_xlfn.IFNA(IF(VLOOKUP(tabListaItens[[#This Row],[CÓDIGO]],tabExcluirDoEstoque[#Data],1,FALSE),"sim",""),"")</f>
        <v/>
      </c>
      <c r="E171" s="6" t="str">
        <f>"*"</f>
        <v>*</v>
      </c>
    </row>
    <row r="172" spans="1:5" x14ac:dyDescent="0.25">
      <c r="A172" s="8">
        <v>14754</v>
      </c>
      <c r="B172" s="5" t="s">
        <v>486</v>
      </c>
      <c r="C172" s="6" t="s">
        <v>1408</v>
      </c>
      <c r="D172" s="6" t="str">
        <f>_xlfn.IFNA(IF(VLOOKUP(tabListaItens[[#This Row],[CÓDIGO]],tabExcluirDoEstoque[#Data],1,FALSE),"sim",""),"")</f>
        <v/>
      </c>
      <c r="E172" s="6" t="str">
        <f>"*"</f>
        <v>*</v>
      </c>
    </row>
    <row r="173" spans="1:5" x14ac:dyDescent="0.25">
      <c r="A173" s="8">
        <v>14784</v>
      </c>
      <c r="B173" s="5" t="s">
        <v>377</v>
      </c>
      <c r="C173" s="6" t="s">
        <v>1397</v>
      </c>
      <c r="D173" s="6" t="str">
        <f>_xlfn.IFNA(IF(VLOOKUP(tabListaItens[[#This Row],[CÓDIGO]],tabExcluirDoEstoque[#Data],1,FALSE),"sim",""),"")</f>
        <v/>
      </c>
      <c r="E173" s="6" t="str">
        <f>"*"</f>
        <v>*</v>
      </c>
    </row>
    <row r="174" spans="1:5" x14ac:dyDescent="0.25">
      <c r="A174" s="8">
        <v>14831</v>
      </c>
      <c r="B174" s="5" t="s">
        <v>854</v>
      </c>
      <c r="C174" s="6" t="s">
        <v>1397</v>
      </c>
      <c r="D174" s="6" t="str">
        <f>_xlfn.IFNA(IF(VLOOKUP(tabListaItens[[#This Row],[CÓDIGO]],tabExcluirDoEstoque[#Data],1,FALSE),"sim",""),"")</f>
        <v/>
      </c>
      <c r="E174" s="6" t="str">
        <f>"*"</f>
        <v>*</v>
      </c>
    </row>
    <row r="175" spans="1:5" x14ac:dyDescent="0.25">
      <c r="A175" s="8">
        <v>14885</v>
      </c>
      <c r="B175" s="5" t="s">
        <v>430</v>
      </c>
      <c r="C175" s="6" t="s">
        <v>1413</v>
      </c>
      <c r="D175" s="6" t="str">
        <f>_xlfn.IFNA(IF(VLOOKUP(tabListaItens[[#This Row],[CÓDIGO]],tabExcluirDoEstoque[#Data],1,FALSE),"sim",""),"")</f>
        <v/>
      </c>
      <c r="E175" s="6" t="str">
        <f>"*"</f>
        <v>*</v>
      </c>
    </row>
    <row r="176" spans="1:5" x14ac:dyDescent="0.25">
      <c r="A176" s="8">
        <v>14887</v>
      </c>
      <c r="B176" s="5" t="s">
        <v>431</v>
      </c>
      <c r="C176" s="6" t="s">
        <v>1413</v>
      </c>
      <c r="D176" s="6" t="str">
        <f>_xlfn.IFNA(IF(VLOOKUP(tabListaItens[[#This Row],[CÓDIGO]],tabExcluirDoEstoque[#Data],1,FALSE),"sim",""),"")</f>
        <v/>
      </c>
      <c r="E176" s="6" t="str">
        <f>"*"</f>
        <v>*</v>
      </c>
    </row>
    <row r="177" spans="1:5" x14ac:dyDescent="0.25">
      <c r="A177" s="8">
        <v>14895</v>
      </c>
      <c r="B177" s="5" t="s">
        <v>1150</v>
      </c>
      <c r="C177" s="6" t="s">
        <v>1397</v>
      </c>
      <c r="D177" s="6" t="str">
        <f>_xlfn.IFNA(IF(VLOOKUP(tabListaItens[[#This Row],[CÓDIGO]],tabExcluirDoEstoque[#Data],1,FALSE),"sim",""),"")</f>
        <v>sim</v>
      </c>
      <c r="E177" s="6" t="str">
        <f>"*"</f>
        <v>*</v>
      </c>
    </row>
    <row r="178" spans="1:5" x14ac:dyDescent="0.25">
      <c r="A178" s="8">
        <v>14921</v>
      </c>
      <c r="B178" s="5" t="s">
        <v>487</v>
      </c>
      <c r="C178" s="6" t="s">
        <v>1408</v>
      </c>
      <c r="D178" s="6" t="str">
        <f>_xlfn.IFNA(IF(VLOOKUP(tabListaItens[[#This Row],[CÓDIGO]],tabExcluirDoEstoque[#Data],1,FALSE),"sim",""),"")</f>
        <v/>
      </c>
      <c r="E178" s="6" t="str">
        <f>"*"</f>
        <v>*</v>
      </c>
    </row>
    <row r="179" spans="1:5" x14ac:dyDescent="0.25">
      <c r="A179" s="8">
        <v>14977</v>
      </c>
      <c r="B179" s="5" t="s">
        <v>862</v>
      </c>
      <c r="C179" s="6" t="s">
        <v>1397</v>
      </c>
      <c r="D179" s="6" t="str">
        <f>_xlfn.IFNA(IF(VLOOKUP(tabListaItens[[#This Row],[CÓDIGO]],tabExcluirDoEstoque[#Data],1,FALSE),"sim",""),"")</f>
        <v/>
      </c>
      <c r="E179" s="6" t="str">
        <f>"*"</f>
        <v>*</v>
      </c>
    </row>
    <row r="180" spans="1:5" x14ac:dyDescent="0.25">
      <c r="A180" s="8">
        <v>15029</v>
      </c>
      <c r="B180" s="5" t="s">
        <v>1188</v>
      </c>
      <c r="C180" s="6" t="s">
        <v>1397</v>
      </c>
      <c r="D180" s="6" t="str">
        <f>_xlfn.IFNA(IF(VLOOKUP(tabListaItens[[#This Row],[CÓDIGO]],tabExcluirDoEstoque[#Data],1,FALSE),"sim",""),"")</f>
        <v>sim</v>
      </c>
      <c r="E180" s="6" t="str">
        <f>"*"</f>
        <v>*</v>
      </c>
    </row>
    <row r="181" spans="1:5" x14ac:dyDescent="0.25">
      <c r="A181" s="8">
        <v>15051</v>
      </c>
      <c r="B181" s="5" t="s">
        <v>782</v>
      </c>
      <c r="C181" s="6" t="s">
        <v>1397</v>
      </c>
      <c r="D181" s="6" t="str">
        <f>_xlfn.IFNA(IF(VLOOKUP(tabListaItens[[#This Row],[CÓDIGO]],tabExcluirDoEstoque[#Data],1,FALSE),"sim",""),"")</f>
        <v/>
      </c>
      <c r="E181" s="6" t="str">
        <f>"*"</f>
        <v>*</v>
      </c>
    </row>
    <row r="182" spans="1:5" x14ac:dyDescent="0.25">
      <c r="A182" s="8">
        <v>15066</v>
      </c>
      <c r="B182" s="5" t="s">
        <v>814</v>
      </c>
      <c r="C182" s="6" t="s">
        <v>1397</v>
      </c>
      <c r="D182" s="6" t="str">
        <f>_xlfn.IFNA(IF(VLOOKUP(tabListaItens[[#This Row],[CÓDIGO]],tabExcluirDoEstoque[#Data],1,FALSE),"sim",""),"")</f>
        <v/>
      </c>
      <c r="E182" s="6" t="str">
        <f>"*"</f>
        <v>*</v>
      </c>
    </row>
    <row r="183" spans="1:5" x14ac:dyDescent="0.25">
      <c r="A183" s="8">
        <v>15085</v>
      </c>
      <c r="B183" s="5" t="s">
        <v>743</v>
      </c>
      <c r="C183" s="6" t="s">
        <v>1397</v>
      </c>
      <c r="D183" s="6" t="str">
        <f>_xlfn.IFNA(IF(VLOOKUP(tabListaItens[[#This Row],[CÓDIGO]],tabExcluirDoEstoque[#Data],1,FALSE),"sim",""),"")</f>
        <v/>
      </c>
      <c r="E183" s="6" t="str">
        <f>"*"</f>
        <v>*</v>
      </c>
    </row>
    <row r="184" spans="1:5" x14ac:dyDescent="0.25">
      <c r="A184" s="8">
        <v>15128</v>
      </c>
      <c r="B184" s="5" t="s">
        <v>1189</v>
      </c>
      <c r="C184" s="6" t="s">
        <v>1409</v>
      </c>
      <c r="D184" s="6" t="str">
        <f>_xlfn.IFNA(IF(VLOOKUP(tabListaItens[[#This Row],[CÓDIGO]],tabExcluirDoEstoque[#Data],1,FALSE),"sim",""),"")</f>
        <v>sim</v>
      </c>
      <c r="E184" s="6" t="str">
        <f>"*"</f>
        <v>*</v>
      </c>
    </row>
    <row r="185" spans="1:5" x14ac:dyDescent="0.25">
      <c r="A185" s="8">
        <v>15167</v>
      </c>
      <c r="B185" s="5" t="s">
        <v>586</v>
      </c>
      <c r="C185" s="6" t="s">
        <v>1397</v>
      </c>
      <c r="D185" s="6" t="str">
        <f>_xlfn.IFNA(IF(VLOOKUP(tabListaItens[[#This Row],[CÓDIGO]],tabExcluirDoEstoque[#Data],1,FALSE),"sim",""),"")</f>
        <v/>
      </c>
      <c r="E185" s="6" t="str">
        <f>"*"</f>
        <v>*</v>
      </c>
    </row>
    <row r="186" spans="1:5" x14ac:dyDescent="0.25">
      <c r="A186" s="8">
        <v>15267</v>
      </c>
      <c r="B186" s="5" t="s">
        <v>340</v>
      </c>
      <c r="C186" s="6" t="s">
        <v>1397</v>
      </c>
      <c r="D186" s="6" t="str">
        <f>_xlfn.IFNA(IF(VLOOKUP(tabListaItens[[#This Row],[CÓDIGO]],tabExcluirDoEstoque[#Data],1,FALSE),"sim",""),"")</f>
        <v/>
      </c>
      <c r="E186" s="6" t="str">
        <f>"*"</f>
        <v>*</v>
      </c>
    </row>
    <row r="187" spans="1:5" x14ac:dyDescent="0.25">
      <c r="A187" s="8">
        <v>15271</v>
      </c>
      <c r="B187" s="5" t="s">
        <v>335</v>
      </c>
      <c r="C187" s="6" t="s">
        <v>1397</v>
      </c>
      <c r="D187" s="6" t="str">
        <f>_xlfn.IFNA(IF(VLOOKUP(tabListaItens[[#This Row],[CÓDIGO]],tabExcluirDoEstoque[#Data],1,FALSE),"sim",""),"")</f>
        <v/>
      </c>
      <c r="E187" s="6" t="str">
        <f>"*"</f>
        <v>*</v>
      </c>
    </row>
    <row r="188" spans="1:5" x14ac:dyDescent="0.25">
      <c r="A188" s="8">
        <v>15272</v>
      </c>
      <c r="B188" s="5" t="s">
        <v>342</v>
      </c>
      <c r="C188" s="6" t="s">
        <v>1397</v>
      </c>
      <c r="D188" s="6" t="str">
        <f>_xlfn.IFNA(IF(VLOOKUP(tabListaItens[[#This Row],[CÓDIGO]],tabExcluirDoEstoque[#Data],1,FALSE),"sim",""),"")</f>
        <v/>
      </c>
      <c r="E188" s="6" t="str">
        <f>"*"</f>
        <v>*</v>
      </c>
    </row>
    <row r="189" spans="1:5" x14ac:dyDescent="0.25">
      <c r="A189" s="8">
        <v>15299</v>
      </c>
      <c r="B189" s="5" t="s">
        <v>522</v>
      </c>
      <c r="C189" s="6" t="s">
        <v>1397</v>
      </c>
      <c r="D189" s="6" t="str">
        <f>_xlfn.IFNA(IF(VLOOKUP(tabListaItens[[#This Row],[CÓDIGO]],tabExcluirDoEstoque[#Data],1,FALSE),"sim",""),"")</f>
        <v/>
      </c>
      <c r="E189" s="6" t="str">
        <f>"*"</f>
        <v>*</v>
      </c>
    </row>
    <row r="190" spans="1:5" x14ac:dyDescent="0.25">
      <c r="A190" s="8">
        <v>15436</v>
      </c>
      <c r="B190" s="5" t="s">
        <v>451</v>
      </c>
      <c r="C190" s="6" t="s">
        <v>1397</v>
      </c>
      <c r="D190" s="6" t="str">
        <f>_xlfn.IFNA(IF(VLOOKUP(tabListaItens[[#This Row],[CÓDIGO]],tabExcluirDoEstoque[#Data],1,FALSE),"sim",""),"")</f>
        <v/>
      </c>
      <c r="E190" s="6" t="str">
        <f>"*"</f>
        <v>*</v>
      </c>
    </row>
    <row r="191" spans="1:5" x14ac:dyDescent="0.25">
      <c r="A191" s="8">
        <v>15438</v>
      </c>
      <c r="B191" s="5" t="s">
        <v>1054</v>
      </c>
      <c r="C191" s="6" t="s">
        <v>1397</v>
      </c>
      <c r="D191" s="6" t="str">
        <f>_xlfn.IFNA(IF(VLOOKUP(tabListaItens[[#This Row],[CÓDIGO]],tabExcluirDoEstoque[#Data],1,FALSE),"sim",""),"")</f>
        <v>sim</v>
      </c>
      <c r="E191" s="6" t="str">
        <f>"*"</f>
        <v>*</v>
      </c>
    </row>
    <row r="192" spans="1:5" x14ac:dyDescent="0.25">
      <c r="A192" s="8">
        <v>15464</v>
      </c>
      <c r="B192" s="5" t="s">
        <v>335</v>
      </c>
      <c r="C192" s="6" t="s">
        <v>1397</v>
      </c>
      <c r="D192" s="6" t="str">
        <f>_xlfn.IFNA(IF(VLOOKUP(tabListaItens[[#This Row],[CÓDIGO]],tabExcluirDoEstoque[#Data],1,FALSE),"sim",""),"")</f>
        <v/>
      </c>
      <c r="E192" s="6" t="str">
        <f>"*"</f>
        <v>*</v>
      </c>
    </row>
    <row r="193" spans="1:5" x14ac:dyDescent="0.25">
      <c r="A193" s="8">
        <v>15465</v>
      </c>
      <c r="B193" s="5" t="s">
        <v>343</v>
      </c>
      <c r="C193" s="6" t="s">
        <v>1397</v>
      </c>
      <c r="D193" s="6" t="str">
        <f>_xlfn.IFNA(IF(VLOOKUP(tabListaItens[[#This Row],[CÓDIGO]],tabExcluirDoEstoque[#Data],1,FALSE),"sim",""),"")</f>
        <v/>
      </c>
      <c r="E193" s="6" t="str">
        <f>"*"</f>
        <v>*</v>
      </c>
    </row>
    <row r="194" spans="1:5" x14ac:dyDescent="0.25">
      <c r="A194" s="8">
        <v>15466</v>
      </c>
      <c r="B194" s="5" t="s">
        <v>344</v>
      </c>
      <c r="C194" s="6" t="s">
        <v>1397</v>
      </c>
      <c r="D194" s="6" t="str">
        <f>_xlfn.IFNA(IF(VLOOKUP(tabListaItens[[#This Row],[CÓDIGO]],tabExcluirDoEstoque[#Data],1,FALSE),"sim",""),"")</f>
        <v/>
      </c>
      <c r="E194" s="6" t="str">
        <f>"*"</f>
        <v>*</v>
      </c>
    </row>
    <row r="195" spans="1:5" x14ac:dyDescent="0.25">
      <c r="A195" s="8">
        <v>15467</v>
      </c>
      <c r="B195" s="5" t="s">
        <v>347</v>
      </c>
      <c r="C195" s="6" t="s">
        <v>1397</v>
      </c>
      <c r="D195" s="6" t="str">
        <f>_xlfn.IFNA(IF(VLOOKUP(tabListaItens[[#This Row],[CÓDIGO]],tabExcluirDoEstoque[#Data],1,FALSE),"sim",""),"")</f>
        <v/>
      </c>
      <c r="E195" s="6" t="str">
        <f>"*"</f>
        <v>*</v>
      </c>
    </row>
    <row r="196" spans="1:5" x14ac:dyDescent="0.25">
      <c r="A196" s="8">
        <v>15469</v>
      </c>
      <c r="B196" s="5" t="s">
        <v>345</v>
      </c>
      <c r="C196" s="6" t="s">
        <v>1397</v>
      </c>
      <c r="D196" s="6" t="str">
        <f>_xlfn.IFNA(IF(VLOOKUP(tabListaItens[[#This Row],[CÓDIGO]],tabExcluirDoEstoque[#Data],1,FALSE),"sim",""),"")</f>
        <v/>
      </c>
      <c r="E196" s="6" t="str">
        <f>"*"</f>
        <v>*</v>
      </c>
    </row>
    <row r="197" spans="1:5" x14ac:dyDescent="0.25">
      <c r="A197" s="8">
        <v>15473</v>
      </c>
      <c r="B197" s="5" t="s">
        <v>346</v>
      </c>
      <c r="C197" s="6" t="s">
        <v>1397</v>
      </c>
      <c r="D197" s="6" t="str">
        <f>_xlfn.IFNA(IF(VLOOKUP(tabListaItens[[#This Row],[CÓDIGO]],tabExcluirDoEstoque[#Data],1,FALSE),"sim",""),"")</f>
        <v/>
      </c>
      <c r="E197" s="6" t="str">
        <f>"*"</f>
        <v>*</v>
      </c>
    </row>
    <row r="198" spans="1:5" x14ac:dyDescent="0.25">
      <c r="A198" s="8">
        <v>15475</v>
      </c>
      <c r="B198" s="5" t="s">
        <v>348</v>
      </c>
      <c r="C198" s="6" t="s">
        <v>1397</v>
      </c>
      <c r="D198" s="6" t="str">
        <f>_xlfn.IFNA(IF(VLOOKUP(tabListaItens[[#This Row],[CÓDIGO]],tabExcluirDoEstoque[#Data],1,FALSE),"sim",""),"")</f>
        <v/>
      </c>
      <c r="E198" s="6" t="str">
        <f>"*"</f>
        <v>*</v>
      </c>
    </row>
    <row r="199" spans="1:5" x14ac:dyDescent="0.25">
      <c r="A199" s="8">
        <v>15530</v>
      </c>
      <c r="B199" s="5" t="s">
        <v>1087</v>
      </c>
      <c r="C199" s="6" t="s">
        <v>1416</v>
      </c>
      <c r="D199" s="6" t="str">
        <f>_xlfn.IFNA(IF(VLOOKUP(tabListaItens[[#This Row],[CÓDIGO]],tabExcluirDoEstoque[#Data],1,FALSE),"sim",""),"")</f>
        <v/>
      </c>
      <c r="E199" s="6" t="str">
        <f>"*"</f>
        <v>*</v>
      </c>
    </row>
    <row r="200" spans="1:5" x14ac:dyDescent="0.25">
      <c r="A200" s="8">
        <v>15648</v>
      </c>
      <c r="B200" s="5" t="s">
        <v>890</v>
      </c>
      <c r="C200" s="6" t="s">
        <v>1397</v>
      </c>
      <c r="D200" s="6" t="str">
        <f>_xlfn.IFNA(IF(VLOOKUP(tabListaItens[[#This Row],[CÓDIGO]],tabExcluirDoEstoque[#Data],1,FALSE),"sim",""),"")</f>
        <v/>
      </c>
      <c r="E200" s="6" t="str">
        <f>"*"</f>
        <v>*</v>
      </c>
    </row>
    <row r="201" spans="1:5" x14ac:dyDescent="0.25">
      <c r="A201" s="8">
        <v>15656</v>
      </c>
      <c r="B201" s="5" t="s">
        <v>891</v>
      </c>
      <c r="C201" s="6" t="s">
        <v>1397</v>
      </c>
      <c r="D201" s="6" t="str">
        <f>_xlfn.IFNA(IF(VLOOKUP(tabListaItens[[#This Row],[CÓDIGO]],tabExcluirDoEstoque[#Data],1,FALSE),"sim",""),"")</f>
        <v/>
      </c>
      <c r="E201" s="6" t="str">
        <f>"*"</f>
        <v>*</v>
      </c>
    </row>
    <row r="202" spans="1:5" x14ac:dyDescent="0.25">
      <c r="A202" s="8">
        <v>15664</v>
      </c>
      <c r="B202" s="5" t="s">
        <v>893</v>
      </c>
      <c r="C202" s="6" t="s">
        <v>1397</v>
      </c>
      <c r="D202" s="6" t="str">
        <f>_xlfn.IFNA(IF(VLOOKUP(tabListaItens[[#This Row],[CÓDIGO]],tabExcluirDoEstoque[#Data],1,FALSE),"sim",""),"")</f>
        <v/>
      </c>
      <c r="E202" s="6" t="str">
        <f>"*"</f>
        <v>*</v>
      </c>
    </row>
    <row r="203" spans="1:5" x14ac:dyDescent="0.25">
      <c r="A203" s="8">
        <v>15668</v>
      </c>
      <c r="B203" s="5" t="s">
        <v>894</v>
      </c>
      <c r="C203" s="6" t="s">
        <v>1397</v>
      </c>
      <c r="D203" s="6" t="str">
        <f>_xlfn.IFNA(IF(VLOOKUP(tabListaItens[[#This Row],[CÓDIGO]],tabExcluirDoEstoque[#Data],1,FALSE),"sim",""),"")</f>
        <v/>
      </c>
      <c r="E203" s="6" t="str">
        <f>"*"</f>
        <v>*</v>
      </c>
    </row>
    <row r="204" spans="1:5" x14ac:dyDescent="0.25">
      <c r="A204" s="8">
        <v>15672</v>
      </c>
      <c r="B204" s="5" t="s">
        <v>895</v>
      </c>
      <c r="C204" s="6" t="s">
        <v>1397</v>
      </c>
      <c r="D204" s="6" t="str">
        <f>_xlfn.IFNA(IF(VLOOKUP(tabListaItens[[#This Row],[CÓDIGO]],tabExcluirDoEstoque[#Data],1,FALSE),"sim",""),"")</f>
        <v/>
      </c>
      <c r="E204" s="6" t="str">
        <f>"*"</f>
        <v>*</v>
      </c>
    </row>
    <row r="205" spans="1:5" x14ac:dyDescent="0.25">
      <c r="A205" s="8">
        <v>15673</v>
      </c>
      <c r="B205" s="5" t="s">
        <v>892</v>
      </c>
      <c r="C205" s="6" t="s">
        <v>1397</v>
      </c>
      <c r="D205" s="6" t="str">
        <f>_xlfn.IFNA(IF(VLOOKUP(tabListaItens[[#This Row],[CÓDIGO]],tabExcluirDoEstoque[#Data],1,FALSE),"sim",""),"")</f>
        <v/>
      </c>
      <c r="E205" s="6" t="str">
        <f>"*"</f>
        <v>*</v>
      </c>
    </row>
    <row r="206" spans="1:5" x14ac:dyDescent="0.25">
      <c r="A206" s="8">
        <v>15680</v>
      </c>
      <c r="B206" s="5" t="s">
        <v>896</v>
      </c>
      <c r="C206" s="6" t="s">
        <v>1397</v>
      </c>
      <c r="D206" s="6" t="str">
        <f>_xlfn.IFNA(IF(VLOOKUP(tabListaItens[[#This Row],[CÓDIGO]],tabExcluirDoEstoque[#Data],1,FALSE),"sim",""),"")</f>
        <v/>
      </c>
      <c r="E206" s="6" t="str">
        <f>"*"</f>
        <v>*</v>
      </c>
    </row>
    <row r="207" spans="1:5" x14ac:dyDescent="0.25">
      <c r="A207" s="8">
        <v>15761</v>
      </c>
      <c r="B207" s="5" t="s">
        <v>364</v>
      </c>
      <c r="C207" s="6" t="s">
        <v>1397</v>
      </c>
      <c r="D207" s="6" t="str">
        <f>_xlfn.IFNA(IF(VLOOKUP(tabListaItens[[#This Row],[CÓDIGO]],tabExcluirDoEstoque[#Data],1,FALSE),"sim",""),"")</f>
        <v/>
      </c>
      <c r="E207" s="6" t="str">
        <f>"*"</f>
        <v>*</v>
      </c>
    </row>
    <row r="208" spans="1:5" x14ac:dyDescent="0.25">
      <c r="A208" s="8">
        <v>15804</v>
      </c>
      <c r="B208" s="5" t="s">
        <v>1190</v>
      </c>
      <c r="C208" s="6" t="s">
        <v>1397</v>
      </c>
      <c r="D208" s="6" t="str">
        <f>_xlfn.IFNA(IF(VLOOKUP(tabListaItens[[#This Row],[CÓDIGO]],tabExcluirDoEstoque[#Data],1,FALSE),"sim",""),"")</f>
        <v>sim</v>
      </c>
      <c r="E208" s="6" t="str">
        <f>"*"</f>
        <v>*</v>
      </c>
    </row>
    <row r="209" spans="1:5" x14ac:dyDescent="0.25">
      <c r="A209" s="8">
        <v>15813</v>
      </c>
      <c r="B209" s="5" t="s">
        <v>901</v>
      </c>
      <c r="C209" s="6" t="s">
        <v>1397</v>
      </c>
      <c r="D209" s="6" t="str">
        <f>_xlfn.IFNA(IF(VLOOKUP(tabListaItens[[#This Row],[CÓDIGO]],tabExcluirDoEstoque[#Data],1,FALSE),"sim",""),"")</f>
        <v/>
      </c>
      <c r="E209" s="6" t="str">
        <f>"*"</f>
        <v>*</v>
      </c>
    </row>
    <row r="210" spans="1:5" x14ac:dyDescent="0.25">
      <c r="A210" s="8">
        <v>15840</v>
      </c>
      <c r="B210" s="5" t="s">
        <v>1191</v>
      </c>
      <c r="C210" s="6" t="s">
        <v>1419</v>
      </c>
      <c r="D210" s="6" t="str">
        <f>_xlfn.IFNA(IF(VLOOKUP(tabListaItens[[#This Row],[CÓDIGO]],tabExcluirDoEstoque[#Data],1,FALSE),"sim",""),"")</f>
        <v>sim</v>
      </c>
      <c r="E210" s="6" t="str">
        <f>"*"</f>
        <v>*</v>
      </c>
    </row>
    <row r="211" spans="1:5" x14ac:dyDescent="0.25">
      <c r="A211" s="8">
        <v>15843</v>
      </c>
      <c r="B211" s="5" t="s">
        <v>1192</v>
      </c>
      <c r="C211" s="6" t="s">
        <v>1419</v>
      </c>
      <c r="D211" s="6" t="str">
        <f>_xlfn.IFNA(IF(VLOOKUP(tabListaItens[[#This Row],[CÓDIGO]],tabExcluirDoEstoque[#Data],1,FALSE),"sim",""),"")</f>
        <v>sim</v>
      </c>
      <c r="E211" s="6" t="str">
        <f>"*"</f>
        <v>*</v>
      </c>
    </row>
    <row r="212" spans="1:5" x14ac:dyDescent="0.25">
      <c r="A212" s="8">
        <v>15845</v>
      </c>
      <c r="B212" s="5" t="s">
        <v>1193</v>
      </c>
      <c r="C212" s="6" t="s">
        <v>1419</v>
      </c>
      <c r="D212" s="6" t="str">
        <f>_xlfn.IFNA(IF(VLOOKUP(tabListaItens[[#This Row],[CÓDIGO]],tabExcluirDoEstoque[#Data],1,FALSE),"sim",""),"")</f>
        <v>sim</v>
      </c>
      <c r="E212" s="6" t="str">
        <f>"*"</f>
        <v>*</v>
      </c>
    </row>
    <row r="213" spans="1:5" x14ac:dyDescent="0.25">
      <c r="A213" s="8">
        <v>15847</v>
      </c>
      <c r="B213" s="5" t="s">
        <v>1194</v>
      </c>
      <c r="C213" s="6" t="s">
        <v>1419</v>
      </c>
      <c r="D213" s="6" t="str">
        <f>_xlfn.IFNA(IF(VLOOKUP(tabListaItens[[#This Row],[CÓDIGO]],tabExcluirDoEstoque[#Data],1,FALSE),"sim",""),"")</f>
        <v>sim</v>
      </c>
      <c r="E213" s="6" t="str">
        <f>"*"</f>
        <v>*</v>
      </c>
    </row>
    <row r="214" spans="1:5" x14ac:dyDescent="0.25">
      <c r="A214" s="8">
        <v>15900</v>
      </c>
      <c r="B214" s="5" t="s">
        <v>1195</v>
      </c>
      <c r="C214" s="6" t="s">
        <v>1419</v>
      </c>
      <c r="D214" s="6" t="str">
        <f>_xlfn.IFNA(IF(VLOOKUP(tabListaItens[[#This Row],[CÓDIGO]],tabExcluirDoEstoque[#Data],1,FALSE),"sim",""),"")</f>
        <v>sim</v>
      </c>
      <c r="E214" s="6" t="str">
        <f>"*"</f>
        <v>*</v>
      </c>
    </row>
    <row r="215" spans="1:5" x14ac:dyDescent="0.25">
      <c r="A215" s="8">
        <v>16053</v>
      </c>
      <c r="B215" s="5" t="s">
        <v>34</v>
      </c>
      <c r="C215" s="6" t="s">
        <v>1399</v>
      </c>
      <c r="D215" s="6" t="str">
        <f>_xlfn.IFNA(IF(VLOOKUP(tabListaItens[[#This Row],[CÓDIGO]],tabExcluirDoEstoque[#Data],1,FALSE),"sim",""),"")</f>
        <v/>
      </c>
      <c r="E215" s="6" t="str">
        <f>"*"</f>
        <v>*</v>
      </c>
    </row>
    <row r="216" spans="1:5" x14ac:dyDescent="0.25">
      <c r="A216" s="8">
        <v>16300</v>
      </c>
      <c r="B216" s="5" t="s">
        <v>1015</v>
      </c>
      <c r="C216" s="6" t="s">
        <v>1397</v>
      </c>
      <c r="D216" s="6" t="str">
        <f>_xlfn.IFNA(IF(VLOOKUP(tabListaItens[[#This Row],[CÓDIGO]],tabExcluirDoEstoque[#Data],1,FALSE),"sim",""),"")</f>
        <v>sim</v>
      </c>
      <c r="E216" s="6" t="str">
        <f>"*"</f>
        <v>*</v>
      </c>
    </row>
    <row r="217" spans="1:5" x14ac:dyDescent="0.25">
      <c r="A217" s="8">
        <v>16363</v>
      </c>
      <c r="B217" s="5" t="s">
        <v>35</v>
      </c>
      <c r="C217" s="6" t="s">
        <v>1397</v>
      </c>
      <c r="D217" s="6" t="str">
        <f>_xlfn.IFNA(IF(VLOOKUP(tabListaItens[[#This Row],[CÓDIGO]],tabExcluirDoEstoque[#Data],1,FALSE),"sim",""),"")</f>
        <v/>
      </c>
      <c r="E217" s="6" t="str">
        <f>"*"</f>
        <v>*</v>
      </c>
    </row>
    <row r="218" spans="1:5" x14ac:dyDescent="0.25">
      <c r="A218" s="8">
        <v>16365</v>
      </c>
      <c r="B218" s="5" t="s">
        <v>36</v>
      </c>
      <c r="C218" s="6" t="s">
        <v>1397</v>
      </c>
      <c r="D218" s="6" t="str">
        <f>_xlfn.IFNA(IF(VLOOKUP(tabListaItens[[#This Row],[CÓDIGO]],tabExcluirDoEstoque[#Data],1,FALSE),"sim",""),"")</f>
        <v/>
      </c>
      <c r="E218" s="6" t="str">
        <f>"*"</f>
        <v>*</v>
      </c>
    </row>
    <row r="219" spans="1:5" x14ac:dyDescent="0.25">
      <c r="A219" s="8">
        <v>16427</v>
      </c>
      <c r="B219" s="5" t="s">
        <v>1058</v>
      </c>
      <c r="C219" s="6" t="s">
        <v>1397</v>
      </c>
      <c r="D219" s="6" t="str">
        <f>_xlfn.IFNA(IF(VLOOKUP(tabListaItens[[#This Row],[CÓDIGO]],tabExcluirDoEstoque[#Data],1,FALSE),"sim",""),"")</f>
        <v>sim</v>
      </c>
      <c r="E219" s="6" t="str">
        <f>"*"</f>
        <v>*</v>
      </c>
    </row>
    <row r="220" spans="1:5" x14ac:dyDescent="0.25">
      <c r="A220" s="8">
        <v>16512</v>
      </c>
      <c r="B220" s="5" t="s">
        <v>498</v>
      </c>
      <c r="C220" s="6" t="s">
        <v>1417</v>
      </c>
      <c r="D220" s="6" t="str">
        <f>_xlfn.IFNA(IF(VLOOKUP(tabListaItens[[#This Row],[CÓDIGO]],tabExcluirDoEstoque[#Data],1,FALSE),"sim",""),"")</f>
        <v/>
      </c>
      <c r="E220" s="6" t="str">
        <f>"*"</f>
        <v>*</v>
      </c>
    </row>
    <row r="221" spans="1:5" x14ac:dyDescent="0.25">
      <c r="A221" s="8">
        <v>16528</v>
      </c>
      <c r="B221" s="5" t="s">
        <v>496</v>
      </c>
      <c r="C221" s="6" t="s">
        <v>1397</v>
      </c>
      <c r="D221" s="6" t="str">
        <f>_xlfn.IFNA(IF(VLOOKUP(tabListaItens[[#This Row],[CÓDIGO]],tabExcluirDoEstoque[#Data],1,FALSE),"sim",""),"")</f>
        <v/>
      </c>
      <c r="E221" s="6" t="str">
        <f>"*"</f>
        <v>*</v>
      </c>
    </row>
    <row r="222" spans="1:5" x14ac:dyDescent="0.25">
      <c r="A222" s="8">
        <v>16532</v>
      </c>
      <c r="B222" s="5" t="s">
        <v>1196</v>
      </c>
      <c r="C222" s="6" t="s">
        <v>1397</v>
      </c>
      <c r="D222" s="6" t="str">
        <f>_xlfn.IFNA(IF(VLOOKUP(tabListaItens[[#This Row],[CÓDIGO]],tabExcluirDoEstoque[#Data],1,FALSE),"sim",""),"")</f>
        <v>sim</v>
      </c>
      <c r="E222" s="6" t="str">
        <f>"*"</f>
        <v>*</v>
      </c>
    </row>
    <row r="223" spans="1:5" x14ac:dyDescent="0.25">
      <c r="A223" s="8">
        <v>16571</v>
      </c>
      <c r="B223" s="5" t="s">
        <v>516</v>
      </c>
      <c r="C223" s="6" t="s">
        <v>1402</v>
      </c>
      <c r="D223" s="6" t="str">
        <f>_xlfn.IFNA(IF(VLOOKUP(tabListaItens[[#This Row],[CÓDIGO]],tabExcluirDoEstoque[#Data],1,FALSE),"sim",""),"")</f>
        <v/>
      </c>
      <c r="E223" s="6" t="str">
        <f>"*"</f>
        <v>*</v>
      </c>
    </row>
    <row r="224" spans="1:5" x14ac:dyDescent="0.25">
      <c r="A224" s="8">
        <v>16590</v>
      </c>
      <c r="B224" s="5" t="s">
        <v>1197</v>
      </c>
      <c r="C224" s="6" t="s">
        <v>1404</v>
      </c>
      <c r="D224" s="6" t="str">
        <f>_xlfn.IFNA(IF(VLOOKUP(tabListaItens[[#This Row],[CÓDIGO]],tabExcluirDoEstoque[#Data],1,FALSE),"sim",""),"")</f>
        <v>sim</v>
      </c>
      <c r="E224" s="6" t="str">
        <f>"*"</f>
        <v>*</v>
      </c>
    </row>
    <row r="225" spans="1:5" x14ac:dyDescent="0.25">
      <c r="A225" s="8">
        <v>16688</v>
      </c>
      <c r="B225" s="5" t="s">
        <v>1198</v>
      </c>
      <c r="C225" s="6" t="s">
        <v>1397</v>
      </c>
      <c r="D225" s="6" t="str">
        <f>_xlfn.IFNA(IF(VLOOKUP(tabListaItens[[#This Row],[CÓDIGO]],tabExcluirDoEstoque[#Data],1,FALSE),"sim",""),"")</f>
        <v>sim</v>
      </c>
      <c r="E225" s="6" t="str">
        <f>"*"</f>
        <v>*</v>
      </c>
    </row>
    <row r="226" spans="1:5" x14ac:dyDescent="0.25">
      <c r="A226" s="8">
        <v>16691</v>
      </c>
      <c r="B226" s="5" t="s">
        <v>1199</v>
      </c>
      <c r="C226" s="6" t="s">
        <v>1397</v>
      </c>
      <c r="D226" s="6" t="str">
        <f>_xlfn.IFNA(IF(VLOOKUP(tabListaItens[[#This Row],[CÓDIGO]],tabExcluirDoEstoque[#Data],1,FALSE),"sim",""),"")</f>
        <v>sim</v>
      </c>
      <c r="E226" s="6" t="str">
        <f>"*"</f>
        <v>*</v>
      </c>
    </row>
    <row r="227" spans="1:5" x14ac:dyDescent="0.25">
      <c r="A227" s="8">
        <v>16692</v>
      </c>
      <c r="B227" s="5" t="s">
        <v>1200</v>
      </c>
      <c r="C227" s="6" t="s">
        <v>1397</v>
      </c>
      <c r="D227" s="6" t="str">
        <f>_xlfn.IFNA(IF(VLOOKUP(tabListaItens[[#This Row],[CÓDIGO]],tabExcluirDoEstoque[#Data],1,FALSE),"sim",""),"")</f>
        <v>sim</v>
      </c>
      <c r="E227" s="6" t="str">
        <f>"*"</f>
        <v>*</v>
      </c>
    </row>
    <row r="228" spans="1:5" x14ac:dyDescent="0.25">
      <c r="A228" s="8">
        <v>16729</v>
      </c>
      <c r="B228" s="5" t="s">
        <v>1201</v>
      </c>
      <c r="C228" s="6" t="s">
        <v>1404</v>
      </c>
      <c r="D228" s="6" t="str">
        <f>_xlfn.IFNA(IF(VLOOKUP(tabListaItens[[#This Row],[CÓDIGO]],tabExcluirDoEstoque[#Data],1,FALSE),"sim",""),"")</f>
        <v>sim</v>
      </c>
      <c r="E228" s="6" t="str">
        <f>"*"</f>
        <v>*</v>
      </c>
    </row>
    <row r="229" spans="1:5" x14ac:dyDescent="0.25">
      <c r="A229" s="8">
        <v>16736</v>
      </c>
      <c r="B229" s="5" t="s">
        <v>1050</v>
      </c>
      <c r="C229" s="6" t="s">
        <v>1397</v>
      </c>
      <c r="D229" s="6" t="str">
        <f>_xlfn.IFNA(IF(VLOOKUP(tabListaItens[[#This Row],[CÓDIGO]],tabExcluirDoEstoque[#Data],1,FALSE),"sim",""),"")</f>
        <v>sim</v>
      </c>
      <c r="E229" s="6" t="str">
        <f>"*"</f>
        <v>*</v>
      </c>
    </row>
    <row r="230" spans="1:5" x14ac:dyDescent="0.25">
      <c r="A230" s="8">
        <v>16737</v>
      </c>
      <c r="B230" s="5" t="s">
        <v>1049</v>
      </c>
      <c r="C230" s="6" t="s">
        <v>1397</v>
      </c>
      <c r="D230" s="6" t="str">
        <f>_xlfn.IFNA(IF(VLOOKUP(tabListaItens[[#This Row],[CÓDIGO]],tabExcluirDoEstoque[#Data],1,FALSE),"sim",""),"")</f>
        <v>sim</v>
      </c>
      <c r="E230" s="6" t="str">
        <f>"*"</f>
        <v>*</v>
      </c>
    </row>
    <row r="231" spans="1:5" x14ac:dyDescent="0.25">
      <c r="A231" s="8">
        <v>16757</v>
      </c>
      <c r="B231" s="5" t="s">
        <v>1017</v>
      </c>
      <c r="C231" s="6" t="s">
        <v>1397</v>
      </c>
      <c r="D231" s="6" t="str">
        <f>_xlfn.IFNA(IF(VLOOKUP(tabListaItens[[#This Row],[CÓDIGO]],tabExcluirDoEstoque[#Data],1,FALSE),"sim",""),"")</f>
        <v>sim</v>
      </c>
      <c r="E231" s="6" t="str">
        <f>"*"</f>
        <v>*</v>
      </c>
    </row>
    <row r="232" spans="1:5" x14ac:dyDescent="0.25">
      <c r="A232" s="8">
        <v>16763</v>
      </c>
      <c r="B232" s="5" t="s">
        <v>1004</v>
      </c>
      <c r="C232" s="6" t="s">
        <v>1397</v>
      </c>
      <c r="D232" s="6" t="str">
        <f>_xlfn.IFNA(IF(VLOOKUP(tabListaItens[[#This Row],[CÓDIGO]],tabExcluirDoEstoque[#Data],1,FALSE),"sim",""),"")</f>
        <v>sim</v>
      </c>
      <c r="E232" s="6" t="str">
        <f>"*"</f>
        <v>*</v>
      </c>
    </row>
    <row r="233" spans="1:5" x14ac:dyDescent="0.25">
      <c r="A233" s="8">
        <v>16808</v>
      </c>
      <c r="B233" s="5" t="s">
        <v>1202</v>
      </c>
      <c r="C233" s="6" t="s">
        <v>1397</v>
      </c>
      <c r="D233" s="6" t="str">
        <f>_xlfn.IFNA(IF(VLOOKUP(tabListaItens[[#This Row],[CÓDIGO]],tabExcluirDoEstoque[#Data],1,FALSE),"sim",""),"")</f>
        <v>sim</v>
      </c>
      <c r="E233" s="6" t="str">
        <f>"*"</f>
        <v>*</v>
      </c>
    </row>
    <row r="234" spans="1:5" x14ac:dyDescent="0.25">
      <c r="A234" s="8">
        <v>16813</v>
      </c>
      <c r="B234" s="5" t="s">
        <v>1062</v>
      </c>
      <c r="C234" s="6" t="s">
        <v>1397</v>
      </c>
      <c r="D234" s="6" t="str">
        <f>_xlfn.IFNA(IF(VLOOKUP(tabListaItens[[#This Row],[CÓDIGO]],tabExcluirDoEstoque[#Data],1,FALSE),"sim",""),"")</f>
        <v>sim</v>
      </c>
      <c r="E234" s="6" t="str">
        <f>"*"</f>
        <v>*</v>
      </c>
    </row>
    <row r="235" spans="1:5" x14ac:dyDescent="0.25">
      <c r="A235" s="8">
        <v>16827</v>
      </c>
      <c r="B235" s="5" t="s">
        <v>1052</v>
      </c>
      <c r="C235" s="6" t="s">
        <v>1397</v>
      </c>
      <c r="D235" s="6" t="str">
        <f>_xlfn.IFNA(IF(VLOOKUP(tabListaItens[[#This Row],[CÓDIGO]],tabExcluirDoEstoque[#Data],1,FALSE),"sim",""),"")</f>
        <v>sim</v>
      </c>
      <c r="E235" s="6" t="str">
        <f>"*"</f>
        <v>*</v>
      </c>
    </row>
    <row r="236" spans="1:5" x14ac:dyDescent="0.25">
      <c r="A236" s="8">
        <v>16835</v>
      </c>
      <c r="B236" s="5" t="s">
        <v>1053</v>
      </c>
      <c r="C236" s="6" t="s">
        <v>1397</v>
      </c>
      <c r="D236" s="6" t="str">
        <f>_xlfn.IFNA(IF(VLOOKUP(tabListaItens[[#This Row],[CÓDIGO]],tabExcluirDoEstoque[#Data],1,FALSE),"sim",""),"")</f>
        <v>sim</v>
      </c>
      <c r="E236" s="6" t="str">
        <f>"*"</f>
        <v>*</v>
      </c>
    </row>
    <row r="237" spans="1:5" x14ac:dyDescent="0.25">
      <c r="A237" s="8">
        <v>16846</v>
      </c>
      <c r="B237" s="5" t="s">
        <v>1203</v>
      </c>
      <c r="C237" s="6" t="s">
        <v>1397</v>
      </c>
      <c r="D237" s="6" t="str">
        <f>_xlfn.IFNA(IF(VLOOKUP(tabListaItens[[#This Row],[CÓDIGO]],tabExcluirDoEstoque[#Data],1,FALSE),"sim",""),"")</f>
        <v>sim</v>
      </c>
      <c r="E237" s="6" t="str">
        <f>"*"</f>
        <v>*</v>
      </c>
    </row>
    <row r="238" spans="1:5" x14ac:dyDescent="0.25">
      <c r="A238" s="8">
        <v>16956</v>
      </c>
      <c r="B238" s="5" t="s">
        <v>753</v>
      </c>
      <c r="C238" s="6" t="s">
        <v>1397</v>
      </c>
      <c r="D238" s="6" t="str">
        <f>_xlfn.IFNA(IF(VLOOKUP(tabListaItens[[#This Row],[CÓDIGO]],tabExcluirDoEstoque[#Data],1,FALSE),"sim",""),"")</f>
        <v/>
      </c>
      <c r="E238" s="6" t="str">
        <f>"*"</f>
        <v>*</v>
      </c>
    </row>
    <row r="239" spans="1:5" x14ac:dyDescent="0.25">
      <c r="A239" s="8">
        <v>16978</v>
      </c>
      <c r="B239" s="5" t="s">
        <v>752</v>
      </c>
      <c r="C239" s="6" t="s">
        <v>1397</v>
      </c>
      <c r="D239" s="6" t="str">
        <f>_xlfn.IFNA(IF(VLOOKUP(tabListaItens[[#This Row],[CÓDIGO]],tabExcluirDoEstoque[#Data],1,FALSE),"sim",""),"")</f>
        <v/>
      </c>
      <c r="E239" s="6" t="str">
        <f>"*"</f>
        <v>*</v>
      </c>
    </row>
    <row r="240" spans="1:5" x14ac:dyDescent="0.25">
      <c r="A240" s="8">
        <v>17026</v>
      </c>
      <c r="B240" s="5" t="s">
        <v>1204</v>
      </c>
      <c r="C240" s="6" t="s">
        <v>1397</v>
      </c>
      <c r="D240" s="6" t="str">
        <f>_xlfn.IFNA(IF(VLOOKUP(tabListaItens[[#This Row],[CÓDIGO]],tabExcluirDoEstoque[#Data],1,FALSE),"sim",""),"")</f>
        <v>sim</v>
      </c>
      <c r="E240" s="6" t="str">
        <f>"*"</f>
        <v>*</v>
      </c>
    </row>
    <row r="241" spans="1:5" x14ac:dyDescent="0.25">
      <c r="A241" s="8">
        <v>17033</v>
      </c>
      <c r="B241" s="5" t="s">
        <v>1205</v>
      </c>
      <c r="C241" s="6" t="s">
        <v>1397</v>
      </c>
      <c r="D241" s="6" t="str">
        <f>_xlfn.IFNA(IF(VLOOKUP(tabListaItens[[#This Row],[CÓDIGO]],tabExcluirDoEstoque[#Data],1,FALSE),"sim",""),"")</f>
        <v>sim</v>
      </c>
      <c r="E241" s="6" t="str">
        <f>"*"</f>
        <v>*</v>
      </c>
    </row>
    <row r="242" spans="1:5" x14ac:dyDescent="0.25">
      <c r="A242" s="8">
        <v>17064</v>
      </c>
      <c r="B242" s="5" t="s">
        <v>1018</v>
      </c>
      <c r="C242" s="6" t="s">
        <v>1397</v>
      </c>
      <c r="D242" s="6" t="str">
        <f>_xlfn.IFNA(IF(VLOOKUP(tabListaItens[[#This Row],[CÓDIGO]],tabExcluirDoEstoque[#Data],1,FALSE),"sim",""),"")</f>
        <v>sim</v>
      </c>
      <c r="E242" s="6" t="str">
        <f>"*"</f>
        <v>*</v>
      </c>
    </row>
    <row r="243" spans="1:5" x14ac:dyDescent="0.25">
      <c r="A243" s="8">
        <v>17105</v>
      </c>
      <c r="B243" s="5" t="s">
        <v>1206</v>
      </c>
      <c r="C243" s="6" t="s">
        <v>1397</v>
      </c>
      <c r="D243" s="6" t="str">
        <f>_xlfn.IFNA(IF(VLOOKUP(tabListaItens[[#This Row],[CÓDIGO]],tabExcluirDoEstoque[#Data],1,FALSE),"sim",""),"")</f>
        <v>sim</v>
      </c>
      <c r="E243" s="6" t="str">
        <f>"*"</f>
        <v>*</v>
      </c>
    </row>
    <row r="244" spans="1:5" x14ac:dyDescent="0.25">
      <c r="A244" s="8">
        <v>17115</v>
      </c>
      <c r="B244" s="5" t="s">
        <v>509</v>
      </c>
      <c r="C244" s="6" t="s">
        <v>1398</v>
      </c>
      <c r="D244" s="6" t="str">
        <f>_xlfn.IFNA(IF(VLOOKUP(tabListaItens[[#This Row],[CÓDIGO]],tabExcluirDoEstoque[#Data],1,FALSE),"sim",""),"")</f>
        <v/>
      </c>
      <c r="E244" s="6" t="str">
        <f>"*"</f>
        <v>*</v>
      </c>
    </row>
    <row r="245" spans="1:5" x14ac:dyDescent="0.25">
      <c r="A245" s="8">
        <v>17132</v>
      </c>
      <c r="B245" s="5" t="s">
        <v>422</v>
      </c>
      <c r="C245" s="6" t="s">
        <v>1398</v>
      </c>
      <c r="D245" s="6" t="str">
        <f>_xlfn.IFNA(IF(VLOOKUP(tabListaItens[[#This Row],[CÓDIGO]],tabExcluirDoEstoque[#Data],1,FALSE),"sim",""),"")</f>
        <v/>
      </c>
      <c r="E245" s="6" t="str">
        <f>"*"</f>
        <v>*</v>
      </c>
    </row>
    <row r="246" spans="1:5" x14ac:dyDescent="0.25">
      <c r="A246" s="8">
        <v>17135</v>
      </c>
      <c r="B246" s="5" t="s">
        <v>506</v>
      </c>
      <c r="C246" s="6" t="s">
        <v>1397</v>
      </c>
      <c r="D246" s="6" t="str">
        <f>_xlfn.IFNA(IF(VLOOKUP(tabListaItens[[#This Row],[CÓDIGO]],tabExcluirDoEstoque[#Data],1,FALSE),"sim",""),"")</f>
        <v/>
      </c>
      <c r="E246" s="6" t="str">
        <f>"*"</f>
        <v>*</v>
      </c>
    </row>
    <row r="247" spans="1:5" x14ac:dyDescent="0.25">
      <c r="A247" s="8">
        <v>17136</v>
      </c>
      <c r="B247" s="5" t="s">
        <v>503</v>
      </c>
      <c r="C247" s="6" t="s">
        <v>1417</v>
      </c>
      <c r="D247" s="6" t="str">
        <f>_xlfn.IFNA(IF(VLOOKUP(tabListaItens[[#This Row],[CÓDIGO]],tabExcluirDoEstoque[#Data],1,FALSE),"sim",""),"")</f>
        <v/>
      </c>
      <c r="E247" s="6" t="str">
        <f>"*"</f>
        <v>*</v>
      </c>
    </row>
    <row r="248" spans="1:5" x14ac:dyDescent="0.25">
      <c r="A248" s="8">
        <v>17299</v>
      </c>
      <c r="B248" s="5" t="s">
        <v>680</v>
      </c>
      <c r="C248" s="6" t="s">
        <v>1398</v>
      </c>
      <c r="D248" s="6" t="str">
        <f>_xlfn.IFNA(IF(VLOOKUP(tabListaItens[[#This Row],[CÓDIGO]],tabExcluirDoEstoque[#Data],1,FALSE),"sim",""),"")</f>
        <v/>
      </c>
      <c r="E248" s="6" t="str">
        <f>"*"</f>
        <v>*</v>
      </c>
    </row>
    <row r="249" spans="1:5" x14ac:dyDescent="0.25">
      <c r="A249" s="8">
        <v>17362</v>
      </c>
      <c r="B249" s="5" t="s">
        <v>647</v>
      </c>
      <c r="C249" s="6" t="s">
        <v>1416</v>
      </c>
      <c r="D249" s="6" t="str">
        <f>_xlfn.IFNA(IF(VLOOKUP(tabListaItens[[#This Row],[CÓDIGO]],tabExcluirDoEstoque[#Data],1,FALSE),"sim",""),"")</f>
        <v/>
      </c>
      <c r="E249" s="6" t="str">
        <f>"*"</f>
        <v>*</v>
      </c>
    </row>
    <row r="250" spans="1:5" x14ac:dyDescent="0.25">
      <c r="A250" s="8">
        <v>17370</v>
      </c>
      <c r="B250" s="5" t="s">
        <v>649</v>
      </c>
      <c r="C250" s="6" t="s">
        <v>1416</v>
      </c>
      <c r="D250" s="6" t="str">
        <f>_xlfn.IFNA(IF(VLOOKUP(tabListaItens[[#This Row],[CÓDIGO]],tabExcluirDoEstoque[#Data],1,FALSE),"sim",""),"")</f>
        <v/>
      </c>
      <c r="E250" s="6" t="str">
        <f>"*"</f>
        <v>*</v>
      </c>
    </row>
    <row r="251" spans="1:5" x14ac:dyDescent="0.25">
      <c r="A251" s="8">
        <v>17371</v>
      </c>
      <c r="B251" s="5" t="s">
        <v>650</v>
      </c>
      <c r="C251" s="6" t="s">
        <v>1416</v>
      </c>
      <c r="D251" s="6" t="str">
        <f>_xlfn.IFNA(IF(VLOOKUP(tabListaItens[[#This Row],[CÓDIGO]],tabExcluirDoEstoque[#Data],1,FALSE),"sim",""),"")</f>
        <v/>
      </c>
      <c r="E251" s="6" t="str">
        <f>"*"</f>
        <v>*</v>
      </c>
    </row>
    <row r="252" spans="1:5" x14ac:dyDescent="0.25">
      <c r="A252" s="8">
        <v>17422</v>
      </c>
      <c r="B252" s="5" t="s">
        <v>37</v>
      </c>
      <c r="C252" s="6" t="s">
        <v>1397</v>
      </c>
      <c r="D252" s="6" t="str">
        <f>_xlfn.IFNA(IF(VLOOKUP(tabListaItens[[#This Row],[CÓDIGO]],tabExcluirDoEstoque[#Data],1,FALSE),"sim",""),"")</f>
        <v/>
      </c>
      <c r="E252" s="6" t="str">
        <f>"*"</f>
        <v>*</v>
      </c>
    </row>
    <row r="253" spans="1:5" x14ac:dyDescent="0.25">
      <c r="A253" s="8">
        <v>17426</v>
      </c>
      <c r="B253" s="5" t="s">
        <v>227</v>
      </c>
      <c r="C253" s="6" t="s">
        <v>1397</v>
      </c>
      <c r="D253" s="6" t="str">
        <f>_xlfn.IFNA(IF(VLOOKUP(tabListaItens[[#This Row],[CÓDIGO]],tabExcluirDoEstoque[#Data],1,FALSE),"sim",""),"")</f>
        <v/>
      </c>
      <c r="E253" s="6" t="str">
        <f>"*"</f>
        <v>*</v>
      </c>
    </row>
    <row r="254" spans="1:5" x14ac:dyDescent="0.25">
      <c r="A254" s="8">
        <v>17454</v>
      </c>
      <c r="B254" s="5" t="s">
        <v>664</v>
      </c>
      <c r="C254" s="6" t="s">
        <v>1416</v>
      </c>
      <c r="D254" s="6" t="str">
        <f>_xlfn.IFNA(IF(VLOOKUP(tabListaItens[[#This Row],[CÓDIGO]],tabExcluirDoEstoque[#Data],1,FALSE),"sim",""),"")</f>
        <v/>
      </c>
      <c r="E254" s="6" t="str">
        <f>"*"</f>
        <v>*</v>
      </c>
    </row>
    <row r="255" spans="1:5" x14ac:dyDescent="0.25">
      <c r="A255" s="8">
        <v>17537</v>
      </c>
      <c r="B255" s="5" t="s">
        <v>1207</v>
      </c>
      <c r="C255" s="6" t="s">
        <v>1397</v>
      </c>
      <c r="D255" s="6" t="str">
        <f>_xlfn.IFNA(IF(VLOOKUP(tabListaItens[[#This Row],[CÓDIGO]],tabExcluirDoEstoque[#Data],1,FALSE),"sim",""),"")</f>
        <v>sim</v>
      </c>
      <c r="E255" s="6" t="str">
        <f>"*"</f>
        <v>*</v>
      </c>
    </row>
    <row r="256" spans="1:5" x14ac:dyDescent="0.25">
      <c r="A256" s="8">
        <v>17562</v>
      </c>
      <c r="B256" s="5" t="s">
        <v>387</v>
      </c>
      <c r="C256" s="6" t="s">
        <v>1397</v>
      </c>
      <c r="D256" s="6" t="str">
        <f>_xlfn.IFNA(IF(VLOOKUP(tabListaItens[[#This Row],[CÓDIGO]],tabExcluirDoEstoque[#Data],1,FALSE),"sim",""),"")</f>
        <v/>
      </c>
      <c r="E256" s="6" t="str">
        <f>"*"</f>
        <v>*</v>
      </c>
    </row>
    <row r="257" spans="1:5" x14ac:dyDescent="0.25">
      <c r="A257" s="8">
        <v>17659</v>
      </c>
      <c r="B257" s="5" t="s">
        <v>1208</v>
      </c>
      <c r="C257" s="6" t="s">
        <v>1397</v>
      </c>
      <c r="D257" s="6" t="str">
        <f>_xlfn.IFNA(IF(VLOOKUP(tabListaItens[[#This Row],[CÓDIGO]],tabExcluirDoEstoque[#Data],1,FALSE),"sim",""),"")</f>
        <v>sim</v>
      </c>
      <c r="E257" s="6" t="str">
        <f>"*"</f>
        <v>*</v>
      </c>
    </row>
    <row r="258" spans="1:5" x14ac:dyDescent="0.25">
      <c r="A258" s="8">
        <v>17662</v>
      </c>
      <c r="B258" s="5" t="s">
        <v>38</v>
      </c>
      <c r="C258" s="6" t="s">
        <v>1416</v>
      </c>
      <c r="D258" s="6" t="str">
        <f>_xlfn.IFNA(IF(VLOOKUP(tabListaItens[[#This Row],[CÓDIGO]],tabExcluirDoEstoque[#Data],1,FALSE),"sim",""),"")</f>
        <v/>
      </c>
      <c r="E258" s="6" t="str">
        <f>"*"</f>
        <v>*</v>
      </c>
    </row>
    <row r="259" spans="1:5" x14ac:dyDescent="0.25">
      <c r="A259" s="8">
        <v>17663</v>
      </c>
      <c r="B259" s="5" t="s">
        <v>567</v>
      </c>
      <c r="C259" s="6" t="s">
        <v>1416</v>
      </c>
      <c r="D259" s="6" t="str">
        <f>_xlfn.IFNA(IF(VLOOKUP(tabListaItens[[#This Row],[CÓDIGO]],tabExcluirDoEstoque[#Data],1,FALSE),"sim",""),"")</f>
        <v>sim</v>
      </c>
      <c r="E259" s="6" t="str">
        <f>"*"</f>
        <v>*</v>
      </c>
    </row>
    <row r="260" spans="1:5" x14ac:dyDescent="0.25">
      <c r="A260" s="8">
        <v>17670</v>
      </c>
      <c r="B260" s="5" t="s">
        <v>1122</v>
      </c>
      <c r="C260" s="6" t="s">
        <v>1405</v>
      </c>
      <c r="D260" s="6" t="str">
        <f>_xlfn.IFNA(IF(VLOOKUP(tabListaItens[[#This Row],[CÓDIGO]],tabExcluirDoEstoque[#Data],1,FALSE),"sim",""),"")</f>
        <v>sim</v>
      </c>
      <c r="E260" s="6" t="str">
        <f>"*"</f>
        <v>*</v>
      </c>
    </row>
    <row r="261" spans="1:5" x14ac:dyDescent="0.25">
      <c r="A261" s="8">
        <v>17696</v>
      </c>
      <c r="B261" s="5" t="s">
        <v>574</v>
      </c>
      <c r="C261" s="6" t="s">
        <v>1416</v>
      </c>
      <c r="D261" s="6" t="str">
        <f>_xlfn.IFNA(IF(VLOOKUP(tabListaItens[[#This Row],[CÓDIGO]],tabExcluirDoEstoque[#Data],1,FALSE),"sim",""),"")</f>
        <v/>
      </c>
      <c r="E261" s="6" t="str">
        <f>"*"</f>
        <v>*</v>
      </c>
    </row>
    <row r="262" spans="1:5" x14ac:dyDescent="0.25">
      <c r="A262" s="8">
        <v>17698</v>
      </c>
      <c r="B262" s="5" t="s">
        <v>573</v>
      </c>
      <c r="C262" s="6" t="s">
        <v>1416</v>
      </c>
      <c r="D262" s="6" t="str">
        <f>_xlfn.IFNA(IF(VLOOKUP(tabListaItens[[#This Row],[CÓDIGO]],tabExcluirDoEstoque[#Data],1,FALSE),"sim",""),"")</f>
        <v/>
      </c>
      <c r="E262" s="6" t="str">
        <f>"*"</f>
        <v>*</v>
      </c>
    </row>
    <row r="263" spans="1:5" x14ac:dyDescent="0.25">
      <c r="A263" s="8">
        <v>17704</v>
      </c>
      <c r="B263" s="5" t="s">
        <v>218</v>
      </c>
      <c r="C263" s="6" t="s">
        <v>1397</v>
      </c>
      <c r="D263" s="6" t="str">
        <f>_xlfn.IFNA(IF(VLOOKUP(tabListaItens[[#This Row],[CÓDIGO]],tabExcluirDoEstoque[#Data],1,FALSE),"sim",""),"")</f>
        <v/>
      </c>
      <c r="E263" s="6" t="str">
        <f>"*"</f>
        <v>*</v>
      </c>
    </row>
    <row r="264" spans="1:5" x14ac:dyDescent="0.25">
      <c r="A264" s="8">
        <v>17946</v>
      </c>
      <c r="B264" s="5" t="s">
        <v>989</v>
      </c>
      <c r="C264" s="6" t="s">
        <v>1397</v>
      </c>
      <c r="D264" s="6" t="str">
        <f>_xlfn.IFNA(IF(VLOOKUP(tabListaItens[[#This Row],[CÓDIGO]],tabExcluirDoEstoque[#Data],1,FALSE),"sim",""),"")</f>
        <v/>
      </c>
      <c r="E264" s="6" t="str">
        <f>"*"</f>
        <v>*</v>
      </c>
    </row>
    <row r="265" spans="1:5" x14ac:dyDescent="0.25">
      <c r="A265" s="8">
        <v>18337</v>
      </c>
      <c r="B265" s="5" t="s">
        <v>766</v>
      </c>
      <c r="C265" s="6" t="s">
        <v>1405</v>
      </c>
      <c r="D265" s="6" t="str">
        <f>_xlfn.IFNA(IF(VLOOKUP(tabListaItens[[#This Row],[CÓDIGO]],tabExcluirDoEstoque[#Data],1,FALSE),"sim",""),"")</f>
        <v/>
      </c>
      <c r="E265" s="6" t="str">
        <f>"*"</f>
        <v>*</v>
      </c>
    </row>
    <row r="266" spans="1:5" x14ac:dyDescent="0.25">
      <c r="A266" s="8">
        <v>18342</v>
      </c>
      <c r="B266" s="5" t="s">
        <v>1118</v>
      </c>
      <c r="C266" s="6" t="s">
        <v>1405</v>
      </c>
      <c r="D266" s="6" t="str">
        <f>_xlfn.IFNA(IF(VLOOKUP(tabListaItens[[#This Row],[CÓDIGO]],tabExcluirDoEstoque[#Data],1,FALSE),"sim",""),"")</f>
        <v>sim</v>
      </c>
      <c r="E266" s="6" t="str">
        <f>"*"</f>
        <v>*</v>
      </c>
    </row>
    <row r="267" spans="1:5" x14ac:dyDescent="0.25">
      <c r="A267" s="8">
        <v>18346</v>
      </c>
      <c r="B267" s="5" t="s">
        <v>39</v>
      </c>
      <c r="C267" s="6" t="s">
        <v>1405</v>
      </c>
      <c r="D267" s="6" t="str">
        <f>_xlfn.IFNA(IF(VLOOKUP(tabListaItens[[#This Row],[CÓDIGO]],tabExcluirDoEstoque[#Data],1,FALSE),"sim",""),"")</f>
        <v/>
      </c>
      <c r="E267" s="6" t="str">
        <f>"*"</f>
        <v>*</v>
      </c>
    </row>
    <row r="268" spans="1:5" x14ac:dyDescent="0.25">
      <c r="A268" s="8">
        <v>18351</v>
      </c>
      <c r="B268" s="5" t="s">
        <v>1119</v>
      </c>
      <c r="C268" s="6" t="s">
        <v>1405</v>
      </c>
      <c r="D268" s="6" t="str">
        <f>_xlfn.IFNA(IF(VLOOKUP(tabListaItens[[#This Row],[CÓDIGO]],tabExcluirDoEstoque[#Data],1,FALSE),"sim",""),"")</f>
        <v>sim</v>
      </c>
      <c r="E268" s="6" t="str">
        <f>"*"</f>
        <v>*</v>
      </c>
    </row>
    <row r="269" spans="1:5" x14ac:dyDescent="0.25">
      <c r="A269" s="8">
        <v>18353</v>
      </c>
      <c r="B269" s="5" t="s">
        <v>40</v>
      </c>
      <c r="C269" s="6" t="s">
        <v>1405</v>
      </c>
      <c r="D269" s="6" t="str">
        <f>_xlfn.IFNA(IF(VLOOKUP(tabListaItens[[#This Row],[CÓDIGO]],tabExcluirDoEstoque[#Data],1,FALSE),"sim",""),"")</f>
        <v/>
      </c>
      <c r="E269" s="6" t="str">
        <f>"*"</f>
        <v>*</v>
      </c>
    </row>
    <row r="270" spans="1:5" x14ac:dyDescent="0.25">
      <c r="A270" s="8">
        <v>18357</v>
      </c>
      <c r="B270" s="5" t="s">
        <v>41</v>
      </c>
      <c r="C270" s="6" t="s">
        <v>1405</v>
      </c>
      <c r="D270" s="6" t="str">
        <f>_xlfn.IFNA(IF(VLOOKUP(tabListaItens[[#This Row],[CÓDIGO]],tabExcluirDoEstoque[#Data],1,FALSE),"sim",""),"")</f>
        <v/>
      </c>
      <c r="E270" s="6" t="str">
        <f>"*"</f>
        <v>*</v>
      </c>
    </row>
    <row r="271" spans="1:5" x14ac:dyDescent="0.25">
      <c r="A271" s="8">
        <v>18358</v>
      </c>
      <c r="B271" s="5" t="s">
        <v>42</v>
      </c>
      <c r="C271" s="6" t="s">
        <v>1405</v>
      </c>
      <c r="D271" s="6" t="str">
        <f>_xlfn.IFNA(IF(VLOOKUP(tabListaItens[[#This Row],[CÓDIGO]],tabExcluirDoEstoque[#Data],1,FALSE),"sim",""),"")</f>
        <v/>
      </c>
      <c r="E271" s="6" t="str">
        <f>"*"</f>
        <v>*</v>
      </c>
    </row>
    <row r="272" spans="1:5" x14ac:dyDescent="0.25">
      <c r="A272" s="8">
        <v>19842</v>
      </c>
      <c r="B272" s="5" t="s">
        <v>773</v>
      </c>
      <c r="C272" s="6" t="s">
        <v>1397</v>
      </c>
      <c r="D272" s="6" t="str">
        <f>_xlfn.IFNA(IF(VLOOKUP(tabListaItens[[#This Row],[CÓDIGO]],tabExcluirDoEstoque[#Data],1,FALSE),"sim",""),"")</f>
        <v/>
      </c>
      <c r="E272" s="6" t="str">
        <f>"*"</f>
        <v>*</v>
      </c>
    </row>
    <row r="273" spans="1:5" x14ac:dyDescent="0.25">
      <c r="A273" s="8">
        <v>19871</v>
      </c>
      <c r="B273" s="5" t="s">
        <v>176</v>
      </c>
      <c r="C273" s="6" t="s">
        <v>1397</v>
      </c>
      <c r="D273" s="6" t="str">
        <f>_xlfn.IFNA(IF(VLOOKUP(tabListaItens[[#This Row],[CÓDIGO]],tabExcluirDoEstoque[#Data],1,FALSE),"sim",""),"")</f>
        <v/>
      </c>
      <c r="E273" s="6" t="str">
        <f>"*"</f>
        <v>*</v>
      </c>
    </row>
    <row r="274" spans="1:5" x14ac:dyDescent="0.25">
      <c r="A274" s="8">
        <v>19872</v>
      </c>
      <c r="B274" s="5" t="s">
        <v>1209</v>
      </c>
      <c r="C274" s="6" t="s">
        <v>1397</v>
      </c>
      <c r="D274" s="6" t="str">
        <f>_xlfn.IFNA(IF(VLOOKUP(tabListaItens[[#This Row],[CÓDIGO]],tabExcluirDoEstoque[#Data],1,FALSE),"sim",""),"")</f>
        <v>sim</v>
      </c>
      <c r="E274" s="6" t="str">
        <f>"*"</f>
        <v>*</v>
      </c>
    </row>
    <row r="275" spans="1:5" x14ac:dyDescent="0.25">
      <c r="A275" s="8">
        <v>19881</v>
      </c>
      <c r="B275" s="5" t="s">
        <v>1210</v>
      </c>
      <c r="C275" s="6" t="s">
        <v>1397</v>
      </c>
      <c r="D275" s="6" t="str">
        <f>_xlfn.IFNA(IF(VLOOKUP(tabListaItens[[#This Row],[CÓDIGO]],tabExcluirDoEstoque[#Data],1,FALSE),"sim",""),"")</f>
        <v>sim</v>
      </c>
      <c r="E275" s="6" t="str">
        <f>"*"</f>
        <v>*</v>
      </c>
    </row>
    <row r="276" spans="1:5" x14ac:dyDescent="0.25">
      <c r="A276" s="8">
        <v>19882</v>
      </c>
      <c r="B276" s="5" t="s">
        <v>177</v>
      </c>
      <c r="C276" s="6" t="s">
        <v>1397</v>
      </c>
      <c r="D276" s="6" t="str">
        <f>_xlfn.IFNA(IF(VLOOKUP(tabListaItens[[#This Row],[CÓDIGO]],tabExcluirDoEstoque[#Data],1,FALSE),"sim",""),"")</f>
        <v/>
      </c>
      <c r="E276" s="6" t="str">
        <f>"*"</f>
        <v>*</v>
      </c>
    </row>
    <row r="277" spans="1:5" x14ac:dyDescent="0.25">
      <c r="A277" s="8">
        <v>19883</v>
      </c>
      <c r="B277" s="5" t="s">
        <v>178</v>
      </c>
      <c r="C277" s="6" t="s">
        <v>1397</v>
      </c>
      <c r="D277" s="6" t="str">
        <f>_xlfn.IFNA(IF(VLOOKUP(tabListaItens[[#This Row],[CÓDIGO]],tabExcluirDoEstoque[#Data],1,FALSE),"sim",""),"")</f>
        <v/>
      </c>
      <c r="E277" s="6" t="str">
        <f>"*"</f>
        <v>*</v>
      </c>
    </row>
    <row r="278" spans="1:5" x14ac:dyDescent="0.25">
      <c r="A278" s="8">
        <v>19884</v>
      </c>
      <c r="B278" s="5" t="s">
        <v>1003</v>
      </c>
      <c r="C278" s="6" t="s">
        <v>1397</v>
      </c>
      <c r="D278" s="6" t="str">
        <f>_xlfn.IFNA(IF(VLOOKUP(tabListaItens[[#This Row],[CÓDIGO]],tabExcluirDoEstoque[#Data],1,FALSE),"sim",""),"")</f>
        <v>sim</v>
      </c>
      <c r="E278" s="6" t="str">
        <f>"*"</f>
        <v>*</v>
      </c>
    </row>
    <row r="279" spans="1:5" x14ac:dyDescent="0.25">
      <c r="A279" s="8">
        <v>19998</v>
      </c>
      <c r="B279" s="5" t="s">
        <v>169</v>
      </c>
      <c r="C279" s="6" t="s">
        <v>1397</v>
      </c>
      <c r="D279" s="6" t="str">
        <f>_xlfn.IFNA(IF(VLOOKUP(tabListaItens[[#This Row],[CÓDIGO]],tabExcluirDoEstoque[#Data],1,FALSE),"sim",""),"")</f>
        <v/>
      </c>
      <c r="E279" s="6" t="str">
        <f>"*"</f>
        <v>*</v>
      </c>
    </row>
    <row r="280" spans="1:5" x14ac:dyDescent="0.25">
      <c r="A280" s="8">
        <v>20001</v>
      </c>
      <c r="B280" s="5" t="s">
        <v>43</v>
      </c>
      <c r="C280" s="6" t="s">
        <v>1397</v>
      </c>
      <c r="D280" s="6" t="str">
        <f>_xlfn.IFNA(IF(VLOOKUP(tabListaItens[[#This Row],[CÓDIGO]],tabExcluirDoEstoque[#Data],1,FALSE),"sim",""),"")</f>
        <v/>
      </c>
      <c r="E280" s="6" t="str">
        <f>"*"</f>
        <v>*</v>
      </c>
    </row>
    <row r="281" spans="1:5" x14ac:dyDescent="0.25">
      <c r="A281" s="8">
        <v>20034</v>
      </c>
      <c r="B281" s="5" t="s">
        <v>171</v>
      </c>
      <c r="C281" s="6" t="s">
        <v>1397</v>
      </c>
      <c r="D281" s="6" t="str">
        <f>_xlfn.IFNA(IF(VLOOKUP(tabListaItens[[#This Row],[CÓDIGO]],tabExcluirDoEstoque[#Data],1,FALSE),"sim",""),"")</f>
        <v/>
      </c>
      <c r="E281" s="6" t="str">
        <f>"*"</f>
        <v>*</v>
      </c>
    </row>
    <row r="282" spans="1:5" x14ac:dyDescent="0.25">
      <c r="A282" s="8">
        <v>20035</v>
      </c>
      <c r="B282" s="5" t="s">
        <v>172</v>
      </c>
      <c r="C282" s="6" t="s">
        <v>1397</v>
      </c>
      <c r="D282" s="6" t="str">
        <f>_xlfn.IFNA(IF(VLOOKUP(tabListaItens[[#This Row],[CÓDIGO]],tabExcluirDoEstoque[#Data],1,FALSE),"sim",""),"")</f>
        <v/>
      </c>
      <c r="E282" s="6" t="str">
        <f>"*"</f>
        <v>*</v>
      </c>
    </row>
    <row r="283" spans="1:5" x14ac:dyDescent="0.25">
      <c r="A283" s="8">
        <v>20037</v>
      </c>
      <c r="B283" s="5" t="s">
        <v>173</v>
      </c>
      <c r="C283" s="6" t="s">
        <v>1397</v>
      </c>
      <c r="D283" s="6" t="str">
        <f>_xlfn.IFNA(IF(VLOOKUP(tabListaItens[[#This Row],[CÓDIGO]],tabExcluirDoEstoque[#Data],1,FALSE),"sim",""),"")</f>
        <v/>
      </c>
      <c r="E283" s="6" t="str">
        <f>"*"</f>
        <v>*</v>
      </c>
    </row>
    <row r="284" spans="1:5" x14ac:dyDescent="0.25">
      <c r="A284" s="8">
        <v>20104</v>
      </c>
      <c r="B284" s="5" t="s">
        <v>174</v>
      </c>
      <c r="C284" s="6" t="s">
        <v>1397</v>
      </c>
      <c r="D284" s="6" t="str">
        <f>_xlfn.IFNA(IF(VLOOKUP(tabListaItens[[#This Row],[CÓDIGO]],tabExcluirDoEstoque[#Data],1,FALSE),"sim",""),"")</f>
        <v/>
      </c>
      <c r="E284" s="6" t="str">
        <f>"*"</f>
        <v>*</v>
      </c>
    </row>
    <row r="285" spans="1:5" x14ac:dyDescent="0.25">
      <c r="A285" s="8">
        <v>20106</v>
      </c>
      <c r="B285" s="5" t="s">
        <v>175</v>
      </c>
      <c r="C285" s="6" t="s">
        <v>1397</v>
      </c>
      <c r="D285" s="6" t="str">
        <f>_xlfn.IFNA(IF(VLOOKUP(tabListaItens[[#This Row],[CÓDIGO]],tabExcluirDoEstoque[#Data],1,FALSE),"sim",""),"")</f>
        <v/>
      </c>
      <c r="E285" s="6" t="str">
        <f>"*"</f>
        <v>*</v>
      </c>
    </row>
    <row r="286" spans="1:5" x14ac:dyDescent="0.25">
      <c r="A286" s="8">
        <v>20135</v>
      </c>
      <c r="B286" s="5" t="s">
        <v>307</v>
      </c>
      <c r="C286" s="6" t="s">
        <v>1397</v>
      </c>
      <c r="D286" s="6" t="str">
        <f>_xlfn.IFNA(IF(VLOOKUP(tabListaItens[[#This Row],[CÓDIGO]],tabExcluirDoEstoque[#Data],1,FALSE),"sim",""),"")</f>
        <v/>
      </c>
      <c r="E286" s="6" t="str">
        <f>"*"</f>
        <v>*</v>
      </c>
    </row>
    <row r="287" spans="1:5" x14ac:dyDescent="0.25">
      <c r="A287" s="8">
        <v>20144</v>
      </c>
      <c r="B287" s="5" t="s">
        <v>170</v>
      </c>
      <c r="C287" s="6" t="s">
        <v>1397</v>
      </c>
      <c r="D287" s="6" t="str">
        <f>_xlfn.IFNA(IF(VLOOKUP(tabListaItens[[#This Row],[CÓDIGO]],tabExcluirDoEstoque[#Data],1,FALSE),"sim",""),"")</f>
        <v/>
      </c>
      <c r="E287" s="6" t="str">
        <f>"*"</f>
        <v>*</v>
      </c>
    </row>
    <row r="288" spans="1:5" x14ac:dyDescent="0.25">
      <c r="A288" s="8">
        <v>20167</v>
      </c>
      <c r="B288" s="5" t="s">
        <v>583</v>
      </c>
      <c r="C288" s="6" t="s">
        <v>1397</v>
      </c>
      <c r="D288" s="6" t="str">
        <f>_xlfn.IFNA(IF(VLOOKUP(tabListaItens[[#This Row],[CÓDIGO]],tabExcluirDoEstoque[#Data],1,FALSE),"sim",""),"")</f>
        <v/>
      </c>
      <c r="E288" s="6" t="str">
        <f>"*"</f>
        <v>*</v>
      </c>
    </row>
    <row r="289" spans="1:5" x14ac:dyDescent="0.25">
      <c r="A289" s="8">
        <v>20169</v>
      </c>
      <c r="B289" s="5" t="s">
        <v>1211</v>
      </c>
      <c r="C289" s="6" t="s">
        <v>1397</v>
      </c>
      <c r="D289" s="6" t="str">
        <f>_xlfn.IFNA(IF(VLOOKUP(tabListaItens[[#This Row],[CÓDIGO]],tabExcluirDoEstoque[#Data],1,FALSE),"sim",""),"")</f>
        <v>sim</v>
      </c>
      <c r="E289" s="6" t="str">
        <f>"*"</f>
        <v>*</v>
      </c>
    </row>
    <row r="290" spans="1:5" x14ac:dyDescent="0.25">
      <c r="A290" s="8">
        <v>20431</v>
      </c>
      <c r="B290" s="5" t="s">
        <v>1212</v>
      </c>
      <c r="C290" s="6" t="s">
        <v>1397</v>
      </c>
      <c r="D290" s="6" t="str">
        <f>_xlfn.IFNA(IF(VLOOKUP(tabListaItens[[#This Row],[CÓDIGO]],tabExcluirDoEstoque[#Data],1,FALSE),"sim",""),"")</f>
        <v>sim</v>
      </c>
      <c r="E290" s="6" t="str">
        <f>"*"</f>
        <v>*</v>
      </c>
    </row>
    <row r="291" spans="1:5" x14ac:dyDescent="0.25">
      <c r="A291" s="8">
        <v>20537</v>
      </c>
      <c r="B291" s="5" t="s">
        <v>767</v>
      </c>
      <c r="C291" s="6" t="s">
        <v>1405</v>
      </c>
      <c r="D291" s="6" t="str">
        <f>_xlfn.IFNA(IF(VLOOKUP(tabListaItens[[#This Row],[CÓDIGO]],tabExcluirDoEstoque[#Data],1,FALSE),"sim",""),"")</f>
        <v/>
      </c>
      <c r="E291" s="6" t="str">
        <f>"*"</f>
        <v>*</v>
      </c>
    </row>
    <row r="292" spans="1:5" x14ac:dyDescent="0.25">
      <c r="A292" s="8">
        <v>20539</v>
      </c>
      <c r="B292" s="5" t="s">
        <v>1213</v>
      </c>
      <c r="C292" s="6" t="s">
        <v>1405</v>
      </c>
      <c r="D292" s="6" t="str">
        <f>_xlfn.IFNA(IF(VLOOKUP(tabListaItens[[#This Row],[CÓDIGO]],tabExcluirDoEstoque[#Data],1,FALSE),"sim",""),"")</f>
        <v>sim</v>
      </c>
      <c r="E292" s="6" t="str">
        <f>"*"</f>
        <v>*</v>
      </c>
    </row>
    <row r="293" spans="1:5" x14ac:dyDescent="0.25">
      <c r="A293" s="8">
        <v>20540</v>
      </c>
      <c r="B293" s="5" t="s">
        <v>1121</v>
      </c>
      <c r="C293" s="6" t="s">
        <v>1405</v>
      </c>
      <c r="D293" s="6" t="str">
        <f>_xlfn.IFNA(IF(VLOOKUP(tabListaItens[[#This Row],[CÓDIGO]],tabExcluirDoEstoque[#Data],1,FALSE),"sim",""),"")</f>
        <v>sim</v>
      </c>
      <c r="E293" s="6" t="str">
        <f>"*"</f>
        <v>*</v>
      </c>
    </row>
    <row r="294" spans="1:5" x14ac:dyDescent="0.25">
      <c r="A294" s="8">
        <v>20554</v>
      </c>
      <c r="B294" s="5" t="s">
        <v>788</v>
      </c>
      <c r="C294" s="6" t="s">
        <v>1397</v>
      </c>
      <c r="D294" s="6" t="str">
        <f>_xlfn.IFNA(IF(VLOOKUP(tabListaItens[[#This Row],[CÓDIGO]],tabExcluirDoEstoque[#Data],1,FALSE),"sim",""),"")</f>
        <v/>
      </c>
      <c r="E294" s="6" t="str">
        <f>"*"</f>
        <v>*</v>
      </c>
    </row>
    <row r="295" spans="1:5" x14ac:dyDescent="0.25">
      <c r="A295" s="8">
        <v>20558</v>
      </c>
      <c r="B295" s="5" t="s">
        <v>789</v>
      </c>
      <c r="C295" s="6" t="s">
        <v>1397</v>
      </c>
      <c r="D295" s="6" t="str">
        <f>_xlfn.IFNA(IF(VLOOKUP(tabListaItens[[#This Row],[CÓDIGO]],tabExcluirDoEstoque[#Data],1,FALSE),"sim",""),"")</f>
        <v/>
      </c>
      <c r="E295" s="6" t="str">
        <f>"*"</f>
        <v>*</v>
      </c>
    </row>
    <row r="296" spans="1:5" x14ac:dyDescent="0.25">
      <c r="A296" s="8">
        <v>20576</v>
      </c>
      <c r="B296" s="5" t="s">
        <v>790</v>
      </c>
      <c r="C296" s="6" t="s">
        <v>1397</v>
      </c>
      <c r="D296" s="6" t="str">
        <f>_xlfn.IFNA(IF(VLOOKUP(tabListaItens[[#This Row],[CÓDIGO]],tabExcluirDoEstoque[#Data],1,FALSE),"sim",""),"")</f>
        <v/>
      </c>
      <c r="E296" s="6" t="str">
        <f>"*"</f>
        <v>*</v>
      </c>
    </row>
    <row r="297" spans="1:5" x14ac:dyDescent="0.25">
      <c r="A297" s="8">
        <v>20583</v>
      </c>
      <c r="B297" s="5" t="s">
        <v>791</v>
      </c>
      <c r="C297" s="6" t="s">
        <v>1397</v>
      </c>
      <c r="D297" s="6" t="str">
        <f>_xlfn.IFNA(IF(VLOOKUP(tabListaItens[[#This Row],[CÓDIGO]],tabExcluirDoEstoque[#Data],1,FALSE),"sim",""),"")</f>
        <v/>
      </c>
      <c r="E297" s="6" t="str">
        <f>"*"</f>
        <v>*</v>
      </c>
    </row>
    <row r="298" spans="1:5" x14ac:dyDescent="0.25">
      <c r="A298" s="8">
        <v>20584</v>
      </c>
      <c r="B298" s="5" t="s">
        <v>792</v>
      </c>
      <c r="C298" s="6" t="s">
        <v>1397</v>
      </c>
      <c r="D298" s="6" t="str">
        <f>_xlfn.IFNA(IF(VLOOKUP(tabListaItens[[#This Row],[CÓDIGO]],tabExcluirDoEstoque[#Data],1,FALSE),"sim",""),"")</f>
        <v/>
      </c>
      <c r="E298" s="6" t="str">
        <f>"*"</f>
        <v>*</v>
      </c>
    </row>
    <row r="299" spans="1:5" x14ac:dyDescent="0.25">
      <c r="A299" s="8">
        <v>20585</v>
      </c>
      <c r="B299" s="5" t="s">
        <v>1214</v>
      </c>
      <c r="C299" s="6" t="s">
        <v>1397</v>
      </c>
      <c r="D299" s="6" t="str">
        <f>_xlfn.IFNA(IF(VLOOKUP(tabListaItens[[#This Row],[CÓDIGO]],tabExcluirDoEstoque[#Data],1,FALSE),"sim",""),"")</f>
        <v>sim</v>
      </c>
      <c r="E299" s="6" t="str">
        <f>"*"</f>
        <v>*</v>
      </c>
    </row>
    <row r="300" spans="1:5" x14ac:dyDescent="0.25">
      <c r="A300" s="8">
        <v>20760</v>
      </c>
      <c r="B300" s="5" t="s">
        <v>904</v>
      </c>
      <c r="C300" s="6" t="s">
        <v>1399</v>
      </c>
      <c r="D300" s="6" t="str">
        <f>_xlfn.IFNA(IF(VLOOKUP(tabListaItens[[#This Row],[CÓDIGO]],tabExcluirDoEstoque[#Data],1,FALSE),"sim",""),"")</f>
        <v/>
      </c>
      <c r="E300" s="6" t="str">
        <f>"*"</f>
        <v>*</v>
      </c>
    </row>
    <row r="301" spans="1:5" x14ac:dyDescent="0.25">
      <c r="A301" s="8">
        <v>20763</v>
      </c>
      <c r="B301" s="5" t="s">
        <v>905</v>
      </c>
      <c r="C301" s="6" t="s">
        <v>1399</v>
      </c>
      <c r="D301" s="6" t="str">
        <f>_xlfn.IFNA(IF(VLOOKUP(tabListaItens[[#This Row],[CÓDIGO]],tabExcluirDoEstoque[#Data],1,FALSE),"sim",""),"")</f>
        <v/>
      </c>
      <c r="E301" s="6" t="str">
        <f>"*"</f>
        <v>*</v>
      </c>
    </row>
    <row r="302" spans="1:5" x14ac:dyDescent="0.25">
      <c r="A302" s="8">
        <v>23016</v>
      </c>
      <c r="B302" s="5" t="s">
        <v>1572</v>
      </c>
      <c r="C302" s="6" t="s">
        <v>1403</v>
      </c>
      <c r="D302" s="76" t="str">
        <f>_xlfn.IFNA(IF(VLOOKUP(tabListaItens[[#This Row],[CÓDIGO]],tabExcluirDoEstoque[#Data],1,FALSE),"sim",""),"")</f>
        <v/>
      </c>
      <c r="E302" s="76" t="str">
        <f>"*"</f>
        <v>*</v>
      </c>
    </row>
    <row r="303" spans="1:5" x14ac:dyDescent="0.25">
      <c r="A303" s="8">
        <v>23424</v>
      </c>
      <c r="B303" s="5" t="s">
        <v>1215</v>
      </c>
      <c r="C303" s="6" t="s">
        <v>1411</v>
      </c>
      <c r="D303" s="6" t="str">
        <f>_xlfn.IFNA(IF(VLOOKUP(tabListaItens[[#This Row],[CÓDIGO]],tabExcluirDoEstoque[#Data],1,FALSE),"sim",""),"")</f>
        <v>sim</v>
      </c>
      <c r="E303" s="6" t="str">
        <f>"*"</f>
        <v>*</v>
      </c>
    </row>
    <row r="304" spans="1:5" x14ac:dyDescent="0.25">
      <c r="A304" s="8">
        <v>23581</v>
      </c>
      <c r="B304" s="5" t="s">
        <v>437</v>
      </c>
      <c r="C304" s="6" t="s">
        <v>1404</v>
      </c>
      <c r="D304" s="6" t="str">
        <f>_xlfn.IFNA(IF(VLOOKUP(tabListaItens[[#This Row],[CÓDIGO]],tabExcluirDoEstoque[#Data],1,FALSE),"sim",""),"")</f>
        <v/>
      </c>
      <c r="E304" s="6" t="str">
        <f>"*"</f>
        <v>*</v>
      </c>
    </row>
    <row r="305" spans="1:5" x14ac:dyDescent="0.25">
      <c r="A305" s="8">
        <v>23607</v>
      </c>
      <c r="B305" s="5" t="s">
        <v>865</v>
      </c>
      <c r="C305" s="6" t="s">
        <v>1397</v>
      </c>
      <c r="D305" s="6" t="str">
        <f>_xlfn.IFNA(IF(VLOOKUP(tabListaItens[[#This Row],[CÓDIGO]],tabExcluirDoEstoque[#Data],1,FALSE),"sim",""),"")</f>
        <v/>
      </c>
      <c r="E305" s="6" t="str">
        <f>"*"</f>
        <v>*</v>
      </c>
    </row>
    <row r="306" spans="1:5" x14ac:dyDescent="0.25">
      <c r="A306" s="8">
        <v>23676</v>
      </c>
      <c r="B306" s="5" t="s">
        <v>44</v>
      </c>
      <c r="C306" s="6" t="s">
        <v>1407</v>
      </c>
      <c r="D306" s="6" t="str">
        <f>_xlfn.IFNA(IF(VLOOKUP(tabListaItens[[#This Row],[CÓDIGO]],tabExcluirDoEstoque[#Data],1,FALSE),"sim",""),"")</f>
        <v/>
      </c>
      <c r="E306" s="6" t="str">
        <f>"*"</f>
        <v>*</v>
      </c>
    </row>
    <row r="307" spans="1:5" x14ac:dyDescent="0.25">
      <c r="A307" s="8">
        <v>23687</v>
      </c>
      <c r="B307" s="5" t="s">
        <v>292</v>
      </c>
      <c r="C307" s="6" t="s">
        <v>1416</v>
      </c>
      <c r="D307" s="6" t="str">
        <f>_xlfn.IFNA(IF(VLOOKUP(tabListaItens[[#This Row],[CÓDIGO]],tabExcluirDoEstoque[#Data],1,FALSE),"sim",""),"")</f>
        <v/>
      </c>
      <c r="E307" s="6" t="str">
        <f>"*"</f>
        <v>*</v>
      </c>
    </row>
    <row r="308" spans="1:5" x14ac:dyDescent="0.25">
      <c r="A308" s="8">
        <v>23692</v>
      </c>
      <c r="B308" s="5" t="s">
        <v>294</v>
      </c>
      <c r="C308" s="6" t="s">
        <v>1416</v>
      </c>
      <c r="D308" s="6" t="str">
        <f>_xlfn.IFNA(IF(VLOOKUP(tabListaItens[[#This Row],[CÓDIGO]],tabExcluirDoEstoque[#Data],1,FALSE),"sim",""),"")</f>
        <v/>
      </c>
      <c r="E308" s="6" t="str">
        <f>"*"</f>
        <v>*</v>
      </c>
    </row>
    <row r="309" spans="1:5" x14ac:dyDescent="0.25">
      <c r="A309" s="8">
        <v>23778</v>
      </c>
      <c r="B309" s="5" t="s">
        <v>45</v>
      </c>
      <c r="C309" s="6" t="s">
        <v>1399</v>
      </c>
      <c r="D309" s="6" t="str">
        <f>_xlfn.IFNA(IF(VLOOKUP(tabListaItens[[#This Row],[CÓDIGO]],tabExcluirDoEstoque[#Data],1,FALSE),"sim",""),"")</f>
        <v/>
      </c>
      <c r="E309" s="6" t="str">
        <f>"*"</f>
        <v>*</v>
      </c>
    </row>
    <row r="310" spans="1:5" x14ac:dyDescent="0.25">
      <c r="A310" s="8">
        <v>23846</v>
      </c>
      <c r="B310" s="5" t="s">
        <v>642</v>
      </c>
      <c r="C310" s="6" t="s">
        <v>1416</v>
      </c>
      <c r="D310" s="6" t="str">
        <f>_xlfn.IFNA(IF(VLOOKUP(tabListaItens[[#This Row],[CÓDIGO]],tabExcluirDoEstoque[#Data],1,FALSE),"sim",""),"")</f>
        <v/>
      </c>
      <c r="E310" s="6" t="str">
        <f>"*"</f>
        <v>*</v>
      </c>
    </row>
    <row r="311" spans="1:5" x14ac:dyDescent="0.25">
      <c r="A311" s="8">
        <v>23862</v>
      </c>
      <c r="B311" s="5" t="s">
        <v>646</v>
      </c>
      <c r="C311" s="6" t="s">
        <v>1416</v>
      </c>
      <c r="D311" s="6" t="str">
        <f>_xlfn.IFNA(IF(VLOOKUP(tabListaItens[[#This Row],[CÓDIGO]],tabExcluirDoEstoque[#Data],1,FALSE),"sim",""),"")</f>
        <v/>
      </c>
      <c r="E311" s="6" t="str">
        <f>"*"</f>
        <v>*</v>
      </c>
    </row>
    <row r="312" spans="1:5" x14ac:dyDescent="0.25">
      <c r="A312" s="8">
        <v>23875</v>
      </c>
      <c r="B312" s="5" t="s">
        <v>644</v>
      </c>
      <c r="C312" s="6" t="s">
        <v>1416</v>
      </c>
      <c r="D312" s="6" t="str">
        <f>_xlfn.IFNA(IF(VLOOKUP(tabListaItens[[#This Row],[CÓDIGO]],tabExcluirDoEstoque[#Data],1,FALSE),"sim",""),"")</f>
        <v/>
      </c>
      <c r="E312" s="6" t="str">
        <f>"*"</f>
        <v>*</v>
      </c>
    </row>
    <row r="313" spans="1:5" x14ac:dyDescent="0.25">
      <c r="A313" s="8">
        <v>23986</v>
      </c>
      <c r="B313" s="5" t="s">
        <v>651</v>
      </c>
      <c r="C313" s="6" t="s">
        <v>1408</v>
      </c>
      <c r="D313" s="6" t="str">
        <f>_xlfn.IFNA(IF(VLOOKUP(tabListaItens[[#This Row],[CÓDIGO]],tabExcluirDoEstoque[#Data],1,FALSE),"sim",""),"")</f>
        <v/>
      </c>
      <c r="E313" s="6" t="str">
        <f>"*"</f>
        <v>*</v>
      </c>
    </row>
    <row r="314" spans="1:5" x14ac:dyDescent="0.25">
      <c r="A314" s="8">
        <v>23989</v>
      </c>
      <c r="B314" s="5" t="s">
        <v>653</v>
      </c>
      <c r="C314" s="6" t="s">
        <v>1408</v>
      </c>
      <c r="D314" s="6" t="str">
        <f>_xlfn.IFNA(IF(VLOOKUP(tabListaItens[[#This Row],[CÓDIGO]],tabExcluirDoEstoque[#Data],1,FALSE),"sim",""),"")</f>
        <v/>
      </c>
      <c r="E314" s="6" t="str">
        <f>"*"</f>
        <v>*</v>
      </c>
    </row>
    <row r="315" spans="1:5" x14ac:dyDescent="0.25">
      <c r="A315" s="8">
        <v>23992</v>
      </c>
      <c r="B315" s="5" t="s">
        <v>1216</v>
      </c>
      <c r="C315" s="6" t="s">
        <v>1408</v>
      </c>
      <c r="D315" s="6" t="str">
        <f>_xlfn.IFNA(IF(VLOOKUP(tabListaItens[[#This Row],[CÓDIGO]],tabExcluirDoEstoque[#Data],1,FALSE),"sim",""),"")</f>
        <v>sim</v>
      </c>
      <c r="E315" s="6" t="str">
        <f>"*"</f>
        <v>*</v>
      </c>
    </row>
    <row r="316" spans="1:5" x14ac:dyDescent="0.25">
      <c r="A316" s="8">
        <v>23993</v>
      </c>
      <c r="B316" s="5" t="s">
        <v>654</v>
      </c>
      <c r="C316" s="6" t="s">
        <v>1408</v>
      </c>
      <c r="D316" s="6" t="str">
        <f>_xlfn.IFNA(IF(VLOOKUP(tabListaItens[[#This Row],[CÓDIGO]],tabExcluirDoEstoque[#Data],1,FALSE),"sim",""),"")</f>
        <v/>
      </c>
      <c r="E316" s="6" t="str">
        <f>"*"</f>
        <v>*</v>
      </c>
    </row>
    <row r="317" spans="1:5" x14ac:dyDescent="0.25">
      <c r="A317" s="8">
        <v>23996</v>
      </c>
      <c r="B317" s="5" t="s">
        <v>656</v>
      </c>
      <c r="C317" s="6" t="s">
        <v>1408</v>
      </c>
      <c r="D317" s="6" t="str">
        <f>_xlfn.IFNA(IF(VLOOKUP(tabListaItens[[#This Row],[CÓDIGO]],tabExcluirDoEstoque[#Data],1,FALSE),"sim",""),"")</f>
        <v/>
      </c>
      <c r="E317" s="6" t="str">
        <f>"*"</f>
        <v>*</v>
      </c>
    </row>
    <row r="318" spans="1:5" x14ac:dyDescent="0.25">
      <c r="A318" s="8">
        <v>24031</v>
      </c>
      <c r="B318" s="5" t="s">
        <v>1217</v>
      </c>
      <c r="C318" s="6" t="s">
        <v>1397</v>
      </c>
      <c r="D318" s="6" t="str">
        <f>_xlfn.IFNA(IF(VLOOKUP(tabListaItens[[#This Row],[CÓDIGO]],tabExcluirDoEstoque[#Data],1,FALSE),"sim",""),"")</f>
        <v>sim</v>
      </c>
      <c r="E318" s="6" t="str">
        <f>"*"</f>
        <v>*</v>
      </c>
    </row>
    <row r="319" spans="1:5" x14ac:dyDescent="0.25">
      <c r="A319" s="8">
        <v>24204</v>
      </c>
      <c r="B319" s="5" t="s">
        <v>835</v>
      </c>
      <c r="C319" s="6" t="s">
        <v>1397</v>
      </c>
      <c r="D319" s="6" t="str">
        <f>_xlfn.IFNA(IF(VLOOKUP(tabListaItens[[#This Row],[CÓDIGO]],tabExcluirDoEstoque[#Data],1,FALSE),"sim",""),"")</f>
        <v/>
      </c>
      <c r="E319" s="6" t="str">
        <f>"*"</f>
        <v>*</v>
      </c>
    </row>
    <row r="320" spans="1:5" x14ac:dyDescent="0.25">
      <c r="A320" s="8">
        <v>24205</v>
      </c>
      <c r="B320" s="5" t="s">
        <v>834</v>
      </c>
      <c r="C320" s="6" t="s">
        <v>1397</v>
      </c>
      <c r="D320" s="6" t="str">
        <f>_xlfn.IFNA(IF(VLOOKUP(tabListaItens[[#This Row],[CÓDIGO]],tabExcluirDoEstoque[#Data],1,FALSE),"sim",""),"")</f>
        <v>sim</v>
      </c>
      <c r="E320" s="6" t="str">
        <f>"*"</f>
        <v>*</v>
      </c>
    </row>
    <row r="321" spans="1:5" x14ac:dyDescent="0.25">
      <c r="A321" s="8">
        <v>24219</v>
      </c>
      <c r="B321" s="5" t="s">
        <v>288</v>
      </c>
      <c r="C321" s="6" t="s">
        <v>1397</v>
      </c>
      <c r="D321" s="6" t="str">
        <f>_xlfn.IFNA(IF(VLOOKUP(tabListaItens[[#This Row],[CÓDIGO]],tabExcluirDoEstoque[#Data],1,FALSE),"sim",""),"")</f>
        <v/>
      </c>
      <c r="E321" s="6" t="str">
        <f>"*"</f>
        <v>*</v>
      </c>
    </row>
    <row r="322" spans="1:5" x14ac:dyDescent="0.25">
      <c r="A322" s="8">
        <v>24371</v>
      </c>
      <c r="B322" s="5" t="s">
        <v>46</v>
      </c>
      <c r="C322" s="6" t="s">
        <v>1397</v>
      </c>
      <c r="D322" s="6" t="str">
        <f>_xlfn.IFNA(IF(VLOOKUP(tabListaItens[[#This Row],[CÓDIGO]],tabExcluirDoEstoque[#Data],1,FALSE),"sim",""),"")</f>
        <v/>
      </c>
      <c r="E322" s="6" t="str">
        <f>"*"</f>
        <v>*</v>
      </c>
    </row>
    <row r="323" spans="1:5" x14ac:dyDescent="0.25">
      <c r="A323" s="8">
        <v>24476</v>
      </c>
      <c r="B323" s="5" t="s">
        <v>652</v>
      </c>
      <c r="C323" s="6" t="s">
        <v>1408</v>
      </c>
      <c r="D323" s="6" t="str">
        <f>_xlfn.IFNA(IF(VLOOKUP(tabListaItens[[#This Row],[CÓDIGO]],tabExcluirDoEstoque[#Data],1,FALSE),"sim",""),"")</f>
        <v/>
      </c>
      <c r="E323" s="6" t="str">
        <f>"*"</f>
        <v>*</v>
      </c>
    </row>
    <row r="324" spans="1:5" x14ac:dyDescent="0.25">
      <c r="A324" s="8">
        <v>24477</v>
      </c>
      <c r="B324" s="5" t="s">
        <v>655</v>
      </c>
      <c r="C324" s="6" t="s">
        <v>1408</v>
      </c>
      <c r="D324" s="6" t="str">
        <f>_xlfn.IFNA(IF(VLOOKUP(tabListaItens[[#This Row],[CÓDIGO]],tabExcluirDoEstoque[#Data],1,FALSE),"sim",""),"")</f>
        <v/>
      </c>
      <c r="E324" s="6" t="str">
        <f>"*"</f>
        <v>*</v>
      </c>
    </row>
    <row r="325" spans="1:5" x14ac:dyDescent="0.25">
      <c r="A325" s="8">
        <v>24500</v>
      </c>
      <c r="B325" s="5" t="s">
        <v>47</v>
      </c>
      <c r="C325" s="6" t="s">
        <v>1397</v>
      </c>
      <c r="D325" s="6" t="str">
        <f>_xlfn.IFNA(IF(VLOOKUP(tabListaItens[[#This Row],[CÓDIGO]],tabExcluirDoEstoque[#Data],1,FALSE),"sim",""),"")</f>
        <v/>
      </c>
      <c r="E325" s="6" t="str">
        <f>"*"</f>
        <v>*</v>
      </c>
    </row>
    <row r="326" spans="1:5" x14ac:dyDescent="0.25">
      <c r="A326" s="8">
        <v>24542</v>
      </c>
      <c r="B326" s="5" t="s">
        <v>1061</v>
      </c>
      <c r="C326" s="6" t="s">
        <v>1397</v>
      </c>
      <c r="D326" s="6" t="str">
        <f>_xlfn.IFNA(IF(VLOOKUP(tabListaItens[[#This Row],[CÓDIGO]],tabExcluirDoEstoque[#Data],1,FALSE),"sim",""),"")</f>
        <v>sim</v>
      </c>
      <c r="E326" s="6" t="str">
        <f>"*"</f>
        <v>*</v>
      </c>
    </row>
    <row r="327" spans="1:5" x14ac:dyDescent="0.25">
      <c r="A327" s="8">
        <v>24551</v>
      </c>
      <c r="B327" s="5" t="s">
        <v>563</v>
      </c>
      <c r="C327" s="6" t="s">
        <v>1397</v>
      </c>
      <c r="D327" s="6" t="str">
        <f>_xlfn.IFNA(IF(VLOOKUP(tabListaItens[[#This Row],[CÓDIGO]],tabExcluirDoEstoque[#Data],1,FALSE),"sim",""),"")</f>
        <v/>
      </c>
      <c r="E327" s="6" t="str">
        <f>"*"</f>
        <v>*</v>
      </c>
    </row>
    <row r="328" spans="1:5" x14ac:dyDescent="0.25">
      <c r="A328" s="8">
        <v>24888</v>
      </c>
      <c r="B328" s="5" t="s">
        <v>48</v>
      </c>
      <c r="C328" s="6" t="s">
        <v>1405</v>
      </c>
      <c r="D328" s="6" t="str">
        <f>_xlfn.IFNA(IF(VLOOKUP(tabListaItens[[#This Row],[CÓDIGO]],tabExcluirDoEstoque[#Data],1,FALSE),"sim",""),"")</f>
        <v/>
      </c>
      <c r="E328" s="6" t="str">
        <f>"*"</f>
        <v>*</v>
      </c>
    </row>
    <row r="329" spans="1:5" x14ac:dyDescent="0.25">
      <c r="A329" s="8">
        <v>24890</v>
      </c>
      <c r="B329" s="5" t="s">
        <v>1117</v>
      </c>
      <c r="C329" s="6" t="s">
        <v>1405</v>
      </c>
      <c r="D329" s="6" t="str">
        <f>_xlfn.IFNA(IF(VLOOKUP(tabListaItens[[#This Row],[CÓDIGO]],tabExcluirDoEstoque[#Data],1,FALSE),"sim",""),"")</f>
        <v>sim</v>
      </c>
      <c r="E329" s="6" t="str">
        <f>"*"</f>
        <v>*</v>
      </c>
    </row>
    <row r="330" spans="1:5" x14ac:dyDescent="0.25">
      <c r="A330" s="8">
        <v>25489</v>
      </c>
      <c r="B330" s="5" t="s">
        <v>1218</v>
      </c>
      <c r="C330" s="6" t="s">
        <v>1405</v>
      </c>
      <c r="D330" s="6" t="str">
        <f>_xlfn.IFNA(IF(VLOOKUP(tabListaItens[[#This Row],[CÓDIGO]],tabExcluirDoEstoque[#Data],1,FALSE),"sim",""),"")</f>
        <v>sim</v>
      </c>
      <c r="E330" s="6" t="str">
        <f>"*"</f>
        <v>*</v>
      </c>
    </row>
    <row r="331" spans="1:5" x14ac:dyDescent="0.25">
      <c r="A331" s="8">
        <v>25519</v>
      </c>
      <c r="B331" s="5" t="s">
        <v>1219</v>
      </c>
      <c r="C331" s="6" t="s">
        <v>1397</v>
      </c>
      <c r="D331" s="6" t="str">
        <f>_xlfn.IFNA(IF(VLOOKUP(tabListaItens[[#This Row],[CÓDIGO]],tabExcluirDoEstoque[#Data],1,FALSE),"sim",""),"")</f>
        <v>sim</v>
      </c>
      <c r="E331" s="6" t="str">
        <f>"*"</f>
        <v>*</v>
      </c>
    </row>
    <row r="332" spans="1:5" x14ac:dyDescent="0.25">
      <c r="A332" s="8">
        <v>25523</v>
      </c>
      <c r="B332" s="5" t="s">
        <v>370</v>
      </c>
      <c r="C332" s="6" t="s">
        <v>1397</v>
      </c>
      <c r="D332" s="6" t="str">
        <f>_xlfn.IFNA(IF(VLOOKUP(tabListaItens[[#This Row],[CÓDIGO]],tabExcluirDoEstoque[#Data],1,FALSE),"sim",""),"")</f>
        <v/>
      </c>
      <c r="E332" s="6" t="str">
        <f>"*"</f>
        <v>*</v>
      </c>
    </row>
    <row r="333" spans="1:5" x14ac:dyDescent="0.25">
      <c r="A333" s="8">
        <v>25536</v>
      </c>
      <c r="B333" s="5" t="s">
        <v>990</v>
      </c>
      <c r="C333" s="6" t="s">
        <v>1397</v>
      </c>
      <c r="D333" s="6" t="str">
        <f>_xlfn.IFNA(IF(VLOOKUP(tabListaItens[[#This Row],[CÓDIGO]],tabExcluirDoEstoque[#Data],1,FALSE),"sim",""),"")</f>
        <v>sim</v>
      </c>
      <c r="E333" s="6" t="str">
        <f>"*"</f>
        <v>*</v>
      </c>
    </row>
    <row r="334" spans="1:5" x14ac:dyDescent="0.25">
      <c r="A334" s="8">
        <v>25559</v>
      </c>
      <c r="B334" s="5" t="s">
        <v>675</v>
      </c>
      <c r="C334" s="6" t="s">
        <v>1416</v>
      </c>
      <c r="D334" s="6" t="str">
        <f>_xlfn.IFNA(IF(VLOOKUP(tabListaItens[[#This Row],[CÓDIGO]],tabExcluirDoEstoque[#Data],1,FALSE),"sim",""),"")</f>
        <v/>
      </c>
      <c r="E334" s="6" t="str">
        <f>"*"</f>
        <v>*</v>
      </c>
    </row>
    <row r="335" spans="1:5" x14ac:dyDescent="0.25">
      <c r="A335" s="8">
        <v>25630</v>
      </c>
      <c r="B335" s="5" t="s">
        <v>49</v>
      </c>
      <c r="C335" s="6" t="s">
        <v>1397</v>
      </c>
      <c r="D335" s="6" t="str">
        <f>_xlfn.IFNA(IF(VLOOKUP(tabListaItens[[#This Row],[CÓDIGO]],tabExcluirDoEstoque[#Data],1,FALSE),"sim",""),"")</f>
        <v/>
      </c>
      <c r="E335" s="6" t="str">
        <f>"*"</f>
        <v>*</v>
      </c>
    </row>
    <row r="336" spans="1:5" x14ac:dyDescent="0.25">
      <c r="A336" s="8">
        <v>25756</v>
      </c>
      <c r="B336" s="5" t="s">
        <v>796</v>
      </c>
      <c r="C336" s="6" t="s">
        <v>1397</v>
      </c>
      <c r="D336" s="6" t="str">
        <f>_xlfn.IFNA(IF(VLOOKUP(tabListaItens[[#This Row],[CÓDIGO]],tabExcluirDoEstoque[#Data],1,FALSE),"sim",""),"")</f>
        <v/>
      </c>
      <c r="E336" s="6" t="str">
        <f>"*"</f>
        <v>*</v>
      </c>
    </row>
    <row r="337" spans="1:5" x14ac:dyDescent="0.25">
      <c r="A337" s="8">
        <v>26215</v>
      </c>
      <c r="B337" s="5" t="s">
        <v>310</v>
      </c>
      <c r="C337" s="6" t="s">
        <v>1397</v>
      </c>
      <c r="D337" s="6" t="str">
        <f>_xlfn.IFNA(IF(VLOOKUP(tabListaItens[[#This Row],[CÓDIGO]],tabExcluirDoEstoque[#Data],1,FALSE),"sim",""),"")</f>
        <v/>
      </c>
      <c r="E337" s="6" t="str">
        <f>"*"</f>
        <v>*</v>
      </c>
    </row>
    <row r="338" spans="1:5" x14ac:dyDescent="0.25">
      <c r="A338" s="8">
        <v>26282</v>
      </c>
      <c r="B338" s="5" t="s">
        <v>233</v>
      </c>
      <c r="C338" s="6" t="s">
        <v>1397</v>
      </c>
      <c r="D338" s="6" t="str">
        <f>_xlfn.IFNA(IF(VLOOKUP(tabListaItens[[#This Row],[CÓDIGO]],tabExcluirDoEstoque[#Data],1,FALSE),"sim",""),"")</f>
        <v/>
      </c>
      <c r="E338" s="6" t="str">
        <f>"*"</f>
        <v>*</v>
      </c>
    </row>
    <row r="339" spans="1:5" x14ac:dyDescent="0.25">
      <c r="A339" s="8">
        <v>26368</v>
      </c>
      <c r="B339" s="5" t="s">
        <v>1220</v>
      </c>
      <c r="C339" s="6" t="s">
        <v>1397</v>
      </c>
      <c r="D339" s="6" t="str">
        <f>_xlfn.IFNA(IF(VLOOKUP(tabListaItens[[#This Row],[CÓDIGO]],tabExcluirDoEstoque[#Data],1,FALSE),"sim",""),"")</f>
        <v>sim</v>
      </c>
      <c r="E339" s="6" t="str">
        <f>"*"</f>
        <v>*</v>
      </c>
    </row>
    <row r="340" spans="1:5" x14ac:dyDescent="0.25">
      <c r="A340" s="8">
        <v>26503</v>
      </c>
      <c r="B340" s="5" t="s">
        <v>1221</v>
      </c>
      <c r="C340" s="6"/>
      <c r="D340" s="6" t="str">
        <f>_xlfn.IFNA(IF(VLOOKUP(tabListaItens[[#This Row],[CÓDIGO]],tabExcluirDoEstoque[#Data],1,FALSE),"sim",""),"")</f>
        <v>sim</v>
      </c>
      <c r="E340" s="6" t="str">
        <f>"*"</f>
        <v>*</v>
      </c>
    </row>
    <row r="341" spans="1:5" x14ac:dyDescent="0.25">
      <c r="A341" s="8">
        <v>26504</v>
      </c>
      <c r="B341" s="5" t="s">
        <v>435</v>
      </c>
      <c r="C341" s="6" t="s">
        <v>1397</v>
      </c>
      <c r="D341" s="6" t="str">
        <f>_xlfn.IFNA(IF(VLOOKUP(tabListaItens[[#This Row],[CÓDIGO]],tabExcluirDoEstoque[#Data],1,FALSE),"sim",""),"")</f>
        <v/>
      </c>
      <c r="E341" s="6" t="str">
        <f>"*"</f>
        <v>*</v>
      </c>
    </row>
    <row r="342" spans="1:5" x14ac:dyDescent="0.25">
      <c r="A342" s="8">
        <v>26506</v>
      </c>
      <c r="B342" s="5" t="s">
        <v>134</v>
      </c>
      <c r="C342" s="6" t="s">
        <v>1397</v>
      </c>
      <c r="D342" s="6" t="str">
        <f>_xlfn.IFNA(IF(VLOOKUP(tabListaItens[[#This Row],[CÓDIGO]],tabExcluirDoEstoque[#Data],1,FALSE),"sim",""),"")</f>
        <v/>
      </c>
      <c r="E342" s="6" t="str">
        <f>"*"</f>
        <v>*</v>
      </c>
    </row>
    <row r="343" spans="1:5" x14ac:dyDescent="0.25">
      <c r="A343" s="8">
        <v>26508</v>
      </c>
      <c r="B343" s="5" t="s">
        <v>1222</v>
      </c>
      <c r="C343" s="6"/>
      <c r="D343" s="6" t="str">
        <f>_xlfn.IFNA(IF(VLOOKUP(tabListaItens[[#This Row],[CÓDIGO]],tabExcluirDoEstoque[#Data],1,FALSE),"sim",""),"")</f>
        <v>sim</v>
      </c>
      <c r="E343" s="6" t="str">
        <f>"*"</f>
        <v>*</v>
      </c>
    </row>
    <row r="344" spans="1:5" x14ac:dyDescent="0.25">
      <c r="A344" s="8">
        <v>27136</v>
      </c>
      <c r="B344" s="5" t="s">
        <v>941</v>
      </c>
      <c r="C344" s="6" t="s">
        <v>1397</v>
      </c>
      <c r="D344" s="6" t="str">
        <f>_xlfn.IFNA(IF(VLOOKUP(tabListaItens[[#This Row],[CÓDIGO]],tabExcluirDoEstoque[#Data],1,FALSE),"sim",""),"")</f>
        <v/>
      </c>
      <c r="E344" s="6" t="str">
        <f>"*"</f>
        <v>*</v>
      </c>
    </row>
    <row r="345" spans="1:5" x14ac:dyDescent="0.25">
      <c r="A345" s="8">
        <v>27137</v>
      </c>
      <c r="B345" s="5" t="s">
        <v>677</v>
      </c>
      <c r="C345" s="6" t="s">
        <v>1416</v>
      </c>
      <c r="D345" s="6" t="str">
        <f>_xlfn.IFNA(IF(VLOOKUP(tabListaItens[[#This Row],[CÓDIGO]],tabExcluirDoEstoque[#Data],1,FALSE),"sim",""),"")</f>
        <v/>
      </c>
      <c r="E345" s="6" t="str">
        <f>"*"</f>
        <v>*</v>
      </c>
    </row>
    <row r="346" spans="1:5" x14ac:dyDescent="0.25">
      <c r="A346" s="8">
        <v>27138</v>
      </c>
      <c r="B346" s="5" t="s">
        <v>674</v>
      </c>
      <c r="C346" s="6" t="s">
        <v>1416</v>
      </c>
      <c r="D346" s="6" t="str">
        <f>_xlfn.IFNA(IF(VLOOKUP(tabListaItens[[#This Row],[CÓDIGO]],tabExcluirDoEstoque[#Data],1,FALSE),"sim",""),"")</f>
        <v/>
      </c>
      <c r="E346" s="6" t="str">
        <f>"*"</f>
        <v>*</v>
      </c>
    </row>
    <row r="347" spans="1:5" x14ac:dyDescent="0.25">
      <c r="A347" s="8">
        <v>27139</v>
      </c>
      <c r="B347" s="5" t="s">
        <v>678</v>
      </c>
      <c r="C347" s="6" t="s">
        <v>1416</v>
      </c>
      <c r="D347" s="6" t="str">
        <f>_xlfn.IFNA(IF(VLOOKUP(tabListaItens[[#This Row],[CÓDIGO]],tabExcluirDoEstoque[#Data],1,FALSE),"sim",""),"")</f>
        <v/>
      </c>
      <c r="E347" s="6" t="str">
        <f>"*"</f>
        <v>*</v>
      </c>
    </row>
    <row r="348" spans="1:5" x14ac:dyDescent="0.25">
      <c r="A348" s="8">
        <v>27140</v>
      </c>
      <c r="B348" s="5" t="s">
        <v>676</v>
      </c>
      <c r="C348" s="6" t="s">
        <v>1416</v>
      </c>
      <c r="D348" s="6" t="str">
        <f>_xlfn.IFNA(IF(VLOOKUP(tabListaItens[[#This Row],[CÓDIGO]],tabExcluirDoEstoque[#Data],1,FALSE),"sim",""),"")</f>
        <v/>
      </c>
      <c r="E348" s="6" t="str">
        <f>"*"</f>
        <v>*</v>
      </c>
    </row>
    <row r="349" spans="1:5" x14ac:dyDescent="0.25">
      <c r="A349" s="8">
        <v>27287</v>
      </c>
      <c r="B349" s="5" t="s">
        <v>458</v>
      </c>
      <c r="C349" s="6" t="s">
        <v>1409</v>
      </c>
      <c r="D349" s="6" t="str">
        <f>_xlfn.IFNA(IF(VLOOKUP(tabListaItens[[#This Row],[CÓDIGO]],tabExcluirDoEstoque[#Data],1,FALSE),"sim",""),"")</f>
        <v/>
      </c>
      <c r="E349" s="6" t="str">
        <f>"*"</f>
        <v>*</v>
      </c>
    </row>
    <row r="350" spans="1:5" x14ac:dyDescent="0.25">
      <c r="A350" s="8">
        <v>27353</v>
      </c>
      <c r="B350" s="5" t="s">
        <v>50</v>
      </c>
      <c r="C350" s="6" t="s">
        <v>1414</v>
      </c>
      <c r="D350" s="6" t="str">
        <f>_xlfn.IFNA(IF(VLOOKUP(tabListaItens[[#This Row],[CÓDIGO]],tabExcluirDoEstoque[#Data],1,FALSE),"sim",""),"")</f>
        <v/>
      </c>
      <c r="E350" s="6" t="str">
        <f>"*"</f>
        <v>*</v>
      </c>
    </row>
    <row r="351" spans="1:5" x14ac:dyDescent="0.25">
      <c r="A351" s="8">
        <v>27479</v>
      </c>
      <c r="B351" s="5" t="s">
        <v>770</v>
      </c>
      <c r="C351" s="6" t="s">
        <v>1419</v>
      </c>
      <c r="D351" s="6" t="str">
        <f>_xlfn.IFNA(IF(VLOOKUP(tabListaItens[[#This Row],[CÓDIGO]],tabExcluirDoEstoque[#Data],1,FALSE),"sim",""),"")</f>
        <v>sim</v>
      </c>
      <c r="E351" s="6" t="str">
        <f>"*"</f>
        <v>*</v>
      </c>
    </row>
    <row r="352" spans="1:5" x14ac:dyDescent="0.25">
      <c r="A352" s="8">
        <v>27759</v>
      </c>
      <c r="B352" s="5" t="s">
        <v>798</v>
      </c>
      <c r="C352" s="6" t="s">
        <v>1397</v>
      </c>
      <c r="D352" s="6" t="str">
        <f>_xlfn.IFNA(IF(VLOOKUP(tabListaItens[[#This Row],[CÓDIGO]],tabExcluirDoEstoque[#Data],1,FALSE),"sim",""),"")</f>
        <v>sim</v>
      </c>
      <c r="E352" s="6" t="str">
        <f>"*"</f>
        <v>*</v>
      </c>
    </row>
    <row r="353" spans="1:5" x14ac:dyDescent="0.25">
      <c r="A353" s="8">
        <v>27760</v>
      </c>
      <c r="B353" s="5" t="s">
        <v>797</v>
      </c>
      <c r="C353" s="6" t="s">
        <v>1397</v>
      </c>
      <c r="D353" s="6" t="str">
        <f>_xlfn.IFNA(IF(VLOOKUP(tabListaItens[[#This Row],[CÓDIGO]],tabExcluirDoEstoque[#Data],1,FALSE),"sim",""),"")</f>
        <v/>
      </c>
      <c r="E353" s="6" t="str">
        <f>"*"</f>
        <v>*</v>
      </c>
    </row>
    <row r="354" spans="1:5" x14ac:dyDescent="0.25">
      <c r="A354" s="8">
        <v>27761</v>
      </c>
      <c r="B354" s="5" t="s">
        <v>963</v>
      </c>
      <c r="C354" s="6" t="s">
        <v>1409</v>
      </c>
      <c r="D354" s="6" t="str">
        <f>_xlfn.IFNA(IF(VLOOKUP(tabListaItens[[#This Row],[CÓDIGO]],tabExcluirDoEstoque[#Data],1,FALSE),"sim",""),"")</f>
        <v/>
      </c>
      <c r="E354" s="6" t="str">
        <f>"*"</f>
        <v>*</v>
      </c>
    </row>
    <row r="355" spans="1:5" x14ac:dyDescent="0.25">
      <c r="A355" s="8">
        <v>27764</v>
      </c>
      <c r="B355" s="5" t="s">
        <v>957</v>
      </c>
      <c r="C355" s="6" t="s">
        <v>1413</v>
      </c>
      <c r="D355" s="6" t="str">
        <f>_xlfn.IFNA(IF(VLOOKUP(tabListaItens[[#This Row],[CÓDIGO]],tabExcluirDoEstoque[#Data],1,FALSE),"sim",""),"")</f>
        <v/>
      </c>
      <c r="E355" s="6" t="str">
        <f>"*"</f>
        <v>*</v>
      </c>
    </row>
    <row r="356" spans="1:5" x14ac:dyDescent="0.25">
      <c r="A356" s="8">
        <v>28040</v>
      </c>
      <c r="B356" s="5" t="s">
        <v>1123</v>
      </c>
      <c r="C356" s="6" t="s">
        <v>1405</v>
      </c>
      <c r="D356" s="6" t="str">
        <f>_xlfn.IFNA(IF(VLOOKUP(tabListaItens[[#This Row],[CÓDIGO]],tabExcluirDoEstoque[#Data],1,FALSE),"sim",""),"")</f>
        <v>sim</v>
      </c>
      <c r="E356" s="6" t="str">
        <f>"*"</f>
        <v>*</v>
      </c>
    </row>
    <row r="357" spans="1:5" x14ac:dyDescent="0.25">
      <c r="A357" s="8">
        <v>28093</v>
      </c>
      <c r="B357" s="5" t="s">
        <v>944</v>
      </c>
      <c r="C357" s="6" t="s">
        <v>1397</v>
      </c>
      <c r="D357" s="6" t="str">
        <f>_xlfn.IFNA(IF(VLOOKUP(tabListaItens[[#This Row],[CÓDIGO]],tabExcluirDoEstoque[#Data],1,FALSE),"sim",""),"")</f>
        <v/>
      </c>
      <c r="E357" s="6" t="str">
        <f>"*"</f>
        <v>*</v>
      </c>
    </row>
    <row r="358" spans="1:5" x14ac:dyDescent="0.25">
      <c r="A358" s="8">
        <v>28181</v>
      </c>
      <c r="B358" s="5" t="s">
        <v>110</v>
      </c>
      <c r="C358" s="6" t="s">
        <v>1397</v>
      </c>
      <c r="D358" s="6" t="str">
        <f>_xlfn.IFNA(IF(VLOOKUP(tabListaItens[[#This Row],[CÓDIGO]],tabExcluirDoEstoque[#Data],1,FALSE),"sim",""),"")</f>
        <v/>
      </c>
      <c r="E358" s="6" t="str">
        <f>"*"</f>
        <v>*</v>
      </c>
    </row>
    <row r="359" spans="1:5" x14ac:dyDescent="0.25">
      <c r="A359" s="8">
        <v>28184</v>
      </c>
      <c r="B359" s="5" t="s">
        <v>114</v>
      </c>
      <c r="C359" s="6" t="s">
        <v>1397</v>
      </c>
      <c r="D359" s="6" t="str">
        <f>_xlfn.IFNA(IF(VLOOKUP(tabListaItens[[#This Row],[CÓDIGO]],tabExcluirDoEstoque[#Data],1,FALSE),"sim",""),"")</f>
        <v/>
      </c>
      <c r="E359" s="6" t="str">
        <f>"*"</f>
        <v>*</v>
      </c>
    </row>
    <row r="360" spans="1:5" x14ac:dyDescent="0.25">
      <c r="A360" s="8">
        <v>28306</v>
      </c>
      <c r="B360" s="5" t="s">
        <v>972</v>
      </c>
      <c r="C360" s="6" t="s">
        <v>1397</v>
      </c>
      <c r="D360" s="6" t="str">
        <f>_xlfn.IFNA(IF(VLOOKUP(tabListaItens[[#This Row],[CÓDIGO]],tabExcluirDoEstoque[#Data],1,FALSE),"sim",""),"")</f>
        <v/>
      </c>
      <c r="E360" s="6" t="str">
        <f>"*"</f>
        <v>*</v>
      </c>
    </row>
    <row r="361" spans="1:5" x14ac:dyDescent="0.25">
      <c r="A361" s="8">
        <v>28307</v>
      </c>
      <c r="B361" s="5" t="s">
        <v>973</v>
      </c>
      <c r="C361" s="6" t="s">
        <v>1397</v>
      </c>
      <c r="D361" s="6" t="str">
        <f>_xlfn.IFNA(IF(VLOOKUP(tabListaItens[[#This Row],[CÓDIGO]],tabExcluirDoEstoque[#Data],1,FALSE),"sim",""),"")</f>
        <v/>
      </c>
      <c r="E361" s="6" t="str">
        <f>"*"</f>
        <v>*</v>
      </c>
    </row>
    <row r="362" spans="1:5" x14ac:dyDescent="0.25">
      <c r="A362" s="8">
        <v>28308</v>
      </c>
      <c r="B362" s="5" t="s">
        <v>971</v>
      </c>
      <c r="C362" s="6" t="s">
        <v>1397</v>
      </c>
      <c r="D362" s="6" t="str">
        <f>_xlfn.IFNA(IF(VLOOKUP(tabListaItens[[#This Row],[CÓDIGO]],tabExcluirDoEstoque[#Data],1,FALSE),"sim",""),"")</f>
        <v/>
      </c>
      <c r="E362" s="6" t="str">
        <f>"*"</f>
        <v>*</v>
      </c>
    </row>
    <row r="363" spans="1:5" x14ac:dyDescent="0.25">
      <c r="A363" s="8">
        <v>28512</v>
      </c>
      <c r="B363" s="5" t="s">
        <v>958</v>
      </c>
      <c r="C363" s="6" t="s">
        <v>1413</v>
      </c>
      <c r="D363" s="6" t="str">
        <f>_xlfn.IFNA(IF(VLOOKUP(tabListaItens[[#This Row],[CÓDIGO]],tabExcluirDoEstoque[#Data],1,FALSE),"sim",""),"")</f>
        <v/>
      </c>
      <c r="E363" s="6" t="str">
        <f>"*"</f>
        <v>*</v>
      </c>
    </row>
    <row r="364" spans="1:5" x14ac:dyDescent="0.25">
      <c r="A364" s="8">
        <v>28781</v>
      </c>
      <c r="B364" s="5" t="s">
        <v>993</v>
      </c>
      <c r="C364" s="6" t="s">
        <v>1397</v>
      </c>
      <c r="D364" s="6" t="str">
        <f>_xlfn.IFNA(IF(VLOOKUP(tabListaItens[[#This Row],[CÓDIGO]],tabExcluirDoEstoque[#Data],1,FALSE),"sim",""),"")</f>
        <v>sim</v>
      </c>
      <c r="E364" s="6" t="str">
        <f>"*"</f>
        <v>*</v>
      </c>
    </row>
    <row r="365" spans="1:5" x14ac:dyDescent="0.25">
      <c r="A365" s="8">
        <v>28782</v>
      </c>
      <c r="B365" s="5" t="s">
        <v>994</v>
      </c>
      <c r="C365" s="6" t="s">
        <v>1397</v>
      </c>
      <c r="D365" s="6" t="str">
        <f>_xlfn.IFNA(IF(VLOOKUP(tabListaItens[[#This Row],[CÓDIGO]],tabExcluirDoEstoque[#Data],1,FALSE),"sim",""),"")</f>
        <v>sim</v>
      </c>
      <c r="E365" s="6" t="str">
        <f>"*"</f>
        <v>*</v>
      </c>
    </row>
    <row r="366" spans="1:5" x14ac:dyDescent="0.25">
      <c r="A366" s="8">
        <v>29288</v>
      </c>
      <c r="B366" s="5" t="s">
        <v>1040</v>
      </c>
      <c r="C366" s="6"/>
      <c r="D366" s="6" t="str">
        <f>_xlfn.IFNA(IF(VLOOKUP(tabListaItens[[#This Row],[CÓDIGO]],tabExcluirDoEstoque[#Data],1,FALSE),"sim",""),"")</f>
        <v>sim</v>
      </c>
      <c r="E366" s="6" t="str">
        <f>"*"</f>
        <v>*</v>
      </c>
    </row>
    <row r="367" spans="1:5" x14ac:dyDescent="0.25">
      <c r="A367" s="8">
        <v>29293</v>
      </c>
      <c r="B367" s="5" t="s">
        <v>182</v>
      </c>
      <c r="C367" s="6" t="s">
        <v>1397</v>
      </c>
      <c r="D367" s="6" t="str">
        <f>_xlfn.IFNA(IF(VLOOKUP(tabListaItens[[#This Row],[CÓDIGO]],tabExcluirDoEstoque[#Data],1,FALSE),"sim",""),"")</f>
        <v/>
      </c>
      <c r="E367" s="6" t="str">
        <f>"*"</f>
        <v>*</v>
      </c>
    </row>
    <row r="368" spans="1:5" x14ac:dyDescent="0.25">
      <c r="A368" s="8">
        <v>29294</v>
      </c>
      <c r="B368" s="5" t="s">
        <v>1223</v>
      </c>
      <c r="C368" s="6" t="s">
        <v>1397</v>
      </c>
      <c r="D368" s="6" t="str">
        <f>_xlfn.IFNA(IF(VLOOKUP(tabListaItens[[#This Row],[CÓDIGO]],tabExcluirDoEstoque[#Data],1,FALSE),"sim",""),"")</f>
        <v>sim</v>
      </c>
      <c r="E368" s="6" t="str">
        <f>"*"</f>
        <v>*</v>
      </c>
    </row>
    <row r="369" spans="1:5" x14ac:dyDescent="0.25">
      <c r="A369" s="8">
        <v>29296</v>
      </c>
      <c r="B369" s="5" t="s">
        <v>51</v>
      </c>
      <c r="C369" s="6" t="s">
        <v>1398</v>
      </c>
      <c r="D369" s="6" t="str">
        <f>_xlfn.IFNA(IF(VLOOKUP(tabListaItens[[#This Row],[CÓDIGO]],tabExcluirDoEstoque[#Data],1,FALSE),"sim",""),"")</f>
        <v/>
      </c>
      <c r="E369" s="6" t="str">
        <f>"*"</f>
        <v>*</v>
      </c>
    </row>
    <row r="370" spans="1:5" x14ac:dyDescent="0.25">
      <c r="A370" s="8">
        <v>29435</v>
      </c>
      <c r="B370" s="5" t="s">
        <v>553</v>
      </c>
      <c r="C370" s="6" t="s">
        <v>1404</v>
      </c>
      <c r="D370" s="6" t="str">
        <f>_xlfn.IFNA(IF(VLOOKUP(tabListaItens[[#This Row],[CÓDIGO]],tabExcluirDoEstoque[#Data],1,FALSE),"sim",""),"")</f>
        <v>sim</v>
      </c>
      <c r="E370" s="6" t="str">
        <f>"*"</f>
        <v>*</v>
      </c>
    </row>
    <row r="371" spans="1:5" x14ac:dyDescent="0.25">
      <c r="A371" s="8">
        <v>29437</v>
      </c>
      <c r="B371" s="5" t="s">
        <v>371</v>
      </c>
      <c r="C371" s="6" t="s">
        <v>1397</v>
      </c>
      <c r="D371" s="6" t="str">
        <f>_xlfn.IFNA(IF(VLOOKUP(tabListaItens[[#This Row],[CÓDIGO]],tabExcluirDoEstoque[#Data],1,FALSE),"sim",""),"")</f>
        <v>sim</v>
      </c>
      <c r="E371" s="6" t="str">
        <f>"*"</f>
        <v>*</v>
      </c>
    </row>
    <row r="372" spans="1:5" x14ac:dyDescent="0.25">
      <c r="A372" s="8">
        <v>29524</v>
      </c>
      <c r="B372" s="5" t="s">
        <v>1224</v>
      </c>
      <c r="C372" s="6" t="s">
        <v>1419</v>
      </c>
      <c r="D372" s="6" t="str">
        <f>_xlfn.IFNA(IF(VLOOKUP(tabListaItens[[#This Row],[CÓDIGO]],tabExcluirDoEstoque[#Data],1,FALSE),"sim",""),"")</f>
        <v>sim</v>
      </c>
      <c r="E372" s="6" t="str">
        <f>"*"</f>
        <v>*</v>
      </c>
    </row>
    <row r="373" spans="1:5" x14ac:dyDescent="0.25">
      <c r="A373" s="8">
        <v>29526</v>
      </c>
      <c r="B373" s="5" t="s">
        <v>1225</v>
      </c>
      <c r="C373" s="6" t="s">
        <v>1419</v>
      </c>
      <c r="D373" s="6" t="str">
        <f>_xlfn.IFNA(IF(VLOOKUP(tabListaItens[[#This Row],[CÓDIGO]],tabExcluirDoEstoque[#Data],1,FALSE),"sim",""),"")</f>
        <v>sim</v>
      </c>
      <c r="E373" s="6" t="str">
        <f>"*"</f>
        <v>*</v>
      </c>
    </row>
    <row r="374" spans="1:5" x14ac:dyDescent="0.25">
      <c r="A374" s="8">
        <v>29537</v>
      </c>
      <c r="B374" s="5" t="s">
        <v>1226</v>
      </c>
      <c r="C374" s="6" t="s">
        <v>1397</v>
      </c>
      <c r="D374" s="6" t="str">
        <f>_xlfn.IFNA(IF(VLOOKUP(tabListaItens[[#This Row],[CÓDIGO]],tabExcluirDoEstoque[#Data],1,FALSE),"sim",""),"")</f>
        <v>sim</v>
      </c>
      <c r="E374" s="6" t="str">
        <f>"*"</f>
        <v>*</v>
      </c>
    </row>
    <row r="375" spans="1:5" x14ac:dyDescent="0.25">
      <c r="A375" s="8">
        <v>29829</v>
      </c>
      <c r="B375" s="5" t="s">
        <v>1133</v>
      </c>
      <c r="C375" s="6" t="s">
        <v>1397</v>
      </c>
      <c r="D375" s="6" t="str">
        <f>_xlfn.IFNA(IF(VLOOKUP(tabListaItens[[#This Row],[CÓDIGO]],tabExcluirDoEstoque[#Data],1,FALSE),"sim",""),"")</f>
        <v>sim</v>
      </c>
      <c r="E375" s="6" t="str">
        <f>"*"</f>
        <v>*</v>
      </c>
    </row>
    <row r="376" spans="1:5" x14ac:dyDescent="0.25">
      <c r="A376" s="8">
        <v>29935</v>
      </c>
      <c r="B376" s="5" t="s">
        <v>832</v>
      </c>
      <c r="C376" s="6" t="s">
        <v>1397</v>
      </c>
      <c r="D376" s="6" t="str">
        <f>_xlfn.IFNA(IF(VLOOKUP(tabListaItens[[#This Row],[CÓDIGO]],tabExcluirDoEstoque[#Data],1,FALSE),"sim",""),"")</f>
        <v>sim</v>
      </c>
      <c r="E376" s="6" t="str">
        <f>"*"</f>
        <v>*</v>
      </c>
    </row>
    <row r="377" spans="1:5" x14ac:dyDescent="0.25">
      <c r="A377" s="8">
        <v>29936</v>
      </c>
      <c r="B377" s="5" t="s">
        <v>1227</v>
      </c>
      <c r="C377" s="6" t="s">
        <v>1397</v>
      </c>
      <c r="D377" s="6" t="str">
        <f>_xlfn.IFNA(IF(VLOOKUP(tabListaItens[[#This Row],[CÓDIGO]],tabExcluirDoEstoque[#Data],1,FALSE),"sim",""),"")</f>
        <v>sim</v>
      </c>
      <c r="E377" s="6" t="str">
        <f>"*"</f>
        <v>*</v>
      </c>
    </row>
    <row r="378" spans="1:5" x14ac:dyDescent="0.25">
      <c r="A378" s="8">
        <v>29952</v>
      </c>
      <c r="B378" s="5" t="s">
        <v>897</v>
      </c>
      <c r="C378" s="6" t="s">
        <v>1397</v>
      </c>
      <c r="D378" s="6" t="str">
        <f>_xlfn.IFNA(IF(VLOOKUP(tabListaItens[[#This Row],[CÓDIGO]],tabExcluirDoEstoque[#Data],1,FALSE),"sim",""),"")</f>
        <v/>
      </c>
      <c r="E378" s="6" t="str">
        <f>"*"</f>
        <v>*</v>
      </c>
    </row>
    <row r="379" spans="1:5" x14ac:dyDescent="0.25">
      <c r="A379" s="8">
        <v>29956</v>
      </c>
      <c r="B379" s="5" t="s">
        <v>637</v>
      </c>
      <c r="C379" s="6" t="s">
        <v>1416</v>
      </c>
      <c r="D379" s="6" t="str">
        <f>_xlfn.IFNA(IF(VLOOKUP(tabListaItens[[#This Row],[CÓDIGO]],tabExcluirDoEstoque[#Data],1,FALSE),"sim",""),"")</f>
        <v/>
      </c>
      <c r="E379" s="6" t="str">
        <f>"*"</f>
        <v>*</v>
      </c>
    </row>
    <row r="380" spans="1:5" x14ac:dyDescent="0.25">
      <c r="A380" s="8">
        <v>29959</v>
      </c>
      <c r="B380" s="5" t="s">
        <v>639</v>
      </c>
      <c r="C380" s="6" t="s">
        <v>1416</v>
      </c>
      <c r="D380" s="6" t="str">
        <f>_xlfn.IFNA(IF(VLOOKUP(tabListaItens[[#This Row],[CÓDIGO]],tabExcluirDoEstoque[#Data],1,FALSE),"sim",""),"")</f>
        <v/>
      </c>
      <c r="E380" s="6" t="str">
        <f>"*"</f>
        <v>*</v>
      </c>
    </row>
    <row r="381" spans="1:5" x14ac:dyDescent="0.25">
      <c r="A381" s="8">
        <v>29960</v>
      </c>
      <c r="B381" s="5" t="s">
        <v>1228</v>
      </c>
      <c r="C381" s="6" t="s">
        <v>1416</v>
      </c>
      <c r="D381" s="6" t="str">
        <f>_xlfn.IFNA(IF(VLOOKUP(tabListaItens[[#This Row],[CÓDIGO]],tabExcluirDoEstoque[#Data],1,FALSE),"sim",""),"")</f>
        <v>sim</v>
      </c>
      <c r="E381" s="6" t="str">
        <f>"*"</f>
        <v>*</v>
      </c>
    </row>
    <row r="382" spans="1:5" x14ac:dyDescent="0.25">
      <c r="A382" s="8">
        <v>29961</v>
      </c>
      <c r="B382" s="5" t="s">
        <v>640</v>
      </c>
      <c r="C382" s="6" t="s">
        <v>1416</v>
      </c>
      <c r="D382" s="6" t="str">
        <f>_xlfn.IFNA(IF(VLOOKUP(tabListaItens[[#This Row],[CÓDIGO]],tabExcluirDoEstoque[#Data],1,FALSE),"sim",""),"")</f>
        <v/>
      </c>
      <c r="E382" s="6" t="str">
        <f>"*"</f>
        <v>*</v>
      </c>
    </row>
    <row r="383" spans="1:5" x14ac:dyDescent="0.25">
      <c r="A383" s="8">
        <v>29962</v>
      </c>
      <c r="B383" s="5" t="s">
        <v>638</v>
      </c>
      <c r="C383" s="6" t="s">
        <v>1416</v>
      </c>
      <c r="D383" s="6" t="str">
        <f>_xlfn.IFNA(IF(VLOOKUP(tabListaItens[[#This Row],[CÓDIGO]],tabExcluirDoEstoque[#Data],1,FALSE),"sim",""),"")</f>
        <v/>
      </c>
      <c r="E383" s="6" t="str">
        <f>"*"</f>
        <v>*</v>
      </c>
    </row>
    <row r="384" spans="1:5" x14ac:dyDescent="0.25">
      <c r="A384" s="8">
        <v>29964</v>
      </c>
      <c r="B384" s="5" t="s">
        <v>635</v>
      </c>
      <c r="C384" s="6" t="s">
        <v>1416</v>
      </c>
      <c r="D384" s="6" t="str">
        <f>_xlfn.IFNA(IF(VLOOKUP(tabListaItens[[#This Row],[CÓDIGO]],tabExcluirDoEstoque[#Data],1,FALSE),"sim",""),"")</f>
        <v/>
      </c>
      <c r="E384" s="6" t="str">
        <f>"*"</f>
        <v>*</v>
      </c>
    </row>
    <row r="385" spans="1:5" x14ac:dyDescent="0.25">
      <c r="A385" s="8">
        <v>30165</v>
      </c>
      <c r="B385" s="5" t="s">
        <v>643</v>
      </c>
      <c r="C385" s="6" t="s">
        <v>1416</v>
      </c>
      <c r="D385" s="6" t="str">
        <f>_xlfn.IFNA(IF(VLOOKUP(tabListaItens[[#This Row],[CÓDIGO]],tabExcluirDoEstoque[#Data],1,FALSE),"sim",""),"")</f>
        <v/>
      </c>
      <c r="E385" s="6" t="str">
        <f>"*"</f>
        <v>*</v>
      </c>
    </row>
    <row r="386" spans="1:5" x14ac:dyDescent="0.25">
      <c r="A386" s="8">
        <v>30171</v>
      </c>
      <c r="B386" s="5" t="s">
        <v>924</v>
      </c>
      <c r="C386" s="6" t="s">
        <v>1403</v>
      </c>
      <c r="D386" s="6" t="str">
        <f>_xlfn.IFNA(IF(VLOOKUP(tabListaItens[[#This Row],[CÓDIGO]],tabExcluirDoEstoque[#Data],1,FALSE),"sim",""),"")</f>
        <v>sim</v>
      </c>
      <c r="E386" s="6" t="str">
        <f>"*"</f>
        <v>*</v>
      </c>
    </row>
    <row r="387" spans="1:5" x14ac:dyDescent="0.25">
      <c r="A387" s="8">
        <v>30658</v>
      </c>
      <c r="B387" s="5" t="s">
        <v>1229</v>
      </c>
      <c r="C387" s="6" t="s">
        <v>1397</v>
      </c>
      <c r="D387" s="6" t="str">
        <f>_xlfn.IFNA(IF(VLOOKUP(tabListaItens[[#This Row],[CÓDIGO]],tabExcluirDoEstoque[#Data],1,FALSE),"sim",""),"")</f>
        <v>sim</v>
      </c>
      <c r="E387" s="6" t="str">
        <f>"*"</f>
        <v>*</v>
      </c>
    </row>
    <row r="388" spans="1:5" x14ac:dyDescent="0.25">
      <c r="A388" s="8">
        <v>30772</v>
      </c>
      <c r="B388" s="5" t="s">
        <v>1035</v>
      </c>
      <c r="C388" s="6" t="s">
        <v>1397</v>
      </c>
      <c r="D388" s="6" t="str">
        <f>_xlfn.IFNA(IF(VLOOKUP(tabListaItens[[#This Row],[CÓDIGO]],tabExcluirDoEstoque[#Data],1,FALSE),"sim",""),"")</f>
        <v>sim</v>
      </c>
      <c r="E388" s="6" t="str">
        <f>"*"</f>
        <v>*</v>
      </c>
    </row>
    <row r="389" spans="1:5" x14ac:dyDescent="0.25">
      <c r="A389" s="8">
        <v>31321</v>
      </c>
      <c r="B389" s="5" t="s">
        <v>52</v>
      </c>
      <c r="C389" s="6" t="s">
        <v>1413</v>
      </c>
      <c r="D389" s="6" t="str">
        <f>_xlfn.IFNA(IF(VLOOKUP(tabListaItens[[#This Row],[CÓDIGO]],tabExcluirDoEstoque[#Data],1,FALSE),"sim",""),"")</f>
        <v>sim</v>
      </c>
      <c r="E389" s="6" t="str">
        <f>"*"</f>
        <v>*</v>
      </c>
    </row>
    <row r="390" spans="1:5" x14ac:dyDescent="0.25">
      <c r="A390" s="8">
        <v>31427</v>
      </c>
      <c r="B390" s="5" t="s">
        <v>1230</v>
      </c>
      <c r="C390" s="6" t="s">
        <v>1397</v>
      </c>
      <c r="D390" s="6" t="str">
        <f>_xlfn.IFNA(IF(VLOOKUP(tabListaItens[[#This Row],[CÓDIGO]],tabExcluirDoEstoque[#Data],1,FALSE),"sim",""),"")</f>
        <v>sim</v>
      </c>
      <c r="E390" s="6" t="str">
        <f>"*"</f>
        <v>*</v>
      </c>
    </row>
    <row r="391" spans="1:5" x14ac:dyDescent="0.25">
      <c r="A391" s="8">
        <v>31428</v>
      </c>
      <c r="B391" s="5" t="s">
        <v>1231</v>
      </c>
      <c r="C391" s="6" t="s">
        <v>1397</v>
      </c>
      <c r="D391" s="6" t="str">
        <f>_xlfn.IFNA(IF(VLOOKUP(tabListaItens[[#This Row],[CÓDIGO]],tabExcluirDoEstoque[#Data],1,FALSE),"sim",""),"")</f>
        <v>sim</v>
      </c>
      <c r="E391" s="6" t="str">
        <f>"*"</f>
        <v>*</v>
      </c>
    </row>
    <row r="392" spans="1:5" x14ac:dyDescent="0.25">
      <c r="A392" s="8">
        <v>31555</v>
      </c>
      <c r="B392" s="5" t="s">
        <v>512</v>
      </c>
      <c r="C392" s="6" t="s">
        <v>1397</v>
      </c>
      <c r="D392" s="6" t="str">
        <f>_xlfn.IFNA(IF(VLOOKUP(tabListaItens[[#This Row],[CÓDIGO]],tabExcluirDoEstoque[#Data],1,FALSE),"sim",""),"")</f>
        <v/>
      </c>
      <c r="E392" s="6" t="str">
        <f>"*"</f>
        <v>*</v>
      </c>
    </row>
    <row r="393" spans="1:5" x14ac:dyDescent="0.25">
      <c r="A393" s="8">
        <v>31580</v>
      </c>
      <c r="B393" s="5" t="s">
        <v>611</v>
      </c>
      <c r="C393" s="6" t="s">
        <v>1397</v>
      </c>
      <c r="D393" s="6" t="str">
        <f>_xlfn.IFNA(IF(VLOOKUP(tabListaItens[[#This Row],[CÓDIGO]],tabExcluirDoEstoque[#Data],1,FALSE),"sim",""),"")</f>
        <v/>
      </c>
      <c r="E393" s="6" t="str">
        <f>"*"</f>
        <v>*</v>
      </c>
    </row>
    <row r="394" spans="1:5" x14ac:dyDescent="0.25">
      <c r="A394" s="8">
        <v>32487</v>
      </c>
      <c r="B394" s="5" t="s">
        <v>923</v>
      </c>
      <c r="C394" s="6" t="s">
        <v>1419</v>
      </c>
      <c r="D394" s="6" t="str">
        <f>_xlfn.IFNA(IF(VLOOKUP(tabListaItens[[#This Row],[CÓDIGO]],tabExcluirDoEstoque[#Data],1,FALSE),"sim",""),"")</f>
        <v>sim</v>
      </c>
      <c r="E394" s="6" t="str">
        <f>"*"</f>
        <v>*</v>
      </c>
    </row>
    <row r="395" spans="1:5" x14ac:dyDescent="0.25">
      <c r="A395" s="8">
        <v>32534</v>
      </c>
      <c r="B395" s="5" t="s">
        <v>148</v>
      </c>
      <c r="C395" s="6" t="s">
        <v>1397</v>
      </c>
      <c r="D395" s="6" t="str">
        <f>_xlfn.IFNA(IF(VLOOKUP(tabListaItens[[#This Row],[CÓDIGO]],tabExcluirDoEstoque[#Data],1,FALSE),"sim",""),"")</f>
        <v/>
      </c>
      <c r="E395" s="6" t="str">
        <f>"*"</f>
        <v>*</v>
      </c>
    </row>
    <row r="396" spans="1:5" x14ac:dyDescent="0.25">
      <c r="A396" s="8">
        <v>32648</v>
      </c>
      <c r="B396" s="5" t="s">
        <v>997</v>
      </c>
      <c r="C396" s="6" t="s">
        <v>1408</v>
      </c>
      <c r="D396" s="6" t="str">
        <f>_xlfn.IFNA(IF(VLOOKUP(tabListaItens[[#This Row],[CÓDIGO]],tabExcluirDoEstoque[#Data],1,FALSE),"sim",""),"")</f>
        <v>sim</v>
      </c>
      <c r="E396" s="6" t="str">
        <f>"*"</f>
        <v>*</v>
      </c>
    </row>
    <row r="397" spans="1:5" x14ac:dyDescent="0.25">
      <c r="A397" s="8">
        <v>32752</v>
      </c>
      <c r="B397" s="5" t="s">
        <v>1232</v>
      </c>
      <c r="C397" s="6" t="s">
        <v>1405</v>
      </c>
      <c r="D397" s="6" t="str">
        <f>_xlfn.IFNA(IF(VLOOKUP(tabListaItens[[#This Row],[CÓDIGO]],tabExcluirDoEstoque[#Data],1,FALSE),"sim",""),"")</f>
        <v>sim</v>
      </c>
      <c r="E397" s="6" t="str">
        <f>"*"</f>
        <v>*</v>
      </c>
    </row>
    <row r="398" spans="1:5" x14ac:dyDescent="0.25">
      <c r="A398" s="8">
        <v>32759</v>
      </c>
      <c r="B398" s="5" t="s">
        <v>1124</v>
      </c>
      <c r="C398" s="6" t="s">
        <v>1405</v>
      </c>
      <c r="D398" s="6" t="str">
        <f>_xlfn.IFNA(IF(VLOOKUP(tabListaItens[[#This Row],[CÓDIGO]],tabExcluirDoEstoque[#Data],1,FALSE),"sim",""),"")</f>
        <v>sim</v>
      </c>
      <c r="E398" s="6" t="str">
        <f>"*"</f>
        <v>*</v>
      </c>
    </row>
    <row r="399" spans="1:5" x14ac:dyDescent="0.25">
      <c r="A399" s="8">
        <v>32761</v>
      </c>
      <c r="B399" s="5" t="s">
        <v>1233</v>
      </c>
      <c r="C399" s="6" t="s">
        <v>1405</v>
      </c>
      <c r="D399" s="6" t="str">
        <f>_xlfn.IFNA(IF(VLOOKUP(tabListaItens[[#This Row],[CÓDIGO]],tabExcluirDoEstoque[#Data],1,FALSE),"sim",""),"")</f>
        <v>sim</v>
      </c>
      <c r="E399" s="6" t="str">
        <f>"*"</f>
        <v>*</v>
      </c>
    </row>
    <row r="400" spans="1:5" x14ac:dyDescent="0.25">
      <c r="A400" s="8">
        <v>32927</v>
      </c>
      <c r="B400" s="5" t="s">
        <v>648</v>
      </c>
      <c r="C400" s="6" t="s">
        <v>1416</v>
      </c>
      <c r="D400" s="6" t="str">
        <f>_xlfn.IFNA(IF(VLOOKUP(tabListaItens[[#This Row],[CÓDIGO]],tabExcluirDoEstoque[#Data],1,FALSE),"sim",""),"")</f>
        <v/>
      </c>
      <c r="E400" s="6" t="str">
        <f>"*"</f>
        <v>*</v>
      </c>
    </row>
    <row r="401" spans="1:5" x14ac:dyDescent="0.25">
      <c r="A401" s="8">
        <v>32933</v>
      </c>
      <c r="B401" s="5" t="s">
        <v>645</v>
      </c>
      <c r="C401" s="6" t="s">
        <v>1416</v>
      </c>
      <c r="D401" s="6" t="str">
        <f>_xlfn.IFNA(IF(VLOOKUP(tabListaItens[[#This Row],[CÓDIGO]],tabExcluirDoEstoque[#Data],1,FALSE),"sim",""),"")</f>
        <v/>
      </c>
      <c r="E401" s="6" t="str">
        <f>"*"</f>
        <v>*</v>
      </c>
    </row>
    <row r="402" spans="1:5" x14ac:dyDescent="0.25">
      <c r="A402" s="8">
        <v>33609</v>
      </c>
      <c r="B402" s="5" t="s">
        <v>126</v>
      </c>
      <c r="C402" s="6" t="s">
        <v>1405</v>
      </c>
      <c r="D402" s="6" t="str">
        <f>_xlfn.IFNA(IF(VLOOKUP(tabListaItens[[#This Row],[CÓDIGO]],tabExcluirDoEstoque[#Data],1,FALSE),"sim",""),"")</f>
        <v/>
      </c>
      <c r="E402" s="6" t="str">
        <f>"*"</f>
        <v>*</v>
      </c>
    </row>
    <row r="403" spans="1:5" x14ac:dyDescent="0.25">
      <c r="A403" s="8">
        <v>33612</v>
      </c>
      <c r="B403" s="5" t="s">
        <v>127</v>
      </c>
      <c r="C403" s="6" t="s">
        <v>1405</v>
      </c>
      <c r="D403" s="6" t="str">
        <f>_xlfn.IFNA(IF(VLOOKUP(tabListaItens[[#This Row],[CÓDIGO]],tabExcluirDoEstoque[#Data],1,FALSE),"sim",""),"")</f>
        <v/>
      </c>
      <c r="E403" s="6" t="str">
        <f>"*"</f>
        <v>*</v>
      </c>
    </row>
    <row r="404" spans="1:5" x14ac:dyDescent="0.25">
      <c r="A404" s="8">
        <v>33623</v>
      </c>
      <c r="B404" s="5" t="s">
        <v>128</v>
      </c>
      <c r="C404" s="6" t="s">
        <v>1405</v>
      </c>
      <c r="D404" s="6" t="str">
        <f>_xlfn.IFNA(IF(VLOOKUP(tabListaItens[[#This Row],[CÓDIGO]],tabExcluirDoEstoque[#Data],1,FALSE),"sim",""),"")</f>
        <v/>
      </c>
      <c r="E404" s="6" t="str">
        <f>"*"</f>
        <v>*</v>
      </c>
    </row>
    <row r="405" spans="1:5" x14ac:dyDescent="0.25">
      <c r="A405" s="8">
        <v>34214</v>
      </c>
      <c r="B405" s="5" t="s">
        <v>234</v>
      </c>
      <c r="C405" s="6" t="s">
        <v>1397</v>
      </c>
      <c r="D405" s="6" t="str">
        <f>_xlfn.IFNA(IF(VLOOKUP(tabListaItens[[#This Row],[CÓDIGO]],tabExcluirDoEstoque[#Data],1,FALSE),"sim",""),"")</f>
        <v/>
      </c>
      <c r="E405" s="6" t="str">
        <f>"*"</f>
        <v>*</v>
      </c>
    </row>
    <row r="406" spans="1:5" x14ac:dyDescent="0.25">
      <c r="A406" s="8">
        <v>34405</v>
      </c>
      <c r="B406" s="5" t="s">
        <v>1234</v>
      </c>
      <c r="C406" s="6" t="s">
        <v>1397</v>
      </c>
      <c r="D406" s="6" t="str">
        <f>_xlfn.IFNA(IF(VLOOKUP(tabListaItens[[#This Row],[CÓDIGO]],tabExcluirDoEstoque[#Data],1,FALSE),"sim",""),"")</f>
        <v>sim</v>
      </c>
      <c r="E406" s="6" t="str">
        <f>"*"</f>
        <v>*</v>
      </c>
    </row>
    <row r="407" spans="1:5" x14ac:dyDescent="0.25">
      <c r="A407" s="8">
        <v>34801</v>
      </c>
      <c r="B407" s="5" t="s">
        <v>53</v>
      </c>
      <c r="C407" s="6" t="s">
        <v>1397</v>
      </c>
      <c r="D407" s="6" t="str">
        <f>_xlfn.IFNA(IF(VLOOKUP(tabListaItens[[#This Row],[CÓDIGO]],tabExcluirDoEstoque[#Data],1,FALSE),"sim",""),"")</f>
        <v/>
      </c>
      <c r="E407" s="6" t="str">
        <f>"*"</f>
        <v>*</v>
      </c>
    </row>
    <row r="408" spans="1:5" x14ac:dyDescent="0.25">
      <c r="A408" s="8">
        <v>35224</v>
      </c>
      <c r="B408" s="5" t="s">
        <v>795</v>
      </c>
      <c r="C408" s="6" t="s">
        <v>1397</v>
      </c>
      <c r="D408" s="6" t="str">
        <f>_xlfn.IFNA(IF(VLOOKUP(tabListaItens[[#This Row],[CÓDIGO]],tabExcluirDoEstoque[#Data],1,FALSE),"sim",""),"")</f>
        <v/>
      </c>
      <c r="E408" s="6" t="str">
        <f>"*"</f>
        <v>*</v>
      </c>
    </row>
    <row r="409" spans="1:5" x14ac:dyDescent="0.25">
      <c r="A409" s="8">
        <v>35227</v>
      </c>
      <c r="B409" s="5" t="s">
        <v>599</v>
      </c>
      <c r="C409" s="6" t="s">
        <v>1397</v>
      </c>
      <c r="D409" s="6" t="str">
        <f>_xlfn.IFNA(IF(VLOOKUP(tabListaItens[[#This Row],[CÓDIGO]],tabExcluirDoEstoque[#Data],1,FALSE),"sim",""),"")</f>
        <v/>
      </c>
      <c r="E409" s="6" t="str">
        <f>"*"</f>
        <v>*</v>
      </c>
    </row>
    <row r="410" spans="1:5" x14ac:dyDescent="0.25">
      <c r="A410" s="8">
        <v>35238</v>
      </c>
      <c r="B410" s="5" t="s">
        <v>470</v>
      </c>
      <c r="C410" s="6" t="s">
        <v>1397</v>
      </c>
      <c r="D410" s="6" t="str">
        <f>_xlfn.IFNA(IF(VLOOKUP(tabListaItens[[#This Row],[CÓDIGO]],tabExcluirDoEstoque[#Data],1,FALSE),"sim",""),"")</f>
        <v>sim</v>
      </c>
      <c r="E410" s="6" t="str">
        <f>"*"</f>
        <v>*</v>
      </c>
    </row>
    <row r="411" spans="1:5" x14ac:dyDescent="0.25">
      <c r="A411" s="8">
        <v>35256</v>
      </c>
      <c r="B411" s="5" t="s">
        <v>280</v>
      </c>
      <c r="C411" s="6" t="s">
        <v>1409</v>
      </c>
      <c r="D411" s="6" t="str">
        <f>_xlfn.IFNA(IF(VLOOKUP(tabListaItens[[#This Row],[CÓDIGO]],tabExcluirDoEstoque[#Data],1,FALSE),"sim",""),"")</f>
        <v/>
      </c>
      <c r="E411" s="6" t="str">
        <f>"*"</f>
        <v>*</v>
      </c>
    </row>
    <row r="412" spans="1:5" x14ac:dyDescent="0.25">
      <c r="A412" s="8">
        <v>35331</v>
      </c>
      <c r="B412" s="5" t="s">
        <v>600</v>
      </c>
      <c r="C412" s="6" t="s">
        <v>1412</v>
      </c>
      <c r="D412" s="6" t="str">
        <f>_xlfn.IFNA(IF(VLOOKUP(tabListaItens[[#This Row],[CÓDIGO]],tabExcluirDoEstoque[#Data],1,FALSE),"sim",""),"")</f>
        <v>sim</v>
      </c>
      <c r="E412" s="6" t="str">
        <f>"*"</f>
        <v>*</v>
      </c>
    </row>
    <row r="413" spans="1:5" x14ac:dyDescent="0.25">
      <c r="A413" s="8">
        <v>35359</v>
      </c>
      <c r="B413" s="5" t="s">
        <v>1235</v>
      </c>
      <c r="C413" s="6" t="s">
        <v>1412</v>
      </c>
      <c r="D413" s="6" t="str">
        <f>_xlfn.IFNA(IF(VLOOKUP(tabListaItens[[#This Row],[CÓDIGO]],tabExcluirDoEstoque[#Data],1,FALSE),"sim",""),"")</f>
        <v>sim</v>
      </c>
      <c r="E413" s="6" t="str">
        <f>"*"</f>
        <v>*</v>
      </c>
    </row>
    <row r="414" spans="1:5" x14ac:dyDescent="0.25">
      <c r="A414" s="8">
        <v>35550</v>
      </c>
      <c r="B414" s="5" t="s">
        <v>572</v>
      </c>
      <c r="C414" s="6" t="s">
        <v>1416</v>
      </c>
      <c r="D414" s="6" t="str">
        <f>_xlfn.IFNA(IF(VLOOKUP(tabListaItens[[#This Row],[CÓDIGO]],tabExcluirDoEstoque[#Data],1,FALSE),"sim",""),"")</f>
        <v/>
      </c>
      <c r="E414" s="6" t="str">
        <f>"*"</f>
        <v>*</v>
      </c>
    </row>
    <row r="415" spans="1:5" x14ac:dyDescent="0.25">
      <c r="A415" s="8">
        <v>35554</v>
      </c>
      <c r="B415" s="5" t="s">
        <v>571</v>
      </c>
      <c r="C415" s="6" t="s">
        <v>1416</v>
      </c>
      <c r="D415" s="6" t="str">
        <f>_xlfn.IFNA(IF(VLOOKUP(tabListaItens[[#This Row],[CÓDIGO]],tabExcluirDoEstoque[#Data],1,FALSE),"sim",""),"")</f>
        <v/>
      </c>
      <c r="E415" s="6" t="str">
        <f>"*"</f>
        <v>*</v>
      </c>
    </row>
    <row r="416" spans="1:5" x14ac:dyDescent="0.25">
      <c r="A416" s="8">
        <v>35555</v>
      </c>
      <c r="B416" s="5" t="s">
        <v>570</v>
      </c>
      <c r="C416" s="6" t="s">
        <v>1416</v>
      </c>
      <c r="D416" s="6" t="str">
        <f>_xlfn.IFNA(IF(VLOOKUP(tabListaItens[[#This Row],[CÓDIGO]],tabExcluirDoEstoque[#Data],1,FALSE),"sim",""),"")</f>
        <v/>
      </c>
      <c r="E416" s="6" t="str">
        <f>"*"</f>
        <v>*</v>
      </c>
    </row>
    <row r="417" spans="1:5" x14ac:dyDescent="0.25">
      <c r="A417" s="8">
        <v>36011</v>
      </c>
      <c r="B417" s="5" t="s">
        <v>925</v>
      </c>
      <c r="C417" s="6" t="s">
        <v>1403</v>
      </c>
      <c r="D417" s="6" t="str">
        <f>_xlfn.IFNA(IF(VLOOKUP(tabListaItens[[#This Row],[CÓDIGO]],tabExcluirDoEstoque[#Data],1,FALSE),"sim",""),"")</f>
        <v>sim</v>
      </c>
      <c r="E417" s="6" t="str">
        <f>"*"</f>
        <v>*</v>
      </c>
    </row>
    <row r="418" spans="1:5" x14ac:dyDescent="0.25">
      <c r="A418" s="8">
        <v>36031</v>
      </c>
      <c r="B418" s="5" t="s">
        <v>769</v>
      </c>
      <c r="C418" s="6" t="s">
        <v>1425</v>
      </c>
      <c r="D418" s="6" t="str">
        <f>_xlfn.IFNA(IF(VLOOKUP(tabListaItens[[#This Row],[CÓDIGO]],tabExcluirDoEstoque[#Data],1,FALSE),"sim",""),"")</f>
        <v/>
      </c>
      <c r="E418" s="6" t="str">
        <f>"*"</f>
        <v>*</v>
      </c>
    </row>
    <row r="419" spans="1:5" x14ac:dyDescent="0.25">
      <c r="A419" s="8">
        <v>36033</v>
      </c>
      <c r="B419" s="5" t="s">
        <v>1236</v>
      </c>
      <c r="C419" s="6" t="s">
        <v>1413</v>
      </c>
      <c r="D419" s="6" t="str">
        <f>_xlfn.IFNA(IF(VLOOKUP(tabListaItens[[#This Row],[CÓDIGO]],tabExcluirDoEstoque[#Data],1,FALSE),"sim",""),"")</f>
        <v>sim</v>
      </c>
      <c r="E419" s="6" t="str">
        <f>"*"</f>
        <v>*</v>
      </c>
    </row>
    <row r="420" spans="1:5" x14ac:dyDescent="0.25">
      <c r="A420" s="8">
        <v>36107</v>
      </c>
      <c r="B420" s="5" t="s">
        <v>1237</v>
      </c>
      <c r="C420" s="6" t="s">
        <v>1397</v>
      </c>
      <c r="D420" s="6" t="str">
        <f>_xlfn.IFNA(IF(VLOOKUP(tabListaItens[[#This Row],[CÓDIGO]],tabExcluirDoEstoque[#Data],1,FALSE),"sim",""),"")</f>
        <v>sim</v>
      </c>
      <c r="E420" s="6" t="str">
        <f>"*"</f>
        <v>*</v>
      </c>
    </row>
    <row r="421" spans="1:5" x14ac:dyDescent="0.25">
      <c r="A421" s="8">
        <v>36399</v>
      </c>
      <c r="B421" s="5" t="s">
        <v>823</v>
      </c>
      <c r="C421" s="6" t="s">
        <v>1397</v>
      </c>
      <c r="D421" s="6" t="str">
        <f>_xlfn.IFNA(IF(VLOOKUP(tabListaItens[[#This Row],[CÓDIGO]],tabExcluirDoEstoque[#Data],1,FALSE),"sim",""),"")</f>
        <v/>
      </c>
      <c r="E421" s="6" t="str">
        <f>"*"</f>
        <v>*</v>
      </c>
    </row>
    <row r="422" spans="1:5" x14ac:dyDescent="0.25">
      <c r="A422" s="8">
        <v>36400</v>
      </c>
      <c r="B422" s="5" t="s">
        <v>824</v>
      </c>
      <c r="C422" s="6" t="s">
        <v>1397</v>
      </c>
      <c r="D422" s="6" t="str">
        <f>_xlfn.IFNA(IF(VLOOKUP(tabListaItens[[#This Row],[CÓDIGO]],tabExcluirDoEstoque[#Data],1,FALSE),"sim",""),"")</f>
        <v>sim</v>
      </c>
      <c r="E422" s="6" t="str">
        <f>"*"</f>
        <v>*</v>
      </c>
    </row>
    <row r="423" spans="1:5" x14ac:dyDescent="0.25">
      <c r="A423" s="8">
        <v>37518</v>
      </c>
      <c r="B423" s="5" t="s">
        <v>831</v>
      </c>
      <c r="C423" s="6" t="s">
        <v>1397</v>
      </c>
      <c r="D423" s="6" t="str">
        <f>_xlfn.IFNA(IF(VLOOKUP(tabListaItens[[#This Row],[CÓDIGO]],tabExcluirDoEstoque[#Data],1,FALSE),"sim",""),"")</f>
        <v/>
      </c>
      <c r="E423" s="6" t="str">
        <f>"*"</f>
        <v>*</v>
      </c>
    </row>
    <row r="424" spans="1:5" x14ac:dyDescent="0.25">
      <c r="A424" s="8">
        <v>37519</v>
      </c>
      <c r="B424" s="5" t="s">
        <v>830</v>
      </c>
      <c r="C424" s="6" t="s">
        <v>1397</v>
      </c>
      <c r="D424" s="6" t="str">
        <f>_xlfn.IFNA(IF(VLOOKUP(tabListaItens[[#This Row],[CÓDIGO]],tabExcluirDoEstoque[#Data],1,FALSE),"sim",""),"")</f>
        <v/>
      </c>
      <c r="E424" s="6" t="str">
        <f>"*"</f>
        <v>*</v>
      </c>
    </row>
    <row r="425" spans="1:5" x14ac:dyDescent="0.25">
      <c r="A425" s="8">
        <v>37528</v>
      </c>
      <c r="B425" s="5" t="s">
        <v>693</v>
      </c>
      <c r="C425" s="6" t="s">
        <v>1397</v>
      </c>
      <c r="D425" s="6" t="str">
        <f>_xlfn.IFNA(IF(VLOOKUP(tabListaItens[[#This Row],[CÓDIGO]],tabExcluirDoEstoque[#Data],1,FALSE),"sim",""),"")</f>
        <v/>
      </c>
      <c r="E425" s="6" t="str">
        <f>"*"</f>
        <v>*</v>
      </c>
    </row>
    <row r="426" spans="1:5" x14ac:dyDescent="0.25">
      <c r="A426" s="8">
        <v>37847</v>
      </c>
      <c r="B426" s="5" t="s">
        <v>1039</v>
      </c>
      <c r="C426" s="6"/>
      <c r="D426" s="6" t="str">
        <f>_xlfn.IFNA(IF(VLOOKUP(tabListaItens[[#This Row],[CÓDIGO]],tabExcluirDoEstoque[#Data],1,FALSE),"sim",""),"")</f>
        <v>sim</v>
      </c>
      <c r="E426" s="6" t="str">
        <f>"*"</f>
        <v>*</v>
      </c>
    </row>
    <row r="427" spans="1:5" x14ac:dyDescent="0.25">
      <c r="A427" s="8">
        <v>38079</v>
      </c>
      <c r="B427" s="5" t="s">
        <v>1238</v>
      </c>
      <c r="C427" s="6" t="s">
        <v>1397</v>
      </c>
      <c r="D427" s="6" t="str">
        <f>_xlfn.IFNA(IF(VLOOKUP(tabListaItens[[#This Row],[CÓDIGO]],tabExcluirDoEstoque[#Data],1,FALSE),"sim",""),"")</f>
        <v>sim</v>
      </c>
      <c r="E427" s="6" t="str">
        <f>"*"</f>
        <v>*</v>
      </c>
    </row>
    <row r="428" spans="1:5" x14ac:dyDescent="0.25">
      <c r="A428" s="8">
        <v>38534</v>
      </c>
      <c r="B428" s="5" t="s">
        <v>367</v>
      </c>
      <c r="C428" s="6" t="s">
        <v>1397</v>
      </c>
      <c r="D428" s="6" t="str">
        <f>_xlfn.IFNA(IF(VLOOKUP(tabListaItens[[#This Row],[CÓDIGO]],tabExcluirDoEstoque[#Data],1,FALSE),"sim",""),"")</f>
        <v/>
      </c>
      <c r="E428" s="6" t="str">
        <f>"*"</f>
        <v>*</v>
      </c>
    </row>
    <row r="429" spans="1:5" x14ac:dyDescent="0.25">
      <c r="A429" s="8">
        <v>38648</v>
      </c>
      <c r="B429" s="5" t="s">
        <v>190</v>
      </c>
      <c r="C429" s="6" t="s">
        <v>1413</v>
      </c>
      <c r="D429" s="6" t="str">
        <f>_xlfn.IFNA(IF(VLOOKUP(tabListaItens[[#This Row],[CÓDIGO]],tabExcluirDoEstoque[#Data],1,FALSE),"sim",""),"")</f>
        <v/>
      </c>
      <c r="E429" s="6" t="str">
        <f>"*"</f>
        <v>*</v>
      </c>
    </row>
    <row r="430" spans="1:5" x14ac:dyDescent="0.25">
      <c r="A430" s="8">
        <v>38930</v>
      </c>
      <c r="B430" s="5" t="s">
        <v>764</v>
      </c>
      <c r="C430" s="6" t="s">
        <v>1397</v>
      </c>
      <c r="D430" s="6" t="str">
        <f>_xlfn.IFNA(IF(VLOOKUP(tabListaItens[[#This Row],[CÓDIGO]],tabExcluirDoEstoque[#Data],1,FALSE),"sim",""),"")</f>
        <v/>
      </c>
      <c r="E430" s="6" t="str">
        <f>"*"</f>
        <v>*</v>
      </c>
    </row>
    <row r="431" spans="1:5" x14ac:dyDescent="0.25">
      <c r="A431" s="8">
        <v>39378</v>
      </c>
      <c r="B431" s="5" t="s">
        <v>513</v>
      </c>
      <c r="C431" s="6" t="s">
        <v>1397</v>
      </c>
      <c r="D431" s="6" t="str">
        <f>_xlfn.IFNA(IF(VLOOKUP(tabListaItens[[#This Row],[CÓDIGO]],tabExcluirDoEstoque[#Data],1,FALSE),"sim",""),"")</f>
        <v/>
      </c>
      <c r="E431" s="6" t="str">
        <f>"*"</f>
        <v>*</v>
      </c>
    </row>
    <row r="432" spans="1:5" x14ac:dyDescent="0.25">
      <c r="A432" s="8">
        <v>39982</v>
      </c>
      <c r="B432" s="5" t="s">
        <v>1239</v>
      </c>
      <c r="C432" s="6" t="s">
        <v>1397</v>
      </c>
      <c r="D432" s="6" t="str">
        <f>_xlfn.IFNA(IF(VLOOKUP(tabListaItens[[#This Row],[CÓDIGO]],tabExcluirDoEstoque[#Data],1,FALSE),"sim",""),"")</f>
        <v>sim</v>
      </c>
      <c r="E432" s="6" t="str">
        <f>"*"</f>
        <v>*</v>
      </c>
    </row>
    <row r="433" spans="1:5" x14ac:dyDescent="0.25">
      <c r="A433" s="8">
        <v>40086</v>
      </c>
      <c r="B433" s="5" t="s">
        <v>880</v>
      </c>
      <c r="C433" s="6" t="s">
        <v>1397</v>
      </c>
      <c r="D433" s="6" t="str">
        <f>_xlfn.IFNA(IF(VLOOKUP(tabListaItens[[#This Row],[CÓDIGO]],tabExcluirDoEstoque[#Data],1,FALSE),"sim",""),"")</f>
        <v/>
      </c>
      <c r="E433" s="6" t="str">
        <f>"*"</f>
        <v>*</v>
      </c>
    </row>
    <row r="434" spans="1:5" x14ac:dyDescent="0.25">
      <c r="A434" s="8">
        <v>40251</v>
      </c>
      <c r="B434" s="5" t="s">
        <v>390</v>
      </c>
      <c r="C434" s="6" t="s">
        <v>1397</v>
      </c>
      <c r="D434" s="6" t="str">
        <f>_xlfn.IFNA(IF(VLOOKUP(tabListaItens[[#This Row],[CÓDIGO]],tabExcluirDoEstoque[#Data],1,FALSE),"sim",""),"")</f>
        <v/>
      </c>
      <c r="E434" s="6" t="str">
        <f>"*"</f>
        <v>*</v>
      </c>
    </row>
    <row r="435" spans="1:5" x14ac:dyDescent="0.25">
      <c r="A435" s="8">
        <v>40685</v>
      </c>
      <c r="B435" s="5" t="s">
        <v>54</v>
      </c>
      <c r="C435" s="6" t="s">
        <v>1413</v>
      </c>
      <c r="D435" s="6" t="str">
        <f>_xlfn.IFNA(IF(VLOOKUP(tabListaItens[[#This Row],[CÓDIGO]],tabExcluirDoEstoque[#Data],1,FALSE),"sim",""),"")</f>
        <v>sim</v>
      </c>
      <c r="E435" s="6" t="str">
        <f>"*"</f>
        <v>*</v>
      </c>
    </row>
    <row r="436" spans="1:5" x14ac:dyDescent="0.25">
      <c r="A436" s="8">
        <v>40688</v>
      </c>
      <c r="B436" s="5" t="s">
        <v>1240</v>
      </c>
      <c r="C436" s="6" t="s">
        <v>1397</v>
      </c>
      <c r="D436" s="6" t="str">
        <f>_xlfn.IFNA(IF(VLOOKUP(tabListaItens[[#This Row],[CÓDIGO]],tabExcluirDoEstoque[#Data],1,FALSE),"sim",""),"")</f>
        <v>sim</v>
      </c>
      <c r="E436" s="6" t="str">
        <f>"*"</f>
        <v>*</v>
      </c>
    </row>
    <row r="437" spans="1:5" x14ac:dyDescent="0.25">
      <c r="A437" s="8">
        <v>40689</v>
      </c>
      <c r="B437" s="5" t="s">
        <v>1241</v>
      </c>
      <c r="C437" s="6" t="s">
        <v>1397</v>
      </c>
      <c r="D437" s="6" t="str">
        <f>_xlfn.IFNA(IF(VLOOKUP(tabListaItens[[#This Row],[CÓDIGO]],tabExcluirDoEstoque[#Data],1,FALSE),"sim",""),"")</f>
        <v>sim</v>
      </c>
      <c r="E437" s="6" t="str">
        <f>"*"</f>
        <v>*</v>
      </c>
    </row>
    <row r="438" spans="1:5" x14ac:dyDescent="0.25">
      <c r="A438" s="8">
        <v>40772</v>
      </c>
      <c r="B438" s="5" t="s">
        <v>595</v>
      </c>
      <c r="C438" s="6" t="s">
        <v>1397</v>
      </c>
      <c r="D438" s="6" t="str">
        <f>_xlfn.IFNA(IF(VLOOKUP(tabListaItens[[#This Row],[CÓDIGO]],tabExcluirDoEstoque[#Data],1,FALSE),"sim",""),"")</f>
        <v/>
      </c>
      <c r="E438" s="6" t="str">
        <f>"*"</f>
        <v>*</v>
      </c>
    </row>
    <row r="439" spans="1:5" x14ac:dyDescent="0.25">
      <c r="A439" s="8">
        <v>42566</v>
      </c>
      <c r="B439" s="5" t="s">
        <v>490</v>
      </c>
      <c r="C439" s="6" t="s">
        <v>1404</v>
      </c>
      <c r="D439" s="6" t="str">
        <f>_xlfn.IFNA(IF(VLOOKUP(tabListaItens[[#This Row],[CÓDIGO]],tabExcluirDoEstoque[#Data],1,FALSE),"sim",""),"")</f>
        <v/>
      </c>
      <c r="E439" s="6" t="str">
        <f>"*"</f>
        <v>*</v>
      </c>
    </row>
    <row r="440" spans="1:5" x14ac:dyDescent="0.25">
      <c r="A440" s="8">
        <v>42681</v>
      </c>
      <c r="B440" s="5" t="s">
        <v>469</v>
      </c>
      <c r="C440" s="6" t="s">
        <v>1397</v>
      </c>
      <c r="D440" s="6" t="str">
        <f>_xlfn.IFNA(IF(VLOOKUP(tabListaItens[[#This Row],[CÓDIGO]],tabExcluirDoEstoque[#Data],1,FALSE),"sim",""),"")</f>
        <v>sim</v>
      </c>
      <c r="E440" s="6" t="str">
        <f>"*"</f>
        <v>*</v>
      </c>
    </row>
    <row r="441" spans="1:5" x14ac:dyDescent="0.25">
      <c r="A441" s="8">
        <v>42854</v>
      </c>
      <c r="B441" s="5" t="s">
        <v>981</v>
      </c>
      <c r="C441" s="6" t="s">
        <v>1397</v>
      </c>
      <c r="D441" s="6" t="str">
        <f>_xlfn.IFNA(IF(VLOOKUP(tabListaItens[[#This Row],[CÓDIGO]],tabExcluirDoEstoque[#Data],1,FALSE),"sim",""),"")</f>
        <v/>
      </c>
      <c r="E441" s="6" t="str">
        <f>"*"</f>
        <v>*</v>
      </c>
    </row>
    <row r="442" spans="1:5" x14ac:dyDescent="0.25">
      <c r="A442" s="8">
        <v>43648</v>
      </c>
      <c r="B442" s="5" t="s">
        <v>998</v>
      </c>
      <c r="C442" s="6" t="s">
        <v>1397</v>
      </c>
      <c r="D442" s="6" t="str">
        <f>_xlfn.IFNA(IF(VLOOKUP(tabListaItens[[#This Row],[CÓDIGO]],tabExcluirDoEstoque[#Data],1,FALSE),"sim",""),"")</f>
        <v>sim</v>
      </c>
      <c r="E442" s="6" t="str">
        <f>"*"</f>
        <v>*</v>
      </c>
    </row>
    <row r="443" spans="1:5" x14ac:dyDescent="0.25">
      <c r="A443" s="8">
        <v>43794</v>
      </c>
      <c r="B443" s="5" t="s">
        <v>1242</v>
      </c>
      <c r="C443" s="6" t="s">
        <v>1397</v>
      </c>
      <c r="D443" s="6" t="str">
        <f>_xlfn.IFNA(IF(VLOOKUP(tabListaItens[[#This Row],[CÓDIGO]],tabExcluirDoEstoque[#Data],1,FALSE),"sim",""),"")</f>
        <v>sim</v>
      </c>
      <c r="E443" s="6" t="str">
        <f>"*"</f>
        <v>*</v>
      </c>
    </row>
    <row r="444" spans="1:5" x14ac:dyDescent="0.25">
      <c r="A444" s="8">
        <v>44398</v>
      </c>
      <c r="B444" s="5" t="s">
        <v>956</v>
      </c>
      <c r="C444" s="6" t="s">
        <v>1409</v>
      </c>
      <c r="D444" s="6" t="str">
        <f>_xlfn.IFNA(IF(VLOOKUP(tabListaItens[[#This Row],[CÓDIGO]],tabExcluirDoEstoque[#Data],1,FALSE),"sim",""),"")</f>
        <v/>
      </c>
      <c r="E444" s="6" t="str">
        <f>"*"</f>
        <v>*</v>
      </c>
    </row>
    <row r="445" spans="1:5" x14ac:dyDescent="0.25">
      <c r="A445" s="8">
        <v>44789</v>
      </c>
      <c r="B445" s="5" t="s">
        <v>605</v>
      </c>
      <c r="C445" s="6" t="s">
        <v>1397</v>
      </c>
      <c r="D445" s="6" t="str">
        <f>_xlfn.IFNA(IF(VLOOKUP(tabListaItens[[#This Row],[CÓDIGO]],tabExcluirDoEstoque[#Data],1,FALSE),"sim",""),"")</f>
        <v/>
      </c>
      <c r="E445" s="6" t="str">
        <f>"*"</f>
        <v>*</v>
      </c>
    </row>
    <row r="446" spans="1:5" x14ac:dyDescent="0.25">
      <c r="A446" s="8">
        <v>45067</v>
      </c>
      <c r="B446" s="5" t="s">
        <v>1243</v>
      </c>
      <c r="C446" s="6" t="s">
        <v>1413</v>
      </c>
      <c r="D446" s="6" t="str">
        <f>_xlfn.IFNA(IF(VLOOKUP(tabListaItens[[#This Row],[CÓDIGO]],tabExcluirDoEstoque[#Data],1,FALSE),"sim",""),"")</f>
        <v>sim</v>
      </c>
      <c r="E446" s="6" t="str">
        <f>"*"</f>
        <v>*</v>
      </c>
    </row>
    <row r="447" spans="1:5" x14ac:dyDescent="0.25">
      <c r="A447" s="8">
        <v>45111</v>
      </c>
      <c r="B447" s="5" t="s">
        <v>1244</v>
      </c>
      <c r="C447" s="6" t="s">
        <v>1397</v>
      </c>
      <c r="D447" s="6" t="str">
        <f>_xlfn.IFNA(IF(VLOOKUP(tabListaItens[[#This Row],[CÓDIGO]],tabExcluirDoEstoque[#Data],1,FALSE),"sim",""),"")</f>
        <v>sim</v>
      </c>
      <c r="E447" s="6" t="str">
        <f>"*"</f>
        <v>*</v>
      </c>
    </row>
    <row r="448" spans="1:5" x14ac:dyDescent="0.25">
      <c r="A448" s="8">
        <v>45195</v>
      </c>
      <c r="B448" s="5" t="s">
        <v>1138</v>
      </c>
      <c r="C448" s="6" t="s">
        <v>1404</v>
      </c>
      <c r="D448" s="6" t="str">
        <f>_xlfn.IFNA(IF(VLOOKUP(tabListaItens[[#This Row],[CÓDIGO]],tabExcluirDoEstoque[#Data],1,FALSE),"sim",""),"")</f>
        <v>sim</v>
      </c>
      <c r="E448" s="6" t="str">
        <f>"*"</f>
        <v>*</v>
      </c>
    </row>
    <row r="449" spans="1:5" x14ac:dyDescent="0.25">
      <c r="A449" s="8">
        <v>45607</v>
      </c>
      <c r="B449" s="5" t="s">
        <v>969</v>
      </c>
      <c r="C449" s="6" t="s">
        <v>1397</v>
      </c>
      <c r="D449" s="6" t="str">
        <f>_xlfn.IFNA(IF(VLOOKUP(tabListaItens[[#This Row],[CÓDIGO]],tabExcluirDoEstoque[#Data],1,FALSE),"sim",""),"")</f>
        <v/>
      </c>
      <c r="E449" s="6" t="str">
        <f>"*"</f>
        <v>*</v>
      </c>
    </row>
    <row r="450" spans="1:5" x14ac:dyDescent="0.25">
      <c r="A450" s="8">
        <v>45637</v>
      </c>
      <c r="B450" s="5" t="s">
        <v>318</v>
      </c>
      <c r="C450" s="6" t="s">
        <v>1397</v>
      </c>
      <c r="D450" s="6" t="str">
        <f>_xlfn.IFNA(IF(VLOOKUP(tabListaItens[[#This Row],[CÓDIGO]],tabExcluirDoEstoque[#Data],1,FALSE),"sim",""),"")</f>
        <v/>
      </c>
      <c r="E450" s="6" t="str">
        <f>"*"</f>
        <v>*</v>
      </c>
    </row>
    <row r="451" spans="1:5" x14ac:dyDescent="0.25">
      <c r="A451" s="8">
        <v>45651</v>
      </c>
      <c r="B451" s="5" t="s">
        <v>1068</v>
      </c>
      <c r="C451" s="6" t="s">
        <v>1397</v>
      </c>
      <c r="D451" s="6" t="str">
        <f>_xlfn.IFNA(IF(VLOOKUP(tabListaItens[[#This Row],[CÓDIGO]],tabExcluirDoEstoque[#Data],1,FALSE),"sim",""),"")</f>
        <v>sim</v>
      </c>
      <c r="E451" s="6" t="str">
        <f>"*"</f>
        <v>*</v>
      </c>
    </row>
    <row r="452" spans="1:5" x14ac:dyDescent="0.25">
      <c r="A452" s="8">
        <v>46420</v>
      </c>
      <c r="B452" s="5" t="s">
        <v>448</v>
      </c>
      <c r="C452" s="6" t="s">
        <v>1397</v>
      </c>
      <c r="D452" s="6" t="str">
        <f>_xlfn.IFNA(IF(VLOOKUP(tabListaItens[[#This Row],[CÓDIGO]],tabExcluirDoEstoque[#Data],1,FALSE),"sim",""),"")</f>
        <v/>
      </c>
      <c r="E452" s="6" t="str">
        <f>"*"</f>
        <v>*</v>
      </c>
    </row>
    <row r="453" spans="1:5" x14ac:dyDescent="0.25">
      <c r="A453" s="8">
        <v>47447</v>
      </c>
      <c r="B453" s="5" t="s">
        <v>295</v>
      </c>
      <c r="C453" s="6" t="s">
        <v>1416</v>
      </c>
      <c r="D453" s="6" t="str">
        <f>_xlfn.IFNA(IF(VLOOKUP(tabListaItens[[#This Row],[CÓDIGO]],tabExcluirDoEstoque[#Data],1,FALSE),"sim",""),"")</f>
        <v/>
      </c>
      <c r="E453" s="6" t="str">
        <f>"*"</f>
        <v>*</v>
      </c>
    </row>
    <row r="454" spans="1:5" x14ac:dyDescent="0.25">
      <c r="A454" s="8">
        <v>48178</v>
      </c>
      <c r="B454" s="5" t="s">
        <v>1014</v>
      </c>
      <c r="C454" s="6" t="s">
        <v>1397</v>
      </c>
      <c r="D454" s="6" t="str">
        <f>_xlfn.IFNA(IF(VLOOKUP(tabListaItens[[#This Row],[CÓDIGO]],tabExcluirDoEstoque[#Data],1,FALSE),"sim",""),"")</f>
        <v>sim</v>
      </c>
      <c r="E454" s="6" t="str">
        <f>"*"</f>
        <v>*</v>
      </c>
    </row>
    <row r="455" spans="1:5" x14ac:dyDescent="0.25">
      <c r="A455" s="8">
        <v>48714</v>
      </c>
      <c r="B455" s="5" t="s">
        <v>1041</v>
      </c>
      <c r="C455" s="6" t="s">
        <v>1397</v>
      </c>
      <c r="D455" s="6" t="str">
        <f>_xlfn.IFNA(IF(VLOOKUP(tabListaItens[[#This Row],[CÓDIGO]],tabExcluirDoEstoque[#Data],1,FALSE),"sim",""),"")</f>
        <v>sim</v>
      </c>
      <c r="E455" s="6" t="str">
        <f>"*"</f>
        <v>*</v>
      </c>
    </row>
    <row r="456" spans="1:5" x14ac:dyDescent="0.25">
      <c r="A456" s="8">
        <v>48901</v>
      </c>
      <c r="B456" s="5" t="s">
        <v>711</v>
      </c>
      <c r="C456" s="6" t="s">
        <v>1397</v>
      </c>
      <c r="D456" s="6" t="str">
        <f>_xlfn.IFNA(IF(VLOOKUP(tabListaItens[[#This Row],[CÓDIGO]],tabExcluirDoEstoque[#Data],1,FALSE),"sim",""),"")</f>
        <v/>
      </c>
      <c r="E456" s="6" t="str">
        <f>"*"</f>
        <v>*</v>
      </c>
    </row>
    <row r="457" spans="1:5" x14ac:dyDescent="0.25">
      <c r="A457" s="8">
        <v>49033</v>
      </c>
      <c r="B457" s="5" t="s">
        <v>493</v>
      </c>
      <c r="C457" s="6" t="s">
        <v>1397</v>
      </c>
      <c r="D457" s="6" t="str">
        <f>_xlfn.IFNA(IF(VLOOKUP(tabListaItens[[#This Row],[CÓDIGO]],tabExcluirDoEstoque[#Data],1,FALSE),"sim",""),"")</f>
        <v/>
      </c>
      <c r="E457" s="6" t="str">
        <f>"*"</f>
        <v>*</v>
      </c>
    </row>
    <row r="458" spans="1:5" x14ac:dyDescent="0.25">
      <c r="A458" s="8">
        <v>49099</v>
      </c>
      <c r="B458" s="5" t="s">
        <v>1120</v>
      </c>
      <c r="C458" s="6" t="s">
        <v>1405</v>
      </c>
      <c r="D458" s="6" t="str">
        <f>_xlfn.IFNA(IF(VLOOKUP(tabListaItens[[#This Row],[CÓDIGO]],tabExcluirDoEstoque[#Data],1,FALSE),"sim",""),"")</f>
        <v>sim</v>
      </c>
      <c r="E458" s="6" t="str">
        <f>"*"</f>
        <v>*</v>
      </c>
    </row>
    <row r="459" spans="1:5" x14ac:dyDescent="0.25">
      <c r="A459" s="8">
        <v>49184</v>
      </c>
      <c r="B459" s="5" t="s">
        <v>1245</v>
      </c>
      <c r="C459" s="6" t="s">
        <v>1397</v>
      </c>
      <c r="D459" s="6" t="str">
        <f>_xlfn.IFNA(IF(VLOOKUP(tabListaItens[[#This Row],[CÓDIGO]],tabExcluirDoEstoque[#Data],1,FALSE),"sim",""),"")</f>
        <v>sim</v>
      </c>
      <c r="E459" s="6" t="str">
        <f>"*"</f>
        <v>*</v>
      </c>
    </row>
    <row r="460" spans="1:5" x14ac:dyDescent="0.25">
      <c r="A460" s="8">
        <v>49188</v>
      </c>
      <c r="B460" s="5" t="s">
        <v>1246</v>
      </c>
      <c r="C460" s="6" t="s">
        <v>1397</v>
      </c>
      <c r="D460" s="6" t="str">
        <f>_xlfn.IFNA(IF(VLOOKUP(tabListaItens[[#This Row],[CÓDIGO]],tabExcluirDoEstoque[#Data],1,FALSE),"sim",""),"")</f>
        <v>sim</v>
      </c>
      <c r="E460" s="6" t="str">
        <f>"*"</f>
        <v>*</v>
      </c>
    </row>
    <row r="461" spans="1:5" x14ac:dyDescent="0.25">
      <c r="A461" s="8">
        <v>49254</v>
      </c>
      <c r="B461" s="5" t="s">
        <v>751</v>
      </c>
      <c r="C461" s="6" t="s">
        <v>1413</v>
      </c>
      <c r="D461" s="6" t="str">
        <f>_xlfn.IFNA(IF(VLOOKUP(tabListaItens[[#This Row],[CÓDIGO]],tabExcluirDoEstoque[#Data],1,FALSE),"sim",""),"")</f>
        <v/>
      </c>
      <c r="E461" s="6" t="str">
        <f>"*"</f>
        <v>*</v>
      </c>
    </row>
    <row r="462" spans="1:5" x14ac:dyDescent="0.25">
      <c r="A462" s="8">
        <v>49695</v>
      </c>
      <c r="B462" s="5" t="s">
        <v>613</v>
      </c>
      <c r="C462" s="6" t="s">
        <v>1397</v>
      </c>
      <c r="D462" s="6" t="str">
        <f>_xlfn.IFNA(IF(VLOOKUP(tabListaItens[[#This Row],[CÓDIGO]],tabExcluirDoEstoque[#Data],1,FALSE),"sim",""),"")</f>
        <v/>
      </c>
      <c r="E462" s="6" t="str">
        <f>"*"</f>
        <v>*</v>
      </c>
    </row>
    <row r="463" spans="1:5" x14ac:dyDescent="0.25">
      <c r="A463" s="8">
        <v>49858</v>
      </c>
      <c r="B463" s="5" t="s">
        <v>768</v>
      </c>
      <c r="C463" s="6" t="s">
        <v>1425</v>
      </c>
      <c r="D463" s="6" t="str">
        <f>_xlfn.IFNA(IF(VLOOKUP(tabListaItens[[#This Row],[CÓDIGO]],tabExcluirDoEstoque[#Data],1,FALSE),"sim",""),"")</f>
        <v/>
      </c>
      <c r="E463" s="6" t="str">
        <f>"*"</f>
        <v>*</v>
      </c>
    </row>
    <row r="464" spans="1:5" x14ac:dyDescent="0.25">
      <c r="A464" s="8">
        <v>49864</v>
      </c>
      <c r="B464" s="5" t="s">
        <v>1247</v>
      </c>
      <c r="C464" s="6" t="s">
        <v>1397</v>
      </c>
      <c r="D464" s="6" t="str">
        <f>_xlfn.IFNA(IF(VLOOKUP(tabListaItens[[#This Row],[CÓDIGO]],tabExcluirDoEstoque[#Data],1,FALSE),"sim",""),"")</f>
        <v>sim</v>
      </c>
      <c r="E464" s="6" t="str">
        <f>"*"</f>
        <v>*</v>
      </c>
    </row>
    <row r="465" spans="1:5" x14ac:dyDescent="0.25">
      <c r="A465" s="8">
        <v>49866</v>
      </c>
      <c r="B465" s="5" t="s">
        <v>1073</v>
      </c>
      <c r="C465" s="6" t="s">
        <v>1397</v>
      </c>
      <c r="D465" s="6" t="str">
        <f>_xlfn.IFNA(IF(VLOOKUP(tabListaItens[[#This Row],[CÓDIGO]],tabExcluirDoEstoque[#Data],1,FALSE),"sim",""),"")</f>
        <v>sim</v>
      </c>
      <c r="E465" s="6" t="str">
        <f>"*"</f>
        <v>*</v>
      </c>
    </row>
    <row r="466" spans="1:5" x14ac:dyDescent="0.25">
      <c r="A466" s="8">
        <v>49867</v>
      </c>
      <c r="B466" s="5" t="s">
        <v>1131</v>
      </c>
      <c r="C466" s="6" t="s">
        <v>1397</v>
      </c>
      <c r="D466" s="6" t="str">
        <f>_xlfn.IFNA(IF(VLOOKUP(tabListaItens[[#This Row],[CÓDIGO]],tabExcluirDoEstoque[#Data],1,FALSE),"sim",""),"")</f>
        <v>sim</v>
      </c>
      <c r="E466" s="6" t="str">
        <f>"*"</f>
        <v>*</v>
      </c>
    </row>
    <row r="467" spans="1:5" x14ac:dyDescent="0.25">
      <c r="A467" s="8">
        <v>49984</v>
      </c>
      <c r="B467" s="5" t="s">
        <v>1248</v>
      </c>
      <c r="C467" s="6" t="s">
        <v>1397</v>
      </c>
      <c r="D467" s="6" t="str">
        <f>_xlfn.IFNA(IF(VLOOKUP(tabListaItens[[#This Row],[CÓDIGO]],tabExcluirDoEstoque[#Data],1,FALSE),"sim",""),"")</f>
        <v>sim</v>
      </c>
      <c r="E467" s="6" t="str">
        <f>"*"</f>
        <v>*</v>
      </c>
    </row>
    <row r="468" spans="1:5" x14ac:dyDescent="0.25">
      <c r="A468" s="8">
        <v>49988</v>
      </c>
      <c r="B468" s="5" t="s">
        <v>1248</v>
      </c>
      <c r="C468" s="6" t="s">
        <v>1397</v>
      </c>
      <c r="D468" s="6" t="str">
        <f>_xlfn.IFNA(IF(VLOOKUP(tabListaItens[[#This Row],[CÓDIGO]],tabExcluirDoEstoque[#Data],1,FALSE),"sim",""),"")</f>
        <v>sim</v>
      </c>
      <c r="E468" s="6" t="str">
        <f>"*"</f>
        <v>*</v>
      </c>
    </row>
    <row r="469" spans="1:5" x14ac:dyDescent="0.25">
      <c r="A469" s="8">
        <v>50294</v>
      </c>
      <c r="B469" s="5" t="s">
        <v>1085</v>
      </c>
      <c r="C469" s="6" t="s">
        <v>1397</v>
      </c>
      <c r="D469" s="6" t="str">
        <f>_xlfn.IFNA(IF(VLOOKUP(tabListaItens[[#This Row],[CÓDIGO]],tabExcluirDoEstoque[#Data],1,FALSE),"sim",""),"")</f>
        <v>sim</v>
      </c>
      <c r="E469" s="6" t="str">
        <f>"*"</f>
        <v>*</v>
      </c>
    </row>
    <row r="470" spans="1:5" x14ac:dyDescent="0.25">
      <c r="A470" s="8">
        <v>50475</v>
      </c>
      <c r="B470" s="5" t="s">
        <v>373</v>
      </c>
      <c r="C470" s="6" t="s">
        <v>1397</v>
      </c>
      <c r="D470" s="6" t="str">
        <f>_xlfn.IFNA(IF(VLOOKUP(tabListaItens[[#This Row],[CÓDIGO]],tabExcluirDoEstoque[#Data],1,FALSE),"sim",""),"")</f>
        <v/>
      </c>
      <c r="E470" s="6" t="str">
        <f>"*"</f>
        <v>*</v>
      </c>
    </row>
    <row r="471" spans="1:5" x14ac:dyDescent="0.25">
      <c r="A471" s="8">
        <v>50476</v>
      </c>
      <c r="B471" s="5" t="s">
        <v>1163</v>
      </c>
      <c r="C471" s="6" t="s">
        <v>1397</v>
      </c>
      <c r="D471" s="6" t="str">
        <f>_xlfn.IFNA(IF(VLOOKUP(tabListaItens[[#This Row],[CÓDIGO]],tabExcluirDoEstoque[#Data],1,FALSE),"sim",""),"")</f>
        <v>sim</v>
      </c>
      <c r="E471" s="6" t="str">
        <f>"*"</f>
        <v>*</v>
      </c>
    </row>
    <row r="472" spans="1:5" x14ac:dyDescent="0.25">
      <c r="A472" s="8">
        <v>50591</v>
      </c>
      <c r="B472" s="5" t="s">
        <v>492</v>
      </c>
      <c r="C472" s="6" t="s">
        <v>1397</v>
      </c>
      <c r="D472" s="6" t="str">
        <f>_xlfn.IFNA(IF(VLOOKUP(tabListaItens[[#This Row],[CÓDIGO]],tabExcluirDoEstoque[#Data],1,FALSE),"sim",""),"")</f>
        <v/>
      </c>
      <c r="E472" s="6" t="str">
        <f>"*"</f>
        <v>*</v>
      </c>
    </row>
    <row r="473" spans="1:5" x14ac:dyDescent="0.25">
      <c r="A473" s="8">
        <v>50797</v>
      </c>
      <c r="B473" s="5" t="s">
        <v>322</v>
      </c>
      <c r="C473" s="6" t="s">
        <v>1397</v>
      </c>
      <c r="D473" s="6" t="str">
        <f>_xlfn.IFNA(IF(VLOOKUP(tabListaItens[[#This Row],[CÓDIGO]],tabExcluirDoEstoque[#Data],1,FALSE),"sim",""),"")</f>
        <v/>
      </c>
      <c r="E473" s="6" t="str">
        <f>"*"</f>
        <v>*</v>
      </c>
    </row>
    <row r="474" spans="1:5" x14ac:dyDescent="0.25">
      <c r="A474" s="8">
        <v>51013</v>
      </c>
      <c r="B474" s="5" t="s">
        <v>1249</v>
      </c>
      <c r="C474" s="6" t="s">
        <v>1403</v>
      </c>
      <c r="D474" s="6" t="str">
        <f>_xlfn.IFNA(IF(VLOOKUP(tabListaItens[[#This Row],[CÓDIGO]],tabExcluirDoEstoque[#Data],1,FALSE),"sim",""),"")</f>
        <v>sim</v>
      </c>
      <c r="E474" s="6" t="str">
        <f>"*"</f>
        <v>*</v>
      </c>
    </row>
    <row r="475" spans="1:5" x14ac:dyDescent="0.25">
      <c r="A475" s="8">
        <v>51222</v>
      </c>
      <c r="B475" s="5" t="s">
        <v>585</v>
      </c>
      <c r="C475" s="6" t="s">
        <v>1397</v>
      </c>
      <c r="D475" s="6" t="str">
        <f>_xlfn.IFNA(IF(VLOOKUP(tabListaItens[[#This Row],[CÓDIGO]],tabExcluirDoEstoque[#Data],1,FALSE),"sim",""),"")</f>
        <v/>
      </c>
      <c r="E475" s="6" t="str">
        <f>"*"</f>
        <v>*</v>
      </c>
    </row>
    <row r="476" spans="1:5" x14ac:dyDescent="0.25">
      <c r="A476" s="8">
        <v>51223</v>
      </c>
      <c r="B476" s="5" t="s">
        <v>1080</v>
      </c>
      <c r="C476" s="6" t="s">
        <v>1397</v>
      </c>
      <c r="D476" s="6" t="str">
        <f>_xlfn.IFNA(IF(VLOOKUP(tabListaItens[[#This Row],[CÓDIGO]],tabExcluirDoEstoque[#Data],1,FALSE),"sim",""),"")</f>
        <v>sim</v>
      </c>
      <c r="E476" s="6" t="str">
        <f>"*"</f>
        <v>*</v>
      </c>
    </row>
    <row r="477" spans="1:5" x14ac:dyDescent="0.25">
      <c r="A477" s="8">
        <v>51337</v>
      </c>
      <c r="B477" s="5" t="s">
        <v>1250</v>
      </c>
      <c r="C477" s="6" t="s">
        <v>1397</v>
      </c>
      <c r="D477" s="6" t="str">
        <f>_xlfn.IFNA(IF(VLOOKUP(tabListaItens[[#This Row],[CÓDIGO]],tabExcluirDoEstoque[#Data],1,FALSE),"sim",""),"")</f>
        <v>sim</v>
      </c>
      <c r="E477" s="6" t="str">
        <f>"*"</f>
        <v>*</v>
      </c>
    </row>
    <row r="478" spans="1:5" x14ac:dyDescent="0.25">
      <c r="A478" s="8">
        <v>51579</v>
      </c>
      <c r="B478" s="5" t="s">
        <v>502</v>
      </c>
      <c r="C478" s="6" t="s">
        <v>1397</v>
      </c>
      <c r="D478" s="6" t="str">
        <f>_xlfn.IFNA(IF(VLOOKUP(tabListaItens[[#This Row],[CÓDIGO]],tabExcluirDoEstoque[#Data],1,FALSE),"sim",""),"")</f>
        <v/>
      </c>
      <c r="E478" s="6" t="str">
        <f>"*"</f>
        <v>*</v>
      </c>
    </row>
    <row r="479" spans="1:5" x14ac:dyDescent="0.25">
      <c r="A479" s="8">
        <v>52129</v>
      </c>
      <c r="B479" s="5" t="s">
        <v>386</v>
      </c>
      <c r="C479" s="6" t="s">
        <v>1397</v>
      </c>
      <c r="D479" s="6" t="str">
        <f>_xlfn.IFNA(IF(VLOOKUP(tabListaItens[[#This Row],[CÓDIGO]],tabExcluirDoEstoque[#Data],1,FALSE),"sim",""),"")</f>
        <v/>
      </c>
      <c r="E479" s="6" t="str">
        <f>"*"</f>
        <v>*</v>
      </c>
    </row>
    <row r="480" spans="1:5" x14ac:dyDescent="0.25">
      <c r="A480" s="8">
        <v>52946</v>
      </c>
      <c r="B480" s="5" t="s">
        <v>235</v>
      </c>
      <c r="C480" s="6" t="s">
        <v>1397</v>
      </c>
      <c r="D480" s="6" t="str">
        <f>_xlfn.IFNA(IF(VLOOKUP(tabListaItens[[#This Row],[CÓDIGO]],tabExcluirDoEstoque[#Data],1,FALSE),"sim",""),"")</f>
        <v/>
      </c>
      <c r="E480" s="6" t="str">
        <f>"*"</f>
        <v>*</v>
      </c>
    </row>
    <row r="481" spans="1:5" x14ac:dyDescent="0.25">
      <c r="A481" s="8">
        <v>52994</v>
      </c>
      <c r="B481" s="5" t="s">
        <v>602</v>
      </c>
      <c r="C481" s="6" t="s">
        <v>1397</v>
      </c>
      <c r="D481" s="6" t="str">
        <f>_xlfn.IFNA(IF(VLOOKUP(tabListaItens[[#This Row],[CÓDIGO]],tabExcluirDoEstoque[#Data],1,FALSE),"sim",""),"")</f>
        <v/>
      </c>
      <c r="E481" s="6" t="str">
        <f>"*"</f>
        <v>*</v>
      </c>
    </row>
    <row r="482" spans="1:5" x14ac:dyDescent="0.25">
      <c r="A482" s="8">
        <v>52995</v>
      </c>
      <c r="B482" s="5" t="s">
        <v>1160</v>
      </c>
      <c r="C482" s="6" t="s">
        <v>1397</v>
      </c>
      <c r="D482" s="6" t="str">
        <f>_xlfn.IFNA(IF(VLOOKUP(tabListaItens[[#This Row],[CÓDIGO]],tabExcluirDoEstoque[#Data],1,FALSE),"sim",""),"")</f>
        <v>sim</v>
      </c>
      <c r="E482" s="6" t="str">
        <f>"*"</f>
        <v>*</v>
      </c>
    </row>
    <row r="483" spans="1:5" x14ac:dyDescent="0.25">
      <c r="A483" s="8">
        <v>53016</v>
      </c>
      <c r="B483" s="5" t="s">
        <v>1251</v>
      </c>
      <c r="C483" s="6" t="s">
        <v>1421</v>
      </c>
      <c r="D483" s="6" t="str">
        <f>_xlfn.IFNA(IF(VLOOKUP(tabListaItens[[#This Row],[CÓDIGO]],tabExcluirDoEstoque[#Data],1,FALSE),"sim",""),"")</f>
        <v>sim</v>
      </c>
      <c r="E483" s="6" t="str">
        <f>"*"</f>
        <v>*</v>
      </c>
    </row>
    <row r="484" spans="1:5" x14ac:dyDescent="0.25">
      <c r="A484" s="8">
        <v>53446</v>
      </c>
      <c r="B484" s="5" t="s">
        <v>55</v>
      </c>
      <c r="C484" s="6" t="s">
        <v>1414</v>
      </c>
      <c r="D484" s="6" t="str">
        <f>_xlfn.IFNA(IF(VLOOKUP(tabListaItens[[#This Row],[CÓDIGO]],tabExcluirDoEstoque[#Data],1,FALSE),"sim",""),"")</f>
        <v/>
      </c>
      <c r="E484" s="6" t="str">
        <f>"*"</f>
        <v>*</v>
      </c>
    </row>
    <row r="485" spans="1:5" x14ac:dyDescent="0.25">
      <c r="A485" s="8">
        <v>53810</v>
      </c>
      <c r="B485" s="5" t="s">
        <v>1125</v>
      </c>
      <c r="C485" s="6" t="s">
        <v>1405</v>
      </c>
      <c r="D485" s="6" t="str">
        <f>_xlfn.IFNA(IF(VLOOKUP(tabListaItens[[#This Row],[CÓDIGO]],tabExcluirDoEstoque[#Data],1,FALSE),"sim",""),"")</f>
        <v>sim</v>
      </c>
      <c r="E485" s="6" t="str">
        <f>"*"</f>
        <v>*</v>
      </c>
    </row>
    <row r="486" spans="1:5" x14ac:dyDescent="0.25">
      <c r="A486" s="8">
        <v>53813</v>
      </c>
      <c r="B486" s="5" t="s">
        <v>464</v>
      </c>
      <c r="C486" s="6" t="s">
        <v>1409</v>
      </c>
      <c r="D486" s="6" t="str">
        <f>_xlfn.IFNA(IF(VLOOKUP(tabListaItens[[#This Row],[CÓDIGO]],tabExcluirDoEstoque[#Data],1,FALSE),"sim",""),"")</f>
        <v/>
      </c>
      <c r="E486" s="6" t="str">
        <f>"*"</f>
        <v>*</v>
      </c>
    </row>
    <row r="487" spans="1:5" x14ac:dyDescent="0.25">
      <c r="A487" s="8">
        <v>53814</v>
      </c>
      <c r="B487" s="5" t="s">
        <v>465</v>
      </c>
      <c r="C487" s="6" t="s">
        <v>1409</v>
      </c>
      <c r="D487" s="6" t="str">
        <f>_xlfn.IFNA(IF(VLOOKUP(tabListaItens[[#This Row],[CÓDIGO]],tabExcluirDoEstoque[#Data],1,FALSE),"sim",""),"")</f>
        <v/>
      </c>
      <c r="E487" s="6" t="str">
        <f>"*"</f>
        <v>*</v>
      </c>
    </row>
    <row r="488" spans="1:5" x14ac:dyDescent="0.25">
      <c r="A488" s="8">
        <v>53849</v>
      </c>
      <c r="B488" s="5" t="s">
        <v>815</v>
      </c>
      <c r="C488" s="6" t="s">
        <v>1397</v>
      </c>
      <c r="D488" s="6" t="str">
        <f>_xlfn.IFNA(IF(VLOOKUP(tabListaItens[[#This Row],[CÓDIGO]],tabExcluirDoEstoque[#Data],1,FALSE),"sim",""),"")</f>
        <v/>
      </c>
      <c r="E488" s="6" t="str">
        <f>"*"</f>
        <v>*</v>
      </c>
    </row>
    <row r="489" spans="1:5" x14ac:dyDescent="0.25">
      <c r="A489" s="8">
        <v>53928</v>
      </c>
      <c r="B489" s="5" t="s">
        <v>1252</v>
      </c>
      <c r="C489" s="6" t="s">
        <v>1397</v>
      </c>
      <c r="D489" s="6" t="str">
        <f>_xlfn.IFNA(IF(VLOOKUP(tabListaItens[[#This Row],[CÓDIGO]],tabExcluirDoEstoque[#Data],1,FALSE),"sim",""),"")</f>
        <v>sim</v>
      </c>
      <c r="E489" s="6" t="str">
        <f>"*"</f>
        <v>*</v>
      </c>
    </row>
    <row r="490" spans="1:5" x14ac:dyDescent="0.25">
      <c r="A490" s="8">
        <v>54017</v>
      </c>
      <c r="B490" s="5" t="s">
        <v>533</v>
      </c>
      <c r="C490" s="6" t="s">
        <v>1404</v>
      </c>
      <c r="D490" s="6" t="str">
        <f>_xlfn.IFNA(IF(VLOOKUP(tabListaItens[[#This Row],[CÓDIGO]],tabExcluirDoEstoque[#Data],1,FALSE),"sim",""),"")</f>
        <v/>
      </c>
      <c r="E490" s="6" t="str">
        <f>"*"</f>
        <v>*</v>
      </c>
    </row>
    <row r="491" spans="1:5" x14ac:dyDescent="0.25">
      <c r="A491" s="8">
        <v>54018</v>
      </c>
      <c r="B491" s="5" t="s">
        <v>532</v>
      </c>
      <c r="C491" s="6" t="s">
        <v>1404</v>
      </c>
      <c r="D491" s="6" t="str">
        <f>_xlfn.IFNA(IF(VLOOKUP(tabListaItens[[#This Row],[CÓDIGO]],tabExcluirDoEstoque[#Data],1,FALSE),"sim",""),"")</f>
        <v/>
      </c>
      <c r="E491" s="6" t="str">
        <f>"*"</f>
        <v>*</v>
      </c>
    </row>
    <row r="492" spans="1:5" x14ac:dyDescent="0.25">
      <c r="A492" s="8">
        <v>54019</v>
      </c>
      <c r="B492" s="5" t="s">
        <v>845</v>
      </c>
      <c r="C492" s="6" t="s">
        <v>1397</v>
      </c>
      <c r="D492" s="6" t="str">
        <f>_xlfn.IFNA(IF(VLOOKUP(tabListaItens[[#This Row],[CÓDIGO]],tabExcluirDoEstoque[#Data],1,FALSE),"sim",""),"")</f>
        <v/>
      </c>
      <c r="E492" s="6" t="str">
        <f>"*"</f>
        <v>*</v>
      </c>
    </row>
    <row r="493" spans="1:5" x14ac:dyDescent="0.25">
      <c r="A493" s="8">
        <v>54026</v>
      </c>
      <c r="B493" s="5" t="s">
        <v>982</v>
      </c>
      <c r="C493" s="6" t="s">
        <v>1409</v>
      </c>
      <c r="D493" s="6" t="str">
        <f>_xlfn.IFNA(IF(VLOOKUP(tabListaItens[[#This Row],[CÓDIGO]],tabExcluirDoEstoque[#Data],1,FALSE),"sim",""),"")</f>
        <v/>
      </c>
      <c r="E493" s="6" t="str">
        <f>"*"</f>
        <v>*</v>
      </c>
    </row>
    <row r="494" spans="1:5" x14ac:dyDescent="0.25">
      <c r="A494" s="8">
        <v>54029</v>
      </c>
      <c r="B494" s="5" t="s">
        <v>131</v>
      </c>
      <c r="C494" s="6" t="s">
        <v>1404</v>
      </c>
      <c r="D494" s="6" t="str">
        <f>_xlfn.IFNA(IF(VLOOKUP(tabListaItens[[#This Row],[CÓDIGO]],tabExcluirDoEstoque[#Data],1,FALSE),"sim",""),"")</f>
        <v/>
      </c>
      <c r="E494" s="6" t="str">
        <f>"*"</f>
        <v>*</v>
      </c>
    </row>
    <row r="495" spans="1:5" x14ac:dyDescent="0.25">
      <c r="A495" s="8">
        <v>54032</v>
      </c>
      <c r="B495" s="5" t="s">
        <v>130</v>
      </c>
      <c r="C495" s="6" t="s">
        <v>1397</v>
      </c>
      <c r="D495" s="6" t="str">
        <f>_xlfn.IFNA(IF(VLOOKUP(tabListaItens[[#This Row],[CÓDIGO]],tabExcluirDoEstoque[#Data],1,FALSE),"sim",""),"")</f>
        <v/>
      </c>
      <c r="E495" s="6" t="str">
        <f>"*"</f>
        <v>*</v>
      </c>
    </row>
    <row r="496" spans="1:5" x14ac:dyDescent="0.25">
      <c r="A496" s="8">
        <v>54144</v>
      </c>
      <c r="B496" s="5" t="s">
        <v>531</v>
      </c>
      <c r="C496" s="6" t="s">
        <v>1397</v>
      </c>
      <c r="D496" s="6" t="str">
        <f>_xlfn.IFNA(IF(VLOOKUP(tabListaItens[[#This Row],[CÓDIGO]],tabExcluirDoEstoque[#Data],1,FALSE),"sim",""),"")</f>
        <v/>
      </c>
      <c r="E496" s="6" t="str">
        <f>"*"</f>
        <v>*</v>
      </c>
    </row>
    <row r="497" spans="1:5" x14ac:dyDescent="0.25">
      <c r="A497" s="8">
        <v>54550</v>
      </c>
      <c r="B497" s="5" t="s">
        <v>954</v>
      </c>
      <c r="C497" s="6" t="s">
        <v>1409</v>
      </c>
      <c r="D497" s="6" t="str">
        <f>_xlfn.IFNA(IF(VLOOKUP(tabListaItens[[#This Row],[CÓDIGO]],tabExcluirDoEstoque[#Data],1,FALSE),"sim",""),"")</f>
        <v/>
      </c>
      <c r="E497" s="6" t="str">
        <f>"*"</f>
        <v>*</v>
      </c>
    </row>
    <row r="498" spans="1:5" x14ac:dyDescent="0.25">
      <c r="A498" s="8">
        <v>54552</v>
      </c>
      <c r="B498" s="5" t="s">
        <v>955</v>
      </c>
      <c r="C498" s="6" t="s">
        <v>1409</v>
      </c>
      <c r="D498" s="6" t="str">
        <f>_xlfn.IFNA(IF(VLOOKUP(tabListaItens[[#This Row],[CÓDIGO]],tabExcluirDoEstoque[#Data],1,FALSE),"sim",""),"")</f>
        <v/>
      </c>
      <c r="E498" s="6" t="str">
        <f>"*"</f>
        <v>*</v>
      </c>
    </row>
    <row r="499" spans="1:5" x14ac:dyDescent="0.25">
      <c r="A499" s="8">
        <v>54586</v>
      </c>
      <c r="B499" s="5" t="s">
        <v>363</v>
      </c>
      <c r="C499" s="6" t="s">
        <v>1397</v>
      </c>
      <c r="D499" s="6" t="str">
        <f>_xlfn.IFNA(IF(VLOOKUP(tabListaItens[[#This Row],[CÓDIGO]],tabExcluirDoEstoque[#Data],1,FALSE),"sim",""),"")</f>
        <v/>
      </c>
      <c r="E499" s="6" t="str">
        <f>"*"</f>
        <v>*</v>
      </c>
    </row>
    <row r="500" spans="1:5" x14ac:dyDescent="0.25">
      <c r="A500" s="8">
        <v>54587</v>
      </c>
      <c r="B500" s="5" t="s">
        <v>366</v>
      </c>
      <c r="C500" s="6" t="s">
        <v>1397</v>
      </c>
      <c r="D500" s="6" t="str">
        <f>_xlfn.IFNA(IF(VLOOKUP(tabListaItens[[#This Row],[CÓDIGO]],tabExcluirDoEstoque[#Data],1,FALSE),"sim",""),"")</f>
        <v/>
      </c>
      <c r="E500" s="6" t="str">
        <f>"*"</f>
        <v>*</v>
      </c>
    </row>
    <row r="501" spans="1:5" x14ac:dyDescent="0.25">
      <c r="A501" s="8">
        <v>54668</v>
      </c>
      <c r="B501" s="5" t="s">
        <v>922</v>
      </c>
      <c r="C501" s="6" t="s">
        <v>1403</v>
      </c>
      <c r="D501" s="6" t="str">
        <f>_xlfn.IFNA(IF(VLOOKUP(tabListaItens[[#This Row],[CÓDIGO]],tabExcluirDoEstoque[#Data],1,FALSE),"sim",""),"")</f>
        <v>sim</v>
      </c>
      <c r="E501" s="6" t="str">
        <f>"*"</f>
        <v>*</v>
      </c>
    </row>
    <row r="502" spans="1:5" x14ac:dyDescent="0.25">
      <c r="A502" s="8">
        <v>54680</v>
      </c>
      <c r="B502" s="5" t="s">
        <v>877</v>
      </c>
      <c r="C502" s="6" t="s">
        <v>1420</v>
      </c>
      <c r="D502" s="6" t="str">
        <f>_xlfn.IFNA(IF(VLOOKUP(tabListaItens[[#This Row],[CÓDIGO]],tabExcluirDoEstoque[#Data],1,FALSE),"sim",""),"")</f>
        <v/>
      </c>
      <c r="E502" s="6" t="str">
        <f>"*"</f>
        <v>*</v>
      </c>
    </row>
    <row r="503" spans="1:5" x14ac:dyDescent="0.25">
      <c r="A503" s="8">
        <v>54682</v>
      </c>
      <c r="B503" s="5" t="s">
        <v>140</v>
      </c>
      <c r="C503" s="6" t="s">
        <v>1408</v>
      </c>
      <c r="D503" s="6" t="str">
        <f>_xlfn.IFNA(IF(VLOOKUP(tabListaItens[[#This Row],[CÓDIGO]],tabExcluirDoEstoque[#Data],1,FALSE),"sim",""),"")</f>
        <v/>
      </c>
      <c r="E503" s="6" t="str">
        <f>"*"</f>
        <v>*</v>
      </c>
    </row>
    <row r="504" spans="1:5" x14ac:dyDescent="0.25">
      <c r="A504" s="8">
        <v>54969</v>
      </c>
      <c r="B504" s="5" t="s">
        <v>1158</v>
      </c>
      <c r="C504" s="6" t="s">
        <v>1397</v>
      </c>
      <c r="D504" s="6" t="str">
        <f>_xlfn.IFNA(IF(VLOOKUP(tabListaItens[[#This Row],[CÓDIGO]],tabExcluirDoEstoque[#Data],1,FALSE),"sim",""),"")</f>
        <v>sim</v>
      </c>
      <c r="E504" s="6" t="str">
        <f>"*"</f>
        <v>*</v>
      </c>
    </row>
    <row r="505" spans="1:5" x14ac:dyDescent="0.25">
      <c r="A505" s="8">
        <v>55836</v>
      </c>
      <c r="B505" s="5" t="s">
        <v>759</v>
      </c>
      <c r="C505" s="6" t="s">
        <v>1397</v>
      </c>
      <c r="D505" s="6" t="str">
        <f>_xlfn.IFNA(IF(VLOOKUP(tabListaItens[[#This Row],[CÓDIGO]],tabExcluirDoEstoque[#Data],1,FALSE),"sim",""),"")</f>
        <v/>
      </c>
      <c r="E505" s="6" t="str">
        <f>"*"</f>
        <v>*</v>
      </c>
    </row>
    <row r="506" spans="1:5" x14ac:dyDescent="0.25">
      <c r="A506" s="8">
        <v>56519</v>
      </c>
      <c r="B506" s="5" t="s">
        <v>56</v>
      </c>
      <c r="C506" s="6" t="s">
        <v>1397</v>
      </c>
      <c r="D506" s="6" t="str">
        <f>_xlfn.IFNA(IF(VLOOKUP(tabListaItens[[#This Row],[CÓDIGO]],tabExcluirDoEstoque[#Data],1,FALSE),"sim",""),"")</f>
        <v/>
      </c>
      <c r="E506" s="6" t="str">
        <f>"*"</f>
        <v>*</v>
      </c>
    </row>
    <row r="507" spans="1:5" x14ac:dyDescent="0.25">
      <c r="A507" s="8">
        <v>56520</v>
      </c>
      <c r="B507" s="5" t="s">
        <v>494</v>
      </c>
      <c r="C507" s="6" t="s">
        <v>1397</v>
      </c>
      <c r="D507" s="6" t="str">
        <f>_xlfn.IFNA(IF(VLOOKUP(tabListaItens[[#This Row],[CÓDIGO]],tabExcluirDoEstoque[#Data],1,FALSE),"sim",""),"")</f>
        <v/>
      </c>
      <c r="E507" s="6" t="str">
        <f>"*"</f>
        <v>*</v>
      </c>
    </row>
    <row r="508" spans="1:5" x14ac:dyDescent="0.25">
      <c r="A508" s="8">
        <v>57444</v>
      </c>
      <c r="B508" s="5" t="s">
        <v>1253</v>
      </c>
      <c r="C508" s="6" t="s">
        <v>1400</v>
      </c>
      <c r="D508" s="6" t="str">
        <f>_xlfn.IFNA(IF(VLOOKUP(tabListaItens[[#This Row],[CÓDIGO]],tabExcluirDoEstoque[#Data],1,FALSE),"sim",""),"")</f>
        <v>sim</v>
      </c>
      <c r="E508" s="6" t="str">
        <f>"*"</f>
        <v>*</v>
      </c>
    </row>
    <row r="509" spans="1:5" x14ac:dyDescent="0.25">
      <c r="A509" s="8">
        <v>57598</v>
      </c>
      <c r="B509" s="5" t="s">
        <v>803</v>
      </c>
      <c r="C509" s="6" t="s">
        <v>1414</v>
      </c>
      <c r="D509" s="6" t="str">
        <f>_xlfn.IFNA(IF(VLOOKUP(tabListaItens[[#This Row],[CÓDIGO]],tabExcluirDoEstoque[#Data],1,FALSE),"sim",""),"")</f>
        <v/>
      </c>
      <c r="E509" s="6" t="str">
        <f>"*"</f>
        <v>*</v>
      </c>
    </row>
    <row r="510" spans="1:5" x14ac:dyDescent="0.25">
      <c r="A510" s="8">
        <v>57895</v>
      </c>
      <c r="B510" s="5" t="s">
        <v>1254</v>
      </c>
      <c r="C510" s="6" t="s">
        <v>1397</v>
      </c>
      <c r="D510" s="6" t="str">
        <f>_xlfn.IFNA(IF(VLOOKUP(tabListaItens[[#This Row],[CÓDIGO]],tabExcluirDoEstoque[#Data],1,FALSE),"sim",""),"")</f>
        <v>sim</v>
      </c>
      <c r="E510" s="6" t="str">
        <f>"*"</f>
        <v>*</v>
      </c>
    </row>
    <row r="511" spans="1:5" x14ac:dyDescent="0.25">
      <c r="A511" s="8">
        <v>57900</v>
      </c>
      <c r="B511" s="5" t="s">
        <v>906</v>
      </c>
      <c r="C511" s="6" t="s">
        <v>1403</v>
      </c>
      <c r="D511" s="6" t="str">
        <f>_xlfn.IFNA(IF(VLOOKUP(tabListaItens[[#This Row],[CÓDIGO]],tabExcluirDoEstoque[#Data],1,FALSE),"sim",""),"")</f>
        <v/>
      </c>
      <c r="E511" s="6" t="str">
        <f>"*"</f>
        <v>*</v>
      </c>
    </row>
    <row r="512" spans="1:5" x14ac:dyDescent="0.25">
      <c r="A512" s="8">
        <v>58116</v>
      </c>
      <c r="B512" s="5" t="s">
        <v>756</v>
      </c>
      <c r="C512" s="6" t="s">
        <v>1397</v>
      </c>
      <c r="D512" s="6" t="str">
        <f>_xlfn.IFNA(IF(VLOOKUP(tabListaItens[[#This Row],[CÓDIGO]],tabExcluirDoEstoque[#Data],1,FALSE),"sim",""),"")</f>
        <v/>
      </c>
      <c r="E512" s="6" t="str">
        <f>"*"</f>
        <v>*</v>
      </c>
    </row>
    <row r="513" spans="1:5" x14ac:dyDescent="0.25">
      <c r="A513" s="8">
        <v>58117</v>
      </c>
      <c r="B513" s="5" t="s">
        <v>250</v>
      </c>
      <c r="C513" s="6" t="s">
        <v>1397</v>
      </c>
      <c r="D513" s="6" t="str">
        <f>_xlfn.IFNA(IF(VLOOKUP(tabListaItens[[#This Row],[CÓDIGO]],tabExcluirDoEstoque[#Data],1,FALSE),"sim",""),"")</f>
        <v>sim</v>
      </c>
      <c r="E513" s="6" t="str">
        <f>"*"</f>
        <v>*</v>
      </c>
    </row>
    <row r="514" spans="1:5" x14ac:dyDescent="0.25">
      <c r="A514" s="8">
        <v>58436</v>
      </c>
      <c r="B514" s="5" t="s">
        <v>829</v>
      </c>
      <c r="C514" s="6" t="s">
        <v>1397</v>
      </c>
      <c r="D514" s="6" t="str">
        <f>_xlfn.IFNA(IF(VLOOKUP(tabListaItens[[#This Row],[CÓDIGO]],tabExcluirDoEstoque[#Data],1,FALSE),"sim",""),"")</f>
        <v/>
      </c>
      <c r="E514" s="6" t="str">
        <f>"*"</f>
        <v>*</v>
      </c>
    </row>
    <row r="515" spans="1:5" x14ac:dyDescent="0.25">
      <c r="A515" s="8">
        <v>58647</v>
      </c>
      <c r="B515" s="5" t="s">
        <v>1255</v>
      </c>
      <c r="C515" s="6" t="s">
        <v>1413</v>
      </c>
      <c r="D515" s="6" t="str">
        <f>_xlfn.IFNA(IF(VLOOKUP(tabListaItens[[#This Row],[CÓDIGO]],tabExcluirDoEstoque[#Data],1,FALSE),"sim",""),"")</f>
        <v>sim</v>
      </c>
      <c r="E515" s="6" t="str">
        <f>"*"</f>
        <v>*</v>
      </c>
    </row>
    <row r="516" spans="1:5" x14ac:dyDescent="0.25">
      <c r="A516" s="8">
        <v>58706</v>
      </c>
      <c r="B516" s="5" t="s">
        <v>757</v>
      </c>
      <c r="C516" s="6" t="s">
        <v>1397</v>
      </c>
      <c r="D516" s="6" t="str">
        <f>_xlfn.IFNA(IF(VLOOKUP(tabListaItens[[#This Row],[CÓDIGO]],tabExcluirDoEstoque[#Data],1,FALSE),"sim",""),"")</f>
        <v/>
      </c>
      <c r="E516" s="6" t="str">
        <f>"*"</f>
        <v>*</v>
      </c>
    </row>
    <row r="517" spans="1:5" x14ac:dyDescent="0.25">
      <c r="A517" s="8">
        <v>58792</v>
      </c>
      <c r="B517" s="5" t="s">
        <v>579</v>
      </c>
      <c r="C517" s="6" t="s">
        <v>1404</v>
      </c>
      <c r="D517" s="6" t="str">
        <f>_xlfn.IFNA(IF(VLOOKUP(tabListaItens[[#This Row],[CÓDIGO]],tabExcluirDoEstoque[#Data],1,FALSE),"sim",""),"")</f>
        <v>sim</v>
      </c>
      <c r="E517" s="6" t="str">
        <f>"*"</f>
        <v>*</v>
      </c>
    </row>
    <row r="518" spans="1:5" x14ac:dyDescent="0.25">
      <c r="A518" s="8">
        <v>58977</v>
      </c>
      <c r="B518" s="5" t="s">
        <v>1115</v>
      </c>
      <c r="C518" s="6" t="s">
        <v>1397</v>
      </c>
      <c r="D518" s="6" t="str">
        <f>_xlfn.IFNA(IF(VLOOKUP(tabListaItens[[#This Row],[CÓDIGO]],tabExcluirDoEstoque[#Data],1,FALSE),"sim",""),"")</f>
        <v>sim</v>
      </c>
      <c r="E518" s="6" t="str">
        <f>"*"</f>
        <v>*</v>
      </c>
    </row>
    <row r="519" spans="1:5" x14ac:dyDescent="0.25">
      <c r="A519" s="8">
        <v>58989</v>
      </c>
      <c r="B519" s="5" t="s">
        <v>1256</v>
      </c>
      <c r="C519" s="6"/>
      <c r="D519" s="6" t="str">
        <f>_xlfn.IFNA(IF(VLOOKUP(tabListaItens[[#This Row],[CÓDIGO]],tabExcluirDoEstoque[#Data],1,FALSE),"sim",""),"")</f>
        <v>sim</v>
      </c>
      <c r="E519" s="6" t="str">
        <f>"*"</f>
        <v>*</v>
      </c>
    </row>
    <row r="520" spans="1:5" x14ac:dyDescent="0.25">
      <c r="A520" s="8">
        <v>59018</v>
      </c>
      <c r="B520" s="5" t="s">
        <v>275</v>
      </c>
      <c r="C520" s="6" t="s">
        <v>1409</v>
      </c>
      <c r="D520" s="6" t="str">
        <f>_xlfn.IFNA(IF(VLOOKUP(tabListaItens[[#This Row],[CÓDIGO]],tabExcluirDoEstoque[#Data],1,FALSE),"sim",""),"")</f>
        <v/>
      </c>
      <c r="E520" s="6" t="str">
        <f>"*"</f>
        <v>*</v>
      </c>
    </row>
    <row r="521" spans="1:5" x14ac:dyDescent="0.25">
      <c r="A521" s="8">
        <v>59069</v>
      </c>
      <c r="B521" s="5" t="s">
        <v>871</v>
      </c>
      <c r="C521" s="6" t="s">
        <v>1397</v>
      </c>
      <c r="D521" s="6" t="str">
        <f>_xlfn.IFNA(IF(VLOOKUP(tabListaItens[[#This Row],[CÓDIGO]],tabExcluirDoEstoque[#Data],1,FALSE),"sim",""),"")</f>
        <v/>
      </c>
      <c r="E521" s="6" t="str">
        <f>"*"</f>
        <v>*</v>
      </c>
    </row>
    <row r="522" spans="1:5" x14ac:dyDescent="0.25">
      <c r="A522" s="8">
        <v>59074</v>
      </c>
      <c r="B522" s="5" t="s">
        <v>149</v>
      </c>
      <c r="C522" s="6" t="s">
        <v>1410</v>
      </c>
      <c r="D522" s="6" t="str">
        <f>_xlfn.IFNA(IF(VLOOKUP(tabListaItens[[#This Row],[CÓDIGO]],tabExcluirDoEstoque[#Data],1,FALSE),"sim",""),"")</f>
        <v/>
      </c>
      <c r="E522" s="6" t="str">
        <f>"*"</f>
        <v>*</v>
      </c>
    </row>
    <row r="523" spans="1:5" x14ac:dyDescent="0.25">
      <c r="A523" s="8">
        <v>59097</v>
      </c>
      <c r="B523" s="5" t="s">
        <v>959</v>
      </c>
      <c r="C523" s="6" t="s">
        <v>1409</v>
      </c>
      <c r="D523" s="6" t="str">
        <f>_xlfn.IFNA(IF(VLOOKUP(tabListaItens[[#This Row],[CÓDIGO]],tabExcluirDoEstoque[#Data],1,FALSE),"sim",""),"")</f>
        <v/>
      </c>
      <c r="E523" s="6" t="str">
        <f>"*"</f>
        <v>*</v>
      </c>
    </row>
    <row r="524" spans="1:5" x14ac:dyDescent="0.25">
      <c r="A524" s="8">
        <v>59882</v>
      </c>
      <c r="B524" s="5" t="s">
        <v>143</v>
      </c>
      <c r="C524" s="6" t="s">
        <v>1409</v>
      </c>
      <c r="D524" s="6" t="str">
        <f>_xlfn.IFNA(IF(VLOOKUP(tabListaItens[[#This Row],[CÓDIGO]],tabExcluirDoEstoque[#Data],1,FALSE),"sim",""),"")</f>
        <v/>
      </c>
      <c r="E524" s="6" t="str">
        <f>"*"</f>
        <v>*</v>
      </c>
    </row>
    <row r="525" spans="1:5" x14ac:dyDescent="0.25">
      <c r="A525" s="8">
        <v>59942</v>
      </c>
      <c r="B525" s="5" t="s">
        <v>144</v>
      </c>
      <c r="C525" s="6" t="s">
        <v>1409</v>
      </c>
      <c r="D525" s="6" t="str">
        <f>_xlfn.IFNA(IF(VLOOKUP(tabListaItens[[#This Row],[CÓDIGO]],tabExcluirDoEstoque[#Data],1,FALSE),"sim",""),"")</f>
        <v/>
      </c>
      <c r="E525" s="6" t="str">
        <f>"*"</f>
        <v>*</v>
      </c>
    </row>
    <row r="526" spans="1:5" x14ac:dyDescent="0.25">
      <c r="A526" s="8">
        <v>60108</v>
      </c>
      <c r="B526" s="5" t="s">
        <v>1051</v>
      </c>
      <c r="C526" s="6" t="s">
        <v>1404</v>
      </c>
      <c r="D526" s="6" t="str">
        <f>_xlfn.IFNA(IF(VLOOKUP(tabListaItens[[#This Row],[CÓDIGO]],tabExcluirDoEstoque[#Data],1,FALSE),"sim",""),"")</f>
        <v>sim</v>
      </c>
      <c r="E526" s="6" t="str">
        <f>"*"</f>
        <v>*</v>
      </c>
    </row>
    <row r="527" spans="1:5" x14ac:dyDescent="0.25">
      <c r="A527" s="8">
        <v>60110</v>
      </c>
      <c r="B527" s="5" t="s">
        <v>1129</v>
      </c>
      <c r="C527" s="6" t="s">
        <v>1404</v>
      </c>
      <c r="D527" s="6" t="str">
        <f>_xlfn.IFNA(IF(VLOOKUP(tabListaItens[[#This Row],[CÓDIGO]],tabExcluirDoEstoque[#Data],1,FALSE),"sim",""),"")</f>
        <v>sim</v>
      </c>
      <c r="E527" s="6" t="str">
        <f>"*"</f>
        <v>*</v>
      </c>
    </row>
    <row r="528" spans="1:5" x14ac:dyDescent="0.25">
      <c r="A528" s="8">
        <v>60116</v>
      </c>
      <c r="B528" s="5" t="s">
        <v>57</v>
      </c>
      <c r="C528" s="6" t="s">
        <v>1397</v>
      </c>
      <c r="D528" s="6" t="str">
        <f>_xlfn.IFNA(IF(VLOOKUP(tabListaItens[[#This Row],[CÓDIGO]],tabExcluirDoEstoque[#Data],1,FALSE),"sim",""),"")</f>
        <v/>
      </c>
      <c r="E528" s="6" t="str">
        <f>"*"</f>
        <v>*</v>
      </c>
    </row>
    <row r="529" spans="1:5" x14ac:dyDescent="0.25">
      <c r="A529" s="8">
        <v>60517</v>
      </c>
      <c r="B529" s="5" t="s">
        <v>463</v>
      </c>
      <c r="C529" s="6" t="s">
        <v>1409</v>
      </c>
      <c r="D529" s="6" t="str">
        <f>_xlfn.IFNA(IF(VLOOKUP(tabListaItens[[#This Row],[CÓDIGO]],tabExcluirDoEstoque[#Data],1,FALSE),"sim",""),"")</f>
        <v/>
      </c>
      <c r="E529" s="6" t="str">
        <f>"*"</f>
        <v>*</v>
      </c>
    </row>
    <row r="530" spans="1:5" x14ac:dyDescent="0.25">
      <c r="A530" s="8">
        <v>60830</v>
      </c>
      <c r="B530" s="5" t="s">
        <v>970</v>
      </c>
      <c r="C530" s="6" t="s">
        <v>1397</v>
      </c>
      <c r="D530" s="6" t="str">
        <f>_xlfn.IFNA(IF(VLOOKUP(tabListaItens[[#This Row],[CÓDIGO]],tabExcluirDoEstoque[#Data],1,FALSE),"sim",""),"")</f>
        <v/>
      </c>
      <c r="E530" s="6" t="str">
        <f>"*"</f>
        <v>*</v>
      </c>
    </row>
    <row r="531" spans="1:5" x14ac:dyDescent="0.25">
      <c r="A531" s="8">
        <v>60854</v>
      </c>
      <c r="B531" s="5" t="s">
        <v>1019</v>
      </c>
      <c r="C531" s="6" t="s">
        <v>1397</v>
      </c>
      <c r="D531" s="6" t="str">
        <f>_xlfn.IFNA(IF(VLOOKUP(tabListaItens[[#This Row],[CÓDIGO]],tabExcluirDoEstoque[#Data],1,FALSE),"sim",""),"")</f>
        <v>sim</v>
      </c>
      <c r="E531" s="6" t="str">
        <f>"*"</f>
        <v>*</v>
      </c>
    </row>
    <row r="532" spans="1:5" x14ac:dyDescent="0.25">
      <c r="A532" s="8">
        <v>60889</v>
      </c>
      <c r="B532" s="5" t="s">
        <v>429</v>
      </c>
      <c r="C532" s="6" t="s">
        <v>1409</v>
      </c>
      <c r="D532" s="6" t="str">
        <f>_xlfn.IFNA(IF(VLOOKUP(tabListaItens[[#This Row],[CÓDIGO]],tabExcluirDoEstoque[#Data],1,FALSE),"sim",""),"")</f>
        <v/>
      </c>
      <c r="E532" s="6" t="str">
        <f>"*"</f>
        <v>*</v>
      </c>
    </row>
    <row r="533" spans="1:5" x14ac:dyDescent="0.25">
      <c r="A533" s="8">
        <v>60973</v>
      </c>
      <c r="B533" s="5" t="s">
        <v>562</v>
      </c>
      <c r="C533" s="6" t="s">
        <v>1397</v>
      </c>
      <c r="D533" s="6" t="str">
        <f>_xlfn.IFNA(IF(VLOOKUP(tabListaItens[[#This Row],[CÓDIGO]],tabExcluirDoEstoque[#Data],1,FALSE),"sim",""),"")</f>
        <v/>
      </c>
      <c r="E533" s="6" t="str">
        <f>"*"</f>
        <v>*</v>
      </c>
    </row>
    <row r="534" spans="1:5" x14ac:dyDescent="0.25">
      <c r="A534" s="8">
        <v>61046</v>
      </c>
      <c r="B534" s="5" t="s">
        <v>278</v>
      </c>
      <c r="C534" s="6" t="s">
        <v>1409</v>
      </c>
      <c r="D534" s="6" t="str">
        <f>_xlfn.IFNA(IF(VLOOKUP(tabListaItens[[#This Row],[CÓDIGO]],tabExcluirDoEstoque[#Data],1,FALSE),"sim",""),"")</f>
        <v/>
      </c>
      <c r="E534" s="6" t="str">
        <f>"*"</f>
        <v>*</v>
      </c>
    </row>
    <row r="535" spans="1:5" x14ac:dyDescent="0.25">
      <c r="A535" s="8">
        <v>61167</v>
      </c>
      <c r="B535" s="5" t="s">
        <v>1168</v>
      </c>
      <c r="C535" s="6" t="s">
        <v>1419</v>
      </c>
      <c r="D535" s="6" t="str">
        <f>_xlfn.IFNA(IF(VLOOKUP(tabListaItens[[#This Row],[CÓDIGO]],tabExcluirDoEstoque[#Data],1,FALSE),"sim",""),"")</f>
        <v>sim</v>
      </c>
      <c r="E535" s="6" t="str">
        <f>"*"</f>
        <v>*</v>
      </c>
    </row>
    <row r="536" spans="1:5" x14ac:dyDescent="0.25">
      <c r="A536" s="8">
        <v>61200</v>
      </c>
      <c r="B536" s="5" t="s">
        <v>875</v>
      </c>
      <c r="C536" s="6" t="s">
        <v>1397</v>
      </c>
      <c r="D536" s="6" t="str">
        <f>_xlfn.IFNA(IF(VLOOKUP(tabListaItens[[#This Row],[CÓDIGO]],tabExcluirDoEstoque[#Data],1,FALSE),"sim",""),"")</f>
        <v/>
      </c>
      <c r="E536" s="6" t="str">
        <f>"*"</f>
        <v>*</v>
      </c>
    </row>
    <row r="537" spans="1:5" x14ac:dyDescent="0.25">
      <c r="A537" s="8">
        <v>61201</v>
      </c>
      <c r="B537" s="5" t="s">
        <v>598</v>
      </c>
      <c r="C537" s="6" t="s">
        <v>1397</v>
      </c>
      <c r="D537" s="6" t="str">
        <f>_xlfn.IFNA(IF(VLOOKUP(tabListaItens[[#This Row],[CÓDIGO]],tabExcluirDoEstoque[#Data],1,FALSE),"sim",""),"")</f>
        <v/>
      </c>
      <c r="E537" s="6" t="str">
        <f>"*"</f>
        <v>*</v>
      </c>
    </row>
    <row r="538" spans="1:5" x14ac:dyDescent="0.25">
      <c r="A538" s="8">
        <v>62365</v>
      </c>
      <c r="B538" s="5" t="s">
        <v>1257</v>
      </c>
      <c r="C538" s="6" t="s">
        <v>1397</v>
      </c>
      <c r="D538" s="6" t="str">
        <f>_xlfn.IFNA(IF(VLOOKUP(tabListaItens[[#This Row],[CÓDIGO]],tabExcluirDoEstoque[#Data],1,FALSE),"sim",""),"")</f>
        <v>sim</v>
      </c>
      <c r="E538" s="6" t="str">
        <f>"*"</f>
        <v>*</v>
      </c>
    </row>
    <row r="539" spans="1:5" x14ac:dyDescent="0.25">
      <c r="A539" s="8">
        <v>62625</v>
      </c>
      <c r="B539" s="5" t="s">
        <v>1132</v>
      </c>
      <c r="C539" s="6"/>
      <c r="D539" s="6" t="str">
        <f>_xlfn.IFNA(IF(VLOOKUP(tabListaItens[[#This Row],[CÓDIGO]],tabExcluirDoEstoque[#Data],1,FALSE),"sim",""),"")</f>
        <v>sim</v>
      </c>
      <c r="E539" s="6" t="str">
        <f>"*"</f>
        <v>*</v>
      </c>
    </row>
    <row r="540" spans="1:5" x14ac:dyDescent="0.25">
      <c r="A540" s="8">
        <v>63031</v>
      </c>
      <c r="B540" s="5" t="s">
        <v>852</v>
      </c>
      <c r="C540" s="6" t="s">
        <v>1397</v>
      </c>
      <c r="D540" s="6" t="str">
        <f>_xlfn.IFNA(IF(VLOOKUP(tabListaItens[[#This Row],[CÓDIGO]],tabExcluirDoEstoque[#Data],1,FALSE),"sim",""),"")</f>
        <v/>
      </c>
      <c r="E540" s="6" t="str">
        <f>"*"</f>
        <v>*</v>
      </c>
    </row>
    <row r="541" spans="1:5" x14ac:dyDescent="0.25">
      <c r="A541" s="8">
        <v>63252</v>
      </c>
      <c r="B541" s="5" t="s">
        <v>626</v>
      </c>
      <c r="C541" s="6" t="s">
        <v>1404</v>
      </c>
      <c r="D541" s="6" t="str">
        <f>_xlfn.IFNA(IF(VLOOKUP(tabListaItens[[#This Row],[CÓDIGO]],tabExcluirDoEstoque[#Data],1,FALSE),"sim",""),"")</f>
        <v/>
      </c>
      <c r="E541" s="6" t="str">
        <f>"*"</f>
        <v>*</v>
      </c>
    </row>
    <row r="542" spans="1:5" x14ac:dyDescent="0.25">
      <c r="A542" s="8">
        <v>63382</v>
      </c>
      <c r="B542" s="5" t="s">
        <v>619</v>
      </c>
      <c r="C542" s="6" t="s">
        <v>1417</v>
      </c>
      <c r="D542" s="6" t="str">
        <f>_xlfn.IFNA(IF(VLOOKUP(tabListaItens[[#This Row],[CÓDIGO]],tabExcluirDoEstoque[#Data],1,FALSE),"sim",""),"")</f>
        <v/>
      </c>
      <c r="E542" s="6" t="str">
        <f>"*"</f>
        <v>*</v>
      </c>
    </row>
    <row r="543" spans="1:5" x14ac:dyDescent="0.25">
      <c r="A543" s="8">
        <v>63383</v>
      </c>
      <c r="B543" s="5" t="s">
        <v>1258</v>
      </c>
      <c r="C543" s="6" t="s">
        <v>1404</v>
      </c>
      <c r="D543" s="6" t="str">
        <f>_xlfn.IFNA(IF(VLOOKUP(tabListaItens[[#This Row],[CÓDIGO]],tabExcluirDoEstoque[#Data],1,FALSE),"sim",""),"")</f>
        <v>sim</v>
      </c>
      <c r="E543" s="6" t="str">
        <f>"*"</f>
        <v>*</v>
      </c>
    </row>
    <row r="544" spans="1:5" x14ac:dyDescent="0.25">
      <c r="A544" s="8">
        <v>63384</v>
      </c>
      <c r="B544" s="5" t="s">
        <v>1259</v>
      </c>
      <c r="C544" s="6" t="s">
        <v>1397</v>
      </c>
      <c r="D544" s="6" t="str">
        <f>_xlfn.IFNA(IF(VLOOKUP(tabListaItens[[#This Row],[CÓDIGO]],tabExcluirDoEstoque[#Data],1,FALSE),"sim",""),"")</f>
        <v>sim</v>
      </c>
      <c r="E544" s="6" t="str">
        <f>"*"</f>
        <v>*</v>
      </c>
    </row>
    <row r="545" spans="1:5" x14ac:dyDescent="0.25">
      <c r="A545" s="8">
        <v>63385</v>
      </c>
      <c r="B545" s="5" t="s">
        <v>684</v>
      </c>
      <c r="C545" s="6" t="s">
        <v>1416</v>
      </c>
      <c r="D545" s="6" t="str">
        <f>_xlfn.IFNA(IF(VLOOKUP(tabListaItens[[#This Row],[CÓDIGO]],tabExcluirDoEstoque[#Data],1,FALSE),"sim",""),"")</f>
        <v/>
      </c>
      <c r="E545" s="6" t="str">
        <f>"*"</f>
        <v>*</v>
      </c>
    </row>
    <row r="546" spans="1:5" x14ac:dyDescent="0.25">
      <c r="A546" s="8">
        <v>63591</v>
      </c>
      <c r="B546" s="5" t="s">
        <v>672</v>
      </c>
      <c r="C546" s="6" t="s">
        <v>1416</v>
      </c>
      <c r="D546" s="6" t="str">
        <f>_xlfn.IFNA(IF(VLOOKUP(tabListaItens[[#This Row],[CÓDIGO]],tabExcluirDoEstoque[#Data],1,FALSE),"sim",""),"")</f>
        <v/>
      </c>
      <c r="E546" s="6" t="str">
        <f>"*"</f>
        <v>*</v>
      </c>
    </row>
    <row r="547" spans="1:5" x14ac:dyDescent="0.25">
      <c r="A547" s="8">
        <v>63839</v>
      </c>
      <c r="B547" s="5" t="s">
        <v>329</v>
      </c>
      <c r="C547" s="6" t="s">
        <v>1419</v>
      </c>
      <c r="D547" s="6" t="str">
        <f>_xlfn.IFNA(IF(VLOOKUP(tabListaItens[[#This Row],[CÓDIGO]],tabExcluirDoEstoque[#Data],1,FALSE),"sim",""),"")</f>
        <v/>
      </c>
      <c r="E547" s="6" t="str">
        <f>"*"</f>
        <v>*</v>
      </c>
    </row>
    <row r="548" spans="1:5" x14ac:dyDescent="0.25">
      <c r="A548" s="8">
        <v>63991</v>
      </c>
      <c r="B548" s="5" t="s">
        <v>136</v>
      </c>
      <c r="C548" s="6" t="s">
        <v>1407</v>
      </c>
      <c r="D548" s="6" t="str">
        <f>_xlfn.IFNA(IF(VLOOKUP(tabListaItens[[#This Row],[CÓDIGO]],tabExcluirDoEstoque[#Data],1,FALSE),"sim",""),"")</f>
        <v/>
      </c>
      <c r="E548" s="6" t="str">
        <f>"*"</f>
        <v>*</v>
      </c>
    </row>
    <row r="549" spans="1:5" x14ac:dyDescent="0.25">
      <c r="A549" s="8">
        <v>64044</v>
      </c>
      <c r="B549" s="5" t="s">
        <v>876</v>
      </c>
      <c r="C549" s="6" t="s">
        <v>1420</v>
      </c>
      <c r="D549" s="6" t="str">
        <f>_xlfn.IFNA(IF(VLOOKUP(tabListaItens[[#This Row],[CÓDIGO]],tabExcluirDoEstoque[#Data],1,FALSE),"sim",""),"")</f>
        <v/>
      </c>
      <c r="E549" s="6" t="str">
        <f>"*"</f>
        <v>*</v>
      </c>
    </row>
    <row r="550" spans="1:5" x14ac:dyDescent="0.25">
      <c r="A550" s="8">
        <v>64253</v>
      </c>
      <c r="B550" s="5" t="s">
        <v>966</v>
      </c>
      <c r="C550" s="6" t="s">
        <v>1409</v>
      </c>
      <c r="D550" s="6" t="str">
        <f>_xlfn.IFNA(IF(VLOOKUP(tabListaItens[[#This Row],[CÓDIGO]],tabExcluirDoEstoque[#Data],1,FALSE),"sim",""),"")</f>
        <v/>
      </c>
      <c r="E550" s="6" t="str">
        <f>"*"</f>
        <v>*</v>
      </c>
    </row>
    <row r="551" spans="1:5" x14ac:dyDescent="0.25">
      <c r="A551" s="8">
        <v>64302</v>
      </c>
      <c r="B551" s="5" t="s">
        <v>210</v>
      </c>
      <c r="C551" s="6" t="s">
        <v>1413</v>
      </c>
      <c r="D551" s="6" t="str">
        <f>_xlfn.IFNA(IF(VLOOKUP(tabListaItens[[#This Row],[CÓDIGO]],tabExcluirDoEstoque[#Data],1,FALSE),"sim",""),"")</f>
        <v>sim</v>
      </c>
      <c r="E551" s="6" t="str">
        <f>"*"</f>
        <v>*</v>
      </c>
    </row>
    <row r="552" spans="1:5" x14ac:dyDescent="0.25">
      <c r="A552" s="8">
        <v>64460</v>
      </c>
      <c r="B552" s="5" t="s">
        <v>1113</v>
      </c>
      <c r="C552" s="6" t="s">
        <v>1397</v>
      </c>
      <c r="D552" s="6" t="str">
        <f>_xlfn.IFNA(IF(VLOOKUP(tabListaItens[[#This Row],[CÓDIGO]],tabExcluirDoEstoque[#Data],1,FALSE),"sim",""),"")</f>
        <v>sim</v>
      </c>
      <c r="E552" s="6" t="str">
        <f>"*"</f>
        <v>*</v>
      </c>
    </row>
    <row r="553" spans="1:5" x14ac:dyDescent="0.25">
      <c r="A553" s="8">
        <v>64461</v>
      </c>
      <c r="B553" s="5" t="s">
        <v>1112</v>
      </c>
      <c r="C553" s="6" t="s">
        <v>1397</v>
      </c>
      <c r="D553" s="6" t="str">
        <f>_xlfn.IFNA(IF(VLOOKUP(tabListaItens[[#This Row],[CÓDIGO]],tabExcluirDoEstoque[#Data],1,FALSE),"sim",""),"")</f>
        <v>sim</v>
      </c>
      <c r="E553" s="6" t="str">
        <f>"*"</f>
        <v>*</v>
      </c>
    </row>
    <row r="554" spans="1:5" x14ac:dyDescent="0.25">
      <c r="A554" s="8">
        <v>64462</v>
      </c>
      <c r="B554" s="5" t="s">
        <v>1111</v>
      </c>
      <c r="C554" s="6" t="s">
        <v>1397</v>
      </c>
      <c r="D554" s="6" t="str">
        <f>_xlfn.IFNA(IF(VLOOKUP(tabListaItens[[#This Row],[CÓDIGO]],tabExcluirDoEstoque[#Data],1,FALSE),"sim",""),"")</f>
        <v/>
      </c>
      <c r="E554" s="6" t="str">
        <f>"*"</f>
        <v>*</v>
      </c>
    </row>
    <row r="555" spans="1:5" x14ac:dyDescent="0.25">
      <c r="A555" s="8">
        <v>64463</v>
      </c>
      <c r="B555" s="5" t="s">
        <v>1110</v>
      </c>
      <c r="C555" s="6" t="s">
        <v>1397</v>
      </c>
      <c r="D555" s="6" t="str">
        <f>_xlfn.IFNA(IF(VLOOKUP(tabListaItens[[#This Row],[CÓDIGO]],tabExcluirDoEstoque[#Data],1,FALSE),"sim",""),"")</f>
        <v>sim</v>
      </c>
      <c r="E555" s="6" t="str">
        <f>"*"</f>
        <v>*</v>
      </c>
    </row>
    <row r="556" spans="1:5" x14ac:dyDescent="0.25">
      <c r="A556" s="8">
        <v>64466</v>
      </c>
      <c r="B556" s="5" t="s">
        <v>132</v>
      </c>
      <c r="C556" s="6" t="s">
        <v>1397</v>
      </c>
      <c r="D556" s="6" t="str">
        <f>_xlfn.IFNA(IF(VLOOKUP(tabListaItens[[#This Row],[CÓDIGO]],tabExcluirDoEstoque[#Data],1,FALSE),"sim",""),"")</f>
        <v/>
      </c>
      <c r="E556" s="6" t="str">
        <f>"*"</f>
        <v>*</v>
      </c>
    </row>
    <row r="557" spans="1:5" x14ac:dyDescent="0.25">
      <c r="A557" s="8">
        <v>64604</v>
      </c>
      <c r="B557" s="5" t="s">
        <v>145</v>
      </c>
      <c r="C557" s="6" t="s">
        <v>1409</v>
      </c>
      <c r="D557" s="6" t="str">
        <f>_xlfn.IFNA(IF(VLOOKUP(tabListaItens[[#This Row],[CÓDIGO]],tabExcluirDoEstoque[#Data],1,FALSE),"sim",""),"")</f>
        <v/>
      </c>
      <c r="E557" s="6" t="str">
        <f>"*"</f>
        <v>*</v>
      </c>
    </row>
    <row r="558" spans="1:5" x14ac:dyDescent="0.25">
      <c r="A558" s="8">
        <v>64605</v>
      </c>
      <c r="B558" s="5" t="s">
        <v>146</v>
      </c>
      <c r="C558" s="6" t="s">
        <v>1409</v>
      </c>
      <c r="D558" s="6" t="str">
        <f>_xlfn.IFNA(IF(VLOOKUP(tabListaItens[[#This Row],[CÓDIGO]],tabExcluirDoEstoque[#Data],1,FALSE),"sim",""),"")</f>
        <v/>
      </c>
      <c r="E558" s="6" t="str">
        <f>"*"</f>
        <v>*</v>
      </c>
    </row>
    <row r="559" spans="1:5" x14ac:dyDescent="0.25">
      <c r="A559" s="8">
        <v>64606</v>
      </c>
      <c r="B559" s="5" t="s">
        <v>1260</v>
      </c>
      <c r="C559" s="6" t="s">
        <v>1409</v>
      </c>
      <c r="D559" s="6" t="str">
        <f>_xlfn.IFNA(IF(VLOOKUP(tabListaItens[[#This Row],[CÓDIGO]],tabExcluirDoEstoque[#Data],1,FALSE),"sim",""),"")</f>
        <v>sim</v>
      </c>
      <c r="E559" s="6" t="str">
        <f>"*"</f>
        <v>*</v>
      </c>
    </row>
    <row r="560" spans="1:5" x14ac:dyDescent="0.25">
      <c r="A560" s="8">
        <v>64607</v>
      </c>
      <c r="B560" s="5" t="s">
        <v>276</v>
      </c>
      <c r="C560" s="6" t="s">
        <v>1409</v>
      </c>
      <c r="D560" s="6" t="str">
        <f>_xlfn.IFNA(IF(VLOOKUP(tabListaItens[[#This Row],[CÓDIGO]],tabExcluirDoEstoque[#Data],1,FALSE),"sim",""),"")</f>
        <v/>
      </c>
      <c r="E560" s="6" t="str">
        <f>"*"</f>
        <v>*</v>
      </c>
    </row>
    <row r="561" spans="1:5" x14ac:dyDescent="0.25">
      <c r="A561" s="8">
        <v>64608</v>
      </c>
      <c r="B561" s="5" t="s">
        <v>1261</v>
      </c>
      <c r="C561" s="6" t="s">
        <v>1409</v>
      </c>
      <c r="D561" s="6" t="str">
        <f>_xlfn.IFNA(IF(VLOOKUP(tabListaItens[[#This Row],[CÓDIGO]],tabExcluirDoEstoque[#Data],1,FALSE),"sim",""),"")</f>
        <v>sim</v>
      </c>
      <c r="E561" s="6" t="str">
        <f>"*"</f>
        <v>*</v>
      </c>
    </row>
    <row r="562" spans="1:5" x14ac:dyDescent="0.25">
      <c r="A562" s="8">
        <v>64609</v>
      </c>
      <c r="B562" s="5" t="s">
        <v>277</v>
      </c>
      <c r="C562" s="6" t="s">
        <v>1409</v>
      </c>
      <c r="D562" s="6" t="str">
        <f>_xlfn.IFNA(IF(VLOOKUP(tabListaItens[[#This Row],[CÓDIGO]],tabExcluirDoEstoque[#Data],1,FALSE),"sim",""),"")</f>
        <v/>
      </c>
      <c r="E562" s="6" t="str">
        <f>"*"</f>
        <v>*</v>
      </c>
    </row>
    <row r="563" spans="1:5" x14ac:dyDescent="0.25">
      <c r="A563" s="8">
        <v>64610</v>
      </c>
      <c r="B563" s="5" t="s">
        <v>306</v>
      </c>
      <c r="C563" s="6" t="s">
        <v>1397</v>
      </c>
      <c r="D563" s="6" t="str">
        <f>_xlfn.IFNA(IF(VLOOKUP(tabListaItens[[#This Row],[CÓDIGO]],tabExcluirDoEstoque[#Data],1,FALSE),"sim",""),"")</f>
        <v/>
      </c>
      <c r="E563" s="6" t="str">
        <f>"*"</f>
        <v>*</v>
      </c>
    </row>
    <row r="564" spans="1:5" x14ac:dyDescent="0.25">
      <c r="A564" s="8">
        <v>64625</v>
      </c>
      <c r="B564" s="5" t="s">
        <v>455</v>
      </c>
      <c r="C564" s="6" t="s">
        <v>1409</v>
      </c>
      <c r="D564" s="6" t="str">
        <f>_xlfn.IFNA(IF(VLOOKUP(tabListaItens[[#This Row],[CÓDIGO]],tabExcluirDoEstoque[#Data],1,FALSE),"sim",""),"")</f>
        <v/>
      </c>
      <c r="E564" s="6" t="str">
        <f>"*"</f>
        <v>*</v>
      </c>
    </row>
    <row r="565" spans="1:5" x14ac:dyDescent="0.25">
      <c r="A565" s="8">
        <v>64626</v>
      </c>
      <c r="B565" s="5" t="s">
        <v>456</v>
      </c>
      <c r="C565" s="6" t="s">
        <v>1409</v>
      </c>
      <c r="D565" s="6" t="str">
        <f>_xlfn.IFNA(IF(VLOOKUP(tabListaItens[[#This Row],[CÓDIGO]],tabExcluirDoEstoque[#Data],1,FALSE),"sim",""),"")</f>
        <v/>
      </c>
      <c r="E565" s="6" t="str">
        <f>"*"</f>
        <v>*</v>
      </c>
    </row>
    <row r="566" spans="1:5" x14ac:dyDescent="0.25">
      <c r="A566" s="8">
        <v>64627</v>
      </c>
      <c r="B566" s="5" t="s">
        <v>461</v>
      </c>
      <c r="C566" s="6" t="s">
        <v>1409</v>
      </c>
      <c r="D566" s="6" t="str">
        <f>_xlfn.IFNA(IF(VLOOKUP(tabListaItens[[#This Row],[CÓDIGO]],tabExcluirDoEstoque[#Data],1,FALSE),"sim",""),"")</f>
        <v/>
      </c>
      <c r="E566" s="6" t="str">
        <f>"*"</f>
        <v>*</v>
      </c>
    </row>
    <row r="567" spans="1:5" x14ac:dyDescent="0.25">
      <c r="A567" s="8">
        <v>64630</v>
      </c>
      <c r="B567" s="5" t="s">
        <v>1527</v>
      </c>
      <c r="C567" s="6" t="s">
        <v>1397</v>
      </c>
      <c r="D567" s="6" t="str">
        <f>_xlfn.IFNA(IF(VLOOKUP(tabListaItens[[#This Row],[CÓDIGO]],tabExcluirDoEstoque[#Data],1,FALSE),"sim",""),"")</f>
        <v>sim</v>
      </c>
      <c r="E567" s="6" t="str">
        <f>"*"</f>
        <v>*</v>
      </c>
    </row>
    <row r="568" spans="1:5" x14ac:dyDescent="0.25">
      <c r="A568" s="8">
        <v>64631</v>
      </c>
      <c r="B568" s="5" t="s">
        <v>1078</v>
      </c>
      <c r="C568" s="6" t="s">
        <v>1397</v>
      </c>
      <c r="D568" s="6" t="str">
        <f>_xlfn.IFNA(IF(VLOOKUP(tabListaItens[[#This Row],[CÓDIGO]],tabExcluirDoEstoque[#Data],1,FALSE),"sim",""),"")</f>
        <v>sim</v>
      </c>
      <c r="E568" s="6" t="str">
        <f>"*"</f>
        <v>*</v>
      </c>
    </row>
    <row r="569" spans="1:5" x14ac:dyDescent="0.25">
      <c r="A569" s="8">
        <v>64633</v>
      </c>
      <c r="B569" s="5" t="s">
        <v>1262</v>
      </c>
      <c r="C569" s="6" t="s">
        <v>1397</v>
      </c>
      <c r="D569" s="6" t="str">
        <f>_xlfn.IFNA(IF(VLOOKUP(tabListaItens[[#This Row],[CÓDIGO]],tabExcluirDoEstoque[#Data],1,FALSE),"sim",""),"")</f>
        <v>sim</v>
      </c>
      <c r="E569" s="6" t="str">
        <f>"*"</f>
        <v>*</v>
      </c>
    </row>
    <row r="570" spans="1:5" x14ac:dyDescent="0.25">
      <c r="A570" s="8">
        <v>64634</v>
      </c>
      <c r="B570" s="5" t="s">
        <v>389</v>
      </c>
      <c r="C570" s="6" t="s">
        <v>1397</v>
      </c>
      <c r="D570" s="6" t="str">
        <f>_xlfn.IFNA(IF(VLOOKUP(tabListaItens[[#This Row],[CÓDIGO]],tabExcluirDoEstoque[#Data],1,FALSE),"sim",""),"")</f>
        <v/>
      </c>
      <c r="E570" s="6" t="str">
        <f>"*"</f>
        <v>*</v>
      </c>
    </row>
    <row r="571" spans="1:5" x14ac:dyDescent="0.25">
      <c r="A571" s="8">
        <v>64635</v>
      </c>
      <c r="B571" s="5" t="s">
        <v>603</v>
      </c>
      <c r="C571" s="6" t="s">
        <v>1397</v>
      </c>
      <c r="D571" s="6" t="str">
        <f>_xlfn.IFNA(IF(VLOOKUP(tabListaItens[[#This Row],[CÓDIGO]],tabExcluirDoEstoque[#Data],1,FALSE),"sim",""),"")</f>
        <v/>
      </c>
      <c r="E571" s="6" t="str">
        <f>"*"</f>
        <v>*</v>
      </c>
    </row>
    <row r="572" spans="1:5" x14ac:dyDescent="0.25">
      <c r="A572" s="8">
        <v>64636</v>
      </c>
      <c r="B572" s="5" t="s">
        <v>604</v>
      </c>
      <c r="C572" s="6" t="s">
        <v>1397</v>
      </c>
      <c r="D572" s="6" t="str">
        <f>_xlfn.IFNA(IF(VLOOKUP(tabListaItens[[#This Row],[CÓDIGO]],tabExcluirDoEstoque[#Data],1,FALSE),"sim",""),"")</f>
        <v/>
      </c>
      <c r="E572" s="6" t="str">
        <f>"*"</f>
        <v>*</v>
      </c>
    </row>
    <row r="573" spans="1:5" x14ac:dyDescent="0.25">
      <c r="A573" s="8">
        <v>64646</v>
      </c>
      <c r="B573" s="5" t="s">
        <v>847</v>
      </c>
      <c r="C573" s="6" t="s">
        <v>1397</v>
      </c>
      <c r="D573" s="6" t="str">
        <f>_xlfn.IFNA(IF(VLOOKUP(tabListaItens[[#This Row],[CÓDIGO]],tabExcluirDoEstoque[#Data],1,FALSE),"sim",""),"")</f>
        <v/>
      </c>
      <c r="E573" s="6" t="str">
        <f>"*"</f>
        <v>*</v>
      </c>
    </row>
    <row r="574" spans="1:5" x14ac:dyDescent="0.25">
      <c r="A574" s="8">
        <v>64647</v>
      </c>
      <c r="B574" s="5" t="s">
        <v>869</v>
      </c>
      <c r="C574" s="6" t="s">
        <v>1397</v>
      </c>
      <c r="D574" s="6" t="str">
        <f>_xlfn.IFNA(IF(VLOOKUP(tabListaItens[[#This Row],[CÓDIGO]],tabExcluirDoEstoque[#Data],1,FALSE),"sim",""),"")</f>
        <v/>
      </c>
      <c r="E574" s="6" t="str">
        <f>"*"</f>
        <v>*</v>
      </c>
    </row>
    <row r="575" spans="1:5" x14ac:dyDescent="0.25">
      <c r="A575" s="8">
        <v>64648</v>
      </c>
      <c r="B575" s="5" t="s">
        <v>873</v>
      </c>
      <c r="C575" s="6" t="s">
        <v>1397</v>
      </c>
      <c r="D575" s="6" t="str">
        <f>_xlfn.IFNA(IF(VLOOKUP(tabListaItens[[#This Row],[CÓDIGO]],tabExcluirDoEstoque[#Data],1,FALSE),"sim",""),"")</f>
        <v/>
      </c>
      <c r="E575" s="6" t="str">
        <f>"*"</f>
        <v>*</v>
      </c>
    </row>
    <row r="576" spans="1:5" x14ac:dyDescent="0.25">
      <c r="A576" s="8">
        <v>64817</v>
      </c>
      <c r="B576" s="5" t="s">
        <v>462</v>
      </c>
      <c r="C576" s="6" t="s">
        <v>1409</v>
      </c>
      <c r="D576" s="6" t="str">
        <f>_xlfn.IFNA(IF(VLOOKUP(tabListaItens[[#This Row],[CÓDIGO]],tabExcluirDoEstoque[#Data],1,FALSE),"sim",""),"")</f>
        <v/>
      </c>
      <c r="E576" s="6" t="str">
        <f>"*"</f>
        <v>*</v>
      </c>
    </row>
    <row r="577" spans="1:5" x14ac:dyDescent="0.25">
      <c r="A577" s="8">
        <v>64818</v>
      </c>
      <c r="B577" s="5" t="s">
        <v>1146</v>
      </c>
      <c r="C577" s="6" t="s">
        <v>1397</v>
      </c>
      <c r="D577" s="6" t="str">
        <f>_xlfn.IFNA(IF(VLOOKUP(tabListaItens[[#This Row],[CÓDIGO]],tabExcluirDoEstoque[#Data],1,FALSE),"sim",""),"")</f>
        <v>sim</v>
      </c>
      <c r="E577" s="6" t="str">
        <f>"*"</f>
        <v>*</v>
      </c>
    </row>
    <row r="578" spans="1:5" x14ac:dyDescent="0.25">
      <c r="A578" s="8">
        <v>64819</v>
      </c>
      <c r="B578" s="5" t="s">
        <v>1263</v>
      </c>
      <c r="C578" s="6" t="s">
        <v>1413</v>
      </c>
      <c r="D578" s="6" t="str">
        <f>_xlfn.IFNA(IF(VLOOKUP(tabListaItens[[#This Row],[CÓDIGO]],tabExcluirDoEstoque[#Data],1,FALSE),"sim",""),"")</f>
        <v>sim</v>
      </c>
      <c r="E578" s="6" t="str">
        <f>"*"</f>
        <v>*</v>
      </c>
    </row>
    <row r="579" spans="1:5" x14ac:dyDescent="0.25">
      <c r="A579" s="8">
        <v>64820</v>
      </c>
      <c r="B579" s="5" t="s">
        <v>1264</v>
      </c>
      <c r="C579" s="6" t="s">
        <v>1397</v>
      </c>
      <c r="D579" s="6" t="str">
        <f>_xlfn.IFNA(IF(VLOOKUP(tabListaItens[[#This Row],[CÓDIGO]],tabExcluirDoEstoque[#Data],1,FALSE),"sim",""),"")</f>
        <v>sim</v>
      </c>
      <c r="E579" s="6" t="str">
        <f>"*"</f>
        <v>*</v>
      </c>
    </row>
    <row r="580" spans="1:5" x14ac:dyDescent="0.25">
      <c r="A580" s="8">
        <v>64821</v>
      </c>
      <c r="B580" s="5" t="s">
        <v>921</v>
      </c>
      <c r="C580" s="6" t="s">
        <v>1403</v>
      </c>
      <c r="D580" s="6" t="str">
        <f>_xlfn.IFNA(IF(VLOOKUP(tabListaItens[[#This Row],[CÓDIGO]],tabExcluirDoEstoque[#Data],1,FALSE),"sim",""),"")</f>
        <v>sim</v>
      </c>
      <c r="E580" s="6" t="str">
        <f>"*"</f>
        <v>*</v>
      </c>
    </row>
    <row r="581" spans="1:5" x14ac:dyDescent="0.25">
      <c r="A581" s="8">
        <v>64822</v>
      </c>
      <c r="B581" s="5" t="s">
        <v>58</v>
      </c>
      <c r="C581" s="6" t="s">
        <v>1403</v>
      </c>
      <c r="D581" s="6" t="str">
        <f>_xlfn.IFNA(IF(VLOOKUP(tabListaItens[[#This Row],[CÓDIGO]],tabExcluirDoEstoque[#Data],1,FALSE),"sim",""),"")</f>
        <v>sim</v>
      </c>
      <c r="E581" s="6" t="str">
        <f>"*"</f>
        <v>*</v>
      </c>
    </row>
    <row r="582" spans="1:5" x14ac:dyDescent="0.25">
      <c r="A582" s="8">
        <v>64860</v>
      </c>
      <c r="B582" s="5" t="s">
        <v>457</v>
      </c>
      <c r="C582" s="6" t="s">
        <v>1409</v>
      </c>
      <c r="D582" s="6" t="str">
        <f>_xlfn.IFNA(IF(VLOOKUP(tabListaItens[[#This Row],[CÓDIGO]],tabExcluirDoEstoque[#Data],1,FALSE),"sim",""),"")</f>
        <v/>
      </c>
      <c r="E582" s="6" t="str">
        <f>"*"</f>
        <v>*</v>
      </c>
    </row>
    <row r="583" spans="1:5" x14ac:dyDescent="0.25">
      <c r="A583" s="8">
        <v>64861</v>
      </c>
      <c r="B583" s="5" t="s">
        <v>460</v>
      </c>
      <c r="C583" s="6" t="s">
        <v>1409</v>
      </c>
      <c r="D583" s="6" t="str">
        <f>_xlfn.IFNA(IF(VLOOKUP(tabListaItens[[#This Row],[CÓDIGO]],tabExcluirDoEstoque[#Data],1,FALSE),"sim",""),"")</f>
        <v/>
      </c>
      <c r="E583" s="6" t="str">
        <f>"*"</f>
        <v>*</v>
      </c>
    </row>
    <row r="584" spans="1:5" x14ac:dyDescent="0.25">
      <c r="A584" s="8">
        <v>65173</v>
      </c>
      <c r="B584" s="5" t="s">
        <v>809</v>
      </c>
      <c r="C584" s="6" t="s">
        <v>1397</v>
      </c>
      <c r="D584" s="6" t="str">
        <f>_xlfn.IFNA(IF(VLOOKUP(tabListaItens[[#This Row],[CÓDIGO]],tabExcluirDoEstoque[#Data],1,FALSE),"sim",""),"")</f>
        <v/>
      </c>
      <c r="E584" s="6" t="str">
        <f>"*"</f>
        <v>*</v>
      </c>
    </row>
    <row r="585" spans="1:5" x14ac:dyDescent="0.25">
      <c r="A585" s="8">
        <v>65609</v>
      </c>
      <c r="B585" s="5" t="s">
        <v>1030</v>
      </c>
      <c r="C585" s="6" t="s">
        <v>1397</v>
      </c>
      <c r="D585" s="6" t="str">
        <f>_xlfn.IFNA(IF(VLOOKUP(tabListaItens[[#This Row],[CÓDIGO]],tabExcluirDoEstoque[#Data],1,FALSE),"sim",""),"")</f>
        <v>sim</v>
      </c>
      <c r="E585" s="6" t="str">
        <f>"*"</f>
        <v>*</v>
      </c>
    </row>
    <row r="586" spans="1:5" x14ac:dyDescent="0.25">
      <c r="A586" s="8">
        <v>65610</v>
      </c>
      <c r="B586" s="5" t="s">
        <v>1029</v>
      </c>
      <c r="C586" s="6" t="s">
        <v>1397</v>
      </c>
      <c r="D586" s="6" t="str">
        <f>_xlfn.IFNA(IF(VLOOKUP(tabListaItens[[#This Row],[CÓDIGO]],tabExcluirDoEstoque[#Data],1,FALSE),"sim",""),"")</f>
        <v>sim</v>
      </c>
      <c r="E586" s="6" t="str">
        <f>"*"</f>
        <v>*</v>
      </c>
    </row>
    <row r="587" spans="1:5" x14ac:dyDescent="0.25">
      <c r="A587" s="8">
        <v>65748</v>
      </c>
      <c r="B587" s="5" t="s">
        <v>59</v>
      </c>
      <c r="C587" s="6" t="s">
        <v>1413</v>
      </c>
      <c r="D587" s="6" t="str">
        <f>_xlfn.IFNA(IF(VLOOKUP(tabListaItens[[#This Row],[CÓDIGO]],tabExcluirDoEstoque[#Data],1,FALSE),"sim",""),"")</f>
        <v>sim</v>
      </c>
      <c r="E587" s="6" t="str">
        <f>"*"</f>
        <v>*</v>
      </c>
    </row>
    <row r="588" spans="1:5" x14ac:dyDescent="0.25">
      <c r="A588" s="8">
        <v>66168</v>
      </c>
      <c r="B588" s="5" t="s">
        <v>968</v>
      </c>
      <c r="C588" s="6" t="s">
        <v>1409</v>
      </c>
      <c r="D588" s="6" t="str">
        <f>_xlfn.IFNA(IF(VLOOKUP(tabListaItens[[#This Row],[CÓDIGO]],tabExcluirDoEstoque[#Data],1,FALSE),"sim",""),"")</f>
        <v/>
      </c>
      <c r="E588" s="6" t="str">
        <f>"*"</f>
        <v>*</v>
      </c>
    </row>
    <row r="589" spans="1:5" x14ac:dyDescent="0.25">
      <c r="A589" s="8">
        <v>66308</v>
      </c>
      <c r="B589" s="5" t="s">
        <v>133</v>
      </c>
      <c r="C589" s="6" t="s">
        <v>1397</v>
      </c>
      <c r="D589" s="6" t="str">
        <f>_xlfn.IFNA(IF(VLOOKUP(tabListaItens[[#This Row],[CÓDIGO]],tabExcluirDoEstoque[#Data],1,FALSE),"sim",""),"")</f>
        <v/>
      </c>
      <c r="E589" s="6" t="str">
        <f>"*"</f>
        <v>*</v>
      </c>
    </row>
    <row r="590" spans="1:5" x14ac:dyDescent="0.25">
      <c r="A590" s="8">
        <v>66786</v>
      </c>
      <c r="B590" s="5" t="s">
        <v>1141</v>
      </c>
      <c r="C590" s="6" t="s">
        <v>1427</v>
      </c>
      <c r="D590" s="6" t="str">
        <f>_xlfn.IFNA(IF(VLOOKUP(tabListaItens[[#This Row],[CÓDIGO]],tabExcluirDoEstoque[#Data],1,FALSE),"sim",""),"")</f>
        <v>sim</v>
      </c>
      <c r="E590" s="6" t="str">
        <f>"*"</f>
        <v>*</v>
      </c>
    </row>
    <row r="591" spans="1:5" x14ac:dyDescent="0.25">
      <c r="A591" s="8">
        <v>67375</v>
      </c>
      <c r="B591" s="5" t="s">
        <v>375</v>
      </c>
      <c r="C591" s="6" t="s">
        <v>1397</v>
      </c>
      <c r="D591" s="6" t="str">
        <f>_xlfn.IFNA(IF(VLOOKUP(tabListaItens[[#This Row],[CÓDIGO]],tabExcluirDoEstoque[#Data],1,FALSE),"sim",""),"")</f>
        <v/>
      </c>
      <c r="E591" s="6" t="str">
        <f>"*"</f>
        <v>*</v>
      </c>
    </row>
    <row r="592" spans="1:5" x14ac:dyDescent="0.25">
      <c r="A592" s="8">
        <v>67376</v>
      </c>
      <c r="B592" s="5" t="s">
        <v>374</v>
      </c>
      <c r="C592" s="6" t="s">
        <v>1397</v>
      </c>
      <c r="D592" s="6" t="str">
        <f>_xlfn.IFNA(IF(VLOOKUP(tabListaItens[[#This Row],[CÓDIGO]],tabExcluirDoEstoque[#Data],1,FALSE),"sim",""),"")</f>
        <v/>
      </c>
      <c r="E592" s="6" t="str">
        <f>"*"</f>
        <v>*</v>
      </c>
    </row>
    <row r="593" spans="1:5" x14ac:dyDescent="0.25">
      <c r="A593" s="8">
        <v>67862</v>
      </c>
      <c r="B593" s="5" t="s">
        <v>1265</v>
      </c>
      <c r="C593" s="6" t="s">
        <v>1397</v>
      </c>
      <c r="D593" s="6" t="str">
        <f>_xlfn.IFNA(IF(VLOOKUP(tabListaItens[[#This Row],[CÓDIGO]],tabExcluirDoEstoque[#Data],1,FALSE),"sim",""),"")</f>
        <v>sim</v>
      </c>
      <c r="E593" s="6" t="str">
        <f>"*"</f>
        <v>*</v>
      </c>
    </row>
    <row r="594" spans="1:5" x14ac:dyDescent="0.25">
      <c r="A594" s="8">
        <v>67892</v>
      </c>
      <c r="B594" s="5" t="s">
        <v>1170</v>
      </c>
      <c r="C594" s="6" t="s">
        <v>1397</v>
      </c>
      <c r="D594" s="6" t="str">
        <f>_xlfn.IFNA(IF(VLOOKUP(tabListaItens[[#This Row],[CÓDIGO]],tabExcluirDoEstoque[#Data],1,FALSE),"sim",""),"")</f>
        <v>sim</v>
      </c>
      <c r="E594" s="6" t="str">
        <f>"*"</f>
        <v>*</v>
      </c>
    </row>
    <row r="595" spans="1:5" x14ac:dyDescent="0.25">
      <c r="A595" s="8">
        <v>67939</v>
      </c>
      <c r="B595" s="5" t="s">
        <v>511</v>
      </c>
      <c r="C595" s="6" t="s">
        <v>1421</v>
      </c>
      <c r="D595" s="6" t="str">
        <f>_xlfn.IFNA(IF(VLOOKUP(tabListaItens[[#This Row],[CÓDIGO]],tabExcluirDoEstoque[#Data],1,FALSE),"sim",""),"")</f>
        <v/>
      </c>
      <c r="E595" s="6" t="str">
        <f>"*"</f>
        <v>*</v>
      </c>
    </row>
    <row r="596" spans="1:5" x14ac:dyDescent="0.25">
      <c r="A596" s="8">
        <v>68351</v>
      </c>
      <c r="B596" s="5" t="s">
        <v>1143</v>
      </c>
      <c r="C596" s="6" t="s">
        <v>1397</v>
      </c>
      <c r="D596" s="6" t="str">
        <f>_xlfn.IFNA(IF(VLOOKUP(tabListaItens[[#This Row],[CÓDIGO]],tabExcluirDoEstoque[#Data],1,FALSE),"sim",""),"")</f>
        <v>sim</v>
      </c>
      <c r="E596" s="6" t="str">
        <f>"*"</f>
        <v>*</v>
      </c>
    </row>
    <row r="597" spans="1:5" x14ac:dyDescent="0.25">
      <c r="A597" s="8">
        <v>69222</v>
      </c>
      <c r="B597" s="5" t="s">
        <v>150</v>
      </c>
      <c r="C597" s="6" t="s">
        <v>1410</v>
      </c>
      <c r="D597" s="6" t="str">
        <f>_xlfn.IFNA(IF(VLOOKUP(tabListaItens[[#This Row],[CÓDIGO]],tabExcluirDoEstoque[#Data],1,FALSE),"sim",""),"")</f>
        <v/>
      </c>
      <c r="E597" s="6" t="str">
        <f>"*"</f>
        <v>*</v>
      </c>
    </row>
    <row r="598" spans="1:5" x14ac:dyDescent="0.25">
      <c r="A598" s="8">
        <v>69229</v>
      </c>
      <c r="B598" s="5" t="s">
        <v>904</v>
      </c>
      <c r="C598" s="6" t="s">
        <v>1399</v>
      </c>
      <c r="D598" s="6" t="str">
        <f>_xlfn.IFNA(IF(VLOOKUP(tabListaItens[[#This Row],[CÓDIGO]],tabExcluirDoEstoque[#Data],1,FALSE),"sim",""),"")</f>
        <v/>
      </c>
      <c r="E598" s="6" t="str">
        <f>"*"</f>
        <v>*</v>
      </c>
    </row>
    <row r="599" spans="1:5" x14ac:dyDescent="0.25">
      <c r="A599" s="8">
        <v>69339</v>
      </c>
      <c r="B599" s="5" t="s">
        <v>1128</v>
      </c>
      <c r="C599" s="6" t="s">
        <v>1397</v>
      </c>
      <c r="D599" s="6" t="str">
        <f>_xlfn.IFNA(IF(VLOOKUP(tabListaItens[[#This Row],[CÓDIGO]],tabExcluirDoEstoque[#Data],1,FALSE),"sim",""),"")</f>
        <v>sim</v>
      </c>
      <c r="E599" s="6" t="str">
        <f>"*"</f>
        <v>*</v>
      </c>
    </row>
    <row r="600" spans="1:5" x14ac:dyDescent="0.25">
      <c r="A600" s="8">
        <v>70379</v>
      </c>
      <c r="B600" s="5" t="s">
        <v>688</v>
      </c>
      <c r="C600" s="6" t="s">
        <v>1423</v>
      </c>
      <c r="D600" s="6" t="str">
        <f>_xlfn.IFNA(IF(VLOOKUP(tabListaItens[[#This Row],[CÓDIGO]],tabExcluirDoEstoque[#Data],1,FALSE),"sim",""),"")</f>
        <v/>
      </c>
      <c r="E600" s="6" t="str">
        <f>"*"</f>
        <v>*</v>
      </c>
    </row>
    <row r="601" spans="1:5" x14ac:dyDescent="0.25">
      <c r="A601" s="8">
        <v>70967</v>
      </c>
      <c r="B601" s="5" t="s">
        <v>274</v>
      </c>
      <c r="C601" s="6" t="s">
        <v>1397</v>
      </c>
      <c r="D601" s="6" t="str">
        <f>_xlfn.IFNA(IF(VLOOKUP(tabListaItens[[#This Row],[CÓDIGO]],tabExcluirDoEstoque[#Data],1,FALSE),"sim",""),"")</f>
        <v/>
      </c>
      <c r="E601" s="6" t="str">
        <f>"*"</f>
        <v>*</v>
      </c>
    </row>
    <row r="602" spans="1:5" x14ac:dyDescent="0.25">
      <c r="A602" s="8">
        <v>71053</v>
      </c>
      <c r="B602" s="5" t="s">
        <v>818</v>
      </c>
      <c r="C602" s="6" t="s">
        <v>1397</v>
      </c>
      <c r="D602" s="6" t="str">
        <f>_xlfn.IFNA(IF(VLOOKUP(tabListaItens[[#This Row],[CÓDIGO]],tabExcluirDoEstoque[#Data],1,FALSE),"sim",""),"")</f>
        <v>sim</v>
      </c>
      <c r="E602" s="6" t="str">
        <f>"*"</f>
        <v>*</v>
      </c>
    </row>
    <row r="603" spans="1:5" x14ac:dyDescent="0.25">
      <c r="A603" s="8">
        <v>71189</v>
      </c>
      <c r="B603" s="5" t="s">
        <v>1046</v>
      </c>
      <c r="C603" s="6" t="s">
        <v>1404</v>
      </c>
      <c r="D603" s="6" t="str">
        <f>_xlfn.IFNA(IF(VLOOKUP(tabListaItens[[#This Row],[CÓDIGO]],tabExcluirDoEstoque[#Data],1,FALSE),"sim",""),"")</f>
        <v>sim</v>
      </c>
      <c r="E603" s="6" t="str">
        <f>"*"</f>
        <v>*</v>
      </c>
    </row>
    <row r="604" spans="1:5" x14ac:dyDescent="0.25">
      <c r="A604" s="8">
        <v>71190</v>
      </c>
      <c r="B604" s="5" t="s">
        <v>1046</v>
      </c>
      <c r="C604" s="6" t="s">
        <v>1397</v>
      </c>
      <c r="D604" s="6" t="str">
        <f>_xlfn.IFNA(IF(VLOOKUP(tabListaItens[[#This Row],[CÓDIGO]],tabExcluirDoEstoque[#Data],1,FALSE),"sim",""),"")</f>
        <v>sim</v>
      </c>
      <c r="E604" s="6" t="str">
        <f>"*"</f>
        <v>*</v>
      </c>
    </row>
    <row r="605" spans="1:5" x14ac:dyDescent="0.25">
      <c r="A605" s="8">
        <v>71697</v>
      </c>
      <c r="B605" s="5" t="s">
        <v>577</v>
      </c>
      <c r="C605" s="6" t="s">
        <v>1416</v>
      </c>
      <c r="D605" s="6" t="str">
        <f>_xlfn.IFNA(IF(VLOOKUP(tabListaItens[[#This Row],[CÓDIGO]],tabExcluirDoEstoque[#Data],1,FALSE),"sim",""),"")</f>
        <v/>
      </c>
      <c r="E605" s="6" t="str">
        <f>"*"</f>
        <v>*</v>
      </c>
    </row>
    <row r="606" spans="1:5" x14ac:dyDescent="0.25">
      <c r="A606" s="8">
        <v>71874</v>
      </c>
      <c r="B606" s="5" t="s">
        <v>822</v>
      </c>
      <c r="C606" s="6" t="s">
        <v>1397</v>
      </c>
      <c r="D606" s="6" t="str">
        <f>_xlfn.IFNA(IF(VLOOKUP(tabListaItens[[#This Row],[CÓDIGO]],tabExcluirDoEstoque[#Data],1,FALSE),"sim",""),"")</f>
        <v/>
      </c>
      <c r="E606" s="6" t="str">
        <f>"*"</f>
        <v>*</v>
      </c>
    </row>
    <row r="607" spans="1:5" x14ac:dyDescent="0.25">
      <c r="A607" s="8">
        <v>72052</v>
      </c>
      <c r="B607" s="5" t="s">
        <v>983</v>
      </c>
      <c r="C607" s="6" t="s">
        <v>1419</v>
      </c>
      <c r="D607" s="6" t="str">
        <f>_xlfn.IFNA(IF(VLOOKUP(tabListaItens[[#This Row],[CÓDIGO]],tabExcluirDoEstoque[#Data],1,FALSE),"sim",""),"")</f>
        <v>sim</v>
      </c>
      <c r="E607" s="6" t="str">
        <f>"*"</f>
        <v>*</v>
      </c>
    </row>
    <row r="608" spans="1:5" x14ac:dyDescent="0.25">
      <c r="A608" s="8">
        <v>72174</v>
      </c>
      <c r="B608" s="5" t="s">
        <v>581</v>
      </c>
      <c r="C608" s="6" t="s">
        <v>1404</v>
      </c>
      <c r="D608" s="6" t="str">
        <f>_xlfn.IFNA(IF(VLOOKUP(tabListaItens[[#This Row],[CÓDIGO]],tabExcluirDoEstoque[#Data],1,FALSE),"sim",""),"")</f>
        <v>sim</v>
      </c>
      <c r="E608" s="6" t="str">
        <f>"*"</f>
        <v>*</v>
      </c>
    </row>
    <row r="609" spans="1:5" x14ac:dyDescent="0.25">
      <c r="A609" s="8">
        <v>72184</v>
      </c>
      <c r="B609" s="5" t="s">
        <v>733</v>
      </c>
      <c r="C609" s="6" t="s">
        <v>1397</v>
      </c>
      <c r="D609" s="6" t="str">
        <f>_xlfn.IFNA(IF(VLOOKUP(tabListaItens[[#This Row],[CÓDIGO]],tabExcluirDoEstoque[#Data],1,FALSE),"sim",""),"")</f>
        <v/>
      </c>
      <c r="E609" s="6" t="str">
        <f>"*"</f>
        <v>*</v>
      </c>
    </row>
    <row r="610" spans="1:5" x14ac:dyDescent="0.25">
      <c r="A610" s="8">
        <v>72222</v>
      </c>
      <c r="B610" s="5" t="s">
        <v>444</v>
      </c>
      <c r="C610" s="6" t="s">
        <v>1398</v>
      </c>
      <c r="D610" s="6" t="str">
        <f>_xlfn.IFNA(IF(VLOOKUP(tabListaItens[[#This Row],[CÓDIGO]],tabExcluirDoEstoque[#Data],1,FALSE),"sim",""),"")</f>
        <v/>
      </c>
      <c r="E610" s="6" t="str">
        <f>"*"</f>
        <v>*</v>
      </c>
    </row>
    <row r="611" spans="1:5" x14ac:dyDescent="0.25">
      <c r="A611" s="8">
        <v>73020</v>
      </c>
      <c r="B611" s="5" t="s">
        <v>1266</v>
      </c>
      <c r="C611" s="6" t="s">
        <v>1397</v>
      </c>
      <c r="D611" s="6" t="str">
        <f>_xlfn.IFNA(IF(VLOOKUP(tabListaItens[[#This Row],[CÓDIGO]],tabExcluirDoEstoque[#Data],1,FALSE),"sim",""),"")</f>
        <v>sim</v>
      </c>
      <c r="E611" s="6" t="str">
        <f>"*"</f>
        <v>*</v>
      </c>
    </row>
    <row r="612" spans="1:5" x14ac:dyDescent="0.25">
      <c r="A612" s="8">
        <v>74081</v>
      </c>
      <c r="B612" s="5" t="s">
        <v>580</v>
      </c>
      <c r="C612" s="6" t="s">
        <v>1397</v>
      </c>
      <c r="D612" s="6" t="str">
        <f>_xlfn.IFNA(IF(VLOOKUP(tabListaItens[[#This Row],[CÓDIGO]],tabExcluirDoEstoque[#Data],1,FALSE),"sim",""),"")</f>
        <v>sim</v>
      </c>
      <c r="E612" s="6" t="str">
        <f>"*"</f>
        <v>*</v>
      </c>
    </row>
    <row r="613" spans="1:5" x14ac:dyDescent="0.25">
      <c r="A613" s="8">
        <v>74124</v>
      </c>
      <c r="B613" s="5" t="s">
        <v>60</v>
      </c>
      <c r="C613" s="6" t="s">
        <v>1413</v>
      </c>
      <c r="D613" s="6" t="str">
        <f>_xlfn.IFNA(IF(VLOOKUP(tabListaItens[[#This Row],[CÓDIGO]],tabExcluirDoEstoque[#Data],1,FALSE),"sim",""),"")</f>
        <v>sim</v>
      </c>
      <c r="E613" s="6" t="str">
        <f>"*"</f>
        <v>*</v>
      </c>
    </row>
    <row r="614" spans="1:5" x14ac:dyDescent="0.25">
      <c r="A614" s="8">
        <v>74491</v>
      </c>
      <c r="B614" s="5" t="s">
        <v>1267</v>
      </c>
      <c r="C614" s="6" t="s">
        <v>1412</v>
      </c>
      <c r="D614" s="6" t="str">
        <f>_xlfn.IFNA(IF(VLOOKUP(tabListaItens[[#This Row],[CÓDIGO]],tabExcluirDoEstoque[#Data],1,FALSE),"sim",""),"")</f>
        <v>sim</v>
      </c>
      <c r="E614" s="6" t="str">
        <f>"*"</f>
        <v>*</v>
      </c>
    </row>
    <row r="615" spans="1:5" x14ac:dyDescent="0.25">
      <c r="A615" s="8">
        <v>74492</v>
      </c>
      <c r="B615" s="5" t="s">
        <v>1268</v>
      </c>
      <c r="C615" s="6" t="s">
        <v>1412</v>
      </c>
      <c r="D615" s="6" t="str">
        <f>_xlfn.IFNA(IF(VLOOKUP(tabListaItens[[#This Row],[CÓDIGO]],tabExcluirDoEstoque[#Data],1,FALSE),"sim",""),"")</f>
        <v>sim</v>
      </c>
      <c r="E615" s="6" t="str">
        <f>"*"</f>
        <v>*</v>
      </c>
    </row>
    <row r="616" spans="1:5" x14ac:dyDescent="0.25">
      <c r="A616" s="8">
        <v>74907</v>
      </c>
      <c r="B616" s="5" t="s">
        <v>61</v>
      </c>
      <c r="C616" s="6" t="s">
        <v>1397</v>
      </c>
      <c r="D616" s="6" t="str">
        <f>_xlfn.IFNA(IF(VLOOKUP(tabListaItens[[#This Row],[CÓDIGO]],tabExcluirDoEstoque[#Data],1,FALSE),"sim",""),"")</f>
        <v/>
      </c>
      <c r="E616" s="6" t="str">
        <f>"*"</f>
        <v>*</v>
      </c>
    </row>
    <row r="617" spans="1:5" x14ac:dyDescent="0.25">
      <c r="A617" s="8">
        <v>74908</v>
      </c>
      <c r="B617" s="5" t="s">
        <v>62</v>
      </c>
      <c r="C617" s="6" t="s">
        <v>1397</v>
      </c>
      <c r="D617" s="6" t="str">
        <f>_xlfn.IFNA(IF(VLOOKUP(tabListaItens[[#This Row],[CÓDIGO]],tabExcluirDoEstoque[#Data],1,FALSE),"sim",""),"")</f>
        <v/>
      </c>
      <c r="E617" s="6" t="str">
        <f>"*"</f>
        <v>*</v>
      </c>
    </row>
    <row r="618" spans="1:5" x14ac:dyDescent="0.25">
      <c r="A618" s="8">
        <v>74909</v>
      </c>
      <c r="B618" s="5" t="s">
        <v>985</v>
      </c>
      <c r="C618" s="6" t="s">
        <v>1397</v>
      </c>
      <c r="D618" s="6" t="str">
        <f>_xlfn.IFNA(IF(VLOOKUP(tabListaItens[[#This Row],[CÓDIGO]],tabExcluirDoEstoque[#Data],1,FALSE),"sim",""),"")</f>
        <v/>
      </c>
      <c r="E618" s="6" t="str">
        <f>"*"</f>
        <v>*</v>
      </c>
    </row>
    <row r="619" spans="1:5" x14ac:dyDescent="0.25">
      <c r="A619" s="8">
        <v>74911</v>
      </c>
      <c r="B619" s="5" t="s">
        <v>63</v>
      </c>
      <c r="C619" s="6" t="s">
        <v>1397</v>
      </c>
      <c r="D619" s="6" t="str">
        <f>_xlfn.IFNA(IF(VLOOKUP(tabListaItens[[#This Row],[CÓDIGO]],tabExcluirDoEstoque[#Data],1,FALSE),"sim",""),"")</f>
        <v/>
      </c>
      <c r="E619" s="6" t="str">
        <f>"*"</f>
        <v>*</v>
      </c>
    </row>
    <row r="620" spans="1:5" x14ac:dyDescent="0.25">
      <c r="A620" s="8">
        <v>74976</v>
      </c>
      <c r="B620" s="5" t="s">
        <v>610</v>
      </c>
      <c r="C620" s="6" t="s">
        <v>1397</v>
      </c>
      <c r="D620" s="6" t="str">
        <f>_xlfn.IFNA(IF(VLOOKUP(tabListaItens[[#This Row],[CÓDIGO]],tabExcluirDoEstoque[#Data],1,FALSE),"sim",""),"")</f>
        <v/>
      </c>
      <c r="E620" s="6" t="str">
        <f>"*"</f>
        <v>*</v>
      </c>
    </row>
    <row r="621" spans="1:5" x14ac:dyDescent="0.25">
      <c r="A621" s="8">
        <v>74979</v>
      </c>
      <c r="B621" s="5" t="s">
        <v>609</v>
      </c>
      <c r="C621" s="6" t="s">
        <v>1397</v>
      </c>
      <c r="D621" s="6" t="str">
        <f>_xlfn.IFNA(IF(VLOOKUP(tabListaItens[[#This Row],[CÓDIGO]],tabExcluirDoEstoque[#Data],1,FALSE),"sim",""),"")</f>
        <v/>
      </c>
      <c r="E621" s="6" t="str">
        <f>"*"</f>
        <v>*</v>
      </c>
    </row>
    <row r="622" spans="1:5" x14ac:dyDescent="0.25">
      <c r="A622" s="8">
        <v>75027</v>
      </c>
      <c r="B622" s="5" t="s">
        <v>1269</v>
      </c>
      <c r="C622" s="6" t="s">
        <v>1398</v>
      </c>
      <c r="D622" s="6" t="str">
        <f>_xlfn.IFNA(IF(VLOOKUP(tabListaItens[[#This Row],[CÓDIGO]],tabExcluirDoEstoque[#Data],1,FALSE),"sim",""),"")</f>
        <v>sim</v>
      </c>
      <c r="E622" s="6" t="str">
        <f>"*"</f>
        <v>*</v>
      </c>
    </row>
    <row r="623" spans="1:5" x14ac:dyDescent="0.25">
      <c r="A623" s="8">
        <v>75324</v>
      </c>
      <c r="B623" s="5" t="s">
        <v>317</v>
      </c>
      <c r="C623" s="6" t="s">
        <v>1397</v>
      </c>
      <c r="D623" s="6" t="str">
        <f>_xlfn.IFNA(IF(VLOOKUP(tabListaItens[[#This Row],[CÓDIGO]],tabExcluirDoEstoque[#Data],1,FALSE),"sim",""),"")</f>
        <v/>
      </c>
      <c r="E623" s="6" t="str">
        <f>"*"</f>
        <v>*</v>
      </c>
    </row>
    <row r="624" spans="1:5" x14ac:dyDescent="0.25">
      <c r="A624" s="8">
        <v>75334</v>
      </c>
      <c r="B624" s="5" t="s">
        <v>316</v>
      </c>
      <c r="C624" s="6" t="s">
        <v>1418</v>
      </c>
      <c r="D624" s="6" t="str">
        <f>_xlfn.IFNA(IF(VLOOKUP(tabListaItens[[#This Row],[CÓDIGO]],tabExcluirDoEstoque[#Data],1,FALSE),"sim",""),"")</f>
        <v/>
      </c>
      <c r="E624" s="6" t="str">
        <f>"*"</f>
        <v>*</v>
      </c>
    </row>
    <row r="625" spans="1:5" x14ac:dyDescent="0.25">
      <c r="A625" s="8">
        <v>75915</v>
      </c>
      <c r="B625" s="5" t="s">
        <v>1137</v>
      </c>
      <c r="C625" s="6" t="s">
        <v>1397</v>
      </c>
      <c r="D625" s="6" t="str">
        <f>_xlfn.IFNA(IF(VLOOKUP(tabListaItens[[#This Row],[CÓDIGO]],tabExcluirDoEstoque[#Data],1,FALSE),"sim",""),"")</f>
        <v>sim</v>
      </c>
      <c r="E625" s="6" t="str">
        <f>"*"</f>
        <v>*</v>
      </c>
    </row>
    <row r="626" spans="1:5" x14ac:dyDescent="0.25">
      <c r="A626" s="8">
        <v>75938</v>
      </c>
      <c r="B626" s="5" t="s">
        <v>641</v>
      </c>
      <c r="C626" s="6" t="s">
        <v>1416</v>
      </c>
      <c r="D626" s="6" t="str">
        <f>_xlfn.IFNA(IF(VLOOKUP(tabListaItens[[#This Row],[CÓDIGO]],tabExcluirDoEstoque[#Data],1,FALSE),"sim",""),"")</f>
        <v/>
      </c>
      <c r="E626" s="6" t="str">
        <f>"*"</f>
        <v>*</v>
      </c>
    </row>
    <row r="627" spans="1:5" x14ac:dyDescent="0.25">
      <c r="A627" s="8">
        <v>76217</v>
      </c>
      <c r="B627" s="5" t="s">
        <v>1270</v>
      </c>
      <c r="C627" s="6" t="s">
        <v>1405</v>
      </c>
      <c r="D627" s="6" t="str">
        <f>_xlfn.IFNA(IF(VLOOKUP(tabListaItens[[#This Row],[CÓDIGO]],tabExcluirDoEstoque[#Data],1,FALSE),"sim",""),"")</f>
        <v>sim</v>
      </c>
      <c r="E627" s="6" t="str">
        <f>"*"</f>
        <v>*</v>
      </c>
    </row>
    <row r="628" spans="1:5" x14ac:dyDescent="0.25">
      <c r="A628" s="8">
        <v>76218</v>
      </c>
      <c r="B628" s="5" t="s">
        <v>882</v>
      </c>
      <c r="C628" s="6" t="s">
        <v>1397</v>
      </c>
      <c r="D628" s="6" t="str">
        <f>_xlfn.IFNA(IF(VLOOKUP(tabListaItens[[#This Row],[CÓDIGO]],tabExcluirDoEstoque[#Data],1,FALSE),"sim",""),"")</f>
        <v/>
      </c>
      <c r="E628" s="6" t="str">
        <f>"*"</f>
        <v>*</v>
      </c>
    </row>
    <row r="629" spans="1:5" x14ac:dyDescent="0.25">
      <c r="A629" s="8">
        <v>76430</v>
      </c>
      <c r="B629" s="5" t="s">
        <v>732</v>
      </c>
      <c r="C629" s="6" t="s">
        <v>1397</v>
      </c>
      <c r="D629" s="6" t="str">
        <f>_xlfn.IFNA(IF(VLOOKUP(tabListaItens[[#This Row],[CÓDIGO]],tabExcluirDoEstoque[#Data],1,FALSE),"sim",""),"")</f>
        <v/>
      </c>
      <c r="E629" s="6" t="str">
        <f>"*"</f>
        <v>*</v>
      </c>
    </row>
    <row r="630" spans="1:5" x14ac:dyDescent="0.25">
      <c r="A630" s="8">
        <v>76583</v>
      </c>
      <c r="B630" s="5" t="s">
        <v>311</v>
      </c>
      <c r="C630" s="6" t="s">
        <v>1397</v>
      </c>
      <c r="D630" s="6" t="str">
        <f>_xlfn.IFNA(IF(VLOOKUP(tabListaItens[[#This Row],[CÓDIGO]],tabExcluirDoEstoque[#Data],1,FALSE),"sim",""),"")</f>
        <v/>
      </c>
      <c r="E630" s="6" t="str">
        <f>"*"</f>
        <v>*</v>
      </c>
    </row>
    <row r="631" spans="1:5" x14ac:dyDescent="0.25">
      <c r="A631" s="8">
        <v>76776</v>
      </c>
      <c r="B631" s="5" t="s">
        <v>64</v>
      </c>
      <c r="C631" s="6" t="s">
        <v>1413</v>
      </c>
      <c r="D631" s="6" t="str">
        <f>_xlfn.IFNA(IF(VLOOKUP(tabListaItens[[#This Row],[CÓDIGO]],tabExcluirDoEstoque[#Data],1,FALSE),"sim",""),"")</f>
        <v>sim</v>
      </c>
      <c r="E631" s="6" t="str">
        <f>"*"</f>
        <v>*</v>
      </c>
    </row>
    <row r="632" spans="1:5" x14ac:dyDescent="0.25">
      <c r="A632" s="8">
        <v>76777</v>
      </c>
      <c r="B632" s="5" t="s">
        <v>213</v>
      </c>
      <c r="C632" s="6" t="s">
        <v>1413</v>
      </c>
      <c r="D632" s="6" t="str">
        <f>_xlfn.IFNA(IF(VLOOKUP(tabListaItens[[#This Row],[CÓDIGO]],tabExcluirDoEstoque[#Data],1,FALSE),"sim",""),"")</f>
        <v>sim</v>
      </c>
      <c r="E632" s="6" t="str">
        <f>"*"</f>
        <v>*</v>
      </c>
    </row>
    <row r="633" spans="1:5" x14ac:dyDescent="0.25">
      <c r="A633" s="8">
        <v>76780</v>
      </c>
      <c r="B633" s="5" t="s">
        <v>215</v>
      </c>
      <c r="C633" s="6" t="s">
        <v>1413</v>
      </c>
      <c r="D633" s="6" t="str">
        <f>_xlfn.IFNA(IF(VLOOKUP(tabListaItens[[#This Row],[CÓDIGO]],tabExcluirDoEstoque[#Data],1,FALSE),"sim",""),"")</f>
        <v>sim</v>
      </c>
      <c r="E633" s="6" t="str">
        <f>"*"</f>
        <v>*</v>
      </c>
    </row>
    <row r="634" spans="1:5" x14ac:dyDescent="0.25">
      <c r="A634" s="8">
        <v>76781</v>
      </c>
      <c r="B634" s="5" t="s">
        <v>214</v>
      </c>
      <c r="C634" s="6" t="s">
        <v>1413</v>
      </c>
      <c r="D634" s="6" t="str">
        <f>_xlfn.IFNA(IF(VLOOKUP(tabListaItens[[#This Row],[CÓDIGO]],tabExcluirDoEstoque[#Data],1,FALSE),"sim",""),"")</f>
        <v>sim</v>
      </c>
      <c r="E634" s="6" t="str">
        <f>"*"</f>
        <v>*</v>
      </c>
    </row>
    <row r="635" spans="1:5" x14ac:dyDescent="0.25">
      <c r="A635" s="8">
        <v>76806</v>
      </c>
      <c r="B635" s="5" t="s">
        <v>65</v>
      </c>
      <c r="C635" s="6" t="s">
        <v>1409</v>
      </c>
      <c r="D635" s="6" t="str">
        <f>_xlfn.IFNA(IF(VLOOKUP(tabListaItens[[#This Row],[CÓDIGO]],tabExcluirDoEstoque[#Data],1,FALSE),"sim",""),"")</f>
        <v/>
      </c>
      <c r="E635" s="6" t="str">
        <f>"*"</f>
        <v>*</v>
      </c>
    </row>
    <row r="636" spans="1:5" x14ac:dyDescent="0.25">
      <c r="A636" s="8">
        <v>77109</v>
      </c>
      <c r="B636" s="5" t="s">
        <v>283</v>
      </c>
      <c r="C636" s="6" t="s">
        <v>1397</v>
      </c>
      <c r="D636" s="6" t="str">
        <f>_xlfn.IFNA(IF(VLOOKUP(tabListaItens[[#This Row],[CÓDIGO]],tabExcluirDoEstoque[#Data],1,FALSE),"sim",""),"")</f>
        <v/>
      </c>
      <c r="E636" s="6" t="str">
        <f>"*"</f>
        <v>*</v>
      </c>
    </row>
    <row r="637" spans="1:5" x14ac:dyDescent="0.25">
      <c r="A637" s="8">
        <v>77110</v>
      </c>
      <c r="B637" s="5" t="s">
        <v>282</v>
      </c>
      <c r="C637" s="6" t="s">
        <v>1397</v>
      </c>
      <c r="D637" s="6" t="str">
        <f>_xlfn.IFNA(IF(VLOOKUP(tabListaItens[[#This Row],[CÓDIGO]],tabExcluirDoEstoque[#Data],1,FALSE),"sim",""),"")</f>
        <v/>
      </c>
      <c r="E637" s="6" t="str">
        <f>"*"</f>
        <v>*</v>
      </c>
    </row>
    <row r="638" spans="1:5" x14ac:dyDescent="0.25">
      <c r="A638" s="8">
        <v>77380</v>
      </c>
      <c r="B638" s="5" t="s">
        <v>582</v>
      </c>
      <c r="C638" s="6" t="s">
        <v>1397</v>
      </c>
      <c r="D638" s="6" t="str">
        <f>_xlfn.IFNA(IF(VLOOKUP(tabListaItens[[#This Row],[CÓDIGO]],tabExcluirDoEstoque[#Data],1,FALSE),"sim",""),"")</f>
        <v>sim</v>
      </c>
      <c r="E638" s="6" t="str">
        <f>"*"</f>
        <v>*</v>
      </c>
    </row>
    <row r="639" spans="1:5" x14ac:dyDescent="0.25">
      <c r="A639" s="8">
        <v>77493</v>
      </c>
      <c r="B639" s="5" t="s">
        <v>341</v>
      </c>
      <c r="C639" s="6" t="s">
        <v>1397</v>
      </c>
      <c r="D639" s="6" t="str">
        <f>_xlfn.IFNA(IF(VLOOKUP(tabListaItens[[#This Row],[CÓDIGO]],tabExcluirDoEstoque[#Data],1,FALSE),"sim",""),"")</f>
        <v/>
      </c>
      <c r="E639" s="6" t="str">
        <f>"*"</f>
        <v>*</v>
      </c>
    </row>
    <row r="640" spans="1:5" x14ac:dyDescent="0.25">
      <c r="A640" s="8">
        <v>77553</v>
      </c>
      <c r="B640" s="5" t="s">
        <v>1271</v>
      </c>
      <c r="C640" s="6" t="s">
        <v>1397</v>
      </c>
      <c r="D640" s="6" t="str">
        <f>_xlfn.IFNA(IF(VLOOKUP(tabListaItens[[#This Row],[CÓDIGO]],tabExcluirDoEstoque[#Data],1,FALSE),"sim",""),"")</f>
        <v>sim</v>
      </c>
      <c r="E640" s="6" t="str">
        <f>"*"</f>
        <v>*</v>
      </c>
    </row>
    <row r="641" spans="1:5" x14ac:dyDescent="0.25">
      <c r="A641" s="8">
        <v>77554</v>
      </c>
      <c r="B641" s="5" t="s">
        <v>66</v>
      </c>
      <c r="C641" s="6" t="s">
        <v>1397</v>
      </c>
      <c r="D641" s="6" t="str">
        <f>_xlfn.IFNA(IF(VLOOKUP(tabListaItens[[#This Row],[CÓDIGO]],tabExcluirDoEstoque[#Data],1,FALSE),"sim",""),"")</f>
        <v/>
      </c>
      <c r="E641" s="6" t="str">
        <f>"*"</f>
        <v>*</v>
      </c>
    </row>
    <row r="642" spans="1:5" x14ac:dyDescent="0.25">
      <c r="A642" s="8">
        <v>77555</v>
      </c>
      <c r="B642" s="5" t="s">
        <v>1272</v>
      </c>
      <c r="C642" s="6" t="s">
        <v>1397</v>
      </c>
      <c r="D642" s="6" t="str">
        <f>_xlfn.IFNA(IF(VLOOKUP(tabListaItens[[#This Row],[CÓDIGO]],tabExcluirDoEstoque[#Data],1,FALSE),"sim",""),"")</f>
        <v>sim</v>
      </c>
      <c r="E642" s="6" t="str">
        <f>"*"</f>
        <v>*</v>
      </c>
    </row>
    <row r="643" spans="1:5" x14ac:dyDescent="0.25">
      <c r="A643" s="8">
        <v>77556</v>
      </c>
      <c r="B643" s="5" t="s">
        <v>67</v>
      </c>
      <c r="C643" s="6" t="s">
        <v>1397</v>
      </c>
      <c r="D643" s="6" t="str">
        <f>_xlfn.IFNA(IF(VLOOKUP(tabListaItens[[#This Row],[CÓDIGO]],tabExcluirDoEstoque[#Data],1,FALSE),"sim",""),"")</f>
        <v/>
      </c>
      <c r="E643" s="6" t="str">
        <f>"*"</f>
        <v>*</v>
      </c>
    </row>
    <row r="644" spans="1:5" x14ac:dyDescent="0.25">
      <c r="A644" s="8">
        <v>77557</v>
      </c>
      <c r="B644" s="5" t="s">
        <v>984</v>
      </c>
      <c r="C644" s="6" t="s">
        <v>1397</v>
      </c>
      <c r="D644" s="6" t="str">
        <f>_xlfn.IFNA(IF(VLOOKUP(tabListaItens[[#This Row],[CÓDIGO]],tabExcluirDoEstoque[#Data],1,FALSE),"sim",""),"")</f>
        <v/>
      </c>
      <c r="E644" s="6" t="str">
        <f>"*"</f>
        <v>*</v>
      </c>
    </row>
    <row r="645" spans="1:5" x14ac:dyDescent="0.25">
      <c r="A645" s="8">
        <v>77562</v>
      </c>
      <c r="B645" s="5" t="s">
        <v>68</v>
      </c>
      <c r="C645" s="6" t="s">
        <v>1397</v>
      </c>
      <c r="D645" s="6" t="str">
        <f>_xlfn.IFNA(IF(VLOOKUP(tabListaItens[[#This Row],[CÓDIGO]],tabExcluirDoEstoque[#Data],1,FALSE),"sim",""),"")</f>
        <v/>
      </c>
      <c r="E645" s="6" t="str">
        <f>"*"</f>
        <v>*</v>
      </c>
    </row>
    <row r="646" spans="1:5" x14ac:dyDescent="0.25">
      <c r="A646" s="8">
        <v>77755</v>
      </c>
      <c r="B646" s="5" t="s">
        <v>734</v>
      </c>
      <c r="C646" s="6" t="s">
        <v>1397</v>
      </c>
      <c r="D646" s="6" t="str">
        <f>_xlfn.IFNA(IF(VLOOKUP(tabListaItens[[#This Row],[CÓDIGO]],tabExcluirDoEstoque[#Data],1,FALSE),"sim",""),"")</f>
        <v/>
      </c>
      <c r="E646" s="6" t="str">
        <f>"*"</f>
        <v>*</v>
      </c>
    </row>
    <row r="647" spans="1:5" x14ac:dyDescent="0.25">
      <c r="A647" s="8">
        <v>77786</v>
      </c>
      <c r="B647" s="5" t="s">
        <v>1566</v>
      </c>
      <c r="C647" s="6" t="s">
        <v>1397</v>
      </c>
      <c r="D647" s="6" t="str">
        <f>_xlfn.IFNA(IF(VLOOKUP(tabListaItens[[#This Row],[CÓDIGO]],tabExcluirDoEstoque[#Data],1,FALSE),"sim",""),"")</f>
        <v/>
      </c>
      <c r="E647" s="6" t="str">
        <f>"*"</f>
        <v>*</v>
      </c>
    </row>
    <row r="648" spans="1:5" x14ac:dyDescent="0.25">
      <c r="A648" s="8">
        <v>77788</v>
      </c>
      <c r="B648" s="5" t="s">
        <v>819</v>
      </c>
      <c r="C648" s="6" t="s">
        <v>1397</v>
      </c>
      <c r="D648" s="6" t="str">
        <f>_xlfn.IFNA(IF(VLOOKUP(tabListaItens[[#This Row],[CÓDIGO]],tabExcluirDoEstoque[#Data],1,FALSE),"sim",""),"")</f>
        <v/>
      </c>
      <c r="E648" s="6" t="str">
        <f>"*"</f>
        <v>*</v>
      </c>
    </row>
    <row r="649" spans="1:5" x14ac:dyDescent="0.25">
      <c r="A649" s="8">
        <v>77819</v>
      </c>
      <c r="B649" s="5" t="s">
        <v>151</v>
      </c>
      <c r="C649" s="6" t="s">
        <v>1411</v>
      </c>
      <c r="D649" s="6" t="str">
        <f>_xlfn.IFNA(IF(VLOOKUP(tabListaItens[[#This Row],[CÓDIGO]],tabExcluirDoEstoque[#Data],1,FALSE),"sim",""),"")</f>
        <v/>
      </c>
      <c r="E649" s="6" t="str">
        <f>"*"</f>
        <v>*</v>
      </c>
    </row>
    <row r="650" spans="1:5" x14ac:dyDescent="0.25">
      <c r="A650" s="8">
        <v>77822</v>
      </c>
      <c r="B650" s="5" t="s">
        <v>820</v>
      </c>
      <c r="C650" s="6" t="s">
        <v>1397</v>
      </c>
      <c r="D650" s="6" t="str">
        <f>_xlfn.IFNA(IF(VLOOKUP(tabListaItens[[#This Row],[CÓDIGO]],tabExcluirDoEstoque[#Data],1,FALSE),"sim",""),"")</f>
        <v/>
      </c>
      <c r="E650" s="6" t="str">
        <f>"*"</f>
        <v>*</v>
      </c>
    </row>
    <row r="651" spans="1:5" x14ac:dyDescent="0.25">
      <c r="A651" s="8">
        <v>77823</v>
      </c>
      <c r="B651" s="5" t="s">
        <v>821</v>
      </c>
      <c r="C651" s="6" t="s">
        <v>1397</v>
      </c>
      <c r="D651" s="6" t="str">
        <f>_xlfn.IFNA(IF(VLOOKUP(tabListaItens[[#This Row],[CÓDIGO]],tabExcluirDoEstoque[#Data],1,FALSE),"sim",""),"")</f>
        <v/>
      </c>
      <c r="E651" s="6" t="str">
        <f>"*"</f>
        <v>*</v>
      </c>
    </row>
    <row r="652" spans="1:5" x14ac:dyDescent="0.25">
      <c r="A652" s="8">
        <v>77992</v>
      </c>
      <c r="B652" s="5" t="s">
        <v>1088</v>
      </c>
      <c r="C652" s="6" t="s">
        <v>1398</v>
      </c>
      <c r="D652" s="6" t="str">
        <f>_xlfn.IFNA(IF(VLOOKUP(tabListaItens[[#This Row],[CÓDIGO]],tabExcluirDoEstoque[#Data],1,FALSE),"sim",""),"")</f>
        <v>sim</v>
      </c>
      <c r="E652" s="6" t="str">
        <f>"*"</f>
        <v>*</v>
      </c>
    </row>
    <row r="653" spans="1:5" x14ac:dyDescent="0.25">
      <c r="A653" s="8">
        <v>78025</v>
      </c>
      <c r="B653" s="5" t="s">
        <v>1273</v>
      </c>
      <c r="C653" s="6" t="s">
        <v>1397</v>
      </c>
      <c r="D653" s="6" t="str">
        <f>_xlfn.IFNA(IF(VLOOKUP(tabListaItens[[#This Row],[CÓDIGO]],tabExcluirDoEstoque[#Data],1,FALSE),"sim",""),"")</f>
        <v>sim</v>
      </c>
      <c r="E653" s="6" t="str">
        <f>"*"</f>
        <v>*</v>
      </c>
    </row>
    <row r="654" spans="1:5" x14ac:dyDescent="0.25">
      <c r="A654" s="8">
        <v>78027</v>
      </c>
      <c r="B654" s="5" t="s">
        <v>1274</v>
      </c>
      <c r="C654" s="6" t="s">
        <v>1397</v>
      </c>
      <c r="D654" s="6" t="str">
        <f>_xlfn.IFNA(IF(VLOOKUP(tabListaItens[[#This Row],[CÓDIGO]],tabExcluirDoEstoque[#Data],1,FALSE),"sim",""),"")</f>
        <v>sim</v>
      </c>
      <c r="E654" s="6" t="str">
        <f>"*"</f>
        <v>*</v>
      </c>
    </row>
    <row r="655" spans="1:5" x14ac:dyDescent="0.25">
      <c r="A655" s="8">
        <v>78043</v>
      </c>
      <c r="B655" s="5" t="s">
        <v>1066</v>
      </c>
      <c r="C655" s="6" t="s">
        <v>1397</v>
      </c>
      <c r="D655" s="6" t="str">
        <f>_xlfn.IFNA(IF(VLOOKUP(tabListaItens[[#This Row],[CÓDIGO]],tabExcluirDoEstoque[#Data],1,FALSE),"sim",""),"")</f>
        <v>sim</v>
      </c>
      <c r="E655" s="6" t="str">
        <f>"*"</f>
        <v>*</v>
      </c>
    </row>
    <row r="656" spans="1:5" x14ac:dyDescent="0.25">
      <c r="A656" s="8">
        <v>78055</v>
      </c>
      <c r="B656" s="5" t="s">
        <v>361</v>
      </c>
      <c r="C656" s="6" t="s">
        <v>1412</v>
      </c>
      <c r="D656" s="6" t="str">
        <f>_xlfn.IFNA(IF(VLOOKUP(tabListaItens[[#This Row],[CÓDIGO]],tabExcluirDoEstoque[#Data],1,FALSE),"sim",""),"")</f>
        <v/>
      </c>
      <c r="E656" s="6" t="str">
        <f>"*"</f>
        <v>*</v>
      </c>
    </row>
    <row r="657" spans="1:5" x14ac:dyDescent="0.25">
      <c r="A657" s="8">
        <v>78057</v>
      </c>
      <c r="B657" s="5" t="s">
        <v>856</v>
      </c>
      <c r="C657" s="6" t="s">
        <v>1398</v>
      </c>
      <c r="D657" s="6" t="str">
        <f>_xlfn.IFNA(IF(VLOOKUP(tabListaItens[[#This Row],[CÓDIGO]],tabExcluirDoEstoque[#Data],1,FALSE),"sim",""),"")</f>
        <v/>
      </c>
      <c r="E657" s="6" t="str">
        <f>"*"</f>
        <v>*</v>
      </c>
    </row>
    <row r="658" spans="1:5" x14ac:dyDescent="0.25">
      <c r="A658" s="8">
        <v>78181</v>
      </c>
      <c r="B658" s="5" t="s">
        <v>712</v>
      </c>
      <c r="C658" s="6" t="s">
        <v>1424</v>
      </c>
      <c r="D658" s="6" t="str">
        <f>_xlfn.IFNA(IF(VLOOKUP(tabListaItens[[#This Row],[CÓDIGO]],tabExcluirDoEstoque[#Data],1,FALSE),"sim",""),"")</f>
        <v/>
      </c>
      <c r="E658" s="6" t="str">
        <f>"*"</f>
        <v>*</v>
      </c>
    </row>
    <row r="659" spans="1:5" x14ac:dyDescent="0.25">
      <c r="A659" s="8">
        <v>78303</v>
      </c>
      <c r="B659" s="5" t="s">
        <v>730</v>
      </c>
      <c r="C659" s="6" t="s">
        <v>1397</v>
      </c>
      <c r="D659" s="6" t="str">
        <f>_xlfn.IFNA(IF(VLOOKUP(tabListaItens[[#This Row],[CÓDIGO]],tabExcluirDoEstoque[#Data],1,FALSE),"sim",""),"")</f>
        <v/>
      </c>
      <c r="E659" s="6" t="str">
        <f>"*"</f>
        <v>*</v>
      </c>
    </row>
    <row r="660" spans="1:5" x14ac:dyDescent="0.25">
      <c r="A660" s="8">
        <v>78304</v>
      </c>
      <c r="B660" s="5" t="s">
        <v>1095</v>
      </c>
      <c r="C660" s="6" t="s">
        <v>1397</v>
      </c>
      <c r="D660" s="6" t="str">
        <f>_xlfn.IFNA(IF(VLOOKUP(tabListaItens[[#This Row],[CÓDIGO]],tabExcluirDoEstoque[#Data],1,FALSE),"sim",""),"")</f>
        <v>sim</v>
      </c>
      <c r="E660" s="6" t="str">
        <f>"*"</f>
        <v>*</v>
      </c>
    </row>
    <row r="661" spans="1:5" x14ac:dyDescent="0.25">
      <c r="A661" s="8">
        <v>78306</v>
      </c>
      <c r="B661" s="5" t="s">
        <v>731</v>
      </c>
      <c r="C661" s="6" t="s">
        <v>1397</v>
      </c>
      <c r="D661" s="6" t="str">
        <f>_xlfn.IFNA(IF(VLOOKUP(tabListaItens[[#This Row],[CÓDIGO]],tabExcluirDoEstoque[#Data],1,FALSE),"sim",""),"")</f>
        <v/>
      </c>
      <c r="E661" s="6" t="str">
        <f>"*"</f>
        <v>*</v>
      </c>
    </row>
    <row r="662" spans="1:5" x14ac:dyDescent="0.25">
      <c r="A662" s="8">
        <v>78307</v>
      </c>
      <c r="B662" s="5" t="s">
        <v>491</v>
      </c>
      <c r="C662" s="6" t="s">
        <v>1397</v>
      </c>
      <c r="D662" s="6" t="str">
        <f>_xlfn.IFNA(IF(VLOOKUP(tabListaItens[[#This Row],[CÓDIGO]],tabExcluirDoEstoque[#Data],1,FALSE),"sim",""),"")</f>
        <v/>
      </c>
      <c r="E662" s="6" t="str">
        <f>"*"</f>
        <v>*</v>
      </c>
    </row>
    <row r="663" spans="1:5" x14ac:dyDescent="0.25">
      <c r="A663" s="8">
        <v>78398</v>
      </c>
      <c r="B663" s="5" t="s">
        <v>471</v>
      </c>
      <c r="C663" s="6" t="s">
        <v>1397</v>
      </c>
      <c r="D663" s="6" t="str">
        <f>_xlfn.IFNA(IF(VLOOKUP(tabListaItens[[#This Row],[CÓDIGO]],tabExcluirDoEstoque[#Data],1,FALSE),"sim",""),"")</f>
        <v>sim</v>
      </c>
      <c r="E663" s="6" t="str">
        <f>"*"</f>
        <v>*</v>
      </c>
    </row>
    <row r="664" spans="1:5" x14ac:dyDescent="0.25">
      <c r="A664" s="8">
        <v>78399</v>
      </c>
      <c r="B664" s="5" t="s">
        <v>106</v>
      </c>
      <c r="C664" s="6" t="s">
        <v>1397</v>
      </c>
      <c r="D664" s="6" t="str">
        <f>_xlfn.IFNA(IF(VLOOKUP(tabListaItens[[#This Row],[CÓDIGO]],tabExcluirDoEstoque[#Data],1,FALSE),"sim",""),"")</f>
        <v/>
      </c>
      <c r="E664" s="6" t="str">
        <f>"*"</f>
        <v>*</v>
      </c>
    </row>
    <row r="665" spans="1:5" x14ac:dyDescent="0.25">
      <c r="A665" s="8">
        <v>78416</v>
      </c>
      <c r="B665" s="5" t="s">
        <v>69</v>
      </c>
      <c r="C665" s="6" t="s">
        <v>1397</v>
      </c>
      <c r="D665" s="6" t="str">
        <f>_xlfn.IFNA(IF(VLOOKUP(tabListaItens[[#This Row],[CÓDIGO]],tabExcluirDoEstoque[#Data],1,FALSE),"sim",""),"")</f>
        <v/>
      </c>
      <c r="E665" s="6" t="str">
        <f>"*"</f>
        <v>*</v>
      </c>
    </row>
    <row r="666" spans="1:5" x14ac:dyDescent="0.25">
      <c r="A666" s="8">
        <v>78418</v>
      </c>
      <c r="B666" s="5" t="s">
        <v>704</v>
      </c>
      <c r="C666" s="6" t="s">
        <v>1397</v>
      </c>
      <c r="D666" s="6" t="str">
        <f>_xlfn.IFNA(IF(VLOOKUP(tabListaItens[[#This Row],[CÓDIGO]],tabExcluirDoEstoque[#Data],1,FALSE),"sim",""),"")</f>
        <v/>
      </c>
      <c r="E666" s="6" t="str">
        <f>"*"</f>
        <v>*</v>
      </c>
    </row>
    <row r="667" spans="1:5" x14ac:dyDescent="0.25">
      <c r="A667" s="8">
        <v>78509</v>
      </c>
      <c r="B667" s="5" t="s">
        <v>864</v>
      </c>
      <c r="C667" s="6" t="s">
        <v>1397</v>
      </c>
      <c r="D667" s="6" t="str">
        <f>_xlfn.IFNA(IF(VLOOKUP(tabListaItens[[#This Row],[CÓDIGO]],tabExcluirDoEstoque[#Data],1,FALSE),"sim",""),"")</f>
        <v/>
      </c>
      <c r="E667" s="6" t="str">
        <f>"*"</f>
        <v>*</v>
      </c>
    </row>
    <row r="668" spans="1:5" x14ac:dyDescent="0.25">
      <c r="A668" s="8">
        <v>78641</v>
      </c>
      <c r="B668" s="5" t="s">
        <v>911</v>
      </c>
      <c r="C668" s="6" t="s">
        <v>1424</v>
      </c>
      <c r="D668" s="6" t="str">
        <f>_xlfn.IFNA(IF(VLOOKUP(tabListaItens[[#This Row],[CÓDIGO]],tabExcluirDoEstoque[#Data],1,FALSE),"sim",""),"")</f>
        <v/>
      </c>
      <c r="E668" s="6" t="str">
        <f>"*"</f>
        <v>*</v>
      </c>
    </row>
    <row r="669" spans="1:5" x14ac:dyDescent="0.25">
      <c r="A669" s="8">
        <v>78642</v>
      </c>
      <c r="B669" s="5" t="s">
        <v>912</v>
      </c>
      <c r="C669" s="6" t="s">
        <v>1424</v>
      </c>
      <c r="D669" s="6" t="str">
        <f>_xlfn.IFNA(IF(VLOOKUP(tabListaItens[[#This Row],[CÓDIGO]],tabExcluirDoEstoque[#Data],1,FALSE),"sim",""),"")</f>
        <v/>
      </c>
      <c r="E669" s="6" t="str">
        <f>"*"</f>
        <v>*</v>
      </c>
    </row>
    <row r="670" spans="1:5" x14ac:dyDescent="0.25">
      <c r="A670" s="8">
        <v>78643</v>
      </c>
      <c r="B670" s="5" t="s">
        <v>913</v>
      </c>
      <c r="C670" s="6" t="s">
        <v>1424</v>
      </c>
      <c r="D670" s="6" t="str">
        <f>_xlfn.IFNA(IF(VLOOKUP(tabListaItens[[#This Row],[CÓDIGO]],tabExcluirDoEstoque[#Data],1,FALSE),"sim",""),"")</f>
        <v/>
      </c>
      <c r="E670" s="6" t="str">
        <f>"*"</f>
        <v>*</v>
      </c>
    </row>
    <row r="671" spans="1:5" x14ac:dyDescent="0.25">
      <c r="A671" s="8">
        <v>78646</v>
      </c>
      <c r="B671" s="5" t="s">
        <v>914</v>
      </c>
      <c r="C671" s="6" t="s">
        <v>1424</v>
      </c>
      <c r="D671" s="6" t="str">
        <f>_xlfn.IFNA(IF(VLOOKUP(tabListaItens[[#This Row],[CÓDIGO]],tabExcluirDoEstoque[#Data],1,FALSE),"sim",""),"")</f>
        <v/>
      </c>
      <c r="E671" s="6" t="str">
        <f>"*"</f>
        <v>*</v>
      </c>
    </row>
    <row r="672" spans="1:5" x14ac:dyDescent="0.25">
      <c r="A672" s="8">
        <v>79118</v>
      </c>
      <c r="B672" s="5" t="s">
        <v>1275</v>
      </c>
      <c r="C672" s="6" t="s">
        <v>1397</v>
      </c>
      <c r="D672" s="6" t="str">
        <f>_xlfn.IFNA(IF(VLOOKUP(tabListaItens[[#This Row],[CÓDIGO]],tabExcluirDoEstoque[#Data],1,FALSE),"sim",""),"")</f>
        <v>sim</v>
      </c>
      <c r="E672" s="6" t="str">
        <f>"*"</f>
        <v>*</v>
      </c>
    </row>
    <row r="673" spans="1:5" x14ac:dyDescent="0.25">
      <c r="A673" s="8">
        <v>79635</v>
      </c>
      <c r="B673" s="5" t="s">
        <v>1075</v>
      </c>
      <c r="C673" s="6" t="s">
        <v>1397</v>
      </c>
      <c r="D673" s="6" t="str">
        <f>_xlfn.IFNA(IF(VLOOKUP(tabListaItens[[#This Row],[CÓDIGO]],tabExcluirDoEstoque[#Data],1,FALSE),"sim",""),"")</f>
        <v>sim</v>
      </c>
      <c r="E673" s="6" t="str">
        <f>"*"</f>
        <v>*</v>
      </c>
    </row>
    <row r="674" spans="1:5" x14ac:dyDescent="0.25">
      <c r="A674" s="8">
        <v>79687</v>
      </c>
      <c r="B674" s="5" t="s">
        <v>286</v>
      </c>
      <c r="C674" s="6" t="s">
        <v>1397</v>
      </c>
      <c r="D674" s="6" t="str">
        <f>_xlfn.IFNA(IF(VLOOKUP(tabListaItens[[#This Row],[CÓDIGO]],tabExcluirDoEstoque[#Data],1,FALSE),"sim",""),"")</f>
        <v/>
      </c>
      <c r="E674" s="6" t="str">
        <f>"*"</f>
        <v>*</v>
      </c>
    </row>
    <row r="675" spans="1:5" x14ac:dyDescent="0.25">
      <c r="A675" s="8">
        <v>79688</v>
      </c>
      <c r="B675" s="5" t="s">
        <v>285</v>
      </c>
      <c r="C675" s="6" t="s">
        <v>1397</v>
      </c>
      <c r="D675" s="6" t="str">
        <f>_xlfn.IFNA(IF(VLOOKUP(tabListaItens[[#This Row],[CÓDIGO]],tabExcluirDoEstoque[#Data],1,FALSE),"sim",""),"")</f>
        <v/>
      </c>
      <c r="E675" s="6" t="str">
        <f>"*"</f>
        <v>*</v>
      </c>
    </row>
    <row r="676" spans="1:5" x14ac:dyDescent="0.25">
      <c r="A676" s="8">
        <v>80297</v>
      </c>
      <c r="B676" s="5" t="s">
        <v>1162</v>
      </c>
      <c r="C676" s="6" t="s">
        <v>1397</v>
      </c>
      <c r="D676" s="6" t="str">
        <f>_xlfn.IFNA(IF(VLOOKUP(tabListaItens[[#This Row],[CÓDIGO]],tabExcluirDoEstoque[#Data],1,FALSE),"sim",""),"")</f>
        <v>sim</v>
      </c>
      <c r="E676" s="6" t="str">
        <f>"*"</f>
        <v>*</v>
      </c>
    </row>
    <row r="677" spans="1:5" x14ac:dyDescent="0.25">
      <c r="A677" s="8">
        <v>80298</v>
      </c>
      <c r="B677" s="5" t="s">
        <v>879</v>
      </c>
      <c r="C677" s="6" t="s">
        <v>1397</v>
      </c>
      <c r="D677" s="6" t="str">
        <f>_xlfn.IFNA(IF(VLOOKUP(tabListaItens[[#This Row],[CÓDIGO]],tabExcluirDoEstoque[#Data],1,FALSE),"sim",""),"")</f>
        <v/>
      </c>
      <c r="E677" s="6" t="str">
        <f>"*"</f>
        <v>*</v>
      </c>
    </row>
    <row r="678" spans="1:5" x14ac:dyDescent="0.25">
      <c r="A678" s="8">
        <v>80300</v>
      </c>
      <c r="B678" s="5" t="s">
        <v>71</v>
      </c>
      <c r="C678" s="6" t="s">
        <v>1397</v>
      </c>
      <c r="D678" s="6" t="str">
        <f>_xlfn.IFNA(IF(VLOOKUP(tabListaItens[[#This Row],[CÓDIGO]],tabExcluirDoEstoque[#Data],1,FALSE),"sim",""),"")</f>
        <v/>
      </c>
      <c r="E678" s="6" t="str">
        <f>"*"</f>
        <v>*</v>
      </c>
    </row>
    <row r="679" spans="1:5" x14ac:dyDescent="0.25">
      <c r="A679" s="8">
        <v>80349</v>
      </c>
      <c r="B679" s="5" t="s">
        <v>1276</v>
      </c>
      <c r="C679" s="6" t="s">
        <v>1397</v>
      </c>
      <c r="D679" s="6" t="str">
        <f>_xlfn.IFNA(IF(VLOOKUP(tabListaItens[[#This Row],[CÓDIGO]],tabExcluirDoEstoque[#Data],1,FALSE),"sim",""),"")</f>
        <v>sim</v>
      </c>
      <c r="E679" s="6" t="str">
        <f>"*"</f>
        <v>*</v>
      </c>
    </row>
    <row r="680" spans="1:5" x14ac:dyDescent="0.25">
      <c r="A680" s="8">
        <v>80384</v>
      </c>
      <c r="B680" s="5" t="s">
        <v>1277</v>
      </c>
      <c r="C680" s="6"/>
      <c r="D680" s="6" t="str">
        <f>_xlfn.IFNA(IF(VLOOKUP(tabListaItens[[#This Row],[CÓDIGO]],tabExcluirDoEstoque[#Data],1,FALSE),"sim",""),"")</f>
        <v>sim</v>
      </c>
      <c r="E680" s="6" t="str">
        <f>"*"</f>
        <v>*</v>
      </c>
    </row>
    <row r="681" spans="1:5" x14ac:dyDescent="0.25">
      <c r="A681" s="8">
        <v>80385</v>
      </c>
      <c r="B681" s="5" t="s">
        <v>349</v>
      </c>
      <c r="C681" s="6" t="s">
        <v>1407</v>
      </c>
      <c r="D681" s="6" t="str">
        <f>_xlfn.IFNA(IF(VLOOKUP(tabListaItens[[#This Row],[CÓDIGO]],tabExcluirDoEstoque[#Data],1,FALSE),"sim",""),"")</f>
        <v/>
      </c>
      <c r="E681" s="6" t="str">
        <f>"*"</f>
        <v>*</v>
      </c>
    </row>
    <row r="682" spans="1:5" x14ac:dyDescent="0.25">
      <c r="A682" s="8">
        <v>80387</v>
      </c>
      <c r="B682" s="5" t="s">
        <v>385</v>
      </c>
      <c r="C682" s="6" t="s">
        <v>1397</v>
      </c>
      <c r="D682" s="6" t="str">
        <f>_xlfn.IFNA(IF(VLOOKUP(tabListaItens[[#This Row],[CÓDIGO]],tabExcluirDoEstoque[#Data],1,FALSE),"sim",""),"")</f>
        <v/>
      </c>
      <c r="E682" s="6" t="str">
        <f>"*"</f>
        <v>*</v>
      </c>
    </row>
    <row r="683" spans="1:5" x14ac:dyDescent="0.25">
      <c r="A683" s="8">
        <v>80388</v>
      </c>
      <c r="B683" s="5" t="s">
        <v>1278</v>
      </c>
      <c r="C683" s="6" t="s">
        <v>1412</v>
      </c>
      <c r="D683" s="6" t="str">
        <f>_xlfn.IFNA(IF(VLOOKUP(tabListaItens[[#This Row],[CÓDIGO]],tabExcluirDoEstoque[#Data],1,FALSE),"sim",""),"")</f>
        <v>sim</v>
      </c>
      <c r="E683" s="6" t="str">
        <f>"*"</f>
        <v>*</v>
      </c>
    </row>
    <row r="684" spans="1:5" x14ac:dyDescent="0.25">
      <c r="A684" s="8">
        <v>80390</v>
      </c>
      <c r="B684" s="5" t="s">
        <v>974</v>
      </c>
      <c r="C684" s="6" t="s">
        <v>1397</v>
      </c>
      <c r="D684" s="6" t="str">
        <f>_xlfn.IFNA(IF(VLOOKUP(tabListaItens[[#This Row],[CÓDIGO]],tabExcluirDoEstoque[#Data],1,FALSE),"sim",""),"")</f>
        <v/>
      </c>
      <c r="E684" s="6" t="str">
        <f>"*"</f>
        <v>*</v>
      </c>
    </row>
    <row r="685" spans="1:5" x14ac:dyDescent="0.25">
      <c r="A685" s="8">
        <v>80391</v>
      </c>
      <c r="B685" s="5" t="s">
        <v>1148</v>
      </c>
      <c r="C685" s="6" t="s">
        <v>1397</v>
      </c>
      <c r="D685" s="6" t="str">
        <f>_xlfn.IFNA(IF(VLOOKUP(tabListaItens[[#This Row],[CÓDIGO]],tabExcluirDoEstoque[#Data],1,FALSE),"sim",""),"")</f>
        <v>sim</v>
      </c>
      <c r="E685" s="6" t="str">
        <f>"*"</f>
        <v>*</v>
      </c>
    </row>
    <row r="686" spans="1:5" ht="30" x14ac:dyDescent="0.25">
      <c r="A686" s="8">
        <v>80575</v>
      </c>
      <c r="B686" s="5" t="s">
        <v>1279</v>
      </c>
      <c r="C686" s="6" t="s">
        <v>1397</v>
      </c>
      <c r="D686" s="6" t="str">
        <f>_xlfn.IFNA(IF(VLOOKUP(tabListaItens[[#This Row],[CÓDIGO]],tabExcluirDoEstoque[#Data],1,FALSE),"sim",""),"")</f>
        <v>sim</v>
      </c>
      <c r="E686" s="6" t="str">
        <f>"*"</f>
        <v>*</v>
      </c>
    </row>
    <row r="687" spans="1:5" x14ac:dyDescent="0.25">
      <c r="A687" s="8">
        <v>80650</v>
      </c>
      <c r="B687" s="5" t="s">
        <v>72</v>
      </c>
      <c r="C687" s="6" t="s">
        <v>1397</v>
      </c>
      <c r="D687" s="6" t="str">
        <f>_xlfn.IFNA(IF(VLOOKUP(tabListaItens[[#This Row],[CÓDIGO]],tabExcluirDoEstoque[#Data],1,FALSE),"sim",""),"")</f>
        <v>sim</v>
      </c>
      <c r="E687" s="6" t="str">
        <f>"*"</f>
        <v>*</v>
      </c>
    </row>
    <row r="688" spans="1:5" x14ac:dyDescent="0.25">
      <c r="A688" s="8">
        <v>80749</v>
      </c>
      <c r="B688" s="5" t="s">
        <v>1104</v>
      </c>
      <c r="C688" s="6" t="s">
        <v>1397</v>
      </c>
      <c r="D688" s="6" t="str">
        <f>_xlfn.IFNA(IF(VLOOKUP(tabListaItens[[#This Row],[CÓDIGO]],tabExcluirDoEstoque[#Data],1,FALSE),"sim",""),"")</f>
        <v>sim</v>
      </c>
      <c r="E688" s="6" t="str">
        <f>"*"</f>
        <v>*</v>
      </c>
    </row>
    <row r="689" spans="1:5" x14ac:dyDescent="0.25">
      <c r="A689" s="8">
        <v>80872</v>
      </c>
      <c r="B689" s="5" t="s">
        <v>917</v>
      </c>
      <c r="C689" s="6" t="s">
        <v>1424</v>
      </c>
      <c r="D689" s="6" t="str">
        <f>_xlfn.IFNA(IF(VLOOKUP(tabListaItens[[#This Row],[CÓDIGO]],tabExcluirDoEstoque[#Data],1,FALSE),"sim",""),"")</f>
        <v/>
      </c>
      <c r="E689" s="6" t="str">
        <f>"*"</f>
        <v>*</v>
      </c>
    </row>
    <row r="690" spans="1:5" x14ac:dyDescent="0.25">
      <c r="A690" s="8">
        <v>80874</v>
      </c>
      <c r="B690" s="5" t="s">
        <v>916</v>
      </c>
      <c r="C690" s="6" t="s">
        <v>1424</v>
      </c>
      <c r="D690" s="6" t="str">
        <f>_xlfn.IFNA(IF(VLOOKUP(tabListaItens[[#This Row],[CÓDIGO]],tabExcluirDoEstoque[#Data],1,FALSE),"sim",""),"")</f>
        <v/>
      </c>
      <c r="E690" s="6" t="str">
        <f>"*"</f>
        <v>*</v>
      </c>
    </row>
    <row r="691" spans="1:5" x14ac:dyDescent="0.25">
      <c r="A691" s="8">
        <v>81131</v>
      </c>
      <c r="B691" s="5" t="s">
        <v>630</v>
      </c>
      <c r="C691" s="6" t="s">
        <v>1398</v>
      </c>
      <c r="D691" s="6" t="str">
        <f>_xlfn.IFNA(IF(VLOOKUP(tabListaItens[[#This Row],[CÓDIGO]],tabExcluirDoEstoque[#Data],1,FALSE),"sim",""),"")</f>
        <v/>
      </c>
      <c r="E691" s="6" t="str">
        <f>"*"</f>
        <v>*</v>
      </c>
    </row>
    <row r="692" spans="1:5" x14ac:dyDescent="0.25">
      <c r="A692" s="8">
        <v>81152</v>
      </c>
      <c r="B692" s="5" t="s">
        <v>843</v>
      </c>
      <c r="C692" s="6" t="s">
        <v>1398</v>
      </c>
      <c r="D692" s="6" t="str">
        <f>_xlfn.IFNA(IF(VLOOKUP(tabListaItens[[#This Row],[CÓDIGO]],tabExcluirDoEstoque[#Data],1,FALSE),"sim",""),"")</f>
        <v/>
      </c>
      <c r="E692" s="6" t="str">
        <f>"*"</f>
        <v>*</v>
      </c>
    </row>
    <row r="693" spans="1:5" x14ac:dyDescent="0.25">
      <c r="A693" s="8">
        <v>81370</v>
      </c>
      <c r="B693" s="5" t="s">
        <v>356</v>
      </c>
      <c r="C693" s="6" t="s">
        <v>1402</v>
      </c>
      <c r="D693" s="6" t="str">
        <f>_xlfn.IFNA(IF(VLOOKUP(tabListaItens[[#This Row],[CÓDIGO]],tabExcluirDoEstoque[#Data],1,FALSE),"sim",""),"")</f>
        <v/>
      </c>
      <c r="E693" s="6" t="str">
        <f>"*"</f>
        <v>*</v>
      </c>
    </row>
    <row r="694" spans="1:5" x14ac:dyDescent="0.25">
      <c r="A694" s="8">
        <v>81371</v>
      </c>
      <c r="B694" s="5" t="s">
        <v>354</v>
      </c>
      <c r="C694" s="6" t="s">
        <v>1402</v>
      </c>
      <c r="D694" s="6" t="str">
        <f>_xlfn.IFNA(IF(VLOOKUP(tabListaItens[[#This Row],[CÓDIGO]],tabExcluirDoEstoque[#Data],1,FALSE),"sim",""),"")</f>
        <v/>
      </c>
      <c r="E694" s="6" t="str">
        <f>"*"</f>
        <v>*</v>
      </c>
    </row>
    <row r="695" spans="1:5" x14ac:dyDescent="0.25">
      <c r="A695" s="8">
        <v>81455</v>
      </c>
      <c r="B695" s="5" t="s">
        <v>384</v>
      </c>
      <c r="C695" s="6" t="s">
        <v>1397</v>
      </c>
      <c r="D695" s="6" t="str">
        <f>_xlfn.IFNA(IF(VLOOKUP(tabListaItens[[#This Row],[CÓDIGO]],tabExcluirDoEstoque[#Data],1,FALSE),"sim",""),"")</f>
        <v/>
      </c>
      <c r="E695" s="6" t="str">
        <f>"*"</f>
        <v>*</v>
      </c>
    </row>
    <row r="696" spans="1:5" x14ac:dyDescent="0.25">
      <c r="A696" s="8">
        <v>81493</v>
      </c>
      <c r="B696" s="5" t="s">
        <v>621</v>
      </c>
      <c r="C696" s="6" t="s">
        <v>1403</v>
      </c>
      <c r="D696" s="6" t="str">
        <f>_xlfn.IFNA(IF(VLOOKUP(tabListaItens[[#This Row],[CÓDIGO]],tabExcluirDoEstoque[#Data],1,FALSE),"sim",""),"")</f>
        <v/>
      </c>
      <c r="E696" s="6" t="str">
        <f>"*"</f>
        <v>*</v>
      </c>
    </row>
    <row r="697" spans="1:5" x14ac:dyDescent="0.25">
      <c r="A697" s="8">
        <v>81509</v>
      </c>
      <c r="B697" s="5" t="s">
        <v>1280</v>
      </c>
      <c r="C697" s="6" t="s">
        <v>1420</v>
      </c>
      <c r="D697" s="6" t="str">
        <f>_xlfn.IFNA(IF(VLOOKUP(tabListaItens[[#This Row],[CÓDIGO]],tabExcluirDoEstoque[#Data],1,FALSE),"sim",""),"")</f>
        <v>sim</v>
      </c>
      <c r="E697" s="6" t="str">
        <f>"*"</f>
        <v>*</v>
      </c>
    </row>
    <row r="698" spans="1:5" x14ac:dyDescent="0.25">
      <c r="A698" s="8">
        <v>81514</v>
      </c>
      <c r="B698" s="5" t="s">
        <v>73</v>
      </c>
      <c r="C698" s="6" t="s">
        <v>1397</v>
      </c>
      <c r="D698" s="6" t="str">
        <f>_xlfn.IFNA(IF(VLOOKUP(tabListaItens[[#This Row],[CÓDIGO]],tabExcluirDoEstoque[#Data],1,FALSE),"sim",""),"")</f>
        <v/>
      </c>
      <c r="E698" s="6" t="str">
        <f>"*"</f>
        <v>*</v>
      </c>
    </row>
    <row r="699" spans="1:5" x14ac:dyDescent="0.25">
      <c r="A699" s="8">
        <v>81563</v>
      </c>
      <c r="B699" s="5" t="s">
        <v>811</v>
      </c>
      <c r="C699" s="6" t="s">
        <v>1421</v>
      </c>
      <c r="D699" s="6" t="str">
        <f>_xlfn.IFNA(IF(VLOOKUP(tabListaItens[[#This Row],[CÓDIGO]],tabExcluirDoEstoque[#Data],1,FALSE),"sim",""),"")</f>
        <v/>
      </c>
      <c r="E699" s="6" t="str">
        <f>"*"</f>
        <v>*</v>
      </c>
    </row>
    <row r="700" spans="1:5" x14ac:dyDescent="0.25">
      <c r="A700" s="8">
        <v>81564</v>
      </c>
      <c r="B700" s="5" t="s">
        <v>812</v>
      </c>
      <c r="C700" s="6" t="s">
        <v>1421</v>
      </c>
      <c r="D700" s="6" t="str">
        <f>_xlfn.IFNA(IF(VLOOKUP(tabListaItens[[#This Row],[CÓDIGO]],tabExcluirDoEstoque[#Data],1,FALSE),"sim",""),"")</f>
        <v/>
      </c>
      <c r="E700" s="6" t="str">
        <f>"*"</f>
        <v>*</v>
      </c>
    </row>
    <row r="701" spans="1:5" x14ac:dyDescent="0.25">
      <c r="A701" s="8">
        <v>81565</v>
      </c>
      <c r="B701" s="5" t="s">
        <v>813</v>
      </c>
      <c r="C701" s="6" t="s">
        <v>1421</v>
      </c>
      <c r="D701" s="6" t="str">
        <f>_xlfn.IFNA(IF(VLOOKUP(tabListaItens[[#This Row],[CÓDIGO]],tabExcluirDoEstoque[#Data],1,FALSE),"sim",""),"")</f>
        <v/>
      </c>
      <c r="E701" s="6" t="str">
        <f>"*"</f>
        <v>*</v>
      </c>
    </row>
    <row r="702" spans="1:5" x14ac:dyDescent="0.25">
      <c r="A702" s="8">
        <v>81566</v>
      </c>
      <c r="B702" s="5" t="s">
        <v>810</v>
      </c>
      <c r="C702" s="6" t="s">
        <v>1421</v>
      </c>
      <c r="D702" s="6" t="str">
        <f>_xlfn.IFNA(IF(VLOOKUP(tabListaItens[[#This Row],[CÓDIGO]],tabExcluirDoEstoque[#Data],1,FALSE),"sim",""),"")</f>
        <v/>
      </c>
      <c r="E702" s="6" t="str">
        <f>"*"</f>
        <v>*</v>
      </c>
    </row>
    <row r="703" spans="1:5" x14ac:dyDescent="0.25">
      <c r="A703" s="8">
        <v>81807</v>
      </c>
      <c r="B703" s="5" t="s">
        <v>816</v>
      </c>
      <c r="C703" s="6" t="s">
        <v>1397</v>
      </c>
      <c r="D703" s="6" t="str">
        <f>_xlfn.IFNA(IF(VLOOKUP(tabListaItens[[#This Row],[CÓDIGO]],tabExcluirDoEstoque[#Data],1,FALSE),"sim",""),"")</f>
        <v/>
      </c>
      <c r="E703" s="6" t="str">
        <f>"*"</f>
        <v>*</v>
      </c>
    </row>
    <row r="704" spans="1:5" x14ac:dyDescent="0.25">
      <c r="A704" s="8">
        <v>81808</v>
      </c>
      <c r="B704" s="5" t="s">
        <v>808</v>
      </c>
      <c r="C704" s="6" t="s">
        <v>1397</v>
      </c>
      <c r="D704" s="6" t="str">
        <f>_xlfn.IFNA(IF(VLOOKUP(tabListaItens[[#This Row],[CÓDIGO]],tabExcluirDoEstoque[#Data],1,FALSE),"sim",""),"")</f>
        <v/>
      </c>
      <c r="E704" s="6" t="str">
        <f>"*"</f>
        <v>*</v>
      </c>
    </row>
    <row r="705" spans="1:5" x14ac:dyDescent="0.25">
      <c r="A705" s="8">
        <v>82185</v>
      </c>
      <c r="B705" s="5" t="s">
        <v>74</v>
      </c>
      <c r="C705" s="6" t="s">
        <v>1397</v>
      </c>
      <c r="D705" s="6" t="str">
        <f>_xlfn.IFNA(IF(VLOOKUP(tabListaItens[[#This Row],[CÓDIGO]],tabExcluirDoEstoque[#Data],1,FALSE),"sim",""),"")</f>
        <v/>
      </c>
      <c r="E705" s="6" t="str">
        <f>"*"</f>
        <v>*</v>
      </c>
    </row>
    <row r="706" spans="1:5" x14ac:dyDescent="0.25">
      <c r="A706" s="8">
        <v>82452</v>
      </c>
      <c r="B706" s="5" t="s">
        <v>186</v>
      </c>
      <c r="C706" s="6" t="s">
        <v>1397</v>
      </c>
      <c r="D706" s="6" t="str">
        <f>_xlfn.IFNA(IF(VLOOKUP(tabListaItens[[#This Row],[CÓDIGO]],tabExcluirDoEstoque[#Data],1,FALSE),"sim",""),"")</f>
        <v/>
      </c>
      <c r="E706" s="6" t="str">
        <f>"*"</f>
        <v>*</v>
      </c>
    </row>
    <row r="707" spans="1:5" x14ac:dyDescent="0.25">
      <c r="A707" s="8">
        <v>82732</v>
      </c>
      <c r="B707" s="5" t="s">
        <v>783</v>
      </c>
      <c r="C707" s="6" t="s">
        <v>1397</v>
      </c>
      <c r="D707" s="6" t="str">
        <f>_xlfn.IFNA(IF(VLOOKUP(tabListaItens[[#This Row],[CÓDIGO]],tabExcluirDoEstoque[#Data],1,FALSE),"sim",""),"")</f>
        <v>sim</v>
      </c>
      <c r="E707" s="6" t="str">
        <f>"*"</f>
        <v>*</v>
      </c>
    </row>
    <row r="708" spans="1:5" x14ac:dyDescent="0.25">
      <c r="A708" s="8">
        <v>82829</v>
      </c>
      <c r="B708" s="5" t="s">
        <v>1281</v>
      </c>
      <c r="C708" s="6" t="s">
        <v>1397</v>
      </c>
      <c r="D708" s="6" t="str">
        <f>_xlfn.IFNA(IF(VLOOKUP(tabListaItens[[#This Row],[CÓDIGO]],tabExcluirDoEstoque[#Data],1,FALSE),"sim",""),"")</f>
        <v>sim</v>
      </c>
      <c r="E708" s="6" t="str">
        <f>"*"</f>
        <v>*</v>
      </c>
    </row>
    <row r="709" spans="1:5" x14ac:dyDescent="0.25">
      <c r="A709" s="8">
        <v>82916</v>
      </c>
      <c r="B709" s="5" t="s">
        <v>1025</v>
      </c>
      <c r="C709" s="6" t="s">
        <v>1400</v>
      </c>
      <c r="D709" s="6" t="str">
        <f>_xlfn.IFNA(IF(VLOOKUP(tabListaItens[[#This Row],[CÓDIGO]],tabExcluirDoEstoque[#Data],1,FALSE),"sim",""),"")</f>
        <v>sim</v>
      </c>
      <c r="E709" s="6" t="str">
        <f>"*"</f>
        <v>*</v>
      </c>
    </row>
    <row r="710" spans="1:5" x14ac:dyDescent="0.25">
      <c r="A710" s="8">
        <v>82995</v>
      </c>
      <c r="B710" s="5" t="s">
        <v>500</v>
      </c>
      <c r="C710" s="6" t="s">
        <v>1397</v>
      </c>
      <c r="D710" s="6" t="str">
        <f>_xlfn.IFNA(IF(VLOOKUP(tabListaItens[[#This Row],[CÓDIGO]],tabExcluirDoEstoque[#Data],1,FALSE),"sim",""),"")</f>
        <v/>
      </c>
      <c r="E710" s="6" t="str">
        <f>"*"</f>
        <v>*</v>
      </c>
    </row>
    <row r="711" spans="1:5" x14ac:dyDescent="0.25">
      <c r="A711" s="8">
        <v>82996</v>
      </c>
      <c r="B711" s="5" t="s">
        <v>501</v>
      </c>
      <c r="C711" s="6" t="s">
        <v>1397</v>
      </c>
      <c r="D711" s="6" t="str">
        <f>_xlfn.IFNA(IF(VLOOKUP(tabListaItens[[#This Row],[CÓDIGO]],tabExcluirDoEstoque[#Data],1,FALSE),"sim",""),"")</f>
        <v/>
      </c>
      <c r="E711" s="6" t="str">
        <f>"*"</f>
        <v>*</v>
      </c>
    </row>
    <row r="712" spans="1:5" x14ac:dyDescent="0.25">
      <c r="A712" s="8">
        <v>83627</v>
      </c>
      <c r="B712" s="5" t="s">
        <v>839</v>
      </c>
      <c r="C712" s="6" t="s">
        <v>1404</v>
      </c>
      <c r="D712" s="6" t="str">
        <f>_xlfn.IFNA(IF(VLOOKUP(tabListaItens[[#This Row],[CÓDIGO]],tabExcluirDoEstoque[#Data],1,FALSE),"sim",""),"")</f>
        <v/>
      </c>
      <c r="E712" s="6" t="str">
        <f>"*"</f>
        <v>*</v>
      </c>
    </row>
    <row r="713" spans="1:5" x14ac:dyDescent="0.25">
      <c r="A713" s="8">
        <v>83788</v>
      </c>
      <c r="B713" s="5" t="s">
        <v>1154</v>
      </c>
      <c r="C713" s="6" t="s">
        <v>1397</v>
      </c>
      <c r="D713" s="6" t="str">
        <f>_xlfn.IFNA(IF(VLOOKUP(tabListaItens[[#This Row],[CÓDIGO]],tabExcluirDoEstoque[#Data],1,FALSE),"sim",""),"")</f>
        <v>sim</v>
      </c>
      <c r="E713" s="6" t="str">
        <f>"*"</f>
        <v>*</v>
      </c>
    </row>
    <row r="714" spans="1:5" x14ac:dyDescent="0.25">
      <c r="A714" s="8">
        <v>83838</v>
      </c>
      <c r="B714" s="5" t="s">
        <v>592</v>
      </c>
      <c r="C714" s="6" t="s">
        <v>1417</v>
      </c>
      <c r="D714" s="6" t="str">
        <f>_xlfn.IFNA(IF(VLOOKUP(tabListaItens[[#This Row],[CÓDIGO]],tabExcluirDoEstoque[#Data],1,FALSE),"sim",""),"")</f>
        <v/>
      </c>
      <c r="E714" s="6" t="str">
        <f>"*"</f>
        <v>*</v>
      </c>
    </row>
    <row r="715" spans="1:5" x14ac:dyDescent="0.25">
      <c r="A715" s="8">
        <v>83839</v>
      </c>
      <c r="B715" s="5" t="s">
        <v>591</v>
      </c>
      <c r="C715" s="6" t="s">
        <v>1417</v>
      </c>
      <c r="D715" s="6" t="str">
        <f>_xlfn.IFNA(IF(VLOOKUP(tabListaItens[[#This Row],[CÓDIGO]],tabExcluirDoEstoque[#Data],1,FALSE),"sim",""),"")</f>
        <v/>
      </c>
      <c r="E715" s="6" t="str">
        <f>"*"</f>
        <v>*</v>
      </c>
    </row>
    <row r="716" spans="1:5" x14ac:dyDescent="0.25">
      <c r="A716" s="8">
        <v>84878</v>
      </c>
      <c r="B716" s="5" t="s">
        <v>438</v>
      </c>
      <c r="C716" s="6" t="s">
        <v>1404</v>
      </c>
      <c r="D716" s="6" t="str">
        <f>_xlfn.IFNA(IF(VLOOKUP(tabListaItens[[#This Row],[CÓDIGO]],tabExcluirDoEstoque[#Data],1,FALSE),"sim",""),"")</f>
        <v/>
      </c>
      <c r="E716" s="6" t="str">
        <f>"*"</f>
        <v>*</v>
      </c>
    </row>
    <row r="717" spans="1:5" x14ac:dyDescent="0.25">
      <c r="A717" s="8">
        <v>85798</v>
      </c>
      <c r="B717" s="5" t="s">
        <v>388</v>
      </c>
      <c r="C717" s="6" t="s">
        <v>1397</v>
      </c>
      <c r="D717" s="6" t="str">
        <f>_xlfn.IFNA(IF(VLOOKUP(tabListaItens[[#This Row],[CÓDIGO]],tabExcluirDoEstoque[#Data],1,FALSE),"sim",""),"")</f>
        <v>sim</v>
      </c>
      <c r="E717" s="6" t="str">
        <f>"*"</f>
        <v>*</v>
      </c>
    </row>
    <row r="718" spans="1:5" x14ac:dyDescent="0.25">
      <c r="A718" s="8">
        <v>86030</v>
      </c>
      <c r="B718" s="5" t="s">
        <v>515</v>
      </c>
      <c r="C718" s="6" t="s">
        <v>1397</v>
      </c>
      <c r="D718" s="6" t="str">
        <f>_xlfn.IFNA(IF(VLOOKUP(tabListaItens[[#This Row],[CÓDIGO]],tabExcluirDoEstoque[#Data],1,FALSE),"sim",""),"")</f>
        <v>sim</v>
      </c>
      <c r="E718" s="6" t="str">
        <f>"*"</f>
        <v>*</v>
      </c>
    </row>
    <row r="719" spans="1:5" x14ac:dyDescent="0.25">
      <c r="A719" s="8">
        <v>86118</v>
      </c>
      <c r="B719" s="5" t="s">
        <v>784</v>
      </c>
      <c r="C719" s="6" t="s">
        <v>1397</v>
      </c>
      <c r="D719" s="6" t="str">
        <f>_xlfn.IFNA(IF(VLOOKUP(tabListaItens[[#This Row],[CÓDIGO]],tabExcluirDoEstoque[#Data],1,FALSE),"sim",""),"")</f>
        <v>sim</v>
      </c>
      <c r="E719" s="6" t="str">
        <f>"*"</f>
        <v>*</v>
      </c>
    </row>
    <row r="720" spans="1:5" x14ac:dyDescent="0.25">
      <c r="A720" s="8">
        <v>86891</v>
      </c>
      <c r="B720" s="5" t="s">
        <v>1109</v>
      </c>
      <c r="C720" s="6" t="s">
        <v>1397</v>
      </c>
      <c r="D720" s="6" t="str">
        <f>_xlfn.IFNA(IF(VLOOKUP(tabListaItens[[#This Row],[CÓDIGO]],tabExcluirDoEstoque[#Data],1,FALSE),"sim",""),"")</f>
        <v>sim</v>
      </c>
      <c r="E720" s="6" t="str">
        <f>"*"</f>
        <v>*</v>
      </c>
    </row>
    <row r="721" spans="1:5" x14ac:dyDescent="0.25">
      <c r="A721" s="8">
        <v>87157</v>
      </c>
      <c r="B721" s="5" t="s">
        <v>75</v>
      </c>
      <c r="C721" s="6" t="s">
        <v>1420</v>
      </c>
      <c r="D721" s="6" t="str">
        <f>_xlfn.IFNA(IF(VLOOKUP(tabListaItens[[#This Row],[CÓDIGO]],tabExcluirDoEstoque[#Data],1,FALSE),"sim",""),"")</f>
        <v>sim</v>
      </c>
      <c r="E721" s="6" t="str">
        <f>"*"</f>
        <v>*</v>
      </c>
    </row>
    <row r="722" spans="1:5" x14ac:dyDescent="0.25">
      <c r="A722" s="8">
        <v>87160</v>
      </c>
      <c r="B722" s="5" t="s">
        <v>1282</v>
      </c>
      <c r="C722" s="6" t="s">
        <v>1420</v>
      </c>
      <c r="D722" s="6" t="str">
        <f>_xlfn.IFNA(IF(VLOOKUP(tabListaItens[[#This Row],[CÓDIGO]],tabExcluirDoEstoque[#Data],1,FALSE),"sim",""),"")</f>
        <v>sim</v>
      </c>
      <c r="E722" s="6" t="str">
        <f>"*"</f>
        <v>*</v>
      </c>
    </row>
    <row r="723" spans="1:5" x14ac:dyDescent="0.25">
      <c r="A723" s="8">
        <v>87247</v>
      </c>
      <c r="B723" s="5" t="s">
        <v>762</v>
      </c>
      <c r="C723" s="6" t="s">
        <v>1397</v>
      </c>
      <c r="D723" s="6" t="str">
        <f>_xlfn.IFNA(IF(VLOOKUP(tabListaItens[[#This Row],[CÓDIGO]],tabExcluirDoEstoque[#Data],1,FALSE),"sim",""),"")</f>
        <v/>
      </c>
      <c r="E723" s="6" t="str">
        <f>"*"</f>
        <v>*</v>
      </c>
    </row>
    <row r="724" spans="1:5" x14ac:dyDescent="0.25">
      <c r="A724" s="8">
        <v>87348</v>
      </c>
      <c r="B724" s="5" t="s">
        <v>459</v>
      </c>
      <c r="C724" s="6" t="s">
        <v>1409</v>
      </c>
      <c r="D724" s="6" t="str">
        <f>_xlfn.IFNA(IF(VLOOKUP(tabListaItens[[#This Row],[CÓDIGO]],tabExcluirDoEstoque[#Data],1,FALSE),"sim",""),"")</f>
        <v/>
      </c>
      <c r="E724" s="6" t="str">
        <f>"*"</f>
        <v>*</v>
      </c>
    </row>
    <row r="725" spans="1:5" x14ac:dyDescent="0.25">
      <c r="A725" s="8">
        <v>87465</v>
      </c>
      <c r="B725" s="5" t="s">
        <v>632</v>
      </c>
      <c r="C725" s="6" t="s">
        <v>1404</v>
      </c>
      <c r="D725" s="6" t="str">
        <f>_xlfn.IFNA(IF(VLOOKUP(tabListaItens[[#This Row],[CÓDIGO]],tabExcluirDoEstoque[#Data],1,FALSE),"sim",""),"")</f>
        <v/>
      </c>
      <c r="E725" s="6" t="str">
        <f>"*"</f>
        <v>*</v>
      </c>
    </row>
    <row r="726" spans="1:5" x14ac:dyDescent="0.25">
      <c r="A726" s="8">
        <v>87586</v>
      </c>
      <c r="B726" s="5" t="s">
        <v>76</v>
      </c>
      <c r="C726" s="6" t="s">
        <v>1399</v>
      </c>
      <c r="D726" s="6" t="str">
        <f>_xlfn.IFNA(IF(VLOOKUP(tabListaItens[[#This Row],[CÓDIGO]],tabExcluirDoEstoque[#Data],1,FALSE),"sim",""),"")</f>
        <v/>
      </c>
      <c r="E726" s="6" t="str">
        <f>"*"</f>
        <v>*</v>
      </c>
    </row>
    <row r="727" spans="1:5" x14ac:dyDescent="0.25">
      <c r="A727" s="8">
        <v>87698</v>
      </c>
      <c r="B727" s="5" t="s">
        <v>794</v>
      </c>
      <c r="C727" s="6" t="s">
        <v>1397</v>
      </c>
      <c r="D727" s="6" t="str">
        <f>_xlfn.IFNA(IF(VLOOKUP(tabListaItens[[#This Row],[CÓDIGO]],tabExcluirDoEstoque[#Data],1,FALSE),"sim",""),"")</f>
        <v/>
      </c>
      <c r="E727" s="6" t="str">
        <f>"*"</f>
        <v>*</v>
      </c>
    </row>
    <row r="728" spans="1:5" x14ac:dyDescent="0.25">
      <c r="A728" s="8">
        <v>87699</v>
      </c>
      <c r="B728" s="5" t="s">
        <v>793</v>
      </c>
      <c r="C728" s="6" t="s">
        <v>1397</v>
      </c>
      <c r="D728" s="6" t="str">
        <f>_xlfn.IFNA(IF(VLOOKUP(tabListaItens[[#This Row],[CÓDIGO]],tabExcluirDoEstoque[#Data],1,FALSE),"sim",""),"")</f>
        <v/>
      </c>
      <c r="E728" s="6" t="str">
        <f>"*"</f>
        <v>*</v>
      </c>
    </row>
    <row r="729" spans="1:5" x14ac:dyDescent="0.25">
      <c r="A729" s="8">
        <v>88083</v>
      </c>
      <c r="B729" s="5" t="s">
        <v>1283</v>
      </c>
      <c r="C729" s="6" t="s">
        <v>1397</v>
      </c>
      <c r="D729" s="6" t="str">
        <f>_xlfn.IFNA(IF(VLOOKUP(tabListaItens[[#This Row],[CÓDIGO]],tabExcluirDoEstoque[#Data],1,FALSE),"sim",""),"")</f>
        <v>sim</v>
      </c>
      <c r="E729" s="6" t="str">
        <f>"*"</f>
        <v>*</v>
      </c>
    </row>
    <row r="730" spans="1:5" x14ac:dyDescent="0.25">
      <c r="A730" s="8">
        <v>88084</v>
      </c>
      <c r="B730" s="5" t="s">
        <v>1284</v>
      </c>
      <c r="C730" s="6" t="s">
        <v>1397</v>
      </c>
      <c r="D730" s="6" t="str">
        <f>_xlfn.IFNA(IF(VLOOKUP(tabListaItens[[#This Row],[CÓDIGO]],tabExcluirDoEstoque[#Data],1,FALSE),"sim",""),"")</f>
        <v>sim</v>
      </c>
      <c r="E730" s="6" t="str">
        <f>"*"</f>
        <v>*</v>
      </c>
    </row>
    <row r="731" spans="1:5" x14ac:dyDescent="0.25">
      <c r="A731" s="8">
        <v>88718</v>
      </c>
      <c r="B731" s="5" t="s">
        <v>391</v>
      </c>
      <c r="C731" s="6" t="s">
        <v>1397</v>
      </c>
      <c r="D731" s="6" t="str">
        <f>_xlfn.IFNA(IF(VLOOKUP(tabListaItens[[#This Row],[CÓDIGO]],tabExcluirDoEstoque[#Data],1,FALSE),"sim",""),"")</f>
        <v>sim</v>
      </c>
      <c r="E731" s="6" t="str">
        <f>"*"</f>
        <v>*</v>
      </c>
    </row>
    <row r="732" spans="1:5" x14ac:dyDescent="0.25">
      <c r="A732" s="8">
        <v>88719</v>
      </c>
      <c r="B732" s="5" t="s">
        <v>392</v>
      </c>
      <c r="C732" s="6" t="s">
        <v>1397</v>
      </c>
      <c r="D732" s="6" t="str">
        <f>_xlfn.IFNA(IF(VLOOKUP(tabListaItens[[#This Row],[CÓDIGO]],tabExcluirDoEstoque[#Data],1,FALSE),"sim",""),"")</f>
        <v>sim</v>
      </c>
      <c r="E732" s="6" t="str">
        <f>"*"</f>
        <v>*</v>
      </c>
    </row>
    <row r="733" spans="1:5" x14ac:dyDescent="0.25">
      <c r="A733" s="8">
        <v>88726</v>
      </c>
      <c r="B733" s="5" t="s">
        <v>393</v>
      </c>
      <c r="C733" s="6" t="s">
        <v>1397</v>
      </c>
      <c r="D733" s="6" t="str">
        <f>_xlfn.IFNA(IF(VLOOKUP(tabListaItens[[#This Row],[CÓDIGO]],tabExcluirDoEstoque[#Data],1,FALSE),"sim",""),"")</f>
        <v/>
      </c>
      <c r="E733" s="6" t="str">
        <f>"*"</f>
        <v>*</v>
      </c>
    </row>
    <row r="734" spans="1:5" x14ac:dyDescent="0.25">
      <c r="A734" s="8">
        <v>88727</v>
      </c>
      <c r="B734" s="5" t="s">
        <v>394</v>
      </c>
      <c r="C734" s="6" t="s">
        <v>1397</v>
      </c>
      <c r="D734" s="6" t="str">
        <f>_xlfn.IFNA(IF(VLOOKUP(tabListaItens[[#This Row],[CÓDIGO]],tabExcluirDoEstoque[#Data],1,FALSE),"sim",""),"")</f>
        <v/>
      </c>
      <c r="E734" s="6" t="str">
        <f>"*"</f>
        <v>*</v>
      </c>
    </row>
    <row r="735" spans="1:5" x14ac:dyDescent="0.25">
      <c r="A735" s="8">
        <v>88728</v>
      </c>
      <c r="B735" s="5" t="s">
        <v>395</v>
      </c>
      <c r="C735" s="6" t="s">
        <v>1397</v>
      </c>
      <c r="D735" s="6" t="str">
        <f>_xlfn.IFNA(IF(VLOOKUP(tabListaItens[[#This Row],[CÓDIGO]],tabExcluirDoEstoque[#Data],1,FALSE),"sim",""),"")</f>
        <v/>
      </c>
      <c r="E735" s="6" t="str">
        <f>"*"</f>
        <v>*</v>
      </c>
    </row>
    <row r="736" spans="1:5" x14ac:dyDescent="0.25">
      <c r="A736" s="8">
        <v>88729</v>
      </c>
      <c r="B736" s="5" t="s">
        <v>396</v>
      </c>
      <c r="C736" s="6" t="s">
        <v>1397</v>
      </c>
      <c r="D736" s="6" t="str">
        <f>_xlfn.IFNA(IF(VLOOKUP(tabListaItens[[#This Row],[CÓDIGO]],tabExcluirDoEstoque[#Data],1,FALSE),"sim",""),"")</f>
        <v/>
      </c>
      <c r="E736" s="6" t="str">
        <f>"*"</f>
        <v>*</v>
      </c>
    </row>
    <row r="737" spans="1:5" x14ac:dyDescent="0.25">
      <c r="A737" s="8">
        <v>88730</v>
      </c>
      <c r="B737" s="5" t="s">
        <v>397</v>
      </c>
      <c r="C737" s="6" t="s">
        <v>1397</v>
      </c>
      <c r="D737" s="6" t="str">
        <f>_xlfn.IFNA(IF(VLOOKUP(tabListaItens[[#This Row],[CÓDIGO]],tabExcluirDoEstoque[#Data],1,FALSE),"sim",""),"")</f>
        <v/>
      </c>
      <c r="E737" s="6" t="str">
        <f>"*"</f>
        <v>*</v>
      </c>
    </row>
    <row r="738" spans="1:5" x14ac:dyDescent="0.25">
      <c r="A738" s="8">
        <v>88731</v>
      </c>
      <c r="B738" s="5" t="s">
        <v>399</v>
      </c>
      <c r="C738" s="6" t="s">
        <v>1397</v>
      </c>
      <c r="D738" s="6" t="str">
        <f>_xlfn.IFNA(IF(VLOOKUP(tabListaItens[[#This Row],[CÓDIGO]],tabExcluirDoEstoque[#Data],1,FALSE),"sim",""),"")</f>
        <v/>
      </c>
      <c r="E738" s="6" t="str">
        <f>"*"</f>
        <v>*</v>
      </c>
    </row>
    <row r="739" spans="1:5" x14ac:dyDescent="0.25">
      <c r="A739" s="8">
        <v>88732</v>
      </c>
      <c r="B739" s="5" t="s">
        <v>402</v>
      </c>
      <c r="C739" s="6" t="s">
        <v>1397</v>
      </c>
      <c r="D739" s="6" t="str">
        <f>_xlfn.IFNA(IF(VLOOKUP(tabListaItens[[#This Row],[CÓDIGO]],tabExcluirDoEstoque[#Data],1,FALSE),"sim",""),"")</f>
        <v/>
      </c>
      <c r="E739" s="6" t="str">
        <f>"*"</f>
        <v>*</v>
      </c>
    </row>
    <row r="740" spans="1:5" x14ac:dyDescent="0.25">
      <c r="A740" s="8">
        <v>88733</v>
      </c>
      <c r="B740" s="5" t="s">
        <v>403</v>
      </c>
      <c r="C740" s="6" t="s">
        <v>1397</v>
      </c>
      <c r="D740" s="6" t="str">
        <f>_xlfn.IFNA(IF(VLOOKUP(tabListaItens[[#This Row],[CÓDIGO]],tabExcluirDoEstoque[#Data],1,FALSE),"sim",""),"")</f>
        <v/>
      </c>
      <c r="E740" s="6" t="str">
        <f>"*"</f>
        <v>*</v>
      </c>
    </row>
    <row r="741" spans="1:5" x14ac:dyDescent="0.25">
      <c r="A741" s="8">
        <v>88734</v>
      </c>
      <c r="B741" s="5" t="s">
        <v>404</v>
      </c>
      <c r="C741" s="6" t="s">
        <v>1397</v>
      </c>
      <c r="D741" s="6" t="str">
        <f>_xlfn.IFNA(IF(VLOOKUP(tabListaItens[[#This Row],[CÓDIGO]],tabExcluirDoEstoque[#Data],1,FALSE),"sim",""),"")</f>
        <v/>
      </c>
      <c r="E741" s="6" t="str">
        <f>"*"</f>
        <v>*</v>
      </c>
    </row>
    <row r="742" spans="1:5" x14ac:dyDescent="0.25">
      <c r="A742" s="8">
        <v>88735</v>
      </c>
      <c r="B742" s="5" t="s">
        <v>405</v>
      </c>
      <c r="C742" s="6" t="s">
        <v>1397</v>
      </c>
      <c r="D742" s="6" t="str">
        <f>_xlfn.IFNA(IF(VLOOKUP(tabListaItens[[#This Row],[CÓDIGO]],tabExcluirDoEstoque[#Data],1,FALSE),"sim",""),"")</f>
        <v/>
      </c>
      <c r="E742" s="6" t="str">
        <f>"*"</f>
        <v>*</v>
      </c>
    </row>
    <row r="743" spans="1:5" x14ac:dyDescent="0.25">
      <c r="A743" s="8">
        <v>88740</v>
      </c>
      <c r="B743" s="5" t="s">
        <v>398</v>
      </c>
      <c r="C743" s="6" t="s">
        <v>1397</v>
      </c>
      <c r="D743" s="6" t="str">
        <f>_xlfn.IFNA(IF(VLOOKUP(tabListaItens[[#This Row],[CÓDIGO]],tabExcluirDoEstoque[#Data],1,FALSE),"sim",""),"")</f>
        <v/>
      </c>
      <c r="E743" s="6" t="str">
        <f>"*"</f>
        <v>*</v>
      </c>
    </row>
    <row r="744" spans="1:5" x14ac:dyDescent="0.25">
      <c r="A744" s="8">
        <v>88741</v>
      </c>
      <c r="B744" s="5" t="s">
        <v>1043</v>
      </c>
      <c r="C744" s="6" t="s">
        <v>1397</v>
      </c>
      <c r="D744" s="6" t="str">
        <f>_xlfn.IFNA(IF(VLOOKUP(tabListaItens[[#This Row],[CÓDIGO]],tabExcluirDoEstoque[#Data],1,FALSE),"sim",""),"")</f>
        <v>sim</v>
      </c>
      <c r="E744" s="6" t="str">
        <f>"*"</f>
        <v>*</v>
      </c>
    </row>
    <row r="745" spans="1:5" x14ac:dyDescent="0.25">
      <c r="A745" s="8">
        <v>88742</v>
      </c>
      <c r="B745" s="5" t="s">
        <v>1042</v>
      </c>
      <c r="C745" s="6" t="s">
        <v>1397</v>
      </c>
      <c r="D745" s="6" t="str">
        <f>_xlfn.IFNA(IF(VLOOKUP(tabListaItens[[#This Row],[CÓDIGO]],tabExcluirDoEstoque[#Data],1,FALSE),"sim",""),"")</f>
        <v>sim</v>
      </c>
      <c r="E745" s="6" t="str">
        <f>"*"</f>
        <v>*</v>
      </c>
    </row>
    <row r="746" spans="1:5" x14ac:dyDescent="0.25">
      <c r="A746" s="8">
        <v>88744</v>
      </c>
      <c r="B746" s="5" t="s">
        <v>406</v>
      </c>
      <c r="C746" s="6" t="s">
        <v>1397</v>
      </c>
      <c r="D746" s="6" t="str">
        <f>_xlfn.IFNA(IF(VLOOKUP(tabListaItens[[#This Row],[CÓDIGO]],tabExcluirDoEstoque[#Data],1,FALSE),"sim",""),"")</f>
        <v/>
      </c>
      <c r="E746" s="6" t="str">
        <f>"*"</f>
        <v>*</v>
      </c>
    </row>
    <row r="747" spans="1:5" x14ac:dyDescent="0.25">
      <c r="A747" s="8">
        <v>88745</v>
      </c>
      <c r="B747" s="5" t="s">
        <v>407</v>
      </c>
      <c r="C747" s="6" t="s">
        <v>1397</v>
      </c>
      <c r="D747" s="6" t="str">
        <f>_xlfn.IFNA(IF(VLOOKUP(tabListaItens[[#This Row],[CÓDIGO]],tabExcluirDoEstoque[#Data],1,FALSE),"sim",""),"")</f>
        <v/>
      </c>
      <c r="E747" s="6" t="str">
        <f>"*"</f>
        <v>*</v>
      </c>
    </row>
    <row r="748" spans="1:5" x14ac:dyDescent="0.25">
      <c r="A748" s="8">
        <v>88746</v>
      </c>
      <c r="B748" s="5" t="s">
        <v>400</v>
      </c>
      <c r="C748" s="6" t="s">
        <v>1397</v>
      </c>
      <c r="D748" s="6" t="str">
        <f>_xlfn.IFNA(IF(VLOOKUP(tabListaItens[[#This Row],[CÓDIGO]],tabExcluirDoEstoque[#Data],1,FALSE),"sim",""),"")</f>
        <v/>
      </c>
      <c r="E748" s="6" t="str">
        <f>"*"</f>
        <v>*</v>
      </c>
    </row>
    <row r="749" spans="1:5" x14ac:dyDescent="0.25">
      <c r="A749" s="8">
        <v>88747</v>
      </c>
      <c r="B749" s="5" t="s">
        <v>401</v>
      </c>
      <c r="C749" s="6" t="s">
        <v>1397</v>
      </c>
      <c r="D749" s="6" t="str">
        <f>_xlfn.IFNA(IF(VLOOKUP(tabListaItens[[#This Row],[CÓDIGO]],tabExcluirDoEstoque[#Data],1,FALSE),"sim",""),"")</f>
        <v/>
      </c>
      <c r="E749" s="6" t="str">
        <f>"*"</f>
        <v>*</v>
      </c>
    </row>
    <row r="750" spans="1:5" x14ac:dyDescent="0.25">
      <c r="A750" s="8">
        <v>88838</v>
      </c>
      <c r="B750" s="5" t="s">
        <v>576</v>
      </c>
      <c r="C750" s="6" t="s">
        <v>1416</v>
      </c>
      <c r="D750" s="6" t="str">
        <f>_xlfn.IFNA(IF(VLOOKUP(tabListaItens[[#This Row],[CÓDIGO]],tabExcluirDoEstoque[#Data],1,FALSE),"sim",""),"")</f>
        <v/>
      </c>
      <c r="E750" s="6" t="str">
        <f>"*"</f>
        <v>*</v>
      </c>
    </row>
    <row r="751" spans="1:5" x14ac:dyDescent="0.25">
      <c r="A751" s="8">
        <v>88839</v>
      </c>
      <c r="B751" s="5" t="s">
        <v>77</v>
      </c>
      <c r="C751" s="6" t="s">
        <v>1403</v>
      </c>
      <c r="D751" s="6" t="str">
        <f>_xlfn.IFNA(IF(VLOOKUP(tabListaItens[[#This Row],[CÓDIGO]],tabExcluirDoEstoque[#Data],1,FALSE),"sim",""),"")</f>
        <v/>
      </c>
      <c r="E751" s="6" t="str">
        <f>"*"</f>
        <v>*</v>
      </c>
    </row>
    <row r="752" spans="1:5" x14ac:dyDescent="0.25">
      <c r="A752" s="8">
        <v>88849</v>
      </c>
      <c r="B752" s="5" t="s">
        <v>78</v>
      </c>
      <c r="C752" s="6" t="s">
        <v>1405</v>
      </c>
      <c r="D752" s="6" t="str">
        <f>_xlfn.IFNA(IF(VLOOKUP(tabListaItens[[#This Row],[CÓDIGO]],tabExcluirDoEstoque[#Data],1,FALSE),"sim",""),"")</f>
        <v/>
      </c>
      <c r="E752" s="6" t="str">
        <f>"*"</f>
        <v>*</v>
      </c>
    </row>
    <row r="753" spans="1:5" x14ac:dyDescent="0.25">
      <c r="A753" s="8">
        <v>88856</v>
      </c>
      <c r="B753" s="5" t="s">
        <v>142</v>
      </c>
      <c r="C753" s="6" t="s">
        <v>1409</v>
      </c>
      <c r="D753" s="6" t="str">
        <f>_xlfn.IFNA(IF(VLOOKUP(tabListaItens[[#This Row],[CÓDIGO]],tabExcluirDoEstoque[#Data],1,FALSE),"sim",""),"")</f>
        <v/>
      </c>
      <c r="E753" s="6" t="str">
        <f>"*"</f>
        <v>*</v>
      </c>
    </row>
    <row r="754" spans="1:5" x14ac:dyDescent="0.25">
      <c r="A754" s="8">
        <v>88876</v>
      </c>
      <c r="B754" s="5" t="s">
        <v>119</v>
      </c>
      <c r="C754" s="6" t="s">
        <v>1397</v>
      </c>
      <c r="D754" s="6" t="str">
        <f>_xlfn.IFNA(IF(VLOOKUP(tabListaItens[[#This Row],[CÓDIGO]],tabExcluirDoEstoque[#Data],1,FALSE),"sim",""),"")</f>
        <v/>
      </c>
      <c r="E754" s="6" t="str">
        <f>"*"</f>
        <v>*</v>
      </c>
    </row>
    <row r="755" spans="1:5" x14ac:dyDescent="0.25">
      <c r="A755" s="8">
        <v>88989</v>
      </c>
      <c r="B755" s="5" t="s">
        <v>1285</v>
      </c>
      <c r="C755" s="6" t="s">
        <v>1412</v>
      </c>
      <c r="D755" s="6" t="str">
        <f>_xlfn.IFNA(IF(VLOOKUP(tabListaItens[[#This Row],[CÓDIGO]],tabExcluirDoEstoque[#Data],1,FALSE),"sim",""),"")</f>
        <v>sim</v>
      </c>
      <c r="E755" s="6" t="str">
        <f>"*"</f>
        <v>*</v>
      </c>
    </row>
    <row r="756" spans="1:5" x14ac:dyDescent="0.25">
      <c r="A756" s="8">
        <v>88992</v>
      </c>
      <c r="B756" s="5" t="s">
        <v>1286</v>
      </c>
      <c r="C756" s="6" t="s">
        <v>1412</v>
      </c>
      <c r="D756" s="6" t="str">
        <f>_xlfn.IFNA(IF(VLOOKUP(tabListaItens[[#This Row],[CÓDIGO]],tabExcluirDoEstoque[#Data],1,FALSE),"sim",""),"")</f>
        <v>sim</v>
      </c>
      <c r="E756" s="6" t="str">
        <f>"*"</f>
        <v>*</v>
      </c>
    </row>
    <row r="757" spans="1:5" x14ac:dyDescent="0.25">
      <c r="A757" s="8">
        <v>88993</v>
      </c>
      <c r="B757" s="5" t="s">
        <v>1287</v>
      </c>
      <c r="C757" s="6" t="s">
        <v>1412</v>
      </c>
      <c r="D757" s="6" t="str">
        <f>_xlfn.IFNA(IF(VLOOKUP(tabListaItens[[#This Row],[CÓDIGO]],tabExcluirDoEstoque[#Data],1,FALSE),"sim",""),"")</f>
        <v>sim</v>
      </c>
      <c r="E757" s="6" t="str">
        <f>"*"</f>
        <v>*</v>
      </c>
    </row>
    <row r="758" spans="1:5" x14ac:dyDescent="0.25">
      <c r="A758" s="8">
        <v>89818</v>
      </c>
      <c r="B758" s="5" t="s">
        <v>1448</v>
      </c>
      <c r="C758" s="6" t="s">
        <v>1412</v>
      </c>
      <c r="D758" s="6" t="str">
        <f>_xlfn.IFNA(IF(VLOOKUP(tabListaItens[[#This Row],[CÓDIGO]],tabExcluirDoEstoque[#Data],1,FALSE),"sim",""),"")</f>
        <v>sim</v>
      </c>
      <c r="E758" s="6" t="str">
        <f>"*"</f>
        <v>*</v>
      </c>
    </row>
    <row r="759" spans="1:5" x14ac:dyDescent="0.25">
      <c r="A759" s="8">
        <v>89855</v>
      </c>
      <c r="B759" s="5" t="s">
        <v>564</v>
      </c>
      <c r="C759" s="6" t="s">
        <v>1397</v>
      </c>
      <c r="D759" s="6" t="str">
        <f>_xlfn.IFNA(IF(VLOOKUP(tabListaItens[[#This Row],[CÓDIGO]],tabExcluirDoEstoque[#Data],1,FALSE),"sim",""),"")</f>
        <v>sim</v>
      </c>
      <c r="E759" s="6" t="str">
        <f>"*"</f>
        <v>*</v>
      </c>
    </row>
    <row r="760" spans="1:5" x14ac:dyDescent="0.25">
      <c r="A760" s="8">
        <v>89860</v>
      </c>
      <c r="B760" s="5" t="s">
        <v>1288</v>
      </c>
      <c r="C760" s="6" t="s">
        <v>1397</v>
      </c>
      <c r="D760" s="6" t="str">
        <f>_xlfn.IFNA(IF(VLOOKUP(tabListaItens[[#This Row],[CÓDIGO]],tabExcluirDoEstoque[#Data],1,FALSE),"sim",""),"")</f>
        <v>sim</v>
      </c>
      <c r="E760" s="6" t="str">
        <f>"*"</f>
        <v>*</v>
      </c>
    </row>
    <row r="761" spans="1:5" x14ac:dyDescent="0.25">
      <c r="A761" s="8">
        <v>89863</v>
      </c>
      <c r="B761" s="5" t="s">
        <v>706</v>
      </c>
      <c r="C761" s="6" t="s">
        <v>1417</v>
      </c>
      <c r="D761" s="6" t="str">
        <f>_xlfn.IFNA(IF(VLOOKUP(tabListaItens[[#This Row],[CÓDIGO]],tabExcluirDoEstoque[#Data],1,FALSE),"sim",""),"")</f>
        <v/>
      </c>
      <c r="E761" s="6" t="str">
        <f>"*"</f>
        <v>*</v>
      </c>
    </row>
    <row r="762" spans="1:5" x14ac:dyDescent="0.25">
      <c r="A762" s="8">
        <v>89864</v>
      </c>
      <c r="B762" s="5" t="s">
        <v>707</v>
      </c>
      <c r="C762" s="6" t="s">
        <v>1417</v>
      </c>
      <c r="D762" s="6" t="str">
        <f>_xlfn.IFNA(IF(VLOOKUP(tabListaItens[[#This Row],[CÓDIGO]],tabExcluirDoEstoque[#Data],1,FALSE),"sim",""),"")</f>
        <v/>
      </c>
      <c r="E762" s="6" t="str">
        <f>"*"</f>
        <v>*</v>
      </c>
    </row>
    <row r="763" spans="1:5" x14ac:dyDescent="0.25">
      <c r="A763" s="8">
        <v>89865</v>
      </c>
      <c r="B763" s="5" t="s">
        <v>689</v>
      </c>
      <c r="C763" s="6" t="s">
        <v>1417</v>
      </c>
      <c r="D763" s="6" t="str">
        <f>_xlfn.IFNA(IF(VLOOKUP(tabListaItens[[#This Row],[CÓDIGO]],tabExcluirDoEstoque[#Data],1,FALSE),"sim",""),"")</f>
        <v/>
      </c>
      <c r="E763" s="6" t="str">
        <f>"*"</f>
        <v>*</v>
      </c>
    </row>
    <row r="764" spans="1:5" x14ac:dyDescent="0.25">
      <c r="A764" s="8">
        <v>89866</v>
      </c>
      <c r="B764" s="5" t="s">
        <v>1090</v>
      </c>
      <c r="C764" s="6" t="s">
        <v>1417</v>
      </c>
      <c r="D764" s="6" t="str">
        <f>_xlfn.IFNA(IF(VLOOKUP(tabListaItens[[#This Row],[CÓDIGO]],tabExcluirDoEstoque[#Data],1,FALSE),"sim",""),"")</f>
        <v>sim</v>
      </c>
      <c r="E764" s="6" t="str">
        <f>"*"</f>
        <v>*</v>
      </c>
    </row>
    <row r="765" spans="1:5" x14ac:dyDescent="0.25">
      <c r="A765" s="8">
        <v>90232</v>
      </c>
      <c r="B765" s="5" t="s">
        <v>1289</v>
      </c>
      <c r="C765" s="6" t="s">
        <v>1403</v>
      </c>
      <c r="D765" s="6" t="str">
        <f>_xlfn.IFNA(IF(VLOOKUP(tabListaItens[[#This Row],[CÓDIGO]],tabExcluirDoEstoque[#Data],1,FALSE),"sim",""),"")</f>
        <v>sim</v>
      </c>
      <c r="E765" s="6" t="str">
        <f>"*"</f>
        <v>*</v>
      </c>
    </row>
    <row r="766" spans="1:5" x14ac:dyDescent="0.25">
      <c r="A766" s="8">
        <v>90469</v>
      </c>
      <c r="B766" s="5" t="s">
        <v>1290</v>
      </c>
      <c r="C766" s="6" t="s">
        <v>1419</v>
      </c>
      <c r="D766" s="6" t="str">
        <f>_xlfn.IFNA(IF(VLOOKUP(tabListaItens[[#This Row],[CÓDIGO]],tabExcluirDoEstoque[#Data],1,FALSE),"sim",""),"")</f>
        <v>sim</v>
      </c>
      <c r="E766" s="6" t="str">
        <f>"*"</f>
        <v>*</v>
      </c>
    </row>
    <row r="767" spans="1:5" x14ac:dyDescent="0.25">
      <c r="A767" s="8">
        <v>90470</v>
      </c>
      <c r="B767" s="5" t="s">
        <v>1291</v>
      </c>
      <c r="C767" s="6" t="s">
        <v>1419</v>
      </c>
      <c r="D767" s="6" t="str">
        <f>_xlfn.IFNA(IF(VLOOKUP(tabListaItens[[#This Row],[CÓDIGO]],tabExcluirDoEstoque[#Data],1,FALSE),"sim",""),"")</f>
        <v>sim</v>
      </c>
      <c r="E767" s="6" t="str">
        <f>"*"</f>
        <v>*</v>
      </c>
    </row>
    <row r="768" spans="1:5" x14ac:dyDescent="0.25">
      <c r="A768" s="8">
        <v>90500</v>
      </c>
      <c r="B768" s="5" t="s">
        <v>1292</v>
      </c>
      <c r="C768" s="6" t="s">
        <v>1413</v>
      </c>
      <c r="D768" s="6" t="str">
        <f>_xlfn.IFNA(IF(VLOOKUP(tabListaItens[[#This Row],[CÓDIGO]],tabExcluirDoEstoque[#Data],1,FALSE),"sim",""),"")</f>
        <v>sim</v>
      </c>
      <c r="E768" s="6" t="str">
        <f>"*"</f>
        <v>*</v>
      </c>
    </row>
    <row r="769" spans="1:5" x14ac:dyDescent="0.25">
      <c r="A769" s="8">
        <v>90502</v>
      </c>
      <c r="B769" s="5" t="s">
        <v>1293</v>
      </c>
      <c r="C769" s="6" t="s">
        <v>1413</v>
      </c>
      <c r="D769" s="6" t="str">
        <f>_xlfn.IFNA(IF(VLOOKUP(tabListaItens[[#This Row],[CÓDIGO]],tabExcluirDoEstoque[#Data],1,FALSE),"sim",""),"")</f>
        <v>sim</v>
      </c>
      <c r="E769" s="6" t="str">
        <f>"*"</f>
        <v>*</v>
      </c>
    </row>
    <row r="770" spans="1:5" x14ac:dyDescent="0.25">
      <c r="A770" s="8">
        <v>90827</v>
      </c>
      <c r="B770" s="5" t="s">
        <v>1294</v>
      </c>
      <c r="C770" s="6" t="s">
        <v>1419</v>
      </c>
      <c r="D770" s="6" t="str">
        <f>_xlfn.IFNA(IF(VLOOKUP(tabListaItens[[#This Row],[CÓDIGO]],tabExcluirDoEstoque[#Data],1,FALSE),"sim",""),"")</f>
        <v>sim</v>
      </c>
      <c r="E770" s="6" t="str">
        <f>"*"</f>
        <v>*</v>
      </c>
    </row>
    <row r="771" spans="1:5" x14ac:dyDescent="0.25">
      <c r="A771" s="8">
        <v>90884</v>
      </c>
      <c r="B771" s="5" t="s">
        <v>1295</v>
      </c>
      <c r="C771" s="6" t="s">
        <v>1403</v>
      </c>
      <c r="D771" s="6" t="str">
        <f>_xlfn.IFNA(IF(VLOOKUP(tabListaItens[[#This Row],[CÓDIGO]],tabExcluirDoEstoque[#Data],1,FALSE),"sim",""),"")</f>
        <v>sim</v>
      </c>
      <c r="E771" s="6" t="str">
        <f>"*"</f>
        <v>*</v>
      </c>
    </row>
    <row r="772" spans="1:5" x14ac:dyDescent="0.25">
      <c r="A772" s="8">
        <v>91250</v>
      </c>
      <c r="B772" s="5" t="s">
        <v>750</v>
      </c>
      <c r="C772" s="6" t="s">
        <v>1413</v>
      </c>
      <c r="D772" s="6" t="str">
        <f>_xlfn.IFNA(IF(VLOOKUP(tabListaItens[[#This Row],[CÓDIGO]],tabExcluirDoEstoque[#Data],1,FALSE),"sim",""),"")</f>
        <v/>
      </c>
      <c r="E772" s="6" t="str">
        <f>"*"</f>
        <v>*</v>
      </c>
    </row>
    <row r="773" spans="1:5" x14ac:dyDescent="0.25">
      <c r="A773" s="8">
        <v>91669</v>
      </c>
      <c r="B773" s="5" t="s">
        <v>837</v>
      </c>
      <c r="C773" s="6" t="s">
        <v>1404</v>
      </c>
      <c r="D773" s="6" t="str">
        <f>_xlfn.IFNA(IF(VLOOKUP(tabListaItens[[#This Row],[CÓDIGO]],tabExcluirDoEstoque[#Data],1,FALSE),"sim",""),"")</f>
        <v/>
      </c>
      <c r="E773" s="6" t="str">
        <f>"*"</f>
        <v>*</v>
      </c>
    </row>
    <row r="774" spans="1:5" x14ac:dyDescent="0.25">
      <c r="A774" s="8">
        <v>91811</v>
      </c>
      <c r="B774" s="5" t="s">
        <v>979</v>
      </c>
      <c r="C774" s="6" t="s">
        <v>1397</v>
      </c>
      <c r="D774" s="6" t="str">
        <f>_xlfn.IFNA(IF(VLOOKUP(tabListaItens[[#This Row],[CÓDIGO]],tabExcluirDoEstoque[#Data],1,FALSE),"sim",""),"")</f>
        <v/>
      </c>
      <c r="E774" s="6" t="str">
        <f>"*"</f>
        <v>*</v>
      </c>
    </row>
    <row r="775" spans="1:5" x14ac:dyDescent="0.25">
      <c r="A775" s="8">
        <v>91868</v>
      </c>
      <c r="B775" s="5" t="s">
        <v>980</v>
      </c>
      <c r="C775" s="6" t="s">
        <v>1397</v>
      </c>
      <c r="D775" s="6" t="str">
        <f>_xlfn.IFNA(IF(VLOOKUP(tabListaItens[[#This Row],[CÓDIGO]],tabExcluirDoEstoque[#Data],1,FALSE),"sim",""),"")</f>
        <v/>
      </c>
      <c r="E775" s="6" t="str">
        <f>"*"</f>
        <v>*</v>
      </c>
    </row>
    <row r="776" spans="1:5" x14ac:dyDescent="0.25">
      <c r="A776" s="8">
        <v>92111</v>
      </c>
      <c r="B776" s="5" t="s">
        <v>211</v>
      </c>
      <c r="C776" s="6" t="s">
        <v>1413</v>
      </c>
      <c r="D776" s="6" t="str">
        <f>_xlfn.IFNA(IF(VLOOKUP(tabListaItens[[#This Row],[CÓDIGO]],tabExcluirDoEstoque[#Data],1,FALSE),"sim",""),"")</f>
        <v>sim</v>
      </c>
      <c r="E776" s="6" t="str">
        <f>"*"</f>
        <v>*</v>
      </c>
    </row>
    <row r="777" spans="1:5" x14ac:dyDescent="0.25">
      <c r="A777" s="8">
        <v>92842</v>
      </c>
      <c r="B777" s="5" t="s">
        <v>687</v>
      </c>
      <c r="C777" s="6" t="s">
        <v>1408</v>
      </c>
      <c r="D777" s="6" t="str">
        <f>_xlfn.IFNA(IF(VLOOKUP(tabListaItens[[#This Row],[CÓDIGO]],tabExcluirDoEstoque[#Data],1,FALSE),"sim",""),"")</f>
        <v/>
      </c>
      <c r="E777" s="6" t="str">
        <f>"*"</f>
        <v>*</v>
      </c>
    </row>
    <row r="778" spans="1:5" x14ac:dyDescent="0.25">
      <c r="A778" s="8">
        <v>92906</v>
      </c>
      <c r="B778" s="5" t="s">
        <v>1089</v>
      </c>
      <c r="C778" s="6" t="s">
        <v>1398</v>
      </c>
      <c r="D778" s="6" t="str">
        <f>_xlfn.IFNA(IF(VLOOKUP(tabListaItens[[#This Row],[CÓDIGO]],tabExcluirDoEstoque[#Data],1,FALSE),"sim",""),"")</f>
        <v>sim</v>
      </c>
      <c r="E778" s="6" t="str">
        <f>"*"</f>
        <v>*</v>
      </c>
    </row>
    <row r="779" spans="1:5" x14ac:dyDescent="0.25">
      <c r="A779" s="8">
        <v>92907</v>
      </c>
      <c r="B779" s="5" t="s">
        <v>686</v>
      </c>
      <c r="C779" s="6" t="s">
        <v>1398</v>
      </c>
      <c r="D779" s="6" t="str">
        <f>_xlfn.IFNA(IF(VLOOKUP(tabListaItens[[#This Row],[CÓDIGO]],tabExcluirDoEstoque[#Data],1,FALSE),"sim",""),"")</f>
        <v/>
      </c>
      <c r="E779" s="6" t="str">
        <f>"*"</f>
        <v>*</v>
      </c>
    </row>
    <row r="780" spans="1:5" x14ac:dyDescent="0.25">
      <c r="A780" s="8">
        <v>92908</v>
      </c>
      <c r="B780" s="5" t="s">
        <v>685</v>
      </c>
      <c r="C780" s="6" t="s">
        <v>1398</v>
      </c>
      <c r="D780" s="6" t="str">
        <f>_xlfn.IFNA(IF(VLOOKUP(tabListaItens[[#This Row],[CÓDIGO]],tabExcluirDoEstoque[#Data],1,FALSE),"sim",""),"")</f>
        <v/>
      </c>
      <c r="E780" s="6" t="str">
        <f>"*"</f>
        <v>*</v>
      </c>
    </row>
    <row r="781" spans="1:5" x14ac:dyDescent="0.25">
      <c r="A781" s="8">
        <v>93139</v>
      </c>
      <c r="B781" s="5" t="s">
        <v>489</v>
      </c>
      <c r="C781" s="6" t="s">
        <v>1408</v>
      </c>
      <c r="D781" s="6" t="str">
        <f>_xlfn.IFNA(IF(VLOOKUP(tabListaItens[[#This Row],[CÓDIGO]],tabExcluirDoEstoque[#Data],1,FALSE),"sim",""),"")</f>
        <v/>
      </c>
      <c r="E781" s="6" t="str">
        <f>"*"</f>
        <v>*</v>
      </c>
    </row>
    <row r="782" spans="1:5" x14ac:dyDescent="0.25">
      <c r="A782" s="8">
        <v>93325</v>
      </c>
      <c r="B782" s="5" t="s">
        <v>658</v>
      </c>
      <c r="C782" s="6" t="s">
        <v>1416</v>
      </c>
      <c r="D782" s="6" t="str">
        <f>_xlfn.IFNA(IF(VLOOKUP(tabListaItens[[#This Row],[CÓDIGO]],tabExcluirDoEstoque[#Data],1,FALSE),"sim",""),"")</f>
        <v/>
      </c>
      <c r="E782" s="6" t="str">
        <f>"*"</f>
        <v>*</v>
      </c>
    </row>
    <row r="783" spans="1:5" x14ac:dyDescent="0.25">
      <c r="A783" s="8">
        <v>93327</v>
      </c>
      <c r="B783" s="5" t="s">
        <v>659</v>
      </c>
      <c r="C783" s="6" t="s">
        <v>1416</v>
      </c>
      <c r="D783" s="6" t="str">
        <f>_xlfn.IFNA(IF(VLOOKUP(tabListaItens[[#This Row],[CÓDIGO]],tabExcluirDoEstoque[#Data],1,FALSE),"sim",""),"")</f>
        <v/>
      </c>
      <c r="E783" s="6" t="str">
        <f>"*"</f>
        <v>*</v>
      </c>
    </row>
    <row r="784" spans="1:5" x14ac:dyDescent="0.25">
      <c r="A784" s="8">
        <v>93329</v>
      </c>
      <c r="B784" s="5" t="s">
        <v>660</v>
      </c>
      <c r="C784" s="6" t="s">
        <v>1416</v>
      </c>
      <c r="D784" s="6" t="str">
        <f>_xlfn.IFNA(IF(VLOOKUP(tabListaItens[[#This Row],[CÓDIGO]],tabExcluirDoEstoque[#Data],1,FALSE),"sim",""),"")</f>
        <v/>
      </c>
      <c r="E784" s="6" t="str">
        <f>"*"</f>
        <v>*</v>
      </c>
    </row>
    <row r="785" spans="1:5" x14ac:dyDescent="0.25">
      <c r="A785" s="8">
        <v>93332</v>
      </c>
      <c r="B785" s="5" t="s">
        <v>661</v>
      </c>
      <c r="C785" s="6" t="s">
        <v>1416</v>
      </c>
      <c r="D785" s="6" t="str">
        <f>_xlfn.IFNA(IF(VLOOKUP(tabListaItens[[#This Row],[CÓDIGO]],tabExcluirDoEstoque[#Data],1,FALSE),"sim",""),"")</f>
        <v/>
      </c>
      <c r="E785" s="6" t="str">
        <f>"*"</f>
        <v>*</v>
      </c>
    </row>
    <row r="786" spans="1:5" x14ac:dyDescent="0.25">
      <c r="A786" s="8">
        <v>93333</v>
      </c>
      <c r="B786" s="5" t="s">
        <v>1296</v>
      </c>
      <c r="C786" s="6" t="s">
        <v>1416</v>
      </c>
      <c r="D786" s="6" t="str">
        <f>_xlfn.IFNA(IF(VLOOKUP(tabListaItens[[#This Row],[CÓDIGO]],tabExcluirDoEstoque[#Data],1,FALSE),"sim",""),"")</f>
        <v>sim</v>
      </c>
      <c r="E786" s="6" t="str">
        <f>"*"</f>
        <v>*</v>
      </c>
    </row>
    <row r="787" spans="1:5" x14ac:dyDescent="0.25">
      <c r="A787" s="8">
        <v>93334</v>
      </c>
      <c r="B787" s="5" t="s">
        <v>662</v>
      </c>
      <c r="C787" s="6" t="s">
        <v>1416</v>
      </c>
      <c r="D787" s="6" t="str">
        <f>_xlfn.IFNA(IF(VLOOKUP(tabListaItens[[#This Row],[CÓDIGO]],tabExcluirDoEstoque[#Data],1,FALSE),"sim",""),"")</f>
        <v/>
      </c>
      <c r="E787" s="6" t="str">
        <f>"*"</f>
        <v>*</v>
      </c>
    </row>
    <row r="788" spans="1:5" x14ac:dyDescent="0.25">
      <c r="A788" s="8">
        <v>93335</v>
      </c>
      <c r="B788" s="5" t="s">
        <v>663</v>
      </c>
      <c r="C788" s="6" t="s">
        <v>1416</v>
      </c>
      <c r="D788" s="6" t="str">
        <f>_xlfn.IFNA(IF(VLOOKUP(tabListaItens[[#This Row],[CÓDIGO]],tabExcluirDoEstoque[#Data],1,FALSE),"sim",""),"")</f>
        <v/>
      </c>
      <c r="E788" s="6" t="str">
        <f>"*"</f>
        <v>*</v>
      </c>
    </row>
    <row r="789" spans="1:5" x14ac:dyDescent="0.25">
      <c r="A789" s="8">
        <v>93344</v>
      </c>
      <c r="B789" s="5" t="s">
        <v>1297</v>
      </c>
      <c r="C789" s="6" t="s">
        <v>1412</v>
      </c>
      <c r="D789" s="6" t="str">
        <f>_xlfn.IFNA(IF(VLOOKUP(tabListaItens[[#This Row],[CÓDIGO]],tabExcluirDoEstoque[#Data],1,FALSE),"sim",""),"")</f>
        <v>sim</v>
      </c>
      <c r="E789" s="6" t="str">
        <f>"*"</f>
        <v>*</v>
      </c>
    </row>
    <row r="790" spans="1:5" x14ac:dyDescent="0.25">
      <c r="A790" s="8">
        <v>93346</v>
      </c>
      <c r="B790" s="5" t="s">
        <v>1298</v>
      </c>
      <c r="C790" s="6" t="s">
        <v>1412</v>
      </c>
      <c r="D790" s="6" t="str">
        <f>_xlfn.IFNA(IF(VLOOKUP(tabListaItens[[#This Row],[CÓDIGO]],tabExcluirDoEstoque[#Data],1,FALSE),"sim",""),"")</f>
        <v>sim</v>
      </c>
      <c r="E790" s="6" t="str">
        <f>"*"</f>
        <v>*</v>
      </c>
    </row>
    <row r="791" spans="1:5" x14ac:dyDescent="0.25">
      <c r="A791" s="8">
        <v>93453</v>
      </c>
      <c r="B791" s="5" t="s">
        <v>665</v>
      </c>
      <c r="C791" s="6" t="s">
        <v>1416</v>
      </c>
      <c r="D791" s="6" t="str">
        <f>_xlfn.IFNA(IF(VLOOKUP(tabListaItens[[#This Row],[CÓDIGO]],tabExcluirDoEstoque[#Data],1,FALSE),"sim",""),"")</f>
        <v/>
      </c>
      <c r="E791" s="6" t="str">
        <f>"*"</f>
        <v>*</v>
      </c>
    </row>
    <row r="792" spans="1:5" x14ac:dyDescent="0.25">
      <c r="A792" s="8">
        <v>93454</v>
      </c>
      <c r="B792" s="5" t="s">
        <v>666</v>
      </c>
      <c r="C792" s="6" t="s">
        <v>1416</v>
      </c>
      <c r="D792" s="6" t="str">
        <f>_xlfn.IFNA(IF(VLOOKUP(tabListaItens[[#This Row],[CÓDIGO]],tabExcluirDoEstoque[#Data],1,FALSE),"sim",""),"")</f>
        <v/>
      </c>
      <c r="E792" s="6" t="str">
        <f>"*"</f>
        <v>*</v>
      </c>
    </row>
    <row r="793" spans="1:5" x14ac:dyDescent="0.25">
      <c r="A793" s="8">
        <v>93456</v>
      </c>
      <c r="B793" s="5" t="s">
        <v>667</v>
      </c>
      <c r="C793" s="6" t="s">
        <v>1416</v>
      </c>
      <c r="D793" s="6" t="str">
        <f>_xlfn.IFNA(IF(VLOOKUP(tabListaItens[[#This Row],[CÓDIGO]],tabExcluirDoEstoque[#Data],1,FALSE),"sim",""),"")</f>
        <v/>
      </c>
      <c r="E793" s="6" t="str">
        <f>"*"</f>
        <v>*</v>
      </c>
    </row>
    <row r="794" spans="1:5" x14ac:dyDescent="0.25">
      <c r="A794" s="8">
        <v>93461</v>
      </c>
      <c r="B794" s="5" t="s">
        <v>668</v>
      </c>
      <c r="C794" s="6" t="s">
        <v>1416</v>
      </c>
      <c r="D794" s="6" t="str">
        <f>_xlfn.IFNA(IF(VLOOKUP(tabListaItens[[#This Row],[CÓDIGO]],tabExcluirDoEstoque[#Data],1,FALSE),"sim",""),"")</f>
        <v/>
      </c>
      <c r="E794" s="6" t="str">
        <f>"*"</f>
        <v>*</v>
      </c>
    </row>
    <row r="795" spans="1:5" x14ac:dyDescent="0.25">
      <c r="A795" s="8">
        <v>93462</v>
      </c>
      <c r="B795" s="5" t="s">
        <v>669</v>
      </c>
      <c r="C795" s="6" t="s">
        <v>1416</v>
      </c>
      <c r="D795" s="6" t="str">
        <f>_xlfn.IFNA(IF(VLOOKUP(tabListaItens[[#This Row],[CÓDIGO]],tabExcluirDoEstoque[#Data],1,FALSE),"sim",""),"")</f>
        <v/>
      </c>
      <c r="E795" s="6" t="str">
        <f>"*"</f>
        <v>*</v>
      </c>
    </row>
    <row r="796" spans="1:5" x14ac:dyDescent="0.25">
      <c r="A796" s="8">
        <v>93486</v>
      </c>
      <c r="B796" s="5" t="s">
        <v>526</v>
      </c>
      <c r="C796" s="6" t="s">
        <v>1397</v>
      </c>
      <c r="D796" s="6" t="str">
        <f>_xlfn.IFNA(IF(VLOOKUP(tabListaItens[[#This Row],[CÓDIGO]],tabExcluirDoEstoque[#Data],1,FALSE),"sim",""),"")</f>
        <v/>
      </c>
      <c r="E796" s="6" t="str">
        <f>"*"</f>
        <v>*</v>
      </c>
    </row>
    <row r="797" spans="1:5" x14ac:dyDescent="0.25">
      <c r="A797" s="8">
        <v>93487</v>
      </c>
      <c r="B797" s="5" t="s">
        <v>527</v>
      </c>
      <c r="C797" s="6" t="s">
        <v>1397</v>
      </c>
      <c r="D797" s="6" t="str">
        <f>_xlfn.IFNA(IF(VLOOKUP(tabListaItens[[#This Row],[CÓDIGO]],tabExcluirDoEstoque[#Data],1,FALSE),"sim",""),"")</f>
        <v/>
      </c>
      <c r="E797" s="6" t="str">
        <f>"*"</f>
        <v>*</v>
      </c>
    </row>
    <row r="798" spans="1:5" x14ac:dyDescent="0.25">
      <c r="A798" s="8">
        <v>93488</v>
      </c>
      <c r="B798" s="5" t="s">
        <v>528</v>
      </c>
      <c r="C798" s="6" t="s">
        <v>1397</v>
      </c>
      <c r="D798" s="6" t="str">
        <f>_xlfn.IFNA(IF(VLOOKUP(tabListaItens[[#This Row],[CÓDIGO]],tabExcluirDoEstoque[#Data],1,FALSE),"sim",""),"")</f>
        <v/>
      </c>
      <c r="E798" s="6" t="str">
        <f>"*"</f>
        <v>*</v>
      </c>
    </row>
    <row r="799" spans="1:5" x14ac:dyDescent="0.25">
      <c r="A799" s="8">
        <v>94013</v>
      </c>
      <c r="B799" s="5" t="s">
        <v>1299</v>
      </c>
      <c r="C799" s="6" t="s">
        <v>1397</v>
      </c>
      <c r="D799" s="6" t="str">
        <f>_xlfn.IFNA(IF(VLOOKUP(tabListaItens[[#This Row],[CÓDIGO]],tabExcluirDoEstoque[#Data],1,FALSE),"sim",""),"")</f>
        <v>sim</v>
      </c>
      <c r="E799" s="6" t="str">
        <f>"*"</f>
        <v>*</v>
      </c>
    </row>
    <row r="800" spans="1:5" x14ac:dyDescent="0.25">
      <c r="A800" s="8">
        <v>94615</v>
      </c>
      <c r="B800" s="5" t="s">
        <v>1001</v>
      </c>
      <c r="C800" s="6" t="s">
        <v>1397</v>
      </c>
      <c r="D800" s="6" t="str">
        <f>_xlfn.IFNA(IF(VLOOKUP(tabListaItens[[#This Row],[CÓDIGO]],tabExcluirDoEstoque[#Data],1,FALSE),"sim",""),"")</f>
        <v>sim</v>
      </c>
      <c r="E800" s="6" t="str">
        <f>"*"</f>
        <v>*</v>
      </c>
    </row>
    <row r="801" spans="1:5" x14ac:dyDescent="0.25">
      <c r="A801" s="8">
        <v>94616</v>
      </c>
      <c r="B801" s="5" t="s">
        <v>1000</v>
      </c>
      <c r="C801" s="6" t="s">
        <v>1397</v>
      </c>
      <c r="D801" s="6" t="str">
        <f>_xlfn.IFNA(IF(VLOOKUP(tabListaItens[[#This Row],[CÓDIGO]],tabExcluirDoEstoque[#Data],1,FALSE),"sim",""),"")</f>
        <v>sim</v>
      </c>
      <c r="E801" s="6" t="str">
        <f>"*"</f>
        <v>*</v>
      </c>
    </row>
    <row r="802" spans="1:5" x14ac:dyDescent="0.25">
      <c r="A802" s="8">
        <v>94617</v>
      </c>
      <c r="B802" s="5" t="s">
        <v>999</v>
      </c>
      <c r="C802" s="6" t="s">
        <v>1397</v>
      </c>
      <c r="D802" s="6" t="str">
        <f>_xlfn.IFNA(IF(VLOOKUP(tabListaItens[[#This Row],[CÓDIGO]],tabExcluirDoEstoque[#Data],1,FALSE),"sim",""),"")</f>
        <v>sim</v>
      </c>
      <c r="E802" s="6" t="str">
        <f>"*"</f>
        <v>*</v>
      </c>
    </row>
    <row r="803" spans="1:5" x14ac:dyDescent="0.25">
      <c r="A803" s="8">
        <v>94618</v>
      </c>
      <c r="B803" s="5" t="s">
        <v>1300</v>
      </c>
      <c r="C803" s="6" t="s">
        <v>1397</v>
      </c>
      <c r="D803" s="6" t="str">
        <f>_xlfn.IFNA(IF(VLOOKUP(tabListaItens[[#This Row],[CÓDIGO]],tabExcluirDoEstoque[#Data],1,FALSE),"sim",""),"")</f>
        <v>sim</v>
      </c>
      <c r="E803" s="6" t="str">
        <f>"*"</f>
        <v>*</v>
      </c>
    </row>
    <row r="804" spans="1:5" x14ac:dyDescent="0.25">
      <c r="A804" s="8">
        <v>94627</v>
      </c>
      <c r="B804" s="5" t="s">
        <v>578</v>
      </c>
      <c r="C804" s="6" t="s">
        <v>1416</v>
      </c>
      <c r="D804" s="6" t="str">
        <f>_xlfn.IFNA(IF(VLOOKUP(tabListaItens[[#This Row],[CÓDIGO]],tabExcluirDoEstoque[#Data],1,FALSE),"sim",""),"")</f>
        <v>sim</v>
      </c>
      <c r="E804" s="6" t="str">
        <f>"*"</f>
        <v>*</v>
      </c>
    </row>
    <row r="805" spans="1:5" x14ac:dyDescent="0.25">
      <c r="A805" s="8">
        <v>94787</v>
      </c>
      <c r="B805" s="5" t="s">
        <v>1069</v>
      </c>
      <c r="C805" s="6" t="s">
        <v>1397</v>
      </c>
      <c r="D805" s="6" t="str">
        <f>_xlfn.IFNA(IF(VLOOKUP(tabListaItens[[#This Row],[CÓDIGO]],tabExcluirDoEstoque[#Data],1,FALSE),"sim",""),"")</f>
        <v>sim</v>
      </c>
      <c r="E805" s="6" t="str">
        <f>"*"</f>
        <v>*</v>
      </c>
    </row>
    <row r="806" spans="1:5" x14ac:dyDescent="0.25">
      <c r="A806" s="8">
        <v>95121</v>
      </c>
      <c r="B806" s="5" t="s">
        <v>530</v>
      </c>
      <c r="C806" s="6" t="s">
        <v>1397</v>
      </c>
      <c r="D806" s="6" t="str">
        <f>_xlfn.IFNA(IF(VLOOKUP(tabListaItens[[#This Row],[CÓDIGO]],tabExcluirDoEstoque[#Data],1,FALSE),"sim",""),"")</f>
        <v/>
      </c>
      <c r="E806" s="6" t="str">
        <f>"*"</f>
        <v>*</v>
      </c>
    </row>
    <row r="807" spans="1:5" x14ac:dyDescent="0.25">
      <c r="A807" s="8">
        <v>95209</v>
      </c>
      <c r="B807" s="5" t="s">
        <v>976</v>
      </c>
      <c r="C807" s="6" t="s">
        <v>1397</v>
      </c>
      <c r="D807" s="6" t="str">
        <f>_xlfn.IFNA(IF(VLOOKUP(tabListaItens[[#This Row],[CÓDIGO]],tabExcluirDoEstoque[#Data],1,FALSE),"sim",""),"")</f>
        <v/>
      </c>
      <c r="E807" s="6" t="str">
        <f>"*"</f>
        <v>*</v>
      </c>
    </row>
    <row r="808" spans="1:5" x14ac:dyDescent="0.25">
      <c r="A808" s="8">
        <v>95228</v>
      </c>
      <c r="B808" s="5" t="s">
        <v>1531</v>
      </c>
      <c r="C808" s="6" t="s">
        <v>1397</v>
      </c>
      <c r="D808" s="76" t="str">
        <f>_xlfn.IFNA(IF(VLOOKUP(tabListaItens[[#This Row],[CÓDIGO]],tabExcluirDoEstoque[#Data],1,FALSE),"sim",""),"")</f>
        <v/>
      </c>
      <c r="E808" s="76" t="str">
        <f>"*"</f>
        <v>*</v>
      </c>
    </row>
    <row r="809" spans="1:5" x14ac:dyDescent="0.25">
      <c r="A809" s="8">
        <v>95229</v>
      </c>
      <c r="B809" s="5" t="s">
        <v>1532</v>
      </c>
      <c r="C809" s="6" t="s">
        <v>1397</v>
      </c>
      <c r="D809" s="76" t="str">
        <f>_xlfn.IFNA(IF(VLOOKUP(tabListaItens[[#This Row],[CÓDIGO]],tabExcluirDoEstoque[#Data],1,FALSE),"sim",""),"")</f>
        <v/>
      </c>
      <c r="E809" s="76" t="str">
        <f>"*"</f>
        <v>*</v>
      </c>
    </row>
    <row r="810" spans="1:5" x14ac:dyDescent="0.25">
      <c r="A810" s="8">
        <v>95513</v>
      </c>
      <c r="B810" s="5" t="s">
        <v>216</v>
      </c>
      <c r="C810" s="6" t="s">
        <v>1413</v>
      </c>
      <c r="D810" s="6" t="str">
        <f>_xlfn.IFNA(IF(VLOOKUP(tabListaItens[[#This Row],[CÓDIGO]],tabExcluirDoEstoque[#Data],1,FALSE),"sim",""),"")</f>
        <v>sim</v>
      </c>
      <c r="E810" s="6" t="str">
        <f>"*"</f>
        <v>*</v>
      </c>
    </row>
    <row r="811" spans="1:5" x14ac:dyDescent="0.25">
      <c r="A811" s="8">
        <v>95970</v>
      </c>
      <c r="B811" s="5" t="s">
        <v>1140</v>
      </c>
      <c r="C811" s="6" t="s">
        <v>1397</v>
      </c>
      <c r="D811" s="6" t="str">
        <f>_xlfn.IFNA(IF(VLOOKUP(tabListaItens[[#This Row],[CÓDIGO]],tabExcluirDoEstoque[#Data],1,FALSE),"sim",""),"")</f>
        <v>sim</v>
      </c>
      <c r="E811" s="6" t="str">
        <f>"*"</f>
        <v>*</v>
      </c>
    </row>
    <row r="812" spans="1:5" x14ac:dyDescent="0.25">
      <c r="A812" s="8">
        <v>96516</v>
      </c>
      <c r="B812" s="5" t="s">
        <v>590</v>
      </c>
      <c r="C812" s="6" t="s">
        <v>1412</v>
      </c>
      <c r="D812" s="6" t="str">
        <f>_xlfn.IFNA(IF(VLOOKUP(tabListaItens[[#This Row],[CÓDIGO]],tabExcluirDoEstoque[#Data],1,FALSE),"sim",""),"")</f>
        <v/>
      </c>
      <c r="E812" s="6" t="str">
        <f>"*"</f>
        <v>*</v>
      </c>
    </row>
    <row r="813" spans="1:5" x14ac:dyDescent="0.25">
      <c r="A813" s="8">
        <v>97965</v>
      </c>
      <c r="B813" s="5" t="s">
        <v>330</v>
      </c>
      <c r="C813" s="6" t="s">
        <v>1414</v>
      </c>
      <c r="D813" s="6" t="str">
        <f>_xlfn.IFNA(IF(VLOOKUP(tabListaItens[[#This Row],[CÓDIGO]],tabExcluirDoEstoque[#Data],1,FALSE),"sim",""),"")</f>
        <v>sim</v>
      </c>
      <c r="E813" s="6" t="str">
        <f>"*"</f>
        <v>*</v>
      </c>
    </row>
    <row r="814" spans="1:5" x14ac:dyDescent="0.25">
      <c r="A814" s="8">
        <v>98080</v>
      </c>
      <c r="B814" s="5" t="s">
        <v>589</v>
      </c>
      <c r="C814" s="6" t="s">
        <v>1412</v>
      </c>
      <c r="D814" s="6" t="str">
        <f>_xlfn.IFNA(IF(VLOOKUP(tabListaItens[[#This Row],[CÓDIGO]],tabExcluirDoEstoque[#Data],1,FALSE),"sim",""),"")</f>
        <v/>
      </c>
      <c r="E814" s="6" t="str">
        <f>"*"</f>
        <v>*</v>
      </c>
    </row>
    <row r="815" spans="1:5" x14ac:dyDescent="0.25">
      <c r="A815" s="8">
        <v>98359</v>
      </c>
      <c r="B815" s="5" t="s">
        <v>483</v>
      </c>
      <c r="C815" s="6" t="s">
        <v>1408</v>
      </c>
      <c r="D815" s="6" t="str">
        <f>_xlfn.IFNA(IF(VLOOKUP(tabListaItens[[#This Row],[CÓDIGO]],tabExcluirDoEstoque[#Data],1,FALSE),"sim",""),"")</f>
        <v/>
      </c>
      <c r="E815" s="6" t="str">
        <f>"*"</f>
        <v>*</v>
      </c>
    </row>
    <row r="816" spans="1:5" x14ac:dyDescent="0.25">
      <c r="A816" s="8">
        <v>98360</v>
      </c>
      <c r="B816" s="5" t="s">
        <v>1055</v>
      </c>
      <c r="C816" s="6" t="s">
        <v>1408</v>
      </c>
      <c r="D816" s="6" t="str">
        <f>_xlfn.IFNA(IF(VLOOKUP(tabListaItens[[#This Row],[CÓDIGO]],tabExcluirDoEstoque[#Data],1,FALSE),"sim",""),"")</f>
        <v>sim</v>
      </c>
      <c r="E816" s="6" t="str">
        <f>"*"</f>
        <v>*</v>
      </c>
    </row>
    <row r="817" spans="1:5" x14ac:dyDescent="0.25">
      <c r="A817" s="8">
        <v>98702</v>
      </c>
      <c r="B817" s="5" t="s">
        <v>79</v>
      </c>
      <c r="C817" s="6" t="s">
        <v>1420</v>
      </c>
      <c r="D817" s="6" t="str">
        <f>_xlfn.IFNA(IF(VLOOKUP(tabListaItens[[#This Row],[CÓDIGO]],tabExcluirDoEstoque[#Data],1,FALSE),"sim",""),"")</f>
        <v/>
      </c>
      <c r="E817" s="6" t="str">
        <f>"*"</f>
        <v>*</v>
      </c>
    </row>
    <row r="818" spans="1:5" x14ac:dyDescent="0.25">
      <c r="A818" s="8">
        <v>98703</v>
      </c>
      <c r="B818" s="5" t="s">
        <v>724</v>
      </c>
      <c r="C818" s="6" t="s">
        <v>1409</v>
      </c>
      <c r="D818" s="6" t="str">
        <f>_xlfn.IFNA(IF(VLOOKUP(tabListaItens[[#This Row],[CÓDIGO]],tabExcluirDoEstoque[#Data],1,FALSE),"sim",""),"")</f>
        <v/>
      </c>
      <c r="E818" s="6" t="str">
        <f>"*"</f>
        <v>*</v>
      </c>
    </row>
    <row r="819" spans="1:5" x14ac:dyDescent="0.25">
      <c r="A819" s="8">
        <v>98704</v>
      </c>
      <c r="B819" s="5" t="s">
        <v>727</v>
      </c>
      <c r="C819" s="6" t="s">
        <v>1409</v>
      </c>
      <c r="D819" s="6" t="str">
        <f>_xlfn.IFNA(IF(VLOOKUP(tabListaItens[[#This Row],[CÓDIGO]],tabExcluirDoEstoque[#Data],1,FALSE),"sim",""),"")</f>
        <v/>
      </c>
      <c r="E819" s="6" t="str">
        <f>"*"</f>
        <v>*</v>
      </c>
    </row>
    <row r="820" spans="1:5" x14ac:dyDescent="0.25">
      <c r="A820" s="8">
        <v>98732</v>
      </c>
      <c r="B820" s="5" t="s">
        <v>138</v>
      </c>
      <c r="C820" s="6" t="s">
        <v>1404</v>
      </c>
      <c r="D820" s="6" t="str">
        <f>_xlfn.IFNA(IF(VLOOKUP(tabListaItens[[#This Row],[CÓDIGO]],tabExcluirDoEstoque[#Data],1,FALSE),"sim",""),"")</f>
        <v/>
      </c>
      <c r="E820" s="6" t="str">
        <f>"*"</f>
        <v>*</v>
      </c>
    </row>
    <row r="821" spans="1:5" x14ac:dyDescent="0.25">
      <c r="A821" s="8">
        <v>98733</v>
      </c>
      <c r="B821" s="5" t="s">
        <v>139</v>
      </c>
      <c r="C821" s="6" t="s">
        <v>1404</v>
      </c>
      <c r="D821" s="6" t="str">
        <f>_xlfn.IFNA(IF(VLOOKUP(tabListaItens[[#This Row],[CÓDIGO]],tabExcluirDoEstoque[#Data],1,FALSE),"sim",""),"")</f>
        <v/>
      </c>
      <c r="E821" s="6" t="str">
        <f>"*"</f>
        <v>*</v>
      </c>
    </row>
    <row r="822" spans="1:5" x14ac:dyDescent="0.25">
      <c r="A822" s="8">
        <v>98734</v>
      </c>
      <c r="B822" s="5" t="s">
        <v>137</v>
      </c>
      <c r="C822" s="6" t="s">
        <v>1404</v>
      </c>
      <c r="D822" s="6" t="str">
        <f>_xlfn.IFNA(IF(VLOOKUP(tabListaItens[[#This Row],[CÓDIGO]],tabExcluirDoEstoque[#Data],1,FALSE),"sim",""),"")</f>
        <v/>
      </c>
      <c r="E822" s="6" t="str">
        <f>"*"</f>
        <v>*</v>
      </c>
    </row>
    <row r="823" spans="1:5" x14ac:dyDescent="0.25">
      <c r="A823" s="8">
        <v>98747</v>
      </c>
      <c r="B823" s="5" t="s">
        <v>1301</v>
      </c>
      <c r="C823" s="6" t="s">
        <v>1412</v>
      </c>
      <c r="D823" s="6" t="str">
        <f>_xlfn.IFNA(IF(VLOOKUP(tabListaItens[[#This Row],[CÓDIGO]],tabExcluirDoEstoque[#Data],1,FALSE),"sim",""),"")</f>
        <v>sim</v>
      </c>
      <c r="E823" s="6" t="str">
        <f>"*"</f>
        <v>*</v>
      </c>
    </row>
    <row r="824" spans="1:5" x14ac:dyDescent="0.25">
      <c r="A824" s="8">
        <v>98748</v>
      </c>
      <c r="B824" s="5" t="s">
        <v>1302</v>
      </c>
      <c r="C824" s="6" t="s">
        <v>1412</v>
      </c>
      <c r="D824" s="6" t="str">
        <f>_xlfn.IFNA(IF(VLOOKUP(tabListaItens[[#This Row],[CÓDIGO]],tabExcluirDoEstoque[#Data],1,FALSE),"sim",""),"")</f>
        <v>sim</v>
      </c>
      <c r="E824" s="6" t="str">
        <f>"*"</f>
        <v>*</v>
      </c>
    </row>
    <row r="825" spans="1:5" x14ac:dyDescent="0.25">
      <c r="A825" s="8">
        <v>98749</v>
      </c>
      <c r="B825" s="5" t="s">
        <v>1303</v>
      </c>
      <c r="C825" s="6" t="s">
        <v>1412</v>
      </c>
      <c r="D825" s="6" t="str">
        <f>_xlfn.IFNA(IF(VLOOKUP(tabListaItens[[#This Row],[CÓDIGO]],tabExcluirDoEstoque[#Data],1,FALSE),"sim",""),"")</f>
        <v>sim</v>
      </c>
      <c r="E825" s="6" t="str">
        <f>"*"</f>
        <v>*</v>
      </c>
    </row>
    <row r="826" spans="1:5" x14ac:dyDescent="0.25">
      <c r="A826" s="8">
        <v>98750</v>
      </c>
      <c r="B826" s="5" t="s">
        <v>1304</v>
      </c>
      <c r="C826" s="6" t="s">
        <v>1412</v>
      </c>
      <c r="D826" s="6" t="str">
        <f>_xlfn.IFNA(IF(VLOOKUP(tabListaItens[[#This Row],[CÓDIGO]],tabExcluirDoEstoque[#Data],1,FALSE),"sim",""),"")</f>
        <v>sim</v>
      </c>
      <c r="E826" s="6" t="str">
        <f>"*"</f>
        <v>*</v>
      </c>
    </row>
    <row r="827" spans="1:5" x14ac:dyDescent="0.25">
      <c r="A827" s="8">
        <v>98751</v>
      </c>
      <c r="B827" s="5" t="s">
        <v>1305</v>
      </c>
      <c r="C827" s="6" t="s">
        <v>1412</v>
      </c>
      <c r="D827" s="6" t="str">
        <f>_xlfn.IFNA(IF(VLOOKUP(tabListaItens[[#This Row],[CÓDIGO]],tabExcluirDoEstoque[#Data],1,FALSE),"sim",""),"")</f>
        <v>sim</v>
      </c>
      <c r="E827" s="6" t="str">
        <f>"*"</f>
        <v>*</v>
      </c>
    </row>
    <row r="828" spans="1:5" x14ac:dyDescent="0.25">
      <c r="A828" s="8">
        <v>98819</v>
      </c>
      <c r="B828" s="5" t="s">
        <v>1306</v>
      </c>
      <c r="C828" s="6" t="s">
        <v>1397</v>
      </c>
      <c r="D828" s="6" t="str">
        <f>_xlfn.IFNA(IF(VLOOKUP(tabListaItens[[#This Row],[CÓDIGO]],tabExcluirDoEstoque[#Data],1,FALSE),"sim",""),"")</f>
        <v>sim</v>
      </c>
      <c r="E828" s="6" t="str">
        <f>"*"</f>
        <v>*</v>
      </c>
    </row>
    <row r="829" spans="1:5" x14ac:dyDescent="0.25">
      <c r="A829" s="8">
        <v>99787</v>
      </c>
      <c r="B829" s="5" t="s">
        <v>428</v>
      </c>
      <c r="C829" s="6" t="s">
        <v>1397</v>
      </c>
      <c r="D829" s="6" t="str">
        <f>_xlfn.IFNA(IF(VLOOKUP(tabListaItens[[#This Row],[CÓDIGO]],tabExcluirDoEstoque[#Data],1,FALSE),"sim",""),"")</f>
        <v/>
      </c>
      <c r="E829" s="6" t="str">
        <f>"*"</f>
        <v>*</v>
      </c>
    </row>
    <row r="830" spans="1:5" x14ac:dyDescent="0.25">
      <c r="A830" s="8">
        <v>99788</v>
      </c>
      <c r="B830" s="5" t="s">
        <v>180</v>
      </c>
      <c r="C830" s="6" t="s">
        <v>1397</v>
      </c>
      <c r="D830" s="6" t="str">
        <f>_xlfn.IFNA(IF(VLOOKUP(tabListaItens[[#This Row],[CÓDIGO]],tabExcluirDoEstoque[#Data],1,FALSE),"sim",""),"")</f>
        <v/>
      </c>
      <c r="E830" s="6" t="str">
        <f>"*"</f>
        <v>*</v>
      </c>
    </row>
    <row r="831" spans="1:5" x14ac:dyDescent="0.25">
      <c r="A831" s="8">
        <v>99790</v>
      </c>
      <c r="B831" s="5" t="s">
        <v>1022</v>
      </c>
      <c r="C831" s="6" t="s">
        <v>1397</v>
      </c>
      <c r="D831" s="6" t="str">
        <f>_xlfn.IFNA(IF(VLOOKUP(tabListaItens[[#This Row],[CÓDIGO]],tabExcluirDoEstoque[#Data],1,FALSE),"sim",""),"")</f>
        <v>sim</v>
      </c>
      <c r="E831" s="6" t="str">
        <f>"*"</f>
        <v>*</v>
      </c>
    </row>
    <row r="832" spans="1:5" x14ac:dyDescent="0.25">
      <c r="A832" s="8">
        <v>99796</v>
      </c>
      <c r="B832" s="5" t="s">
        <v>1034</v>
      </c>
      <c r="C832" s="6" t="s">
        <v>1397</v>
      </c>
      <c r="D832" s="6" t="str">
        <f>_xlfn.IFNA(IF(VLOOKUP(tabListaItens[[#This Row],[CÓDIGO]],tabExcluirDoEstoque[#Data],1,FALSE),"sim",""),"")</f>
        <v>sim</v>
      </c>
      <c r="E832" s="6" t="str">
        <f>"*"</f>
        <v>*</v>
      </c>
    </row>
    <row r="833" spans="1:5" x14ac:dyDescent="0.25">
      <c r="A833" s="8">
        <v>99810</v>
      </c>
      <c r="B833" s="5" t="s">
        <v>80</v>
      </c>
      <c r="C833" s="6" t="s">
        <v>1413</v>
      </c>
      <c r="D833" s="6" t="str">
        <f>_xlfn.IFNA(IF(VLOOKUP(tabListaItens[[#This Row],[CÓDIGO]],tabExcluirDoEstoque[#Data],1,FALSE),"sim",""),"")</f>
        <v>sim</v>
      </c>
      <c r="E833" s="6" t="str">
        <f>"*"</f>
        <v>*</v>
      </c>
    </row>
    <row r="834" spans="1:5" x14ac:dyDescent="0.25">
      <c r="A834" s="8">
        <v>100362</v>
      </c>
      <c r="B834" s="5" t="s">
        <v>323</v>
      </c>
      <c r="C834" s="6" t="s">
        <v>1414</v>
      </c>
      <c r="D834" s="6" t="str">
        <f>_xlfn.IFNA(IF(VLOOKUP(tabListaItens[[#This Row],[CÓDIGO]],tabExcluirDoEstoque[#Data],1,FALSE),"sim",""),"")</f>
        <v/>
      </c>
      <c r="E834" s="6" t="str">
        <f>"*"</f>
        <v>*</v>
      </c>
    </row>
    <row r="835" spans="1:5" x14ac:dyDescent="0.25">
      <c r="A835" s="8">
        <v>100383</v>
      </c>
      <c r="B835" s="5" t="s">
        <v>472</v>
      </c>
      <c r="C835" s="6" t="s">
        <v>1408</v>
      </c>
      <c r="D835" s="6" t="str">
        <f>_xlfn.IFNA(IF(VLOOKUP(tabListaItens[[#This Row],[CÓDIGO]],tabExcluirDoEstoque[#Data],1,FALSE),"sim",""),"")</f>
        <v/>
      </c>
      <c r="E835" s="6" t="str">
        <f>"*"</f>
        <v>*</v>
      </c>
    </row>
    <row r="836" spans="1:5" x14ac:dyDescent="0.25">
      <c r="A836" s="8">
        <v>100802</v>
      </c>
      <c r="B836" s="5" t="s">
        <v>853</v>
      </c>
      <c r="C836" s="6" t="s">
        <v>1400</v>
      </c>
      <c r="D836" s="6" t="str">
        <f>_xlfn.IFNA(IF(VLOOKUP(tabListaItens[[#This Row],[CÓDIGO]],tabExcluirDoEstoque[#Data],1,FALSE),"sim",""),"")</f>
        <v/>
      </c>
      <c r="E836" s="6" t="str">
        <f>"*"</f>
        <v>*</v>
      </c>
    </row>
    <row r="837" spans="1:5" x14ac:dyDescent="0.25">
      <c r="A837" s="8">
        <v>100907</v>
      </c>
      <c r="B837" s="5" t="s">
        <v>844</v>
      </c>
      <c r="C837" s="6" t="s">
        <v>1405</v>
      </c>
      <c r="D837" s="6" t="str">
        <f>_xlfn.IFNA(IF(VLOOKUP(tabListaItens[[#This Row],[CÓDIGO]],tabExcluirDoEstoque[#Data],1,FALSE),"sim",""),"")</f>
        <v/>
      </c>
      <c r="E837" s="6" t="str">
        <f>"*"</f>
        <v>*</v>
      </c>
    </row>
    <row r="838" spans="1:5" x14ac:dyDescent="0.25">
      <c r="A838" s="8">
        <v>101867</v>
      </c>
      <c r="B838" s="5" t="s">
        <v>951</v>
      </c>
      <c r="C838" s="6" t="s">
        <v>1409</v>
      </c>
      <c r="D838" s="6" t="str">
        <f>_xlfn.IFNA(IF(VLOOKUP(tabListaItens[[#This Row],[CÓDIGO]],tabExcluirDoEstoque[#Data],1,FALSE),"sim",""),"")</f>
        <v/>
      </c>
      <c r="E838" s="6" t="str">
        <f>"*"</f>
        <v>*</v>
      </c>
    </row>
    <row r="839" spans="1:5" x14ac:dyDescent="0.25">
      <c r="A839" s="8">
        <v>101868</v>
      </c>
      <c r="B839" s="5" t="s">
        <v>952</v>
      </c>
      <c r="C839" s="6" t="s">
        <v>1409</v>
      </c>
      <c r="D839" s="6" t="str">
        <f>_xlfn.IFNA(IF(VLOOKUP(tabListaItens[[#This Row],[CÓDIGO]],tabExcluirDoEstoque[#Data],1,FALSE),"sim",""),"")</f>
        <v/>
      </c>
      <c r="E839" s="6" t="str">
        <f>"*"</f>
        <v>*</v>
      </c>
    </row>
    <row r="840" spans="1:5" x14ac:dyDescent="0.25">
      <c r="A840" s="8">
        <v>101891</v>
      </c>
      <c r="B840" s="5" t="s">
        <v>414</v>
      </c>
      <c r="C840" s="6" t="s">
        <v>1397</v>
      </c>
      <c r="D840" s="6" t="str">
        <f>_xlfn.IFNA(IF(VLOOKUP(tabListaItens[[#This Row],[CÓDIGO]],tabExcluirDoEstoque[#Data],1,FALSE),"sim",""),"")</f>
        <v/>
      </c>
      <c r="E840" s="6" t="str">
        <f>"*"</f>
        <v>*</v>
      </c>
    </row>
    <row r="841" spans="1:5" x14ac:dyDescent="0.25">
      <c r="A841" s="8">
        <v>101917</v>
      </c>
      <c r="B841" s="5" t="s">
        <v>205</v>
      </c>
      <c r="C841" s="6" t="s">
        <v>1413</v>
      </c>
      <c r="D841" s="6" t="str">
        <f>_xlfn.IFNA(IF(VLOOKUP(tabListaItens[[#This Row],[CÓDIGO]],tabExcluirDoEstoque[#Data],1,FALSE),"sim",""),"")</f>
        <v>sim</v>
      </c>
      <c r="E841" s="6" t="str">
        <f>"*"</f>
        <v>*</v>
      </c>
    </row>
    <row r="842" spans="1:5" x14ac:dyDescent="0.25">
      <c r="A842" s="8">
        <v>101938</v>
      </c>
      <c r="B842" s="5" t="s">
        <v>1307</v>
      </c>
      <c r="C842" s="6" t="s">
        <v>1412</v>
      </c>
      <c r="D842" s="6" t="str">
        <f>_xlfn.IFNA(IF(VLOOKUP(tabListaItens[[#This Row],[CÓDIGO]],tabExcluirDoEstoque[#Data],1,FALSE),"sim",""),"")</f>
        <v>sim</v>
      </c>
      <c r="E842" s="6" t="str">
        <f>"*"</f>
        <v>*</v>
      </c>
    </row>
    <row r="843" spans="1:5" x14ac:dyDescent="0.25">
      <c r="A843" s="8">
        <v>102000</v>
      </c>
      <c r="B843" s="5" t="s">
        <v>747</v>
      </c>
      <c r="C843" s="6" t="s">
        <v>1420</v>
      </c>
      <c r="D843" s="6" t="str">
        <f>_xlfn.IFNA(IF(VLOOKUP(tabListaItens[[#This Row],[CÓDIGO]],tabExcluirDoEstoque[#Data],1,FALSE),"sim",""),"")</f>
        <v/>
      </c>
      <c r="E843" s="6" t="str">
        <f>"*"</f>
        <v>*</v>
      </c>
    </row>
    <row r="844" spans="1:5" x14ac:dyDescent="0.25">
      <c r="A844" s="8">
        <v>102234</v>
      </c>
      <c r="B844" s="5" t="s">
        <v>1083</v>
      </c>
      <c r="C844" s="6" t="s">
        <v>1397</v>
      </c>
      <c r="D844" s="6" t="str">
        <f>_xlfn.IFNA(IF(VLOOKUP(tabListaItens[[#This Row],[CÓDIGO]],tabExcluirDoEstoque[#Data],1,FALSE),"sim",""),"")</f>
        <v>sim</v>
      </c>
      <c r="E844" s="6" t="str">
        <f>"*"</f>
        <v>*</v>
      </c>
    </row>
    <row r="845" spans="1:5" x14ac:dyDescent="0.25">
      <c r="A845" s="8">
        <v>102276</v>
      </c>
      <c r="B845" s="5" t="s">
        <v>948</v>
      </c>
      <c r="C845" s="6" t="s">
        <v>1409</v>
      </c>
      <c r="D845" s="6" t="str">
        <f>_xlfn.IFNA(IF(VLOOKUP(tabListaItens[[#This Row],[CÓDIGO]],tabExcluirDoEstoque[#Data],1,FALSE),"sim",""),"")</f>
        <v/>
      </c>
      <c r="E845" s="6" t="str">
        <f>"*"</f>
        <v>*</v>
      </c>
    </row>
    <row r="846" spans="1:5" x14ac:dyDescent="0.25">
      <c r="A846" s="8">
        <v>102277</v>
      </c>
      <c r="B846" s="5" t="s">
        <v>947</v>
      </c>
      <c r="C846" s="6" t="s">
        <v>1397</v>
      </c>
      <c r="D846" s="6" t="str">
        <f>_xlfn.IFNA(IF(VLOOKUP(tabListaItens[[#This Row],[CÓDIGO]],tabExcluirDoEstoque[#Data],1,FALSE),"sim",""),"")</f>
        <v/>
      </c>
      <c r="E846" s="6" t="str">
        <f>"*"</f>
        <v>*</v>
      </c>
    </row>
    <row r="847" spans="1:5" x14ac:dyDescent="0.25">
      <c r="A847" s="8">
        <v>102278</v>
      </c>
      <c r="B847" s="5" t="s">
        <v>950</v>
      </c>
      <c r="C847" s="6" t="s">
        <v>1397</v>
      </c>
      <c r="D847" s="6" t="str">
        <f>_xlfn.IFNA(IF(VLOOKUP(tabListaItens[[#This Row],[CÓDIGO]],tabExcluirDoEstoque[#Data],1,FALSE),"sim",""),"")</f>
        <v/>
      </c>
      <c r="E847" s="6" t="str">
        <f>"*"</f>
        <v>*</v>
      </c>
    </row>
    <row r="848" spans="1:5" x14ac:dyDescent="0.25">
      <c r="A848" s="8">
        <v>102279</v>
      </c>
      <c r="B848" s="5" t="s">
        <v>949</v>
      </c>
      <c r="C848" s="6" t="s">
        <v>1409</v>
      </c>
      <c r="D848" s="6" t="str">
        <f>_xlfn.IFNA(IF(VLOOKUP(tabListaItens[[#This Row],[CÓDIGO]],tabExcluirDoEstoque[#Data],1,FALSE),"sim",""),"")</f>
        <v/>
      </c>
      <c r="E848" s="6" t="str">
        <f>"*"</f>
        <v>*</v>
      </c>
    </row>
    <row r="849" spans="1:5" x14ac:dyDescent="0.25">
      <c r="A849" s="8">
        <v>102443</v>
      </c>
      <c r="B849" s="5" t="s">
        <v>1155</v>
      </c>
      <c r="C849" s="6" t="s">
        <v>1397</v>
      </c>
      <c r="D849" s="6" t="str">
        <f>_xlfn.IFNA(IF(VLOOKUP(tabListaItens[[#This Row],[CÓDIGO]],tabExcluirDoEstoque[#Data],1,FALSE),"sim",""),"")</f>
        <v>sim</v>
      </c>
      <c r="E849" s="6" t="str">
        <f>"*"</f>
        <v>*</v>
      </c>
    </row>
    <row r="850" spans="1:5" x14ac:dyDescent="0.25">
      <c r="A850" s="8">
        <v>102588</v>
      </c>
      <c r="B850" s="5" t="s">
        <v>507</v>
      </c>
      <c r="C850" s="6" t="s">
        <v>1397</v>
      </c>
      <c r="D850" s="6" t="str">
        <f>_xlfn.IFNA(IF(VLOOKUP(tabListaItens[[#This Row],[CÓDIGO]],tabExcluirDoEstoque[#Data],1,FALSE),"sim",""),"")</f>
        <v/>
      </c>
      <c r="E850" s="6" t="str">
        <f>"*"</f>
        <v>*</v>
      </c>
    </row>
    <row r="851" spans="1:5" x14ac:dyDescent="0.25">
      <c r="A851" s="8">
        <v>102634</v>
      </c>
      <c r="B851" s="5" t="s">
        <v>1449</v>
      </c>
      <c r="C851" s="6" t="s">
        <v>1397</v>
      </c>
      <c r="D851" s="6" t="str">
        <f>_xlfn.IFNA(IF(VLOOKUP(tabListaItens[[#This Row],[CÓDIGO]],tabExcluirDoEstoque[#Data],1,FALSE),"sim",""),"")</f>
        <v>sim</v>
      </c>
      <c r="E851" s="6" t="str">
        <f>"*"</f>
        <v>*</v>
      </c>
    </row>
    <row r="852" spans="1:5" x14ac:dyDescent="0.25">
      <c r="A852" s="8">
        <v>102684</v>
      </c>
      <c r="B852" s="5" t="s">
        <v>1166</v>
      </c>
      <c r="C852" s="6" t="s">
        <v>1397</v>
      </c>
      <c r="D852" s="6" t="str">
        <f>_xlfn.IFNA(IF(VLOOKUP(tabListaItens[[#This Row],[CÓDIGO]],tabExcluirDoEstoque[#Data],1,FALSE),"sim",""),"")</f>
        <v>sim</v>
      </c>
      <c r="E852" s="6" t="str">
        <f>"*"</f>
        <v>*</v>
      </c>
    </row>
    <row r="853" spans="1:5" x14ac:dyDescent="0.25">
      <c r="A853" s="8">
        <v>102685</v>
      </c>
      <c r="B853" s="5" t="s">
        <v>1064</v>
      </c>
      <c r="C853" s="6" t="s">
        <v>1397</v>
      </c>
      <c r="D853" s="6" t="str">
        <f>_xlfn.IFNA(IF(VLOOKUP(tabListaItens[[#This Row],[CÓDIGO]],tabExcluirDoEstoque[#Data],1,FALSE),"sim",""),"")</f>
        <v>sim</v>
      </c>
      <c r="E853" s="6" t="str">
        <f>"*"</f>
        <v>*</v>
      </c>
    </row>
    <row r="854" spans="1:5" x14ac:dyDescent="0.25">
      <c r="A854" s="8">
        <v>102686</v>
      </c>
      <c r="B854" s="5" t="s">
        <v>1036</v>
      </c>
      <c r="C854" s="6" t="s">
        <v>1397</v>
      </c>
      <c r="D854" s="6" t="str">
        <f>_xlfn.IFNA(IF(VLOOKUP(tabListaItens[[#This Row],[CÓDIGO]],tabExcluirDoEstoque[#Data],1,FALSE),"sim",""),"")</f>
        <v>sim</v>
      </c>
      <c r="E854" s="6" t="str">
        <f>"*"</f>
        <v>*</v>
      </c>
    </row>
    <row r="855" spans="1:5" x14ac:dyDescent="0.25">
      <c r="A855" s="8">
        <v>102687</v>
      </c>
      <c r="B855" s="5" t="s">
        <v>1038</v>
      </c>
      <c r="C855" s="6" t="s">
        <v>1397</v>
      </c>
      <c r="D855" s="6" t="str">
        <f>_xlfn.IFNA(IF(VLOOKUP(tabListaItens[[#This Row],[CÓDIGO]],tabExcluirDoEstoque[#Data],1,FALSE),"sim",""),"")</f>
        <v>sim</v>
      </c>
      <c r="E855" s="6" t="str">
        <f>"*"</f>
        <v>*</v>
      </c>
    </row>
    <row r="856" spans="1:5" x14ac:dyDescent="0.25">
      <c r="A856" s="8">
        <v>102688</v>
      </c>
      <c r="B856" s="5" t="s">
        <v>1033</v>
      </c>
      <c r="C856" s="6" t="s">
        <v>1397</v>
      </c>
      <c r="D856" s="6" t="str">
        <f>_xlfn.IFNA(IF(VLOOKUP(tabListaItens[[#This Row],[CÓDIGO]],tabExcluirDoEstoque[#Data],1,FALSE),"sim",""),"")</f>
        <v>sim</v>
      </c>
      <c r="E856" s="6" t="str">
        <f>"*"</f>
        <v>*</v>
      </c>
    </row>
    <row r="857" spans="1:5" x14ac:dyDescent="0.25">
      <c r="A857" s="8">
        <v>102690</v>
      </c>
      <c r="B857" s="5" t="s">
        <v>425</v>
      </c>
      <c r="C857" s="6" t="s">
        <v>1397</v>
      </c>
      <c r="D857" s="6" t="str">
        <f>_xlfn.IFNA(IF(VLOOKUP(tabListaItens[[#This Row],[CÓDIGO]],tabExcluirDoEstoque[#Data],1,FALSE),"sim",""),"")</f>
        <v/>
      </c>
      <c r="E857" s="6" t="str">
        <f>"*"</f>
        <v>*</v>
      </c>
    </row>
    <row r="858" spans="1:5" x14ac:dyDescent="0.25">
      <c r="A858" s="8">
        <v>102691</v>
      </c>
      <c r="B858" s="5" t="s">
        <v>372</v>
      </c>
      <c r="C858" s="6" t="s">
        <v>1397</v>
      </c>
      <c r="D858" s="6" t="str">
        <f>_xlfn.IFNA(IF(VLOOKUP(tabListaItens[[#This Row],[CÓDIGO]],tabExcluirDoEstoque[#Data],1,FALSE),"sim",""),"")</f>
        <v>sim</v>
      </c>
      <c r="E858" s="6" t="str">
        <f>"*"</f>
        <v>*</v>
      </c>
    </row>
    <row r="859" spans="1:5" x14ac:dyDescent="0.25">
      <c r="A859" s="8">
        <v>102692</v>
      </c>
      <c r="B859" s="5" t="s">
        <v>1027</v>
      </c>
      <c r="C859" s="6" t="s">
        <v>1397</v>
      </c>
      <c r="D859" s="6" t="str">
        <f>_xlfn.IFNA(IF(VLOOKUP(tabListaItens[[#This Row],[CÓDIGO]],tabExcluirDoEstoque[#Data],1,FALSE),"sim",""),"")</f>
        <v>sim</v>
      </c>
      <c r="E859" s="6" t="str">
        <f>"*"</f>
        <v>*</v>
      </c>
    </row>
    <row r="860" spans="1:5" x14ac:dyDescent="0.25">
      <c r="A860" s="8">
        <v>102693</v>
      </c>
      <c r="B860" s="5" t="s">
        <v>1153</v>
      </c>
      <c r="C860" s="6" t="s">
        <v>1397</v>
      </c>
      <c r="D860" s="6" t="str">
        <f>_xlfn.IFNA(IF(VLOOKUP(tabListaItens[[#This Row],[CÓDIGO]],tabExcluirDoEstoque[#Data],1,FALSE),"sim",""),"")</f>
        <v>sim</v>
      </c>
      <c r="E860" s="6" t="str">
        <f>"*"</f>
        <v>*</v>
      </c>
    </row>
    <row r="861" spans="1:5" x14ac:dyDescent="0.25">
      <c r="A861" s="8">
        <v>102694</v>
      </c>
      <c r="B861" s="5" t="s">
        <v>434</v>
      </c>
      <c r="C861" s="6" t="s">
        <v>1397</v>
      </c>
      <c r="D861" s="6" t="str">
        <f>_xlfn.IFNA(IF(VLOOKUP(tabListaItens[[#This Row],[CÓDIGO]],tabExcluirDoEstoque[#Data],1,FALSE),"sim",""),"")</f>
        <v/>
      </c>
      <c r="E861" s="6" t="str">
        <f>"*"</f>
        <v>*</v>
      </c>
    </row>
    <row r="862" spans="1:5" x14ac:dyDescent="0.25">
      <c r="A862" s="8">
        <v>102695</v>
      </c>
      <c r="B862" s="5" t="s">
        <v>1037</v>
      </c>
      <c r="C862" s="6" t="s">
        <v>1397</v>
      </c>
      <c r="D862" s="6" t="str">
        <f>_xlfn.IFNA(IF(VLOOKUP(tabListaItens[[#This Row],[CÓDIGO]],tabExcluirDoEstoque[#Data],1,FALSE),"sim",""),"")</f>
        <v>sim</v>
      </c>
      <c r="E862" s="6" t="str">
        <f>"*"</f>
        <v>*</v>
      </c>
    </row>
    <row r="863" spans="1:5" x14ac:dyDescent="0.25">
      <c r="A863" s="8">
        <v>102696</v>
      </c>
      <c r="B863" s="5" t="s">
        <v>1308</v>
      </c>
      <c r="C863" s="6" t="s">
        <v>1397</v>
      </c>
      <c r="D863" s="6" t="str">
        <f>_xlfn.IFNA(IF(VLOOKUP(tabListaItens[[#This Row],[CÓDIGO]],tabExcluirDoEstoque[#Data],1,FALSE),"sim",""),"")</f>
        <v>sim</v>
      </c>
      <c r="E863" s="6" t="str">
        <f>"*"</f>
        <v>*</v>
      </c>
    </row>
    <row r="864" spans="1:5" x14ac:dyDescent="0.25">
      <c r="A864" s="8">
        <v>102697</v>
      </c>
      <c r="B864" s="5" t="s">
        <v>1059</v>
      </c>
      <c r="C864" s="6" t="s">
        <v>1397</v>
      </c>
      <c r="D864" s="6" t="str">
        <f>_xlfn.IFNA(IF(VLOOKUP(tabListaItens[[#This Row],[CÓDIGO]],tabExcluirDoEstoque[#Data],1,FALSE),"sim",""),"")</f>
        <v>sim</v>
      </c>
      <c r="E864" s="6" t="str">
        <f>"*"</f>
        <v>*</v>
      </c>
    </row>
    <row r="865" spans="1:5" x14ac:dyDescent="0.25">
      <c r="A865" s="8">
        <v>102698</v>
      </c>
      <c r="B865" s="5" t="s">
        <v>1151</v>
      </c>
      <c r="C865" s="6" t="s">
        <v>1397</v>
      </c>
      <c r="D865" s="6" t="str">
        <f>_xlfn.IFNA(IF(VLOOKUP(tabListaItens[[#This Row],[CÓDIGO]],tabExcluirDoEstoque[#Data],1,FALSE),"sim",""),"")</f>
        <v>sim</v>
      </c>
      <c r="E865" s="6" t="str">
        <f>"*"</f>
        <v>*</v>
      </c>
    </row>
    <row r="866" spans="1:5" x14ac:dyDescent="0.25">
      <c r="A866" s="8">
        <v>102699</v>
      </c>
      <c r="B866" s="5" t="s">
        <v>1060</v>
      </c>
      <c r="C866" s="6" t="s">
        <v>1397</v>
      </c>
      <c r="D866" s="6" t="str">
        <f>_xlfn.IFNA(IF(VLOOKUP(tabListaItens[[#This Row],[CÓDIGO]],tabExcluirDoEstoque[#Data],1,FALSE),"sim",""),"")</f>
        <v>sim</v>
      </c>
      <c r="E866" s="6" t="str">
        <f>"*"</f>
        <v>*</v>
      </c>
    </row>
    <row r="867" spans="1:5" x14ac:dyDescent="0.25">
      <c r="A867" s="8">
        <v>102702</v>
      </c>
      <c r="B867" s="5" t="s">
        <v>1309</v>
      </c>
      <c r="C867" s="6" t="s">
        <v>1413</v>
      </c>
      <c r="D867" s="6" t="str">
        <f>_xlfn.IFNA(IF(VLOOKUP(tabListaItens[[#This Row],[CÓDIGO]],tabExcluirDoEstoque[#Data],1,FALSE),"sim",""),"")</f>
        <v>sim</v>
      </c>
      <c r="E867" s="6" t="str">
        <f>"*"</f>
        <v>*</v>
      </c>
    </row>
    <row r="868" spans="1:5" x14ac:dyDescent="0.25">
      <c r="A868" s="8">
        <v>102723</v>
      </c>
      <c r="B868" s="5" t="s">
        <v>424</v>
      </c>
      <c r="C868" s="6" t="s">
        <v>1397</v>
      </c>
      <c r="D868" s="6" t="str">
        <f>_xlfn.IFNA(IF(VLOOKUP(tabListaItens[[#This Row],[CÓDIGO]],tabExcluirDoEstoque[#Data],1,FALSE),"sim",""),"")</f>
        <v/>
      </c>
      <c r="E868" s="6" t="str">
        <f>"*"</f>
        <v>*</v>
      </c>
    </row>
    <row r="869" spans="1:5" x14ac:dyDescent="0.25">
      <c r="A869" s="8">
        <v>102726</v>
      </c>
      <c r="B869" s="5" t="s">
        <v>1165</v>
      </c>
      <c r="C869" s="6" t="s">
        <v>1397</v>
      </c>
      <c r="D869" s="6" t="str">
        <f>_xlfn.IFNA(IF(VLOOKUP(tabListaItens[[#This Row],[CÓDIGO]],tabExcluirDoEstoque[#Data],1,FALSE),"sim",""),"")</f>
        <v>sim</v>
      </c>
      <c r="E869" s="6" t="str">
        <f>"*"</f>
        <v>*</v>
      </c>
    </row>
    <row r="870" spans="1:5" x14ac:dyDescent="0.25">
      <c r="A870" s="8">
        <v>102728</v>
      </c>
      <c r="B870" s="5" t="s">
        <v>495</v>
      </c>
      <c r="C870" s="6" t="s">
        <v>1397</v>
      </c>
      <c r="D870" s="6" t="str">
        <f>_xlfn.IFNA(IF(VLOOKUP(tabListaItens[[#This Row],[CÓDIGO]],tabExcluirDoEstoque[#Data],1,FALSE),"sim",""),"")</f>
        <v/>
      </c>
      <c r="E870" s="6" t="str">
        <f>"*"</f>
        <v>*</v>
      </c>
    </row>
    <row r="871" spans="1:5" x14ac:dyDescent="0.25">
      <c r="A871" s="8">
        <v>102775</v>
      </c>
      <c r="B871" s="5" t="s">
        <v>857</v>
      </c>
      <c r="C871" s="6" t="s">
        <v>1397</v>
      </c>
      <c r="D871" s="6" t="str">
        <f>_xlfn.IFNA(IF(VLOOKUP(tabListaItens[[#This Row],[CÓDIGO]],tabExcluirDoEstoque[#Data],1,FALSE),"sim",""),"")</f>
        <v>sim</v>
      </c>
      <c r="E871" s="6" t="str">
        <f>"*"</f>
        <v>*</v>
      </c>
    </row>
    <row r="872" spans="1:5" x14ac:dyDescent="0.25">
      <c r="A872" s="8">
        <v>102776</v>
      </c>
      <c r="B872" s="5" t="s">
        <v>378</v>
      </c>
      <c r="C872" s="6" t="s">
        <v>1397</v>
      </c>
      <c r="D872" s="6" t="str">
        <f>_xlfn.IFNA(IF(VLOOKUP(tabListaItens[[#This Row],[CÓDIGO]],tabExcluirDoEstoque[#Data],1,FALSE),"sim",""),"")</f>
        <v/>
      </c>
      <c r="E872" s="6" t="str">
        <f>"*"</f>
        <v>*</v>
      </c>
    </row>
    <row r="873" spans="1:5" x14ac:dyDescent="0.25">
      <c r="A873" s="8">
        <v>102777</v>
      </c>
      <c r="B873" s="5" t="s">
        <v>1023</v>
      </c>
      <c r="C873" s="6" t="s">
        <v>1397</v>
      </c>
      <c r="D873" s="6" t="str">
        <f>_xlfn.IFNA(IF(VLOOKUP(tabListaItens[[#This Row],[CÓDIGO]],tabExcluirDoEstoque[#Data],1,FALSE),"sim",""),"")</f>
        <v>sim</v>
      </c>
      <c r="E873" s="6" t="str">
        <f>"*"</f>
        <v>*</v>
      </c>
    </row>
    <row r="874" spans="1:5" x14ac:dyDescent="0.25">
      <c r="A874" s="8">
        <v>102782</v>
      </c>
      <c r="B874" s="5" t="s">
        <v>1063</v>
      </c>
      <c r="C874" s="6" t="s">
        <v>1397</v>
      </c>
      <c r="D874" s="6" t="str">
        <f>_xlfn.IFNA(IF(VLOOKUP(tabListaItens[[#This Row],[CÓDIGO]],tabExcluirDoEstoque[#Data],1,FALSE),"sim",""),"")</f>
        <v>sim</v>
      </c>
      <c r="E874" s="6" t="str">
        <f>"*"</f>
        <v>*</v>
      </c>
    </row>
    <row r="875" spans="1:5" x14ac:dyDescent="0.25">
      <c r="A875" s="8">
        <v>102791</v>
      </c>
      <c r="B875" s="5" t="s">
        <v>207</v>
      </c>
      <c r="C875" s="6" t="s">
        <v>1413</v>
      </c>
      <c r="D875" s="6" t="str">
        <f>_xlfn.IFNA(IF(VLOOKUP(tabListaItens[[#This Row],[CÓDIGO]],tabExcluirDoEstoque[#Data],1,FALSE),"sim",""),"")</f>
        <v>sim</v>
      </c>
      <c r="E875" s="6" t="str">
        <f>"*"</f>
        <v>*</v>
      </c>
    </row>
    <row r="876" spans="1:5" x14ac:dyDescent="0.25">
      <c r="A876" s="8">
        <v>102814</v>
      </c>
      <c r="B876" s="5" t="s">
        <v>618</v>
      </c>
      <c r="C876" s="6" t="s">
        <v>1397</v>
      </c>
      <c r="D876" s="6" t="str">
        <f>_xlfn.IFNA(IF(VLOOKUP(tabListaItens[[#This Row],[CÓDIGO]],tabExcluirDoEstoque[#Data],1,FALSE),"sim",""),"")</f>
        <v/>
      </c>
      <c r="E876" s="6" t="str">
        <f>"*"</f>
        <v>*</v>
      </c>
    </row>
    <row r="877" spans="1:5" x14ac:dyDescent="0.25">
      <c r="A877" s="8">
        <v>102819</v>
      </c>
      <c r="B877" s="5" t="s">
        <v>410</v>
      </c>
      <c r="C877" s="6" t="s">
        <v>1397</v>
      </c>
      <c r="D877" s="6" t="str">
        <f>_xlfn.IFNA(IF(VLOOKUP(tabListaItens[[#This Row],[CÓDIGO]],tabExcluirDoEstoque[#Data],1,FALSE),"sim",""),"")</f>
        <v/>
      </c>
      <c r="E877" s="6" t="str">
        <f>"*"</f>
        <v>*</v>
      </c>
    </row>
    <row r="878" spans="1:5" x14ac:dyDescent="0.25">
      <c r="A878" s="8">
        <v>102820</v>
      </c>
      <c r="B878" s="5" t="s">
        <v>409</v>
      </c>
      <c r="C878" s="6" t="s">
        <v>1397</v>
      </c>
      <c r="D878" s="6" t="str">
        <f>_xlfn.IFNA(IF(VLOOKUP(tabListaItens[[#This Row],[CÓDIGO]],tabExcluirDoEstoque[#Data],1,FALSE),"sim",""),"")</f>
        <v/>
      </c>
      <c r="E878" s="6" t="str">
        <f>"*"</f>
        <v>*</v>
      </c>
    </row>
    <row r="879" spans="1:5" x14ac:dyDescent="0.25">
      <c r="A879" s="8">
        <v>102822</v>
      </c>
      <c r="B879" s="5" t="s">
        <v>945</v>
      </c>
      <c r="C879" s="6" t="s">
        <v>1397</v>
      </c>
      <c r="D879" s="6" t="str">
        <f>_xlfn.IFNA(IF(VLOOKUP(tabListaItens[[#This Row],[CÓDIGO]],tabExcluirDoEstoque[#Data],1,FALSE),"sim",""),"")</f>
        <v/>
      </c>
      <c r="E879" s="6" t="str">
        <f>"*"</f>
        <v>*</v>
      </c>
    </row>
    <row r="880" spans="1:5" x14ac:dyDescent="0.25">
      <c r="A880" s="8">
        <v>102832</v>
      </c>
      <c r="B880" s="5" t="s">
        <v>765</v>
      </c>
      <c r="C880" s="6" t="s">
        <v>1397</v>
      </c>
      <c r="D880" s="6" t="str">
        <f>_xlfn.IFNA(IF(VLOOKUP(tabListaItens[[#This Row],[CÓDIGO]],tabExcluirDoEstoque[#Data],1,FALSE),"sim",""),"")</f>
        <v/>
      </c>
      <c r="E880" s="6" t="str">
        <f>"*"</f>
        <v>*</v>
      </c>
    </row>
    <row r="881" spans="1:5" x14ac:dyDescent="0.25">
      <c r="A881" s="8">
        <v>102922</v>
      </c>
      <c r="B881" s="5" t="s">
        <v>380</v>
      </c>
      <c r="C881" s="6" t="s">
        <v>1402</v>
      </c>
      <c r="D881" s="6" t="str">
        <f>_xlfn.IFNA(IF(VLOOKUP(tabListaItens[[#This Row],[CÓDIGO]],tabExcluirDoEstoque[#Data],1,FALSE),"sim",""),"")</f>
        <v/>
      </c>
      <c r="E881" s="6" t="str">
        <f>"*"</f>
        <v>*</v>
      </c>
    </row>
    <row r="882" spans="1:5" x14ac:dyDescent="0.25">
      <c r="A882" s="8">
        <v>103142</v>
      </c>
      <c r="B882" s="5" t="s">
        <v>226</v>
      </c>
      <c r="C882" s="6" t="s">
        <v>1397</v>
      </c>
      <c r="D882" s="6" t="str">
        <f>_xlfn.IFNA(IF(VLOOKUP(tabListaItens[[#This Row],[CÓDIGO]],tabExcluirDoEstoque[#Data],1,FALSE),"sim",""),"")</f>
        <v/>
      </c>
      <c r="E882" s="6" t="str">
        <f>"*"</f>
        <v>*</v>
      </c>
    </row>
    <row r="883" spans="1:5" x14ac:dyDescent="0.25">
      <c r="A883" s="8">
        <v>103251</v>
      </c>
      <c r="B883" s="5" t="s">
        <v>212</v>
      </c>
      <c r="C883" s="6" t="s">
        <v>1413</v>
      </c>
      <c r="D883" s="6" t="str">
        <f>_xlfn.IFNA(IF(VLOOKUP(tabListaItens[[#This Row],[CÓDIGO]],tabExcluirDoEstoque[#Data],1,FALSE),"sim",""),"")</f>
        <v>sim</v>
      </c>
      <c r="E883" s="6" t="str">
        <f>"*"</f>
        <v>*</v>
      </c>
    </row>
    <row r="884" spans="1:5" x14ac:dyDescent="0.25">
      <c r="A884" s="8">
        <v>103298</v>
      </c>
      <c r="B884" s="5" t="s">
        <v>1079</v>
      </c>
      <c r="C884" s="6" t="s">
        <v>1397</v>
      </c>
      <c r="D884" s="6" t="str">
        <f>_xlfn.IFNA(IF(VLOOKUP(tabListaItens[[#This Row],[CÓDIGO]],tabExcluirDoEstoque[#Data],1,FALSE),"sim",""),"")</f>
        <v>sim</v>
      </c>
      <c r="E884" s="6" t="str">
        <f>"*"</f>
        <v>*</v>
      </c>
    </row>
    <row r="885" spans="1:5" x14ac:dyDescent="0.25">
      <c r="A885" s="8">
        <v>103299</v>
      </c>
      <c r="B885" s="5" t="s">
        <v>1310</v>
      </c>
      <c r="C885" s="6" t="s">
        <v>1397</v>
      </c>
      <c r="D885" s="6" t="str">
        <f>_xlfn.IFNA(IF(VLOOKUP(tabListaItens[[#This Row],[CÓDIGO]],tabExcluirDoEstoque[#Data],1,FALSE),"sim",""),"")</f>
        <v>sim</v>
      </c>
      <c r="E885" s="6" t="str">
        <f>"*"</f>
        <v>*</v>
      </c>
    </row>
    <row r="886" spans="1:5" x14ac:dyDescent="0.25">
      <c r="A886" s="8">
        <v>103344</v>
      </c>
      <c r="B886" s="5" t="s">
        <v>889</v>
      </c>
      <c r="C886" s="6" t="s">
        <v>1397</v>
      </c>
      <c r="D886" s="6" t="str">
        <f>_xlfn.IFNA(IF(VLOOKUP(tabListaItens[[#This Row],[CÓDIGO]],tabExcluirDoEstoque[#Data],1,FALSE),"sim",""),"")</f>
        <v/>
      </c>
      <c r="E886" s="6" t="str">
        <f>"*"</f>
        <v>*</v>
      </c>
    </row>
    <row r="887" spans="1:5" x14ac:dyDescent="0.25">
      <c r="A887" s="8">
        <v>103405</v>
      </c>
      <c r="B887" s="5" t="s">
        <v>1311</v>
      </c>
      <c r="C887" s="6" t="s">
        <v>1424</v>
      </c>
      <c r="D887" s="6" t="str">
        <f>_xlfn.IFNA(IF(VLOOKUP(tabListaItens[[#This Row],[CÓDIGO]],tabExcluirDoEstoque[#Data],1,FALSE),"sim",""),"")</f>
        <v>sim</v>
      </c>
      <c r="E887" s="6" t="str">
        <f>"*"</f>
        <v>*</v>
      </c>
    </row>
    <row r="888" spans="1:5" x14ac:dyDescent="0.25">
      <c r="A888" s="8">
        <v>103444</v>
      </c>
      <c r="B888" s="5" t="s">
        <v>1103</v>
      </c>
      <c r="C888" s="6" t="s">
        <v>1417</v>
      </c>
      <c r="D888" s="6" t="str">
        <f>_xlfn.IFNA(IF(VLOOKUP(tabListaItens[[#This Row],[CÓDIGO]],tabExcluirDoEstoque[#Data],1,FALSE),"sim",""),"")</f>
        <v>sim</v>
      </c>
      <c r="E888" s="6" t="str">
        <f>"*"</f>
        <v>*</v>
      </c>
    </row>
    <row r="889" spans="1:5" x14ac:dyDescent="0.25">
      <c r="A889" s="8">
        <v>103490</v>
      </c>
      <c r="B889" s="5" t="s">
        <v>473</v>
      </c>
      <c r="C889" s="6" t="s">
        <v>1408</v>
      </c>
      <c r="D889" s="6" t="str">
        <f>_xlfn.IFNA(IF(VLOOKUP(tabListaItens[[#This Row],[CÓDIGO]],tabExcluirDoEstoque[#Data],1,FALSE),"sim",""),"")</f>
        <v/>
      </c>
      <c r="E889" s="6" t="str">
        <f>"*"</f>
        <v>*</v>
      </c>
    </row>
    <row r="890" spans="1:5" x14ac:dyDescent="0.25">
      <c r="A890" s="8">
        <v>104625</v>
      </c>
      <c r="B890" s="5" t="s">
        <v>1312</v>
      </c>
      <c r="C890" s="6" t="s">
        <v>1412</v>
      </c>
      <c r="D890" s="6" t="str">
        <f>_xlfn.IFNA(IF(VLOOKUP(tabListaItens[[#This Row],[CÓDIGO]],tabExcluirDoEstoque[#Data],1,FALSE),"sim",""),"")</f>
        <v>sim</v>
      </c>
      <c r="E890" s="6" t="str">
        <f>"*"</f>
        <v>*</v>
      </c>
    </row>
    <row r="891" spans="1:5" x14ac:dyDescent="0.25">
      <c r="A891" s="8">
        <v>104626</v>
      </c>
      <c r="B891" s="5" t="s">
        <v>1313</v>
      </c>
      <c r="C891" s="6" t="s">
        <v>1412</v>
      </c>
      <c r="D891" s="6" t="str">
        <f>_xlfn.IFNA(IF(VLOOKUP(tabListaItens[[#This Row],[CÓDIGO]],tabExcluirDoEstoque[#Data],1,FALSE),"sim",""),"")</f>
        <v>sim</v>
      </c>
      <c r="E891" s="6" t="str">
        <f>"*"</f>
        <v>*</v>
      </c>
    </row>
    <row r="892" spans="1:5" x14ac:dyDescent="0.25">
      <c r="A892" s="8">
        <v>104627</v>
      </c>
      <c r="B892" s="5" t="s">
        <v>1314</v>
      </c>
      <c r="C892" s="6" t="s">
        <v>1412</v>
      </c>
      <c r="D892" s="6" t="str">
        <f>_xlfn.IFNA(IF(VLOOKUP(tabListaItens[[#This Row],[CÓDIGO]],tabExcluirDoEstoque[#Data],1,FALSE),"sim",""),"")</f>
        <v>sim</v>
      </c>
      <c r="E892" s="6" t="str">
        <f>"*"</f>
        <v>*</v>
      </c>
    </row>
    <row r="893" spans="1:5" x14ac:dyDescent="0.25">
      <c r="A893" s="8">
        <v>104639</v>
      </c>
      <c r="B893" s="5" t="s">
        <v>1315</v>
      </c>
      <c r="C893" s="6" t="s">
        <v>1412</v>
      </c>
      <c r="D893" s="6" t="str">
        <f>_xlfn.IFNA(IF(VLOOKUP(tabListaItens[[#This Row],[CÓDIGO]],tabExcluirDoEstoque[#Data],1,FALSE),"sim",""),"")</f>
        <v>sim</v>
      </c>
      <c r="E893" s="6" t="str">
        <f>"*"</f>
        <v>*</v>
      </c>
    </row>
    <row r="894" spans="1:5" x14ac:dyDescent="0.25">
      <c r="A894" s="8">
        <v>104640</v>
      </c>
      <c r="B894" s="5" t="s">
        <v>1316</v>
      </c>
      <c r="C894" s="6" t="s">
        <v>1412</v>
      </c>
      <c r="D894" s="6" t="str">
        <f>_xlfn.IFNA(IF(VLOOKUP(tabListaItens[[#This Row],[CÓDIGO]],tabExcluirDoEstoque[#Data],1,FALSE),"sim",""),"")</f>
        <v>sim</v>
      </c>
      <c r="E894" s="6" t="str">
        <f>"*"</f>
        <v>*</v>
      </c>
    </row>
    <row r="895" spans="1:5" x14ac:dyDescent="0.25">
      <c r="A895" s="8">
        <v>104641</v>
      </c>
      <c r="B895" s="5" t="s">
        <v>1317</v>
      </c>
      <c r="C895" s="6" t="s">
        <v>1412</v>
      </c>
      <c r="D895" s="6" t="str">
        <f>_xlfn.IFNA(IF(VLOOKUP(tabListaItens[[#This Row],[CÓDIGO]],tabExcluirDoEstoque[#Data],1,FALSE),"sim",""),"")</f>
        <v>sim</v>
      </c>
      <c r="E895" s="6" t="str">
        <f>"*"</f>
        <v>*</v>
      </c>
    </row>
    <row r="896" spans="1:5" x14ac:dyDescent="0.25">
      <c r="A896" s="8">
        <v>104642</v>
      </c>
      <c r="B896" s="5" t="s">
        <v>1318</v>
      </c>
      <c r="C896" s="6" t="s">
        <v>1412</v>
      </c>
      <c r="D896" s="6" t="str">
        <f>_xlfn.IFNA(IF(VLOOKUP(tabListaItens[[#This Row],[CÓDIGO]],tabExcluirDoEstoque[#Data],1,FALSE),"sim",""),"")</f>
        <v>sim</v>
      </c>
      <c r="E896" s="6" t="str">
        <f>"*"</f>
        <v>*</v>
      </c>
    </row>
    <row r="897" spans="1:5" x14ac:dyDescent="0.25">
      <c r="A897" s="8">
        <v>104655</v>
      </c>
      <c r="B897" s="5" t="s">
        <v>690</v>
      </c>
      <c r="C897" s="6" t="s">
        <v>1397</v>
      </c>
      <c r="D897" s="6" t="str">
        <f>_xlfn.IFNA(IF(VLOOKUP(tabListaItens[[#This Row],[CÓDIGO]],tabExcluirDoEstoque[#Data],1,FALSE),"sim",""),"")</f>
        <v/>
      </c>
      <c r="E897" s="6" t="str">
        <f>"*"</f>
        <v>*</v>
      </c>
    </row>
    <row r="898" spans="1:5" x14ac:dyDescent="0.25">
      <c r="A898" s="8">
        <v>104665</v>
      </c>
      <c r="B898" s="5" t="s">
        <v>534</v>
      </c>
      <c r="C898" s="6" t="s">
        <v>1422</v>
      </c>
      <c r="D898" s="6" t="str">
        <f>_xlfn.IFNA(IF(VLOOKUP(tabListaItens[[#This Row],[CÓDIGO]],tabExcluirDoEstoque[#Data],1,FALSE),"sim",""),"")</f>
        <v/>
      </c>
      <c r="E898" s="6" t="str">
        <f>"*"</f>
        <v>*</v>
      </c>
    </row>
    <row r="899" spans="1:5" x14ac:dyDescent="0.25">
      <c r="A899" s="8">
        <v>104667</v>
      </c>
      <c r="B899" s="5" t="s">
        <v>975</v>
      </c>
      <c r="C899" s="6" t="s">
        <v>1397</v>
      </c>
      <c r="D899" s="6" t="str">
        <f>_xlfn.IFNA(IF(VLOOKUP(tabListaItens[[#This Row],[CÓDIGO]],tabExcluirDoEstoque[#Data],1,FALSE),"sim",""),"")</f>
        <v/>
      </c>
      <c r="E899" s="6" t="str">
        <f>"*"</f>
        <v>*</v>
      </c>
    </row>
    <row r="900" spans="1:5" x14ac:dyDescent="0.25">
      <c r="A900" s="8">
        <v>104755</v>
      </c>
      <c r="B900" s="5" t="s">
        <v>1156</v>
      </c>
      <c r="C900" s="6" t="s">
        <v>1397</v>
      </c>
      <c r="D900" s="6" t="str">
        <f>_xlfn.IFNA(IF(VLOOKUP(tabListaItens[[#This Row],[CÓDIGO]],tabExcluirDoEstoque[#Data],1,FALSE),"sim",""),"")</f>
        <v>sim</v>
      </c>
      <c r="E900" s="6" t="str">
        <f>"*"</f>
        <v>*</v>
      </c>
    </row>
    <row r="901" spans="1:5" x14ac:dyDescent="0.25">
      <c r="A901" s="8">
        <v>104832</v>
      </c>
      <c r="B901" s="5" t="s">
        <v>1045</v>
      </c>
      <c r="C901" s="6" t="s">
        <v>1404</v>
      </c>
      <c r="D901" s="6" t="str">
        <f>_xlfn.IFNA(IF(VLOOKUP(tabListaItens[[#This Row],[CÓDIGO]],tabExcluirDoEstoque[#Data],1,FALSE),"sim",""),"")</f>
        <v>sim</v>
      </c>
      <c r="E901" s="6" t="str">
        <f>"*"</f>
        <v>*</v>
      </c>
    </row>
    <row r="902" spans="1:5" x14ac:dyDescent="0.25">
      <c r="A902" s="8">
        <v>104911</v>
      </c>
      <c r="B902" s="5" t="s">
        <v>129</v>
      </c>
      <c r="C902" s="6" t="s">
        <v>1404</v>
      </c>
      <c r="D902" s="6" t="str">
        <f>_xlfn.IFNA(IF(VLOOKUP(tabListaItens[[#This Row],[CÓDIGO]],tabExcluirDoEstoque[#Data],1,FALSE),"sim",""),"")</f>
        <v/>
      </c>
      <c r="E902" s="6" t="str">
        <f>"*"</f>
        <v>*</v>
      </c>
    </row>
    <row r="903" spans="1:5" x14ac:dyDescent="0.25">
      <c r="A903" s="8">
        <v>105106</v>
      </c>
      <c r="B903" s="5" t="s">
        <v>237</v>
      </c>
      <c r="C903" s="6" t="s">
        <v>1397</v>
      </c>
      <c r="D903" s="6" t="str">
        <f>_xlfn.IFNA(IF(VLOOKUP(tabListaItens[[#This Row],[CÓDIGO]],tabExcluirDoEstoque[#Data],1,FALSE),"sim",""),"")</f>
        <v/>
      </c>
      <c r="E903" s="6" t="str">
        <f>"*"</f>
        <v>*</v>
      </c>
    </row>
    <row r="904" spans="1:5" x14ac:dyDescent="0.25">
      <c r="A904" s="8">
        <v>105107</v>
      </c>
      <c r="B904" s="5" t="s">
        <v>238</v>
      </c>
      <c r="C904" s="6" t="s">
        <v>1397</v>
      </c>
      <c r="D904" s="6" t="str">
        <f>_xlfn.IFNA(IF(VLOOKUP(tabListaItens[[#This Row],[CÓDIGO]],tabExcluirDoEstoque[#Data],1,FALSE),"sim",""),"")</f>
        <v/>
      </c>
      <c r="E904" s="6" t="str">
        <f>"*"</f>
        <v>*</v>
      </c>
    </row>
    <row r="905" spans="1:5" x14ac:dyDescent="0.25">
      <c r="A905" s="8">
        <v>105108</v>
      </c>
      <c r="B905" s="5" t="s">
        <v>239</v>
      </c>
      <c r="C905" s="6" t="s">
        <v>1397</v>
      </c>
      <c r="D905" s="6" t="str">
        <f>_xlfn.IFNA(IF(VLOOKUP(tabListaItens[[#This Row],[CÓDIGO]],tabExcluirDoEstoque[#Data],1,FALSE),"sim",""),"")</f>
        <v/>
      </c>
      <c r="E905" s="6" t="str">
        <f>"*"</f>
        <v>*</v>
      </c>
    </row>
    <row r="906" spans="1:5" x14ac:dyDescent="0.25">
      <c r="A906" s="8">
        <v>105109</v>
      </c>
      <c r="B906" s="5" t="s">
        <v>240</v>
      </c>
      <c r="C906" s="6" t="s">
        <v>1397</v>
      </c>
      <c r="D906" s="6" t="str">
        <f>_xlfn.IFNA(IF(VLOOKUP(tabListaItens[[#This Row],[CÓDIGO]],tabExcluirDoEstoque[#Data],1,FALSE),"sim",""),"")</f>
        <v/>
      </c>
      <c r="E906" s="6" t="str">
        <f>"*"</f>
        <v>*</v>
      </c>
    </row>
    <row r="907" spans="1:5" x14ac:dyDescent="0.25">
      <c r="A907" s="8">
        <v>105110</v>
      </c>
      <c r="B907" s="5" t="s">
        <v>241</v>
      </c>
      <c r="C907" s="6" t="s">
        <v>1397</v>
      </c>
      <c r="D907" s="6" t="str">
        <f>_xlfn.IFNA(IF(VLOOKUP(tabListaItens[[#This Row],[CÓDIGO]],tabExcluirDoEstoque[#Data],1,FALSE),"sim",""),"")</f>
        <v/>
      </c>
      <c r="E907" s="6" t="str">
        <f>"*"</f>
        <v>*</v>
      </c>
    </row>
    <row r="908" spans="1:5" x14ac:dyDescent="0.25">
      <c r="A908" s="8">
        <v>105112</v>
      </c>
      <c r="B908" s="5" t="s">
        <v>243</v>
      </c>
      <c r="C908" s="6" t="s">
        <v>1397</v>
      </c>
      <c r="D908" s="6" t="str">
        <f>_xlfn.IFNA(IF(VLOOKUP(tabListaItens[[#This Row],[CÓDIGO]],tabExcluirDoEstoque[#Data],1,FALSE),"sim",""),"")</f>
        <v/>
      </c>
      <c r="E908" s="6" t="str">
        <f>"*"</f>
        <v>*</v>
      </c>
    </row>
    <row r="909" spans="1:5" x14ac:dyDescent="0.25">
      <c r="A909" s="8">
        <v>105113</v>
      </c>
      <c r="B909" s="5" t="s">
        <v>254</v>
      </c>
      <c r="C909" s="6" t="s">
        <v>1397</v>
      </c>
      <c r="D909" s="6" t="str">
        <f>_xlfn.IFNA(IF(VLOOKUP(tabListaItens[[#This Row],[CÓDIGO]],tabExcluirDoEstoque[#Data],1,FALSE),"sim",""),"")</f>
        <v/>
      </c>
      <c r="E909" s="6" t="str">
        <f>"*"</f>
        <v>*</v>
      </c>
    </row>
    <row r="910" spans="1:5" x14ac:dyDescent="0.25">
      <c r="A910" s="8">
        <v>105114</v>
      </c>
      <c r="B910" s="5" t="s">
        <v>256</v>
      </c>
      <c r="C910" s="6" t="s">
        <v>1397</v>
      </c>
      <c r="D910" s="6" t="str">
        <f>_xlfn.IFNA(IF(VLOOKUP(tabListaItens[[#This Row],[CÓDIGO]],tabExcluirDoEstoque[#Data],1,FALSE),"sim",""),"")</f>
        <v/>
      </c>
      <c r="E910" s="6" t="str">
        <f>"*"</f>
        <v>*</v>
      </c>
    </row>
    <row r="911" spans="1:5" x14ac:dyDescent="0.25">
      <c r="A911" s="8">
        <v>105115</v>
      </c>
      <c r="B911" s="5" t="s">
        <v>258</v>
      </c>
      <c r="C911" s="6" t="s">
        <v>1397</v>
      </c>
      <c r="D911" s="6" t="str">
        <f>_xlfn.IFNA(IF(VLOOKUP(tabListaItens[[#This Row],[CÓDIGO]],tabExcluirDoEstoque[#Data],1,FALSE),"sim",""),"")</f>
        <v/>
      </c>
      <c r="E911" s="6" t="str">
        <f>"*"</f>
        <v>*</v>
      </c>
    </row>
    <row r="912" spans="1:5" x14ac:dyDescent="0.25">
      <c r="A912" s="8">
        <v>105116</v>
      </c>
      <c r="B912" s="5" t="s">
        <v>260</v>
      </c>
      <c r="C912" s="6" t="s">
        <v>1397</v>
      </c>
      <c r="D912" s="6" t="str">
        <f>_xlfn.IFNA(IF(VLOOKUP(tabListaItens[[#This Row],[CÓDIGO]],tabExcluirDoEstoque[#Data],1,FALSE),"sim",""),"")</f>
        <v>sim</v>
      </c>
      <c r="E912" s="6" t="str">
        <f>"*"</f>
        <v>*</v>
      </c>
    </row>
    <row r="913" spans="1:5" x14ac:dyDescent="0.25">
      <c r="A913" s="8">
        <v>105117</v>
      </c>
      <c r="B913" s="5" t="s">
        <v>261</v>
      </c>
      <c r="C913" s="6" t="s">
        <v>1397</v>
      </c>
      <c r="D913" s="6" t="str">
        <f>_xlfn.IFNA(IF(VLOOKUP(tabListaItens[[#This Row],[CÓDIGO]],tabExcluirDoEstoque[#Data],1,FALSE),"sim",""),"")</f>
        <v/>
      </c>
      <c r="E913" s="6" t="str">
        <f>"*"</f>
        <v>*</v>
      </c>
    </row>
    <row r="914" spans="1:5" x14ac:dyDescent="0.25">
      <c r="A914" s="8">
        <v>105118</v>
      </c>
      <c r="B914" s="5" t="s">
        <v>263</v>
      </c>
      <c r="C914" s="6" t="s">
        <v>1397</v>
      </c>
      <c r="D914" s="6" t="str">
        <f>_xlfn.IFNA(IF(VLOOKUP(tabListaItens[[#This Row],[CÓDIGO]],tabExcluirDoEstoque[#Data],1,FALSE),"sim",""),"")</f>
        <v/>
      </c>
      <c r="E914" s="6" t="str">
        <f>"*"</f>
        <v>*</v>
      </c>
    </row>
    <row r="915" spans="1:5" x14ac:dyDescent="0.25">
      <c r="A915" s="8">
        <v>105128</v>
      </c>
      <c r="B915" s="5" t="s">
        <v>1450</v>
      </c>
      <c r="C915" s="6"/>
      <c r="D915" s="6" t="str">
        <f>_xlfn.IFNA(IF(VLOOKUP(tabListaItens[[#This Row],[CÓDIGO]],tabExcluirDoEstoque[#Data],1,FALSE),"sim",""),"")</f>
        <v>sim</v>
      </c>
      <c r="E915" s="6" t="str">
        <f>"*"</f>
        <v>*</v>
      </c>
    </row>
    <row r="916" spans="1:5" x14ac:dyDescent="0.25">
      <c r="A916" s="8">
        <v>105180</v>
      </c>
      <c r="B916" s="5" t="s">
        <v>1319</v>
      </c>
      <c r="C916" s="6" t="s">
        <v>1420</v>
      </c>
      <c r="D916" s="6" t="str">
        <f>_xlfn.IFNA(IF(VLOOKUP(tabListaItens[[#This Row],[CÓDIGO]],tabExcluirDoEstoque[#Data],1,FALSE),"sim",""),"")</f>
        <v>sim</v>
      </c>
      <c r="E916" s="6" t="str">
        <f>"*"</f>
        <v>*</v>
      </c>
    </row>
    <row r="917" spans="1:5" x14ac:dyDescent="0.25">
      <c r="A917" s="8">
        <v>105259</v>
      </c>
      <c r="B917" s="5" t="s">
        <v>634</v>
      </c>
      <c r="C917" s="6" t="s">
        <v>1408</v>
      </c>
      <c r="D917" s="6" t="str">
        <f>_xlfn.IFNA(IF(VLOOKUP(tabListaItens[[#This Row],[CÓDIGO]],tabExcluirDoEstoque[#Data],1,FALSE),"sim",""),"")</f>
        <v/>
      </c>
      <c r="E917" s="6" t="str">
        <f>"*"</f>
        <v>*</v>
      </c>
    </row>
    <row r="918" spans="1:5" x14ac:dyDescent="0.25">
      <c r="A918" s="8">
        <v>105293</v>
      </c>
      <c r="B918" s="5" t="s">
        <v>777</v>
      </c>
      <c r="C918" s="6" t="s">
        <v>1397</v>
      </c>
      <c r="D918" s="6" t="str">
        <f>_xlfn.IFNA(IF(VLOOKUP(tabListaItens[[#This Row],[CÓDIGO]],tabExcluirDoEstoque[#Data],1,FALSE),"sim",""),"")</f>
        <v/>
      </c>
      <c r="E918" s="6" t="str">
        <f>"*"</f>
        <v>*</v>
      </c>
    </row>
    <row r="919" spans="1:5" x14ac:dyDescent="0.25">
      <c r="A919" s="8">
        <v>105294</v>
      </c>
      <c r="B919" s="5" t="s">
        <v>508</v>
      </c>
      <c r="C919" s="6" t="s">
        <v>1397</v>
      </c>
      <c r="D919" s="6" t="str">
        <f>_xlfn.IFNA(IF(VLOOKUP(tabListaItens[[#This Row],[CÓDIGO]],tabExcluirDoEstoque[#Data],1,FALSE),"sim",""),"")</f>
        <v/>
      </c>
      <c r="E919" s="6" t="str">
        <f>"*"</f>
        <v>*</v>
      </c>
    </row>
    <row r="920" spans="1:5" x14ac:dyDescent="0.25">
      <c r="A920" s="8">
        <v>105419</v>
      </c>
      <c r="B920" s="5" t="s">
        <v>1152</v>
      </c>
      <c r="C920" s="6" t="s">
        <v>1397</v>
      </c>
      <c r="D920" s="6" t="str">
        <f>_xlfn.IFNA(IF(VLOOKUP(tabListaItens[[#This Row],[CÓDIGO]],tabExcluirDoEstoque[#Data],1,FALSE),"sim",""),"")</f>
        <v>sim</v>
      </c>
      <c r="E920" s="6" t="str">
        <f>"*"</f>
        <v>*</v>
      </c>
    </row>
    <row r="921" spans="1:5" x14ac:dyDescent="0.25">
      <c r="A921" s="8">
        <v>105489</v>
      </c>
      <c r="B921" s="5" t="s">
        <v>1167</v>
      </c>
      <c r="C921" s="6" t="s">
        <v>1403</v>
      </c>
      <c r="D921" s="6" t="str">
        <f>_xlfn.IFNA(IF(VLOOKUP(tabListaItens[[#This Row],[CÓDIGO]],tabExcluirDoEstoque[#Data],1,FALSE),"sim",""),"")</f>
        <v>sim</v>
      </c>
      <c r="E921" s="6" t="str">
        <f>"*"</f>
        <v>*</v>
      </c>
    </row>
    <row r="922" spans="1:5" ht="30" x14ac:dyDescent="0.25">
      <c r="A922" s="8">
        <v>105491</v>
      </c>
      <c r="B922" s="5" t="s">
        <v>1451</v>
      </c>
      <c r="C922" s="6" t="s">
        <v>1403</v>
      </c>
      <c r="D922" s="6" t="str">
        <f>_xlfn.IFNA(IF(VLOOKUP(tabListaItens[[#This Row],[CÓDIGO]],tabExcluirDoEstoque[#Data],1,FALSE),"sim",""),"")</f>
        <v>sim</v>
      </c>
      <c r="E922" s="6" t="str">
        <f>"*"</f>
        <v>*</v>
      </c>
    </row>
    <row r="923" spans="1:5" ht="30" x14ac:dyDescent="0.25">
      <c r="A923" s="8">
        <v>105492</v>
      </c>
      <c r="B923" s="5" t="s">
        <v>1452</v>
      </c>
      <c r="C923" s="6" t="s">
        <v>1403</v>
      </c>
      <c r="D923" s="6" t="str">
        <f>_xlfn.IFNA(IF(VLOOKUP(tabListaItens[[#This Row],[CÓDIGO]],tabExcluirDoEstoque[#Data],1,FALSE),"sim",""),"")</f>
        <v>sim</v>
      </c>
      <c r="E923" s="6" t="str">
        <f>"*"</f>
        <v>*</v>
      </c>
    </row>
    <row r="924" spans="1:5" x14ac:dyDescent="0.25">
      <c r="A924" s="8">
        <v>105493</v>
      </c>
      <c r="B924" s="5" t="s">
        <v>1320</v>
      </c>
      <c r="C924" s="6" t="s">
        <v>1403</v>
      </c>
      <c r="D924" s="6" t="str">
        <f>_xlfn.IFNA(IF(VLOOKUP(tabListaItens[[#This Row],[CÓDIGO]],tabExcluirDoEstoque[#Data],1,FALSE),"sim",""),"")</f>
        <v>sim</v>
      </c>
      <c r="E924" s="6" t="str">
        <f>"*"</f>
        <v>*</v>
      </c>
    </row>
    <row r="925" spans="1:5" x14ac:dyDescent="0.25">
      <c r="A925" s="8">
        <v>105704</v>
      </c>
      <c r="B925" s="5" t="s">
        <v>244</v>
      </c>
      <c r="C925" s="6" t="s">
        <v>1397</v>
      </c>
      <c r="D925" s="6" t="str">
        <f>_xlfn.IFNA(IF(VLOOKUP(tabListaItens[[#This Row],[CÓDIGO]],tabExcluirDoEstoque[#Data],1,FALSE),"sim",""),"")</f>
        <v/>
      </c>
      <c r="E925" s="6" t="str">
        <f>"*"</f>
        <v>*</v>
      </c>
    </row>
    <row r="926" spans="1:5" x14ac:dyDescent="0.25">
      <c r="A926" s="8">
        <v>105709</v>
      </c>
      <c r="B926" s="5" t="s">
        <v>264</v>
      </c>
      <c r="C926" s="6" t="s">
        <v>1397</v>
      </c>
      <c r="D926" s="6" t="str">
        <f>_xlfn.IFNA(IF(VLOOKUP(tabListaItens[[#This Row],[CÓDIGO]],tabExcluirDoEstoque[#Data],1,FALSE),"sim",""),"")</f>
        <v/>
      </c>
      <c r="E926" s="6" t="str">
        <f>"*"</f>
        <v>*</v>
      </c>
    </row>
    <row r="927" spans="1:5" x14ac:dyDescent="0.25">
      <c r="A927" s="8">
        <v>105810</v>
      </c>
      <c r="B927" s="5" t="s">
        <v>1321</v>
      </c>
      <c r="C927" s="6" t="s">
        <v>1412</v>
      </c>
      <c r="D927" s="6" t="str">
        <f>_xlfn.IFNA(IF(VLOOKUP(tabListaItens[[#This Row],[CÓDIGO]],tabExcluirDoEstoque[#Data],1,FALSE),"sim",""),"")</f>
        <v>sim</v>
      </c>
      <c r="E927" s="6" t="str">
        <f>"*"</f>
        <v>*</v>
      </c>
    </row>
    <row r="928" spans="1:5" x14ac:dyDescent="0.25">
      <c r="A928" s="8">
        <v>105889</v>
      </c>
      <c r="B928" s="5" t="s">
        <v>721</v>
      </c>
      <c r="C928" s="6" t="s">
        <v>1397</v>
      </c>
      <c r="D928" s="6" t="str">
        <f>_xlfn.IFNA(IF(VLOOKUP(tabListaItens[[#This Row],[CÓDIGO]],tabExcluirDoEstoque[#Data],1,FALSE),"sim",""),"")</f>
        <v/>
      </c>
      <c r="E928" s="6" t="str">
        <f>"*"</f>
        <v>*</v>
      </c>
    </row>
    <row r="929" spans="1:5" x14ac:dyDescent="0.25">
      <c r="A929" s="8">
        <v>105993</v>
      </c>
      <c r="B929" s="5" t="s">
        <v>850</v>
      </c>
      <c r="C929" s="6" t="s">
        <v>1412</v>
      </c>
      <c r="D929" s="6" t="str">
        <f>_xlfn.IFNA(IF(VLOOKUP(tabListaItens[[#This Row],[CÓDIGO]],tabExcluirDoEstoque[#Data],1,FALSE),"sim",""),"")</f>
        <v>sim</v>
      </c>
      <c r="E929" s="6" t="str">
        <f>"*"</f>
        <v>*</v>
      </c>
    </row>
    <row r="930" spans="1:5" x14ac:dyDescent="0.25">
      <c r="A930" s="8">
        <v>105994</v>
      </c>
      <c r="B930" s="5" t="s">
        <v>849</v>
      </c>
      <c r="C930" s="6" t="s">
        <v>1412</v>
      </c>
      <c r="D930" s="6" t="str">
        <f>_xlfn.IFNA(IF(VLOOKUP(tabListaItens[[#This Row],[CÓDIGO]],tabExcluirDoEstoque[#Data],1,FALSE),"sim",""),"")</f>
        <v>sim</v>
      </c>
      <c r="E930" s="6" t="str">
        <f>"*"</f>
        <v>*</v>
      </c>
    </row>
    <row r="931" spans="1:5" x14ac:dyDescent="0.25">
      <c r="A931" s="8">
        <v>106027</v>
      </c>
      <c r="B931" s="5" t="s">
        <v>1322</v>
      </c>
      <c r="C931" s="6" t="s">
        <v>1412</v>
      </c>
      <c r="D931" s="6" t="str">
        <f>_xlfn.IFNA(IF(VLOOKUP(tabListaItens[[#This Row],[CÓDIGO]],tabExcluirDoEstoque[#Data],1,FALSE),"sim",""),"")</f>
        <v>sim</v>
      </c>
      <c r="E931" s="6" t="str">
        <f>"*"</f>
        <v>*</v>
      </c>
    </row>
    <row r="932" spans="1:5" x14ac:dyDescent="0.25">
      <c r="A932" s="8">
        <v>106038</v>
      </c>
      <c r="B932" s="5" t="s">
        <v>338</v>
      </c>
      <c r="C932" s="6" t="s">
        <v>1397</v>
      </c>
      <c r="D932" s="6" t="str">
        <f>_xlfn.IFNA(IF(VLOOKUP(tabListaItens[[#This Row],[CÓDIGO]],tabExcluirDoEstoque[#Data],1,FALSE),"sim",""),"")</f>
        <v/>
      </c>
      <c r="E932" s="6" t="str">
        <f>"*"</f>
        <v>*</v>
      </c>
    </row>
    <row r="933" spans="1:5" x14ac:dyDescent="0.25">
      <c r="A933" s="8">
        <v>106039</v>
      </c>
      <c r="B933" s="5" t="s">
        <v>1323</v>
      </c>
      <c r="C933" s="6" t="s">
        <v>1397</v>
      </c>
      <c r="D933" s="6" t="str">
        <f>_xlfn.IFNA(IF(VLOOKUP(tabListaItens[[#This Row],[CÓDIGO]],tabExcluirDoEstoque[#Data],1,FALSE),"sim",""),"")</f>
        <v>sim</v>
      </c>
      <c r="E933" s="6" t="str">
        <f>"*"</f>
        <v>*</v>
      </c>
    </row>
    <row r="934" spans="1:5" x14ac:dyDescent="0.25">
      <c r="A934" s="8">
        <v>106128</v>
      </c>
      <c r="B934" s="5" t="s">
        <v>350</v>
      </c>
      <c r="C934" s="6" t="s">
        <v>1397</v>
      </c>
      <c r="D934" s="6" t="str">
        <f>_xlfn.IFNA(IF(VLOOKUP(tabListaItens[[#This Row],[CÓDIGO]],tabExcluirDoEstoque[#Data],1,FALSE),"sim",""),"")</f>
        <v/>
      </c>
      <c r="E934" s="6" t="str">
        <f>"*"</f>
        <v>*</v>
      </c>
    </row>
    <row r="935" spans="1:5" x14ac:dyDescent="0.25">
      <c r="A935" s="8">
        <v>106129</v>
      </c>
      <c r="B935" s="5" t="s">
        <v>806</v>
      </c>
      <c r="C935" s="6" t="s">
        <v>1397</v>
      </c>
      <c r="D935" s="6" t="str">
        <f>_xlfn.IFNA(IF(VLOOKUP(tabListaItens[[#This Row],[CÓDIGO]],tabExcluirDoEstoque[#Data],1,FALSE),"sim",""),"")</f>
        <v/>
      </c>
      <c r="E935" s="6" t="str">
        <f>"*"</f>
        <v>*</v>
      </c>
    </row>
    <row r="936" spans="1:5" x14ac:dyDescent="0.25">
      <c r="A936" s="8">
        <v>106130</v>
      </c>
      <c r="B936" s="5" t="s">
        <v>807</v>
      </c>
      <c r="C936" s="6" t="s">
        <v>1397</v>
      </c>
      <c r="D936" s="6" t="str">
        <f>_xlfn.IFNA(IF(VLOOKUP(tabListaItens[[#This Row],[CÓDIGO]],tabExcluirDoEstoque[#Data],1,FALSE),"sim",""),"")</f>
        <v/>
      </c>
      <c r="E936" s="6" t="str">
        <f>"*"</f>
        <v>*</v>
      </c>
    </row>
    <row r="937" spans="1:5" x14ac:dyDescent="0.25">
      <c r="A937" s="8">
        <v>106131</v>
      </c>
      <c r="B937" s="5" t="s">
        <v>805</v>
      </c>
      <c r="C937" s="6" t="s">
        <v>1397</v>
      </c>
      <c r="D937" s="6" t="str">
        <f>_xlfn.IFNA(IF(VLOOKUP(tabListaItens[[#This Row],[CÓDIGO]],tabExcluirDoEstoque[#Data],1,FALSE),"sim",""),"")</f>
        <v/>
      </c>
      <c r="E937" s="6" t="str">
        <f>"*"</f>
        <v>*</v>
      </c>
    </row>
    <row r="938" spans="1:5" x14ac:dyDescent="0.25">
      <c r="A938" s="8">
        <v>106375</v>
      </c>
      <c r="B938" s="5" t="s">
        <v>883</v>
      </c>
      <c r="C938" s="6" t="s">
        <v>1397</v>
      </c>
      <c r="D938" s="6" t="str">
        <f>_xlfn.IFNA(IF(VLOOKUP(tabListaItens[[#This Row],[CÓDIGO]],tabExcluirDoEstoque[#Data],1,FALSE),"sim",""),"")</f>
        <v/>
      </c>
      <c r="E938" s="6" t="str">
        <f>"*"</f>
        <v>*</v>
      </c>
    </row>
    <row r="939" spans="1:5" x14ac:dyDescent="0.25">
      <c r="A939" s="8">
        <v>106376</v>
      </c>
      <c r="B939" s="5" t="s">
        <v>884</v>
      </c>
      <c r="C939" s="6" t="s">
        <v>1397</v>
      </c>
      <c r="D939" s="6" t="str">
        <f>_xlfn.IFNA(IF(VLOOKUP(tabListaItens[[#This Row],[CÓDIGO]],tabExcluirDoEstoque[#Data],1,FALSE),"sim",""),"")</f>
        <v/>
      </c>
      <c r="E939" s="6" t="str">
        <f>"*"</f>
        <v>*</v>
      </c>
    </row>
    <row r="940" spans="1:5" x14ac:dyDescent="0.25">
      <c r="A940" s="8">
        <v>106408</v>
      </c>
      <c r="B940" s="5" t="s">
        <v>334</v>
      </c>
      <c r="C940" s="6" t="s">
        <v>1397</v>
      </c>
      <c r="D940" s="6" t="str">
        <f>_xlfn.IFNA(IF(VLOOKUP(tabListaItens[[#This Row],[CÓDIGO]],tabExcluirDoEstoque[#Data],1,FALSE),"sim",""),"")</f>
        <v/>
      </c>
      <c r="E940" s="6" t="str">
        <f>"*"</f>
        <v>*</v>
      </c>
    </row>
    <row r="941" spans="1:5" x14ac:dyDescent="0.25">
      <c r="A941" s="8">
        <v>106414</v>
      </c>
      <c r="B941" s="5" t="s">
        <v>333</v>
      </c>
      <c r="C941" s="6" t="s">
        <v>1397</v>
      </c>
      <c r="D941" s="6" t="str">
        <f>_xlfn.IFNA(IF(VLOOKUP(tabListaItens[[#This Row],[CÓDIGO]],tabExcluirDoEstoque[#Data],1,FALSE),"sim",""),"")</f>
        <v/>
      </c>
      <c r="E941" s="6" t="str">
        <f>"*"</f>
        <v>*</v>
      </c>
    </row>
    <row r="942" spans="1:5" x14ac:dyDescent="0.25">
      <c r="A942" s="8">
        <v>106544</v>
      </c>
      <c r="B942" s="5" t="s">
        <v>321</v>
      </c>
      <c r="C942" s="6" t="s">
        <v>1397</v>
      </c>
      <c r="D942" s="6" t="str">
        <f>_xlfn.IFNA(IF(VLOOKUP(tabListaItens[[#This Row],[CÓDIGO]],tabExcluirDoEstoque[#Data],1,FALSE),"sim",""),"")</f>
        <v/>
      </c>
      <c r="E942" s="6" t="str">
        <f>"*"</f>
        <v>*</v>
      </c>
    </row>
    <row r="943" spans="1:5" x14ac:dyDescent="0.25">
      <c r="A943" s="8">
        <v>106546</v>
      </c>
      <c r="B943" s="5" t="s">
        <v>320</v>
      </c>
      <c r="C943" s="6" t="s">
        <v>1397</v>
      </c>
      <c r="D943" s="6" t="str">
        <f>_xlfn.IFNA(IF(VLOOKUP(tabListaItens[[#This Row],[CÓDIGO]],tabExcluirDoEstoque[#Data],1,FALSE),"sim",""),"")</f>
        <v/>
      </c>
      <c r="E943" s="6" t="str">
        <f>"*"</f>
        <v>*</v>
      </c>
    </row>
    <row r="944" spans="1:5" x14ac:dyDescent="0.25">
      <c r="A944" s="8">
        <v>106631</v>
      </c>
      <c r="B944" s="5" t="s">
        <v>1142</v>
      </c>
      <c r="C944" s="6" t="s">
        <v>1404</v>
      </c>
      <c r="D944" s="6" t="str">
        <f>_xlfn.IFNA(IF(VLOOKUP(tabListaItens[[#This Row],[CÓDIGO]],tabExcluirDoEstoque[#Data],1,FALSE),"sim",""),"")</f>
        <v>sim</v>
      </c>
      <c r="E944" s="6" t="str">
        <f>"*"</f>
        <v>*</v>
      </c>
    </row>
    <row r="945" spans="1:5" x14ac:dyDescent="0.25">
      <c r="A945" s="8">
        <v>106697</v>
      </c>
      <c r="B945" s="5" t="s">
        <v>915</v>
      </c>
      <c r="C945" s="6" t="s">
        <v>1402</v>
      </c>
      <c r="D945" s="6" t="str">
        <f>_xlfn.IFNA(IF(VLOOKUP(tabListaItens[[#This Row],[CÓDIGO]],tabExcluirDoEstoque[#Data],1,FALSE),"sim",""),"")</f>
        <v/>
      </c>
      <c r="E945" s="6" t="str">
        <f>"*"</f>
        <v>*</v>
      </c>
    </row>
    <row r="946" spans="1:5" x14ac:dyDescent="0.25">
      <c r="A946" s="8">
        <v>106765</v>
      </c>
      <c r="B946" s="5" t="s">
        <v>1324</v>
      </c>
      <c r="C946" s="6" t="s">
        <v>1397</v>
      </c>
      <c r="D946" s="6" t="str">
        <f>_xlfn.IFNA(IF(VLOOKUP(tabListaItens[[#This Row],[CÓDIGO]],tabExcluirDoEstoque[#Data],1,FALSE),"sim",""),"")</f>
        <v>sim</v>
      </c>
      <c r="E946" s="6" t="str">
        <f>"*"</f>
        <v>*</v>
      </c>
    </row>
    <row r="947" spans="1:5" x14ac:dyDescent="0.25">
      <c r="A947" s="8">
        <v>106909</v>
      </c>
      <c r="B947" s="5" t="s">
        <v>255</v>
      </c>
      <c r="C947" s="6" t="s">
        <v>1397</v>
      </c>
      <c r="D947" s="6" t="str">
        <f>_xlfn.IFNA(IF(VLOOKUP(tabListaItens[[#This Row],[CÓDIGO]],tabExcluirDoEstoque[#Data],1,FALSE),"sim",""),"")</f>
        <v/>
      </c>
      <c r="E947" s="6" t="str">
        <f>"*"</f>
        <v>*</v>
      </c>
    </row>
    <row r="948" spans="1:5" x14ac:dyDescent="0.25">
      <c r="A948" s="8">
        <v>106910</v>
      </c>
      <c r="B948" s="5" t="s">
        <v>257</v>
      </c>
      <c r="C948" s="6" t="s">
        <v>1397</v>
      </c>
      <c r="D948" s="6" t="str">
        <f>_xlfn.IFNA(IF(VLOOKUP(tabListaItens[[#This Row],[CÓDIGO]],tabExcluirDoEstoque[#Data],1,FALSE),"sim",""),"")</f>
        <v/>
      </c>
      <c r="E948" s="6" t="str">
        <f>"*"</f>
        <v>*</v>
      </c>
    </row>
    <row r="949" spans="1:5" x14ac:dyDescent="0.25">
      <c r="A949" s="8">
        <v>106911</v>
      </c>
      <c r="B949" s="5" t="s">
        <v>259</v>
      </c>
      <c r="C949" s="6" t="s">
        <v>1397</v>
      </c>
      <c r="D949" s="6" t="str">
        <f>_xlfn.IFNA(IF(VLOOKUP(tabListaItens[[#This Row],[CÓDIGO]],tabExcluirDoEstoque[#Data],1,FALSE),"sim",""),"")</f>
        <v/>
      </c>
      <c r="E949" s="6" t="str">
        <f>"*"</f>
        <v>*</v>
      </c>
    </row>
    <row r="950" spans="1:5" x14ac:dyDescent="0.25">
      <c r="A950" s="8">
        <v>106913</v>
      </c>
      <c r="B950" s="5" t="s">
        <v>262</v>
      </c>
      <c r="C950" s="6" t="s">
        <v>1397</v>
      </c>
      <c r="D950" s="6" t="str">
        <f>_xlfn.IFNA(IF(VLOOKUP(tabListaItens[[#This Row],[CÓDIGO]],tabExcluirDoEstoque[#Data],1,FALSE),"sim",""),"")</f>
        <v/>
      </c>
      <c r="E950" s="6" t="str">
        <f>"*"</f>
        <v>*</v>
      </c>
    </row>
    <row r="951" spans="1:5" x14ac:dyDescent="0.25">
      <c r="A951" s="8">
        <v>106914</v>
      </c>
      <c r="B951" s="5" t="s">
        <v>245</v>
      </c>
      <c r="C951" s="6" t="s">
        <v>1397</v>
      </c>
      <c r="D951" s="6" t="str">
        <f>_xlfn.IFNA(IF(VLOOKUP(tabListaItens[[#This Row],[CÓDIGO]],tabExcluirDoEstoque[#Data],1,FALSE),"sim",""),"")</f>
        <v/>
      </c>
      <c r="E951" s="6" t="str">
        <f>"*"</f>
        <v>*</v>
      </c>
    </row>
    <row r="952" spans="1:5" x14ac:dyDescent="0.25">
      <c r="A952" s="8">
        <v>106916</v>
      </c>
      <c r="B952" s="5" t="s">
        <v>246</v>
      </c>
      <c r="C952" s="6" t="s">
        <v>1397</v>
      </c>
      <c r="D952" s="6" t="str">
        <f>_xlfn.IFNA(IF(VLOOKUP(tabListaItens[[#This Row],[CÓDIGO]],tabExcluirDoEstoque[#Data],1,FALSE),"sim",""),"")</f>
        <v/>
      </c>
      <c r="E952" s="6" t="str">
        <f>"*"</f>
        <v>*</v>
      </c>
    </row>
    <row r="953" spans="1:5" x14ac:dyDescent="0.25">
      <c r="A953" s="8">
        <v>106917</v>
      </c>
      <c r="B953" s="5" t="s">
        <v>247</v>
      </c>
      <c r="C953" s="6" t="s">
        <v>1397</v>
      </c>
      <c r="D953" s="6" t="str">
        <f>_xlfn.IFNA(IF(VLOOKUP(tabListaItens[[#This Row],[CÓDIGO]],tabExcluirDoEstoque[#Data],1,FALSE),"sim",""),"")</f>
        <v/>
      </c>
      <c r="E953" s="6" t="str">
        <f>"*"</f>
        <v>*</v>
      </c>
    </row>
    <row r="954" spans="1:5" x14ac:dyDescent="0.25">
      <c r="A954" s="8">
        <v>106918</v>
      </c>
      <c r="B954" s="5" t="s">
        <v>248</v>
      </c>
      <c r="C954" s="6" t="s">
        <v>1397</v>
      </c>
      <c r="D954" s="6" t="str">
        <f>_xlfn.IFNA(IF(VLOOKUP(tabListaItens[[#This Row],[CÓDIGO]],tabExcluirDoEstoque[#Data],1,FALSE),"sim",""),"")</f>
        <v/>
      </c>
      <c r="E954" s="6" t="str">
        <f>"*"</f>
        <v>*</v>
      </c>
    </row>
    <row r="955" spans="1:5" x14ac:dyDescent="0.25">
      <c r="A955" s="8">
        <v>106919</v>
      </c>
      <c r="B955" s="5" t="s">
        <v>249</v>
      </c>
      <c r="C955" s="6" t="s">
        <v>1397</v>
      </c>
      <c r="D955" s="6" t="str">
        <f>_xlfn.IFNA(IF(VLOOKUP(tabListaItens[[#This Row],[CÓDIGO]],tabExcluirDoEstoque[#Data],1,FALSE),"sim",""),"")</f>
        <v/>
      </c>
      <c r="E955" s="6" t="str">
        <f>"*"</f>
        <v>*</v>
      </c>
    </row>
    <row r="956" spans="1:5" x14ac:dyDescent="0.25">
      <c r="A956" s="8">
        <v>107401</v>
      </c>
      <c r="B956" s="5" t="s">
        <v>187</v>
      </c>
      <c r="C956" s="6" t="s">
        <v>1397</v>
      </c>
      <c r="D956" s="6" t="str">
        <f>_xlfn.IFNA(IF(VLOOKUP(tabListaItens[[#This Row],[CÓDIGO]],tabExcluirDoEstoque[#Data],1,FALSE),"sim",""),"")</f>
        <v/>
      </c>
      <c r="E956" s="6" t="str">
        <f>"*"</f>
        <v>*</v>
      </c>
    </row>
    <row r="957" spans="1:5" x14ac:dyDescent="0.25">
      <c r="A957" s="8">
        <v>107483</v>
      </c>
      <c r="B957" s="5" t="s">
        <v>804</v>
      </c>
      <c r="C957" s="6" t="s">
        <v>1404</v>
      </c>
      <c r="D957" s="6" t="str">
        <f>_xlfn.IFNA(IF(VLOOKUP(tabListaItens[[#This Row],[CÓDIGO]],tabExcluirDoEstoque[#Data],1,FALSE),"sim",""),"")</f>
        <v/>
      </c>
      <c r="E957" s="6" t="str">
        <f>"*"</f>
        <v>*</v>
      </c>
    </row>
    <row r="958" spans="1:5" x14ac:dyDescent="0.25">
      <c r="A958" s="8">
        <v>107736</v>
      </c>
      <c r="B958" s="5" t="s">
        <v>1325</v>
      </c>
      <c r="C958" s="6" t="s">
        <v>1404</v>
      </c>
      <c r="D958" s="6" t="str">
        <f>_xlfn.IFNA(IF(VLOOKUP(tabListaItens[[#This Row],[CÓDIGO]],tabExcluirDoEstoque[#Data],1,FALSE),"sim",""),"")</f>
        <v>sim</v>
      </c>
      <c r="E958" s="6" t="str">
        <f>"*"</f>
        <v>*</v>
      </c>
    </row>
    <row r="959" spans="1:5" x14ac:dyDescent="0.25">
      <c r="A959" s="8">
        <v>107737</v>
      </c>
      <c r="B959" s="5" t="s">
        <v>1326</v>
      </c>
      <c r="C959" s="6" t="s">
        <v>1404</v>
      </c>
      <c r="D959" s="6" t="str">
        <f>_xlfn.IFNA(IF(VLOOKUP(tabListaItens[[#This Row],[CÓDIGO]],tabExcluirDoEstoque[#Data],1,FALSE),"sim",""),"")</f>
        <v>sim</v>
      </c>
      <c r="E959" s="6" t="str">
        <f>"*"</f>
        <v>*</v>
      </c>
    </row>
    <row r="960" spans="1:5" x14ac:dyDescent="0.25">
      <c r="A960" s="8">
        <v>107790</v>
      </c>
      <c r="B960" s="5" t="s">
        <v>351</v>
      </c>
      <c r="C960" s="6" t="s">
        <v>1397</v>
      </c>
      <c r="D960" s="6" t="str">
        <f>_xlfn.IFNA(IF(VLOOKUP(tabListaItens[[#This Row],[CÓDIGO]],tabExcluirDoEstoque[#Data],1,FALSE),"sim",""),"")</f>
        <v/>
      </c>
      <c r="E960" s="6" t="str">
        <f>"*"</f>
        <v>*</v>
      </c>
    </row>
    <row r="961" spans="1:5" x14ac:dyDescent="0.25">
      <c r="A961" s="8">
        <v>107889</v>
      </c>
      <c r="B961" s="5" t="s">
        <v>319</v>
      </c>
      <c r="C961" s="6" t="s">
        <v>1404</v>
      </c>
      <c r="D961" s="6" t="str">
        <f>_xlfn.IFNA(IF(VLOOKUP(tabListaItens[[#This Row],[CÓDIGO]],tabExcluirDoEstoque[#Data],1,FALSE),"sim",""),"")</f>
        <v/>
      </c>
      <c r="E961" s="6" t="str">
        <f>"*"</f>
        <v>*</v>
      </c>
    </row>
    <row r="962" spans="1:5" x14ac:dyDescent="0.25">
      <c r="A962" s="8">
        <v>107909</v>
      </c>
      <c r="B962" s="5" t="s">
        <v>1327</v>
      </c>
      <c r="C962" s="6" t="s">
        <v>1429</v>
      </c>
      <c r="D962" s="6" t="str">
        <f>_xlfn.IFNA(IF(VLOOKUP(tabListaItens[[#This Row],[CÓDIGO]],tabExcluirDoEstoque[#Data],1,FALSE),"sim",""),"")</f>
        <v>sim</v>
      </c>
      <c r="E962" s="6" t="str">
        <f>"*"</f>
        <v>*</v>
      </c>
    </row>
    <row r="963" spans="1:5" x14ac:dyDescent="0.25">
      <c r="A963" s="8">
        <v>107925</v>
      </c>
      <c r="B963" s="5" t="s">
        <v>1328</v>
      </c>
      <c r="C963" s="6" t="s">
        <v>1404</v>
      </c>
      <c r="D963" s="6" t="str">
        <f>_xlfn.IFNA(IF(VLOOKUP(tabListaItens[[#This Row],[CÓDIGO]],tabExcluirDoEstoque[#Data],1,FALSE),"sim",""),"")</f>
        <v>sim</v>
      </c>
      <c r="E963" s="6" t="str">
        <f>"*"</f>
        <v>*</v>
      </c>
    </row>
    <row r="964" spans="1:5" x14ac:dyDescent="0.25">
      <c r="A964" s="8">
        <v>107926</v>
      </c>
      <c r="B964" s="5" t="s">
        <v>846</v>
      </c>
      <c r="C964" s="6" t="s">
        <v>1397</v>
      </c>
      <c r="D964" s="6" t="str">
        <f>_xlfn.IFNA(IF(VLOOKUP(tabListaItens[[#This Row],[CÓDIGO]],tabExcluirDoEstoque[#Data],1,FALSE),"sim",""),"")</f>
        <v/>
      </c>
      <c r="E964" s="6" t="str">
        <f>"*"</f>
        <v>*</v>
      </c>
    </row>
    <row r="965" spans="1:5" x14ac:dyDescent="0.25">
      <c r="A965" s="8">
        <v>108046</v>
      </c>
      <c r="B965" s="5" t="s">
        <v>1329</v>
      </c>
      <c r="C965" s="6" t="s">
        <v>1397</v>
      </c>
      <c r="D965" s="6" t="str">
        <f>_xlfn.IFNA(IF(VLOOKUP(tabListaItens[[#This Row],[CÓDIGO]],tabExcluirDoEstoque[#Data],1,FALSE),"sim",""),"")</f>
        <v>sim</v>
      </c>
      <c r="E965" s="6" t="str">
        <f>"*"</f>
        <v>*</v>
      </c>
    </row>
    <row r="966" spans="1:5" x14ac:dyDescent="0.25">
      <c r="A966" s="8">
        <v>108393</v>
      </c>
      <c r="B966" s="5" t="s">
        <v>525</v>
      </c>
      <c r="C966" s="6" t="s">
        <v>1397</v>
      </c>
      <c r="D966" s="6" t="str">
        <f>_xlfn.IFNA(IF(VLOOKUP(tabListaItens[[#This Row],[CÓDIGO]],tabExcluirDoEstoque[#Data],1,FALSE),"sim",""),"")</f>
        <v/>
      </c>
      <c r="E966" s="6" t="str">
        <f>"*"</f>
        <v>*</v>
      </c>
    </row>
    <row r="967" spans="1:5" x14ac:dyDescent="0.25">
      <c r="A967" s="8">
        <v>108398</v>
      </c>
      <c r="B967" s="5" t="s">
        <v>779</v>
      </c>
      <c r="C967" s="6" t="s">
        <v>1397</v>
      </c>
      <c r="D967" s="6" t="str">
        <f>_xlfn.IFNA(IF(VLOOKUP(tabListaItens[[#This Row],[CÓDIGO]],tabExcluirDoEstoque[#Data],1,FALSE),"sim",""),"")</f>
        <v/>
      </c>
      <c r="E967" s="6" t="str">
        <f>"*"</f>
        <v>*</v>
      </c>
    </row>
    <row r="968" spans="1:5" x14ac:dyDescent="0.25">
      <c r="A968" s="8">
        <v>108440</v>
      </c>
      <c r="B968" s="5" t="s">
        <v>514</v>
      </c>
      <c r="C968" s="6" t="s">
        <v>1404</v>
      </c>
      <c r="D968" s="6" t="str">
        <f>_xlfn.IFNA(IF(VLOOKUP(tabListaItens[[#This Row],[CÓDIGO]],tabExcluirDoEstoque[#Data],1,FALSE),"sim",""),"")</f>
        <v>sim</v>
      </c>
      <c r="E968" s="6" t="str">
        <f>"*"</f>
        <v>*</v>
      </c>
    </row>
    <row r="969" spans="1:5" x14ac:dyDescent="0.25">
      <c r="A969" s="8">
        <v>108441</v>
      </c>
      <c r="B969" s="5" t="s">
        <v>787</v>
      </c>
      <c r="C969" s="6" t="s">
        <v>1397</v>
      </c>
      <c r="D969" s="6" t="str">
        <f>_xlfn.IFNA(IF(VLOOKUP(tabListaItens[[#This Row],[CÓDIGO]],tabExcluirDoEstoque[#Data],1,FALSE),"sim",""),"")</f>
        <v>sim</v>
      </c>
      <c r="E969" s="6" t="str">
        <f>"*"</f>
        <v>*</v>
      </c>
    </row>
    <row r="970" spans="1:5" x14ac:dyDescent="0.25">
      <c r="A970" s="8">
        <v>108463</v>
      </c>
      <c r="B970" s="5" t="s">
        <v>200</v>
      </c>
      <c r="C970" s="6" t="s">
        <v>1413</v>
      </c>
      <c r="D970" s="6" t="str">
        <f>_xlfn.IFNA(IF(VLOOKUP(tabListaItens[[#This Row],[CÓDIGO]],tabExcluirDoEstoque[#Data],1,FALSE),"sim",""),"")</f>
        <v>sim</v>
      </c>
      <c r="E970" s="6" t="str">
        <f>"*"</f>
        <v>*</v>
      </c>
    </row>
    <row r="971" spans="1:5" x14ac:dyDescent="0.25">
      <c r="A971" s="8">
        <v>108697</v>
      </c>
      <c r="B971" s="5" t="s">
        <v>588</v>
      </c>
      <c r="C971" s="6" t="s">
        <v>1397</v>
      </c>
      <c r="D971" s="6" t="str">
        <f>_xlfn.IFNA(IF(VLOOKUP(tabListaItens[[#This Row],[CÓDIGO]],tabExcluirDoEstoque[#Data],1,FALSE),"sim",""),"")</f>
        <v/>
      </c>
      <c r="E971" s="6" t="str">
        <f>"*"</f>
        <v>*</v>
      </c>
    </row>
    <row r="972" spans="1:5" x14ac:dyDescent="0.25">
      <c r="A972" s="8">
        <v>108711</v>
      </c>
      <c r="B972" s="5" t="s">
        <v>423</v>
      </c>
      <c r="C972" s="6" t="s">
        <v>1404</v>
      </c>
      <c r="D972" s="6" t="str">
        <f>_xlfn.IFNA(IF(VLOOKUP(tabListaItens[[#This Row],[CÓDIGO]],tabExcluirDoEstoque[#Data],1,FALSE),"sim",""),"")</f>
        <v/>
      </c>
      <c r="E972" s="6" t="str">
        <f>"*"</f>
        <v>*</v>
      </c>
    </row>
    <row r="973" spans="1:5" x14ac:dyDescent="0.25">
      <c r="A973" s="8">
        <v>108732</v>
      </c>
      <c r="B973" s="5" t="s">
        <v>1330</v>
      </c>
      <c r="C973" s="6" t="s">
        <v>1412</v>
      </c>
      <c r="D973" s="6" t="str">
        <f>_xlfn.IFNA(IF(VLOOKUP(tabListaItens[[#This Row],[CÓDIGO]],tabExcluirDoEstoque[#Data],1,FALSE),"sim",""),"")</f>
        <v>sim</v>
      </c>
      <c r="E973" s="6" t="str">
        <f>"*"</f>
        <v>*</v>
      </c>
    </row>
    <row r="974" spans="1:5" x14ac:dyDescent="0.25">
      <c r="A974" s="8">
        <v>108734</v>
      </c>
      <c r="B974" s="5" t="s">
        <v>1331</v>
      </c>
      <c r="C974" s="6" t="s">
        <v>1412</v>
      </c>
      <c r="D974" s="6" t="str">
        <f>_xlfn.IFNA(IF(VLOOKUP(tabListaItens[[#This Row],[CÓDIGO]],tabExcluirDoEstoque[#Data],1,FALSE),"sim",""),"")</f>
        <v>sim</v>
      </c>
      <c r="E974" s="6" t="str">
        <f>"*"</f>
        <v>*</v>
      </c>
    </row>
    <row r="975" spans="1:5" x14ac:dyDescent="0.25">
      <c r="A975" s="8">
        <v>108735</v>
      </c>
      <c r="B975" s="5" t="s">
        <v>1332</v>
      </c>
      <c r="C975" s="6" t="s">
        <v>1412</v>
      </c>
      <c r="D975" s="6" t="str">
        <f>_xlfn.IFNA(IF(VLOOKUP(tabListaItens[[#This Row],[CÓDIGO]],tabExcluirDoEstoque[#Data],1,FALSE),"sim",""),"")</f>
        <v>sim</v>
      </c>
      <c r="E975" s="6" t="str">
        <f>"*"</f>
        <v>*</v>
      </c>
    </row>
    <row r="976" spans="1:5" x14ac:dyDescent="0.25">
      <c r="A976" s="8">
        <v>108736</v>
      </c>
      <c r="B976" s="5" t="s">
        <v>1333</v>
      </c>
      <c r="C976" s="6" t="s">
        <v>1412</v>
      </c>
      <c r="D976" s="6" t="str">
        <f>_xlfn.IFNA(IF(VLOOKUP(tabListaItens[[#This Row],[CÓDIGO]],tabExcluirDoEstoque[#Data],1,FALSE),"sim",""),"")</f>
        <v>sim</v>
      </c>
      <c r="E976" s="6" t="str">
        <f>"*"</f>
        <v>*</v>
      </c>
    </row>
    <row r="977" spans="1:5" ht="30" x14ac:dyDescent="0.25">
      <c r="A977" s="8">
        <v>109163</v>
      </c>
      <c r="B977" s="5" t="s">
        <v>1523</v>
      </c>
      <c r="C977" s="6" t="s">
        <v>1404</v>
      </c>
      <c r="D977" s="6" t="str">
        <f>_xlfn.IFNA(IF(VLOOKUP(tabListaItens[[#This Row],[CÓDIGO]],tabExcluirDoEstoque[#Data],1,FALSE),"sim",""),"")</f>
        <v>sim</v>
      </c>
      <c r="E977" s="6" t="str">
        <f>"*"</f>
        <v>*</v>
      </c>
    </row>
    <row r="978" spans="1:5" x14ac:dyDescent="0.25">
      <c r="A978" s="8">
        <v>109251</v>
      </c>
      <c r="B978" s="5" t="s">
        <v>1577</v>
      </c>
      <c r="C978" s="6" t="s">
        <v>1404</v>
      </c>
      <c r="D978" s="76" t="str">
        <f>_xlfn.IFNA(IF(VLOOKUP(tabListaItens[[#This Row],[CÓDIGO]],tabExcluirDoEstoque[#Data],1,FALSE),"sim",""),"")</f>
        <v/>
      </c>
      <c r="E978" s="76" t="str">
        <f>"*"</f>
        <v>*</v>
      </c>
    </row>
    <row r="979" spans="1:5" x14ac:dyDescent="0.25">
      <c r="A979" s="8">
        <v>109848</v>
      </c>
      <c r="B979" s="5" t="s">
        <v>899</v>
      </c>
      <c r="C979" s="6" t="s">
        <v>1426</v>
      </c>
      <c r="D979" s="6" t="str">
        <f>_xlfn.IFNA(IF(VLOOKUP(tabListaItens[[#This Row],[CÓDIGO]],tabExcluirDoEstoque[#Data],1,FALSE),"sim",""),"")</f>
        <v/>
      </c>
      <c r="E979" s="6" t="str">
        <f>"*"</f>
        <v>*</v>
      </c>
    </row>
    <row r="980" spans="1:5" x14ac:dyDescent="0.25">
      <c r="A980" s="8">
        <v>109944</v>
      </c>
      <c r="B980" s="5" t="s">
        <v>309</v>
      </c>
      <c r="C980" s="6" t="s">
        <v>1397</v>
      </c>
      <c r="D980" s="6" t="str">
        <f>_xlfn.IFNA(IF(VLOOKUP(tabListaItens[[#This Row],[CÓDIGO]],tabExcluirDoEstoque[#Data],1,FALSE),"sim",""),"")</f>
        <v/>
      </c>
      <c r="E980" s="6" t="str">
        <f>"*"</f>
        <v>*</v>
      </c>
    </row>
    <row r="981" spans="1:5" x14ac:dyDescent="0.25">
      <c r="A981" s="8">
        <v>109986</v>
      </c>
      <c r="B981" s="5" t="s">
        <v>382</v>
      </c>
      <c r="C981" s="6" t="s">
        <v>1397</v>
      </c>
      <c r="D981" s="6" t="str">
        <f>_xlfn.IFNA(IF(VLOOKUP(tabListaItens[[#This Row],[CÓDIGO]],tabExcluirDoEstoque[#Data],1,FALSE),"sim",""),"")</f>
        <v/>
      </c>
      <c r="E981" s="6" t="str">
        <f>"*"</f>
        <v>*</v>
      </c>
    </row>
    <row r="982" spans="1:5" x14ac:dyDescent="0.25">
      <c r="A982" s="8">
        <v>110216</v>
      </c>
      <c r="B982" s="5" t="s">
        <v>1334</v>
      </c>
      <c r="C982" s="6" t="s">
        <v>1413</v>
      </c>
      <c r="D982" s="6" t="str">
        <f>_xlfn.IFNA(IF(VLOOKUP(tabListaItens[[#This Row],[CÓDIGO]],tabExcluirDoEstoque[#Data],1,FALSE),"sim",""),"")</f>
        <v>sim</v>
      </c>
      <c r="E982" s="6" t="str">
        <f>"*"</f>
        <v>*</v>
      </c>
    </row>
    <row r="983" spans="1:5" x14ac:dyDescent="0.25">
      <c r="A983" s="8">
        <v>110503</v>
      </c>
      <c r="B983" s="5" t="s">
        <v>1011</v>
      </c>
      <c r="C983" s="6" t="s">
        <v>1397</v>
      </c>
      <c r="D983" s="6" t="str">
        <f>_xlfn.IFNA(IF(VLOOKUP(tabListaItens[[#This Row],[CÓDIGO]],tabExcluirDoEstoque[#Data],1,FALSE),"sim",""),"")</f>
        <v>sim</v>
      </c>
      <c r="E983" s="6" t="str">
        <f>"*"</f>
        <v>*</v>
      </c>
    </row>
    <row r="984" spans="1:5" x14ac:dyDescent="0.25">
      <c r="A984" s="8">
        <v>110578</v>
      </c>
      <c r="B984" s="5" t="s">
        <v>838</v>
      </c>
      <c r="C984" s="6" t="s">
        <v>1401</v>
      </c>
      <c r="D984" s="6" t="str">
        <f>_xlfn.IFNA(IF(VLOOKUP(tabListaItens[[#This Row],[CÓDIGO]],tabExcluirDoEstoque[#Data],1,FALSE),"sim",""),"")</f>
        <v/>
      </c>
      <c r="E984" s="6" t="str">
        <f>"*"</f>
        <v>*</v>
      </c>
    </row>
    <row r="985" spans="1:5" x14ac:dyDescent="0.25">
      <c r="A985" s="8">
        <v>110702</v>
      </c>
      <c r="B985" s="5" t="s">
        <v>433</v>
      </c>
      <c r="C985" s="6" t="s">
        <v>1397</v>
      </c>
      <c r="D985" s="6" t="str">
        <f>_xlfn.IFNA(IF(VLOOKUP(tabListaItens[[#This Row],[CÓDIGO]],tabExcluirDoEstoque[#Data],1,FALSE),"sim",""),"")</f>
        <v/>
      </c>
      <c r="E985" s="6" t="str">
        <f>"*"</f>
        <v>*</v>
      </c>
    </row>
    <row r="986" spans="1:5" x14ac:dyDescent="0.25">
      <c r="A986" s="8">
        <v>110771</v>
      </c>
      <c r="B986" s="5" t="s">
        <v>408</v>
      </c>
      <c r="C986" s="6" t="s">
        <v>1397</v>
      </c>
      <c r="D986" s="6" t="str">
        <f>_xlfn.IFNA(IF(VLOOKUP(tabListaItens[[#This Row],[CÓDIGO]],tabExcluirDoEstoque[#Data],1,FALSE),"sim",""),"")</f>
        <v/>
      </c>
      <c r="E986" s="6" t="str">
        <f>"*"</f>
        <v>*</v>
      </c>
    </row>
    <row r="987" spans="1:5" x14ac:dyDescent="0.25">
      <c r="A987" s="8">
        <v>110888</v>
      </c>
      <c r="B987" s="5" t="s">
        <v>411</v>
      </c>
      <c r="C987" s="6" t="s">
        <v>1397</v>
      </c>
      <c r="D987" s="6" t="str">
        <f>_xlfn.IFNA(IF(VLOOKUP(tabListaItens[[#This Row],[CÓDIGO]],tabExcluirDoEstoque[#Data],1,FALSE),"sim",""),"")</f>
        <v/>
      </c>
      <c r="E987" s="6" t="str">
        <f>"*"</f>
        <v>*</v>
      </c>
    </row>
    <row r="988" spans="1:5" x14ac:dyDescent="0.25">
      <c r="A988" s="8">
        <v>110889</v>
      </c>
      <c r="B988" s="5" t="s">
        <v>195</v>
      </c>
      <c r="C988" s="6" t="s">
        <v>1413</v>
      </c>
      <c r="D988" s="6" t="str">
        <f>_xlfn.IFNA(IF(VLOOKUP(tabListaItens[[#This Row],[CÓDIGO]],tabExcluirDoEstoque[#Data],1,FALSE),"sim",""),"")</f>
        <v/>
      </c>
      <c r="E988" s="6" t="str">
        <f>"*"</f>
        <v>*</v>
      </c>
    </row>
    <row r="989" spans="1:5" x14ac:dyDescent="0.25">
      <c r="A989" s="8">
        <v>110890</v>
      </c>
      <c r="B989" s="5" t="s">
        <v>191</v>
      </c>
      <c r="C989" s="6" t="s">
        <v>1413</v>
      </c>
      <c r="D989" s="6" t="str">
        <f>_xlfn.IFNA(IF(VLOOKUP(tabListaItens[[#This Row],[CÓDIGO]],tabExcluirDoEstoque[#Data],1,FALSE),"sim",""),"")</f>
        <v>sim</v>
      </c>
      <c r="E989" s="6" t="str">
        <f>"*"</f>
        <v>*</v>
      </c>
    </row>
    <row r="990" spans="1:5" x14ac:dyDescent="0.25">
      <c r="A990" s="8">
        <v>110891</v>
      </c>
      <c r="B990" s="5" t="s">
        <v>202</v>
      </c>
      <c r="C990" s="6" t="s">
        <v>1413</v>
      </c>
      <c r="D990" s="6" t="str">
        <f>_xlfn.IFNA(IF(VLOOKUP(tabListaItens[[#This Row],[CÓDIGO]],tabExcluirDoEstoque[#Data],1,FALSE),"sim",""),"")</f>
        <v>sim</v>
      </c>
      <c r="E990" s="6" t="str">
        <f>"*"</f>
        <v>*</v>
      </c>
    </row>
    <row r="991" spans="1:5" x14ac:dyDescent="0.25">
      <c r="A991" s="8">
        <v>110892</v>
      </c>
      <c r="B991" s="5" t="s">
        <v>887</v>
      </c>
      <c r="C991" s="6" t="s">
        <v>1397</v>
      </c>
      <c r="D991" s="6" t="str">
        <f>_xlfn.IFNA(IF(VLOOKUP(tabListaItens[[#This Row],[CÓDIGO]],tabExcluirDoEstoque[#Data],1,FALSE),"sim",""),"")</f>
        <v/>
      </c>
      <c r="E991" s="6" t="str">
        <f>"*"</f>
        <v>*</v>
      </c>
    </row>
    <row r="992" spans="1:5" x14ac:dyDescent="0.25">
      <c r="A992" s="8">
        <v>110893</v>
      </c>
      <c r="B992" s="5" t="s">
        <v>888</v>
      </c>
      <c r="C992" s="6" t="s">
        <v>1397</v>
      </c>
      <c r="D992" s="6" t="str">
        <f>_xlfn.IFNA(IF(VLOOKUP(tabListaItens[[#This Row],[CÓDIGO]],tabExcluirDoEstoque[#Data],1,FALSE),"sim",""),"")</f>
        <v/>
      </c>
      <c r="E992" s="6" t="str">
        <f>"*"</f>
        <v>*</v>
      </c>
    </row>
    <row r="993" spans="1:5" x14ac:dyDescent="0.25">
      <c r="A993" s="8">
        <v>110895</v>
      </c>
      <c r="B993" s="5" t="s">
        <v>519</v>
      </c>
      <c r="C993" s="6" t="s">
        <v>1397</v>
      </c>
      <c r="D993" s="6" t="str">
        <f>_xlfn.IFNA(IF(VLOOKUP(tabListaItens[[#This Row],[CÓDIGO]],tabExcluirDoEstoque[#Data],1,FALSE),"sim",""),"")</f>
        <v/>
      </c>
      <c r="E993" s="6" t="str">
        <f>"*"</f>
        <v>*</v>
      </c>
    </row>
    <row r="994" spans="1:5" x14ac:dyDescent="0.25">
      <c r="A994" s="8">
        <v>110896</v>
      </c>
      <c r="B994" s="5" t="s">
        <v>521</v>
      </c>
      <c r="C994" s="6" t="s">
        <v>1397</v>
      </c>
      <c r="D994" s="6" t="str">
        <f>_xlfn.IFNA(IF(VLOOKUP(tabListaItens[[#This Row],[CÓDIGO]],tabExcluirDoEstoque[#Data],1,FALSE),"sim",""),"")</f>
        <v/>
      </c>
      <c r="E994" s="6" t="str">
        <f>"*"</f>
        <v>*</v>
      </c>
    </row>
    <row r="995" spans="1:5" x14ac:dyDescent="0.25">
      <c r="A995" s="8">
        <v>111336</v>
      </c>
      <c r="B995" s="5" t="s">
        <v>967</v>
      </c>
      <c r="C995" s="6" t="s">
        <v>1409</v>
      </c>
      <c r="D995" s="6" t="str">
        <f>_xlfn.IFNA(IF(VLOOKUP(tabListaItens[[#This Row],[CÓDIGO]],tabExcluirDoEstoque[#Data],1,FALSE),"sim",""),"")</f>
        <v/>
      </c>
      <c r="E995" s="6" t="str">
        <f>"*"</f>
        <v>*</v>
      </c>
    </row>
    <row r="996" spans="1:5" ht="30" x14ac:dyDescent="0.25">
      <c r="A996" s="8">
        <v>111524</v>
      </c>
      <c r="B996" s="5" t="s">
        <v>940</v>
      </c>
      <c r="C996" s="6" t="s">
        <v>1397</v>
      </c>
      <c r="D996" s="6" t="str">
        <f>_xlfn.IFNA(IF(VLOOKUP(tabListaItens[[#This Row],[CÓDIGO]],tabExcluirDoEstoque[#Data],1,FALSE),"sim",""),"")</f>
        <v/>
      </c>
      <c r="E996" s="6" t="str">
        <f>"*"</f>
        <v>*</v>
      </c>
    </row>
    <row r="997" spans="1:5" x14ac:dyDescent="0.25">
      <c r="A997" s="8">
        <v>111756</v>
      </c>
      <c r="B997" s="5" t="s">
        <v>1335</v>
      </c>
      <c r="C997" s="6" t="s">
        <v>1404</v>
      </c>
      <c r="D997" s="6" t="str">
        <f>_xlfn.IFNA(IF(VLOOKUP(tabListaItens[[#This Row],[CÓDIGO]],tabExcluirDoEstoque[#Data],1,FALSE),"sim",""),"")</f>
        <v>sim</v>
      </c>
      <c r="E997" s="6" t="str">
        <f>"*"</f>
        <v>*</v>
      </c>
    </row>
    <row r="998" spans="1:5" x14ac:dyDescent="0.25">
      <c r="A998" s="8">
        <v>111806</v>
      </c>
      <c r="B998" s="5" t="s">
        <v>860</v>
      </c>
      <c r="C998" s="6" t="s">
        <v>1397</v>
      </c>
      <c r="D998" s="6" t="str">
        <f>_xlfn.IFNA(IF(VLOOKUP(tabListaItens[[#This Row],[CÓDIGO]],tabExcluirDoEstoque[#Data],1,FALSE),"sim",""),"")</f>
        <v/>
      </c>
      <c r="E998" s="6" t="str">
        <f>"*"</f>
        <v>*</v>
      </c>
    </row>
    <row r="999" spans="1:5" x14ac:dyDescent="0.25">
      <c r="A999" s="8">
        <v>111841</v>
      </c>
      <c r="B999" s="5" t="s">
        <v>780</v>
      </c>
      <c r="C999" s="6" t="s">
        <v>1404</v>
      </c>
      <c r="D999" s="6" t="str">
        <f>_xlfn.IFNA(IF(VLOOKUP(tabListaItens[[#This Row],[CÓDIGO]],tabExcluirDoEstoque[#Data],1,FALSE),"sim",""),"")</f>
        <v/>
      </c>
      <c r="E999" s="6" t="str">
        <f>"*"</f>
        <v>*</v>
      </c>
    </row>
    <row r="1000" spans="1:5" x14ac:dyDescent="0.25">
      <c r="A1000" s="8">
        <v>112064</v>
      </c>
      <c r="B1000" s="5" t="s">
        <v>290</v>
      </c>
      <c r="C1000" s="6" t="s">
        <v>1404</v>
      </c>
      <c r="D1000" s="6" t="str">
        <f>_xlfn.IFNA(IF(VLOOKUP(tabListaItens[[#This Row],[CÓDIGO]],tabExcluirDoEstoque[#Data],1,FALSE),"sim",""),"")</f>
        <v/>
      </c>
      <c r="E1000" s="6" t="str">
        <f>"*"</f>
        <v>*</v>
      </c>
    </row>
    <row r="1001" spans="1:5" ht="30" x14ac:dyDescent="0.25">
      <c r="A1001" s="8">
        <v>112076</v>
      </c>
      <c r="B1001" s="5" t="s">
        <v>1518</v>
      </c>
      <c r="C1001" s="6" t="s">
        <v>1402</v>
      </c>
      <c r="D1001" s="76" t="str">
        <f>_xlfn.IFNA(IF(VLOOKUP(tabListaItens[[#This Row],[CÓDIGO]],tabExcluirDoEstoque[#Data],1,FALSE),"sim",""),"")</f>
        <v/>
      </c>
      <c r="E1001" s="76" t="str">
        <f>"*"</f>
        <v>*</v>
      </c>
    </row>
    <row r="1002" spans="1:5" x14ac:dyDescent="0.25">
      <c r="A1002" s="8">
        <v>112109</v>
      </c>
      <c r="B1002" s="5" t="s">
        <v>121</v>
      </c>
      <c r="C1002" s="6" t="s">
        <v>1402</v>
      </c>
      <c r="D1002" s="6" t="str">
        <f>_xlfn.IFNA(IF(VLOOKUP(tabListaItens[[#This Row],[CÓDIGO]],tabExcluirDoEstoque[#Data],1,FALSE),"sim",""),"")</f>
        <v/>
      </c>
      <c r="E1002" s="6" t="str">
        <f>"*"</f>
        <v>*</v>
      </c>
    </row>
    <row r="1003" spans="1:5" x14ac:dyDescent="0.25">
      <c r="A1003" s="8">
        <v>112154</v>
      </c>
      <c r="B1003" s="5" t="s">
        <v>928</v>
      </c>
      <c r="C1003" s="6" t="s">
        <v>1404</v>
      </c>
      <c r="D1003" s="6" t="str">
        <f>_xlfn.IFNA(IF(VLOOKUP(tabListaItens[[#This Row],[CÓDIGO]],tabExcluirDoEstoque[#Data],1,FALSE),"sim",""),"")</f>
        <v/>
      </c>
      <c r="E1003" s="6" t="str">
        <f>"*"</f>
        <v>*</v>
      </c>
    </row>
    <row r="1004" spans="1:5" x14ac:dyDescent="0.25">
      <c r="A1004" s="8">
        <v>112155</v>
      </c>
      <c r="B1004" s="5" t="s">
        <v>930</v>
      </c>
      <c r="C1004" s="6" t="s">
        <v>1404</v>
      </c>
      <c r="D1004" s="6" t="str">
        <f>_xlfn.IFNA(IF(VLOOKUP(tabListaItens[[#This Row],[CÓDIGO]],tabExcluirDoEstoque[#Data],1,FALSE),"sim",""),"")</f>
        <v/>
      </c>
      <c r="E1004" s="6" t="str">
        <f>"*"</f>
        <v>*</v>
      </c>
    </row>
    <row r="1005" spans="1:5" x14ac:dyDescent="0.25">
      <c r="A1005" s="8">
        <v>112156</v>
      </c>
      <c r="B1005" s="5" t="s">
        <v>931</v>
      </c>
      <c r="C1005" s="6" t="s">
        <v>1404</v>
      </c>
      <c r="D1005" s="6" t="str">
        <f>_xlfn.IFNA(IF(VLOOKUP(tabListaItens[[#This Row],[CÓDIGO]],tabExcluirDoEstoque[#Data],1,FALSE),"sim",""),"")</f>
        <v/>
      </c>
      <c r="E1005" s="6" t="str">
        <f>"*"</f>
        <v>*</v>
      </c>
    </row>
    <row r="1006" spans="1:5" x14ac:dyDescent="0.25">
      <c r="A1006" s="8">
        <v>112157</v>
      </c>
      <c r="B1006" s="5" t="s">
        <v>929</v>
      </c>
      <c r="C1006" s="6" t="s">
        <v>1404</v>
      </c>
      <c r="D1006" s="6" t="str">
        <f>_xlfn.IFNA(IF(VLOOKUP(tabListaItens[[#This Row],[CÓDIGO]],tabExcluirDoEstoque[#Data],1,FALSE),"sim",""),"")</f>
        <v/>
      </c>
      <c r="E1006" s="6" t="str">
        <f>"*"</f>
        <v>*</v>
      </c>
    </row>
    <row r="1007" spans="1:5" x14ac:dyDescent="0.25">
      <c r="A1007" s="8">
        <v>112158</v>
      </c>
      <c r="B1007" s="5" t="s">
        <v>517</v>
      </c>
      <c r="C1007" s="6" t="s">
        <v>1404</v>
      </c>
      <c r="D1007" s="6" t="str">
        <f>_xlfn.IFNA(IF(VLOOKUP(tabListaItens[[#This Row],[CÓDIGO]],tabExcluirDoEstoque[#Data],1,FALSE),"sim",""),"")</f>
        <v/>
      </c>
      <c r="E1007" s="6" t="str">
        <f>"*"</f>
        <v>*</v>
      </c>
    </row>
    <row r="1008" spans="1:5" x14ac:dyDescent="0.25">
      <c r="A1008" s="8">
        <v>112159</v>
      </c>
      <c r="B1008" s="5" t="s">
        <v>518</v>
      </c>
      <c r="C1008" s="6" t="s">
        <v>1404</v>
      </c>
      <c r="D1008" s="6" t="str">
        <f>_xlfn.IFNA(IF(VLOOKUP(tabListaItens[[#This Row],[CÓDIGO]],tabExcluirDoEstoque[#Data],1,FALSE),"sim",""),"")</f>
        <v/>
      </c>
      <c r="E1008" s="6" t="str">
        <f>"*"</f>
        <v>*</v>
      </c>
    </row>
    <row r="1009" spans="1:5" x14ac:dyDescent="0.25">
      <c r="A1009" s="8">
        <v>112160</v>
      </c>
      <c r="B1009" s="5" t="s">
        <v>1336</v>
      </c>
      <c r="C1009" s="6" t="s">
        <v>1404</v>
      </c>
      <c r="D1009" s="6" t="str">
        <f>_xlfn.IFNA(IF(VLOOKUP(tabListaItens[[#This Row],[CÓDIGO]],tabExcluirDoEstoque[#Data],1,FALSE),"sim",""),"")</f>
        <v>sim</v>
      </c>
      <c r="E1009" s="6" t="str">
        <f>"*"</f>
        <v>*</v>
      </c>
    </row>
    <row r="1010" spans="1:5" x14ac:dyDescent="0.25">
      <c r="A1010" s="8">
        <v>112162</v>
      </c>
      <c r="B1010" s="5" t="s">
        <v>755</v>
      </c>
      <c r="C1010" s="6" t="s">
        <v>1404</v>
      </c>
      <c r="D1010" s="6" t="str">
        <f>_xlfn.IFNA(IF(VLOOKUP(tabListaItens[[#This Row],[CÓDIGO]],tabExcluirDoEstoque[#Data],1,FALSE),"sim",""),"")</f>
        <v/>
      </c>
      <c r="E1010" s="6" t="str">
        <f>"*"</f>
        <v>*</v>
      </c>
    </row>
    <row r="1011" spans="1:5" x14ac:dyDescent="0.25">
      <c r="A1011" s="8">
        <v>112163</v>
      </c>
      <c r="B1011" s="5" t="s">
        <v>754</v>
      </c>
      <c r="C1011" s="6" t="s">
        <v>1404</v>
      </c>
      <c r="D1011" s="6" t="str">
        <f>_xlfn.IFNA(IF(VLOOKUP(tabListaItens[[#This Row],[CÓDIGO]],tabExcluirDoEstoque[#Data],1,FALSE),"sim",""),"")</f>
        <v/>
      </c>
      <c r="E1011" s="6" t="str">
        <f>"*"</f>
        <v>*</v>
      </c>
    </row>
    <row r="1012" spans="1:5" x14ac:dyDescent="0.25">
      <c r="A1012" s="8">
        <v>112164</v>
      </c>
      <c r="B1012" s="5" t="s">
        <v>1096</v>
      </c>
      <c r="C1012" s="6" t="s">
        <v>1404</v>
      </c>
      <c r="D1012" s="6" t="str">
        <f>_xlfn.IFNA(IF(VLOOKUP(tabListaItens[[#This Row],[CÓDIGO]],tabExcluirDoEstoque[#Data],1,FALSE),"sim",""),"")</f>
        <v>sim</v>
      </c>
      <c r="E1012" s="6" t="str">
        <f>"*"</f>
        <v>*</v>
      </c>
    </row>
    <row r="1013" spans="1:5" x14ac:dyDescent="0.25">
      <c r="A1013" s="8">
        <v>112330</v>
      </c>
      <c r="B1013" s="5" t="s">
        <v>1337</v>
      </c>
      <c r="C1013" s="6" t="s">
        <v>1405</v>
      </c>
      <c r="D1013" s="6" t="str">
        <f>_xlfn.IFNA(IF(VLOOKUP(tabListaItens[[#This Row],[CÓDIGO]],tabExcluirDoEstoque[#Data],1,FALSE),"sim",""),"")</f>
        <v>sim</v>
      </c>
      <c r="E1013" s="6" t="str">
        <f>"*"</f>
        <v>*</v>
      </c>
    </row>
    <row r="1014" spans="1:5" x14ac:dyDescent="0.25">
      <c r="A1014" s="8">
        <v>112494</v>
      </c>
      <c r="B1014" s="5" t="s">
        <v>885</v>
      </c>
      <c r="C1014" s="6" t="s">
        <v>1404</v>
      </c>
      <c r="D1014" s="6" t="str">
        <f>_xlfn.IFNA(IF(VLOOKUP(tabListaItens[[#This Row],[CÓDIGO]],tabExcluirDoEstoque[#Data],1,FALSE),"sim",""),"")</f>
        <v/>
      </c>
      <c r="E1014" s="6" t="str">
        <f>"*"</f>
        <v>*</v>
      </c>
    </row>
    <row r="1015" spans="1:5" x14ac:dyDescent="0.25">
      <c r="A1015" s="8">
        <v>112965</v>
      </c>
      <c r="B1015" s="5" t="s">
        <v>201</v>
      </c>
      <c r="C1015" s="6" t="s">
        <v>1413</v>
      </c>
      <c r="D1015" s="6" t="str">
        <f>_xlfn.IFNA(IF(VLOOKUP(tabListaItens[[#This Row],[CÓDIGO]],tabExcluirDoEstoque[#Data],1,FALSE),"sim",""),"")</f>
        <v>sim</v>
      </c>
      <c r="E1015" s="6" t="str">
        <f>"*"</f>
        <v>*</v>
      </c>
    </row>
    <row r="1016" spans="1:5" x14ac:dyDescent="0.25">
      <c r="A1016" s="8">
        <v>113097</v>
      </c>
      <c r="B1016" s="5" t="s">
        <v>1338</v>
      </c>
      <c r="C1016" s="6" t="s">
        <v>1397</v>
      </c>
      <c r="D1016" s="6" t="str">
        <f>_xlfn.IFNA(IF(VLOOKUP(tabListaItens[[#This Row],[CÓDIGO]],tabExcluirDoEstoque[#Data],1,FALSE),"sim",""),"")</f>
        <v>sim</v>
      </c>
      <c r="E1016" s="6" t="str">
        <f>"*"</f>
        <v>*</v>
      </c>
    </row>
    <row r="1017" spans="1:5" x14ac:dyDescent="0.25">
      <c r="A1017" s="8">
        <v>113180</v>
      </c>
      <c r="B1017" s="5" t="s">
        <v>1339</v>
      </c>
      <c r="C1017" s="6"/>
      <c r="D1017" s="6" t="str">
        <f>_xlfn.IFNA(IF(VLOOKUP(tabListaItens[[#This Row],[CÓDIGO]],tabExcluirDoEstoque[#Data],1,FALSE),"sim",""),"")</f>
        <v>sim</v>
      </c>
      <c r="E1017" s="6" t="str">
        <f>"*"</f>
        <v>*</v>
      </c>
    </row>
    <row r="1018" spans="1:5" x14ac:dyDescent="0.25">
      <c r="A1018" s="8">
        <v>113207</v>
      </c>
      <c r="B1018" s="5" t="s">
        <v>1340</v>
      </c>
      <c r="C1018" s="6" t="s">
        <v>1420</v>
      </c>
      <c r="D1018" s="6" t="str">
        <f>_xlfn.IFNA(IF(VLOOKUP(tabListaItens[[#This Row],[CÓDIGO]],tabExcluirDoEstoque[#Data],1,FALSE),"sim",""),"")</f>
        <v>sim</v>
      </c>
      <c r="E1018" s="6" t="str">
        <f>"*"</f>
        <v>*</v>
      </c>
    </row>
    <row r="1019" spans="1:5" x14ac:dyDescent="0.25">
      <c r="A1019" s="8">
        <v>113238</v>
      </c>
      <c r="B1019" s="5" t="s">
        <v>535</v>
      </c>
      <c r="C1019" s="6" t="s">
        <v>1422</v>
      </c>
      <c r="D1019" s="6" t="str">
        <f>_xlfn.IFNA(IF(VLOOKUP(tabListaItens[[#This Row],[CÓDIGO]],tabExcluirDoEstoque[#Data],1,FALSE),"sim",""),"")</f>
        <v/>
      </c>
      <c r="E1019" s="6" t="str">
        <f>"*"</f>
        <v>*</v>
      </c>
    </row>
    <row r="1020" spans="1:5" x14ac:dyDescent="0.25">
      <c r="A1020" s="8">
        <v>113242</v>
      </c>
      <c r="B1020" s="5" t="s">
        <v>886</v>
      </c>
      <c r="C1020" s="6" t="s">
        <v>1404</v>
      </c>
      <c r="D1020" s="6" t="str">
        <f>_xlfn.IFNA(IF(VLOOKUP(tabListaItens[[#This Row],[CÓDIGO]],tabExcluirDoEstoque[#Data],1,FALSE),"sim",""),"")</f>
        <v/>
      </c>
      <c r="E1020" s="6" t="str">
        <f>"*"</f>
        <v>*</v>
      </c>
    </row>
    <row r="1021" spans="1:5" x14ac:dyDescent="0.25">
      <c r="A1021" s="8">
        <v>113581</v>
      </c>
      <c r="B1021" s="5" t="s">
        <v>801</v>
      </c>
      <c r="C1021" s="6" t="s">
        <v>1397</v>
      </c>
      <c r="D1021" s="6" t="str">
        <f>_xlfn.IFNA(IF(VLOOKUP(tabListaItens[[#This Row],[CÓDIGO]],tabExcluirDoEstoque[#Data],1,FALSE),"sim",""),"")</f>
        <v/>
      </c>
      <c r="E1021" s="6" t="str">
        <f>"*"</f>
        <v>*</v>
      </c>
    </row>
    <row r="1022" spans="1:5" x14ac:dyDescent="0.25">
      <c r="A1022" s="8">
        <v>113611</v>
      </c>
      <c r="B1022" s="5" t="s">
        <v>135</v>
      </c>
      <c r="C1022" s="6" t="s">
        <v>1397</v>
      </c>
      <c r="D1022" s="6" t="str">
        <f>_xlfn.IFNA(IF(VLOOKUP(tabListaItens[[#This Row],[CÓDIGO]],tabExcluirDoEstoque[#Data],1,FALSE),"sim",""),"")</f>
        <v/>
      </c>
      <c r="E1022" s="6" t="str">
        <f>"*"</f>
        <v>*</v>
      </c>
    </row>
    <row r="1023" spans="1:5" x14ac:dyDescent="0.25">
      <c r="A1023" s="8">
        <v>113634</v>
      </c>
      <c r="B1023" s="5" t="s">
        <v>228</v>
      </c>
      <c r="C1023" s="6" t="s">
        <v>1404</v>
      </c>
      <c r="D1023" s="6" t="str">
        <f>_xlfn.IFNA(IF(VLOOKUP(tabListaItens[[#This Row],[CÓDIGO]],tabExcluirDoEstoque[#Data],1,FALSE),"sim",""),"")</f>
        <v/>
      </c>
      <c r="E1023" s="6" t="str">
        <f>"*"</f>
        <v>*</v>
      </c>
    </row>
    <row r="1024" spans="1:5" x14ac:dyDescent="0.25">
      <c r="A1024" s="8">
        <v>113846</v>
      </c>
      <c r="B1024" s="5" t="s">
        <v>81</v>
      </c>
      <c r="C1024" s="6" t="s">
        <v>1414</v>
      </c>
      <c r="D1024" s="6" t="str">
        <f>_xlfn.IFNA(IF(VLOOKUP(tabListaItens[[#This Row],[CÓDIGO]],tabExcluirDoEstoque[#Data],1,FALSE),"sim",""),"")</f>
        <v/>
      </c>
      <c r="E1024" s="6" t="str">
        <f>"*"</f>
        <v>*</v>
      </c>
    </row>
    <row r="1025" spans="1:5" x14ac:dyDescent="0.25">
      <c r="A1025" s="8">
        <v>114255</v>
      </c>
      <c r="B1025" s="5" t="s">
        <v>1341</v>
      </c>
      <c r="C1025" s="6" t="s">
        <v>1420</v>
      </c>
      <c r="D1025" s="6" t="str">
        <f>_xlfn.IFNA(IF(VLOOKUP(tabListaItens[[#This Row],[CÓDIGO]],tabExcluirDoEstoque[#Data],1,FALSE),"sim",""),"")</f>
        <v>sim</v>
      </c>
      <c r="E1025" s="6" t="str">
        <f>"*"</f>
        <v>*</v>
      </c>
    </row>
    <row r="1026" spans="1:5" ht="30" x14ac:dyDescent="0.25">
      <c r="A1026" s="8">
        <v>114297</v>
      </c>
      <c r="B1026" s="5" t="s">
        <v>881</v>
      </c>
      <c r="C1026" s="6" t="s">
        <v>1397</v>
      </c>
      <c r="D1026" s="6" t="str">
        <f>_xlfn.IFNA(IF(VLOOKUP(tabListaItens[[#This Row],[CÓDIGO]],tabExcluirDoEstoque[#Data],1,FALSE),"sim",""),"")</f>
        <v/>
      </c>
      <c r="E1026" s="6" t="str">
        <f>"*"</f>
        <v>*</v>
      </c>
    </row>
    <row r="1027" spans="1:5" ht="30" x14ac:dyDescent="0.25">
      <c r="A1027" s="8">
        <v>114299</v>
      </c>
      <c r="B1027" s="5" t="s">
        <v>376</v>
      </c>
      <c r="C1027" s="6" t="s">
        <v>1397</v>
      </c>
      <c r="D1027" s="6" t="str">
        <f>_xlfn.IFNA(IF(VLOOKUP(tabListaItens[[#This Row],[CÓDIGO]],tabExcluirDoEstoque[#Data],1,FALSE),"sim",""),"")</f>
        <v/>
      </c>
      <c r="E1027" s="6" t="str">
        <f>"*"</f>
        <v>*</v>
      </c>
    </row>
    <row r="1028" spans="1:5" x14ac:dyDescent="0.25">
      <c r="A1028" s="8">
        <v>114430</v>
      </c>
      <c r="B1028" s="5" t="s">
        <v>776</v>
      </c>
      <c r="C1028" s="6" t="s">
        <v>1404</v>
      </c>
      <c r="D1028" s="6" t="str">
        <f>_xlfn.IFNA(IF(VLOOKUP(tabListaItens[[#This Row],[CÓDIGO]],tabExcluirDoEstoque[#Data],1,FALSE),"sim",""),"")</f>
        <v/>
      </c>
      <c r="E1028" s="6" t="str">
        <f>"*"</f>
        <v>*</v>
      </c>
    </row>
    <row r="1029" spans="1:5" x14ac:dyDescent="0.25">
      <c r="A1029" s="8">
        <v>114771</v>
      </c>
      <c r="B1029" s="5" t="s">
        <v>415</v>
      </c>
      <c r="C1029" s="6" t="s">
        <v>1397</v>
      </c>
      <c r="D1029" s="6" t="str">
        <f>_xlfn.IFNA(IF(VLOOKUP(tabListaItens[[#This Row],[CÓDIGO]],tabExcluirDoEstoque[#Data],1,FALSE),"sim",""),"")</f>
        <v/>
      </c>
      <c r="E1029" s="6" t="str">
        <f>"*"</f>
        <v>*</v>
      </c>
    </row>
    <row r="1030" spans="1:5" x14ac:dyDescent="0.25">
      <c r="A1030" s="8">
        <v>114772</v>
      </c>
      <c r="B1030" s="5" t="s">
        <v>416</v>
      </c>
      <c r="C1030" s="6" t="s">
        <v>1397</v>
      </c>
      <c r="D1030" s="6" t="str">
        <f>_xlfn.IFNA(IF(VLOOKUP(tabListaItens[[#This Row],[CÓDIGO]],tabExcluirDoEstoque[#Data],1,FALSE),"sim",""),"")</f>
        <v/>
      </c>
      <c r="E1030" s="6" t="str">
        <f>"*"</f>
        <v>*</v>
      </c>
    </row>
    <row r="1031" spans="1:5" x14ac:dyDescent="0.25">
      <c r="A1031" s="8">
        <v>114773</v>
      </c>
      <c r="B1031" s="5" t="s">
        <v>781</v>
      </c>
      <c r="C1031" s="6" t="s">
        <v>1397</v>
      </c>
      <c r="D1031" s="6" t="str">
        <f>_xlfn.IFNA(IF(VLOOKUP(tabListaItens[[#This Row],[CÓDIGO]],tabExcluirDoEstoque[#Data],1,FALSE),"sim",""),"")</f>
        <v/>
      </c>
      <c r="E1031" s="6" t="str">
        <f>"*"</f>
        <v>*</v>
      </c>
    </row>
    <row r="1032" spans="1:5" x14ac:dyDescent="0.25">
      <c r="A1032" s="8">
        <v>114822</v>
      </c>
      <c r="B1032" s="5" t="s">
        <v>965</v>
      </c>
      <c r="C1032" s="6" t="s">
        <v>1404</v>
      </c>
      <c r="D1032" s="6" t="str">
        <f>_xlfn.IFNA(IF(VLOOKUP(tabListaItens[[#This Row],[CÓDIGO]],tabExcluirDoEstoque[#Data],1,FALSE),"sim",""),"")</f>
        <v/>
      </c>
      <c r="E1032" s="6" t="str">
        <f>"*"</f>
        <v>*</v>
      </c>
    </row>
    <row r="1033" spans="1:5" x14ac:dyDescent="0.25">
      <c r="A1033" s="8">
        <v>114852</v>
      </c>
      <c r="B1033" s="5" t="s">
        <v>986</v>
      </c>
      <c r="C1033" s="6" t="s">
        <v>1397</v>
      </c>
      <c r="D1033" s="6" t="str">
        <f>_xlfn.IFNA(IF(VLOOKUP(tabListaItens[[#This Row],[CÓDIGO]],tabExcluirDoEstoque[#Data],1,FALSE),"sim",""),"")</f>
        <v/>
      </c>
      <c r="E1033" s="6" t="str">
        <f>"*"</f>
        <v>*</v>
      </c>
    </row>
    <row r="1034" spans="1:5" x14ac:dyDescent="0.25">
      <c r="A1034" s="8">
        <v>114853</v>
      </c>
      <c r="B1034" s="5" t="s">
        <v>82</v>
      </c>
      <c r="C1034" s="6" t="s">
        <v>1397</v>
      </c>
      <c r="D1034" s="6" t="str">
        <f>_xlfn.IFNA(IF(VLOOKUP(tabListaItens[[#This Row],[CÓDIGO]],tabExcluirDoEstoque[#Data],1,FALSE),"sim",""),"")</f>
        <v/>
      </c>
      <c r="E1034" s="6" t="str">
        <f>"*"</f>
        <v>*</v>
      </c>
    </row>
    <row r="1035" spans="1:5" x14ac:dyDescent="0.25">
      <c r="A1035" s="8">
        <v>114923</v>
      </c>
      <c r="B1035" s="5" t="s">
        <v>692</v>
      </c>
      <c r="C1035" s="6" t="s">
        <v>1397</v>
      </c>
      <c r="D1035" s="6" t="str">
        <f>_xlfn.IFNA(IF(VLOOKUP(tabListaItens[[#This Row],[CÓDIGO]],tabExcluirDoEstoque[#Data],1,FALSE),"sim",""),"")</f>
        <v/>
      </c>
      <c r="E1035" s="6" t="str">
        <f>"*"</f>
        <v>*</v>
      </c>
    </row>
    <row r="1036" spans="1:5" x14ac:dyDescent="0.25">
      <c r="A1036" s="8">
        <v>114928</v>
      </c>
      <c r="B1036" s="5" t="s">
        <v>189</v>
      </c>
      <c r="C1036" s="6" t="s">
        <v>1413</v>
      </c>
      <c r="D1036" s="6" t="str">
        <f>_xlfn.IFNA(IF(VLOOKUP(tabListaItens[[#This Row],[CÓDIGO]],tabExcluirDoEstoque[#Data],1,FALSE),"sim",""),"")</f>
        <v/>
      </c>
      <c r="E1036" s="6" t="str">
        <f>"*"</f>
        <v>*</v>
      </c>
    </row>
    <row r="1037" spans="1:5" x14ac:dyDescent="0.25">
      <c r="A1037" s="8">
        <v>114976</v>
      </c>
      <c r="B1037" s="5" t="s">
        <v>197</v>
      </c>
      <c r="C1037" s="6" t="s">
        <v>1413</v>
      </c>
      <c r="D1037" s="6" t="str">
        <f>_xlfn.IFNA(IF(VLOOKUP(tabListaItens[[#This Row],[CÓDIGO]],tabExcluirDoEstoque[#Data],1,FALSE),"sim",""),"")</f>
        <v/>
      </c>
      <c r="E1037" s="6" t="str">
        <f>"*"</f>
        <v>*</v>
      </c>
    </row>
    <row r="1038" spans="1:5" x14ac:dyDescent="0.25">
      <c r="A1038" s="8">
        <v>115060</v>
      </c>
      <c r="B1038" s="5" t="s">
        <v>308</v>
      </c>
      <c r="C1038" s="6" t="s">
        <v>1404</v>
      </c>
      <c r="D1038" s="6" t="str">
        <f>_xlfn.IFNA(IF(VLOOKUP(tabListaItens[[#This Row],[CÓDIGO]],tabExcluirDoEstoque[#Data],1,FALSE),"sim",""),"")</f>
        <v/>
      </c>
      <c r="E1038" s="6" t="str">
        <f>"*"</f>
        <v>*</v>
      </c>
    </row>
    <row r="1039" spans="1:5" x14ac:dyDescent="0.25">
      <c r="A1039" s="8">
        <v>115135</v>
      </c>
      <c r="B1039" s="5" t="s">
        <v>1031</v>
      </c>
      <c r="C1039" s="6" t="s">
        <v>1397</v>
      </c>
      <c r="D1039" s="6" t="str">
        <f>_xlfn.IFNA(IF(VLOOKUP(tabListaItens[[#This Row],[CÓDIGO]],tabExcluirDoEstoque[#Data],1,FALSE),"sim",""),"")</f>
        <v>sim</v>
      </c>
      <c r="E1039" s="6" t="str">
        <f>"*"</f>
        <v>*</v>
      </c>
    </row>
    <row r="1040" spans="1:5" x14ac:dyDescent="0.25">
      <c r="A1040" s="8">
        <v>115146</v>
      </c>
      <c r="B1040" s="5" t="s">
        <v>1342</v>
      </c>
      <c r="C1040" s="6" t="s">
        <v>1397</v>
      </c>
      <c r="D1040" s="6" t="str">
        <f>_xlfn.IFNA(IF(VLOOKUP(tabListaItens[[#This Row],[CÓDIGO]],tabExcluirDoEstoque[#Data],1,FALSE),"sim",""),"")</f>
        <v>sim</v>
      </c>
      <c r="E1040" s="6" t="str">
        <f>"*"</f>
        <v>*</v>
      </c>
    </row>
    <row r="1041" spans="1:5" x14ac:dyDescent="0.25">
      <c r="A1041" s="8">
        <v>115149</v>
      </c>
      <c r="B1041" s="5" t="s">
        <v>1021</v>
      </c>
      <c r="C1041" s="6" t="s">
        <v>1397</v>
      </c>
      <c r="D1041" s="6" t="str">
        <f>_xlfn.IFNA(IF(VLOOKUP(tabListaItens[[#This Row],[CÓDIGO]],tabExcluirDoEstoque[#Data],1,FALSE),"sim",""),"")</f>
        <v>sim</v>
      </c>
      <c r="E1041" s="6" t="str">
        <f>"*"</f>
        <v>*</v>
      </c>
    </row>
    <row r="1042" spans="1:5" x14ac:dyDescent="0.25">
      <c r="A1042" s="8">
        <v>115151</v>
      </c>
      <c r="B1042" s="5" t="s">
        <v>1343</v>
      </c>
      <c r="C1042" s="6" t="s">
        <v>1397</v>
      </c>
      <c r="D1042" s="6" t="str">
        <f>_xlfn.IFNA(IF(VLOOKUP(tabListaItens[[#This Row],[CÓDIGO]],tabExcluirDoEstoque[#Data],1,FALSE),"sim",""),"")</f>
        <v>sim</v>
      </c>
      <c r="E1042" s="6" t="str">
        <f>"*"</f>
        <v>*</v>
      </c>
    </row>
    <row r="1043" spans="1:5" x14ac:dyDescent="0.25">
      <c r="A1043" s="8">
        <v>115152</v>
      </c>
      <c r="B1043" s="5" t="s">
        <v>1344</v>
      </c>
      <c r="C1043" s="6" t="s">
        <v>1397</v>
      </c>
      <c r="D1043" s="6" t="str">
        <f>_xlfn.IFNA(IF(VLOOKUP(tabListaItens[[#This Row],[CÓDIGO]],tabExcluirDoEstoque[#Data],1,FALSE),"sim",""),"")</f>
        <v>sim</v>
      </c>
      <c r="E1043" s="6" t="str">
        <f>"*"</f>
        <v>*</v>
      </c>
    </row>
    <row r="1044" spans="1:5" x14ac:dyDescent="0.25">
      <c r="A1044" s="8">
        <v>115154</v>
      </c>
      <c r="B1044" s="5" t="s">
        <v>1345</v>
      </c>
      <c r="C1044" s="6" t="s">
        <v>1397</v>
      </c>
      <c r="D1044" s="6" t="str">
        <f>_xlfn.IFNA(IF(VLOOKUP(tabListaItens[[#This Row],[CÓDIGO]],tabExcluirDoEstoque[#Data],1,FALSE),"sim",""),"")</f>
        <v>sim</v>
      </c>
      <c r="E1044" s="6" t="str">
        <f>"*"</f>
        <v>*</v>
      </c>
    </row>
    <row r="1045" spans="1:5" x14ac:dyDescent="0.25">
      <c r="A1045" s="8">
        <v>115214</v>
      </c>
      <c r="B1045" s="5" t="s">
        <v>1346</v>
      </c>
      <c r="C1045" s="6" t="s">
        <v>1397</v>
      </c>
      <c r="D1045" s="6" t="str">
        <f>_xlfn.IFNA(IF(VLOOKUP(tabListaItens[[#This Row],[CÓDIGO]],tabExcluirDoEstoque[#Data],1,FALSE),"sim",""),"")</f>
        <v>sim</v>
      </c>
      <c r="E1045" s="6" t="str">
        <f>"*"</f>
        <v>*</v>
      </c>
    </row>
    <row r="1046" spans="1:5" x14ac:dyDescent="0.25">
      <c r="A1046" s="8">
        <v>115282</v>
      </c>
      <c r="B1046" s="5" t="s">
        <v>467</v>
      </c>
      <c r="C1046" s="6" t="s">
        <v>1411</v>
      </c>
      <c r="D1046" s="6" t="str">
        <f>_xlfn.IFNA(IF(VLOOKUP(tabListaItens[[#This Row],[CÓDIGO]],tabExcluirDoEstoque[#Data],1,FALSE),"sim",""),"")</f>
        <v/>
      </c>
      <c r="E1046" s="6" t="str">
        <f>"*"</f>
        <v>*</v>
      </c>
    </row>
    <row r="1047" spans="1:5" x14ac:dyDescent="0.25">
      <c r="A1047" s="8">
        <v>115737</v>
      </c>
      <c r="B1047" s="5" t="s">
        <v>1347</v>
      </c>
      <c r="C1047" s="6" t="s">
        <v>1420</v>
      </c>
      <c r="D1047" s="6" t="str">
        <f>_xlfn.IFNA(IF(VLOOKUP(tabListaItens[[#This Row],[CÓDIGO]],tabExcluirDoEstoque[#Data],1,FALSE),"sim",""),"")</f>
        <v>sim</v>
      </c>
      <c r="E1047" s="6" t="str">
        <f>"*"</f>
        <v>*</v>
      </c>
    </row>
    <row r="1048" spans="1:5" x14ac:dyDescent="0.25">
      <c r="A1048" s="8">
        <v>115765</v>
      </c>
      <c r="B1048" s="5" t="s">
        <v>1504</v>
      </c>
      <c r="C1048" s="6" t="s">
        <v>1417</v>
      </c>
      <c r="D1048" s="76" t="str">
        <f>_xlfn.IFNA(IF(VLOOKUP(tabListaItens[[#This Row],[CÓDIGO]],tabExcluirDoEstoque[#Data],1,FALSE),"sim",""),"")</f>
        <v/>
      </c>
      <c r="E1048" s="76" t="str">
        <f>"*"</f>
        <v>*</v>
      </c>
    </row>
    <row r="1049" spans="1:5" x14ac:dyDescent="0.25">
      <c r="A1049" s="8">
        <v>115781</v>
      </c>
      <c r="B1049" s="5" t="s">
        <v>786</v>
      </c>
      <c r="C1049" s="6" t="s">
        <v>1404</v>
      </c>
      <c r="D1049" s="6" t="str">
        <f>_xlfn.IFNA(IF(VLOOKUP(tabListaItens[[#This Row],[CÓDIGO]],tabExcluirDoEstoque[#Data],1,FALSE),"sim",""),"")</f>
        <v>sim</v>
      </c>
      <c r="E1049" s="6" t="str">
        <f>"*"</f>
        <v>*</v>
      </c>
    </row>
    <row r="1050" spans="1:5" x14ac:dyDescent="0.25">
      <c r="A1050" s="8">
        <v>115807</v>
      </c>
      <c r="B1050" s="5" t="s">
        <v>314</v>
      </c>
      <c r="C1050" s="6" t="s">
        <v>1404</v>
      </c>
      <c r="D1050" s="6" t="str">
        <f>_xlfn.IFNA(IF(VLOOKUP(tabListaItens[[#This Row],[CÓDIGO]],tabExcluirDoEstoque[#Data],1,FALSE),"sim",""),"")</f>
        <v/>
      </c>
      <c r="E1050" s="6" t="str">
        <f>"*"</f>
        <v>*</v>
      </c>
    </row>
    <row r="1051" spans="1:5" x14ac:dyDescent="0.25">
      <c r="A1051" s="8">
        <v>115840</v>
      </c>
      <c r="B1051" s="5" t="s">
        <v>988</v>
      </c>
      <c r="C1051" s="6" t="s">
        <v>1404</v>
      </c>
      <c r="D1051" s="6" t="str">
        <f>_xlfn.IFNA(IF(VLOOKUP(tabListaItens[[#This Row],[CÓDIGO]],tabExcluirDoEstoque[#Data],1,FALSE),"sim",""),"")</f>
        <v/>
      </c>
      <c r="E1051" s="6" t="str">
        <f>"*"</f>
        <v>*</v>
      </c>
    </row>
    <row r="1052" spans="1:5" x14ac:dyDescent="0.25">
      <c r="A1052" s="8">
        <v>115841</v>
      </c>
      <c r="B1052" s="5" t="s">
        <v>987</v>
      </c>
      <c r="C1052" s="6" t="s">
        <v>1404</v>
      </c>
      <c r="D1052" s="6" t="str">
        <f>_xlfn.IFNA(IF(VLOOKUP(tabListaItens[[#This Row],[CÓDIGO]],tabExcluirDoEstoque[#Data],1,FALSE),"sim",""),"")</f>
        <v/>
      </c>
      <c r="E1052" s="6" t="str">
        <f>"*"</f>
        <v>*</v>
      </c>
    </row>
    <row r="1053" spans="1:5" x14ac:dyDescent="0.25">
      <c r="A1053" s="8">
        <v>116466</v>
      </c>
      <c r="B1053" s="5" t="s">
        <v>279</v>
      </c>
      <c r="C1053" s="6" t="s">
        <v>1404</v>
      </c>
      <c r="D1053" s="6" t="str">
        <f>_xlfn.IFNA(IF(VLOOKUP(tabListaItens[[#This Row],[CÓDIGO]],tabExcluirDoEstoque[#Data],1,FALSE),"sim",""),"")</f>
        <v/>
      </c>
      <c r="E1053" s="6" t="str">
        <f>"*"</f>
        <v>*</v>
      </c>
    </row>
    <row r="1054" spans="1:5" x14ac:dyDescent="0.25">
      <c r="A1054" s="8">
        <v>116751</v>
      </c>
      <c r="B1054" s="5" t="s">
        <v>726</v>
      </c>
      <c r="C1054" s="6" t="s">
        <v>1409</v>
      </c>
      <c r="D1054" s="6" t="str">
        <f>_xlfn.IFNA(IF(VLOOKUP(tabListaItens[[#This Row],[CÓDIGO]],tabExcluirDoEstoque[#Data],1,FALSE),"sim",""),"")</f>
        <v/>
      </c>
      <c r="E1054" s="6" t="str">
        <f>"*"</f>
        <v>*</v>
      </c>
    </row>
    <row r="1055" spans="1:5" x14ac:dyDescent="0.25">
      <c r="A1055" s="8">
        <v>116754</v>
      </c>
      <c r="B1055" s="5" t="s">
        <v>719</v>
      </c>
      <c r="C1055" s="6" t="s">
        <v>1409</v>
      </c>
      <c r="D1055" s="6" t="str">
        <f>_xlfn.IFNA(IF(VLOOKUP(tabListaItens[[#This Row],[CÓDIGO]],tabExcluirDoEstoque[#Data],1,FALSE),"sim",""),"")</f>
        <v/>
      </c>
      <c r="E1055" s="6" t="str">
        <f>"*"</f>
        <v>*</v>
      </c>
    </row>
    <row r="1056" spans="1:5" x14ac:dyDescent="0.25">
      <c r="A1056" s="8">
        <v>116771</v>
      </c>
      <c r="B1056" s="5" t="s">
        <v>1016</v>
      </c>
      <c r="C1056" s="6" t="s">
        <v>1418</v>
      </c>
      <c r="D1056" s="6" t="str">
        <f>_xlfn.IFNA(IF(VLOOKUP(tabListaItens[[#This Row],[CÓDIGO]],tabExcluirDoEstoque[#Data],1,FALSE),"sim",""),"")</f>
        <v>sim</v>
      </c>
      <c r="E1056" s="6" t="str">
        <f>"*"</f>
        <v>*</v>
      </c>
    </row>
    <row r="1057" spans="1:5" x14ac:dyDescent="0.25">
      <c r="A1057" s="8">
        <v>116874</v>
      </c>
      <c r="B1057" s="5" t="s">
        <v>927</v>
      </c>
      <c r="C1057" s="6" t="s">
        <v>1404</v>
      </c>
      <c r="D1057" s="6" t="str">
        <f>_xlfn.IFNA(IF(VLOOKUP(tabListaItens[[#This Row],[CÓDIGO]],tabExcluirDoEstoque[#Data],1,FALSE),"sim",""),"")</f>
        <v/>
      </c>
      <c r="E1057" s="6" t="str">
        <f>"*"</f>
        <v>*</v>
      </c>
    </row>
    <row r="1058" spans="1:5" x14ac:dyDescent="0.25">
      <c r="A1058" s="8">
        <v>117734</v>
      </c>
      <c r="B1058" s="5" t="s">
        <v>231</v>
      </c>
      <c r="C1058" s="6" t="s">
        <v>1397</v>
      </c>
      <c r="D1058" s="6" t="str">
        <f>_xlfn.IFNA(IF(VLOOKUP(tabListaItens[[#This Row],[CÓDIGO]],tabExcluirDoEstoque[#Data],1,FALSE),"sim",""),"")</f>
        <v/>
      </c>
      <c r="E1058" s="6" t="str">
        <f>"*"</f>
        <v>*</v>
      </c>
    </row>
    <row r="1059" spans="1:5" x14ac:dyDescent="0.25">
      <c r="A1059" s="8">
        <v>118243</v>
      </c>
      <c r="B1059" s="5" t="s">
        <v>826</v>
      </c>
      <c r="C1059" s="6" t="s">
        <v>1397</v>
      </c>
      <c r="D1059" s="6" t="str">
        <f>_xlfn.IFNA(IF(VLOOKUP(tabListaItens[[#This Row],[CÓDIGO]],tabExcluirDoEstoque[#Data],1,FALSE),"sim",""),"")</f>
        <v>sim</v>
      </c>
      <c r="E1059" s="6" t="str">
        <f>"*"</f>
        <v>*</v>
      </c>
    </row>
    <row r="1060" spans="1:5" x14ac:dyDescent="0.25">
      <c r="A1060" s="8">
        <v>118244</v>
      </c>
      <c r="B1060" s="5" t="s">
        <v>827</v>
      </c>
      <c r="C1060" s="6" t="s">
        <v>1397</v>
      </c>
      <c r="D1060" s="6" t="str">
        <f>_xlfn.IFNA(IF(VLOOKUP(tabListaItens[[#This Row],[CÓDIGO]],tabExcluirDoEstoque[#Data],1,FALSE),"sim",""),"")</f>
        <v/>
      </c>
      <c r="E1060" s="6" t="str">
        <f>"*"</f>
        <v>*</v>
      </c>
    </row>
    <row r="1061" spans="1:5" x14ac:dyDescent="0.25">
      <c r="A1061" s="8">
        <v>118245</v>
      </c>
      <c r="B1061" s="5" t="s">
        <v>828</v>
      </c>
      <c r="C1061" s="6" t="s">
        <v>1397</v>
      </c>
      <c r="D1061" s="6" t="str">
        <f>_xlfn.IFNA(IF(VLOOKUP(tabListaItens[[#This Row],[CÓDIGO]],tabExcluirDoEstoque[#Data],1,FALSE),"sim",""),"")</f>
        <v/>
      </c>
      <c r="E1061" s="6" t="str">
        <f>"*"</f>
        <v>*</v>
      </c>
    </row>
    <row r="1062" spans="1:5" x14ac:dyDescent="0.25">
      <c r="A1062" s="8">
        <v>118246</v>
      </c>
      <c r="B1062" s="5" t="s">
        <v>825</v>
      </c>
      <c r="C1062" s="6" t="s">
        <v>1397</v>
      </c>
      <c r="D1062" s="6" t="str">
        <f>_xlfn.IFNA(IF(VLOOKUP(tabListaItens[[#This Row],[CÓDIGO]],tabExcluirDoEstoque[#Data],1,FALSE),"sim",""),"")</f>
        <v/>
      </c>
      <c r="E1062" s="6" t="str">
        <f>"*"</f>
        <v>*</v>
      </c>
    </row>
    <row r="1063" spans="1:5" x14ac:dyDescent="0.25">
      <c r="A1063" s="8">
        <v>118248</v>
      </c>
      <c r="B1063" s="5" t="s">
        <v>1348</v>
      </c>
      <c r="C1063" s="6" t="s">
        <v>1420</v>
      </c>
      <c r="D1063" s="6" t="str">
        <f>_xlfn.IFNA(IF(VLOOKUP(tabListaItens[[#This Row],[CÓDIGO]],tabExcluirDoEstoque[#Data],1,FALSE),"sim",""),"")</f>
        <v>sim</v>
      </c>
      <c r="E1063" s="6" t="str">
        <f>"*"</f>
        <v>*</v>
      </c>
    </row>
    <row r="1064" spans="1:5" x14ac:dyDescent="0.25">
      <c r="A1064" s="8">
        <v>118427</v>
      </c>
      <c r="B1064" s="5" t="s">
        <v>858</v>
      </c>
      <c r="C1064" s="6" t="s">
        <v>1413</v>
      </c>
      <c r="D1064" s="6" t="str">
        <f>_xlfn.IFNA(IF(VLOOKUP(tabListaItens[[#This Row],[CÓDIGO]],tabExcluirDoEstoque[#Data],1,FALSE),"sim",""),"")</f>
        <v/>
      </c>
      <c r="E1064" s="6" t="str">
        <f>"*"</f>
        <v>*</v>
      </c>
    </row>
    <row r="1065" spans="1:5" x14ac:dyDescent="0.25">
      <c r="A1065" s="8">
        <v>118515</v>
      </c>
      <c r="B1065" s="5" t="s">
        <v>748</v>
      </c>
      <c r="C1065" s="6" t="s">
        <v>1420</v>
      </c>
      <c r="D1065" s="6" t="str">
        <f>_xlfn.IFNA(IF(VLOOKUP(tabListaItens[[#This Row],[CÓDIGO]],tabExcluirDoEstoque[#Data],1,FALSE),"sim",""),"")</f>
        <v/>
      </c>
      <c r="E1065" s="6" t="str">
        <f>"*"</f>
        <v>*</v>
      </c>
    </row>
    <row r="1066" spans="1:5" x14ac:dyDescent="0.25">
      <c r="A1066" s="8">
        <v>118577</v>
      </c>
      <c r="B1066" s="5" t="s">
        <v>749</v>
      </c>
      <c r="C1066" s="6" t="s">
        <v>1420</v>
      </c>
      <c r="D1066" s="6" t="str">
        <f>_xlfn.IFNA(IF(VLOOKUP(tabListaItens[[#This Row],[CÓDIGO]],tabExcluirDoEstoque[#Data],1,FALSE),"sim",""),"")</f>
        <v/>
      </c>
      <c r="E1066" s="6" t="str">
        <f>"*"</f>
        <v>*</v>
      </c>
    </row>
    <row r="1067" spans="1:5" x14ac:dyDescent="0.25">
      <c r="A1067" s="8">
        <v>118578</v>
      </c>
      <c r="B1067" s="5" t="s">
        <v>1105</v>
      </c>
      <c r="C1067" s="6" t="s">
        <v>1420</v>
      </c>
      <c r="D1067" s="6" t="str">
        <f>_xlfn.IFNA(IF(VLOOKUP(tabListaItens[[#This Row],[CÓDIGO]],tabExcluirDoEstoque[#Data],1,FALSE),"sim",""),"")</f>
        <v>sim</v>
      </c>
      <c r="E1067" s="6" t="str">
        <f>"*"</f>
        <v>*</v>
      </c>
    </row>
    <row r="1068" spans="1:5" x14ac:dyDescent="0.25">
      <c r="A1068" s="8">
        <v>118580</v>
      </c>
      <c r="B1068" s="5" t="s">
        <v>1106</v>
      </c>
      <c r="C1068" s="6" t="s">
        <v>1420</v>
      </c>
      <c r="D1068" s="6" t="str">
        <f>_xlfn.IFNA(IF(VLOOKUP(tabListaItens[[#This Row],[CÓDIGO]],tabExcluirDoEstoque[#Data],1,FALSE),"sim",""),"")</f>
        <v>sim</v>
      </c>
      <c r="E1068" s="6" t="str">
        <f>"*"</f>
        <v>*</v>
      </c>
    </row>
    <row r="1069" spans="1:5" x14ac:dyDescent="0.25">
      <c r="A1069" s="8">
        <v>118660</v>
      </c>
      <c r="B1069" s="5" t="s">
        <v>1349</v>
      </c>
      <c r="C1069" s="6"/>
      <c r="D1069" s="6" t="str">
        <f>_xlfn.IFNA(IF(VLOOKUP(tabListaItens[[#This Row],[CÓDIGO]],tabExcluirDoEstoque[#Data],1,FALSE),"sim",""),"")</f>
        <v>sim</v>
      </c>
      <c r="E1069" s="6" t="str">
        <f>"*"</f>
        <v>*</v>
      </c>
    </row>
    <row r="1070" spans="1:5" x14ac:dyDescent="0.25">
      <c r="A1070" s="8">
        <v>118779</v>
      </c>
      <c r="B1070" s="5" t="s">
        <v>1020</v>
      </c>
      <c r="C1070" s="6" t="s">
        <v>1397</v>
      </c>
      <c r="D1070" s="6" t="str">
        <f>_xlfn.IFNA(IF(VLOOKUP(tabListaItens[[#This Row],[CÓDIGO]],tabExcluirDoEstoque[#Data],1,FALSE),"sim",""),"")</f>
        <v>sim</v>
      </c>
      <c r="E1070" s="6" t="str">
        <f>"*"</f>
        <v>*</v>
      </c>
    </row>
    <row r="1071" spans="1:5" x14ac:dyDescent="0.25">
      <c r="A1071" s="8">
        <v>118843</v>
      </c>
      <c r="B1071" s="5" t="s">
        <v>1116</v>
      </c>
      <c r="C1071" s="6" t="s">
        <v>1397</v>
      </c>
      <c r="D1071" s="6" t="str">
        <f>_xlfn.IFNA(IF(VLOOKUP(tabListaItens[[#This Row],[CÓDIGO]],tabExcluirDoEstoque[#Data],1,FALSE),"sim",""),"")</f>
        <v>sim</v>
      </c>
      <c r="E1071" s="6" t="str">
        <f>"*"</f>
        <v>*</v>
      </c>
    </row>
    <row r="1072" spans="1:5" x14ac:dyDescent="0.25">
      <c r="A1072" s="8">
        <v>118864</v>
      </c>
      <c r="B1072" s="5" t="s">
        <v>1350</v>
      </c>
      <c r="C1072" s="6" t="s">
        <v>1397</v>
      </c>
      <c r="D1072" s="6" t="str">
        <f>_xlfn.IFNA(IF(VLOOKUP(tabListaItens[[#This Row],[CÓDIGO]],tabExcluirDoEstoque[#Data],1,FALSE),"sim",""),"")</f>
        <v>sim</v>
      </c>
      <c r="E1072" s="6" t="str">
        <f>"*"</f>
        <v>*</v>
      </c>
    </row>
    <row r="1073" spans="1:5" x14ac:dyDescent="0.25">
      <c r="A1073" s="8">
        <v>118865</v>
      </c>
      <c r="B1073" s="5" t="s">
        <v>1351</v>
      </c>
      <c r="C1073" s="6" t="s">
        <v>1397</v>
      </c>
      <c r="D1073" s="6" t="str">
        <f>_xlfn.IFNA(IF(VLOOKUP(tabListaItens[[#This Row],[CÓDIGO]],tabExcluirDoEstoque[#Data],1,FALSE),"sim",""),"")</f>
        <v>sim</v>
      </c>
      <c r="E1073" s="6" t="str">
        <f>"*"</f>
        <v>*</v>
      </c>
    </row>
    <row r="1074" spans="1:5" x14ac:dyDescent="0.25">
      <c r="A1074" s="8">
        <v>118993</v>
      </c>
      <c r="B1074" s="5" t="s">
        <v>1139</v>
      </c>
      <c r="C1074" s="6" t="s">
        <v>1420</v>
      </c>
      <c r="D1074" s="6" t="str">
        <f>_xlfn.IFNA(IF(VLOOKUP(tabListaItens[[#This Row],[CÓDIGO]],tabExcluirDoEstoque[#Data],1,FALSE),"sim",""),"")</f>
        <v>sim</v>
      </c>
      <c r="E1074" s="6" t="str">
        <f>"*"</f>
        <v>*</v>
      </c>
    </row>
    <row r="1075" spans="1:5" x14ac:dyDescent="0.25">
      <c r="A1075" s="8">
        <v>118994</v>
      </c>
      <c r="B1075" s="5" t="s">
        <v>83</v>
      </c>
      <c r="C1075" s="6" t="s">
        <v>1420</v>
      </c>
      <c r="D1075" s="6" t="str">
        <f>_xlfn.IFNA(IF(VLOOKUP(tabListaItens[[#This Row],[CÓDIGO]],tabExcluirDoEstoque[#Data],1,FALSE),"sim",""),"")</f>
        <v>sim</v>
      </c>
      <c r="E1075" s="6" t="str">
        <f>"*"</f>
        <v>*</v>
      </c>
    </row>
    <row r="1076" spans="1:5" ht="30" x14ac:dyDescent="0.25">
      <c r="A1076" s="8">
        <v>119008</v>
      </c>
      <c r="B1076" s="5" t="s">
        <v>623</v>
      </c>
      <c r="C1076" s="6" t="s">
        <v>1404</v>
      </c>
      <c r="D1076" s="6" t="str">
        <f>_xlfn.IFNA(IF(VLOOKUP(tabListaItens[[#This Row],[CÓDIGO]],tabExcluirDoEstoque[#Data],1,FALSE),"sim",""),"")</f>
        <v>sim</v>
      </c>
      <c r="E1076" s="6" t="str">
        <f>"*"</f>
        <v>*</v>
      </c>
    </row>
    <row r="1077" spans="1:5" x14ac:dyDescent="0.25">
      <c r="A1077" s="8">
        <v>119087</v>
      </c>
      <c r="B1077" s="5" t="s">
        <v>934</v>
      </c>
      <c r="C1077" s="6" t="s">
        <v>1397</v>
      </c>
      <c r="D1077" s="6" t="str">
        <f>_xlfn.IFNA(IF(VLOOKUP(tabListaItens[[#This Row],[CÓDIGO]],tabExcluirDoEstoque[#Data],1,FALSE),"sim",""),"")</f>
        <v/>
      </c>
      <c r="E1077" s="6" t="str">
        <f>"*"</f>
        <v>*</v>
      </c>
    </row>
    <row r="1078" spans="1:5" x14ac:dyDescent="0.25">
      <c r="A1078" s="8">
        <v>119180</v>
      </c>
      <c r="B1078" s="5" t="s">
        <v>524</v>
      </c>
      <c r="C1078" s="6" t="s">
        <v>1404</v>
      </c>
      <c r="D1078" s="6" t="str">
        <f>_xlfn.IFNA(IF(VLOOKUP(tabListaItens[[#This Row],[CÓDIGO]],tabExcluirDoEstoque[#Data],1,FALSE),"sim",""),"")</f>
        <v/>
      </c>
      <c r="E1078" s="6" t="str">
        <f>"*"</f>
        <v>*</v>
      </c>
    </row>
    <row r="1079" spans="1:5" x14ac:dyDescent="0.25">
      <c r="A1079" s="8">
        <v>119181</v>
      </c>
      <c r="B1079" s="5" t="s">
        <v>932</v>
      </c>
      <c r="C1079" s="6" t="s">
        <v>1404</v>
      </c>
      <c r="D1079" s="6" t="str">
        <f>_xlfn.IFNA(IF(VLOOKUP(tabListaItens[[#This Row],[CÓDIGO]],tabExcluirDoEstoque[#Data],1,FALSE),"sim",""),"")</f>
        <v/>
      </c>
      <c r="E1079" s="6" t="str">
        <f>"*"</f>
        <v>*</v>
      </c>
    </row>
    <row r="1080" spans="1:5" x14ac:dyDescent="0.25">
      <c r="A1080" s="8">
        <v>119182</v>
      </c>
      <c r="B1080" s="5" t="s">
        <v>1352</v>
      </c>
      <c r="C1080" s="6" t="s">
        <v>1404</v>
      </c>
      <c r="D1080" s="6" t="str">
        <f>_xlfn.IFNA(IF(VLOOKUP(tabListaItens[[#This Row],[CÓDIGO]],tabExcluirDoEstoque[#Data],1,FALSE),"sim",""),"")</f>
        <v>sim</v>
      </c>
      <c r="E1080" s="6" t="str">
        <f>"*"</f>
        <v>*</v>
      </c>
    </row>
    <row r="1081" spans="1:5" x14ac:dyDescent="0.25">
      <c r="A1081" s="8">
        <v>119183</v>
      </c>
      <c r="B1081" s="5" t="s">
        <v>1097</v>
      </c>
      <c r="C1081" s="6" t="s">
        <v>1404</v>
      </c>
      <c r="D1081" s="6" t="str">
        <f>_xlfn.IFNA(IF(VLOOKUP(tabListaItens[[#This Row],[CÓDIGO]],tabExcluirDoEstoque[#Data],1,FALSE),"sim",""),"")</f>
        <v>sim</v>
      </c>
      <c r="E1081" s="6" t="str">
        <f>"*"</f>
        <v>*</v>
      </c>
    </row>
    <row r="1082" spans="1:5" x14ac:dyDescent="0.25">
      <c r="A1082" s="8">
        <v>119318</v>
      </c>
      <c r="B1082" s="5" t="s">
        <v>902</v>
      </c>
      <c r="C1082" s="6" t="s">
        <v>1402</v>
      </c>
      <c r="D1082" s="6" t="str">
        <f>_xlfn.IFNA(IF(VLOOKUP(tabListaItens[[#This Row],[CÓDIGO]],tabExcluirDoEstoque[#Data],1,FALSE),"sim",""),"")</f>
        <v/>
      </c>
      <c r="E1082" s="6" t="str">
        <f>"*"</f>
        <v>*</v>
      </c>
    </row>
    <row r="1083" spans="1:5" x14ac:dyDescent="0.25">
      <c r="A1083" s="8">
        <v>119407</v>
      </c>
      <c r="B1083" s="5" t="s">
        <v>379</v>
      </c>
      <c r="C1083" s="6" t="s">
        <v>1419</v>
      </c>
      <c r="D1083" s="6" t="str">
        <f>_xlfn.IFNA(IF(VLOOKUP(tabListaItens[[#This Row],[CÓDIGO]],tabExcluirDoEstoque[#Data],1,FALSE),"sim",""),"")</f>
        <v/>
      </c>
      <c r="E1083" s="6" t="str">
        <f>"*"</f>
        <v>*</v>
      </c>
    </row>
    <row r="1084" spans="1:5" x14ac:dyDescent="0.25">
      <c r="A1084" s="8">
        <v>119514</v>
      </c>
      <c r="B1084" s="5" t="s">
        <v>1067</v>
      </c>
      <c r="C1084" s="6" t="s">
        <v>1413</v>
      </c>
      <c r="D1084" s="6" t="str">
        <f>_xlfn.IFNA(IF(VLOOKUP(tabListaItens[[#This Row],[CÓDIGO]],tabExcluirDoEstoque[#Data],1,FALSE),"sim",""),"")</f>
        <v>sim</v>
      </c>
      <c r="E1084" s="6" t="str">
        <f>"*"</f>
        <v>*</v>
      </c>
    </row>
    <row r="1085" spans="1:5" x14ac:dyDescent="0.25">
      <c r="A1085" s="8">
        <v>119554</v>
      </c>
      <c r="B1085" s="5" t="s">
        <v>313</v>
      </c>
      <c r="C1085" s="6" t="s">
        <v>1418</v>
      </c>
      <c r="D1085" s="6" t="str">
        <f>_xlfn.IFNA(IF(VLOOKUP(tabListaItens[[#This Row],[CÓDIGO]],tabExcluirDoEstoque[#Data],1,FALSE),"sim",""),"")</f>
        <v/>
      </c>
      <c r="E1085" s="6" t="str">
        <f>"*"</f>
        <v>*</v>
      </c>
    </row>
    <row r="1086" spans="1:5" ht="30" x14ac:dyDescent="0.25">
      <c r="A1086" s="8">
        <v>119595</v>
      </c>
      <c r="B1086" s="5" t="s">
        <v>671</v>
      </c>
      <c r="C1086" s="6" t="s">
        <v>1408</v>
      </c>
      <c r="D1086" s="6" t="str">
        <f>_xlfn.IFNA(IF(VLOOKUP(tabListaItens[[#This Row],[CÓDIGO]],tabExcluirDoEstoque[#Data],1,FALSE),"sim",""),"")</f>
        <v/>
      </c>
      <c r="E1086" s="6" t="str">
        <f>"*"</f>
        <v>*</v>
      </c>
    </row>
    <row r="1087" spans="1:5" x14ac:dyDescent="0.25">
      <c r="A1087" s="8">
        <v>119621</v>
      </c>
      <c r="B1087" s="5" t="s">
        <v>312</v>
      </c>
      <c r="C1087" s="6" t="s">
        <v>1418</v>
      </c>
      <c r="D1087" s="6" t="str">
        <f>_xlfn.IFNA(IF(VLOOKUP(tabListaItens[[#This Row],[CÓDIGO]],tabExcluirDoEstoque[#Data],1,FALSE),"sim",""),"")</f>
        <v/>
      </c>
      <c r="E1087" s="6" t="str">
        <f>"*"</f>
        <v>*</v>
      </c>
    </row>
    <row r="1088" spans="1:5" x14ac:dyDescent="0.25">
      <c r="A1088" s="8">
        <v>119626</v>
      </c>
      <c r="B1088" s="5" t="s">
        <v>1092</v>
      </c>
      <c r="C1088" s="6" t="s">
        <v>1420</v>
      </c>
      <c r="D1088" s="6" t="str">
        <f>_xlfn.IFNA(IF(VLOOKUP(tabListaItens[[#This Row],[CÓDIGO]],tabExcluirDoEstoque[#Data],1,FALSE),"sim",""),"")</f>
        <v>sim</v>
      </c>
      <c r="E1088" s="6" t="str">
        <f>"*"</f>
        <v>*</v>
      </c>
    </row>
    <row r="1089" spans="1:5" x14ac:dyDescent="0.25">
      <c r="A1089" s="8">
        <v>119627</v>
      </c>
      <c r="B1089" s="5" t="s">
        <v>192</v>
      </c>
      <c r="C1089" s="6" t="s">
        <v>1413</v>
      </c>
      <c r="D1089" s="6" t="str">
        <f>_xlfn.IFNA(IF(VLOOKUP(tabListaItens[[#This Row],[CÓDIGO]],tabExcluirDoEstoque[#Data],1,FALSE),"sim",""),"")</f>
        <v>sim</v>
      </c>
      <c r="E1089" s="6" t="str">
        <f>"*"</f>
        <v>*</v>
      </c>
    </row>
    <row r="1090" spans="1:5" x14ac:dyDescent="0.25">
      <c r="A1090" s="8">
        <v>119628</v>
      </c>
      <c r="B1090" s="5" t="s">
        <v>199</v>
      </c>
      <c r="C1090" s="6" t="s">
        <v>1413</v>
      </c>
      <c r="D1090" s="6" t="str">
        <f>_xlfn.IFNA(IF(VLOOKUP(tabListaItens[[#This Row],[CÓDIGO]],tabExcluirDoEstoque[#Data],1,FALSE),"sim",""),"")</f>
        <v>sim</v>
      </c>
      <c r="E1090" s="6" t="str">
        <f>"*"</f>
        <v>*</v>
      </c>
    </row>
    <row r="1091" spans="1:5" x14ac:dyDescent="0.25">
      <c r="A1091" s="8">
        <v>119793</v>
      </c>
      <c r="B1091" s="5" t="s">
        <v>1353</v>
      </c>
      <c r="C1091" s="6" t="s">
        <v>1420</v>
      </c>
      <c r="D1091" s="6" t="str">
        <f>_xlfn.IFNA(IF(VLOOKUP(tabListaItens[[#This Row],[CÓDIGO]],tabExcluirDoEstoque[#Data],1,FALSE),"sim",""),"")</f>
        <v>sim</v>
      </c>
      <c r="E1091" s="6" t="str">
        <f>"*"</f>
        <v>*</v>
      </c>
    </row>
    <row r="1092" spans="1:5" x14ac:dyDescent="0.25">
      <c r="A1092" s="8">
        <v>119794</v>
      </c>
      <c r="B1092" s="5" t="s">
        <v>1354</v>
      </c>
      <c r="C1092" s="6" t="s">
        <v>1420</v>
      </c>
      <c r="D1092" s="6" t="str">
        <f>_xlfn.IFNA(IF(VLOOKUP(tabListaItens[[#This Row],[CÓDIGO]],tabExcluirDoEstoque[#Data],1,FALSE),"sim",""),"")</f>
        <v>sim</v>
      </c>
      <c r="E1092" s="6" t="str">
        <f>"*"</f>
        <v>*</v>
      </c>
    </row>
    <row r="1093" spans="1:5" x14ac:dyDescent="0.25">
      <c r="A1093" s="8">
        <v>119795</v>
      </c>
      <c r="B1093" s="5" t="s">
        <v>1094</v>
      </c>
      <c r="C1093" s="6" t="s">
        <v>1420</v>
      </c>
      <c r="D1093" s="6" t="str">
        <f>_xlfn.IFNA(IF(VLOOKUP(tabListaItens[[#This Row],[CÓDIGO]],tabExcluirDoEstoque[#Data],1,FALSE),"sim",""),"")</f>
        <v>sim</v>
      </c>
      <c r="E1093" s="6" t="str">
        <f>"*"</f>
        <v>*</v>
      </c>
    </row>
    <row r="1094" spans="1:5" x14ac:dyDescent="0.25">
      <c r="A1094" s="8">
        <v>119796</v>
      </c>
      <c r="B1094" s="5" t="s">
        <v>1093</v>
      </c>
      <c r="C1094" s="6" t="s">
        <v>1420</v>
      </c>
      <c r="D1094" s="6" t="str">
        <f>_xlfn.IFNA(IF(VLOOKUP(tabListaItens[[#This Row],[CÓDIGO]],tabExcluirDoEstoque[#Data],1,FALSE),"sim",""),"")</f>
        <v>sim</v>
      </c>
      <c r="E1094" s="6" t="str">
        <f>"*"</f>
        <v>*</v>
      </c>
    </row>
    <row r="1095" spans="1:5" x14ac:dyDescent="0.25">
      <c r="A1095" s="8">
        <v>119798</v>
      </c>
      <c r="B1095" s="5" t="s">
        <v>1355</v>
      </c>
      <c r="C1095" s="6" t="s">
        <v>1420</v>
      </c>
      <c r="D1095" s="6" t="str">
        <f>_xlfn.IFNA(IF(VLOOKUP(tabListaItens[[#This Row],[CÓDIGO]],tabExcluirDoEstoque[#Data],1,FALSE),"sim",""),"")</f>
        <v>sim</v>
      </c>
      <c r="E1095" s="6" t="str">
        <f>"*"</f>
        <v>*</v>
      </c>
    </row>
    <row r="1096" spans="1:5" x14ac:dyDescent="0.25">
      <c r="A1096" s="8">
        <v>119810</v>
      </c>
      <c r="B1096" s="5" t="s">
        <v>538</v>
      </c>
      <c r="C1096" s="6" t="s">
        <v>1397</v>
      </c>
      <c r="D1096" s="6" t="str">
        <f>_xlfn.IFNA(IF(VLOOKUP(tabListaItens[[#This Row],[CÓDIGO]],tabExcluirDoEstoque[#Data],1,FALSE),"sim",""),"")</f>
        <v>sim</v>
      </c>
      <c r="E1096" s="6" t="str">
        <f>"*"</f>
        <v>*</v>
      </c>
    </row>
    <row r="1097" spans="1:5" x14ac:dyDescent="0.25">
      <c r="A1097" s="8">
        <v>119811</v>
      </c>
      <c r="B1097" s="5" t="s">
        <v>539</v>
      </c>
      <c r="C1097" s="6" t="s">
        <v>1397</v>
      </c>
      <c r="D1097" s="6" t="str">
        <f>_xlfn.IFNA(IF(VLOOKUP(tabListaItens[[#This Row],[CÓDIGO]],tabExcluirDoEstoque[#Data],1,FALSE),"sim",""),"")</f>
        <v>sim</v>
      </c>
      <c r="E1097" s="6" t="str">
        <f>"*"</f>
        <v>*</v>
      </c>
    </row>
    <row r="1098" spans="1:5" x14ac:dyDescent="0.25">
      <c r="A1098" s="8">
        <v>120217</v>
      </c>
      <c r="B1098" s="5" t="s">
        <v>1356</v>
      </c>
      <c r="C1098" s="6" t="s">
        <v>1397</v>
      </c>
      <c r="D1098" s="6" t="str">
        <f>_xlfn.IFNA(IF(VLOOKUP(tabListaItens[[#This Row],[CÓDIGO]],tabExcluirDoEstoque[#Data],1,FALSE),"sim",""),"")</f>
        <v>sim</v>
      </c>
      <c r="E1098" s="6" t="str">
        <f>"*"</f>
        <v>*</v>
      </c>
    </row>
    <row r="1099" spans="1:5" x14ac:dyDescent="0.25">
      <c r="A1099" s="8">
        <v>120477</v>
      </c>
      <c r="B1099" s="5" t="s">
        <v>540</v>
      </c>
      <c r="C1099" s="6" t="s">
        <v>1397</v>
      </c>
      <c r="D1099" s="6" t="str">
        <f>_xlfn.IFNA(IF(VLOOKUP(tabListaItens[[#This Row],[CÓDIGO]],tabExcluirDoEstoque[#Data],1,FALSE),"sim",""),"")</f>
        <v>sim</v>
      </c>
      <c r="E1099" s="6" t="str">
        <f>"*"</f>
        <v>*</v>
      </c>
    </row>
    <row r="1100" spans="1:5" x14ac:dyDescent="0.25">
      <c r="A1100" s="8">
        <v>120615</v>
      </c>
      <c r="B1100" s="5" t="s">
        <v>510</v>
      </c>
      <c r="C1100" s="6" t="s">
        <v>1413</v>
      </c>
      <c r="D1100" s="6" t="str">
        <f>_xlfn.IFNA(IF(VLOOKUP(tabListaItens[[#This Row],[CÓDIGO]],tabExcluirDoEstoque[#Data],1,FALSE),"sim",""),"")</f>
        <v/>
      </c>
      <c r="E1100" s="6" t="str">
        <f>"*"</f>
        <v>*</v>
      </c>
    </row>
    <row r="1101" spans="1:5" x14ac:dyDescent="0.25">
      <c r="A1101" s="8">
        <v>120995</v>
      </c>
      <c r="B1101" s="5" t="s">
        <v>84</v>
      </c>
      <c r="C1101" s="6" t="s">
        <v>1413</v>
      </c>
      <c r="D1101" s="6" t="str">
        <f>_xlfn.IFNA(IF(VLOOKUP(tabListaItens[[#This Row],[CÓDIGO]],tabExcluirDoEstoque[#Data],1,FALSE),"sim",""),"")</f>
        <v/>
      </c>
      <c r="E1101" s="6" t="str">
        <f>"*"</f>
        <v>*</v>
      </c>
    </row>
    <row r="1102" spans="1:5" ht="30" x14ac:dyDescent="0.25">
      <c r="A1102" s="8">
        <v>121054</v>
      </c>
      <c r="B1102" s="5" t="s">
        <v>953</v>
      </c>
      <c r="C1102" s="6" t="s">
        <v>1409</v>
      </c>
      <c r="D1102" s="6" t="str">
        <f>_xlfn.IFNA(IF(VLOOKUP(tabListaItens[[#This Row],[CÓDIGO]],tabExcluirDoEstoque[#Data],1,FALSE),"sim",""),"")</f>
        <v/>
      </c>
      <c r="E1102" s="6" t="str">
        <f>"*"</f>
        <v>*</v>
      </c>
    </row>
    <row r="1103" spans="1:5" x14ac:dyDescent="0.25">
      <c r="A1103" s="8">
        <v>121086</v>
      </c>
      <c r="B1103" s="5" t="s">
        <v>628</v>
      </c>
      <c r="C1103" s="6" t="s">
        <v>1419</v>
      </c>
      <c r="D1103" s="6" t="str">
        <f>_xlfn.IFNA(IF(VLOOKUP(tabListaItens[[#This Row],[CÓDIGO]],tabExcluirDoEstoque[#Data],1,FALSE),"sim",""),"")</f>
        <v/>
      </c>
      <c r="E1103" s="6" t="str">
        <f>"*"</f>
        <v>*</v>
      </c>
    </row>
    <row r="1104" spans="1:5" ht="30" x14ac:dyDescent="0.25">
      <c r="A1104" s="8">
        <v>121126</v>
      </c>
      <c r="B1104" s="5" t="s">
        <v>848</v>
      </c>
      <c r="C1104" s="6" t="s">
        <v>1404</v>
      </c>
      <c r="D1104" s="6" t="str">
        <f>_xlfn.IFNA(IF(VLOOKUP(tabListaItens[[#This Row],[CÓDIGO]],tabExcluirDoEstoque[#Data],1,FALSE),"sim",""),"")</f>
        <v/>
      </c>
      <c r="E1104" s="6" t="str">
        <f>"*"</f>
        <v>*</v>
      </c>
    </row>
    <row r="1105" spans="1:5" x14ac:dyDescent="0.25">
      <c r="A1105" s="8">
        <v>121214</v>
      </c>
      <c r="B1105" s="5" t="s">
        <v>1357</v>
      </c>
      <c r="C1105" s="6" t="s">
        <v>1404</v>
      </c>
      <c r="D1105" s="6" t="str">
        <f>_xlfn.IFNA(IF(VLOOKUP(tabListaItens[[#This Row],[CÓDIGO]],tabExcluirDoEstoque[#Data],1,FALSE),"sim",""),"")</f>
        <v>sim</v>
      </c>
      <c r="E1105" s="6" t="str">
        <f>"*"</f>
        <v>*</v>
      </c>
    </row>
    <row r="1106" spans="1:5" x14ac:dyDescent="0.25">
      <c r="A1106" s="8">
        <v>121292</v>
      </c>
      <c r="B1106" s="5" t="s">
        <v>1358</v>
      </c>
      <c r="C1106" s="6" t="s">
        <v>1404</v>
      </c>
      <c r="D1106" s="6" t="str">
        <f>_xlfn.IFNA(IF(VLOOKUP(tabListaItens[[#This Row],[CÓDIGO]],tabExcluirDoEstoque[#Data],1,FALSE),"sim",""),"")</f>
        <v>sim</v>
      </c>
      <c r="E1106" s="6" t="str">
        <f>"*"</f>
        <v>*</v>
      </c>
    </row>
    <row r="1107" spans="1:5" x14ac:dyDescent="0.25">
      <c r="A1107" s="8">
        <v>122153</v>
      </c>
      <c r="B1107" s="5" t="s">
        <v>1028</v>
      </c>
      <c r="C1107" s="6" t="s">
        <v>1397</v>
      </c>
      <c r="D1107" s="6" t="str">
        <f>_xlfn.IFNA(IF(VLOOKUP(tabListaItens[[#This Row],[CÓDIGO]],tabExcluirDoEstoque[#Data],1,FALSE),"sim",""),"")</f>
        <v>sim</v>
      </c>
      <c r="E1107" s="6" t="str">
        <f>"*"</f>
        <v>*</v>
      </c>
    </row>
    <row r="1108" spans="1:5" x14ac:dyDescent="0.25">
      <c r="A1108" s="8">
        <v>122154</v>
      </c>
      <c r="B1108" s="5" t="s">
        <v>1072</v>
      </c>
      <c r="C1108" s="6" t="s">
        <v>1404</v>
      </c>
      <c r="D1108" s="6" t="str">
        <f>_xlfn.IFNA(IF(VLOOKUP(tabListaItens[[#This Row],[CÓDIGO]],tabExcluirDoEstoque[#Data],1,FALSE),"sim",""),"")</f>
        <v>sim</v>
      </c>
      <c r="E1108" s="6" t="str">
        <f>"*"</f>
        <v>*</v>
      </c>
    </row>
    <row r="1109" spans="1:5" x14ac:dyDescent="0.25">
      <c r="A1109" s="8">
        <v>122304</v>
      </c>
      <c r="B1109" s="5" t="s">
        <v>383</v>
      </c>
      <c r="C1109" s="6" t="s">
        <v>1404</v>
      </c>
      <c r="D1109" s="6" t="str">
        <f>_xlfn.IFNA(IF(VLOOKUP(tabListaItens[[#This Row],[CÓDIGO]],tabExcluirDoEstoque[#Data],1,FALSE),"sim",""),"")</f>
        <v/>
      </c>
      <c r="E1109" s="6" t="str">
        <f>"*"</f>
        <v>*</v>
      </c>
    </row>
    <row r="1110" spans="1:5" x14ac:dyDescent="0.25">
      <c r="A1110" s="8">
        <v>122305</v>
      </c>
      <c r="B1110" s="5" t="s">
        <v>1565</v>
      </c>
      <c r="C1110" s="6" t="s">
        <v>1404</v>
      </c>
      <c r="D1110" s="6" t="str">
        <f>_xlfn.IFNA(IF(VLOOKUP(tabListaItens[[#This Row],[CÓDIGO]],tabExcluirDoEstoque[#Data],1,FALSE),"sim",""),"")</f>
        <v/>
      </c>
      <c r="E1110" s="6" t="str">
        <f>"*"</f>
        <v>*</v>
      </c>
    </row>
    <row r="1111" spans="1:5" ht="30" x14ac:dyDescent="0.25">
      <c r="A1111" s="8">
        <v>122545</v>
      </c>
      <c r="B1111" s="5" t="s">
        <v>1359</v>
      </c>
      <c r="C1111" s="6" t="s">
        <v>1397</v>
      </c>
      <c r="D1111" s="6" t="str">
        <f>_xlfn.IFNA(IF(VLOOKUP(tabListaItens[[#This Row],[CÓDIGO]],tabExcluirDoEstoque[#Data],1,FALSE),"sim",""),"")</f>
        <v>sim</v>
      </c>
      <c r="E1111" s="6" t="str">
        <f>"*"</f>
        <v>*</v>
      </c>
    </row>
    <row r="1112" spans="1:5" x14ac:dyDescent="0.25">
      <c r="A1112" s="8">
        <v>122818</v>
      </c>
      <c r="B1112" s="5" t="s">
        <v>745</v>
      </c>
      <c r="C1112" s="6" t="s">
        <v>1420</v>
      </c>
      <c r="D1112" s="6" t="str">
        <f>_xlfn.IFNA(IF(VLOOKUP(tabListaItens[[#This Row],[CÓDIGO]],tabExcluirDoEstoque[#Data],1,FALSE),"sim",""),"")</f>
        <v/>
      </c>
      <c r="E1112" s="6" t="str">
        <f>"*"</f>
        <v>*</v>
      </c>
    </row>
    <row r="1113" spans="1:5" x14ac:dyDescent="0.25">
      <c r="A1113" s="8">
        <v>123131</v>
      </c>
      <c r="B1113" s="5" t="s">
        <v>723</v>
      </c>
      <c r="C1113" s="6" t="s">
        <v>1409</v>
      </c>
      <c r="D1113" s="6" t="str">
        <f>_xlfn.IFNA(IF(VLOOKUP(tabListaItens[[#This Row],[CÓDIGO]],tabExcluirDoEstoque[#Data],1,FALSE),"sim",""),"")</f>
        <v/>
      </c>
      <c r="E1113" s="6" t="str">
        <f>"*"</f>
        <v>*</v>
      </c>
    </row>
    <row r="1114" spans="1:5" x14ac:dyDescent="0.25">
      <c r="A1114" s="8">
        <v>123132</v>
      </c>
      <c r="B1114" s="5" t="s">
        <v>722</v>
      </c>
      <c r="C1114" s="6" t="s">
        <v>1409</v>
      </c>
      <c r="D1114" s="6" t="str">
        <f>_xlfn.IFNA(IF(VLOOKUP(tabListaItens[[#This Row],[CÓDIGO]],tabExcluirDoEstoque[#Data],1,FALSE),"sim",""),"")</f>
        <v/>
      </c>
      <c r="E1114" s="6" t="str">
        <f>"*"</f>
        <v>*</v>
      </c>
    </row>
    <row r="1115" spans="1:5" x14ac:dyDescent="0.25">
      <c r="A1115" s="8">
        <v>123133</v>
      </c>
      <c r="B1115" s="5" t="s">
        <v>725</v>
      </c>
      <c r="C1115" s="6" t="s">
        <v>1409</v>
      </c>
      <c r="D1115" s="6" t="str">
        <f>_xlfn.IFNA(IF(VLOOKUP(tabListaItens[[#This Row],[CÓDIGO]],tabExcluirDoEstoque[#Data],1,FALSE),"sim",""),"")</f>
        <v/>
      </c>
      <c r="E1115" s="6" t="str">
        <f>"*"</f>
        <v>*</v>
      </c>
    </row>
    <row r="1116" spans="1:5" x14ac:dyDescent="0.25">
      <c r="A1116" s="8">
        <v>123146</v>
      </c>
      <c r="B1116" s="5" t="s">
        <v>85</v>
      </c>
      <c r="C1116" s="6" t="s">
        <v>1414</v>
      </c>
      <c r="D1116" s="6" t="str">
        <f>_xlfn.IFNA(IF(VLOOKUP(tabListaItens[[#This Row],[CÓDIGO]],tabExcluirDoEstoque[#Data],1,FALSE),"sim",""),"")</f>
        <v/>
      </c>
      <c r="E1116" s="6" t="str">
        <f>"*"</f>
        <v>*</v>
      </c>
    </row>
    <row r="1117" spans="1:5" x14ac:dyDescent="0.25">
      <c r="A1117" s="8">
        <v>123241</v>
      </c>
      <c r="B1117" s="5" t="s">
        <v>720</v>
      </c>
      <c r="C1117" s="6" t="s">
        <v>1409</v>
      </c>
      <c r="D1117" s="6" t="str">
        <f>_xlfn.IFNA(IF(VLOOKUP(tabListaItens[[#This Row],[CÓDIGO]],tabExcluirDoEstoque[#Data],1,FALSE),"sim",""),"")</f>
        <v>sim</v>
      </c>
      <c r="E1117" s="6" t="str">
        <f>"*"</f>
        <v>*</v>
      </c>
    </row>
    <row r="1118" spans="1:5" x14ac:dyDescent="0.25">
      <c r="A1118" s="8">
        <v>123347</v>
      </c>
      <c r="B1118" s="5" t="s">
        <v>1098</v>
      </c>
      <c r="C1118" s="6" t="s">
        <v>1417</v>
      </c>
      <c r="D1118" s="6" t="str">
        <f>_xlfn.IFNA(IF(VLOOKUP(tabListaItens[[#This Row],[CÓDIGO]],tabExcluirDoEstoque[#Data],1,FALSE),"sim",""),"")</f>
        <v>sim</v>
      </c>
      <c r="E1118" s="6" t="str">
        <f>"*"</f>
        <v>*</v>
      </c>
    </row>
    <row r="1119" spans="1:5" x14ac:dyDescent="0.25">
      <c r="A1119" s="8">
        <v>123348</v>
      </c>
      <c r="B1119" s="5" t="s">
        <v>1099</v>
      </c>
      <c r="C1119" s="6" t="s">
        <v>1417</v>
      </c>
      <c r="D1119" s="6" t="str">
        <f>_xlfn.IFNA(IF(VLOOKUP(tabListaItens[[#This Row],[CÓDIGO]],tabExcluirDoEstoque[#Data],1,FALSE),"sim",""),"")</f>
        <v>sim</v>
      </c>
      <c r="E1119" s="6" t="str">
        <f>"*"</f>
        <v>*</v>
      </c>
    </row>
    <row r="1120" spans="1:5" x14ac:dyDescent="0.25">
      <c r="A1120" s="8">
        <v>123349</v>
      </c>
      <c r="B1120" s="5" t="s">
        <v>741</v>
      </c>
      <c r="C1120" s="6" t="s">
        <v>1417</v>
      </c>
      <c r="D1120" s="6" t="str">
        <f>_xlfn.IFNA(IF(VLOOKUP(tabListaItens[[#This Row],[CÓDIGO]],tabExcluirDoEstoque[#Data],1,FALSE),"sim",""),"")</f>
        <v/>
      </c>
      <c r="E1120" s="6" t="str">
        <f>"*"</f>
        <v>*</v>
      </c>
    </row>
    <row r="1121" spans="1:5" x14ac:dyDescent="0.25">
      <c r="A1121" s="8">
        <v>123350</v>
      </c>
      <c r="B1121" s="5" t="s">
        <v>742</v>
      </c>
      <c r="C1121" s="6" t="s">
        <v>1417</v>
      </c>
      <c r="D1121" s="6" t="str">
        <f>_xlfn.IFNA(IF(VLOOKUP(tabListaItens[[#This Row],[CÓDIGO]],tabExcluirDoEstoque[#Data],1,FALSE),"sim",""),"")</f>
        <v/>
      </c>
      <c r="E1121" s="6" t="str">
        <f>"*"</f>
        <v>*</v>
      </c>
    </row>
    <row r="1122" spans="1:5" x14ac:dyDescent="0.25">
      <c r="A1122" s="8">
        <v>123351</v>
      </c>
      <c r="B1122" s="5" t="s">
        <v>1100</v>
      </c>
      <c r="C1122" s="6" t="s">
        <v>1417</v>
      </c>
      <c r="D1122" s="6" t="str">
        <f>_xlfn.IFNA(IF(VLOOKUP(tabListaItens[[#This Row],[CÓDIGO]],tabExcluirDoEstoque[#Data],1,FALSE),"sim",""),"")</f>
        <v>sim</v>
      </c>
      <c r="E1122" s="6" t="str">
        <f>"*"</f>
        <v>*</v>
      </c>
    </row>
    <row r="1123" spans="1:5" x14ac:dyDescent="0.25">
      <c r="A1123" s="8">
        <v>123352</v>
      </c>
      <c r="B1123" s="5" t="s">
        <v>1101</v>
      </c>
      <c r="C1123" s="6" t="s">
        <v>1417</v>
      </c>
      <c r="D1123" s="6" t="str">
        <f>_xlfn.IFNA(IF(VLOOKUP(tabListaItens[[#This Row],[CÓDIGO]],tabExcluirDoEstoque[#Data],1,FALSE),"sim",""),"")</f>
        <v>sim</v>
      </c>
      <c r="E1123" s="6" t="str">
        <f>"*"</f>
        <v>*</v>
      </c>
    </row>
    <row r="1124" spans="1:5" x14ac:dyDescent="0.25">
      <c r="A1124" s="8">
        <v>123353</v>
      </c>
      <c r="B1124" s="5" t="s">
        <v>1102</v>
      </c>
      <c r="C1124" s="6" t="s">
        <v>1417</v>
      </c>
      <c r="D1124" s="6" t="str">
        <f>_xlfn.IFNA(IF(VLOOKUP(tabListaItens[[#This Row],[CÓDIGO]],tabExcluirDoEstoque[#Data],1,FALSE),"sim",""),"")</f>
        <v>sim</v>
      </c>
      <c r="E1124" s="6" t="str">
        <f>"*"</f>
        <v>*</v>
      </c>
    </row>
    <row r="1125" spans="1:5" x14ac:dyDescent="0.25">
      <c r="A1125" s="8">
        <v>123370</v>
      </c>
      <c r="B1125" s="5" t="s">
        <v>196</v>
      </c>
      <c r="C1125" s="6" t="s">
        <v>1413</v>
      </c>
      <c r="D1125" s="6" t="str">
        <f>_xlfn.IFNA(IF(VLOOKUP(tabListaItens[[#This Row],[CÓDIGO]],tabExcluirDoEstoque[#Data],1,FALSE),"sim",""),"")</f>
        <v/>
      </c>
      <c r="E1125" s="6" t="str">
        <f>"*"</f>
        <v>*</v>
      </c>
    </row>
    <row r="1126" spans="1:5" x14ac:dyDescent="0.25">
      <c r="A1126" s="8">
        <v>123371</v>
      </c>
      <c r="B1126" s="5" t="s">
        <v>193</v>
      </c>
      <c r="C1126" s="6" t="s">
        <v>1413</v>
      </c>
      <c r="D1126" s="6" t="str">
        <f>_xlfn.IFNA(IF(VLOOKUP(tabListaItens[[#This Row],[CÓDIGO]],tabExcluirDoEstoque[#Data],1,FALSE),"sim",""),"")</f>
        <v>sim</v>
      </c>
      <c r="E1126" s="6" t="str">
        <f>"*"</f>
        <v>*</v>
      </c>
    </row>
    <row r="1127" spans="1:5" x14ac:dyDescent="0.25">
      <c r="A1127" s="8">
        <v>123372</v>
      </c>
      <c r="B1127" s="5" t="s">
        <v>203</v>
      </c>
      <c r="C1127" s="6" t="s">
        <v>1413</v>
      </c>
      <c r="D1127" s="6" t="str">
        <f>_xlfn.IFNA(IF(VLOOKUP(tabListaItens[[#This Row],[CÓDIGO]],tabExcluirDoEstoque[#Data],1,FALSE),"sim",""),"")</f>
        <v/>
      </c>
      <c r="E1127" s="6" t="str">
        <f>"*"</f>
        <v>*</v>
      </c>
    </row>
    <row r="1128" spans="1:5" x14ac:dyDescent="0.25">
      <c r="A1128" s="8">
        <v>123373</v>
      </c>
      <c r="B1128" s="5" t="s">
        <v>204</v>
      </c>
      <c r="C1128" s="6" t="s">
        <v>1413</v>
      </c>
      <c r="D1128" s="6" t="str">
        <f>_xlfn.IFNA(IF(VLOOKUP(tabListaItens[[#This Row],[CÓDIGO]],tabExcluirDoEstoque[#Data],1,FALSE),"sim",""),"")</f>
        <v>sim</v>
      </c>
      <c r="E1128" s="6" t="str">
        <f>"*"</f>
        <v>*</v>
      </c>
    </row>
    <row r="1129" spans="1:5" x14ac:dyDescent="0.25">
      <c r="A1129" s="8">
        <v>123618</v>
      </c>
      <c r="B1129" s="5" t="s">
        <v>141</v>
      </c>
      <c r="C1129" s="6" t="s">
        <v>1409</v>
      </c>
      <c r="D1129" s="6" t="str">
        <f>_xlfn.IFNA(IF(VLOOKUP(tabListaItens[[#This Row],[CÓDIGO]],tabExcluirDoEstoque[#Data],1,FALSE),"sim",""),"")</f>
        <v/>
      </c>
      <c r="E1129" s="6" t="str">
        <f>"*"</f>
        <v>*</v>
      </c>
    </row>
    <row r="1130" spans="1:5" ht="30" x14ac:dyDescent="0.25">
      <c r="A1130" s="8">
        <v>123710</v>
      </c>
      <c r="B1130" s="5" t="s">
        <v>615</v>
      </c>
      <c r="C1130" s="6" t="s">
        <v>1408</v>
      </c>
      <c r="D1130" s="6" t="str">
        <f>_xlfn.IFNA(IF(VLOOKUP(tabListaItens[[#This Row],[CÓDIGO]],tabExcluirDoEstoque[#Data],1,FALSE),"sim",""),"")</f>
        <v/>
      </c>
      <c r="E1130" s="6" t="str">
        <f>"*"</f>
        <v>*</v>
      </c>
    </row>
    <row r="1131" spans="1:5" x14ac:dyDescent="0.25">
      <c r="A1131" s="8">
        <v>124241</v>
      </c>
      <c r="B1131" s="5" t="s">
        <v>1360</v>
      </c>
      <c r="C1131" s="6" t="s">
        <v>1404</v>
      </c>
      <c r="D1131" s="6" t="str">
        <f>_xlfn.IFNA(IF(VLOOKUP(tabListaItens[[#This Row],[CÓDIGO]],tabExcluirDoEstoque[#Data],1,FALSE),"sim",""),"")</f>
        <v>sim</v>
      </c>
      <c r="E1131" s="6" t="str">
        <f>"*"</f>
        <v>*</v>
      </c>
    </row>
    <row r="1132" spans="1:5" x14ac:dyDescent="0.25">
      <c r="A1132" s="8">
        <v>124261</v>
      </c>
      <c r="B1132" s="5" t="s">
        <v>636</v>
      </c>
      <c r="C1132" s="6" t="s">
        <v>1416</v>
      </c>
      <c r="D1132" s="6" t="str">
        <f>_xlfn.IFNA(IF(VLOOKUP(tabListaItens[[#This Row],[CÓDIGO]],tabExcluirDoEstoque[#Data],1,FALSE),"sim",""),"")</f>
        <v/>
      </c>
      <c r="E1132" s="6" t="str">
        <f>"*"</f>
        <v>*</v>
      </c>
    </row>
    <row r="1133" spans="1:5" ht="30" x14ac:dyDescent="0.25">
      <c r="A1133" s="8">
        <v>124335</v>
      </c>
      <c r="B1133" s="5" t="s">
        <v>1361</v>
      </c>
      <c r="C1133" s="6" t="s">
        <v>1397</v>
      </c>
      <c r="D1133" s="6" t="str">
        <f>_xlfn.IFNA(IF(VLOOKUP(tabListaItens[[#This Row],[CÓDIGO]],tabExcluirDoEstoque[#Data],1,FALSE),"sim",""),"")</f>
        <v>sim</v>
      </c>
      <c r="E1133" s="6" t="str">
        <f>"*"</f>
        <v>*</v>
      </c>
    </row>
    <row r="1134" spans="1:5" x14ac:dyDescent="0.25">
      <c r="A1134" s="8">
        <v>124963</v>
      </c>
      <c r="B1134" s="5" t="s">
        <v>705</v>
      </c>
      <c r="C1134" s="6" t="s">
        <v>1417</v>
      </c>
      <c r="D1134" s="6" t="str">
        <f>_xlfn.IFNA(IF(VLOOKUP(tabListaItens[[#This Row],[CÓDIGO]],tabExcluirDoEstoque[#Data],1,FALSE),"sim",""),"")</f>
        <v/>
      </c>
      <c r="E1134" s="6" t="str">
        <f>"*"</f>
        <v>*</v>
      </c>
    </row>
    <row r="1135" spans="1:5" x14ac:dyDescent="0.25">
      <c r="A1135" s="8">
        <v>124980</v>
      </c>
      <c r="B1135" s="5" t="s">
        <v>206</v>
      </c>
      <c r="C1135" s="6" t="s">
        <v>1413</v>
      </c>
      <c r="D1135" s="6" t="str">
        <f>_xlfn.IFNA(IF(VLOOKUP(tabListaItens[[#This Row],[CÓDIGO]],tabExcluirDoEstoque[#Data],1,FALSE),"sim",""),"")</f>
        <v>sim</v>
      </c>
      <c r="E1135" s="6" t="str">
        <f>"*"</f>
        <v>*</v>
      </c>
    </row>
    <row r="1136" spans="1:5" x14ac:dyDescent="0.25">
      <c r="A1136" s="8">
        <v>125173</v>
      </c>
      <c r="B1136" s="5" t="s">
        <v>601</v>
      </c>
      <c r="C1136" s="6" t="s">
        <v>1404</v>
      </c>
      <c r="D1136" s="6" t="str">
        <f>_xlfn.IFNA(IF(VLOOKUP(tabListaItens[[#This Row],[CÓDIGO]],tabExcluirDoEstoque[#Data],1,FALSE),"sim",""),"")</f>
        <v/>
      </c>
      <c r="E1136" s="6" t="str">
        <f>"*"</f>
        <v>*</v>
      </c>
    </row>
    <row r="1137" spans="1:5" x14ac:dyDescent="0.25">
      <c r="A1137" s="8">
        <v>125201</v>
      </c>
      <c r="B1137" s="5" t="s">
        <v>708</v>
      </c>
      <c r="C1137" s="6" t="s">
        <v>1417</v>
      </c>
      <c r="D1137" s="6" t="str">
        <f>_xlfn.IFNA(IF(VLOOKUP(tabListaItens[[#This Row],[CÓDIGO]],tabExcluirDoEstoque[#Data],1,FALSE),"sim",""),"")</f>
        <v/>
      </c>
      <c r="E1137" s="6" t="str">
        <f>"*"</f>
        <v>*</v>
      </c>
    </row>
    <row r="1138" spans="1:5" x14ac:dyDescent="0.25">
      <c r="A1138" s="8">
        <v>125260</v>
      </c>
      <c r="B1138" s="5" t="s">
        <v>1362</v>
      </c>
      <c r="C1138" s="6" t="s">
        <v>1420</v>
      </c>
      <c r="D1138" s="6" t="str">
        <f>_xlfn.IFNA(IF(VLOOKUP(tabListaItens[[#This Row],[CÓDIGO]],tabExcluirDoEstoque[#Data],1,FALSE),"sim",""),"")</f>
        <v>sim</v>
      </c>
      <c r="E1138" s="6" t="str">
        <f>"*"</f>
        <v>*</v>
      </c>
    </row>
    <row r="1139" spans="1:5" x14ac:dyDescent="0.25">
      <c r="A1139" s="8">
        <v>125262</v>
      </c>
      <c r="B1139" s="5" t="s">
        <v>746</v>
      </c>
      <c r="C1139" s="6" t="s">
        <v>1420</v>
      </c>
      <c r="D1139" s="6" t="str">
        <f>_xlfn.IFNA(IF(VLOOKUP(tabListaItens[[#This Row],[CÓDIGO]],tabExcluirDoEstoque[#Data],1,FALSE),"sim",""),"")</f>
        <v/>
      </c>
      <c r="E1139" s="6" t="str">
        <f>"*"</f>
        <v>*</v>
      </c>
    </row>
    <row r="1140" spans="1:5" x14ac:dyDescent="0.25">
      <c r="A1140" s="8">
        <v>125269</v>
      </c>
      <c r="B1140" s="5" t="s">
        <v>339</v>
      </c>
      <c r="C1140" s="6" t="s">
        <v>1404</v>
      </c>
      <c r="D1140" s="6" t="str">
        <f>_xlfn.IFNA(IF(VLOOKUP(tabListaItens[[#This Row],[CÓDIGO]],tabExcluirDoEstoque[#Data],1,FALSE),"sim",""),"")</f>
        <v/>
      </c>
      <c r="E1140" s="6" t="str">
        <f>"*"</f>
        <v>*</v>
      </c>
    </row>
    <row r="1141" spans="1:5" x14ac:dyDescent="0.25">
      <c r="A1141" s="8">
        <v>125443</v>
      </c>
      <c r="B1141" s="5" t="s">
        <v>1076</v>
      </c>
      <c r="C1141" s="6" t="s">
        <v>1404</v>
      </c>
      <c r="D1141" s="6" t="str">
        <f>_xlfn.IFNA(IF(VLOOKUP(tabListaItens[[#This Row],[CÓDIGO]],tabExcluirDoEstoque[#Data],1,FALSE),"sim",""),"")</f>
        <v>sim</v>
      </c>
      <c r="E1141" s="6" t="str">
        <f>"*"</f>
        <v>*</v>
      </c>
    </row>
    <row r="1142" spans="1:5" x14ac:dyDescent="0.25">
      <c r="A1142" s="8">
        <v>125576</v>
      </c>
      <c r="B1142" s="5" t="s">
        <v>1108</v>
      </c>
      <c r="C1142" s="6" t="s">
        <v>1404</v>
      </c>
      <c r="D1142" s="6" t="str">
        <f>_xlfn.IFNA(IF(VLOOKUP(tabListaItens[[#This Row],[CÓDIGO]],tabExcluirDoEstoque[#Data],1,FALSE),"sim",""),"")</f>
        <v>sim</v>
      </c>
      <c r="E1142" s="6" t="str">
        <f>"*"</f>
        <v>*</v>
      </c>
    </row>
    <row r="1143" spans="1:5" x14ac:dyDescent="0.25">
      <c r="A1143" s="8">
        <v>125641</v>
      </c>
      <c r="B1143" s="5" t="s">
        <v>670</v>
      </c>
      <c r="C1143" s="6" t="s">
        <v>1408</v>
      </c>
      <c r="D1143" s="6" t="str">
        <f>_xlfn.IFNA(IF(VLOOKUP(tabListaItens[[#This Row],[CÓDIGO]],tabExcluirDoEstoque[#Data],1,FALSE),"sim",""),"")</f>
        <v/>
      </c>
      <c r="E1143" s="6" t="str">
        <f>"*"</f>
        <v>*</v>
      </c>
    </row>
    <row r="1144" spans="1:5" x14ac:dyDescent="0.25">
      <c r="A1144" s="8">
        <v>126044</v>
      </c>
      <c r="B1144" s="5" t="s">
        <v>315</v>
      </c>
      <c r="C1144" s="6" t="s">
        <v>1418</v>
      </c>
      <c r="D1144" s="6" t="str">
        <f>_xlfn.IFNA(IF(VLOOKUP(tabListaItens[[#This Row],[CÓDIGO]],tabExcluirDoEstoque[#Data],1,FALSE),"sim",""),"")</f>
        <v/>
      </c>
      <c r="E1144" s="6" t="str">
        <f>"*"</f>
        <v>*</v>
      </c>
    </row>
    <row r="1145" spans="1:5" x14ac:dyDescent="0.25">
      <c r="A1145" s="8">
        <v>126059</v>
      </c>
      <c r="B1145" s="5" t="s">
        <v>694</v>
      </c>
      <c r="C1145" s="6" t="s">
        <v>1417</v>
      </c>
      <c r="D1145" s="6" t="str">
        <f>_xlfn.IFNA(IF(VLOOKUP(tabListaItens[[#This Row],[CÓDIGO]],tabExcluirDoEstoque[#Data],1,FALSE),"sim",""),"")</f>
        <v/>
      </c>
      <c r="E1145" s="6" t="str">
        <f>"*"</f>
        <v>*</v>
      </c>
    </row>
    <row r="1146" spans="1:5" x14ac:dyDescent="0.25">
      <c r="A1146" s="8">
        <v>126060</v>
      </c>
      <c r="B1146" s="5" t="s">
        <v>695</v>
      </c>
      <c r="C1146" s="6" t="s">
        <v>1417</v>
      </c>
      <c r="D1146" s="6" t="str">
        <f>_xlfn.IFNA(IF(VLOOKUP(tabListaItens[[#This Row],[CÓDIGO]],tabExcluirDoEstoque[#Data],1,FALSE),"sim",""),"")</f>
        <v/>
      </c>
      <c r="E1146" s="6" t="str">
        <f>"*"</f>
        <v>*</v>
      </c>
    </row>
    <row r="1147" spans="1:5" ht="30" x14ac:dyDescent="0.25">
      <c r="A1147" s="8">
        <v>126076</v>
      </c>
      <c r="B1147" s="5" t="s">
        <v>541</v>
      </c>
      <c r="C1147" s="6" t="s">
        <v>1404</v>
      </c>
      <c r="D1147" s="6" t="str">
        <f>_xlfn.IFNA(IF(VLOOKUP(tabListaItens[[#This Row],[CÓDIGO]],tabExcluirDoEstoque[#Data],1,FALSE),"sim",""),"")</f>
        <v>sim</v>
      </c>
      <c r="E1147" s="6" t="str">
        <f>"*"</f>
        <v>*</v>
      </c>
    </row>
    <row r="1148" spans="1:5" x14ac:dyDescent="0.25">
      <c r="A1148" s="8">
        <v>126078</v>
      </c>
      <c r="B1148" s="5" t="s">
        <v>1363</v>
      </c>
      <c r="C1148" s="6" t="s">
        <v>1404</v>
      </c>
      <c r="D1148" s="6" t="str">
        <f>_xlfn.IFNA(IF(VLOOKUP(tabListaItens[[#This Row],[CÓDIGO]],tabExcluirDoEstoque[#Data],1,FALSE),"sim",""),"")</f>
        <v>sim</v>
      </c>
      <c r="E1148" s="6" t="str">
        <f>"*"</f>
        <v>*</v>
      </c>
    </row>
    <row r="1149" spans="1:5" x14ac:dyDescent="0.25">
      <c r="A1149" s="8">
        <v>126079</v>
      </c>
      <c r="B1149" s="5" t="s">
        <v>1364</v>
      </c>
      <c r="C1149" s="6" t="s">
        <v>1404</v>
      </c>
      <c r="D1149" s="6" t="str">
        <f>_xlfn.IFNA(IF(VLOOKUP(tabListaItens[[#This Row],[CÓDIGO]],tabExcluirDoEstoque[#Data],1,FALSE),"sim",""),"")</f>
        <v>sim</v>
      </c>
      <c r="E1149" s="6" t="str">
        <f>"*"</f>
        <v>*</v>
      </c>
    </row>
    <row r="1150" spans="1:5" x14ac:dyDescent="0.25">
      <c r="A1150" s="8">
        <v>126080</v>
      </c>
      <c r="B1150" s="5" t="s">
        <v>1071</v>
      </c>
      <c r="C1150" s="6" t="s">
        <v>1404</v>
      </c>
      <c r="D1150" s="6" t="str">
        <f>_xlfn.IFNA(IF(VLOOKUP(tabListaItens[[#This Row],[CÓDIGO]],tabExcluirDoEstoque[#Data],1,FALSE),"sim",""),"")</f>
        <v>sim</v>
      </c>
      <c r="E1150" s="6" t="str">
        <f>"*"</f>
        <v>*</v>
      </c>
    </row>
    <row r="1151" spans="1:5" x14ac:dyDescent="0.25">
      <c r="A1151" s="8">
        <v>126081</v>
      </c>
      <c r="B1151" s="5" t="s">
        <v>1365</v>
      </c>
      <c r="C1151" s="6" t="s">
        <v>1404</v>
      </c>
      <c r="D1151" s="6" t="str">
        <f>_xlfn.IFNA(IF(VLOOKUP(tabListaItens[[#This Row],[CÓDIGO]],tabExcluirDoEstoque[#Data],1,FALSE),"sim",""),"")</f>
        <v>sim</v>
      </c>
      <c r="E1151" s="6" t="str">
        <f>"*"</f>
        <v>*</v>
      </c>
    </row>
    <row r="1152" spans="1:5" x14ac:dyDescent="0.25">
      <c r="A1152" s="8">
        <v>126127</v>
      </c>
      <c r="B1152" s="5" t="s">
        <v>1070</v>
      </c>
      <c r="C1152" s="6" t="s">
        <v>1404</v>
      </c>
      <c r="D1152" s="6" t="str">
        <f>_xlfn.IFNA(IF(VLOOKUP(tabListaItens[[#This Row],[CÓDIGO]],tabExcluirDoEstoque[#Data],1,FALSE),"sim",""),"")</f>
        <v>sim</v>
      </c>
      <c r="E1152" s="6" t="str">
        <f>"*"</f>
        <v>*</v>
      </c>
    </row>
    <row r="1153" spans="1:5" x14ac:dyDescent="0.25">
      <c r="A1153" s="8">
        <v>126343</v>
      </c>
      <c r="B1153" s="5" t="s">
        <v>1366</v>
      </c>
      <c r="C1153" s="6" t="s">
        <v>1420</v>
      </c>
      <c r="D1153" s="6" t="str">
        <f>_xlfn.IFNA(IF(VLOOKUP(tabListaItens[[#This Row],[CÓDIGO]],tabExcluirDoEstoque[#Data],1,FALSE),"sim",""),"")</f>
        <v>sim</v>
      </c>
      <c r="E1153" s="6" t="str">
        <f>"*"</f>
        <v>*</v>
      </c>
    </row>
    <row r="1154" spans="1:5" x14ac:dyDescent="0.25">
      <c r="A1154" s="8">
        <v>126344</v>
      </c>
      <c r="B1154" s="5" t="s">
        <v>1367</v>
      </c>
      <c r="C1154" s="6" t="s">
        <v>1420</v>
      </c>
      <c r="D1154" s="6" t="str">
        <f>_xlfn.IFNA(IF(VLOOKUP(tabListaItens[[#This Row],[CÓDIGO]],tabExcluirDoEstoque[#Data],1,FALSE),"sim",""),"")</f>
        <v>sim</v>
      </c>
      <c r="E1154" s="6" t="str">
        <f>"*"</f>
        <v>*</v>
      </c>
    </row>
    <row r="1155" spans="1:5" x14ac:dyDescent="0.25">
      <c r="A1155" s="8">
        <v>126345</v>
      </c>
      <c r="B1155" s="5" t="s">
        <v>116</v>
      </c>
      <c r="C1155" s="6" t="s">
        <v>1401</v>
      </c>
      <c r="D1155" s="6" t="str">
        <f>_xlfn.IFNA(IF(VLOOKUP(tabListaItens[[#This Row],[CÓDIGO]],tabExcluirDoEstoque[#Data],1,FALSE),"sim",""),"")</f>
        <v/>
      </c>
      <c r="E1155" s="6" t="str">
        <f>"*"</f>
        <v>*</v>
      </c>
    </row>
    <row r="1156" spans="1:5" x14ac:dyDescent="0.25">
      <c r="A1156" s="8">
        <v>126837</v>
      </c>
      <c r="B1156" s="5" t="s">
        <v>718</v>
      </c>
      <c r="C1156" s="6" t="s">
        <v>1404</v>
      </c>
      <c r="D1156" s="6" t="str">
        <f>_xlfn.IFNA(IF(VLOOKUP(tabListaItens[[#This Row],[CÓDIGO]],tabExcluirDoEstoque[#Data],1,FALSE),"sim",""),"")</f>
        <v/>
      </c>
      <c r="E1156" s="6" t="str">
        <f>"*"</f>
        <v>*</v>
      </c>
    </row>
    <row r="1157" spans="1:5" x14ac:dyDescent="0.25">
      <c r="A1157" s="8">
        <v>126838</v>
      </c>
      <c r="B1157" s="5" t="s">
        <v>703</v>
      </c>
      <c r="C1157" s="6" t="s">
        <v>1397</v>
      </c>
      <c r="D1157" s="6" t="str">
        <f>_xlfn.IFNA(IF(VLOOKUP(tabListaItens[[#This Row],[CÓDIGO]],tabExcluirDoEstoque[#Data],1,FALSE),"sim",""),"")</f>
        <v/>
      </c>
      <c r="E1157" s="6" t="str">
        <f>"*"</f>
        <v>*</v>
      </c>
    </row>
    <row r="1158" spans="1:5" x14ac:dyDescent="0.25">
      <c r="A1158" s="8">
        <v>127105</v>
      </c>
      <c r="B1158" s="5" t="s">
        <v>1563</v>
      </c>
      <c r="C1158" s="6" t="s">
        <v>1397</v>
      </c>
      <c r="D1158" s="76" t="str">
        <f>_xlfn.IFNA(IF(VLOOKUP(tabListaItens[[#This Row],[CÓDIGO]],tabExcluirDoEstoque[#Data],1,FALSE),"sim",""),"")</f>
        <v/>
      </c>
      <c r="E1158" s="76" t="str">
        <f>"*"</f>
        <v>*</v>
      </c>
    </row>
    <row r="1159" spans="1:5" x14ac:dyDescent="0.25">
      <c r="A1159" s="8">
        <v>127106</v>
      </c>
      <c r="B1159" s="5" t="s">
        <v>236</v>
      </c>
      <c r="C1159" s="6" t="s">
        <v>1397</v>
      </c>
      <c r="D1159" s="6" t="str">
        <f>_xlfn.IFNA(IF(VLOOKUP(tabListaItens[[#This Row],[CÓDIGO]],tabExcluirDoEstoque[#Data],1,FALSE),"sim",""),"")</f>
        <v/>
      </c>
      <c r="E1159" s="6" t="str">
        <f>"*"</f>
        <v>*</v>
      </c>
    </row>
    <row r="1160" spans="1:5" x14ac:dyDescent="0.25">
      <c r="A1160" s="8">
        <v>127107</v>
      </c>
      <c r="B1160" s="5" t="s">
        <v>242</v>
      </c>
      <c r="C1160" s="6" t="s">
        <v>1397</v>
      </c>
      <c r="D1160" s="6" t="str">
        <f>_xlfn.IFNA(IF(VLOOKUP(tabListaItens[[#This Row],[CÓDIGO]],tabExcluirDoEstoque[#Data],1,FALSE),"sim",""),"")</f>
        <v/>
      </c>
      <c r="E1160" s="6" t="str">
        <f>"*"</f>
        <v>*</v>
      </c>
    </row>
    <row r="1161" spans="1:5" x14ac:dyDescent="0.25">
      <c r="A1161" s="8">
        <v>127331</v>
      </c>
      <c r="B1161" s="5" t="s">
        <v>120</v>
      </c>
      <c r="C1161" s="6" t="s">
        <v>1402</v>
      </c>
      <c r="D1161" s="6" t="str">
        <f>_xlfn.IFNA(IF(VLOOKUP(tabListaItens[[#This Row],[CÓDIGO]],tabExcluirDoEstoque[#Data],1,FALSE),"sim",""),"")</f>
        <v>sim</v>
      </c>
      <c r="E1161" s="6" t="str">
        <f>"*"</f>
        <v>*</v>
      </c>
    </row>
    <row r="1162" spans="1:5" x14ac:dyDescent="0.25">
      <c r="A1162" s="8">
        <v>127384</v>
      </c>
      <c r="B1162" s="5" t="s">
        <v>616</v>
      </c>
      <c r="C1162" s="6" t="s">
        <v>1408</v>
      </c>
      <c r="D1162" s="6" t="str">
        <f>_xlfn.IFNA(IF(VLOOKUP(tabListaItens[[#This Row],[CÓDIGO]],tabExcluirDoEstoque[#Data],1,FALSE),"sim",""),"")</f>
        <v/>
      </c>
      <c r="E1162" s="6" t="str">
        <f>"*"</f>
        <v>*</v>
      </c>
    </row>
    <row r="1163" spans="1:5" x14ac:dyDescent="0.25">
      <c r="A1163" s="8">
        <v>127664</v>
      </c>
      <c r="B1163" s="5" t="s">
        <v>305</v>
      </c>
      <c r="C1163" s="6" t="s">
        <v>1417</v>
      </c>
      <c r="D1163" s="6" t="str">
        <f>_xlfn.IFNA(IF(VLOOKUP(tabListaItens[[#This Row],[CÓDIGO]],tabExcluirDoEstoque[#Data],1,FALSE),"sim",""),"")</f>
        <v/>
      </c>
      <c r="E1163" s="6" t="str">
        <f>"*"</f>
        <v>*</v>
      </c>
    </row>
    <row r="1164" spans="1:5" x14ac:dyDescent="0.25">
      <c r="A1164" s="8">
        <v>127963</v>
      </c>
      <c r="B1164" s="5" t="s">
        <v>230</v>
      </c>
      <c r="C1164" s="6" t="s">
        <v>1397</v>
      </c>
      <c r="D1164" s="6" t="str">
        <f>_xlfn.IFNA(IF(VLOOKUP(tabListaItens[[#This Row],[CÓDIGO]],tabExcluirDoEstoque[#Data],1,FALSE),"sim",""),"")</f>
        <v>sim</v>
      </c>
      <c r="E1164" s="6" t="str">
        <f>"*"</f>
        <v>*</v>
      </c>
    </row>
    <row r="1165" spans="1:5" x14ac:dyDescent="0.25">
      <c r="A1165" s="8">
        <v>128229</v>
      </c>
      <c r="B1165" s="5" t="s">
        <v>281</v>
      </c>
      <c r="C1165" s="6" t="s">
        <v>1404</v>
      </c>
      <c r="D1165" s="6" t="str">
        <f>_xlfn.IFNA(IF(VLOOKUP(tabListaItens[[#This Row],[CÓDIGO]],tabExcluirDoEstoque[#Data],1,FALSE),"sim",""),"")</f>
        <v/>
      </c>
      <c r="E1165" s="6" t="str">
        <f>"*"</f>
        <v>*</v>
      </c>
    </row>
    <row r="1166" spans="1:5" x14ac:dyDescent="0.25">
      <c r="A1166" s="8">
        <v>128287</v>
      </c>
      <c r="B1166" s="5" t="s">
        <v>900</v>
      </c>
      <c r="C1166" s="6" t="s">
        <v>1403</v>
      </c>
      <c r="D1166" s="6" t="str">
        <f>_xlfn.IFNA(IF(VLOOKUP(tabListaItens[[#This Row],[CÓDIGO]],tabExcluirDoEstoque[#Data],1,FALSE),"sim",""),"")</f>
        <v/>
      </c>
      <c r="E1166" s="6" t="str">
        <f>"*"</f>
        <v>*</v>
      </c>
    </row>
    <row r="1167" spans="1:5" x14ac:dyDescent="0.25">
      <c r="A1167" s="8">
        <v>128288</v>
      </c>
      <c r="B1167" s="5" t="s">
        <v>851</v>
      </c>
      <c r="C1167" s="6" t="s">
        <v>1419</v>
      </c>
      <c r="D1167" s="6" t="str">
        <f>_xlfn.IFNA(IF(VLOOKUP(tabListaItens[[#This Row],[CÓDIGO]],tabExcluirDoEstoque[#Data],1,FALSE),"sim",""),"")</f>
        <v/>
      </c>
      <c r="E1167" s="6" t="str">
        <f>"*"</f>
        <v>*</v>
      </c>
    </row>
    <row r="1168" spans="1:5" ht="30" x14ac:dyDescent="0.25">
      <c r="A1168" s="8">
        <v>128301</v>
      </c>
      <c r="B1168" s="5" t="s">
        <v>1368</v>
      </c>
      <c r="C1168" s="6" t="s">
        <v>1397</v>
      </c>
      <c r="D1168" s="6" t="str">
        <f>_xlfn.IFNA(IF(VLOOKUP(tabListaItens[[#This Row],[CÓDIGO]],tabExcluirDoEstoque[#Data],1,FALSE),"sim",""),"")</f>
        <v>sim</v>
      </c>
      <c r="E1168" s="6" t="str">
        <f>"*"</f>
        <v>*</v>
      </c>
    </row>
    <row r="1169" spans="1:5" x14ac:dyDescent="0.25">
      <c r="A1169" s="8">
        <v>128302</v>
      </c>
      <c r="B1169" s="5" t="s">
        <v>1161</v>
      </c>
      <c r="C1169" s="6" t="s">
        <v>1397</v>
      </c>
      <c r="D1169" s="6" t="str">
        <f>_xlfn.IFNA(IF(VLOOKUP(tabListaItens[[#This Row],[CÓDIGO]],tabExcluirDoEstoque[#Data],1,FALSE),"sim",""),"")</f>
        <v>sim</v>
      </c>
      <c r="E1169" s="6" t="str">
        <f>"*"</f>
        <v>*</v>
      </c>
    </row>
    <row r="1170" spans="1:5" x14ac:dyDescent="0.25">
      <c r="A1170" s="8">
        <v>128304</v>
      </c>
      <c r="B1170" s="5" t="s">
        <v>943</v>
      </c>
      <c r="C1170" s="6" t="s">
        <v>1397</v>
      </c>
      <c r="D1170" s="6" t="str">
        <f>_xlfn.IFNA(IF(VLOOKUP(tabListaItens[[#This Row],[CÓDIGO]],tabExcluirDoEstoque[#Data],1,FALSE),"sim",""),"")</f>
        <v/>
      </c>
      <c r="E1170" s="6" t="str">
        <f>"*"</f>
        <v>*</v>
      </c>
    </row>
    <row r="1171" spans="1:5" x14ac:dyDescent="0.25">
      <c r="A1171" s="8">
        <v>128305</v>
      </c>
      <c r="B1171" s="5" t="s">
        <v>147</v>
      </c>
      <c r="C1171" s="6" t="s">
        <v>1397</v>
      </c>
      <c r="D1171" s="6" t="str">
        <f>_xlfn.IFNA(IF(VLOOKUP(tabListaItens[[#This Row],[CÓDIGO]],tabExcluirDoEstoque[#Data],1,FALSE),"sim",""),"")</f>
        <v/>
      </c>
      <c r="E1171" s="6" t="str">
        <f>"*"</f>
        <v>*</v>
      </c>
    </row>
    <row r="1172" spans="1:5" x14ac:dyDescent="0.25">
      <c r="A1172" s="8">
        <v>128306</v>
      </c>
      <c r="B1172" s="5" t="s">
        <v>1149</v>
      </c>
      <c r="C1172" s="6" t="s">
        <v>1397</v>
      </c>
      <c r="D1172" s="6" t="str">
        <f>_xlfn.IFNA(IF(VLOOKUP(tabListaItens[[#This Row],[CÓDIGO]],tabExcluirDoEstoque[#Data],1,FALSE),"sim",""),"")</f>
        <v>sim</v>
      </c>
      <c r="E1172" s="6" t="str">
        <f>"*"</f>
        <v>*</v>
      </c>
    </row>
    <row r="1173" spans="1:5" x14ac:dyDescent="0.25">
      <c r="A1173" s="8">
        <v>128307</v>
      </c>
      <c r="B1173" s="5" t="s">
        <v>160</v>
      </c>
      <c r="C1173" s="6" t="s">
        <v>1397</v>
      </c>
      <c r="D1173" s="6" t="str">
        <f>_xlfn.IFNA(IF(VLOOKUP(tabListaItens[[#This Row],[CÓDIGO]],tabExcluirDoEstoque[#Data],1,FALSE),"sim",""),"")</f>
        <v>sim</v>
      </c>
      <c r="E1173" s="6" t="str">
        <f>"*"</f>
        <v>*</v>
      </c>
    </row>
    <row r="1174" spans="1:5" x14ac:dyDescent="0.25">
      <c r="A1174" s="8">
        <v>128308</v>
      </c>
      <c r="B1174" s="5" t="s">
        <v>1144</v>
      </c>
      <c r="C1174" s="6" t="s">
        <v>1397</v>
      </c>
      <c r="D1174" s="6" t="str">
        <f>_xlfn.IFNA(IF(VLOOKUP(tabListaItens[[#This Row],[CÓDIGO]],tabExcluirDoEstoque[#Data],1,FALSE),"sim",""),"")</f>
        <v>sim</v>
      </c>
      <c r="E1174" s="6" t="str">
        <f>"*"</f>
        <v>*</v>
      </c>
    </row>
    <row r="1175" spans="1:5" ht="30" x14ac:dyDescent="0.25">
      <c r="A1175" s="8">
        <v>128309</v>
      </c>
      <c r="B1175" s="5" t="s">
        <v>1145</v>
      </c>
      <c r="C1175" s="6" t="s">
        <v>1397</v>
      </c>
      <c r="D1175" s="6" t="str">
        <f>_xlfn.IFNA(IF(VLOOKUP(tabListaItens[[#This Row],[CÓDIGO]],tabExcluirDoEstoque[#Data],1,FALSE),"sim",""),"")</f>
        <v>sim</v>
      </c>
      <c r="E1175" s="6" t="str">
        <f>"*"</f>
        <v>*</v>
      </c>
    </row>
    <row r="1176" spans="1:5" ht="30" x14ac:dyDescent="0.25">
      <c r="A1176" s="8">
        <v>128389</v>
      </c>
      <c r="B1176" s="5" t="s">
        <v>775</v>
      </c>
      <c r="C1176" s="6" t="s">
        <v>1397</v>
      </c>
      <c r="D1176" s="6" t="str">
        <f>_xlfn.IFNA(IF(VLOOKUP(tabListaItens[[#This Row],[CÓDIGO]],tabExcluirDoEstoque[#Data],1,FALSE),"sim",""),"")</f>
        <v>sim</v>
      </c>
      <c r="E1176" s="6" t="str">
        <f>"*"</f>
        <v>*</v>
      </c>
    </row>
    <row r="1177" spans="1:5" x14ac:dyDescent="0.25">
      <c r="A1177" s="8">
        <v>128392</v>
      </c>
      <c r="B1177" s="5" t="s">
        <v>1056</v>
      </c>
      <c r="C1177" s="6" t="s">
        <v>1408</v>
      </c>
      <c r="D1177" s="6" t="str">
        <f>_xlfn.IFNA(IF(VLOOKUP(tabListaItens[[#This Row],[CÓDIGO]],tabExcluirDoEstoque[#Data],1,FALSE),"sim",""),"")</f>
        <v>sim</v>
      </c>
      <c r="E1177" s="6" t="str">
        <f>"*"</f>
        <v>*</v>
      </c>
    </row>
    <row r="1178" spans="1:5" x14ac:dyDescent="0.25">
      <c r="A1178" s="8">
        <v>128458</v>
      </c>
      <c r="B1178" s="5" t="s">
        <v>1127</v>
      </c>
      <c r="C1178" s="6" t="s">
        <v>1404</v>
      </c>
      <c r="D1178" s="6" t="str">
        <f>_xlfn.IFNA(IF(VLOOKUP(tabListaItens[[#This Row],[CÓDIGO]],tabExcluirDoEstoque[#Data],1,FALSE),"sim",""),"")</f>
        <v>sim</v>
      </c>
      <c r="E1178" s="6" t="str">
        <f>"*"</f>
        <v>*</v>
      </c>
    </row>
    <row r="1179" spans="1:5" x14ac:dyDescent="0.25">
      <c r="A1179" s="8">
        <v>128782</v>
      </c>
      <c r="B1179" s="5" t="s">
        <v>484</v>
      </c>
      <c r="C1179" s="6" t="s">
        <v>1408</v>
      </c>
      <c r="D1179" s="6" t="str">
        <f>_xlfn.IFNA(IF(VLOOKUP(tabListaItens[[#This Row],[CÓDIGO]],tabExcluirDoEstoque[#Data],1,FALSE),"sim",""),"")</f>
        <v/>
      </c>
      <c r="E1179" s="6" t="str">
        <f>"*"</f>
        <v>*</v>
      </c>
    </row>
    <row r="1180" spans="1:5" x14ac:dyDescent="0.25">
      <c r="A1180" s="8">
        <v>128815</v>
      </c>
      <c r="B1180" s="5" t="s">
        <v>87</v>
      </c>
      <c r="C1180" s="6" t="s">
        <v>1404</v>
      </c>
      <c r="D1180" s="6" t="str">
        <f>_xlfn.IFNA(IF(VLOOKUP(tabListaItens[[#This Row],[CÓDIGO]],tabExcluirDoEstoque[#Data],1,FALSE),"sim",""),"")</f>
        <v/>
      </c>
      <c r="E1180" s="6" t="str">
        <f>"*"</f>
        <v>*</v>
      </c>
    </row>
    <row r="1181" spans="1:5" x14ac:dyDescent="0.25">
      <c r="A1181" s="8">
        <v>128816</v>
      </c>
      <c r="B1181" s="5" t="s">
        <v>861</v>
      </c>
      <c r="C1181" s="6" t="s">
        <v>1404</v>
      </c>
      <c r="D1181" s="6" t="str">
        <f>_xlfn.IFNA(IF(VLOOKUP(tabListaItens[[#This Row],[CÓDIGO]],tabExcluirDoEstoque[#Data],1,FALSE),"sim",""),"")</f>
        <v/>
      </c>
      <c r="E1181" s="6" t="str">
        <f>"*"</f>
        <v>*</v>
      </c>
    </row>
    <row r="1182" spans="1:5" x14ac:dyDescent="0.25">
      <c r="A1182" s="8">
        <v>128817</v>
      </c>
      <c r="B1182" s="5" t="s">
        <v>859</v>
      </c>
      <c r="C1182" s="6" t="s">
        <v>1404</v>
      </c>
      <c r="D1182" s="6" t="str">
        <f>_xlfn.IFNA(IF(VLOOKUP(tabListaItens[[#This Row],[CÓDIGO]],tabExcluirDoEstoque[#Data],1,FALSE),"sim",""),"")</f>
        <v>sim</v>
      </c>
      <c r="E1182" s="6" t="str">
        <f>"*"</f>
        <v>*</v>
      </c>
    </row>
    <row r="1183" spans="1:5" x14ac:dyDescent="0.25">
      <c r="A1183" s="8">
        <v>128818</v>
      </c>
      <c r="B1183" s="5" t="s">
        <v>337</v>
      </c>
      <c r="C1183" s="6" t="s">
        <v>1404</v>
      </c>
      <c r="D1183" s="6" t="str">
        <f>_xlfn.IFNA(IF(VLOOKUP(tabListaItens[[#This Row],[CÓDIGO]],tabExcluirDoEstoque[#Data],1,FALSE),"sim",""),"")</f>
        <v/>
      </c>
      <c r="E1183" s="6" t="str">
        <f>"*"</f>
        <v>*</v>
      </c>
    </row>
    <row r="1184" spans="1:5" x14ac:dyDescent="0.25">
      <c r="A1184" s="8">
        <v>128819</v>
      </c>
      <c r="B1184" s="5" t="s">
        <v>336</v>
      </c>
      <c r="C1184" s="6" t="s">
        <v>1404</v>
      </c>
      <c r="D1184" s="6" t="str">
        <f>_xlfn.IFNA(IF(VLOOKUP(tabListaItens[[#This Row],[CÓDIGO]],tabExcluirDoEstoque[#Data],1,FALSE),"sim",""),"")</f>
        <v/>
      </c>
      <c r="E1184" s="6" t="str">
        <f>"*"</f>
        <v>*</v>
      </c>
    </row>
    <row r="1185" spans="1:5" x14ac:dyDescent="0.25">
      <c r="A1185" s="8">
        <v>128832</v>
      </c>
      <c r="B1185" s="5" t="s">
        <v>1107</v>
      </c>
      <c r="C1185" s="6" t="s">
        <v>1404</v>
      </c>
      <c r="D1185" s="6" t="str">
        <f>_xlfn.IFNA(IF(VLOOKUP(tabListaItens[[#This Row],[CÓDIGO]],tabExcluirDoEstoque[#Data],1,FALSE),"sim",""),"")</f>
        <v>sim</v>
      </c>
      <c r="E1185" s="6" t="str">
        <f>"*"</f>
        <v>*</v>
      </c>
    </row>
    <row r="1186" spans="1:5" x14ac:dyDescent="0.25">
      <c r="A1186" s="8">
        <v>129959</v>
      </c>
      <c r="B1186" s="5" t="s">
        <v>194</v>
      </c>
      <c r="C1186" s="6" t="s">
        <v>1413</v>
      </c>
      <c r="D1186" s="6" t="str">
        <f>_xlfn.IFNA(IF(VLOOKUP(tabListaItens[[#This Row],[CÓDIGO]],tabExcluirDoEstoque[#Data],1,FALSE),"sim",""),"")</f>
        <v>sim</v>
      </c>
      <c r="E1186" s="6" t="str">
        <f>"*"</f>
        <v>*</v>
      </c>
    </row>
    <row r="1187" spans="1:5" x14ac:dyDescent="0.25">
      <c r="A1187" s="8">
        <v>129960</v>
      </c>
      <c r="B1187" s="5" t="s">
        <v>198</v>
      </c>
      <c r="C1187" s="6" t="s">
        <v>1413</v>
      </c>
      <c r="D1187" s="6" t="str">
        <f>_xlfn.IFNA(IF(VLOOKUP(tabListaItens[[#This Row],[CÓDIGO]],tabExcluirDoEstoque[#Data],1,FALSE),"sim",""),"")</f>
        <v/>
      </c>
      <c r="E1187" s="6" t="str">
        <f>"*"</f>
        <v>*</v>
      </c>
    </row>
    <row r="1188" spans="1:5" x14ac:dyDescent="0.25">
      <c r="A1188" s="8">
        <v>129961</v>
      </c>
      <c r="B1188" s="5" t="s">
        <v>413</v>
      </c>
      <c r="C1188" s="6" t="s">
        <v>1397</v>
      </c>
      <c r="D1188" s="6" t="str">
        <f>_xlfn.IFNA(IF(VLOOKUP(tabListaItens[[#This Row],[CÓDIGO]],tabExcluirDoEstoque[#Data],1,FALSE),"sim",""),"")</f>
        <v/>
      </c>
      <c r="E1188" s="6" t="str">
        <f>"*"</f>
        <v>*</v>
      </c>
    </row>
    <row r="1189" spans="1:5" x14ac:dyDescent="0.25">
      <c r="A1189" s="8">
        <v>129962</v>
      </c>
      <c r="B1189" s="5" t="s">
        <v>412</v>
      </c>
      <c r="C1189" s="6" t="s">
        <v>1397</v>
      </c>
      <c r="D1189" s="6" t="str">
        <f>_xlfn.IFNA(IF(VLOOKUP(tabListaItens[[#This Row],[CÓDIGO]],tabExcluirDoEstoque[#Data],1,FALSE),"sim",""),"")</f>
        <v/>
      </c>
      <c r="E1189" s="6" t="str">
        <f>"*"</f>
        <v>*</v>
      </c>
    </row>
    <row r="1190" spans="1:5" x14ac:dyDescent="0.25">
      <c r="A1190" s="8">
        <v>129979</v>
      </c>
      <c r="B1190" s="5" t="s">
        <v>1024</v>
      </c>
      <c r="C1190" s="6" t="s">
        <v>1404</v>
      </c>
      <c r="D1190" s="6" t="str">
        <f>_xlfn.IFNA(IF(VLOOKUP(tabListaItens[[#This Row],[CÓDIGO]],tabExcluirDoEstoque[#Data],1,FALSE),"sim",""),"")</f>
        <v>sim</v>
      </c>
      <c r="E1190" s="6" t="str">
        <f>"*"</f>
        <v>*</v>
      </c>
    </row>
    <row r="1191" spans="1:5" x14ac:dyDescent="0.25">
      <c r="A1191" s="8">
        <v>129991</v>
      </c>
      <c r="B1191" s="5" t="s">
        <v>427</v>
      </c>
      <c r="C1191" s="6" t="s">
        <v>1413</v>
      </c>
      <c r="D1191" s="6" t="str">
        <f>_xlfn.IFNA(IF(VLOOKUP(tabListaItens[[#This Row],[CÓDIGO]],tabExcluirDoEstoque[#Data],1,FALSE),"sim",""),"")</f>
        <v/>
      </c>
      <c r="E1191" s="6" t="str">
        <f>"*"</f>
        <v>*</v>
      </c>
    </row>
    <row r="1192" spans="1:5" x14ac:dyDescent="0.25">
      <c r="A1192" s="8">
        <v>130024</v>
      </c>
      <c r="B1192" s="5" t="s">
        <v>325</v>
      </c>
      <c r="C1192" s="6" t="s">
        <v>1417</v>
      </c>
      <c r="D1192" s="6" t="str">
        <f>_xlfn.IFNA(IF(VLOOKUP(tabListaItens[[#This Row],[CÓDIGO]],tabExcluirDoEstoque[#Data],1,FALSE),"sim",""),"")</f>
        <v/>
      </c>
      <c r="E1192" s="6" t="str">
        <f>"*"</f>
        <v>*</v>
      </c>
    </row>
    <row r="1193" spans="1:5" x14ac:dyDescent="0.25">
      <c r="A1193" s="8">
        <v>130157</v>
      </c>
      <c r="B1193" s="5" t="s">
        <v>1007</v>
      </c>
      <c r="C1193" s="6" t="s">
        <v>1413</v>
      </c>
      <c r="D1193" s="6" t="str">
        <f>_xlfn.IFNA(IF(VLOOKUP(tabListaItens[[#This Row],[CÓDIGO]],tabExcluirDoEstoque[#Data],1,FALSE),"sim",""),"")</f>
        <v>sim</v>
      </c>
      <c r="E1193" s="6" t="str">
        <f>"*"</f>
        <v>*</v>
      </c>
    </row>
    <row r="1194" spans="1:5" x14ac:dyDescent="0.25">
      <c r="A1194" s="8">
        <v>130564</v>
      </c>
      <c r="B1194" s="5" t="s">
        <v>1369</v>
      </c>
      <c r="C1194" s="6" t="s">
        <v>1404</v>
      </c>
      <c r="D1194" s="6" t="str">
        <f>_xlfn.IFNA(IF(VLOOKUP(tabListaItens[[#This Row],[CÓDIGO]],tabExcluirDoEstoque[#Data],1,FALSE),"sim",""),"")</f>
        <v>sim</v>
      </c>
      <c r="E1194" s="6" t="str">
        <f>"*"</f>
        <v>*</v>
      </c>
    </row>
    <row r="1195" spans="1:5" x14ac:dyDescent="0.25">
      <c r="A1195" s="8">
        <v>130572</v>
      </c>
      <c r="B1195" s="5" t="s">
        <v>607</v>
      </c>
      <c r="C1195" s="6" t="s">
        <v>1412</v>
      </c>
      <c r="D1195" s="6" t="str">
        <f>_xlfn.IFNA(IF(VLOOKUP(tabListaItens[[#This Row],[CÓDIGO]],tabExcluirDoEstoque[#Data],1,FALSE),"sim",""),"")</f>
        <v/>
      </c>
      <c r="E1195" s="6" t="str">
        <f>"*"</f>
        <v>*</v>
      </c>
    </row>
    <row r="1196" spans="1:5" ht="30" x14ac:dyDescent="0.25">
      <c r="A1196" s="8">
        <v>130614</v>
      </c>
      <c r="B1196" s="5" t="s">
        <v>627</v>
      </c>
      <c r="C1196" s="6" t="s">
        <v>1402</v>
      </c>
      <c r="D1196" s="6" t="str">
        <f>_xlfn.IFNA(IF(VLOOKUP(tabListaItens[[#This Row],[CÓDIGO]],tabExcluirDoEstoque[#Data],1,FALSE),"sim",""),"")</f>
        <v/>
      </c>
      <c r="E1196" s="6" t="str">
        <f>"*"</f>
        <v>*</v>
      </c>
    </row>
    <row r="1197" spans="1:5" x14ac:dyDescent="0.25">
      <c r="A1197" s="8">
        <v>130618</v>
      </c>
      <c r="B1197" s="5" t="s">
        <v>482</v>
      </c>
      <c r="C1197" s="6" t="s">
        <v>1408</v>
      </c>
      <c r="D1197" s="6" t="str">
        <f>_xlfn.IFNA(IF(VLOOKUP(tabListaItens[[#This Row],[CÓDIGO]],tabExcluirDoEstoque[#Data],1,FALSE),"sim",""),"")</f>
        <v/>
      </c>
      <c r="E1197" s="6" t="str">
        <f>"*"</f>
        <v>*</v>
      </c>
    </row>
    <row r="1198" spans="1:5" x14ac:dyDescent="0.25">
      <c r="A1198" s="8">
        <v>130624</v>
      </c>
      <c r="B1198" s="5" t="s">
        <v>657</v>
      </c>
      <c r="C1198" s="6" t="s">
        <v>1398</v>
      </c>
      <c r="D1198" s="6" t="str">
        <f>_xlfn.IFNA(IF(VLOOKUP(tabListaItens[[#This Row],[CÓDIGO]],tabExcluirDoEstoque[#Data],1,FALSE),"sim",""),"")</f>
        <v/>
      </c>
      <c r="E1198" s="6" t="str">
        <f>"*"</f>
        <v>*</v>
      </c>
    </row>
    <row r="1199" spans="1:5" ht="45" x14ac:dyDescent="0.25">
      <c r="A1199" s="8">
        <v>130632</v>
      </c>
      <c r="B1199" s="5" t="s">
        <v>620</v>
      </c>
      <c r="C1199" s="6" t="s">
        <v>1404</v>
      </c>
      <c r="D1199" s="6" t="str">
        <f>_xlfn.IFNA(IF(VLOOKUP(tabListaItens[[#This Row],[CÓDIGO]],tabExcluirDoEstoque[#Data],1,FALSE),"sim",""),"")</f>
        <v/>
      </c>
      <c r="E1199" s="6" t="str">
        <f>"*"</f>
        <v>*</v>
      </c>
    </row>
    <row r="1200" spans="1:5" x14ac:dyDescent="0.25">
      <c r="A1200" s="8">
        <v>130634</v>
      </c>
      <c r="B1200" s="5" t="s">
        <v>529</v>
      </c>
      <c r="C1200" s="6" t="s">
        <v>1397</v>
      </c>
      <c r="D1200" s="6" t="str">
        <f>_xlfn.IFNA(IF(VLOOKUP(tabListaItens[[#This Row],[CÓDIGO]],tabExcluirDoEstoque[#Data],1,FALSE),"sim",""),"")</f>
        <v/>
      </c>
      <c r="E1200" s="6" t="str">
        <f>"*"</f>
        <v>*</v>
      </c>
    </row>
    <row r="1201" spans="1:5" ht="30" x14ac:dyDescent="0.25">
      <c r="A1201" s="8">
        <v>130695</v>
      </c>
      <c r="B1201" s="5" t="s">
        <v>926</v>
      </c>
      <c r="C1201" s="6" t="s">
        <v>1417</v>
      </c>
      <c r="D1201" s="6" t="str">
        <f>_xlfn.IFNA(IF(VLOOKUP(tabListaItens[[#This Row],[CÓDIGO]],tabExcluirDoEstoque[#Data],1,FALSE),"sim",""),"")</f>
        <v/>
      </c>
      <c r="E1201" s="6" t="str">
        <f>"*"</f>
        <v>*</v>
      </c>
    </row>
    <row r="1202" spans="1:5" x14ac:dyDescent="0.25">
      <c r="A1202" s="8">
        <v>130740</v>
      </c>
      <c r="B1202" s="5" t="s">
        <v>1370</v>
      </c>
      <c r="C1202" s="6" t="s">
        <v>1397</v>
      </c>
      <c r="D1202" s="6" t="str">
        <f>_xlfn.IFNA(IF(VLOOKUP(tabListaItens[[#This Row],[CÓDIGO]],tabExcluirDoEstoque[#Data],1,FALSE),"sim",""),"")</f>
        <v>sim</v>
      </c>
      <c r="E1202" s="6" t="str">
        <f>"*"</f>
        <v>*</v>
      </c>
    </row>
    <row r="1203" spans="1:5" x14ac:dyDescent="0.25">
      <c r="A1203" s="8">
        <v>131138</v>
      </c>
      <c r="B1203" s="5" t="s">
        <v>691</v>
      </c>
      <c r="C1203" s="6" t="s">
        <v>1417</v>
      </c>
      <c r="D1203" s="6" t="str">
        <f>_xlfn.IFNA(IF(VLOOKUP(tabListaItens[[#This Row],[CÓDIGO]],tabExcluirDoEstoque[#Data],1,FALSE),"sim",""),"")</f>
        <v/>
      </c>
      <c r="E1203" s="6" t="str">
        <f>"*"</f>
        <v>*</v>
      </c>
    </row>
    <row r="1204" spans="1:5" x14ac:dyDescent="0.25">
      <c r="A1204" s="8">
        <v>131195</v>
      </c>
      <c r="B1204" s="5" t="s">
        <v>1371</v>
      </c>
      <c r="C1204" s="6" t="s">
        <v>1409</v>
      </c>
      <c r="D1204" s="6" t="str">
        <f>_xlfn.IFNA(IF(VLOOKUP(tabListaItens[[#This Row],[CÓDIGO]],tabExcluirDoEstoque[#Data],1,FALSE),"sim",""),"")</f>
        <v>sim</v>
      </c>
      <c r="E1204" s="6" t="str">
        <f>"*"</f>
        <v>*</v>
      </c>
    </row>
    <row r="1205" spans="1:5" x14ac:dyDescent="0.25">
      <c r="A1205" s="8">
        <v>131221</v>
      </c>
      <c r="B1205" s="5" t="s">
        <v>1372</v>
      </c>
      <c r="C1205" s="6" t="s">
        <v>1418</v>
      </c>
      <c r="D1205" s="6" t="str">
        <f>_xlfn.IFNA(IF(VLOOKUP(tabListaItens[[#This Row],[CÓDIGO]],tabExcluirDoEstoque[#Data],1,FALSE),"sim",""),"")</f>
        <v>sim</v>
      </c>
      <c r="E1205" s="6" t="str">
        <f>"*"</f>
        <v>*</v>
      </c>
    </row>
    <row r="1206" spans="1:5" x14ac:dyDescent="0.25">
      <c r="A1206" s="8">
        <v>131344</v>
      </c>
      <c r="B1206" s="5" t="s">
        <v>326</v>
      </c>
      <c r="C1206" s="6" t="s">
        <v>1400</v>
      </c>
      <c r="D1206" s="6" t="str">
        <f>_xlfn.IFNA(IF(VLOOKUP(tabListaItens[[#This Row],[CÓDIGO]],tabExcluirDoEstoque[#Data],1,FALSE),"sim",""),"")</f>
        <v/>
      </c>
      <c r="E1206" s="6" t="str">
        <f>"*"</f>
        <v>*</v>
      </c>
    </row>
    <row r="1207" spans="1:5" x14ac:dyDescent="0.25">
      <c r="A1207" s="8">
        <v>131482</v>
      </c>
      <c r="B1207" s="5" t="s">
        <v>629</v>
      </c>
      <c r="C1207" s="6" t="s">
        <v>1404</v>
      </c>
      <c r="D1207" s="6" t="str">
        <f>_xlfn.IFNA(IF(VLOOKUP(tabListaItens[[#This Row],[CÓDIGO]],tabExcluirDoEstoque[#Data],1,FALSE),"sim",""),"")</f>
        <v/>
      </c>
      <c r="E1207" s="6" t="str">
        <f>"*"</f>
        <v>*</v>
      </c>
    </row>
    <row r="1208" spans="1:5" x14ac:dyDescent="0.25">
      <c r="A1208" s="8">
        <v>131579</v>
      </c>
      <c r="B1208" s="5" t="s">
        <v>1373</v>
      </c>
      <c r="C1208" s="6" t="s">
        <v>1404</v>
      </c>
      <c r="D1208" s="6" t="str">
        <f>_xlfn.IFNA(IF(VLOOKUP(tabListaItens[[#This Row],[CÓDIGO]],tabExcluirDoEstoque[#Data],1,FALSE),"sim",""),"")</f>
        <v>sim</v>
      </c>
      <c r="E1208" s="6" t="str">
        <f>"*"</f>
        <v>*</v>
      </c>
    </row>
    <row r="1209" spans="1:5" x14ac:dyDescent="0.25">
      <c r="A1209" s="8">
        <v>131917</v>
      </c>
      <c r="B1209" s="5" t="s">
        <v>124</v>
      </c>
      <c r="C1209" s="6" t="s">
        <v>1404</v>
      </c>
      <c r="D1209" s="6" t="str">
        <f>_xlfn.IFNA(IF(VLOOKUP(tabListaItens[[#This Row],[CÓDIGO]],tabExcluirDoEstoque[#Data],1,FALSE),"sim",""),"")</f>
        <v/>
      </c>
      <c r="E1209" s="6" t="str">
        <f>"*"</f>
        <v>*</v>
      </c>
    </row>
    <row r="1210" spans="1:5" x14ac:dyDescent="0.25">
      <c r="A1210" s="8">
        <v>131926</v>
      </c>
      <c r="B1210" s="5" t="s">
        <v>551</v>
      </c>
      <c r="C1210" s="6" t="s">
        <v>1404</v>
      </c>
      <c r="D1210" s="6" t="str">
        <f>_xlfn.IFNA(IF(VLOOKUP(tabListaItens[[#This Row],[CÓDIGO]],tabExcluirDoEstoque[#Data],1,FALSE),"sim",""),"")</f>
        <v/>
      </c>
      <c r="E1210" s="6" t="str">
        <f>"*"</f>
        <v>*</v>
      </c>
    </row>
    <row r="1211" spans="1:5" x14ac:dyDescent="0.25">
      <c r="A1211" s="8">
        <v>131927</v>
      </c>
      <c r="B1211" s="5" t="s">
        <v>552</v>
      </c>
      <c r="C1211" s="6" t="s">
        <v>1404</v>
      </c>
      <c r="D1211" s="6" t="str">
        <f>_xlfn.IFNA(IF(VLOOKUP(tabListaItens[[#This Row],[CÓDIGO]],tabExcluirDoEstoque[#Data],1,FALSE),"sim",""),"")</f>
        <v/>
      </c>
      <c r="E1211" s="6" t="str">
        <f>"*"</f>
        <v>*</v>
      </c>
    </row>
    <row r="1212" spans="1:5" x14ac:dyDescent="0.25">
      <c r="A1212" s="8">
        <v>131930</v>
      </c>
      <c r="B1212" s="5" t="s">
        <v>478</v>
      </c>
      <c r="C1212" s="6" t="s">
        <v>1404</v>
      </c>
      <c r="D1212" s="6" t="str">
        <f>_xlfn.IFNA(IF(VLOOKUP(tabListaItens[[#This Row],[CÓDIGO]],tabExcluirDoEstoque[#Data],1,FALSE),"sim",""),"")</f>
        <v/>
      </c>
      <c r="E1212" s="6" t="str">
        <f>"*"</f>
        <v>*</v>
      </c>
    </row>
    <row r="1213" spans="1:5" x14ac:dyDescent="0.25">
      <c r="A1213" s="8">
        <v>131931</v>
      </c>
      <c r="B1213" s="5" t="s">
        <v>499</v>
      </c>
      <c r="C1213" s="6" t="s">
        <v>1404</v>
      </c>
      <c r="D1213" s="6" t="str">
        <f>_xlfn.IFNA(IF(VLOOKUP(tabListaItens[[#This Row],[CÓDIGO]],tabExcluirDoEstoque[#Data],1,FALSE),"sim",""),"")</f>
        <v>sim</v>
      </c>
      <c r="E1213" s="6" t="str">
        <f>"*"</f>
        <v>*</v>
      </c>
    </row>
    <row r="1214" spans="1:5" x14ac:dyDescent="0.25">
      <c r="A1214" s="8">
        <v>131933</v>
      </c>
      <c r="B1214" s="5" t="s">
        <v>1091</v>
      </c>
      <c r="C1214" s="6" t="s">
        <v>1404</v>
      </c>
      <c r="D1214" s="6" t="str">
        <f>_xlfn.IFNA(IF(VLOOKUP(tabListaItens[[#This Row],[CÓDIGO]],tabExcluirDoEstoque[#Data],1,FALSE),"sim",""),"")</f>
        <v>sim</v>
      </c>
      <c r="E1214" s="6" t="str">
        <f>"*"</f>
        <v>*</v>
      </c>
    </row>
    <row r="1215" spans="1:5" x14ac:dyDescent="0.25">
      <c r="A1215" s="8">
        <v>131935</v>
      </c>
      <c r="B1215" s="5" t="s">
        <v>710</v>
      </c>
      <c r="C1215" s="6" t="s">
        <v>1404</v>
      </c>
      <c r="D1215" s="6" t="str">
        <f>_xlfn.IFNA(IF(VLOOKUP(tabListaItens[[#This Row],[CÓDIGO]],tabExcluirDoEstoque[#Data],1,FALSE),"sim",""),"")</f>
        <v/>
      </c>
      <c r="E1215" s="6" t="str">
        <f>"*"</f>
        <v>*</v>
      </c>
    </row>
    <row r="1216" spans="1:5" x14ac:dyDescent="0.25">
      <c r="A1216" s="8">
        <v>131937</v>
      </c>
      <c r="B1216" s="5" t="s">
        <v>736</v>
      </c>
      <c r="C1216" s="6" t="s">
        <v>1404</v>
      </c>
      <c r="D1216" s="6" t="str">
        <f>_xlfn.IFNA(IF(VLOOKUP(tabListaItens[[#This Row],[CÓDIGO]],tabExcluirDoEstoque[#Data],1,FALSE),"sim",""),"")</f>
        <v/>
      </c>
      <c r="E1216" s="6" t="str">
        <f>"*"</f>
        <v>*</v>
      </c>
    </row>
    <row r="1217" spans="1:5" x14ac:dyDescent="0.25">
      <c r="A1217" s="8">
        <v>131938</v>
      </c>
      <c r="B1217" s="5" t="s">
        <v>737</v>
      </c>
      <c r="C1217" s="6" t="s">
        <v>1404</v>
      </c>
      <c r="D1217" s="6" t="str">
        <f>_xlfn.IFNA(IF(VLOOKUP(tabListaItens[[#This Row],[CÓDIGO]],tabExcluirDoEstoque[#Data],1,FALSE),"sim",""),"")</f>
        <v>sim</v>
      </c>
      <c r="E1217" s="6" t="str">
        <f>"*"</f>
        <v>*</v>
      </c>
    </row>
    <row r="1218" spans="1:5" x14ac:dyDescent="0.25">
      <c r="A1218" s="8">
        <v>131939</v>
      </c>
      <c r="B1218" s="5" t="s">
        <v>738</v>
      </c>
      <c r="C1218" s="6" t="s">
        <v>1404</v>
      </c>
      <c r="D1218" s="6" t="str">
        <f>_xlfn.IFNA(IF(VLOOKUP(tabListaItens[[#This Row],[CÓDIGO]],tabExcluirDoEstoque[#Data],1,FALSE),"sim",""),"")</f>
        <v>sim</v>
      </c>
      <c r="E1218" s="6" t="str">
        <f>"*"</f>
        <v>*</v>
      </c>
    </row>
    <row r="1219" spans="1:5" x14ac:dyDescent="0.25">
      <c r="A1219" s="8">
        <v>131940</v>
      </c>
      <c r="B1219" s="5" t="s">
        <v>740</v>
      </c>
      <c r="C1219" s="6" t="s">
        <v>1404</v>
      </c>
      <c r="D1219" s="6" t="str">
        <f>_xlfn.IFNA(IF(VLOOKUP(tabListaItens[[#This Row],[CÓDIGO]],tabExcluirDoEstoque[#Data],1,FALSE),"sim",""),"")</f>
        <v>sim</v>
      </c>
      <c r="E1219" s="6" t="str">
        <f>"*"</f>
        <v>*</v>
      </c>
    </row>
    <row r="1220" spans="1:5" x14ac:dyDescent="0.25">
      <c r="A1220" s="8">
        <v>131942</v>
      </c>
      <c r="B1220" s="5" t="s">
        <v>1374</v>
      </c>
      <c r="C1220" s="6"/>
      <c r="D1220" s="6" t="str">
        <f>_xlfn.IFNA(IF(VLOOKUP(tabListaItens[[#This Row],[CÓDIGO]],tabExcluirDoEstoque[#Data],1,FALSE),"sim",""),"")</f>
        <v>sim</v>
      </c>
      <c r="E1220" s="6" t="str">
        <f>"*"</f>
        <v>*</v>
      </c>
    </row>
    <row r="1221" spans="1:5" x14ac:dyDescent="0.25">
      <c r="A1221" s="8">
        <v>132229</v>
      </c>
      <c r="B1221" s="5" t="s">
        <v>208</v>
      </c>
      <c r="C1221" s="6" t="s">
        <v>1413</v>
      </c>
      <c r="D1221" s="6" t="str">
        <f>_xlfn.IFNA(IF(VLOOKUP(tabListaItens[[#This Row],[CÓDIGO]],tabExcluirDoEstoque[#Data],1,FALSE),"sim",""),"")</f>
        <v/>
      </c>
      <c r="E1221" s="6" t="str">
        <f>"*"</f>
        <v>*</v>
      </c>
    </row>
    <row r="1222" spans="1:5" x14ac:dyDescent="0.25">
      <c r="A1222" s="8">
        <v>132230</v>
      </c>
      <c r="B1222" s="5" t="s">
        <v>209</v>
      </c>
      <c r="C1222" s="6" t="s">
        <v>1413</v>
      </c>
      <c r="D1222" s="6" t="str">
        <f>_xlfn.IFNA(IF(VLOOKUP(tabListaItens[[#This Row],[CÓDIGO]],tabExcluirDoEstoque[#Data],1,FALSE),"sim",""),"")</f>
        <v>sim</v>
      </c>
      <c r="E1222" s="6" t="str">
        <f>"*"</f>
        <v>*</v>
      </c>
    </row>
    <row r="1223" spans="1:5" x14ac:dyDescent="0.25">
      <c r="A1223" s="8">
        <v>132231</v>
      </c>
      <c r="B1223" s="5" t="s">
        <v>1524</v>
      </c>
      <c r="C1223" s="6" t="s">
        <v>1413</v>
      </c>
      <c r="D1223" s="6" t="str">
        <f>_xlfn.IFNA(IF(VLOOKUP(tabListaItens[[#This Row],[CÓDIGO]],tabExcluirDoEstoque[#Data],1,FALSE),"sim",""),"")</f>
        <v>sim</v>
      </c>
      <c r="E1223" s="6" t="str">
        <f>"*"</f>
        <v>*</v>
      </c>
    </row>
    <row r="1224" spans="1:5" x14ac:dyDescent="0.25">
      <c r="A1224" s="8">
        <v>132232</v>
      </c>
      <c r="B1224" s="5" t="s">
        <v>466</v>
      </c>
      <c r="C1224" s="6" t="s">
        <v>1409</v>
      </c>
      <c r="D1224" s="6" t="str">
        <f>_xlfn.IFNA(IF(VLOOKUP(tabListaItens[[#This Row],[CÓDIGO]],tabExcluirDoEstoque[#Data],1,FALSE),"sim",""),"")</f>
        <v/>
      </c>
      <c r="E1224" s="6" t="str">
        <f>"*"</f>
        <v>*</v>
      </c>
    </row>
    <row r="1225" spans="1:5" x14ac:dyDescent="0.25">
      <c r="A1225" s="8">
        <v>132290</v>
      </c>
      <c r="B1225" s="5" t="s">
        <v>476</v>
      </c>
      <c r="C1225" s="6" t="s">
        <v>1408</v>
      </c>
      <c r="D1225" s="6" t="str">
        <f>_xlfn.IFNA(IF(VLOOKUP(tabListaItens[[#This Row],[CÓDIGO]],tabExcluirDoEstoque[#Data],1,FALSE),"sim",""),"")</f>
        <v/>
      </c>
      <c r="E1225" s="6" t="str">
        <f>"*"</f>
        <v>*</v>
      </c>
    </row>
    <row r="1226" spans="1:5" ht="30" x14ac:dyDescent="0.25">
      <c r="A1226" s="8">
        <v>132296</v>
      </c>
      <c r="B1226" s="5" t="s">
        <v>479</v>
      </c>
      <c r="C1226" s="6" t="s">
        <v>1408</v>
      </c>
      <c r="D1226" s="6" t="str">
        <f>_xlfn.IFNA(IF(VLOOKUP(tabListaItens[[#This Row],[CÓDIGO]],tabExcluirDoEstoque[#Data],1,FALSE),"sim",""),"")</f>
        <v/>
      </c>
      <c r="E1226" s="6" t="str">
        <f>"*"</f>
        <v>*</v>
      </c>
    </row>
    <row r="1227" spans="1:5" ht="30" x14ac:dyDescent="0.25">
      <c r="A1227" s="8">
        <v>132297</v>
      </c>
      <c r="B1227" s="5" t="s">
        <v>480</v>
      </c>
      <c r="C1227" s="6" t="s">
        <v>1408</v>
      </c>
      <c r="D1227" s="6" t="str">
        <f>_xlfn.IFNA(IF(VLOOKUP(tabListaItens[[#This Row],[CÓDIGO]],tabExcluirDoEstoque[#Data],1,FALSE),"sim",""),"")</f>
        <v/>
      </c>
      <c r="E1227" s="6" t="str">
        <f>"*"</f>
        <v>*</v>
      </c>
    </row>
    <row r="1228" spans="1:5" ht="30" x14ac:dyDescent="0.25">
      <c r="A1228" s="8">
        <v>132299</v>
      </c>
      <c r="B1228" s="5" t="s">
        <v>1568</v>
      </c>
      <c r="C1228" s="6" t="s">
        <v>1417</v>
      </c>
      <c r="D1228" s="76" t="str">
        <f>_xlfn.IFNA(IF(VLOOKUP(tabListaItens[[#This Row],[CÓDIGO]],tabExcluirDoEstoque[#Data],1,FALSE),"sim",""),"")</f>
        <v/>
      </c>
      <c r="E1228" s="76" t="str">
        <f>"*"</f>
        <v>*</v>
      </c>
    </row>
    <row r="1229" spans="1:5" ht="30" x14ac:dyDescent="0.25">
      <c r="A1229" s="8">
        <v>132300</v>
      </c>
      <c r="B1229" s="5" t="s">
        <v>548</v>
      </c>
      <c r="C1229" s="6" t="s">
        <v>1417</v>
      </c>
      <c r="D1229" s="6" t="str">
        <f>_xlfn.IFNA(IF(VLOOKUP(tabListaItens[[#This Row],[CÓDIGO]],tabExcluirDoEstoque[#Data],1,FALSE),"sim",""),"")</f>
        <v/>
      </c>
      <c r="E1229" s="6" t="str">
        <f>"*"</f>
        <v>*</v>
      </c>
    </row>
    <row r="1230" spans="1:5" ht="30" x14ac:dyDescent="0.25">
      <c r="A1230" s="8">
        <v>132303</v>
      </c>
      <c r="B1230" s="5" t="s">
        <v>683</v>
      </c>
      <c r="C1230" s="6" t="s">
        <v>1410</v>
      </c>
      <c r="D1230" s="6" t="str">
        <f>_xlfn.IFNA(IF(VLOOKUP(tabListaItens[[#This Row],[CÓDIGO]],tabExcluirDoEstoque[#Data],1,FALSE),"sim",""),"")</f>
        <v/>
      </c>
      <c r="E1230" s="6" t="str">
        <f>"*"</f>
        <v>*</v>
      </c>
    </row>
    <row r="1231" spans="1:5" x14ac:dyDescent="0.25">
      <c r="A1231" s="8">
        <v>132305</v>
      </c>
      <c r="B1231" s="5" t="s">
        <v>739</v>
      </c>
      <c r="C1231" s="6" t="s">
        <v>1404</v>
      </c>
      <c r="D1231" s="6" t="str">
        <f>_xlfn.IFNA(IF(VLOOKUP(tabListaItens[[#This Row],[CÓDIGO]],tabExcluirDoEstoque[#Data],1,FALSE),"sim",""),"")</f>
        <v>sim</v>
      </c>
      <c r="E1231" s="6" t="str">
        <f>"*"</f>
        <v>*</v>
      </c>
    </row>
    <row r="1232" spans="1:5" x14ac:dyDescent="0.25">
      <c r="A1232" s="8">
        <v>132394</v>
      </c>
      <c r="B1232" s="5" t="s">
        <v>474</v>
      </c>
      <c r="C1232" s="6" t="s">
        <v>1408</v>
      </c>
      <c r="D1232" s="6" t="str">
        <f>_xlfn.IFNA(IF(VLOOKUP(tabListaItens[[#This Row],[CÓDIGO]],tabExcluirDoEstoque[#Data],1,FALSE),"sim",""),"")</f>
        <v/>
      </c>
      <c r="E1232" s="6" t="str">
        <f>"*"</f>
        <v>*</v>
      </c>
    </row>
    <row r="1233" spans="1:5" x14ac:dyDescent="0.25">
      <c r="A1233" s="8">
        <v>132395</v>
      </c>
      <c r="B1233" s="5" t="s">
        <v>475</v>
      </c>
      <c r="C1233" s="6" t="s">
        <v>1408</v>
      </c>
      <c r="D1233" s="6" t="str">
        <f>_xlfn.IFNA(IF(VLOOKUP(tabListaItens[[#This Row],[CÓDIGO]],tabExcluirDoEstoque[#Data],1,FALSE),"sim",""),"")</f>
        <v/>
      </c>
      <c r="E1233" s="6" t="str">
        <f>"*"</f>
        <v>*</v>
      </c>
    </row>
    <row r="1234" spans="1:5" x14ac:dyDescent="0.25">
      <c r="A1234" s="8">
        <v>132400</v>
      </c>
      <c r="B1234" s="5" t="s">
        <v>355</v>
      </c>
      <c r="C1234" s="6" t="s">
        <v>1402</v>
      </c>
      <c r="D1234" s="6" t="str">
        <f>_xlfn.IFNA(IF(VLOOKUP(tabListaItens[[#This Row],[CÓDIGO]],tabExcluirDoEstoque[#Data],1,FALSE),"sim",""),"")</f>
        <v/>
      </c>
      <c r="E1234" s="6" t="str">
        <f>"*"</f>
        <v>*</v>
      </c>
    </row>
    <row r="1235" spans="1:5" x14ac:dyDescent="0.25">
      <c r="A1235" s="8">
        <v>132405</v>
      </c>
      <c r="B1235" s="5" t="s">
        <v>443</v>
      </c>
      <c r="C1235" s="6" t="s">
        <v>1398</v>
      </c>
      <c r="D1235" s="6" t="str">
        <f>_xlfn.IFNA(IF(VLOOKUP(tabListaItens[[#This Row],[CÓDIGO]],tabExcluirDoEstoque[#Data],1,FALSE),"sim",""),"")</f>
        <v/>
      </c>
      <c r="E1235" s="6" t="str">
        <f>"*"</f>
        <v>*</v>
      </c>
    </row>
    <row r="1236" spans="1:5" x14ac:dyDescent="0.25">
      <c r="A1236" s="8">
        <v>132407</v>
      </c>
      <c r="B1236" s="5" t="s">
        <v>442</v>
      </c>
      <c r="C1236" s="6" t="s">
        <v>1398</v>
      </c>
      <c r="D1236" s="6" t="str">
        <f>_xlfn.IFNA(IF(VLOOKUP(tabListaItens[[#This Row],[CÓDIGO]],tabExcluirDoEstoque[#Data],1,FALSE),"sim",""),"")</f>
        <v/>
      </c>
      <c r="E1236" s="6" t="str">
        <f>"*"</f>
        <v>*</v>
      </c>
    </row>
    <row r="1237" spans="1:5" x14ac:dyDescent="0.25">
      <c r="A1237" s="8">
        <v>132447</v>
      </c>
      <c r="B1237" s="5" t="s">
        <v>1375</v>
      </c>
      <c r="C1237" s="6" t="s">
        <v>1420</v>
      </c>
      <c r="D1237" s="6" t="str">
        <f>_xlfn.IFNA(IF(VLOOKUP(tabListaItens[[#This Row],[CÓDIGO]],tabExcluirDoEstoque[#Data],1,FALSE),"sim",""),"")</f>
        <v>sim</v>
      </c>
      <c r="E1237" s="6" t="str">
        <f>"*"</f>
        <v>*</v>
      </c>
    </row>
    <row r="1238" spans="1:5" x14ac:dyDescent="0.25">
      <c r="A1238" s="8">
        <v>132465</v>
      </c>
      <c r="B1238" s="5" t="s">
        <v>454</v>
      </c>
      <c r="C1238" s="6" t="s">
        <v>1404</v>
      </c>
      <c r="D1238" s="6" t="str">
        <f>_xlfn.IFNA(IF(VLOOKUP(tabListaItens[[#This Row],[CÓDIGO]],tabExcluirDoEstoque[#Data],1,FALSE),"sim",""),"")</f>
        <v/>
      </c>
      <c r="E1238" s="6" t="str">
        <f>"*"</f>
        <v>*</v>
      </c>
    </row>
    <row r="1239" spans="1:5" x14ac:dyDescent="0.25">
      <c r="A1239" s="8">
        <v>132612</v>
      </c>
      <c r="B1239" s="5" t="s">
        <v>1376</v>
      </c>
      <c r="C1239" s="6" t="s">
        <v>1404</v>
      </c>
      <c r="D1239" s="6" t="str">
        <f>_xlfn.IFNA(IF(VLOOKUP(tabListaItens[[#This Row],[CÓDIGO]],tabExcluirDoEstoque[#Data],1,FALSE),"sim",""),"")</f>
        <v>sim</v>
      </c>
      <c r="E1239" s="6" t="str">
        <f>"*"</f>
        <v>*</v>
      </c>
    </row>
    <row r="1240" spans="1:5" x14ac:dyDescent="0.25">
      <c r="A1240" s="8">
        <v>132613</v>
      </c>
      <c r="B1240" s="5" t="s">
        <v>1377</v>
      </c>
      <c r="C1240" s="6" t="s">
        <v>1404</v>
      </c>
      <c r="D1240" s="6" t="str">
        <f>_xlfn.IFNA(IF(VLOOKUP(tabListaItens[[#This Row],[CÓDIGO]],tabExcluirDoEstoque[#Data],1,FALSE),"sim",""),"")</f>
        <v>sim</v>
      </c>
      <c r="E1240" s="6" t="str">
        <f>"*"</f>
        <v>*</v>
      </c>
    </row>
    <row r="1241" spans="1:5" x14ac:dyDescent="0.25">
      <c r="A1241" s="8">
        <v>132623</v>
      </c>
      <c r="B1241" s="5" t="s">
        <v>88</v>
      </c>
      <c r="C1241" s="6" t="s">
        <v>1404</v>
      </c>
      <c r="D1241" s="6" t="str">
        <f>_xlfn.IFNA(IF(VLOOKUP(tabListaItens[[#This Row],[CÓDIGO]],tabExcluirDoEstoque[#Data],1,FALSE),"sim",""),"")</f>
        <v/>
      </c>
      <c r="E1241" s="6" t="str">
        <f>"*"</f>
        <v>*</v>
      </c>
    </row>
    <row r="1242" spans="1:5" x14ac:dyDescent="0.25">
      <c r="A1242" s="8">
        <v>132624</v>
      </c>
      <c r="B1242" s="5" t="s">
        <v>554</v>
      </c>
      <c r="C1242" s="6" t="s">
        <v>1404</v>
      </c>
      <c r="D1242" s="6" t="str">
        <f>_xlfn.IFNA(IF(VLOOKUP(tabListaItens[[#This Row],[CÓDIGO]],tabExcluirDoEstoque[#Data],1,FALSE),"sim",""),"")</f>
        <v/>
      </c>
      <c r="E1242" s="6" t="str">
        <f>"*"</f>
        <v>*</v>
      </c>
    </row>
    <row r="1243" spans="1:5" x14ac:dyDescent="0.25">
      <c r="A1243" s="8">
        <v>132646</v>
      </c>
      <c r="B1243" s="5" t="s">
        <v>267</v>
      </c>
      <c r="C1243" s="6" t="s">
        <v>1407</v>
      </c>
      <c r="D1243" s="6" t="str">
        <f>_xlfn.IFNA(IF(VLOOKUP(tabListaItens[[#This Row],[CÓDIGO]],tabExcluirDoEstoque[#Data],1,FALSE),"sim",""),"")</f>
        <v/>
      </c>
      <c r="E1243" s="6" t="str">
        <f>"*"</f>
        <v>*</v>
      </c>
    </row>
    <row r="1244" spans="1:5" x14ac:dyDescent="0.25">
      <c r="A1244" s="8">
        <v>132647</v>
      </c>
      <c r="B1244" s="5" t="s">
        <v>268</v>
      </c>
      <c r="C1244" s="6" t="s">
        <v>1404</v>
      </c>
      <c r="D1244" s="6" t="str">
        <f>_xlfn.IFNA(IF(VLOOKUP(tabListaItens[[#This Row],[CÓDIGO]],tabExcluirDoEstoque[#Data],1,FALSE),"sim",""),"")</f>
        <v/>
      </c>
      <c r="E1244" s="6" t="str">
        <f>"*"</f>
        <v>*</v>
      </c>
    </row>
    <row r="1245" spans="1:5" x14ac:dyDescent="0.25">
      <c r="A1245" s="8">
        <v>132649</v>
      </c>
      <c r="B1245" s="5" t="s">
        <v>270</v>
      </c>
      <c r="C1245" s="6" t="s">
        <v>1404</v>
      </c>
      <c r="D1245" s="6" t="str">
        <f>_xlfn.IFNA(IF(VLOOKUP(tabListaItens[[#This Row],[CÓDIGO]],tabExcluirDoEstoque[#Data],1,FALSE),"sim",""),"")</f>
        <v/>
      </c>
      <c r="E1245" s="6" t="str">
        <f>"*"</f>
        <v>*</v>
      </c>
    </row>
    <row r="1246" spans="1:5" x14ac:dyDescent="0.25">
      <c r="A1246" s="8">
        <v>132650</v>
      </c>
      <c r="B1246" s="5" t="s">
        <v>327</v>
      </c>
      <c r="C1246" s="6" t="s">
        <v>1404</v>
      </c>
      <c r="D1246" s="6" t="str">
        <f>_xlfn.IFNA(IF(VLOOKUP(tabListaItens[[#This Row],[CÓDIGO]],tabExcluirDoEstoque[#Data],1,FALSE),"sim",""),"")</f>
        <v/>
      </c>
      <c r="E1246" s="6" t="str">
        <f>"*"</f>
        <v>*</v>
      </c>
    </row>
    <row r="1247" spans="1:5" ht="30" x14ac:dyDescent="0.25">
      <c r="A1247" s="8">
        <v>132655</v>
      </c>
      <c r="B1247" s="5" t="s">
        <v>1519</v>
      </c>
      <c r="C1247" s="6" t="s">
        <v>1404</v>
      </c>
      <c r="D1247" s="6" t="str">
        <f>_xlfn.IFNA(IF(VLOOKUP(tabListaItens[[#This Row],[CÓDIGO]],tabExcluirDoEstoque[#Data],1,FALSE),"sim",""),"")</f>
        <v/>
      </c>
      <c r="E1247" s="6" t="str">
        <f>"*"</f>
        <v>*</v>
      </c>
    </row>
    <row r="1248" spans="1:5" ht="30" x14ac:dyDescent="0.25">
      <c r="A1248" s="8">
        <v>132656</v>
      </c>
      <c r="B1248" s="5" t="s">
        <v>1520</v>
      </c>
      <c r="C1248" s="6" t="s">
        <v>1404</v>
      </c>
      <c r="D1248" s="6" t="str">
        <f>_xlfn.IFNA(IF(VLOOKUP(tabListaItens[[#This Row],[CÓDIGO]],tabExcluirDoEstoque[#Data],1,FALSE),"sim",""),"")</f>
        <v/>
      </c>
      <c r="E1248" s="6" t="str">
        <f>"*"</f>
        <v>*</v>
      </c>
    </row>
    <row r="1249" spans="1:5" x14ac:dyDescent="0.25">
      <c r="A1249" s="8">
        <v>132713</v>
      </c>
      <c r="B1249" s="5" t="s">
        <v>1378</v>
      </c>
      <c r="C1249" s="6" t="s">
        <v>1397</v>
      </c>
      <c r="D1249" s="6" t="str">
        <f>_xlfn.IFNA(IF(VLOOKUP(tabListaItens[[#This Row],[CÓDIGO]],tabExcluirDoEstoque[#Data],1,FALSE),"sim",""),"")</f>
        <v>sim</v>
      </c>
      <c r="E1249" s="6" t="str">
        <f>"*"</f>
        <v>*</v>
      </c>
    </row>
    <row r="1250" spans="1:5" x14ac:dyDescent="0.25">
      <c r="A1250" s="8">
        <v>132714</v>
      </c>
      <c r="B1250" s="5" t="s">
        <v>89</v>
      </c>
      <c r="C1250" s="6" t="s">
        <v>1397</v>
      </c>
      <c r="D1250" s="6" t="str">
        <f>_xlfn.IFNA(IF(VLOOKUP(tabListaItens[[#This Row],[CÓDIGO]],tabExcluirDoEstoque[#Data],1,FALSE),"sim",""),"")</f>
        <v>sim</v>
      </c>
      <c r="E1250" s="6" t="str">
        <f>"*"</f>
        <v>*</v>
      </c>
    </row>
    <row r="1251" spans="1:5" x14ac:dyDescent="0.25">
      <c r="A1251" s="8">
        <v>132715</v>
      </c>
      <c r="B1251" s="5" t="s">
        <v>90</v>
      </c>
      <c r="C1251" s="6" t="s">
        <v>1397</v>
      </c>
      <c r="D1251" s="6" t="str">
        <f>_xlfn.IFNA(IF(VLOOKUP(tabListaItens[[#This Row],[CÓDIGO]],tabExcluirDoEstoque[#Data],1,FALSE),"sim",""),"")</f>
        <v>sim</v>
      </c>
      <c r="E1251" s="6" t="str">
        <f>"*"</f>
        <v>*</v>
      </c>
    </row>
    <row r="1252" spans="1:5" x14ac:dyDescent="0.25">
      <c r="A1252" s="8">
        <v>132751</v>
      </c>
      <c r="B1252" s="5" t="s">
        <v>488</v>
      </c>
      <c r="C1252" s="6" t="s">
        <v>1408</v>
      </c>
      <c r="D1252" s="6" t="str">
        <f>_xlfn.IFNA(IF(VLOOKUP(tabListaItens[[#This Row],[CÓDIGO]],tabExcluirDoEstoque[#Data],1,FALSE),"sim",""),"")</f>
        <v/>
      </c>
      <c r="E1252" s="6" t="str">
        <f>"*"</f>
        <v>*</v>
      </c>
    </row>
    <row r="1253" spans="1:5" x14ac:dyDescent="0.25">
      <c r="A1253" s="8">
        <v>132769</v>
      </c>
      <c r="B1253" s="5" t="s">
        <v>115</v>
      </c>
      <c r="C1253" s="6" t="s">
        <v>1400</v>
      </c>
      <c r="D1253" s="6" t="str">
        <f>_xlfn.IFNA(IF(VLOOKUP(tabListaItens[[#This Row],[CÓDIGO]],tabExcluirDoEstoque[#Data],1,FALSE),"sim",""),"")</f>
        <v>sim</v>
      </c>
      <c r="E1253" s="6" t="str">
        <f>"*"</f>
        <v>*</v>
      </c>
    </row>
    <row r="1254" spans="1:5" x14ac:dyDescent="0.25">
      <c r="A1254" s="8">
        <v>132799</v>
      </c>
      <c r="B1254" s="5" t="s">
        <v>289</v>
      </c>
      <c r="C1254" s="6" t="s">
        <v>1404</v>
      </c>
      <c r="D1254" s="6" t="str">
        <f>_xlfn.IFNA(IF(VLOOKUP(tabListaItens[[#This Row],[CÓDIGO]],tabExcluirDoEstoque[#Data],1,FALSE),"sim",""),"")</f>
        <v/>
      </c>
      <c r="E1254" s="6" t="str">
        <f>"*"</f>
        <v>*</v>
      </c>
    </row>
    <row r="1255" spans="1:5" x14ac:dyDescent="0.25">
      <c r="A1255" s="8">
        <v>133021</v>
      </c>
      <c r="B1255" s="5" t="s">
        <v>631</v>
      </c>
      <c r="C1255" s="6" t="s">
        <v>1404</v>
      </c>
      <c r="D1255" s="6" t="str">
        <f>_xlfn.IFNA(IF(VLOOKUP(tabListaItens[[#This Row],[CÓDIGO]],tabExcluirDoEstoque[#Data],1,FALSE),"sim",""),"")</f>
        <v/>
      </c>
      <c r="E1255" s="6" t="str">
        <f>"*"</f>
        <v>*</v>
      </c>
    </row>
    <row r="1256" spans="1:5" x14ac:dyDescent="0.25">
      <c r="A1256" s="8">
        <v>133042</v>
      </c>
      <c r="B1256" s="5" t="s">
        <v>1164</v>
      </c>
      <c r="C1256" s="6" t="s">
        <v>1404</v>
      </c>
      <c r="D1256" s="6" t="str">
        <f>_xlfn.IFNA(IF(VLOOKUP(tabListaItens[[#This Row],[CÓDIGO]],tabExcluirDoEstoque[#Data],1,FALSE),"sim",""),"")</f>
        <v>sim</v>
      </c>
      <c r="E1256" s="6" t="str">
        <f>"*"</f>
        <v>*</v>
      </c>
    </row>
    <row r="1257" spans="1:5" x14ac:dyDescent="0.25">
      <c r="A1257" s="8">
        <v>133043</v>
      </c>
      <c r="B1257" s="5" t="s">
        <v>1032</v>
      </c>
      <c r="C1257" s="6" t="s">
        <v>1404</v>
      </c>
      <c r="D1257" s="6" t="str">
        <f>_xlfn.IFNA(IF(VLOOKUP(tabListaItens[[#This Row],[CÓDIGO]],tabExcluirDoEstoque[#Data],1,FALSE),"sim",""),"")</f>
        <v>sim</v>
      </c>
      <c r="E1257" s="6" t="str">
        <f>"*"</f>
        <v>*</v>
      </c>
    </row>
    <row r="1258" spans="1:5" x14ac:dyDescent="0.25">
      <c r="A1258" s="8">
        <v>133191</v>
      </c>
      <c r="B1258" s="5" t="s">
        <v>840</v>
      </c>
      <c r="C1258" s="6" t="s">
        <v>1404</v>
      </c>
      <c r="D1258" s="6" t="str">
        <f>_xlfn.IFNA(IF(VLOOKUP(tabListaItens[[#This Row],[CÓDIGO]],tabExcluirDoEstoque[#Data],1,FALSE),"sim",""),"")</f>
        <v/>
      </c>
      <c r="E1258" s="6" t="str">
        <f>"*"</f>
        <v>*</v>
      </c>
    </row>
    <row r="1259" spans="1:5" x14ac:dyDescent="0.25">
      <c r="A1259" s="8">
        <v>133301</v>
      </c>
      <c r="B1259" s="5" t="s">
        <v>855</v>
      </c>
      <c r="C1259" s="6" t="s">
        <v>1397</v>
      </c>
      <c r="D1259" s="6" t="str">
        <f>_xlfn.IFNA(IF(VLOOKUP(tabListaItens[[#This Row],[CÓDIGO]],tabExcluirDoEstoque[#Data],1,FALSE),"sim",""),"")</f>
        <v/>
      </c>
      <c r="E1259" s="6" t="str">
        <f>"*"</f>
        <v>*</v>
      </c>
    </row>
    <row r="1260" spans="1:5" x14ac:dyDescent="0.25">
      <c r="A1260" s="8">
        <v>133366</v>
      </c>
      <c r="B1260" s="5" t="s">
        <v>188</v>
      </c>
      <c r="C1260" s="6" t="s">
        <v>1397</v>
      </c>
      <c r="D1260" s="6" t="str">
        <f>_xlfn.IFNA(IF(VLOOKUP(tabListaItens[[#This Row],[CÓDIGO]],tabExcluirDoEstoque[#Data],1,FALSE),"sim",""),"")</f>
        <v/>
      </c>
      <c r="E1260" s="6" t="str">
        <f>"*"</f>
        <v>*</v>
      </c>
    </row>
    <row r="1261" spans="1:5" x14ac:dyDescent="0.25">
      <c r="A1261" s="8">
        <v>133371</v>
      </c>
      <c r="B1261" s="5" t="s">
        <v>426</v>
      </c>
      <c r="C1261" s="6" t="s">
        <v>1405</v>
      </c>
      <c r="D1261" s="6" t="str">
        <f>_xlfn.IFNA(IF(VLOOKUP(tabListaItens[[#This Row],[CÓDIGO]],tabExcluirDoEstoque[#Data],1,FALSE),"sim",""),"")</f>
        <v/>
      </c>
      <c r="E1261" s="6" t="str">
        <f>"*"</f>
        <v>*</v>
      </c>
    </row>
    <row r="1262" spans="1:5" x14ac:dyDescent="0.25">
      <c r="A1262" s="8">
        <v>133433</v>
      </c>
      <c r="B1262" s="5" t="s">
        <v>878</v>
      </c>
      <c r="C1262" s="6" t="s">
        <v>1408</v>
      </c>
      <c r="D1262" s="6" t="str">
        <f>_xlfn.IFNA(IF(VLOOKUP(tabListaItens[[#This Row],[CÓDIGO]],tabExcluirDoEstoque[#Data],1,FALSE),"sim",""),"")</f>
        <v/>
      </c>
      <c r="E1262" s="6" t="str">
        <f>"*"</f>
        <v>*</v>
      </c>
    </row>
    <row r="1263" spans="1:5" x14ac:dyDescent="0.25">
      <c r="A1263" s="8">
        <v>133450</v>
      </c>
      <c r="B1263" s="5" t="s">
        <v>560</v>
      </c>
      <c r="C1263" s="6" t="s">
        <v>1404</v>
      </c>
      <c r="D1263" s="6" t="str">
        <f>_xlfn.IFNA(IF(VLOOKUP(tabListaItens[[#This Row],[CÓDIGO]],tabExcluirDoEstoque[#Data],1,FALSE),"sim",""),"")</f>
        <v/>
      </c>
      <c r="E1263" s="6" t="str">
        <f>"*"</f>
        <v>*</v>
      </c>
    </row>
    <row r="1264" spans="1:5" x14ac:dyDescent="0.25">
      <c r="A1264" s="8">
        <v>133451</v>
      </c>
      <c r="B1264" s="5" t="s">
        <v>559</v>
      </c>
      <c r="C1264" s="6" t="s">
        <v>1404</v>
      </c>
      <c r="D1264" s="6" t="str">
        <f>_xlfn.IFNA(IF(VLOOKUP(tabListaItens[[#This Row],[CÓDIGO]],tabExcluirDoEstoque[#Data],1,FALSE),"sim",""),"")</f>
        <v/>
      </c>
      <c r="E1264" s="6" t="str">
        <f>"*"</f>
        <v>*</v>
      </c>
    </row>
    <row r="1265" spans="1:5" x14ac:dyDescent="0.25">
      <c r="A1265" s="8">
        <v>133452</v>
      </c>
      <c r="B1265" s="5" t="s">
        <v>679</v>
      </c>
      <c r="C1265" s="6" t="s">
        <v>1411</v>
      </c>
      <c r="D1265" s="6" t="str">
        <f>_xlfn.IFNA(IF(VLOOKUP(tabListaItens[[#This Row],[CÓDIGO]],tabExcluirDoEstoque[#Data],1,FALSE),"sim",""),"")</f>
        <v>sim</v>
      </c>
      <c r="E1265" s="6" t="str">
        <f>"*"</f>
        <v>*</v>
      </c>
    </row>
    <row r="1266" spans="1:5" x14ac:dyDescent="0.25">
      <c r="A1266" s="8">
        <v>133777</v>
      </c>
      <c r="B1266" s="5" t="s">
        <v>1379</v>
      </c>
      <c r="C1266" s="6"/>
      <c r="D1266" s="6" t="str">
        <f>_xlfn.IFNA(IF(VLOOKUP(tabListaItens[[#This Row],[CÓDIGO]],tabExcluirDoEstoque[#Data],1,FALSE),"sim",""),"")</f>
        <v>sim</v>
      </c>
      <c r="E1266" s="6" t="str">
        <f>"*"</f>
        <v>*</v>
      </c>
    </row>
    <row r="1267" spans="1:5" x14ac:dyDescent="0.25">
      <c r="A1267" s="8">
        <v>133778</v>
      </c>
      <c r="B1267" s="5" t="s">
        <v>1380</v>
      </c>
      <c r="C1267" s="6" t="s">
        <v>1404</v>
      </c>
      <c r="D1267" s="6" t="str">
        <f>_xlfn.IFNA(IF(VLOOKUP(tabListaItens[[#This Row],[CÓDIGO]],tabExcluirDoEstoque[#Data],1,FALSE),"sim",""),"")</f>
        <v>sim</v>
      </c>
      <c r="E1267" s="6" t="str">
        <f>"*"</f>
        <v>*</v>
      </c>
    </row>
    <row r="1268" spans="1:5" x14ac:dyDescent="0.25">
      <c r="A1268" s="8">
        <v>133779</v>
      </c>
      <c r="B1268" s="5" t="s">
        <v>1008</v>
      </c>
      <c r="C1268" s="6" t="s">
        <v>1404</v>
      </c>
      <c r="D1268" s="6" t="str">
        <f>_xlfn.IFNA(IF(VLOOKUP(tabListaItens[[#This Row],[CÓDIGO]],tabExcluirDoEstoque[#Data],1,FALSE),"sim",""),"")</f>
        <v>sim</v>
      </c>
      <c r="E1268" s="6" t="str">
        <f>"*"</f>
        <v>*</v>
      </c>
    </row>
    <row r="1269" spans="1:5" x14ac:dyDescent="0.25">
      <c r="A1269" s="8">
        <v>133781</v>
      </c>
      <c r="B1269" s="5" t="s">
        <v>1381</v>
      </c>
      <c r="C1269" s="6" t="s">
        <v>1404</v>
      </c>
      <c r="D1269" s="6" t="str">
        <f>_xlfn.IFNA(IF(VLOOKUP(tabListaItens[[#This Row],[CÓDIGO]],tabExcluirDoEstoque[#Data],1,FALSE),"sim",""),"")</f>
        <v>sim</v>
      </c>
      <c r="E1269" s="6" t="str">
        <f>"*"</f>
        <v>*</v>
      </c>
    </row>
    <row r="1270" spans="1:5" x14ac:dyDescent="0.25">
      <c r="A1270" s="8">
        <v>133782</v>
      </c>
      <c r="B1270" s="5" t="s">
        <v>1009</v>
      </c>
      <c r="C1270" s="6" t="s">
        <v>1404</v>
      </c>
      <c r="D1270" s="6" t="str">
        <f>_xlfn.IFNA(IF(VLOOKUP(tabListaItens[[#This Row],[CÓDIGO]],tabExcluirDoEstoque[#Data],1,FALSE),"sim",""),"")</f>
        <v>sim</v>
      </c>
      <c r="E1270" s="6" t="str">
        <f>"*"</f>
        <v>*</v>
      </c>
    </row>
    <row r="1271" spans="1:5" x14ac:dyDescent="0.25">
      <c r="A1271" s="8">
        <v>133783</v>
      </c>
      <c r="B1271" s="5" t="s">
        <v>1010</v>
      </c>
      <c r="C1271" s="6" t="s">
        <v>1404</v>
      </c>
      <c r="D1271" s="6" t="str">
        <f>_xlfn.IFNA(IF(VLOOKUP(tabListaItens[[#This Row],[CÓDIGO]],tabExcluirDoEstoque[#Data],1,FALSE),"sim",""),"")</f>
        <v>sim</v>
      </c>
      <c r="E1271" s="6" t="str">
        <f>"*"</f>
        <v>*</v>
      </c>
    </row>
    <row r="1272" spans="1:5" x14ac:dyDescent="0.25">
      <c r="A1272" s="8">
        <v>133787</v>
      </c>
      <c r="B1272" s="5" t="s">
        <v>1382</v>
      </c>
      <c r="C1272" s="6"/>
      <c r="D1272" s="6" t="str">
        <f>_xlfn.IFNA(IF(VLOOKUP(tabListaItens[[#This Row],[CÓDIGO]],tabExcluirDoEstoque[#Data],1,FALSE),"sim",""),"")</f>
        <v>sim</v>
      </c>
      <c r="E1272" s="6" t="str">
        <f>"*"</f>
        <v>*</v>
      </c>
    </row>
    <row r="1273" spans="1:5" x14ac:dyDescent="0.25">
      <c r="A1273" s="8">
        <v>133788</v>
      </c>
      <c r="B1273" s="5" t="s">
        <v>446</v>
      </c>
      <c r="C1273" s="6" t="s">
        <v>1404</v>
      </c>
      <c r="D1273" s="6" t="str">
        <f>_xlfn.IFNA(IF(VLOOKUP(tabListaItens[[#This Row],[CÓDIGO]],tabExcluirDoEstoque[#Data],1,FALSE),"sim",""),"")</f>
        <v/>
      </c>
      <c r="E1273" s="6" t="str">
        <f>"*"</f>
        <v>*</v>
      </c>
    </row>
    <row r="1274" spans="1:5" x14ac:dyDescent="0.25">
      <c r="A1274" s="8">
        <v>133790</v>
      </c>
      <c r="B1274" s="5" t="s">
        <v>447</v>
      </c>
      <c r="C1274" s="6" t="s">
        <v>1404</v>
      </c>
      <c r="D1274" s="6" t="str">
        <f>_xlfn.IFNA(IF(VLOOKUP(tabListaItens[[#This Row],[CÓDIGO]],tabExcluirDoEstoque[#Data],1,FALSE),"sim",""),"")</f>
        <v/>
      </c>
      <c r="E1274" s="6" t="str">
        <f>"*"</f>
        <v>*</v>
      </c>
    </row>
    <row r="1275" spans="1:5" x14ac:dyDescent="0.25">
      <c r="A1275" s="8">
        <v>133791</v>
      </c>
      <c r="B1275" s="5" t="s">
        <v>942</v>
      </c>
      <c r="C1275" s="6" t="s">
        <v>1404</v>
      </c>
      <c r="D1275" s="6" t="str">
        <f>_xlfn.IFNA(IF(VLOOKUP(tabListaItens[[#This Row],[CÓDIGO]],tabExcluirDoEstoque[#Data],1,FALSE),"sim",""),"")</f>
        <v/>
      </c>
      <c r="E1275" s="6" t="str">
        <f>"*"</f>
        <v>*</v>
      </c>
    </row>
    <row r="1276" spans="1:5" x14ac:dyDescent="0.25">
      <c r="A1276" s="8">
        <v>133793</v>
      </c>
      <c r="B1276" s="5" t="s">
        <v>1136</v>
      </c>
      <c r="C1276" s="6" t="s">
        <v>1404</v>
      </c>
      <c r="D1276" s="6" t="str">
        <f>_xlfn.IFNA(IF(VLOOKUP(tabListaItens[[#This Row],[CÓDIGO]],tabExcluirDoEstoque[#Data],1,FALSE),"sim",""),"")</f>
        <v>sim</v>
      </c>
      <c r="E1276" s="6" t="str">
        <f>"*"</f>
        <v>*</v>
      </c>
    </row>
    <row r="1277" spans="1:5" x14ac:dyDescent="0.25">
      <c r="A1277" s="8">
        <v>133794</v>
      </c>
      <c r="B1277" s="5" t="s">
        <v>1383</v>
      </c>
      <c r="C1277" s="6"/>
      <c r="D1277" s="6" t="str">
        <f>_xlfn.IFNA(IF(VLOOKUP(tabListaItens[[#This Row],[CÓDIGO]],tabExcluirDoEstoque[#Data],1,FALSE),"sim",""),"")</f>
        <v>sim</v>
      </c>
      <c r="E1277" s="6" t="str">
        <f>"*"</f>
        <v>*</v>
      </c>
    </row>
    <row r="1278" spans="1:5" x14ac:dyDescent="0.25">
      <c r="A1278" s="8">
        <v>133812</v>
      </c>
      <c r="B1278" s="5" t="s">
        <v>785</v>
      </c>
      <c r="C1278" s="6" t="s">
        <v>1404</v>
      </c>
      <c r="D1278" s="6" t="str">
        <f>_xlfn.IFNA(IF(VLOOKUP(tabListaItens[[#This Row],[CÓDIGO]],tabExcluirDoEstoque[#Data],1,FALSE),"sim",""),"")</f>
        <v>sim</v>
      </c>
      <c r="E1278" s="6" t="str">
        <f>"*"</f>
        <v>*</v>
      </c>
    </row>
    <row r="1279" spans="1:5" x14ac:dyDescent="0.25">
      <c r="A1279" s="8">
        <v>133813</v>
      </c>
      <c r="B1279" s="5" t="s">
        <v>1130</v>
      </c>
      <c r="C1279" s="6" t="s">
        <v>1404</v>
      </c>
      <c r="D1279" s="6" t="str">
        <f>_xlfn.IFNA(IF(VLOOKUP(tabListaItens[[#This Row],[CÓDIGO]],tabExcluirDoEstoque[#Data],1,FALSE),"sim",""),"")</f>
        <v>sim</v>
      </c>
      <c r="E1279" s="6" t="str">
        <f>"*"</f>
        <v>*</v>
      </c>
    </row>
    <row r="1280" spans="1:5" x14ac:dyDescent="0.25">
      <c r="A1280" s="8">
        <v>133819</v>
      </c>
      <c r="B1280" s="5" t="s">
        <v>91</v>
      </c>
      <c r="C1280" s="6" t="s">
        <v>1397</v>
      </c>
      <c r="D1280" s="6" t="str">
        <f>_xlfn.IFNA(IF(VLOOKUP(tabListaItens[[#This Row],[CÓDIGO]],tabExcluirDoEstoque[#Data],1,FALSE),"sim",""),"")</f>
        <v/>
      </c>
      <c r="E1280" s="6" t="str">
        <f>"*"</f>
        <v>*</v>
      </c>
    </row>
    <row r="1281" spans="1:5" x14ac:dyDescent="0.25">
      <c r="A1281" s="8">
        <v>133843</v>
      </c>
      <c r="B1281" s="5" t="s">
        <v>296</v>
      </c>
      <c r="C1281" s="6" t="s">
        <v>1416</v>
      </c>
      <c r="D1281" s="6" t="str">
        <f>_xlfn.IFNA(IF(VLOOKUP(tabListaItens[[#This Row],[CÓDIGO]],tabExcluirDoEstoque[#Data],1,FALSE),"sim",""),"")</f>
        <v/>
      </c>
      <c r="E1281" s="6" t="str">
        <f>"*"</f>
        <v>*</v>
      </c>
    </row>
    <row r="1282" spans="1:5" x14ac:dyDescent="0.25">
      <c r="A1282" s="8">
        <v>133844</v>
      </c>
      <c r="B1282" s="5" t="s">
        <v>297</v>
      </c>
      <c r="C1282" s="6" t="s">
        <v>1416</v>
      </c>
      <c r="D1282" s="6" t="str">
        <f>_xlfn.IFNA(IF(VLOOKUP(tabListaItens[[#This Row],[CÓDIGO]],tabExcluirDoEstoque[#Data],1,FALSE),"sim",""),"")</f>
        <v/>
      </c>
      <c r="E1282" s="6" t="str">
        <f>"*"</f>
        <v>*</v>
      </c>
    </row>
    <row r="1283" spans="1:5" x14ac:dyDescent="0.25">
      <c r="A1283" s="8">
        <v>133845</v>
      </c>
      <c r="B1283" s="5" t="s">
        <v>298</v>
      </c>
      <c r="C1283" s="6" t="s">
        <v>1416</v>
      </c>
      <c r="D1283" s="6" t="str">
        <f>_xlfn.IFNA(IF(VLOOKUP(tabListaItens[[#This Row],[CÓDIGO]],tabExcluirDoEstoque[#Data],1,FALSE),"sim",""),"")</f>
        <v/>
      </c>
      <c r="E1283" s="6" t="str">
        <f>"*"</f>
        <v>*</v>
      </c>
    </row>
    <row r="1284" spans="1:5" x14ac:dyDescent="0.25">
      <c r="A1284" s="8">
        <v>133846</v>
      </c>
      <c r="B1284" s="5" t="s">
        <v>299</v>
      </c>
      <c r="C1284" s="6" t="s">
        <v>1416</v>
      </c>
      <c r="D1284" s="6" t="str">
        <f>_xlfn.IFNA(IF(VLOOKUP(tabListaItens[[#This Row],[CÓDIGO]],tabExcluirDoEstoque[#Data],1,FALSE),"sim",""),"")</f>
        <v/>
      </c>
      <c r="E1284" s="6" t="str">
        <f>"*"</f>
        <v>*</v>
      </c>
    </row>
    <row r="1285" spans="1:5" x14ac:dyDescent="0.25">
      <c r="A1285" s="8">
        <v>133847</v>
      </c>
      <c r="B1285" s="5" t="s">
        <v>300</v>
      </c>
      <c r="C1285" s="6" t="s">
        <v>1416</v>
      </c>
      <c r="D1285" s="6" t="str">
        <f>_xlfn.IFNA(IF(VLOOKUP(tabListaItens[[#This Row],[CÓDIGO]],tabExcluirDoEstoque[#Data],1,FALSE),"sim",""),"")</f>
        <v/>
      </c>
      <c r="E1285" s="6" t="str">
        <f>"*"</f>
        <v>*</v>
      </c>
    </row>
    <row r="1286" spans="1:5" x14ac:dyDescent="0.25">
      <c r="A1286" s="8">
        <v>133848</v>
      </c>
      <c r="B1286" s="5" t="s">
        <v>301</v>
      </c>
      <c r="C1286" s="6" t="s">
        <v>1416</v>
      </c>
      <c r="D1286" s="6" t="str">
        <f>_xlfn.IFNA(IF(VLOOKUP(tabListaItens[[#This Row],[CÓDIGO]],tabExcluirDoEstoque[#Data],1,FALSE),"sim",""),"")</f>
        <v/>
      </c>
      <c r="E1286" s="6" t="str">
        <f>"*"</f>
        <v>*</v>
      </c>
    </row>
    <row r="1287" spans="1:5" x14ac:dyDescent="0.25">
      <c r="A1287" s="8">
        <v>133849</v>
      </c>
      <c r="B1287" s="5" t="s">
        <v>302</v>
      </c>
      <c r="C1287" s="6" t="s">
        <v>1416</v>
      </c>
      <c r="D1287" s="6" t="str">
        <f>_xlfn.IFNA(IF(VLOOKUP(tabListaItens[[#This Row],[CÓDIGO]],tabExcluirDoEstoque[#Data],1,FALSE),"sim",""),"")</f>
        <v/>
      </c>
      <c r="E1287" s="6" t="str">
        <f>"*"</f>
        <v>*</v>
      </c>
    </row>
    <row r="1288" spans="1:5" x14ac:dyDescent="0.25">
      <c r="A1288" s="8">
        <v>133850</v>
      </c>
      <c r="B1288" s="5" t="s">
        <v>303</v>
      </c>
      <c r="C1288" s="6" t="s">
        <v>1416</v>
      </c>
      <c r="D1288" s="6" t="str">
        <f>_xlfn.IFNA(IF(VLOOKUP(tabListaItens[[#This Row],[CÓDIGO]],tabExcluirDoEstoque[#Data],1,FALSE),"sim",""),"")</f>
        <v/>
      </c>
      <c r="E1288" s="6" t="str">
        <f>"*"</f>
        <v>*</v>
      </c>
    </row>
    <row r="1289" spans="1:5" x14ac:dyDescent="0.25">
      <c r="A1289" s="8">
        <v>133851</v>
      </c>
      <c r="B1289" s="5" t="s">
        <v>1384</v>
      </c>
      <c r="C1289" s="6" t="s">
        <v>1411</v>
      </c>
      <c r="D1289" s="6" t="str">
        <f>_xlfn.IFNA(IF(VLOOKUP(tabListaItens[[#This Row],[CÓDIGO]],tabExcluirDoEstoque[#Data],1,FALSE),"sim",""),"")</f>
        <v>sim</v>
      </c>
      <c r="E1289" s="6" t="str">
        <f>"*"</f>
        <v>*</v>
      </c>
    </row>
    <row r="1290" spans="1:5" x14ac:dyDescent="0.25">
      <c r="A1290" s="8">
        <v>133950</v>
      </c>
      <c r="B1290" s="5" t="s">
        <v>1385</v>
      </c>
      <c r="C1290" s="6" t="s">
        <v>1404</v>
      </c>
      <c r="D1290" s="6" t="str">
        <f>_xlfn.IFNA(IF(VLOOKUP(tabListaItens[[#This Row],[CÓDIGO]],tabExcluirDoEstoque[#Data],1,FALSE),"sim",""),"")</f>
        <v>sim</v>
      </c>
      <c r="E1290" s="6" t="str">
        <f>"*"</f>
        <v>*</v>
      </c>
    </row>
    <row r="1291" spans="1:5" x14ac:dyDescent="0.25">
      <c r="A1291" s="8">
        <v>133953</v>
      </c>
      <c r="B1291" s="5" t="s">
        <v>1386</v>
      </c>
      <c r="C1291" s="6" t="s">
        <v>1407</v>
      </c>
      <c r="D1291" s="6" t="str">
        <f>_xlfn.IFNA(IF(VLOOKUP(tabListaItens[[#This Row],[CÓDIGO]],tabExcluirDoEstoque[#Data],1,FALSE),"sim",""),"")</f>
        <v>sim</v>
      </c>
      <c r="E1291" s="6" t="str">
        <f>"*"</f>
        <v>*</v>
      </c>
    </row>
    <row r="1292" spans="1:5" x14ac:dyDescent="0.25">
      <c r="A1292" s="8">
        <v>133954</v>
      </c>
      <c r="B1292" s="5" t="s">
        <v>1387</v>
      </c>
      <c r="C1292" s="6" t="s">
        <v>1417</v>
      </c>
      <c r="D1292" s="6" t="str">
        <f>_xlfn.IFNA(IF(VLOOKUP(tabListaItens[[#This Row],[CÓDIGO]],tabExcluirDoEstoque[#Data],1,FALSE),"sim",""),"")</f>
        <v>sim</v>
      </c>
      <c r="E1292" s="6" t="str">
        <f>"*"</f>
        <v>*</v>
      </c>
    </row>
    <row r="1293" spans="1:5" x14ac:dyDescent="0.25">
      <c r="A1293" s="8">
        <v>133955</v>
      </c>
      <c r="B1293" s="5" t="s">
        <v>1388</v>
      </c>
      <c r="C1293" s="6" t="s">
        <v>1417</v>
      </c>
      <c r="D1293" s="6" t="str">
        <f>_xlfn.IFNA(IF(VLOOKUP(tabListaItens[[#This Row],[CÓDIGO]],tabExcluirDoEstoque[#Data],1,FALSE),"sim",""),"")</f>
        <v>sim</v>
      </c>
      <c r="E1293" s="6" t="str">
        <f>"*"</f>
        <v>*</v>
      </c>
    </row>
    <row r="1294" spans="1:5" x14ac:dyDescent="0.25">
      <c r="A1294" s="8">
        <v>133956</v>
      </c>
      <c r="B1294" s="5" t="s">
        <v>1012</v>
      </c>
      <c r="C1294" s="6" t="s">
        <v>1404</v>
      </c>
      <c r="D1294" s="6" t="str">
        <f>_xlfn.IFNA(IF(VLOOKUP(tabListaItens[[#This Row],[CÓDIGO]],tabExcluirDoEstoque[#Data],1,FALSE),"sim",""),"")</f>
        <v>sim</v>
      </c>
      <c r="E1294" s="6" t="str">
        <f>"*"</f>
        <v>*</v>
      </c>
    </row>
    <row r="1295" spans="1:5" x14ac:dyDescent="0.25">
      <c r="A1295" s="8">
        <v>133957</v>
      </c>
      <c r="B1295" s="5" t="s">
        <v>1013</v>
      </c>
      <c r="C1295" s="6" t="s">
        <v>1404</v>
      </c>
      <c r="D1295" s="6" t="str">
        <f>_xlfn.IFNA(IF(VLOOKUP(tabListaItens[[#This Row],[CÓDIGO]],tabExcluirDoEstoque[#Data],1,FALSE),"sim",""),"")</f>
        <v>sim</v>
      </c>
      <c r="E1295" s="6" t="str">
        <f>"*"</f>
        <v>*</v>
      </c>
    </row>
    <row r="1296" spans="1:5" ht="45" x14ac:dyDescent="0.25">
      <c r="A1296" s="8">
        <v>134045</v>
      </c>
      <c r="B1296" s="5" t="s">
        <v>421</v>
      </c>
      <c r="C1296" s="6" t="s">
        <v>1404</v>
      </c>
      <c r="D1296" s="6" t="str">
        <f>_xlfn.IFNA(IF(VLOOKUP(tabListaItens[[#This Row],[CÓDIGO]],tabExcluirDoEstoque[#Data],1,FALSE),"sim",""),"")</f>
        <v>sim</v>
      </c>
      <c r="E1296" s="6" t="str">
        <f>"*"</f>
        <v>*</v>
      </c>
    </row>
    <row r="1297" spans="1:5" ht="30" x14ac:dyDescent="0.25">
      <c r="A1297" s="8">
        <v>134246</v>
      </c>
      <c r="B1297" s="5" t="s">
        <v>92</v>
      </c>
      <c r="C1297" s="6" t="s">
        <v>1406</v>
      </c>
      <c r="D1297" s="6" t="str">
        <f>_xlfn.IFNA(IF(VLOOKUP(tabListaItens[[#This Row],[CÓDIGO]],tabExcluirDoEstoque[#Data],1,FALSE),"sim",""),"")</f>
        <v/>
      </c>
      <c r="E1297" s="6" t="str">
        <f>"*"</f>
        <v>*</v>
      </c>
    </row>
    <row r="1298" spans="1:5" ht="45" x14ac:dyDescent="0.25">
      <c r="A1298" s="8">
        <v>134247</v>
      </c>
      <c r="B1298" s="5" t="s">
        <v>93</v>
      </c>
      <c r="C1298" s="6" t="s">
        <v>1406</v>
      </c>
      <c r="D1298" s="6" t="str">
        <f>_xlfn.IFNA(IF(VLOOKUP(tabListaItens[[#This Row],[CÓDIGO]],tabExcluirDoEstoque[#Data],1,FALSE),"sim",""),"")</f>
        <v/>
      </c>
      <c r="E1298" s="6" t="str">
        <f>"*"</f>
        <v>*</v>
      </c>
    </row>
    <row r="1299" spans="1:5" x14ac:dyDescent="0.25">
      <c r="A1299" s="8">
        <v>134373</v>
      </c>
      <c r="B1299" s="5" t="s">
        <v>545</v>
      </c>
      <c r="C1299" s="6" t="s">
        <v>1404</v>
      </c>
      <c r="D1299" s="6" t="str">
        <f>_xlfn.IFNA(IF(VLOOKUP(tabListaItens[[#This Row],[CÓDIGO]],tabExcluirDoEstoque[#Data],1,FALSE),"sim",""),"")</f>
        <v/>
      </c>
      <c r="E1299" s="6" t="str">
        <f>"*"</f>
        <v>*</v>
      </c>
    </row>
    <row r="1300" spans="1:5" ht="60" x14ac:dyDescent="0.25">
      <c r="A1300" s="8">
        <v>134542</v>
      </c>
      <c r="B1300" s="5" t="s">
        <v>94</v>
      </c>
      <c r="C1300" s="6" t="s">
        <v>1420</v>
      </c>
      <c r="D1300" s="6" t="str">
        <f>_xlfn.IFNA(IF(VLOOKUP(tabListaItens[[#This Row],[CÓDIGO]],tabExcluirDoEstoque[#Data],1,FALSE),"sim",""),"")</f>
        <v>sim</v>
      </c>
      <c r="E1300" s="6" t="str">
        <f>"*"</f>
        <v>*</v>
      </c>
    </row>
    <row r="1301" spans="1:5" ht="60" x14ac:dyDescent="0.25">
      <c r="A1301" s="8">
        <v>134543</v>
      </c>
      <c r="B1301" s="5" t="s">
        <v>96</v>
      </c>
      <c r="C1301" s="6" t="s">
        <v>1420</v>
      </c>
      <c r="D1301" s="6" t="str">
        <f>_xlfn.IFNA(IF(VLOOKUP(tabListaItens[[#This Row],[CÓDIGO]],tabExcluirDoEstoque[#Data],1,FALSE),"sim",""),"")</f>
        <v>sim</v>
      </c>
      <c r="E1301" s="6" t="str">
        <f>"*"</f>
        <v>*</v>
      </c>
    </row>
    <row r="1302" spans="1:5" x14ac:dyDescent="0.25">
      <c r="A1302" s="8">
        <v>134544</v>
      </c>
      <c r="B1302" s="5" t="s">
        <v>97</v>
      </c>
      <c r="C1302" s="6" t="s">
        <v>1420</v>
      </c>
      <c r="D1302" s="6" t="str">
        <f>_xlfn.IFNA(IF(VLOOKUP(tabListaItens[[#This Row],[CÓDIGO]],tabExcluirDoEstoque[#Data],1,FALSE),"sim",""),"")</f>
        <v/>
      </c>
      <c r="E1302" s="6" t="str">
        <f>"*"</f>
        <v>*</v>
      </c>
    </row>
    <row r="1303" spans="1:5" x14ac:dyDescent="0.25">
      <c r="A1303" s="8">
        <v>134545</v>
      </c>
      <c r="B1303" s="5" t="s">
        <v>714</v>
      </c>
      <c r="C1303" s="6" t="s">
        <v>1420</v>
      </c>
      <c r="D1303" s="6" t="str">
        <f>_xlfn.IFNA(IF(VLOOKUP(tabListaItens[[#This Row],[CÓDIGO]],tabExcluirDoEstoque[#Data],1,FALSE),"sim",""),"")</f>
        <v/>
      </c>
      <c r="E1303" s="6" t="str">
        <f>"*"</f>
        <v>*</v>
      </c>
    </row>
    <row r="1304" spans="1:5" x14ac:dyDescent="0.25">
      <c r="A1304" s="8">
        <v>134546</v>
      </c>
      <c r="B1304" s="5" t="s">
        <v>98</v>
      </c>
      <c r="C1304" s="6" t="s">
        <v>1420</v>
      </c>
      <c r="D1304" s="6" t="str">
        <f>_xlfn.IFNA(IF(VLOOKUP(tabListaItens[[#This Row],[CÓDIGO]],tabExcluirDoEstoque[#Data],1,FALSE),"sim",""),"")</f>
        <v/>
      </c>
      <c r="E1304" s="6" t="str">
        <f>"*"</f>
        <v>*</v>
      </c>
    </row>
    <row r="1305" spans="1:5" x14ac:dyDescent="0.25">
      <c r="A1305" s="8">
        <v>134547</v>
      </c>
      <c r="B1305" s="5" t="s">
        <v>715</v>
      </c>
      <c r="C1305" s="6" t="s">
        <v>1420</v>
      </c>
      <c r="D1305" s="6" t="str">
        <f>_xlfn.IFNA(IF(VLOOKUP(tabListaItens[[#This Row],[CÓDIGO]],tabExcluirDoEstoque[#Data],1,FALSE),"sim",""),"")</f>
        <v/>
      </c>
      <c r="E1305" s="6" t="str">
        <f>"*"</f>
        <v>*</v>
      </c>
    </row>
    <row r="1306" spans="1:5" x14ac:dyDescent="0.25">
      <c r="A1306" s="8">
        <v>134548</v>
      </c>
      <c r="B1306" s="5" t="s">
        <v>716</v>
      </c>
      <c r="C1306" s="6" t="s">
        <v>1420</v>
      </c>
      <c r="D1306" s="6" t="str">
        <f>_xlfn.IFNA(IF(VLOOKUP(tabListaItens[[#This Row],[CÓDIGO]],tabExcluirDoEstoque[#Data],1,FALSE),"sim",""),"")</f>
        <v/>
      </c>
      <c r="E1306" s="6" t="str">
        <f>"*"</f>
        <v>*</v>
      </c>
    </row>
    <row r="1307" spans="1:5" x14ac:dyDescent="0.25">
      <c r="A1307" s="8">
        <v>134549</v>
      </c>
      <c r="B1307" s="5" t="s">
        <v>717</v>
      </c>
      <c r="C1307" s="6" t="s">
        <v>1420</v>
      </c>
      <c r="D1307" s="6" t="str">
        <f>_xlfn.IFNA(IF(VLOOKUP(tabListaItens[[#This Row],[CÓDIGO]],tabExcluirDoEstoque[#Data],1,FALSE),"sim",""),"")</f>
        <v/>
      </c>
      <c r="E1307" s="6" t="str">
        <f>"*"</f>
        <v>*</v>
      </c>
    </row>
    <row r="1308" spans="1:5" x14ac:dyDescent="0.25">
      <c r="A1308" s="8">
        <v>134556</v>
      </c>
      <c r="B1308" s="5" t="s">
        <v>481</v>
      </c>
      <c r="C1308" s="6" t="s">
        <v>1408</v>
      </c>
      <c r="D1308" s="6" t="str">
        <f>_xlfn.IFNA(IF(VLOOKUP(tabListaItens[[#This Row],[CÓDIGO]],tabExcluirDoEstoque[#Data],1,FALSE),"sim",""),"")</f>
        <v/>
      </c>
      <c r="E1308" s="6" t="str">
        <f>"*"</f>
        <v>*</v>
      </c>
    </row>
    <row r="1309" spans="1:5" x14ac:dyDescent="0.25">
      <c r="A1309" s="8">
        <v>134558</v>
      </c>
      <c r="B1309" s="5" t="s">
        <v>760</v>
      </c>
      <c r="C1309" s="6" t="s">
        <v>1397</v>
      </c>
      <c r="D1309" s="6" t="str">
        <f>_xlfn.IFNA(IF(VLOOKUP(tabListaItens[[#This Row],[CÓDIGO]],tabExcluirDoEstoque[#Data],1,FALSE),"sim",""),"")</f>
        <v/>
      </c>
      <c r="E1309" s="6" t="str">
        <f>"*"</f>
        <v>*</v>
      </c>
    </row>
    <row r="1310" spans="1:5" x14ac:dyDescent="0.25">
      <c r="A1310" s="8">
        <v>134559</v>
      </c>
      <c r="B1310" s="5" t="s">
        <v>761</v>
      </c>
      <c r="C1310" s="6" t="s">
        <v>1397</v>
      </c>
      <c r="D1310" s="6" t="str">
        <f>_xlfn.IFNA(IF(VLOOKUP(tabListaItens[[#This Row],[CÓDIGO]],tabExcluirDoEstoque[#Data],1,FALSE),"sim",""),"")</f>
        <v/>
      </c>
      <c r="E1310" s="6" t="str">
        <f>"*"</f>
        <v>*</v>
      </c>
    </row>
    <row r="1311" spans="1:5" x14ac:dyDescent="0.25">
      <c r="A1311" s="8">
        <v>134560</v>
      </c>
      <c r="B1311" s="5" t="s">
        <v>537</v>
      </c>
      <c r="C1311" s="6" t="s">
        <v>1397</v>
      </c>
      <c r="D1311" s="6" t="str">
        <f>_xlfn.IFNA(IF(VLOOKUP(tabListaItens[[#This Row],[CÓDIGO]],tabExcluirDoEstoque[#Data],1,FALSE),"sim",""),"")</f>
        <v/>
      </c>
      <c r="E1311" s="6" t="str">
        <f>"*"</f>
        <v>*</v>
      </c>
    </row>
    <row r="1312" spans="1:5" x14ac:dyDescent="0.25">
      <c r="A1312" s="8">
        <v>134561</v>
      </c>
      <c r="B1312" s="5" t="s">
        <v>696</v>
      </c>
      <c r="C1312" s="6" t="s">
        <v>1417</v>
      </c>
      <c r="D1312" s="6" t="str">
        <f>_xlfn.IFNA(IF(VLOOKUP(tabListaItens[[#This Row],[CÓDIGO]],tabExcluirDoEstoque[#Data],1,FALSE),"sim",""),"")</f>
        <v/>
      </c>
      <c r="E1312" s="6" t="str">
        <f>"*"</f>
        <v>*</v>
      </c>
    </row>
    <row r="1313" spans="1:5" x14ac:dyDescent="0.25">
      <c r="A1313" s="8">
        <v>134562</v>
      </c>
      <c r="B1313" s="5" t="s">
        <v>697</v>
      </c>
      <c r="C1313" s="6" t="s">
        <v>1417</v>
      </c>
      <c r="D1313" s="6" t="str">
        <f>_xlfn.IFNA(IF(VLOOKUP(tabListaItens[[#This Row],[CÓDIGO]],tabExcluirDoEstoque[#Data],1,FALSE),"sim",""),"")</f>
        <v/>
      </c>
      <c r="E1313" s="6" t="str">
        <f>"*"</f>
        <v>*</v>
      </c>
    </row>
    <row r="1314" spans="1:5" x14ac:dyDescent="0.25">
      <c r="A1314" s="8">
        <v>134563</v>
      </c>
      <c r="B1314" s="5" t="s">
        <v>698</v>
      </c>
      <c r="C1314" s="6" t="s">
        <v>1417</v>
      </c>
      <c r="D1314" s="6" t="str">
        <f>_xlfn.IFNA(IF(VLOOKUP(tabListaItens[[#This Row],[CÓDIGO]],tabExcluirDoEstoque[#Data],1,FALSE),"sim",""),"")</f>
        <v/>
      </c>
      <c r="E1314" s="6" t="str">
        <f>"*"</f>
        <v>*</v>
      </c>
    </row>
    <row r="1315" spans="1:5" x14ac:dyDescent="0.25">
      <c r="A1315" s="8">
        <v>134564</v>
      </c>
      <c r="B1315" s="5" t="s">
        <v>699</v>
      </c>
      <c r="C1315" s="6" t="s">
        <v>1417</v>
      </c>
      <c r="D1315" s="6" t="str">
        <f>_xlfn.IFNA(IF(VLOOKUP(tabListaItens[[#This Row],[CÓDIGO]],tabExcluirDoEstoque[#Data],1,FALSE),"sim",""),"")</f>
        <v/>
      </c>
      <c r="E1315" s="6" t="str">
        <f>"*"</f>
        <v>*</v>
      </c>
    </row>
    <row r="1316" spans="1:5" x14ac:dyDescent="0.25">
      <c r="A1316" s="8">
        <v>134565</v>
      </c>
      <c r="B1316" s="5" t="s">
        <v>700</v>
      </c>
      <c r="C1316" s="6" t="s">
        <v>1417</v>
      </c>
      <c r="D1316" s="6" t="str">
        <f>_xlfn.IFNA(IF(VLOOKUP(tabListaItens[[#This Row],[CÓDIGO]],tabExcluirDoEstoque[#Data],1,FALSE),"sim",""),"")</f>
        <v/>
      </c>
      <c r="E1316" s="6" t="str">
        <f>"*"</f>
        <v>*</v>
      </c>
    </row>
    <row r="1317" spans="1:5" x14ac:dyDescent="0.25">
      <c r="A1317" s="8">
        <v>134566</v>
      </c>
      <c r="B1317" s="5" t="s">
        <v>701</v>
      </c>
      <c r="C1317" s="6" t="s">
        <v>1397</v>
      </c>
      <c r="D1317" s="6" t="str">
        <f>_xlfn.IFNA(IF(VLOOKUP(tabListaItens[[#This Row],[CÓDIGO]],tabExcluirDoEstoque[#Data],1,FALSE),"sim",""),"")</f>
        <v/>
      </c>
      <c r="E1317" s="6" t="str">
        <f>"*"</f>
        <v>*</v>
      </c>
    </row>
    <row r="1318" spans="1:5" x14ac:dyDescent="0.25">
      <c r="A1318" s="8">
        <v>134567</v>
      </c>
      <c r="B1318" s="5" t="s">
        <v>185</v>
      </c>
      <c r="C1318" s="6" t="s">
        <v>1397</v>
      </c>
      <c r="D1318" s="6" t="str">
        <f>_xlfn.IFNA(IF(VLOOKUP(tabListaItens[[#This Row],[CÓDIGO]],tabExcluirDoEstoque[#Data],1,FALSE),"sim",""),"")</f>
        <v/>
      </c>
      <c r="E1318" s="6" t="str">
        <f>"*"</f>
        <v>*</v>
      </c>
    </row>
    <row r="1319" spans="1:5" x14ac:dyDescent="0.25">
      <c r="A1319" s="8">
        <v>134568</v>
      </c>
      <c r="B1319" s="5" t="s">
        <v>184</v>
      </c>
      <c r="C1319" s="6" t="s">
        <v>1397</v>
      </c>
      <c r="D1319" s="6" t="str">
        <f>_xlfn.IFNA(IF(VLOOKUP(tabListaItens[[#This Row],[CÓDIGO]],tabExcluirDoEstoque[#Data],1,FALSE),"sim",""),"")</f>
        <v/>
      </c>
      <c r="E1319" s="6" t="str">
        <f>"*"</f>
        <v>*</v>
      </c>
    </row>
    <row r="1320" spans="1:5" x14ac:dyDescent="0.25">
      <c r="A1320" s="8">
        <v>134569</v>
      </c>
      <c r="B1320" s="5" t="s">
        <v>360</v>
      </c>
      <c r="C1320" s="6" t="s">
        <v>1412</v>
      </c>
      <c r="D1320" s="6" t="str">
        <f>_xlfn.IFNA(IF(VLOOKUP(tabListaItens[[#This Row],[CÓDIGO]],tabExcluirDoEstoque[#Data],1,FALSE),"sim",""),"")</f>
        <v/>
      </c>
      <c r="E1320" s="6" t="str">
        <f>"*"</f>
        <v>*</v>
      </c>
    </row>
    <row r="1321" spans="1:5" x14ac:dyDescent="0.25">
      <c r="A1321" s="8">
        <v>134570</v>
      </c>
      <c r="B1321" s="5" t="s">
        <v>758</v>
      </c>
      <c r="C1321" s="6" t="s">
        <v>1397</v>
      </c>
      <c r="D1321" s="6" t="str">
        <f>_xlfn.IFNA(IF(VLOOKUP(tabListaItens[[#This Row],[CÓDIGO]],tabExcluirDoEstoque[#Data],1,FALSE),"sim",""),"")</f>
        <v/>
      </c>
      <c r="E1321" s="6" t="str">
        <f>"*"</f>
        <v>*</v>
      </c>
    </row>
    <row r="1322" spans="1:5" ht="30" x14ac:dyDescent="0.25">
      <c r="A1322" s="8">
        <v>134581</v>
      </c>
      <c r="B1322" s="5" t="s">
        <v>935</v>
      </c>
      <c r="C1322" s="6" t="s">
        <v>1397</v>
      </c>
      <c r="D1322" s="6" t="str">
        <f>_xlfn.IFNA(IF(VLOOKUP(tabListaItens[[#This Row],[CÓDIGO]],tabExcluirDoEstoque[#Data],1,FALSE),"sim",""),"")</f>
        <v/>
      </c>
      <c r="E1322" s="6" t="str">
        <f>"*"</f>
        <v>*</v>
      </c>
    </row>
    <row r="1323" spans="1:5" ht="30" x14ac:dyDescent="0.25">
      <c r="A1323" s="8">
        <v>134582</v>
      </c>
      <c r="B1323" s="5" t="s">
        <v>99</v>
      </c>
      <c r="C1323" s="6" t="s">
        <v>1397</v>
      </c>
      <c r="D1323" s="6" t="str">
        <f>_xlfn.IFNA(IF(VLOOKUP(tabListaItens[[#This Row],[CÓDIGO]],tabExcluirDoEstoque[#Data],1,FALSE),"sim",""),"")</f>
        <v/>
      </c>
      <c r="E1323" s="6" t="str">
        <f>"*"</f>
        <v>*</v>
      </c>
    </row>
    <row r="1324" spans="1:5" x14ac:dyDescent="0.25">
      <c r="A1324" s="8">
        <v>135012</v>
      </c>
      <c r="B1324" s="5" t="s">
        <v>1389</v>
      </c>
      <c r="C1324" s="6" t="s">
        <v>1412</v>
      </c>
      <c r="D1324" s="6" t="str">
        <f>_xlfn.IFNA(IF(VLOOKUP(tabListaItens[[#This Row],[CÓDIGO]],tabExcluirDoEstoque[#Data],1,FALSE),"sim",""),"")</f>
        <v>sim</v>
      </c>
      <c r="E1324" s="6" t="str">
        <f>"*"</f>
        <v>*</v>
      </c>
    </row>
    <row r="1325" spans="1:5" x14ac:dyDescent="0.25">
      <c r="A1325" s="8">
        <v>135013</v>
      </c>
      <c r="B1325" s="5" t="s">
        <v>1390</v>
      </c>
      <c r="C1325" s="6" t="s">
        <v>1412</v>
      </c>
      <c r="D1325" s="6" t="str">
        <f>_xlfn.IFNA(IF(VLOOKUP(tabListaItens[[#This Row],[CÓDIGO]],tabExcluirDoEstoque[#Data],1,FALSE),"sim",""),"")</f>
        <v/>
      </c>
      <c r="E1325" s="6" t="str">
        <f>"*"</f>
        <v>*</v>
      </c>
    </row>
    <row r="1326" spans="1:5" x14ac:dyDescent="0.25">
      <c r="A1326" s="8">
        <v>135014</v>
      </c>
      <c r="B1326" s="5" t="s">
        <v>1391</v>
      </c>
      <c r="C1326" s="6" t="s">
        <v>1412</v>
      </c>
      <c r="D1326" s="6" t="str">
        <f>_xlfn.IFNA(IF(VLOOKUP(tabListaItens[[#This Row],[CÓDIGO]],tabExcluirDoEstoque[#Data],1,FALSE),"sim",""),"")</f>
        <v/>
      </c>
      <c r="E1326" s="6" t="str">
        <f>"*"</f>
        <v>*</v>
      </c>
    </row>
    <row r="1327" spans="1:5" x14ac:dyDescent="0.25">
      <c r="A1327" s="8">
        <v>135016</v>
      </c>
      <c r="B1327" s="5" t="s">
        <v>1392</v>
      </c>
      <c r="C1327" s="6" t="s">
        <v>1412</v>
      </c>
      <c r="D1327" s="6" t="str">
        <f>_xlfn.IFNA(IF(VLOOKUP(tabListaItens[[#This Row],[CÓDIGO]],tabExcluirDoEstoque[#Data],1,FALSE),"sim",""),"")</f>
        <v>sim</v>
      </c>
      <c r="E1327" s="6" t="str">
        <f>"*"</f>
        <v>*</v>
      </c>
    </row>
    <row r="1328" spans="1:5" x14ac:dyDescent="0.25">
      <c r="A1328" s="8">
        <v>135023</v>
      </c>
      <c r="B1328" s="5" t="s">
        <v>1517</v>
      </c>
      <c r="C1328" s="6" t="s">
        <v>1404</v>
      </c>
      <c r="D1328" s="76" t="str">
        <f>_xlfn.IFNA(IF(VLOOKUP(tabListaItens[[#This Row],[CÓDIGO]],tabExcluirDoEstoque[#Data],1,FALSE),"sim",""),"")</f>
        <v>sim</v>
      </c>
      <c r="E1328" s="76" t="str">
        <f>"*"</f>
        <v>*</v>
      </c>
    </row>
    <row r="1329" spans="1:5" ht="45" x14ac:dyDescent="0.25">
      <c r="A1329" s="8">
        <v>135088</v>
      </c>
      <c r="B1329" s="5" t="s">
        <v>544</v>
      </c>
      <c r="C1329" s="6" t="s">
        <v>1404</v>
      </c>
      <c r="D1329" s="6" t="str">
        <f>_xlfn.IFNA(IF(VLOOKUP(tabListaItens[[#This Row],[CÓDIGO]],tabExcluirDoEstoque[#Data],1,FALSE),"sim",""),"")</f>
        <v/>
      </c>
      <c r="E1329" s="6" t="str">
        <f>"*"</f>
        <v>*</v>
      </c>
    </row>
    <row r="1330" spans="1:5" x14ac:dyDescent="0.25">
      <c r="A1330" s="8">
        <v>135224</v>
      </c>
      <c r="B1330" s="5" t="s">
        <v>907</v>
      </c>
      <c r="C1330" s="6" t="s">
        <v>1419</v>
      </c>
      <c r="D1330" s="6" t="str">
        <f>_xlfn.IFNA(IF(VLOOKUP(tabListaItens[[#This Row],[CÓDIGO]],tabExcluirDoEstoque[#Data],1,FALSE),"sim",""),"")</f>
        <v>sim</v>
      </c>
      <c r="E1330" s="6" t="str">
        <f>"*"</f>
        <v>*</v>
      </c>
    </row>
    <row r="1331" spans="1:5" x14ac:dyDescent="0.25">
      <c r="A1331" s="8">
        <v>135225</v>
      </c>
      <c r="B1331" s="5" t="s">
        <v>918</v>
      </c>
      <c r="C1331" s="6" t="s">
        <v>1403</v>
      </c>
      <c r="D1331" s="6" t="str">
        <f>_xlfn.IFNA(IF(VLOOKUP(tabListaItens[[#This Row],[CÓDIGO]],tabExcluirDoEstoque[#Data],1,FALSE),"sim",""),"")</f>
        <v>sim</v>
      </c>
      <c r="E1331" s="6" t="str">
        <f>"*"</f>
        <v>*</v>
      </c>
    </row>
    <row r="1332" spans="1:5" x14ac:dyDescent="0.25">
      <c r="A1332" s="8">
        <v>135226</v>
      </c>
      <c r="B1332" s="5" t="s">
        <v>919</v>
      </c>
      <c r="C1332" s="6" t="s">
        <v>1403</v>
      </c>
      <c r="D1332" s="6" t="str">
        <f>_xlfn.IFNA(IF(VLOOKUP(tabListaItens[[#This Row],[CÓDIGO]],tabExcluirDoEstoque[#Data],1,FALSE),"sim",""),"")</f>
        <v>sim</v>
      </c>
      <c r="E1332" s="6" t="str">
        <f>"*"</f>
        <v>*</v>
      </c>
    </row>
    <row r="1333" spans="1:5" x14ac:dyDescent="0.25">
      <c r="A1333" s="8">
        <v>135227</v>
      </c>
      <c r="B1333" s="5" t="s">
        <v>920</v>
      </c>
      <c r="C1333" s="6" t="s">
        <v>1403</v>
      </c>
      <c r="D1333" s="6" t="str">
        <f>_xlfn.IFNA(IF(VLOOKUP(tabListaItens[[#This Row],[CÓDIGO]],tabExcluirDoEstoque[#Data],1,FALSE),"sim",""),"")</f>
        <v>sim</v>
      </c>
      <c r="E1333" s="6" t="str">
        <f>"*"</f>
        <v>*</v>
      </c>
    </row>
    <row r="1334" spans="1:5" x14ac:dyDescent="0.25">
      <c r="A1334" s="8">
        <v>135238</v>
      </c>
      <c r="B1334" s="5" t="s">
        <v>908</v>
      </c>
      <c r="C1334" s="6" t="s">
        <v>1419</v>
      </c>
      <c r="D1334" s="6" t="str">
        <f>_xlfn.IFNA(IF(VLOOKUP(tabListaItens[[#This Row],[CÓDIGO]],tabExcluirDoEstoque[#Data],1,FALSE),"sim",""),"")</f>
        <v>sim</v>
      </c>
      <c r="E1334" s="6" t="str">
        <f>"*"</f>
        <v>*</v>
      </c>
    </row>
    <row r="1335" spans="1:5" x14ac:dyDescent="0.25">
      <c r="A1335" s="8">
        <v>135239</v>
      </c>
      <c r="B1335" s="5" t="s">
        <v>1393</v>
      </c>
      <c r="C1335" s="6" t="s">
        <v>1419</v>
      </c>
      <c r="D1335" s="6" t="str">
        <f>_xlfn.IFNA(IF(VLOOKUP(tabListaItens[[#This Row],[CÓDIGO]],tabExcluirDoEstoque[#Data],1,FALSE),"sim",""),"")</f>
        <v>sim</v>
      </c>
      <c r="E1335" s="6" t="str">
        <f>"*"</f>
        <v>*</v>
      </c>
    </row>
    <row r="1336" spans="1:5" x14ac:dyDescent="0.25">
      <c r="A1336" s="8">
        <v>135297</v>
      </c>
      <c r="B1336" s="5" t="s">
        <v>549</v>
      </c>
      <c r="C1336" s="6" t="s">
        <v>1417</v>
      </c>
      <c r="D1336" s="6" t="str">
        <f>_xlfn.IFNA(IF(VLOOKUP(tabListaItens[[#This Row],[CÓDIGO]],tabExcluirDoEstoque[#Data],1,FALSE),"sim",""),"")</f>
        <v/>
      </c>
      <c r="E1336" s="6" t="str">
        <f>"*"</f>
        <v>*</v>
      </c>
    </row>
    <row r="1337" spans="1:5" x14ac:dyDescent="0.25">
      <c r="A1337" s="8">
        <v>135299</v>
      </c>
      <c r="B1337" s="5" t="s">
        <v>365</v>
      </c>
      <c r="C1337" s="6" t="s">
        <v>1397</v>
      </c>
      <c r="D1337" s="6" t="str">
        <f>_xlfn.IFNA(IF(VLOOKUP(tabListaItens[[#This Row],[CÓDIGO]],tabExcluirDoEstoque[#Data],1,FALSE),"sim",""),"")</f>
        <v/>
      </c>
      <c r="E1337" s="6" t="str">
        <f>"*"</f>
        <v>*</v>
      </c>
    </row>
    <row r="1338" spans="1:5" x14ac:dyDescent="0.25">
      <c r="A1338" s="8">
        <v>135300</v>
      </c>
      <c r="B1338" s="5" t="s">
        <v>100</v>
      </c>
      <c r="C1338" s="6" t="s">
        <v>1397</v>
      </c>
      <c r="D1338" s="6" t="str">
        <f>_xlfn.IFNA(IF(VLOOKUP(tabListaItens[[#This Row],[CÓDIGO]],tabExcluirDoEstoque[#Data],1,FALSE),"sim",""),"")</f>
        <v/>
      </c>
      <c r="E1338" s="6" t="str">
        <f>"*"</f>
        <v>*</v>
      </c>
    </row>
    <row r="1339" spans="1:5" x14ac:dyDescent="0.25">
      <c r="A1339" s="8">
        <v>135301</v>
      </c>
      <c r="B1339" s="5" t="s">
        <v>101</v>
      </c>
      <c r="C1339" s="6" t="s">
        <v>1397</v>
      </c>
      <c r="D1339" s="6" t="str">
        <f>_xlfn.IFNA(IF(VLOOKUP(tabListaItens[[#This Row],[CÓDIGO]],tabExcluirDoEstoque[#Data],1,FALSE),"sim",""),"")</f>
        <v/>
      </c>
      <c r="E1339" s="6" t="str">
        <f>"*"</f>
        <v>*</v>
      </c>
    </row>
    <row r="1340" spans="1:5" ht="30" x14ac:dyDescent="0.25">
      <c r="A1340" s="8">
        <v>135302</v>
      </c>
      <c r="B1340" s="5" t="s">
        <v>368</v>
      </c>
      <c r="C1340" s="6" t="s">
        <v>1397</v>
      </c>
      <c r="D1340" s="6" t="str">
        <f>_xlfn.IFNA(IF(VLOOKUP(tabListaItens[[#This Row],[CÓDIGO]],tabExcluirDoEstoque[#Data],1,FALSE),"sim",""),"")</f>
        <v/>
      </c>
      <c r="E1340" s="6" t="str">
        <f>"*"</f>
        <v>*</v>
      </c>
    </row>
    <row r="1341" spans="1:5" x14ac:dyDescent="0.25">
      <c r="A1341" s="8">
        <v>135303</v>
      </c>
      <c r="B1341" s="5" t="s">
        <v>468</v>
      </c>
      <c r="C1341" s="6" t="s">
        <v>1397</v>
      </c>
      <c r="D1341" s="6" t="str">
        <f>_xlfn.IFNA(IF(VLOOKUP(tabListaItens[[#This Row],[CÓDIGO]],tabExcluirDoEstoque[#Data],1,FALSE),"sim",""),"")</f>
        <v/>
      </c>
      <c r="E1341" s="6" t="str">
        <f>"*"</f>
        <v>*</v>
      </c>
    </row>
    <row r="1342" spans="1:5" x14ac:dyDescent="0.25">
      <c r="A1342" s="8">
        <v>135304</v>
      </c>
      <c r="B1342" s="5" t="s">
        <v>624</v>
      </c>
      <c r="C1342" s="6" t="s">
        <v>1397</v>
      </c>
      <c r="D1342" s="6" t="str">
        <f>_xlfn.IFNA(IF(VLOOKUP(tabListaItens[[#This Row],[CÓDIGO]],tabExcluirDoEstoque[#Data],1,FALSE),"sim",""),"")</f>
        <v/>
      </c>
      <c r="E1342" s="6" t="str">
        <f>"*"</f>
        <v>*</v>
      </c>
    </row>
    <row r="1343" spans="1:5" ht="45" x14ac:dyDescent="0.25">
      <c r="A1343" s="8">
        <v>135414</v>
      </c>
      <c r="B1343" s="5" t="s">
        <v>936</v>
      </c>
      <c r="C1343" s="6" t="s">
        <v>1397</v>
      </c>
      <c r="D1343" s="6" t="str">
        <f>_xlfn.IFNA(IF(VLOOKUP(tabListaItens[[#This Row],[CÓDIGO]],tabExcluirDoEstoque[#Data],1,FALSE),"sim",""),"")</f>
        <v/>
      </c>
      <c r="E1343" s="6" t="str">
        <f>"*"</f>
        <v>*</v>
      </c>
    </row>
    <row r="1344" spans="1:5" x14ac:dyDescent="0.25">
      <c r="A1344" s="8">
        <v>135699</v>
      </c>
      <c r="B1344" s="5" t="s">
        <v>996</v>
      </c>
      <c r="C1344" s="6" t="s">
        <v>1404</v>
      </c>
      <c r="D1344" s="6" t="str">
        <f>_xlfn.IFNA(IF(VLOOKUP(tabListaItens[[#This Row],[CÓDIGO]],tabExcluirDoEstoque[#Data],1,FALSE),"sim",""),"")</f>
        <v>sim</v>
      </c>
      <c r="E1344" s="6" t="str">
        <f>"*"</f>
        <v>*</v>
      </c>
    </row>
    <row r="1345" spans="1:5" x14ac:dyDescent="0.25">
      <c r="A1345" s="8">
        <v>135700</v>
      </c>
      <c r="B1345" s="5" t="s">
        <v>1394</v>
      </c>
      <c r="C1345" s="6" t="s">
        <v>1404</v>
      </c>
      <c r="D1345" s="6" t="str">
        <f>_xlfn.IFNA(IF(VLOOKUP(tabListaItens[[#This Row],[CÓDIGO]],tabExcluirDoEstoque[#Data],1,FALSE),"sim",""),"")</f>
        <v>sim</v>
      </c>
      <c r="E1345" s="6" t="str">
        <f>"*"</f>
        <v>*</v>
      </c>
    </row>
    <row r="1346" spans="1:5" x14ac:dyDescent="0.25">
      <c r="A1346" s="8">
        <v>135701</v>
      </c>
      <c r="B1346" s="5" t="s">
        <v>622</v>
      </c>
      <c r="C1346" s="6" t="s">
        <v>1404</v>
      </c>
      <c r="D1346" s="6" t="str">
        <f>_xlfn.IFNA(IF(VLOOKUP(tabListaItens[[#This Row],[CÓDIGO]],tabExcluirDoEstoque[#Data],1,FALSE),"sim",""),"")</f>
        <v/>
      </c>
      <c r="E1346" s="6" t="str">
        <f>"*"</f>
        <v>*</v>
      </c>
    </row>
    <row r="1347" spans="1:5" x14ac:dyDescent="0.25">
      <c r="A1347" s="8">
        <v>135703</v>
      </c>
      <c r="B1347" s="5" t="s">
        <v>802</v>
      </c>
      <c r="C1347" s="6" t="s">
        <v>1404</v>
      </c>
      <c r="D1347" s="6" t="str">
        <f>_xlfn.IFNA(IF(VLOOKUP(tabListaItens[[#This Row],[CÓDIGO]],tabExcluirDoEstoque[#Data],1,FALSE),"sim",""),"")</f>
        <v/>
      </c>
      <c r="E1347" s="6" t="str">
        <f>"*"</f>
        <v>*</v>
      </c>
    </row>
    <row r="1348" spans="1:5" ht="45" x14ac:dyDescent="0.25">
      <c r="A1348" s="8">
        <v>135704</v>
      </c>
      <c r="B1348" s="5" t="s">
        <v>1395</v>
      </c>
      <c r="C1348" s="6" t="s">
        <v>1404</v>
      </c>
      <c r="D1348" s="6" t="str">
        <f>_xlfn.IFNA(IF(VLOOKUP(tabListaItens[[#This Row],[CÓDIGO]],tabExcluirDoEstoque[#Data],1,FALSE),"sim",""),"")</f>
        <v>sim</v>
      </c>
      <c r="E1348" s="6" t="str">
        <f>"*"</f>
        <v>*</v>
      </c>
    </row>
    <row r="1349" spans="1:5" ht="45" x14ac:dyDescent="0.25">
      <c r="A1349" s="8">
        <v>135734</v>
      </c>
      <c r="B1349" s="5" t="s">
        <v>1396</v>
      </c>
      <c r="C1349" s="6" t="s">
        <v>1404</v>
      </c>
      <c r="D1349" s="6" t="str">
        <f>_xlfn.IFNA(IF(VLOOKUP(tabListaItens[[#This Row],[CÓDIGO]],tabExcluirDoEstoque[#Data],1,FALSE),"sim",""),"")</f>
        <v>sim</v>
      </c>
      <c r="E1349" s="6" t="str">
        <f>"*"</f>
        <v>*</v>
      </c>
    </row>
    <row r="1350" spans="1:5" ht="60" x14ac:dyDescent="0.25">
      <c r="A1350" s="8">
        <v>136037</v>
      </c>
      <c r="B1350" s="5" t="s">
        <v>102</v>
      </c>
      <c r="C1350" s="6" t="s">
        <v>1419</v>
      </c>
      <c r="D1350" s="6" t="str">
        <f>_xlfn.IFNA(IF(VLOOKUP(tabListaItens[[#This Row],[CÓDIGO]],tabExcluirDoEstoque[#Data],1,FALSE),"sim",""),"")</f>
        <v>sim</v>
      </c>
      <c r="E1350" s="6" t="str">
        <f>"*"</f>
        <v>*</v>
      </c>
    </row>
    <row r="1351" spans="1:5" ht="60" x14ac:dyDescent="0.25">
      <c r="A1351" s="8">
        <v>136038</v>
      </c>
      <c r="B1351" s="5" t="s">
        <v>909</v>
      </c>
      <c r="C1351" s="6" t="s">
        <v>1419</v>
      </c>
      <c r="D1351" s="6" t="str">
        <f>_xlfn.IFNA(IF(VLOOKUP(tabListaItens[[#This Row],[CÓDIGO]],tabExcluirDoEstoque[#Data],1,FALSE),"sim",""),"")</f>
        <v>sim</v>
      </c>
      <c r="E1351" s="6" t="str">
        <f>"*"</f>
        <v>*</v>
      </c>
    </row>
    <row r="1352" spans="1:5" ht="60" x14ac:dyDescent="0.25">
      <c r="A1352" s="8">
        <v>136039</v>
      </c>
      <c r="B1352" s="5" t="s">
        <v>910</v>
      </c>
      <c r="C1352" s="6" t="s">
        <v>1419</v>
      </c>
      <c r="D1352" s="6" t="str">
        <f>_xlfn.IFNA(IF(VLOOKUP(tabListaItens[[#This Row],[CÓDIGO]],tabExcluirDoEstoque[#Data],1,FALSE),"sim",""),"")</f>
        <v>sim</v>
      </c>
      <c r="E1352" s="6" t="str">
        <f>"*"</f>
        <v>*</v>
      </c>
    </row>
    <row r="1353" spans="1:5" ht="60" x14ac:dyDescent="0.25">
      <c r="A1353" s="8">
        <v>136040</v>
      </c>
      <c r="B1353" s="5" t="s">
        <v>103</v>
      </c>
      <c r="C1353" s="6" t="s">
        <v>1419</v>
      </c>
      <c r="D1353" s="6" t="str">
        <f>_xlfn.IFNA(IF(VLOOKUP(tabListaItens[[#This Row],[CÓDIGO]],tabExcluirDoEstoque[#Data],1,FALSE),"sim",""),"")</f>
        <v>sim</v>
      </c>
      <c r="E1353" s="6" t="str">
        <f>"*"</f>
        <v>*</v>
      </c>
    </row>
    <row r="1354" spans="1:5" x14ac:dyDescent="0.25">
      <c r="A1354" s="8">
        <v>136082</v>
      </c>
      <c r="B1354" s="5" t="s">
        <v>104</v>
      </c>
      <c r="C1354" s="6" t="s">
        <v>1404</v>
      </c>
      <c r="D1354" s="6" t="str">
        <f>_xlfn.IFNA(IF(VLOOKUP(tabListaItens[[#This Row],[CÓDIGO]],tabExcluirDoEstoque[#Data],1,FALSE),"sim",""),"")</f>
        <v/>
      </c>
      <c r="E1354" s="6" t="str">
        <f>"*"</f>
        <v>*</v>
      </c>
    </row>
    <row r="1355" spans="1:5" x14ac:dyDescent="0.25">
      <c r="A1355" s="8">
        <v>136083</v>
      </c>
      <c r="B1355" s="5" t="s">
        <v>933</v>
      </c>
      <c r="C1355" s="6" t="s">
        <v>1404</v>
      </c>
      <c r="D1355" s="6" t="str">
        <f>_xlfn.IFNA(IF(VLOOKUP(tabListaItens[[#This Row],[CÓDIGO]],tabExcluirDoEstoque[#Data],1,FALSE),"sim",""),"")</f>
        <v/>
      </c>
      <c r="E1355" s="6" t="str">
        <f>"*"</f>
        <v>*</v>
      </c>
    </row>
    <row r="1356" spans="1:5" x14ac:dyDescent="0.25">
      <c r="A1356" s="8">
        <v>136273</v>
      </c>
      <c r="B1356" s="5" t="s">
        <v>778</v>
      </c>
      <c r="C1356" s="6" t="s">
        <v>1404</v>
      </c>
      <c r="D1356" s="6" t="str">
        <f>_xlfn.IFNA(IF(VLOOKUP(tabListaItens[[#This Row],[CÓDIGO]],tabExcluirDoEstoque[#Data],1,FALSE),"sim",""),"")</f>
        <v/>
      </c>
      <c r="E1356" s="6" t="str">
        <f>"*"</f>
        <v>*</v>
      </c>
    </row>
    <row r="1357" spans="1:5" ht="30" x14ac:dyDescent="0.25">
      <c r="A1357" s="8">
        <v>136408</v>
      </c>
      <c r="B1357" s="5" t="s">
        <v>328</v>
      </c>
      <c r="C1357" s="6" t="s">
        <v>1404</v>
      </c>
      <c r="D1357" s="6" t="str">
        <f>_xlfn.IFNA(IF(VLOOKUP(tabListaItens[[#This Row],[CÓDIGO]],tabExcluirDoEstoque[#Data],1,FALSE),"sim",""),"")</f>
        <v/>
      </c>
      <c r="E1357" s="6" t="str">
        <f>"*"</f>
        <v>*</v>
      </c>
    </row>
    <row r="1358" spans="1:5" ht="30" x14ac:dyDescent="0.25">
      <c r="A1358" s="8">
        <v>136553</v>
      </c>
      <c r="B1358" s="5" t="s">
        <v>419</v>
      </c>
      <c r="C1358" s="6" t="s">
        <v>1397</v>
      </c>
      <c r="D1358" s="6" t="str">
        <f>_xlfn.IFNA(IF(VLOOKUP(tabListaItens[[#This Row],[CÓDIGO]],tabExcluirDoEstoque[#Data],1,FALSE),"sim",""),"")</f>
        <v/>
      </c>
      <c r="E1358" s="6" t="str">
        <f>"*"</f>
        <v>*</v>
      </c>
    </row>
    <row r="1359" spans="1:5" x14ac:dyDescent="0.25">
      <c r="A1359" s="8">
        <v>136554</v>
      </c>
      <c r="B1359" s="5" t="s">
        <v>452</v>
      </c>
      <c r="C1359" s="6" t="s">
        <v>1397</v>
      </c>
      <c r="D1359" s="6" t="str">
        <f>_xlfn.IFNA(IF(VLOOKUP(tabListaItens[[#This Row],[CÓDIGO]],tabExcluirDoEstoque[#Data],1,FALSE),"sim",""),"")</f>
        <v/>
      </c>
      <c r="E1359" s="6" t="str">
        <f>"*"</f>
        <v>*</v>
      </c>
    </row>
    <row r="1360" spans="1:5" x14ac:dyDescent="0.25">
      <c r="A1360" s="8">
        <v>136555</v>
      </c>
      <c r="B1360" s="5" t="s">
        <v>453</v>
      </c>
      <c r="C1360" s="6" t="s">
        <v>1397</v>
      </c>
      <c r="D1360" s="6" t="str">
        <f>_xlfn.IFNA(IF(VLOOKUP(tabListaItens[[#This Row],[CÓDIGO]],tabExcluirDoEstoque[#Data],1,FALSE),"sim",""),"")</f>
        <v/>
      </c>
      <c r="E1360" s="6" t="str">
        <f>"*"</f>
        <v>*</v>
      </c>
    </row>
    <row r="1361" spans="1:5" x14ac:dyDescent="0.25">
      <c r="A1361" s="8">
        <v>136556</v>
      </c>
      <c r="B1361" s="5" t="s">
        <v>420</v>
      </c>
      <c r="C1361" s="6" t="s">
        <v>1397</v>
      </c>
      <c r="D1361" s="6" t="str">
        <f>_xlfn.IFNA(IF(VLOOKUP(tabListaItens[[#This Row],[CÓDIGO]],tabExcluirDoEstoque[#Data],1,FALSE),"sim",""),"")</f>
        <v/>
      </c>
      <c r="E1361" s="6" t="str">
        <f>"*"</f>
        <v>*</v>
      </c>
    </row>
    <row r="1362" spans="1:5" x14ac:dyDescent="0.25">
      <c r="A1362" s="8">
        <v>136564</v>
      </c>
      <c r="B1362" s="5" t="s">
        <v>217</v>
      </c>
      <c r="C1362" s="6" t="s">
        <v>1413</v>
      </c>
      <c r="D1362" s="6" t="str">
        <f>_xlfn.IFNA(IF(VLOOKUP(tabListaItens[[#This Row],[CÓDIGO]],tabExcluirDoEstoque[#Data],1,FALSE),"sim",""),"")</f>
        <v/>
      </c>
      <c r="E1362" s="6" t="str">
        <f>"*"</f>
        <v>*</v>
      </c>
    </row>
    <row r="1363" spans="1:5" x14ac:dyDescent="0.25">
      <c r="A1363" s="8">
        <v>136674</v>
      </c>
      <c r="B1363" s="5" t="s">
        <v>251</v>
      </c>
      <c r="C1363" s="6" t="s">
        <v>1397</v>
      </c>
      <c r="D1363" s="6" t="str">
        <f>_xlfn.IFNA(IF(VLOOKUP(tabListaItens[[#This Row],[CÓDIGO]],tabExcluirDoEstoque[#Data],1,FALSE),"sim",""),"")</f>
        <v/>
      </c>
      <c r="E1363" s="6" t="str">
        <f>"*"</f>
        <v>*</v>
      </c>
    </row>
    <row r="1364" spans="1:5" x14ac:dyDescent="0.25">
      <c r="A1364" s="8">
        <v>136675</v>
      </c>
      <c r="B1364" s="5" t="s">
        <v>252</v>
      </c>
      <c r="C1364" s="6" t="s">
        <v>1397</v>
      </c>
      <c r="D1364" s="6" t="str">
        <f>_xlfn.IFNA(IF(VLOOKUP(tabListaItens[[#This Row],[CÓDIGO]],tabExcluirDoEstoque[#Data],1,FALSE),"sim",""),"")</f>
        <v/>
      </c>
      <c r="E1364" s="6" t="str">
        <f>"*"</f>
        <v>*</v>
      </c>
    </row>
    <row r="1365" spans="1:5" x14ac:dyDescent="0.25">
      <c r="A1365" s="8">
        <v>136676</v>
      </c>
      <c r="B1365" s="5" t="s">
        <v>253</v>
      </c>
      <c r="C1365" s="6" t="s">
        <v>1397</v>
      </c>
      <c r="D1365" s="6" t="str">
        <f>_xlfn.IFNA(IF(VLOOKUP(tabListaItens[[#This Row],[CÓDIGO]],tabExcluirDoEstoque[#Data],1,FALSE),"sim",""),"")</f>
        <v>sim</v>
      </c>
      <c r="E1365" s="6" t="str">
        <f>"*"</f>
        <v>*</v>
      </c>
    </row>
    <row r="1366" spans="1:5" x14ac:dyDescent="0.25">
      <c r="A1366" s="8">
        <v>136818</v>
      </c>
      <c r="B1366" s="5" t="s">
        <v>817</v>
      </c>
      <c r="C1366" s="6" t="s">
        <v>1404</v>
      </c>
      <c r="D1366" s="6" t="str">
        <f>_xlfn.IFNA(IF(VLOOKUP(tabListaItens[[#This Row],[CÓDIGO]],tabExcluirDoEstoque[#Data],1,FALSE),"sim",""),"")</f>
        <v/>
      </c>
      <c r="E1366" s="6" t="str">
        <f>"*"</f>
        <v>*</v>
      </c>
    </row>
    <row r="1367" spans="1:5" ht="30" x14ac:dyDescent="0.25">
      <c r="A1367" s="8">
        <v>136819</v>
      </c>
      <c r="B1367" s="5" t="s">
        <v>593</v>
      </c>
      <c r="C1367" s="6" t="s">
        <v>1412</v>
      </c>
      <c r="D1367" s="6" t="str">
        <f>_xlfn.IFNA(IF(VLOOKUP(tabListaItens[[#This Row],[CÓDIGO]],tabExcluirDoEstoque[#Data],1,FALSE),"sim",""),"")</f>
        <v/>
      </c>
      <c r="E1367" s="6" t="str">
        <f>"*"</f>
        <v>*</v>
      </c>
    </row>
    <row r="1368" spans="1:5" ht="30" x14ac:dyDescent="0.25">
      <c r="A1368" s="8">
        <v>136820</v>
      </c>
      <c r="B1368" s="5" t="s">
        <v>161</v>
      </c>
      <c r="C1368" s="6" t="s">
        <v>1412</v>
      </c>
      <c r="D1368" s="6" t="str">
        <f>_xlfn.IFNA(IF(VLOOKUP(tabListaItens[[#This Row],[CÓDIGO]],tabExcluirDoEstoque[#Data],1,FALSE),"sim",""),"")</f>
        <v>sim</v>
      </c>
      <c r="E1368" s="6" t="str">
        <f>"*"</f>
        <v>*</v>
      </c>
    </row>
    <row r="1369" spans="1:5" ht="30" x14ac:dyDescent="0.25">
      <c r="A1369" s="8">
        <v>136821</v>
      </c>
      <c r="B1369" s="5" t="s">
        <v>162</v>
      </c>
      <c r="C1369" s="6" t="s">
        <v>1412</v>
      </c>
      <c r="D1369" s="6" t="str">
        <f>_xlfn.IFNA(IF(VLOOKUP(tabListaItens[[#This Row],[CÓDIGO]],tabExcluirDoEstoque[#Data],1,FALSE),"sim",""),"")</f>
        <v>sim</v>
      </c>
      <c r="E1369" s="6" t="str">
        <f>"*"</f>
        <v>*</v>
      </c>
    </row>
    <row r="1370" spans="1:5" ht="30" x14ac:dyDescent="0.25">
      <c r="A1370" s="8">
        <v>136822</v>
      </c>
      <c r="B1370" s="5" t="s">
        <v>163</v>
      </c>
      <c r="C1370" s="6" t="s">
        <v>1412</v>
      </c>
      <c r="D1370" s="6" t="str">
        <f>_xlfn.IFNA(IF(VLOOKUP(tabListaItens[[#This Row],[CÓDIGO]],tabExcluirDoEstoque[#Data],1,FALSE),"sim",""),"")</f>
        <v>sim</v>
      </c>
      <c r="E1370" s="6" t="str">
        <f>"*"</f>
        <v>*</v>
      </c>
    </row>
    <row r="1371" spans="1:5" ht="30" x14ac:dyDescent="0.25">
      <c r="A1371" s="8">
        <v>136823</v>
      </c>
      <c r="B1371" s="5" t="s">
        <v>164</v>
      </c>
      <c r="C1371" s="6" t="s">
        <v>1412</v>
      </c>
      <c r="D1371" s="6" t="str">
        <f>_xlfn.IFNA(IF(VLOOKUP(tabListaItens[[#This Row],[CÓDIGO]],tabExcluirDoEstoque[#Data],1,FALSE),"sim",""),"")</f>
        <v/>
      </c>
      <c r="E1371" s="6" t="str">
        <f>"*"</f>
        <v>*</v>
      </c>
    </row>
    <row r="1372" spans="1:5" ht="30" x14ac:dyDescent="0.25">
      <c r="A1372" s="8">
        <v>136824</v>
      </c>
      <c r="B1372" s="5" t="s">
        <v>165</v>
      </c>
      <c r="C1372" s="6" t="s">
        <v>1412</v>
      </c>
      <c r="D1372" s="6" t="str">
        <f>_xlfn.IFNA(IF(VLOOKUP(tabListaItens[[#This Row],[CÓDIGO]],tabExcluirDoEstoque[#Data],1,FALSE),"sim",""),"")</f>
        <v/>
      </c>
      <c r="E1372" s="6" t="str">
        <f>"*"</f>
        <v>*</v>
      </c>
    </row>
    <row r="1373" spans="1:5" ht="30" x14ac:dyDescent="0.25">
      <c r="A1373" s="8">
        <v>136825</v>
      </c>
      <c r="B1373" s="5" t="s">
        <v>166</v>
      </c>
      <c r="C1373" s="6" t="s">
        <v>1412</v>
      </c>
      <c r="D1373" s="6" t="str">
        <f>_xlfn.IFNA(IF(VLOOKUP(tabListaItens[[#This Row],[CÓDIGO]],tabExcluirDoEstoque[#Data],1,FALSE),"sim",""),"")</f>
        <v/>
      </c>
      <c r="E1373" s="6" t="str">
        <f>"*"</f>
        <v>*</v>
      </c>
    </row>
    <row r="1374" spans="1:5" ht="30" x14ac:dyDescent="0.25">
      <c r="A1374" s="8">
        <v>136826</v>
      </c>
      <c r="B1374" s="5" t="s">
        <v>167</v>
      </c>
      <c r="C1374" s="6" t="s">
        <v>1412</v>
      </c>
      <c r="D1374" s="6" t="str">
        <f>_xlfn.IFNA(IF(VLOOKUP(tabListaItens[[#This Row],[CÓDIGO]],tabExcluirDoEstoque[#Data],1,FALSE),"sim",""),"")</f>
        <v/>
      </c>
      <c r="E1374" s="6" t="str">
        <f>"*"</f>
        <v>*</v>
      </c>
    </row>
    <row r="1375" spans="1:5" ht="30" x14ac:dyDescent="0.25">
      <c r="A1375" s="8">
        <v>136829</v>
      </c>
      <c r="B1375" s="5" t="s">
        <v>168</v>
      </c>
      <c r="C1375" s="6" t="s">
        <v>1412</v>
      </c>
      <c r="D1375" s="6" t="str">
        <f>_xlfn.IFNA(IF(VLOOKUP(tabListaItens[[#This Row],[CÓDIGO]],tabExcluirDoEstoque[#Data],1,FALSE),"sim",""),"")</f>
        <v/>
      </c>
      <c r="E1375" s="6" t="str">
        <f>"*"</f>
        <v>*</v>
      </c>
    </row>
    <row r="1376" spans="1:5" x14ac:dyDescent="0.25">
      <c r="A1376" s="8">
        <v>136837</v>
      </c>
      <c r="B1376" s="5" t="s">
        <v>153</v>
      </c>
      <c r="C1376" s="6" t="s">
        <v>1412</v>
      </c>
      <c r="D1376" s="6" t="str">
        <f>_xlfn.IFNA(IF(VLOOKUP(tabListaItens[[#This Row],[CÓDIGO]],tabExcluirDoEstoque[#Data],1,FALSE),"sim",""),"")</f>
        <v>sim</v>
      </c>
      <c r="E1376" s="6" t="str">
        <f>"*"</f>
        <v>*</v>
      </c>
    </row>
    <row r="1377" spans="1:5" x14ac:dyDescent="0.25">
      <c r="A1377" s="8">
        <v>136838</v>
      </c>
      <c r="B1377" s="5" t="s">
        <v>154</v>
      </c>
      <c r="C1377" s="6" t="s">
        <v>1412</v>
      </c>
      <c r="D1377" s="6" t="str">
        <f>_xlfn.IFNA(IF(VLOOKUP(tabListaItens[[#This Row],[CÓDIGO]],tabExcluirDoEstoque[#Data],1,FALSE),"sim",""),"")</f>
        <v>sim</v>
      </c>
      <c r="E1377" s="6" t="str">
        <f>"*"</f>
        <v>*</v>
      </c>
    </row>
    <row r="1378" spans="1:5" x14ac:dyDescent="0.25">
      <c r="A1378" s="8">
        <v>136839</v>
      </c>
      <c r="B1378" s="5" t="s">
        <v>155</v>
      </c>
      <c r="C1378" s="6" t="s">
        <v>1412</v>
      </c>
      <c r="D1378" s="6" t="str">
        <f>_xlfn.IFNA(IF(VLOOKUP(tabListaItens[[#This Row],[CÓDIGO]],tabExcluirDoEstoque[#Data],1,FALSE),"sim",""),"")</f>
        <v>sim</v>
      </c>
      <c r="E1378" s="6" t="str">
        <f>"*"</f>
        <v>*</v>
      </c>
    </row>
    <row r="1379" spans="1:5" x14ac:dyDescent="0.25">
      <c r="A1379" s="8">
        <v>136840</v>
      </c>
      <c r="B1379" s="5" t="s">
        <v>156</v>
      </c>
      <c r="C1379" s="6" t="s">
        <v>1412</v>
      </c>
      <c r="D1379" s="6" t="str">
        <f>_xlfn.IFNA(IF(VLOOKUP(tabListaItens[[#This Row],[CÓDIGO]],tabExcluirDoEstoque[#Data],1,FALSE),"sim",""),"")</f>
        <v>sim</v>
      </c>
      <c r="E1379" s="6" t="str">
        <f>"*"</f>
        <v>*</v>
      </c>
    </row>
    <row r="1380" spans="1:5" x14ac:dyDescent="0.25">
      <c r="A1380" s="8">
        <v>136841</v>
      </c>
      <c r="B1380" s="5" t="s">
        <v>157</v>
      </c>
      <c r="C1380" s="6" t="s">
        <v>1412</v>
      </c>
      <c r="D1380" s="6" t="str">
        <f>_xlfn.IFNA(IF(VLOOKUP(tabListaItens[[#This Row],[CÓDIGO]],tabExcluirDoEstoque[#Data],1,FALSE),"sim",""),"")</f>
        <v>sim</v>
      </c>
      <c r="E1380" s="6" t="str">
        <f>"*"</f>
        <v>*</v>
      </c>
    </row>
    <row r="1381" spans="1:5" x14ac:dyDescent="0.25">
      <c r="A1381" s="8">
        <v>136842</v>
      </c>
      <c r="B1381" s="5" t="s">
        <v>158</v>
      </c>
      <c r="C1381" s="6" t="s">
        <v>1412</v>
      </c>
      <c r="D1381" s="6" t="str">
        <f>_xlfn.IFNA(IF(VLOOKUP(tabListaItens[[#This Row],[CÓDIGO]],tabExcluirDoEstoque[#Data],1,FALSE),"sim",""),"")</f>
        <v>sim</v>
      </c>
      <c r="E1381" s="6" t="str">
        <f>"*"</f>
        <v>*</v>
      </c>
    </row>
    <row r="1382" spans="1:5" x14ac:dyDescent="0.25">
      <c r="A1382" s="8">
        <v>136843</v>
      </c>
      <c r="B1382" s="5" t="s">
        <v>159</v>
      </c>
      <c r="C1382" s="6" t="s">
        <v>1412</v>
      </c>
      <c r="D1382" s="6" t="str">
        <f>_xlfn.IFNA(IF(VLOOKUP(tabListaItens[[#This Row],[CÓDIGO]],tabExcluirDoEstoque[#Data],1,FALSE),"sim",""),"")</f>
        <v>sim</v>
      </c>
      <c r="E1382" s="6" t="str">
        <f>"*"</f>
        <v>*</v>
      </c>
    </row>
    <row r="1383" spans="1:5" ht="30" x14ac:dyDescent="0.25">
      <c r="A1383" s="8">
        <v>136853</v>
      </c>
      <c r="B1383" s="5" t="s">
        <v>612</v>
      </c>
      <c r="C1383" s="6" t="s">
        <v>1412</v>
      </c>
      <c r="D1383" s="6" t="str">
        <f>_xlfn.IFNA(IF(VLOOKUP(tabListaItens[[#This Row],[CÓDIGO]],tabExcluirDoEstoque[#Data],1,FALSE),"sim",""),"")</f>
        <v/>
      </c>
      <c r="E1383" s="6" t="str">
        <f>"*"</f>
        <v>*</v>
      </c>
    </row>
    <row r="1384" spans="1:5" ht="30" x14ac:dyDescent="0.25">
      <c r="A1384" s="8">
        <v>136854</v>
      </c>
      <c r="B1384" s="5" t="s">
        <v>625</v>
      </c>
      <c r="C1384" s="6" t="s">
        <v>1404</v>
      </c>
      <c r="D1384" s="6" t="str">
        <f>_xlfn.IFNA(IF(VLOOKUP(tabListaItens[[#This Row],[CÓDIGO]],tabExcluirDoEstoque[#Data],1,FALSE),"sim",""),"")</f>
        <v/>
      </c>
      <c r="E1384" s="6" t="str">
        <f>"*"</f>
        <v>*</v>
      </c>
    </row>
    <row r="1385" spans="1:5" ht="30" x14ac:dyDescent="0.25">
      <c r="A1385" s="8">
        <v>136855</v>
      </c>
      <c r="B1385" s="5" t="s">
        <v>1521</v>
      </c>
      <c r="C1385" s="6" t="s">
        <v>1412</v>
      </c>
      <c r="D1385" s="76" t="str">
        <f>_xlfn.IFNA(IF(VLOOKUP(tabListaItens[[#This Row],[CÓDIGO]],tabExcluirDoEstoque[#Data],1,FALSE),"sim",""),"")</f>
        <v/>
      </c>
      <c r="E1385" s="76" t="str">
        <f>"*"</f>
        <v>*</v>
      </c>
    </row>
    <row r="1386" spans="1:5" ht="30" x14ac:dyDescent="0.25">
      <c r="A1386" s="8">
        <v>136858</v>
      </c>
      <c r="B1386" s="5" t="s">
        <v>1571</v>
      </c>
      <c r="C1386" s="6" t="s">
        <v>1412</v>
      </c>
      <c r="D1386" s="6" t="str">
        <f>_xlfn.IFNA(IF(VLOOKUP(tabListaItens[[#This Row],[CÓDIGO]],tabExcluirDoEstoque[#Data],1,FALSE),"sim",""),"")</f>
        <v/>
      </c>
      <c r="E1386" s="6" t="str">
        <f>"*"</f>
        <v>*</v>
      </c>
    </row>
    <row r="1387" spans="1:5" x14ac:dyDescent="0.25">
      <c r="A1387" s="8">
        <v>136859</v>
      </c>
      <c r="B1387" s="5" t="s">
        <v>774</v>
      </c>
      <c r="C1387" s="6" t="s">
        <v>1397</v>
      </c>
      <c r="D1387" s="6" t="str">
        <f>_xlfn.IFNA(IF(VLOOKUP(tabListaItens[[#This Row],[CÓDIGO]],tabExcluirDoEstoque[#Data],1,FALSE),"sim",""),"")</f>
        <v/>
      </c>
      <c r="E1387" s="6" t="str">
        <f>"*"</f>
        <v>*</v>
      </c>
    </row>
    <row r="1388" spans="1:5" ht="30" x14ac:dyDescent="0.25">
      <c r="A1388" s="8">
        <v>136860</v>
      </c>
      <c r="B1388" s="5" t="s">
        <v>287</v>
      </c>
      <c r="C1388" s="6" t="s">
        <v>1397</v>
      </c>
      <c r="D1388" s="6" t="str">
        <f>_xlfn.IFNA(IF(VLOOKUP(tabListaItens[[#This Row],[CÓDIGO]],tabExcluirDoEstoque[#Data],1,FALSE),"sim",""),"")</f>
        <v/>
      </c>
      <c r="E1388" s="6" t="str">
        <f>"*"</f>
        <v>*</v>
      </c>
    </row>
    <row r="1389" spans="1:5" x14ac:dyDescent="0.25">
      <c r="A1389" s="8">
        <v>136876</v>
      </c>
      <c r="B1389" s="5" t="s">
        <v>1514</v>
      </c>
      <c r="C1389" s="6" t="s">
        <v>1404</v>
      </c>
      <c r="D1389" s="76" t="str">
        <f>_xlfn.IFNA(IF(VLOOKUP(tabListaItens[[#This Row],[CÓDIGO]],tabExcluirDoEstoque[#Data],1,FALSE),"sim",""),"")</f>
        <v/>
      </c>
      <c r="E1389" s="76" t="str">
        <f>"*"</f>
        <v>*</v>
      </c>
    </row>
    <row r="1390" spans="1:5" ht="30" x14ac:dyDescent="0.25">
      <c r="A1390" s="8">
        <v>136877</v>
      </c>
      <c r="B1390" s="5" t="s">
        <v>1516</v>
      </c>
      <c r="C1390" s="6" t="s">
        <v>1404</v>
      </c>
      <c r="D1390" s="76" t="str">
        <f>_xlfn.IFNA(IF(VLOOKUP(tabListaItens[[#This Row],[CÓDIGO]],tabExcluirDoEstoque[#Data],1,FALSE),"sim",""),"")</f>
        <v/>
      </c>
      <c r="E1390" s="76" t="str">
        <f>"*"</f>
        <v>*</v>
      </c>
    </row>
    <row r="1391" spans="1:5" ht="30" x14ac:dyDescent="0.25">
      <c r="A1391" s="8">
        <v>136880</v>
      </c>
      <c r="B1391" s="5" t="s">
        <v>284</v>
      </c>
      <c r="C1391" s="6" t="s">
        <v>1412</v>
      </c>
      <c r="D1391" s="6" t="str">
        <f>_xlfn.IFNA(IF(VLOOKUP(tabListaItens[[#This Row],[CÓDIGO]],tabExcluirDoEstoque[#Data],1,FALSE),"sim",""),"")</f>
        <v/>
      </c>
      <c r="E1391" s="6" t="str">
        <f>"*"</f>
        <v>*</v>
      </c>
    </row>
    <row r="1392" spans="1:5" ht="30" x14ac:dyDescent="0.25">
      <c r="A1392" s="8">
        <v>136881</v>
      </c>
      <c r="B1392" s="5" t="s">
        <v>608</v>
      </c>
      <c r="C1392" s="6" t="s">
        <v>1417</v>
      </c>
      <c r="D1392" s="6" t="str">
        <f>_xlfn.IFNA(IF(VLOOKUP(tabListaItens[[#This Row],[CÓDIGO]],tabExcluirDoEstoque[#Data],1,FALSE),"sim",""),"")</f>
        <v/>
      </c>
      <c r="E1392" s="6" t="str">
        <f>"*"</f>
        <v>*</v>
      </c>
    </row>
    <row r="1393" spans="1:5" ht="30" x14ac:dyDescent="0.25">
      <c r="A1393" s="8">
        <v>136895</v>
      </c>
      <c r="B1393" s="5" t="s">
        <v>542</v>
      </c>
      <c r="C1393" s="6" t="s">
        <v>1404</v>
      </c>
      <c r="D1393" s="6" t="str">
        <f>_xlfn.IFNA(IF(VLOOKUP(tabListaItens[[#This Row],[CÓDIGO]],tabExcluirDoEstoque[#Data],1,FALSE),"sim",""),"")</f>
        <v/>
      </c>
      <c r="E1393" s="6" t="str">
        <f>"*"</f>
        <v>*</v>
      </c>
    </row>
    <row r="1394" spans="1:5" ht="30" x14ac:dyDescent="0.25">
      <c r="A1394" s="8">
        <v>136896</v>
      </c>
      <c r="B1394" s="5" t="s">
        <v>543</v>
      </c>
      <c r="C1394" s="6" t="s">
        <v>1404</v>
      </c>
      <c r="D1394" s="6" t="str">
        <f>_xlfn.IFNA(IF(VLOOKUP(tabListaItens[[#This Row],[CÓDIGO]],tabExcluirDoEstoque[#Data],1,FALSE),"sim",""),"")</f>
        <v/>
      </c>
      <c r="E1394" s="6" t="str">
        <f>"*"</f>
        <v>*</v>
      </c>
    </row>
    <row r="1395" spans="1:5" ht="30" x14ac:dyDescent="0.25">
      <c r="A1395" s="8">
        <v>136898</v>
      </c>
      <c r="B1395" s="5" t="s">
        <v>584</v>
      </c>
      <c r="C1395" s="6" t="s">
        <v>1404</v>
      </c>
      <c r="D1395" s="6" t="str">
        <f>_xlfn.IFNA(IF(VLOOKUP(tabListaItens[[#This Row],[CÓDIGO]],tabExcluirDoEstoque[#Data],1,FALSE),"sim",""),"")</f>
        <v/>
      </c>
      <c r="E1395" s="6" t="str">
        <f>"*"</f>
        <v>*</v>
      </c>
    </row>
    <row r="1396" spans="1:5" x14ac:dyDescent="0.25">
      <c r="A1396" s="8">
        <v>136910</v>
      </c>
      <c r="B1396" s="5" t="s">
        <v>1525</v>
      </c>
      <c r="C1396" s="6" t="s">
        <v>1413</v>
      </c>
      <c r="D1396" s="6" t="str">
        <f>_xlfn.IFNA(IF(VLOOKUP(tabListaItens[[#This Row],[CÓDIGO]],tabExcluirDoEstoque[#Data],1,FALSE),"sim",""),"")</f>
        <v>sim</v>
      </c>
      <c r="E1396" s="6" t="str">
        <f>"*"</f>
        <v>*</v>
      </c>
    </row>
    <row r="1397" spans="1:5" x14ac:dyDescent="0.25">
      <c r="A1397" s="8">
        <v>136911</v>
      </c>
      <c r="B1397" s="5" t="s">
        <v>1526</v>
      </c>
      <c r="C1397" s="6" t="s">
        <v>1413</v>
      </c>
      <c r="D1397" s="6" t="str">
        <f>_xlfn.IFNA(IF(VLOOKUP(tabListaItens[[#This Row],[CÓDIGO]],tabExcluirDoEstoque[#Data],1,FALSE),"sim",""),"")</f>
        <v>sim</v>
      </c>
      <c r="E1397" s="6" t="str">
        <f>"*"</f>
        <v>*</v>
      </c>
    </row>
    <row r="1398" spans="1:5" ht="30" x14ac:dyDescent="0.25">
      <c r="A1398" s="8">
        <v>136941</v>
      </c>
      <c r="B1398" s="5" t="s">
        <v>673</v>
      </c>
      <c r="C1398" s="6" t="s">
        <v>1411</v>
      </c>
      <c r="D1398" s="6" t="str">
        <f>_xlfn.IFNA(IF(VLOOKUP(tabListaItens[[#This Row],[CÓDIGO]],tabExcluirDoEstoque[#Data],1,FALSE),"sim",""),"")</f>
        <v/>
      </c>
      <c r="E1398" s="6" t="str">
        <f>"*"</f>
        <v>*</v>
      </c>
    </row>
    <row r="1399" spans="1:5" ht="30" x14ac:dyDescent="0.25">
      <c r="A1399" s="8">
        <v>137019</v>
      </c>
      <c r="B1399" s="5" t="s">
        <v>772</v>
      </c>
      <c r="C1399" s="6" t="s">
        <v>1404</v>
      </c>
      <c r="D1399" s="6" t="str">
        <f>_xlfn.IFNA(IF(VLOOKUP(tabListaItens[[#This Row],[CÓDIGO]],tabExcluirDoEstoque[#Data],1,FALSE),"sim",""),"")</f>
        <v/>
      </c>
      <c r="E1399" s="6" t="str">
        <f>"*"</f>
        <v>*</v>
      </c>
    </row>
    <row r="1400" spans="1:5" ht="45" x14ac:dyDescent="0.25">
      <c r="A1400" s="8">
        <v>137053</v>
      </c>
      <c r="B1400" s="5" t="s">
        <v>771</v>
      </c>
      <c r="C1400" s="6" t="s">
        <v>1397</v>
      </c>
      <c r="D1400" s="6" t="str">
        <f>_xlfn.IFNA(IF(VLOOKUP(tabListaItens[[#This Row],[CÓDIGO]],tabExcluirDoEstoque[#Data],1,FALSE),"sim",""),"")</f>
        <v/>
      </c>
      <c r="E1400" s="6" t="str">
        <f>"*"</f>
        <v>*</v>
      </c>
    </row>
    <row r="1401" spans="1:5" ht="30" x14ac:dyDescent="0.25">
      <c r="A1401" s="8">
        <v>137798</v>
      </c>
      <c r="B1401" s="5" t="s">
        <v>1515</v>
      </c>
      <c r="C1401" s="6" t="s">
        <v>1397</v>
      </c>
      <c r="D1401" s="76" t="str">
        <f>_xlfn.IFNA(IF(VLOOKUP(tabListaItens[[#This Row],[CÓDIGO]],tabExcluirDoEstoque[#Data],1,FALSE),"sim",""),"")</f>
        <v/>
      </c>
      <c r="E1401" s="76" t="str">
        <f>"*"</f>
        <v>*</v>
      </c>
    </row>
    <row r="1402" spans="1:5" ht="30" x14ac:dyDescent="0.25">
      <c r="A1402" s="8">
        <v>137799</v>
      </c>
      <c r="B1402" s="5" t="s">
        <v>729</v>
      </c>
      <c r="C1402" s="6" t="s">
        <v>1412</v>
      </c>
      <c r="D1402" s="6" t="str">
        <f>_xlfn.IFNA(IF(VLOOKUP(tabListaItens[[#This Row],[CÓDIGO]],tabExcluirDoEstoque[#Data],1,FALSE),"sim",""),"")</f>
        <v/>
      </c>
      <c r="E1402" s="6" t="str">
        <f>"*"</f>
        <v>*</v>
      </c>
    </row>
    <row r="1403" spans="1:5" ht="30" x14ac:dyDescent="0.25">
      <c r="A1403" s="8">
        <v>137800</v>
      </c>
      <c r="B1403" s="5" t="s">
        <v>614</v>
      </c>
      <c r="C1403" s="6" t="s">
        <v>1412</v>
      </c>
      <c r="D1403" s="6" t="str">
        <f>_xlfn.IFNA(IF(VLOOKUP(tabListaItens[[#This Row],[CÓDIGO]],tabExcluirDoEstoque[#Data],1,FALSE),"sim",""),"")</f>
        <v/>
      </c>
      <c r="E1403" s="6" t="str">
        <f>"*"</f>
        <v>*</v>
      </c>
    </row>
    <row r="1404" spans="1:5" x14ac:dyDescent="0.25">
      <c r="A1404" s="8">
        <v>138054</v>
      </c>
      <c r="B1404" s="5" t="s">
        <v>122</v>
      </c>
      <c r="C1404" s="6" t="s">
        <v>1397</v>
      </c>
      <c r="D1404" s="6" t="str">
        <f>_xlfn.IFNA(IF(VLOOKUP(tabListaItens[[#This Row],[CÓDIGO]],tabExcluirDoEstoque[#Data],1,FALSE),"sim",""),"")</f>
        <v/>
      </c>
      <c r="E1404" s="6" t="str">
        <f>"*"</f>
        <v>*</v>
      </c>
    </row>
    <row r="1405" spans="1:5" ht="30" x14ac:dyDescent="0.25">
      <c r="A1405" s="8">
        <v>138055</v>
      </c>
      <c r="B1405" s="5" t="s">
        <v>436</v>
      </c>
      <c r="C1405" s="6" t="s">
        <v>1397</v>
      </c>
      <c r="D1405" s="6" t="str">
        <f>_xlfn.IFNA(IF(VLOOKUP(tabListaItens[[#This Row],[CÓDIGO]],tabExcluirDoEstoque[#Data],1,FALSE),"sim",""),"")</f>
        <v/>
      </c>
      <c r="E1405" s="6" t="str">
        <f>"*"</f>
        <v>*</v>
      </c>
    </row>
    <row r="1406" spans="1:5" x14ac:dyDescent="0.25">
      <c r="A1406" s="8">
        <v>138352</v>
      </c>
      <c r="B1406" s="5" t="s">
        <v>836</v>
      </c>
      <c r="C1406" s="6" t="s">
        <v>1424</v>
      </c>
      <c r="D1406" s="6" t="str">
        <f>_xlfn.IFNA(IF(VLOOKUP(tabListaItens[[#This Row],[CÓDIGO]],tabExcluirDoEstoque[#Data],1,FALSE),"sim",""),"")</f>
        <v/>
      </c>
      <c r="E1406" s="6" t="str">
        <f>"*"</f>
        <v>*</v>
      </c>
    </row>
    <row r="1407" spans="1:5" ht="45" x14ac:dyDescent="0.25">
      <c r="A1407" s="8">
        <v>138450</v>
      </c>
      <c r="B1407" s="5" t="s">
        <v>125</v>
      </c>
      <c r="C1407" s="6" t="s">
        <v>1404</v>
      </c>
      <c r="D1407" s="6" t="str">
        <f>_xlfn.IFNA(IF(VLOOKUP(tabListaItens[[#This Row],[CÓDIGO]],tabExcluirDoEstoque[#Data],1,FALSE),"sim",""),"")</f>
        <v/>
      </c>
      <c r="E1407" s="6" t="str">
        <f>"*"</f>
        <v>*</v>
      </c>
    </row>
    <row r="1408" spans="1:5" ht="30" x14ac:dyDescent="0.25">
      <c r="A1408" s="8">
        <v>138451</v>
      </c>
      <c r="B1408" s="5" t="s">
        <v>152</v>
      </c>
      <c r="C1408" s="6" t="s">
        <v>1404</v>
      </c>
      <c r="D1408" s="6" t="str">
        <f>_xlfn.IFNA(IF(VLOOKUP(tabListaItens[[#This Row],[CÓDIGO]],tabExcluirDoEstoque[#Data],1,FALSE),"sim",""),"")</f>
        <v/>
      </c>
      <c r="E1408" s="6" t="str">
        <f>"*"</f>
        <v>*</v>
      </c>
    </row>
    <row r="1409" spans="1:5" ht="75" x14ac:dyDescent="0.25">
      <c r="A1409" s="8">
        <v>138453</v>
      </c>
      <c r="B1409" s="5" t="s">
        <v>220</v>
      </c>
      <c r="C1409" s="6" t="s">
        <v>1404</v>
      </c>
      <c r="D1409" s="6" t="str">
        <f>_xlfn.IFNA(IF(VLOOKUP(tabListaItens[[#This Row],[CÓDIGO]],tabExcluirDoEstoque[#Data],1,FALSE),"sim",""),"")</f>
        <v/>
      </c>
      <c r="E1409" s="6" t="str">
        <f>"*"</f>
        <v>*</v>
      </c>
    </row>
    <row r="1410" spans="1:5" ht="75" x14ac:dyDescent="0.25">
      <c r="A1410" s="8">
        <v>138454</v>
      </c>
      <c r="B1410" s="5" t="s">
        <v>221</v>
      </c>
      <c r="C1410" s="6" t="s">
        <v>1404</v>
      </c>
      <c r="D1410" s="6" t="str">
        <f>_xlfn.IFNA(IF(VLOOKUP(tabListaItens[[#This Row],[CÓDIGO]],tabExcluirDoEstoque[#Data],1,FALSE),"sim",""),"")</f>
        <v/>
      </c>
      <c r="E1410" s="6" t="str">
        <f>"*"</f>
        <v>*</v>
      </c>
    </row>
    <row r="1411" spans="1:5" ht="75" x14ac:dyDescent="0.25">
      <c r="A1411" s="8">
        <v>138456</v>
      </c>
      <c r="B1411" s="5" t="s">
        <v>222</v>
      </c>
      <c r="C1411" s="6" t="s">
        <v>1404</v>
      </c>
      <c r="D1411" s="6" t="str">
        <f>_xlfn.IFNA(IF(VLOOKUP(tabListaItens[[#This Row],[CÓDIGO]],tabExcluirDoEstoque[#Data],1,FALSE),"sim",""),"")</f>
        <v/>
      </c>
      <c r="E1411" s="6" t="str">
        <f>"*"</f>
        <v>*</v>
      </c>
    </row>
    <row r="1412" spans="1:5" ht="75" x14ac:dyDescent="0.25">
      <c r="A1412" s="8">
        <v>138457</v>
      </c>
      <c r="B1412" s="5" t="s">
        <v>224</v>
      </c>
      <c r="C1412" s="6" t="s">
        <v>1404</v>
      </c>
      <c r="D1412" s="6" t="str">
        <f>_xlfn.IFNA(IF(VLOOKUP(tabListaItens[[#This Row],[CÓDIGO]],tabExcluirDoEstoque[#Data],1,FALSE),"sim",""),"")</f>
        <v/>
      </c>
      <c r="E1412" s="6" t="str">
        <f>"*"</f>
        <v>*</v>
      </c>
    </row>
    <row r="1413" spans="1:5" ht="75" x14ac:dyDescent="0.25">
      <c r="A1413" s="8">
        <v>138458</v>
      </c>
      <c r="B1413" s="5" t="s">
        <v>223</v>
      </c>
      <c r="C1413" s="6" t="s">
        <v>1404</v>
      </c>
      <c r="D1413" s="6" t="str">
        <f>_xlfn.IFNA(IF(VLOOKUP(tabListaItens[[#This Row],[CÓDIGO]],tabExcluirDoEstoque[#Data],1,FALSE),"sim",""),"")</f>
        <v/>
      </c>
      <c r="E1413" s="6" t="str">
        <f>"*"</f>
        <v>*</v>
      </c>
    </row>
    <row r="1414" spans="1:5" ht="60" x14ac:dyDescent="0.25">
      <c r="A1414" s="8">
        <v>138459</v>
      </c>
      <c r="B1414" s="5" t="s">
        <v>265</v>
      </c>
      <c r="C1414" s="6" t="s">
        <v>1404</v>
      </c>
      <c r="D1414" s="6" t="str">
        <f>_xlfn.IFNA(IF(VLOOKUP(tabListaItens[[#This Row],[CÓDIGO]],tabExcluirDoEstoque[#Data],1,FALSE),"sim",""),"")</f>
        <v/>
      </c>
      <c r="E1414" s="6" t="str">
        <f>"*"</f>
        <v>*</v>
      </c>
    </row>
    <row r="1415" spans="1:5" ht="60" x14ac:dyDescent="0.25">
      <c r="A1415" s="8">
        <v>138460</v>
      </c>
      <c r="B1415" s="5" t="s">
        <v>266</v>
      </c>
      <c r="C1415" s="6" t="s">
        <v>1404</v>
      </c>
      <c r="D1415" s="6" t="str">
        <f>_xlfn.IFNA(IF(VLOOKUP(tabListaItens[[#This Row],[CÓDIGO]],tabExcluirDoEstoque[#Data],1,FALSE),"sim",""),"")</f>
        <v/>
      </c>
      <c r="E1415" s="6" t="str">
        <f>"*"</f>
        <v>*</v>
      </c>
    </row>
    <row r="1416" spans="1:5" ht="60" x14ac:dyDescent="0.25">
      <c r="A1416" s="8">
        <v>138461</v>
      </c>
      <c r="B1416" s="5" t="s">
        <v>269</v>
      </c>
      <c r="C1416" s="6" t="s">
        <v>1415</v>
      </c>
      <c r="D1416" s="6" t="str">
        <f>_xlfn.IFNA(IF(VLOOKUP(tabListaItens[[#This Row],[CÓDIGO]],tabExcluirDoEstoque[#Data],1,FALSE),"sim",""),"")</f>
        <v/>
      </c>
      <c r="E1416" s="6" t="str">
        <f>"*"</f>
        <v>*</v>
      </c>
    </row>
    <row r="1417" spans="1:5" ht="45" x14ac:dyDescent="0.25">
      <c r="A1417" s="8">
        <v>138462</v>
      </c>
      <c r="B1417" s="5" t="s">
        <v>497</v>
      </c>
      <c r="C1417" s="6" t="s">
        <v>1415</v>
      </c>
      <c r="D1417" s="6" t="str">
        <f>_xlfn.IFNA(IF(VLOOKUP(tabListaItens[[#This Row],[CÓDIGO]],tabExcluirDoEstoque[#Data],1,FALSE),"sim",""),"")</f>
        <v/>
      </c>
      <c r="E1417" s="6" t="str">
        <f>"*"</f>
        <v>*</v>
      </c>
    </row>
    <row r="1418" spans="1:5" ht="75" x14ac:dyDescent="0.25">
      <c r="A1418" s="8">
        <v>138463</v>
      </c>
      <c r="B1418" s="5" t="s">
        <v>550</v>
      </c>
      <c r="C1418" s="6" t="s">
        <v>1415</v>
      </c>
      <c r="D1418" s="6" t="str">
        <f>_xlfn.IFNA(IF(VLOOKUP(tabListaItens[[#This Row],[CÓDIGO]],tabExcluirDoEstoque[#Data],1,FALSE),"sim",""),"")</f>
        <v/>
      </c>
      <c r="E1418" s="6" t="str">
        <f>"*"</f>
        <v>*</v>
      </c>
    </row>
    <row r="1419" spans="1:5" ht="60" x14ac:dyDescent="0.25">
      <c r="A1419" s="8">
        <v>138464</v>
      </c>
      <c r="B1419" s="5" t="s">
        <v>1505</v>
      </c>
      <c r="C1419" s="6" t="s">
        <v>1404</v>
      </c>
      <c r="D1419" s="6" t="str">
        <f>_xlfn.IFNA(IF(VLOOKUP(tabListaItens[[#This Row],[CÓDIGO]],tabExcluirDoEstoque[#Data],1,FALSE),"sim",""),"")</f>
        <v/>
      </c>
      <c r="E1419" s="6" t="str">
        <f>"*"</f>
        <v>*</v>
      </c>
    </row>
    <row r="1420" spans="1:5" ht="30" x14ac:dyDescent="0.25">
      <c r="A1420" s="8">
        <v>138465</v>
      </c>
      <c r="B1420" s="5" t="s">
        <v>713</v>
      </c>
      <c r="C1420" s="6" t="s">
        <v>1404</v>
      </c>
      <c r="D1420" s="6" t="str">
        <f>_xlfn.IFNA(IF(VLOOKUP(tabListaItens[[#This Row],[CÓDIGO]],tabExcluirDoEstoque[#Data],1,FALSE),"sim",""),"")</f>
        <v/>
      </c>
      <c r="E1420" s="6" t="str">
        <f>"*"</f>
        <v>*</v>
      </c>
    </row>
    <row r="1421" spans="1:5" ht="45" x14ac:dyDescent="0.25">
      <c r="A1421" s="8">
        <v>138471</v>
      </c>
      <c r="B1421" s="5" t="s">
        <v>898</v>
      </c>
      <c r="C1421" s="6" t="s">
        <v>1404</v>
      </c>
      <c r="D1421" s="6" t="str">
        <f>_xlfn.IFNA(IF(VLOOKUP(tabListaItens[[#This Row],[CÓDIGO]],tabExcluirDoEstoque[#Data],1,FALSE),"sim",""),"")</f>
        <v/>
      </c>
      <c r="E1421" s="6" t="str">
        <f>"*"</f>
        <v>*</v>
      </c>
    </row>
    <row r="1422" spans="1:5" x14ac:dyDescent="0.25">
      <c r="A1422" s="8">
        <v>138475</v>
      </c>
      <c r="B1422" s="5" t="s">
        <v>381</v>
      </c>
      <c r="C1422" s="6" t="s">
        <v>1397</v>
      </c>
      <c r="D1422" s="6" t="str">
        <f>_xlfn.IFNA(IF(VLOOKUP(tabListaItens[[#This Row],[CÓDIGO]],tabExcluirDoEstoque[#Data],1,FALSE),"sim",""),"")</f>
        <v/>
      </c>
      <c r="E1422" s="6" t="str">
        <f>"*"</f>
        <v>*</v>
      </c>
    </row>
    <row r="1423" spans="1:5" x14ac:dyDescent="0.25">
      <c r="A1423" s="8">
        <v>138528</v>
      </c>
      <c r="B1423" s="5" t="s">
        <v>863</v>
      </c>
      <c r="C1423" s="6" t="s">
        <v>1404</v>
      </c>
      <c r="D1423" s="6" t="str">
        <f>_xlfn.IFNA(IF(VLOOKUP(tabListaItens[[#This Row],[CÓDIGO]],tabExcluirDoEstoque[#Data],1,FALSE),"sim",""),"")</f>
        <v/>
      </c>
      <c r="E1423" s="6" t="str">
        <f>"*"</f>
        <v>*</v>
      </c>
    </row>
    <row r="1424" spans="1:5" x14ac:dyDescent="0.25">
      <c r="A1424" s="8">
        <v>138547</v>
      </c>
      <c r="B1424" s="5" t="s">
        <v>587</v>
      </c>
      <c r="C1424" s="6" t="s">
        <v>1404</v>
      </c>
      <c r="D1424" s="6" t="str">
        <f>_xlfn.IFNA(IF(VLOOKUP(tabListaItens[[#This Row],[CÓDIGO]],tabExcluirDoEstoque[#Data],1,FALSE),"sim",""),"")</f>
        <v>sim</v>
      </c>
      <c r="E1424" s="6" t="str">
        <f>"*"</f>
        <v>*</v>
      </c>
    </row>
    <row r="1425" spans="1:5" ht="30" x14ac:dyDescent="0.25">
      <c r="A1425" s="8">
        <v>138551</v>
      </c>
      <c r="B1425" s="5" t="s">
        <v>1513</v>
      </c>
      <c r="C1425" s="6" t="s">
        <v>1404</v>
      </c>
      <c r="D1425" s="76" t="str">
        <f>_xlfn.IFNA(IF(VLOOKUP(tabListaItens[[#This Row],[CÓDIGO]],tabExcluirDoEstoque[#Data],1,FALSE),"sim",""),"")</f>
        <v/>
      </c>
      <c r="E1425" s="76" t="str">
        <f>"*"</f>
        <v>*</v>
      </c>
    </row>
    <row r="1426" spans="1:5" ht="30" x14ac:dyDescent="0.25">
      <c r="A1426" s="8">
        <v>138552</v>
      </c>
      <c r="B1426" s="5" t="s">
        <v>1511</v>
      </c>
      <c r="C1426" s="6" t="s">
        <v>1404</v>
      </c>
      <c r="D1426" s="76" t="str">
        <f>_xlfn.IFNA(IF(VLOOKUP(tabListaItens[[#This Row],[CÓDIGO]],tabExcluirDoEstoque[#Data],1,FALSE),"sim",""),"")</f>
        <v/>
      </c>
      <c r="E1426" s="76" t="str">
        <f>"*"</f>
        <v>*</v>
      </c>
    </row>
    <row r="1427" spans="1:5" ht="30" x14ac:dyDescent="0.25">
      <c r="A1427" s="8">
        <v>138553</v>
      </c>
      <c r="B1427" s="5" t="s">
        <v>1512</v>
      </c>
      <c r="C1427" s="6" t="s">
        <v>1404</v>
      </c>
      <c r="D1427" s="76" t="str">
        <f>_xlfn.IFNA(IF(VLOOKUP(tabListaItens[[#This Row],[CÓDIGO]],tabExcluirDoEstoque[#Data],1,FALSE),"sim",""),"")</f>
        <v/>
      </c>
      <c r="E1427" s="76" t="str">
        <f>"*"</f>
        <v>*</v>
      </c>
    </row>
    <row r="1428" spans="1:5" ht="30" x14ac:dyDescent="0.25">
      <c r="A1428" s="8">
        <v>138554</v>
      </c>
      <c r="B1428" s="5" t="s">
        <v>1510</v>
      </c>
      <c r="C1428" s="6" t="s">
        <v>1404</v>
      </c>
      <c r="D1428" s="76" t="str">
        <f>_xlfn.IFNA(IF(VLOOKUP(tabListaItens[[#This Row],[CÓDIGO]],tabExcluirDoEstoque[#Data],1,FALSE),"sim",""),"")</f>
        <v/>
      </c>
      <c r="E1428" s="76" t="str">
        <f>"*"</f>
        <v>*</v>
      </c>
    </row>
    <row r="1429" spans="1:5" x14ac:dyDescent="0.25">
      <c r="A1429" s="8">
        <v>139141</v>
      </c>
      <c r="B1429" s="5" t="s">
        <v>1506</v>
      </c>
      <c r="C1429" s="6" t="s">
        <v>1404</v>
      </c>
      <c r="D1429" s="76" t="str">
        <f>_xlfn.IFNA(IF(VLOOKUP(tabListaItens[[#This Row],[CÓDIGO]],tabExcluirDoEstoque[#Data],1,FALSE),"sim",""),"")</f>
        <v/>
      </c>
      <c r="E1429" s="76" t="str">
        <f>"*"</f>
        <v>*</v>
      </c>
    </row>
    <row r="1430" spans="1:5" x14ac:dyDescent="0.25">
      <c r="A1430" s="8">
        <v>139142</v>
      </c>
      <c r="B1430" s="5" t="s">
        <v>1507</v>
      </c>
      <c r="C1430" s="6" t="s">
        <v>1404</v>
      </c>
      <c r="D1430" s="76" t="str">
        <f>_xlfn.IFNA(IF(VLOOKUP(tabListaItens[[#This Row],[CÓDIGO]],tabExcluirDoEstoque[#Data],1,FALSE),"sim",""),"")</f>
        <v/>
      </c>
      <c r="E1430" s="76" t="str">
        <f>"*"</f>
        <v>*</v>
      </c>
    </row>
    <row r="1431" spans="1:5" x14ac:dyDescent="0.25">
      <c r="A1431" s="8">
        <v>139143</v>
      </c>
      <c r="B1431" s="5" t="s">
        <v>1508</v>
      </c>
      <c r="C1431" s="6" t="s">
        <v>1404</v>
      </c>
      <c r="D1431" s="76" t="str">
        <f>_xlfn.IFNA(IF(VLOOKUP(tabListaItens[[#This Row],[CÓDIGO]],tabExcluirDoEstoque[#Data],1,FALSE),"sim",""),"")</f>
        <v/>
      </c>
      <c r="E1431" s="76" t="str">
        <f>"*"</f>
        <v>*</v>
      </c>
    </row>
    <row r="1432" spans="1:5" x14ac:dyDescent="0.25">
      <c r="A1432" s="8">
        <v>139144</v>
      </c>
      <c r="B1432" s="5" t="s">
        <v>1509</v>
      </c>
      <c r="C1432" s="6" t="s">
        <v>1404</v>
      </c>
      <c r="D1432" s="76" t="str">
        <f>_xlfn.IFNA(IF(VLOOKUP(tabListaItens[[#This Row],[CÓDIGO]],tabExcluirDoEstoque[#Data],1,FALSE),"sim",""),"")</f>
        <v/>
      </c>
      <c r="E1432" s="76" t="str">
        <f>"*"</f>
        <v>*</v>
      </c>
    </row>
    <row r="1433" spans="1:5" x14ac:dyDescent="0.25">
      <c r="A1433" s="8">
        <v>139545</v>
      </c>
      <c r="B1433" s="5" t="s">
        <v>1522</v>
      </c>
      <c r="C1433" s="6" t="s">
        <v>1404</v>
      </c>
      <c r="D1433" s="76" t="str">
        <f>_xlfn.IFNA(IF(VLOOKUP(tabListaItens[[#This Row],[CÓDIGO]],tabExcluirDoEstoque[#Data],1,FALSE),"sim",""),"")</f>
        <v/>
      </c>
      <c r="E1433" s="76" t="str">
        <f>"*"</f>
        <v>*</v>
      </c>
    </row>
    <row r="1434" spans="1:5" ht="30" x14ac:dyDescent="0.25">
      <c r="A1434" s="8">
        <v>139767</v>
      </c>
      <c r="B1434" s="5" t="s">
        <v>1573</v>
      </c>
      <c r="C1434" s="6" t="s">
        <v>1404</v>
      </c>
      <c r="D1434" s="76" t="str">
        <f>_xlfn.IFNA(IF(VLOOKUP(tabListaItens[[#This Row],[CÓDIGO]],tabExcluirDoEstoque[#Data],1,FALSE),"sim",""),"")</f>
        <v/>
      </c>
      <c r="E1434" s="76" t="str">
        <f>"*"</f>
        <v>*</v>
      </c>
    </row>
    <row r="1435" spans="1:5" ht="60" x14ac:dyDescent="0.25">
      <c r="A1435" s="8">
        <v>139957</v>
      </c>
      <c r="B1435" s="5" t="s">
        <v>1574</v>
      </c>
      <c r="C1435" s="6" t="s">
        <v>1420</v>
      </c>
      <c r="D1435" s="76" t="str">
        <f>_xlfn.IFNA(IF(VLOOKUP(tabListaItens[[#This Row],[CÓDIGO]],tabExcluirDoEstoque[#Data],1,FALSE),"sim",""),"")</f>
        <v/>
      </c>
      <c r="E1435" s="76" t="str">
        <f>"*"</f>
        <v>*</v>
      </c>
    </row>
    <row r="1436" spans="1:5" ht="60" x14ac:dyDescent="0.25">
      <c r="A1436" s="8">
        <v>139958</v>
      </c>
      <c r="B1436" s="5" t="s">
        <v>1575</v>
      </c>
      <c r="C1436" s="6" t="s">
        <v>1420</v>
      </c>
      <c r="D1436" s="76" t="str">
        <f>_xlfn.IFNA(IF(VLOOKUP(tabListaItens[[#This Row],[CÓDIGO]],tabExcluirDoEstoque[#Data],1,FALSE),"sim",""),"")</f>
        <v/>
      </c>
      <c r="E1436" s="76" t="str">
        <f>"*"</f>
        <v>*</v>
      </c>
    </row>
    <row r="1437" spans="1:5" ht="30" x14ac:dyDescent="0.25">
      <c r="A1437" s="8">
        <v>140028</v>
      </c>
      <c r="B1437" s="5" t="s">
        <v>1534</v>
      </c>
      <c r="C1437" s="6" t="s">
        <v>1408</v>
      </c>
      <c r="D1437" s="76" t="str">
        <f>_xlfn.IFNA(IF(VLOOKUP(tabListaItens[[#This Row],[CÓDIGO]],tabExcluirDoEstoque[#Data],1,FALSE),"sim",""),"")</f>
        <v/>
      </c>
      <c r="E1437" s="76" t="str">
        <f>"*"</f>
        <v>*</v>
      </c>
    </row>
    <row r="1438" spans="1:5" ht="30" x14ac:dyDescent="0.25">
      <c r="A1438" s="8">
        <v>140030</v>
      </c>
      <c r="B1438" s="5" t="s">
        <v>1539</v>
      </c>
      <c r="C1438" s="6" t="s">
        <v>1408</v>
      </c>
      <c r="D1438" s="76" t="str">
        <f>_xlfn.IFNA(IF(VLOOKUP(tabListaItens[[#This Row],[CÓDIGO]],tabExcluirDoEstoque[#Data],1,FALSE),"sim",""),"")</f>
        <v/>
      </c>
      <c r="E1438" s="76" t="str">
        <f>"*"</f>
        <v>*</v>
      </c>
    </row>
    <row r="1439" spans="1:5" ht="30" x14ac:dyDescent="0.25">
      <c r="A1439" s="8">
        <v>140032</v>
      </c>
      <c r="B1439" s="5" t="s">
        <v>1538</v>
      </c>
      <c r="C1439" s="6" t="s">
        <v>1408</v>
      </c>
      <c r="D1439" s="76" t="str">
        <f>_xlfn.IFNA(IF(VLOOKUP(tabListaItens[[#This Row],[CÓDIGO]],tabExcluirDoEstoque[#Data],1,FALSE),"sim",""),"")</f>
        <v/>
      </c>
      <c r="E1439" s="76" t="str">
        <f>"*"</f>
        <v>*</v>
      </c>
    </row>
    <row r="1440" spans="1:5" ht="30" x14ac:dyDescent="0.25">
      <c r="A1440" s="8">
        <v>140033</v>
      </c>
      <c r="B1440" s="5" t="s">
        <v>1540</v>
      </c>
      <c r="C1440" s="6" t="s">
        <v>1408</v>
      </c>
      <c r="D1440" s="76" t="str">
        <f>_xlfn.IFNA(IF(VLOOKUP(tabListaItens[[#This Row],[CÓDIGO]],tabExcluirDoEstoque[#Data],1,FALSE),"sim",""),"")</f>
        <v/>
      </c>
      <c r="E1440" s="76" t="str">
        <f>"*"</f>
        <v>*</v>
      </c>
    </row>
    <row r="1441" spans="1:5" ht="30" x14ac:dyDescent="0.25">
      <c r="A1441" s="8">
        <v>140035</v>
      </c>
      <c r="B1441" s="5" t="s">
        <v>1541</v>
      </c>
      <c r="C1441" s="6" t="s">
        <v>1408</v>
      </c>
      <c r="D1441" s="76" t="str">
        <f>_xlfn.IFNA(IF(VLOOKUP(tabListaItens[[#This Row],[CÓDIGO]],tabExcluirDoEstoque[#Data],1,FALSE),"sim",""),"")</f>
        <v/>
      </c>
      <c r="E1441" s="76" t="str">
        <f>"*"</f>
        <v>*</v>
      </c>
    </row>
    <row r="1442" spans="1:5" ht="30" x14ac:dyDescent="0.25">
      <c r="A1442" s="8">
        <v>140036</v>
      </c>
      <c r="B1442" s="5" t="s">
        <v>1542</v>
      </c>
      <c r="C1442" s="6" t="s">
        <v>1408</v>
      </c>
      <c r="D1442" s="76" t="str">
        <f>_xlfn.IFNA(IF(VLOOKUP(tabListaItens[[#This Row],[CÓDIGO]],tabExcluirDoEstoque[#Data],1,FALSE),"sim",""),"")</f>
        <v/>
      </c>
      <c r="E1442" s="76" t="str">
        <f>"*"</f>
        <v>*</v>
      </c>
    </row>
    <row r="1443" spans="1:5" ht="30" x14ac:dyDescent="0.25">
      <c r="A1443" s="8">
        <v>140038</v>
      </c>
      <c r="B1443" s="5" t="s">
        <v>1543</v>
      </c>
      <c r="C1443" s="6" t="s">
        <v>1408</v>
      </c>
      <c r="D1443" s="76" t="str">
        <f>_xlfn.IFNA(IF(VLOOKUP(tabListaItens[[#This Row],[CÓDIGO]],tabExcluirDoEstoque[#Data],1,FALSE),"sim",""),"")</f>
        <v/>
      </c>
      <c r="E1443" s="76" t="str">
        <f>"*"</f>
        <v>*</v>
      </c>
    </row>
    <row r="1444" spans="1:5" ht="30" x14ac:dyDescent="0.25">
      <c r="A1444" s="8">
        <v>140042</v>
      </c>
      <c r="B1444" s="5" t="s">
        <v>1536</v>
      </c>
      <c r="C1444" s="6" t="s">
        <v>1413</v>
      </c>
      <c r="D1444" s="76" t="str">
        <f>_xlfn.IFNA(IF(VLOOKUP(tabListaItens[[#This Row],[CÓDIGO]],tabExcluirDoEstoque[#Data],1,FALSE),"sim",""),"")</f>
        <v/>
      </c>
      <c r="E1444" s="76" t="str">
        <f>"*"</f>
        <v>*</v>
      </c>
    </row>
    <row r="1445" spans="1:5" ht="30" x14ac:dyDescent="0.25">
      <c r="A1445" s="8">
        <v>140043</v>
      </c>
      <c r="B1445" s="5" t="s">
        <v>1537</v>
      </c>
      <c r="C1445" s="6" t="s">
        <v>1413</v>
      </c>
      <c r="D1445" s="76" t="str">
        <f>_xlfn.IFNA(IF(VLOOKUP(tabListaItens[[#This Row],[CÓDIGO]],tabExcluirDoEstoque[#Data],1,FALSE),"sim",""),"")</f>
        <v/>
      </c>
      <c r="E1445" s="76" t="str">
        <f>"*"</f>
        <v>*</v>
      </c>
    </row>
    <row r="1446" spans="1:5" ht="30" x14ac:dyDescent="0.25">
      <c r="A1446" s="8">
        <v>140047</v>
      </c>
      <c r="B1446" s="5" t="s">
        <v>1535</v>
      </c>
      <c r="C1446" s="6" t="s">
        <v>1413</v>
      </c>
      <c r="D1446" s="76" t="str">
        <f>_xlfn.IFNA(IF(VLOOKUP(tabListaItens[[#This Row],[CÓDIGO]],tabExcluirDoEstoque[#Data],1,FALSE),"sim",""),"")</f>
        <v/>
      </c>
      <c r="E1446" s="76" t="str">
        <f>"*"</f>
        <v>*</v>
      </c>
    </row>
    <row r="1447" spans="1:5" ht="30" x14ac:dyDescent="0.25">
      <c r="A1447" s="8">
        <v>140048</v>
      </c>
      <c r="B1447" s="5" t="s">
        <v>1545</v>
      </c>
      <c r="C1447" s="6" t="s">
        <v>1413</v>
      </c>
      <c r="D1447" s="76" t="str">
        <f>_xlfn.IFNA(IF(VLOOKUP(tabListaItens[[#This Row],[CÓDIGO]],tabExcluirDoEstoque[#Data],1,FALSE),"sim",""),"")</f>
        <v/>
      </c>
      <c r="E1447" s="76" t="str">
        <f>"*"</f>
        <v>*</v>
      </c>
    </row>
    <row r="1448" spans="1:5" ht="30" x14ac:dyDescent="0.25">
      <c r="A1448" s="8">
        <v>140049</v>
      </c>
      <c r="B1448" s="5" t="s">
        <v>1544</v>
      </c>
      <c r="C1448" s="6" t="s">
        <v>1413</v>
      </c>
      <c r="D1448" s="76" t="str">
        <f>_xlfn.IFNA(IF(VLOOKUP(tabListaItens[[#This Row],[CÓDIGO]],tabExcluirDoEstoque[#Data],1,FALSE),"sim",""),"")</f>
        <v/>
      </c>
      <c r="E1448" s="76" t="str">
        <f>"*"</f>
        <v>*</v>
      </c>
    </row>
    <row r="1449" spans="1:5" ht="30" x14ac:dyDescent="0.25">
      <c r="A1449" s="8">
        <v>140050</v>
      </c>
      <c r="B1449" s="5" t="s">
        <v>1546</v>
      </c>
      <c r="C1449" s="6" t="s">
        <v>1413</v>
      </c>
      <c r="D1449" s="76" t="str">
        <f>_xlfn.IFNA(IF(VLOOKUP(tabListaItens[[#This Row],[CÓDIGO]],tabExcluirDoEstoque[#Data],1,FALSE),"sim",""),"")</f>
        <v/>
      </c>
      <c r="E1449" s="76" t="str">
        <f>"*"</f>
        <v>*</v>
      </c>
    </row>
    <row r="1450" spans="1:5" ht="30" x14ac:dyDescent="0.25">
      <c r="A1450" s="8">
        <v>140051</v>
      </c>
      <c r="B1450" s="5" t="s">
        <v>1548</v>
      </c>
      <c r="C1450" s="6" t="s">
        <v>1413</v>
      </c>
      <c r="D1450" s="76" t="str">
        <f>_xlfn.IFNA(IF(VLOOKUP(tabListaItens[[#This Row],[CÓDIGO]],tabExcluirDoEstoque[#Data],1,FALSE),"sim",""),"")</f>
        <v/>
      </c>
      <c r="E1450" s="76" t="str">
        <f>"*"</f>
        <v>*</v>
      </c>
    </row>
    <row r="1451" spans="1:5" ht="30" x14ac:dyDescent="0.25">
      <c r="A1451" s="8">
        <v>140052</v>
      </c>
      <c r="B1451" s="5" t="s">
        <v>1550</v>
      </c>
      <c r="C1451" s="6" t="s">
        <v>1413</v>
      </c>
      <c r="D1451" s="76" t="str">
        <f>_xlfn.IFNA(IF(VLOOKUP(tabListaItens[[#This Row],[CÓDIGO]],tabExcluirDoEstoque[#Data],1,FALSE),"sim",""),"")</f>
        <v/>
      </c>
      <c r="E1451" s="76" t="str">
        <f>"*"</f>
        <v>*</v>
      </c>
    </row>
    <row r="1452" spans="1:5" ht="30" x14ac:dyDescent="0.25">
      <c r="A1452" s="8">
        <v>140053</v>
      </c>
      <c r="B1452" s="5" t="s">
        <v>1551</v>
      </c>
      <c r="C1452" s="6" t="s">
        <v>1413</v>
      </c>
      <c r="D1452" s="76" t="str">
        <f>_xlfn.IFNA(IF(VLOOKUP(tabListaItens[[#This Row],[CÓDIGO]],tabExcluirDoEstoque[#Data],1,FALSE),"sim",""),"")</f>
        <v/>
      </c>
      <c r="E1452" s="76" t="str">
        <f>"*"</f>
        <v>*</v>
      </c>
    </row>
    <row r="1453" spans="1:5" ht="30" x14ac:dyDescent="0.25">
      <c r="A1453" s="8">
        <v>140054</v>
      </c>
      <c r="B1453" s="5" t="s">
        <v>1554</v>
      </c>
      <c r="C1453" s="6" t="s">
        <v>1413</v>
      </c>
      <c r="D1453" s="76" t="str">
        <f>_xlfn.IFNA(IF(VLOOKUP(tabListaItens[[#This Row],[CÓDIGO]],tabExcluirDoEstoque[#Data],1,FALSE),"sim",""),"")</f>
        <v/>
      </c>
      <c r="E1453" s="76" t="str">
        <f>"*"</f>
        <v>*</v>
      </c>
    </row>
    <row r="1454" spans="1:5" ht="30" x14ac:dyDescent="0.25">
      <c r="A1454" s="8">
        <v>140055</v>
      </c>
      <c r="B1454" s="5" t="s">
        <v>1553</v>
      </c>
      <c r="C1454" s="6" t="s">
        <v>1413</v>
      </c>
      <c r="D1454" s="76" t="str">
        <f>_xlfn.IFNA(IF(VLOOKUP(tabListaItens[[#This Row],[CÓDIGO]],tabExcluirDoEstoque[#Data],1,FALSE),"sim",""),"")</f>
        <v/>
      </c>
      <c r="E1454" s="76" t="str">
        <f>"*"</f>
        <v>*</v>
      </c>
    </row>
    <row r="1455" spans="1:5" ht="30" x14ac:dyDescent="0.25">
      <c r="A1455" s="8">
        <v>140056</v>
      </c>
      <c r="B1455" s="5" t="s">
        <v>1552</v>
      </c>
      <c r="C1455" s="6" t="s">
        <v>1413</v>
      </c>
      <c r="D1455" s="76" t="str">
        <f>_xlfn.IFNA(IF(VLOOKUP(tabListaItens[[#This Row],[CÓDIGO]],tabExcluirDoEstoque[#Data],1,FALSE),"sim",""),"")</f>
        <v/>
      </c>
      <c r="E1455" s="76" t="str">
        <f>"*"</f>
        <v>*</v>
      </c>
    </row>
    <row r="1456" spans="1:5" ht="30" x14ac:dyDescent="0.25">
      <c r="A1456" s="8">
        <v>140057</v>
      </c>
      <c r="B1456" s="5" t="s">
        <v>1555</v>
      </c>
      <c r="C1456" s="6" t="s">
        <v>1413</v>
      </c>
      <c r="D1456" s="76" t="str">
        <f>_xlfn.IFNA(IF(VLOOKUP(tabListaItens[[#This Row],[CÓDIGO]],tabExcluirDoEstoque[#Data],1,FALSE),"sim",""),"")</f>
        <v/>
      </c>
      <c r="E1456" s="76" t="str">
        <f>"*"</f>
        <v>*</v>
      </c>
    </row>
    <row r="1457" spans="1:5" ht="30" x14ac:dyDescent="0.25">
      <c r="A1457" s="8">
        <v>140058</v>
      </c>
      <c r="B1457" s="5" t="s">
        <v>1557</v>
      </c>
      <c r="C1457" s="6" t="s">
        <v>1413</v>
      </c>
      <c r="D1457" s="76" t="str">
        <f>_xlfn.IFNA(IF(VLOOKUP(tabListaItens[[#This Row],[CÓDIGO]],tabExcluirDoEstoque[#Data],1,FALSE),"sim",""),"")</f>
        <v/>
      </c>
      <c r="E1457" s="76" t="str">
        <f>"*"</f>
        <v>*</v>
      </c>
    </row>
    <row r="1458" spans="1:5" ht="30" x14ac:dyDescent="0.25">
      <c r="A1458" s="8">
        <v>140059</v>
      </c>
      <c r="B1458" s="5" t="s">
        <v>1558</v>
      </c>
      <c r="C1458" s="6" t="s">
        <v>1413</v>
      </c>
      <c r="D1458" s="76" t="str">
        <f>_xlfn.IFNA(IF(VLOOKUP(tabListaItens[[#This Row],[CÓDIGO]],tabExcluirDoEstoque[#Data],1,FALSE),"sim",""),"")</f>
        <v/>
      </c>
      <c r="E1458" s="76" t="str">
        <f>"*"</f>
        <v>*</v>
      </c>
    </row>
    <row r="1459" spans="1:5" ht="30" x14ac:dyDescent="0.25">
      <c r="A1459" s="8">
        <v>140060</v>
      </c>
      <c r="B1459" s="5" t="s">
        <v>1559</v>
      </c>
      <c r="C1459" s="6" t="s">
        <v>1413</v>
      </c>
      <c r="D1459" s="76" t="str">
        <f>_xlfn.IFNA(IF(VLOOKUP(tabListaItens[[#This Row],[CÓDIGO]],tabExcluirDoEstoque[#Data],1,FALSE),"sim",""),"")</f>
        <v/>
      </c>
      <c r="E1459" s="76" t="str">
        <f>"*"</f>
        <v>*</v>
      </c>
    </row>
    <row r="1460" spans="1:5" ht="30" x14ac:dyDescent="0.25">
      <c r="A1460" s="8">
        <v>140061</v>
      </c>
      <c r="B1460" s="5" t="s">
        <v>1547</v>
      </c>
      <c r="C1460" s="6" t="s">
        <v>1413</v>
      </c>
      <c r="D1460" s="76" t="str">
        <f>_xlfn.IFNA(IF(VLOOKUP(tabListaItens[[#This Row],[CÓDIGO]],tabExcluirDoEstoque[#Data],1,FALSE),"sim",""),"")</f>
        <v/>
      </c>
      <c r="E1460" s="76" t="str">
        <f>"*"</f>
        <v>*</v>
      </c>
    </row>
    <row r="1461" spans="1:5" ht="30" x14ac:dyDescent="0.25">
      <c r="A1461" s="8">
        <v>140063</v>
      </c>
      <c r="B1461" s="5" t="s">
        <v>1562</v>
      </c>
      <c r="C1461" s="6" t="s">
        <v>1413</v>
      </c>
      <c r="D1461" s="76" t="str">
        <f>_xlfn.IFNA(IF(VLOOKUP(tabListaItens[[#This Row],[CÓDIGO]],tabExcluirDoEstoque[#Data],1,FALSE),"sim",""),"")</f>
        <v/>
      </c>
      <c r="E1461" s="76" t="str">
        <f>"*"</f>
        <v>*</v>
      </c>
    </row>
    <row r="1462" spans="1:5" ht="30" x14ac:dyDescent="0.25">
      <c r="A1462" s="8">
        <v>140125</v>
      </c>
      <c r="B1462" s="5" t="s">
        <v>1560</v>
      </c>
      <c r="C1462" s="6" t="s">
        <v>1413</v>
      </c>
      <c r="D1462" s="76" t="str">
        <f>_xlfn.IFNA(IF(VLOOKUP(tabListaItens[[#This Row],[CÓDIGO]],tabExcluirDoEstoque[#Data],1,FALSE),"sim",""),"")</f>
        <v/>
      </c>
      <c r="E1462" s="76" t="str">
        <f>"*"</f>
        <v>*</v>
      </c>
    </row>
    <row r="1463" spans="1:5" ht="30" x14ac:dyDescent="0.25">
      <c r="A1463" s="8">
        <v>140126</v>
      </c>
      <c r="B1463" s="5" t="s">
        <v>1556</v>
      </c>
      <c r="C1463" s="6" t="s">
        <v>1413</v>
      </c>
      <c r="D1463" s="76" t="str">
        <f>_xlfn.IFNA(IF(VLOOKUP(tabListaItens[[#This Row],[CÓDIGO]],tabExcluirDoEstoque[#Data],1,FALSE),"sim",""),"")</f>
        <v/>
      </c>
      <c r="E1463" s="76" t="str">
        <f>"*"</f>
        <v>*</v>
      </c>
    </row>
    <row r="1464" spans="1:5" ht="30" x14ac:dyDescent="0.25">
      <c r="A1464" s="8">
        <v>140241</v>
      </c>
      <c r="B1464" s="5" t="s">
        <v>1561</v>
      </c>
      <c r="C1464" s="6" t="s">
        <v>1413</v>
      </c>
      <c r="D1464" s="76" t="str">
        <f>_xlfn.IFNA(IF(VLOOKUP(tabListaItens[[#This Row],[CÓDIGO]],tabExcluirDoEstoque[#Data],1,FALSE),"sim",""),"")</f>
        <v/>
      </c>
      <c r="E1464" s="76" t="str">
        <f>"*"</f>
        <v>*</v>
      </c>
    </row>
    <row r="1465" spans="1:5" ht="30" x14ac:dyDescent="0.25">
      <c r="A1465" s="8">
        <v>140242</v>
      </c>
      <c r="B1465" s="5" t="s">
        <v>1549</v>
      </c>
      <c r="C1465" s="6" t="s">
        <v>1413</v>
      </c>
      <c r="D1465" s="76" t="str">
        <f>_xlfn.IFNA(IF(VLOOKUP(tabListaItens[[#This Row],[CÓDIGO]],tabExcluirDoEstoque[#Data],1,FALSE),"sim",""),"")</f>
        <v/>
      </c>
      <c r="E1465" s="76" t="str">
        <f>"*"</f>
        <v>*</v>
      </c>
    </row>
    <row r="1466" spans="1:5" x14ac:dyDescent="0.25">
      <c r="A1466" s="8">
        <v>140283</v>
      </c>
      <c r="B1466" s="5" t="s">
        <v>1569</v>
      </c>
      <c r="C1466" s="6" t="s">
        <v>1404</v>
      </c>
      <c r="D1466" s="76" t="str">
        <f>_xlfn.IFNA(IF(VLOOKUP(tabListaItens[[#This Row],[CÓDIGO]],tabExcluirDoEstoque[#Data],1,FALSE),"sim",""),"")</f>
        <v/>
      </c>
      <c r="E1466" s="76" t="str">
        <f>"*"</f>
        <v>*</v>
      </c>
    </row>
    <row r="1467" spans="1:5" ht="30" x14ac:dyDescent="0.25">
      <c r="A1467" s="8">
        <v>140315</v>
      </c>
      <c r="B1467" s="5" t="s">
        <v>1530</v>
      </c>
      <c r="C1467" s="6" t="s">
        <v>1404</v>
      </c>
      <c r="D1467" s="76" t="str">
        <f>_xlfn.IFNA(IF(VLOOKUP(tabListaItens[[#This Row],[CÓDIGO]],tabExcluirDoEstoque[#Data],1,FALSE),"sim",""),"")</f>
        <v>sim</v>
      </c>
      <c r="E1467" s="76" t="str">
        <f>"*"</f>
        <v>*</v>
      </c>
    </row>
    <row r="1468" spans="1:5" ht="30" x14ac:dyDescent="0.25">
      <c r="A1468" s="8">
        <v>140315</v>
      </c>
      <c r="B1468" s="5" t="s">
        <v>1530</v>
      </c>
      <c r="C1468" s="6" t="s">
        <v>1404</v>
      </c>
      <c r="D1468" s="76" t="str">
        <f>_xlfn.IFNA(IF(VLOOKUP(tabListaItens[[#This Row],[CÓDIGO]],tabExcluirDoEstoque[#Data],1,FALSE),"sim",""),"")</f>
        <v>sim</v>
      </c>
      <c r="E1468" s="76" t="str">
        <f>"*"</f>
        <v>*</v>
      </c>
    </row>
    <row r="1469" spans="1:5" ht="30" x14ac:dyDescent="0.25">
      <c r="A1469" s="8">
        <v>140326</v>
      </c>
      <c r="B1469" s="5" t="s">
        <v>1533</v>
      </c>
      <c r="C1469" s="6" t="s">
        <v>1400</v>
      </c>
      <c r="D1469" s="76" t="str">
        <f>_xlfn.IFNA(IF(VLOOKUP(tabListaItens[[#This Row],[CÓDIGO]],tabExcluirDoEstoque[#Data],1,FALSE),"sim",""),"")</f>
        <v/>
      </c>
      <c r="E1469" s="76" t="str">
        <f>"*"</f>
        <v>*</v>
      </c>
    </row>
    <row r="1470" spans="1:5" ht="45" x14ac:dyDescent="0.25">
      <c r="A1470" s="8">
        <v>140666</v>
      </c>
      <c r="B1470" s="5" t="s">
        <v>1570</v>
      </c>
      <c r="C1470" s="6" t="s">
        <v>1397</v>
      </c>
      <c r="D1470" s="76" t="str">
        <f>_xlfn.IFNA(IF(VLOOKUP(tabListaItens[[#This Row],[CÓDIGO]],tabExcluirDoEstoque[#Data],1,FALSE),"sim",""),"")</f>
        <v/>
      </c>
      <c r="E1470" s="76" t="str">
        <f>"*"</f>
        <v>*</v>
      </c>
    </row>
    <row r="1471" spans="1:5" x14ac:dyDescent="0.25">
      <c r="A1471" s="8">
        <v>141253</v>
      </c>
      <c r="B1471" s="5" t="s">
        <v>1567</v>
      </c>
      <c r="C1471" s="6" t="s">
        <v>1419</v>
      </c>
      <c r="D1471" s="76" t="str">
        <f>_xlfn.IFNA(IF(VLOOKUP(tabListaItens[[#This Row],[CÓDIGO]],tabExcluirDoEstoque[#Data],1,FALSE),"sim",""),"")</f>
        <v/>
      </c>
      <c r="E1471" s="76" t="str">
        <f>"*"</f>
        <v>*</v>
      </c>
    </row>
    <row r="1472" spans="1:5" x14ac:dyDescent="0.25">
      <c r="A1472" s="8">
        <v>141265</v>
      </c>
      <c r="B1472" s="5" t="s">
        <v>1583</v>
      </c>
      <c r="C1472" s="6" t="s">
        <v>1419</v>
      </c>
      <c r="D1472" s="76" t="str">
        <f>_xlfn.IFNA(IF(VLOOKUP(tabListaItens[[#This Row],[CÓDIGO]],tabExcluirDoEstoque[#Data],1,FALSE),"sim",""),"")</f>
        <v/>
      </c>
      <c r="E1472" s="76" t="str">
        <f>"*"</f>
        <v>*</v>
      </c>
    </row>
    <row r="1473" spans="1:5" x14ac:dyDescent="0.25">
      <c r="A1473" s="8">
        <v>141266</v>
      </c>
      <c r="B1473" s="5" t="s">
        <v>1584</v>
      </c>
      <c r="C1473" s="6" t="s">
        <v>1419</v>
      </c>
      <c r="D1473" s="76" t="str">
        <f>_xlfn.IFNA(IF(VLOOKUP(tabListaItens[[#This Row],[CÓDIGO]],tabExcluirDoEstoque[#Data],1,FALSE),"sim",""),"")</f>
        <v/>
      </c>
      <c r="E1473" s="76" t="str">
        <f>"*"</f>
        <v>*</v>
      </c>
    </row>
    <row r="1474" spans="1:5" x14ac:dyDescent="0.25">
      <c r="A1474" s="8">
        <v>141268</v>
      </c>
      <c r="B1474" s="5" t="s">
        <v>1582</v>
      </c>
      <c r="C1474" s="6" t="s">
        <v>1419</v>
      </c>
      <c r="D1474" s="76" t="str">
        <f>_xlfn.IFNA(IF(VLOOKUP(tabListaItens[[#This Row],[CÓDIGO]],tabExcluirDoEstoque[#Data],1,FALSE),"sim",""),"")</f>
        <v/>
      </c>
      <c r="E1474" s="76" t="str">
        <f>"*"</f>
        <v>*</v>
      </c>
    </row>
    <row r="1475" spans="1:5" x14ac:dyDescent="0.25">
      <c r="A1475" s="8">
        <v>141270</v>
      </c>
      <c r="B1475" s="5" t="s">
        <v>1589</v>
      </c>
      <c r="C1475" s="6" t="s">
        <v>1419</v>
      </c>
      <c r="D1475" s="76" t="str">
        <f>_xlfn.IFNA(IF(VLOOKUP(tabListaItens[[#This Row],[CÓDIGO]],tabExcluirDoEstoque[#Data],1,FALSE),"sim",""),"")</f>
        <v/>
      </c>
      <c r="E1475" s="76" t="str">
        <f>"*"</f>
        <v>*</v>
      </c>
    </row>
    <row r="1476" spans="1:5" x14ac:dyDescent="0.25">
      <c r="A1476" s="8">
        <v>141418</v>
      </c>
      <c r="B1476" s="5" t="s">
        <v>1576</v>
      </c>
      <c r="C1476" s="6" t="s">
        <v>1397</v>
      </c>
      <c r="D1476" s="76" t="str">
        <f>_xlfn.IFNA(IF(VLOOKUP(tabListaItens[[#This Row],[CÓDIGO]],tabExcluirDoEstoque[#Data],1,FALSE),"sim",""),"")</f>
        <v/>
      </c>
      <c r="E1476" s="76" t="str">
        <f>"*"</f>
        <v>*</v>
      </c>
    </row>
    <row r="1477" spans="1:5" x14ac:dyDescent="0.25">
      <c r="A1477" s="8">
        <v>141429</v>
      </c>
      <c r="B1477" s="5" t="s">
        <v>1588</v>
      </c>
      <c r="C1477" s="6" t="s">
        <v>1404</v>
      </c>
      <c r="D1477" s="76" t="str">
        <f>_xlfn.IFNA(IF(VLOOKUP(tabListaItens[[#This Row],[CÓDIGO]],tabExcluirDoEstoque[#Data],1,FALSE),"sim",""),"")</f>
        <v/>
      </c>
      <c r="E1477" s="76" t="str">
        <f>"*"</f>
        <v>*</v>
      </c>
    </row>
    <row r="1478" spans="1:5" ht="45" x14ac:dyDescent="0.25">
      <c r="A1478" s="8">
        <v>141430</v>
      </c>
      <c r="B1478" s="5" t="s">
        <v>1564</v>
      </c>
      <c r="C1478" s="6" t="s">
        <v>1407</v>
      </c>
      <c r="D1478" s="76" t="str">
        <f>_xlfn.IFNA(IF(VLOOKUP(tabListaItens[[#This Row],[CÓDIGO]],tabExcluirDoEstoque[#Data],1,FALSE),"sim",""),"")</f>
        <v/>
      </c>
      <c r="E1478" s="76" t="str">
        <f>"*"</f>
        <v>*</v>
      </c>
    </row>
    <row r="1479" spans="1:5" x14ac:dyDescent="0.25">
      <c r="A1479" s="8">
        <v>141608</v>
      </c>
      <c r="B1479" s="5" t="s">
        <v>1578</v>
      </c>
      <c r="C1479" s="6" t="s">
        <v>1403</v>
      </c>
      <c r="D1479" s="76" t="str">
        <f>_xlfn.IFNA(IF(VLOOKUP(tabListaItens[[#This Row],[CÓDIGO]],tabExcluirDoEstoque[#Data],1,FALSE),"sim",""),"")</f>
        <v/>
      </c>
      <c r="E1479" s="76" t="str">
        <f>"*"</f>
        <v>*</v>
      </c>
    </row>
    <row r="1480" spans="1:5" x14ac:dyDescent="0.25">
      <c r="A1480" s="8">
        <v>141615</v>
      </c>
      <c r="B1480" s="5" t="s">
        <v>1587</v>
      </c>
      <c r="C1480" s="6" t="s">
        <v>1403</v>
      </c>
      <c r="D1480" s="76" t="str">
        <f>_xlfn.IFNA(IF(VLOOKUP(tabListaItens[[#This Row],[CÓDIGO]],tabExcluirDoEstoque[#Data],1,FALSE),"sim",""),"")</f>
        <v/>
      </c>
      <c r="E1480" s="76" t="str">
        <f>"*"</f>
        <v>*</v>
      </c>
    </row>
    <row r="1481" spans="1:5" x14ac:dyDescent="0.25">
      <c r="A1481" s="8">
        <v>141679</v>
      </c>
      <c r="B1481" s="5" t="s">
        <v>1579</v>
      </c>
      <c r="C1481" s="6" t="s">
        <v>1419</v>
      </c>
      <c r="D1481" s="76" t="str">
        <f>_xlfn.IFNA(IF(VLOOKUP(tabListaItens[[#This Row],[CÓDIGO]],tabExcluirDoEstoque[#Data],1,FALSE),"sim",""),"")</f>
        <v/>
      </c>
      <c r="E1481" s="76" t="str">
        <f>"*"</f>
        <v>*</v>
      </c>
    </row>
    <row r="1482" spans="1:5" x14ac:dyDescent="0.25">
      <c r="A1482" s="8">
        <v>141680</v>
      </c>
      <c r="B1482" s="5" t="s">
        <v>1580</v>
      </c>
      <c r="C1482" s="6" t="s">
        <v>1419</v>
      </c>
      <c r="D1482" s="76" t="str">
        <f>_xlfn.IFNA(IF(VLOOKUP(tabListaItens[[#This Row],[CÓDIGO]],tabExcluirDoEstoque[#Data],1,FALSE),"sim",""),"")</f>
        <v/>
      </c>
      <c r="E1482" s="76" t="str">
        <f>"*"</f>
        <v>*</v>
      </c>
    </row>
    <row r="1483" spans="1:5" x14ac:dyDescent="0.25">
      <c r="A1483" s="8">
        <v>141681</v>
      </c>
      <c r="B1483" s="5" t="s">
        <v>1581</v>
      </c>
      <c r="C1483" s="6" t="s">
        <v>1419</v>
      </c>
      <c r="D1483" s="76" t="str">
        <f>_xlfn.IFNA(IF(VLOOKUP(tabListaItens[[#This Row],[CÓDIGO]],tabExcluirDoEstoque[#Data],1,FALSE),"sim",""),"")</f>
        <v/>
      </c>
      <c r="E1483" s="76" t="str">
        <f>"*"</f>
        <v>*</v>
      </c>
    </row>
    <row r="1484" spans="1:5" x14ac:dyDescent="0.25">
      <c r="A1484" s="8">
        <v>141786</v>
      </c>
      <c r="B1484" s="5" t="s">
        <v>1585</v>
      </c>
      <c r="C1484" s="6" t="s">
        <v>1403</v>
      </c>
      <c r="D1484" s="76" t="str">
        <f>_xlfn.IFNA(IF(VLOOKUP(tabListaItens[[#This Row],[CÓDIGO]],tabExcluirDoEstoque[#Data],1,FALSE),"sim",""),"")</f>
        <v/>
      </c>
      <c r="E1484" s="76" t="str">
        <f>"*"</f>
        <v>*</v>
      </c>
    </row>
    <row r="1485" spans="1:5" x14ac:dyDescent="0.25">
      <c r="A1485" s="8">
        <v>141787</v>
      </c>
      <c r="B1485" s="5" t="s">
        <v>1586</v>
      </c>
      <c r="C1485" s="6" t="s">
        <v>1403</v>
      </c>
      <c r="D1485" s="76" t="str">
        <f>_xlfn.IFNA(IF(VLOOKUP(tabListaItens[[#This Row],[CÓDIGO]],tabExcluirDoEstoque[#Data],1,FALSE),"sim",""),"")</f>
        <v/>
      </c>
      <c r="E1485" s="76" t="str">
        <f>"*"</f>
        <v>*</v>
      </c>
    </row>
  </sheetData>
  <sheetProtection sheet="1" objects="1" scenarios="1"/>
  <sortState ref="A3:E1485">
    <sortCondition ref="A2:A1485"/>
  </sortState>
  <mergeCells count="1">
    <mergeCell ref="A1:E1"/>
  </mergeCells>
  <conditionalFormatting sqref="A3:E1485">
    <cfRule type="expression" dxfId="10" priority="1">
      <formula>$D3="sim"</formula>
    </cfRule>
  </conditionalFormatting>
  <conditionalFormatting sqref="A3:A1485">
    <cfRule type="duplicateValues" dxfId="9" priority="220"/>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069" r:id="rId4" name="btn_Lista_Import">
          <controlPr defaultSize="0" autoLine="0" r:id="rId5">
            <anchor moveWithCells="1">
              <from>
                <xdr:col>1</xdr:col>
                <xdr:colOff>1543050</xdr:colOff>
                <xdr:row>0</xdr:row>
                <xdr:rowOff>85725</xdr:rowOff>
              </from>
              <to>
                <xdr:col>1</xdr:col>
                <xdr:colOff>4086225</xdr:colOff>
                <xdr:row>0</xdr:row>
                <xdr:rowOff>533400</xdr:rowOff>
              </to>
            </anchor>
          </controlPr>
        </control>
      </mc:Choice>
      <mc:Fallback>
        <control shapeId="2069" r:id="rId4" name="btn_Lista_Import"/>
      </mc:Fallback>
    </mc:AlternateContent>
    <mc:AlternateContent xmlns:mc="http://schemas.openxmlformats.org/markup-compatibility/2006">
      <mc:Choice Requires="x14">
        <control shapeId="2049" r:id="rId6" name="btn_Lista_Ord">
          <controlPr defaultSize="0" autoLine="0" r:id="rId7">
            <anchor moveWithCells="1">
              <from>
                <xdr:col>0</xdr:col>
                <xdr:colOff>66675</xdr:colOff>
                <xdr:row>0</xdr:row>
                <xdr:rowOff>85725</xdr:rowOff>
              </from>
              <to>
                <xdr:col>1</xdr:col>
                <xdr:colOff>1485900</xdr:colOff>
                <xdr:row>0</xdr:row>
                <xdr:rowOff>533400</xdr:rowOff>
              </to>
            </anchor>
          </controlPr>
        </control>
      </mc:Choice>
      <mc:Fallback>
        <control shapeId="2049" r:id="rId6" name="btn_Lista_Ord"/>
      </mc:Fallback>
    </mc:AlternateContent>
  </controls>
  <tableParts count="1">
    <tablePart r:id="rId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2">
    <tabColor rgb="FF0070C0"/>
  </sheetPr>
  <dimension ref="A1:BM5"/>
  <sheetViews>
    <sheetView workbookViewId="0">
      <pane ySplit="2" topLeftCell="A3" activePane="bottomLeft" state="frozen"/>
      <selection pane="bottomLeft" activeCell="B4" sqref="B4"/>
    </sheetView>
  </sheetViews>
  <sheetFormatPr defaultRowHeight="15" x14ac:dyDescent="0.25"/>
  <cols>
    <col min="1" max="1" width="42.85546875" customWidth="1"/>
    <col min="2" max="2" width="83.42578125" customWidth="1"/>
    <col min="3" max="3" width="10.85546875" customWidth="1"/>
    <col min="4" max="4" width="13.28515625" customWidth="1"/>
    <col min="5" max="5" width="13.140625" hidden="1" customWidth="1"/>
    <col min="6" max="6" width="18.28515625" hidden="1" customWidth="1"/>
    <col min="7" max="7" width="4.28515625" customWidth="1"/>
  </cols>
  <sheetData>
    <row r="1" spans="1:65" ht="48.75" customHeight="1" x14ac:dyDescent="0.25">
      <c r="A1" s="106"/>
      <c r="B1" s="106"/>
      <c r="C1" s="106"/>
      <c r="D1" s="106"/>
      <c r="E1" s="106"/>
      <c r="F1" s="106"/>
      <c r="G1" s="106"/>
    </row>
    <row r="2" spans="1:65" ht="22.5" customHeight="1" x14ac:dyDescent="0.25">
      <c r="A2" s="9" t="s">
        <v>0</v>
      </c>
      <c r="B2" s="10" t="s">
        <v>1</v>
      </c>
      <c r="C2" s="9" t="s">
        <v>1433</v>
      </c>
      <c r="D2" s="9" t="s">
        <v>1440</v>
      </c>
      <c r="E2" s="11" t="s">
        <v>1430</v>
      </c>
      <c r="F2" s="11" t="s">
        <v>1431</v>
      </c>
      <c r="G2" s="9" t="s">
        <v>105</v>
      </c>
    </row>
    <row r="3" spans="1:65" x14ac:dyDescent="0.25">
      <c r="A3" s="12" t="s">
        <v>1436</v>
      </c>
      <c r="B3" s="5" t="s">
        <v>1437</v>
      </c>
      <c r="C3" s="18">
        <v>30</v>
      </c>
      <c r="D3" s="34">
        <v>43861</v>
      </c>
      <c r="E3" s="13" t="s">
        <v>1434</v>
      </c>
      <c r="F3" s="35">
        <v>43850.563356481478</v>
      </c>
      <c r="G3" s="6" t="str">
        <f>"*"</f>
        <v>*</v>
      </c>
    </row>
    <row r="4" spans="1:65" x14ac:dyDescent="0.25">
      <c r="A4" s="12" t="s">
        <v>1438</v>
      </c>
      <c r="B4" s="5" t="s">
        <v>1439</v>
      </c>
      <c r="C4" s="18">
        <v>1</v>
      </c>
      <c r="D4" s="34">
        <v>43889</v>
      </c>
      <c r="E4" s="13" t="s">
        <v>1434</v>
      </c>
      <c r="F4" s="35">
        <v>43851.45516203704</v>
      </c>
      <c r="G4" s="6" t="str">
        <f>"*"</f>
        <v>*</v>
      </c>
      <c r="Q4" s="7"/>
      <c r="U4" s="7"/>
      <c r="AM4" s="7"/>
      <c r="AT4" s="7"/>
      <c r="BA4" s="7"/>
      <c r="BH4" s="7"/>
      <c r="BM4" s="7"/>
    </row>
    <row r="5" spans="1:65" x14ac:dyDescent="0.25">
      <c r="A5" s="12" t="s">
        <v>1435</v>
      </c>
      <c r="B5" s="5" t="s">
        <v>1432</v>
      </c>
      <c r="C5" s="18">
        <v>1</v>
      </c>
      <c r="D5" s="34">
        <v>43861</v>
      </c>
      <c r="E5" s="13" t="s">
        <v>1434</v>
      </c>
      <c r="F5" s="35">
        <v>43851.45821759259</v>
      </c>
      <c r="G5" s="6" t="str">
        <f>"*"</f>
        <v>*</v>
      </c>
    </row>
  </sheetData>
  <sheetProtection sheet="1" objects="1" scenarios="1"/>
  <sortState ref="A3:G5">
    <sortCondition descending="1" ref="D2:D5"/>
    <sortCondition ref="A2:A5"/>
  </sortState>
  <mergeCells count="1">
    <mergeCell ref="A1:G1"/>
  </mergeCells>
  <conditionalFormatting sqref="D4">
    <cfRule type="cellIs" dxfId="8" priority="14" operator="lessThan">
      <formula>TODAY()</formula>
    </cfRule>
  </conditionalFormatting>
  <conditionalFormatting sqref="A4">
    <cfRule type="duplicateValues" dxfId="7" priority="15"/>
  </conditionalFormatting>
  <conditionalFormatting sqref="A3">
    <cfRule type="duplicateValues" dxfId="6" priority="7"/>
  </conditionalFormatting>
  <conditionalFormatting sqref="D5">
    <cfRule type="cellIs" dxfId="5" priority="2" operator="lessThan">
      <formula>TODAY()</formula>
    </cfRule>
  </conditionalFormatting>
  <conditionalFormatting sqref="A5">
    <cfRule type="duplicateValues" dxfId="4" priority="3"/>
  </conditionalFormatting>
  <conditionalFormatting sqref="D3">
    <cfRule type="cellIs" dxfId="3" priority="1" operator="lessThan">
      <formula>TODAY()</formula>
    </cfRule>
  </conditionalFormatting>
  <dataValidations count="1">
    <dataValidation type="whole" operator="greaterThanOrEqual" allowBlank="1" showInputMessage="1" showErrorMessage="1" sqref="C3:C5" xr:uid="{00000000-0002-0000-0200-000000000000}">
      <formula1>1</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108" r:id="rId4" name="btn_Origens_Novo">
          <controlPr defaultSize="0" autoLine="0" r:id="rId5">
            <anchor moveWithCells="1">
              <from>
                <xdr:col>1</xdr:col>
                <xdr:colOff>5076825</xdr:colOff>
                <xdr:row>0</xdr:row>
                <xdr:rowOff>85725</xdr:rowOff>
              </from>
              <to>
                <xdr:col>3</xdr:col>
                <xdr:colOff>695325</xdr:colOff>
                <xdr:row>0</xdr:row>
                <xdr:rowOff>533400</xdr:rowOff>
              </to>
            </anchor>
          </controlPr>
        </control>
      </mc:Choice>
      <mc:Fallback>
        <control shapeId="4108" r:id="rId4" name="btn_Origens_Novo"/>
      </mc:Fallback>
    </mc:AlternateContent>
    <mc:AlternateContent xmlns:mc="http://schemas.openxmlformats.org/markup-compatibility/2006">
      <mc:Choice Requires="x14">
        <control shapeId="4106" r:id="rId6" name="btn_Origens_AtuExtra">
          <controlPr defaultSize="0" autoLine="0" r:id="rId7">
            <anchor moveWithCells="1">
              <from>
                <xdr:col>1</xdr:col>
                <xdr:colOff>3114675</xdr:colOff>
                <xdr:row>0</xdr:row>
                <xdr:rowOff>85725</xdr:rowOff>
              </from>
              <to>
                <xdr:col>1</xdr:col>
                <xdr:colOff>5019675</xdr:colOff>
                <xdr:row>0</xdr:row>
                <xdr:rowOff>533400</xdr:rowOff>
              </to>
            </anchor>
          </controlPr>
        </control>
      </mc:Choice>
      <mc:Fallback>
        <control shapeId="4106" r:id="rId6" name="btn_Origens_AtuExtra"/>
      </mc:Fallback>
    </mc:AlternateContent>
    <mc:AlternateContent xmlns:mc="http://schemas.openxmlformats.org/markup-compatibility/2006">
      <mc:Choice Requires="x14">
        <control shapeId="4097" r:id="rId8" name="btn_Origens_Ord">
          <controlPr defaultSize="0" autoLine="0" r:id="rId9">
            <anchor moveWithCells="1">
              <from>
                <xdr:col>0</xdr:col>
                <xdr:colOff>2028825</xdr:colOff>
                <xdr:row>0</xdr:row>
                <xdr:rowOff>85725</xdr:rowOff>
              </from>
              <to>
                <xdr:col>1</xdr:col>
                <xdr:colOff>1076325</xdr:colOff>
                <xdr:row>0</xdr:row>
                <xdr:rowOff>533400</xdr:rowOff>
              </to>
            </anchor>
          </controlPr>
        </control>
      </mc:Choice>
      <mc:Fallback>
        <control shapeId="4097" r:id="rId8" name="btn_Origens_Ord"/>
      </mc:Fallback>
    </mc:AlternateContent>
    <mc:AlternateContent xmlns:mc="http://schemas.openxmlformats.org/markup-compatibility/2006">
      <mc:Choice Requires="x14">
        <control shapeId="4100" r:id="rId10" name="btn_Origens_Desbloq">
          <controlPr defaultSize="0" autoLine="0" r:id="rId11">
            <anchor moveWithCells="1">
              <from>
                <xdr:col>1</xdr:col>
                <xdr:colOff>1143000</xdr:colOff>
                <xdr:row>0</xdr:row>
                <xdr:rowOff>85725</xdr:rowOff>
              </from>
              <to>
                <xdr:col>1</xdr:col>
                <xdr:colOff>3048000</xdr:colOff>
                <xdr:row>0</xdr:row>
                <xdr:rowOff>533400</xdr:rowOff>
              </to>
            </anchor>
          </controlPr>
        </control>
      </mc:Choice>
      <mc:Fallback>
        <control shapeId="4100" r:id="rId10" name="btn_Origens_Desbloq"/>
      </mc:Fallback>
    </mc:AlternateContent>
    <mc:AlternateContent xmlns:mc="http://schemas.openxmlformats.org/markup-compatibility/2006">
      <mc:Choice Requires="x14">
        <control shapeId="4107" r:id="rId12" name="btn_Origens_Volta">
          <controlPr defaultSize="0" autoLine="0" r:id="rId13">
            <anchor moveWithCells="1">
              <from>
                <xdr:col>0</xdr:col>
                <xdr:colOff>66675</xdr:colOff>
                <xdr:row>0</xdr:row>
                <xdr:rowOff>85725</xdr:rowOff>
              </from>
              <to>
                <xdr:col>0</xdr:col>
                <xdr:colOff>1971675</xdr:colOff>
                <xdr:row>0</xdr:row>
                <xdr:rowOff>533400</xdr:rowOff>
              </to>
            </anchor>
          </controlPr>
        </control>
      </mc:Choice>
      <mc:Fallback>
        <control shapeId="4107" r:id="rId12" name="btn_Origens_Volta"/>
      </mc:Fallback>
    </mc:AlternateContent>
  </controls>
  <tableParts count="1">
    <tablePart r:id="rId1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5">
    <tabColor rgb="FFFFC000"/>
  </sheetPr>
  <dimension ref="A1:H551"/>
  <sheetViews>
    <sheetView workbookViewId="0">
      <selection activeCell="A4" sqref="A4"/>
    </sheetView>
  </sheetViews>
  <sheetFormatPr defaultRowHeight="15" x14ac:dyDescent="0.25"/>
  <cols>
    <col min="1" max="1" width="9.5703125" style="65" bestFit="1" customWidth="1"/>
    <col min="2" max="2" width="150.7109375" style="66" customWidth="1"/>
    <col min="3" max="3" width="4.7109375" style="6" customWidth="1"/>
    <col min="4" max="4" width="8.85546875" style="67" bestFit="1" customWidth="1"/>
    <col min="5" max="5" width="8.42578125" style="67" bestFit="1" customWidth="1"/>
    <col min="6" max="6" width="13.5703125" style="67" hidden="1" customWidth="1"/>
    <col min="7" max="7" width="18.7109375" style="67" hidden="1" customWidth="1"/>
    <col min="8" max="8" width="9.7109375" customWidth="1"/>
    <col min="9" max="26" width="26.42578125" customWidth="1"/>
  </cols>
  <sheetData>
    <row r="1" spans="1:8" ht="30" customHeight="1" x14ac:dyDescent="0.25">
      <c r="A1" s="107" t="s">
        <v>1443</v>
      </c>
      <c r="B1" s="108"/>
      <c r="C1" s="108"/>
      <c r="D1" s="108"/>
      <c r="E1" s="108"/>
      <c r="F1" s="108"/>
      <c r="G1" s="108"/>
      <c r="H1" s="108"/>
    </row>
    <row r="2" spans="1:8" ht="33" customHeight="1" x14ac:dyDescent="0.25">
      <c r="A2" s="109"/>
      <c r="B2" s="109"/>
      <c r="C2" s="109"/>
      <c r="D2" s="109"/>
      <c r="E2" s="109"/>
      <c r="F2" s="109"/>
      <c r="G2" s="109"/>
      <c r="H2" s="109"/>
    </row>
    <row r="3" spans="1:8" x14ac:dyDescent="0.25">
      <c r="A3" s="59" t="s">
        <v>0</v>
      </c>
      <c r="B3" s="60" t="s">
        <v>1</v>
      </c>
      <c r="C3" s="61" t="s">
        <v>1404</v>
      </c>
      <c r="D3" s="62" t="s">
        <v>1444</v>
      </c>
      <c r="E3" s="62" t="s">
        <v>1445</v>
      </c>
      <c r="F3" s="63" t="s">
        <v>1430</v>
      </c>
      <c r="G3" s="63" t="s">
        <v>1431</v>
      </c>
      <c r="H3" s="64" t="s">
        <v>1446</v>
      </c>
    </row>
    <row r="4" spans="1:8" x14ac:dyDescent="0.25">
      <c r="A4" s="65">
        <v>4689</v>
      </c>
      <c r="B4" s="66" t="s">
        <v>1529</v>
      </c>
      <c r="C4" s="6" t="s">
        <v>1397</v>
      </c>
      <c r="D4" s="67">
        <v>20</v>
      </c>
      <c r="E4" s="67">
        <v>3</v>
      </c>
      <c r="F4" s="110" t="s">
        <v>1462</v>
      </c>
      <c r="G4" s="111">
        <v>44313.495532407411</v>
      </c>
    </row>
    <row r="5" spans="1:8" x14ac:dyDescent="0.25">
      <c r="A5" s="65">
        <v>4690</v>
      </c>
      <c r="B5" s="66" t="s">
        <v>1528</v>
      </c>
      <c r="C5" s="6" t="s">
        <v>1397</v>
      </c>
      <c r="D5" s="67">
        <v>20</v>
      </c>
      <c r="E5" s="67">
        <v>3</v>
      </c>
      <c r="F5" s="110" t="s">
        <v>1462</v>
      </c>
      <c r="G5" s="111">
        <v>44313.495532407411</v>
      </c>
    </row>
    <row r="6" spans="1:8" x14ac:dyDescent="0.25">
      <c r="A6" s="65">
        <v>10870</v>
      </c>
      <c r="B6" s="66" t="s">
        <v>1171</v>
      </c>
      <c r="C6" s="6" t="s">
        <v>1398</v>
      </c>
      <c r="F6" s="110"/>
      <c r="G6" s="111"/>
    </row>
    <row r="7" spans="1:8" x14ac:dyDescent="0.25">
      <c r="A7" s="65">
        <v>11287</v>
      </c>
      <c r="B7" s="66" t="s">
        <v>332</v>
      </c>
      <c r="C7" s="6" t="s">
        <v>1417</v>
      </c>
      <c r="D7" s="67">
        <v>45</v>
      </c>
      <c r="E7" s="67">
        <v>12</v>
      </c>
      <c r="F7" s="110" t="s">
        <v>1434</v>
      </c>
      <c r="G7" s="111">
        <v>43882.488356481481</v>
      </c>
    </row>
    <row r="8" spans="1:8" x14ac:dyDescent="0.25">
      <c r="A8" s="65">
        <v>11882</v>
      </c>
      <c r="B8" s="66" t="s">
        <v>1005</v>
      </c>
      <c r="C8" s="6" t="s">
        <v>1413</v>
      </c>
      <c r="D8" s="67">
        <v>80</v>
      </c>
      <c r="E8" s="67">
        <v>1</v>
      </c>
      <c r="F8" s="110"/>
      <c r="G8" s="111"/>
    </row>
    <row r="9" spans="1:8" x14ac:dyDescent="0.25">
      <c r="A9" s="65">
        <v>11956</v>
      </c>
      <c r="B9" s="66" t="s">
        <v>1006</v>
      </c>
      <c r="C9" s="6" t="s">
        <v>1413</v>
      </c>
      <c r="D9" s="67">
        <v>80</v>
      </c>
      <c r="E9" s="67">
        <v>1</v>
      </c>
      <c r="F9" s="110"/>
      <c r="G9" s="111"/>
    </row>
    <row r="10" spans="1:8" x14ac:dyDescent="0.25">
      <c r="A10" s="65">
        <v>11980</v>
      </c>
      <c r="B10" s="66" t="s">
        <v>1048</v>
      </c>
      <c r="F10" s="110"/>
      <c r="G10" s="111"/>
    </row>
    <row r="11" spans="1:8" x14ac:dyDescent="0.25">
      <c r="A11" s="65">
        <v>12020</v>
      </c>
      <c r="B11" s="66" t="s">
        <v>1065</v>
      </c>
      <c r="C11" s="6" t="s">
        <v>1397</v>
      </c>
      <c r="D11" s="67">
        <v>80</v>
      </c>
      <c r="E11" s="67">
        <v>1</v>
      </c>
      <c r="F11" s="110"/>
      <c r="G11" s="111"/>
    </row>
    <row r="12" spans="1:8" x14ac:dyDescent="0.25">
      <c r="A12" s="65">
        <v>12610</v>
      </c>
      <c r="B12" s="66" t="s">
        <v>1447</v>
      </c>
      <c r="C12" s="6" t="s">
        <v>1404</v>
      </c>
      <c r="D12" s="67">
        <v>45</v>
      </c>
      <c r="E12" s="67">
        <v>11</v>
      </c>
      <c r="F12" s="110" t="s">
        <v>1462</v>
      </c>
      <c r="G12" s="111" t="s">
        <v>1463</v>
      </c>
    </row>
    <row r="13" spans="1:8" x14ac:dyDescent="0.25">
      <c r="A13" s="65">
        <v>12615</v>
      </c>
      <c r="B13" s="66" t="s">
        <v>1172</v>
      </c>
      <c r="C13" s="6" t="s">
        <v>1428</v>
      </c>
      <c r="D13" s="67">
        <v>72</v>
      </c>
      <c r="E13" s="67">
        <v>9</v>
      </c>
      <c r="F13" s="110" t="s">
        <v>1434</v>
      </c>
      <c r="G13" s="111">
        <v>43732.432951388888</v>
      </c>
    </row>
    <row r="14" spans="1:8" x14ac:dyDescent="0.25">
      <c r="A14" s="65">
        <v>12657</v>
      </c>
      <c r="B14" s="66" t="s">
        <v>1057</v>
      </c>
      <c r="C14" s="6" t="s">
        <v>1398</v>
      </c>
      <c r="D14" s="67">
        <v>81</v>
      </c>
      <c r="E14" s="67">
        <v>9</v>
      </c>
      <c r="F14" s="110"/>
      <c r="G14" s="111"/>
    </row>
    <row r="15" spans="1:8" x14ac:dyDescent="0.25">
      <c r="A15" s="65">
        <v>12675</v>
      </c>
      <c r="B15" s="66" t="s">
        <v>1077</v>
      </c>
      <c r="C15" s="6" t="s">
        <v>1397</v>
      </c>
      <c r="D15" s="67">
        <v>72</v>
      </c>
      <c r="E15" s="67">
        <v>5</v>
      </c>
      <c r="F15" s="110"/>
      <c r="G15" s="111"/>
    </row>
    <row r="16" spans="1:8" x14ac:dyDescent="0.25">
      <c r="A16" s="65">
        <v>12708</v>
      </c>
      <c r="B16" s="66" t="s">
        <v>1173</v>
      </c>
      <c r="F16" s="110"/>
      <c r="G16" s="111"/>
    </row>
    <row r="17" spans="1:7" x14ac:dyDescent="0.25">
      <c r="A17" s="65">
        <v>12712</v>
      </c>
      <c r="B17" s="66" t="s">
        <v>1174</v>
      </c>
      <c r="C17" s="6" t="s">
        <v>1397</v>
      </c>
      <c r="D17" s="67">
        <v>72</v>
      </c>
      <c r="E17" s="67">
        <v>9</v>
      </c>
      <c r="F17" s="110" t="s">
        <v>1434</v>
      </c>
      <c r="G17" s="111">
        <v>43732.432951388888</v>
      </c>
    </row>
    <row r="18" spans="1:7" x14ac:dyDescent="0.25">
      <c r="A18" s="65">
        <v>12720</v>
      </c>
      <c r="B18" s="66" t="s">
        <v>1175</v>
      </c>
      <c r="C18" s="6" t="s">
        <v>1397</v>
      </c>
      <c r="D18" s="67">
        <v>72</v>
      </c>
      <c r="E18" s="67">
        <v>6</v>
      </c>
      <c r="F18" s="110"/>
      <c r="G18" s="111"/>
    </row>
    <row r="19" spans="1:7" x14ac:dyDescent="0.25">
      <c r="A19" s="65">
        <v>12806</v>
      </c>
      <c r="B19" s="66" t="s">
        <v>118</v>
      </c>
      <c r="C19" s="6" t="s">
        <v>1403</v>
      </c>
      <c r="D19" s="67">
        <v>76</v>
      </c>
      <c r="E19" s="67">
        <v>16</v>
      </c>
      <c r="F19" s="110" t="s">
        <v>1434</v>
      </c>
      <c r="G19" s="111">
        <v>44008.450694444444</v>
      </c>
    </row>
    <row r="20" spans="1:7" x14ac:dyDescent="0.25">
      <c r="A20" s="65">
        <v>12818</v>
      </c>
      <c r="B20" s="66" t="s">
        <v>359</v>
      </c>
      <c r="C20" s="6" t="s">
        <v>1400</v>
      </c>
      <c r="D20" s="67">
        <v>76</v>
      </c>
      <c r="E20" s="67">
        <v>6</v>
      </c>
      <c r="F20" s="110" t="s">
        <v>1434</v>
      </c>
      <c r="G20" s="111">
        <v>43896.298993055556</v>
      </c>
    </row>
    <row r="21" spans="1:7" x14ac:dyDescent="0.25">
      <c r="A21" s="65">
        <v>12820</v>
      </c>
      <c r="B21" s="66" t="s">
        <v>8</v>
      </c>
      <c r="C21" s="6" t="s">
        <v>1400</v>
      </c>
      <c r="D21" s="67">
        <v>76</v>
      </c>
      <c r="E21" s="67">
        <v>6</v>
      </c>
      <c r="F21" s="110" t="s">
        <v>1434</v>
      </c>
      <c r="G21" s="111">
        <v>43896.298993055556</v>
      </c>
    </row>
    <row r="22" spans="1:7" x14ac:dyDescent="0.25">
      <c r="A22" s="65">
        <v>12829</v>
      </c>
      <c r="B22" s="66" t="s">
        <v>357</v>
      </c>
      <c r="C22" s="6" t="s">
        <v>1400</v>
      </c>
      <c r="D22" s="67">
        <v>76</v>
      </c>
      <c r="E22" s="67">
        <v>6</v>
      </c>
      <c r="F22" s="110" t="s">
        <v>1434</v>
      </c>
      <c r="G22" s="111">
        <v>43896.298993055556</v>
      </c>
    </row>
    <row r="23" spans="1:7" x14ac:dyDescent="0.25">
      <c r="A23" s="65">
        <v>12831</v>
      </c>
      <c r="B23" s="66" t="s">
        <v>358</v>
      </c>
      <c r="C23" s="6" t="s">
        <v>1400</v>
      </c>
      <c r="D23" s="67">
        <v>76</v>
      </c>
      <c r="E23" s="67">
        <v>6</v>
      </c>
      <c r="F23" s="110" t="s">
        <v>1434</v>
      </c>
      <c r="G23" s="111">
        <v>43896.298993055556</v>
      </c>
    </row>
    <row r="24" spans="1:7" x14ac:dyDescent="0.25">
      <c r="A24" s="65">
        <v>12838</v>
      </c>
      <c r="B24" s="66" t="s">
        <v>11</v>
      </c>
      <c r="C24" s="6" t="s">
        <v>1400</v>
      </c>
      <c r="D24" s="67">
        <v>76</v>
      </c>
      <c r="E24" s="67">
        <v>6</v>
      </c>
      <c r="F24" s="110" t="s">
        <v>1434</v>
      </c>
      <c r="G24" s="111">
        <v>43896.298993055556</v>
      </c>
    </row>
    <row r="25" spans="1:7" x14ac:dyDescent="0.25">
      <c r="A25" s="65">
        <v>12851</v>
      </c>
      <c r="B25" s="66" t="s">
        <v>1114</v>
      </c>
      <c r="C25" s="6" t="s">
        <v>1397</v>
      </c>
      <c r="D25" s="67">
        <v>51</v>
      </c>
      <c r="E25" s="67">
        <v>12</v>
      </c>
      <c r="F25" s="110"/>
      <c r="G25" s="111"/>
    </row>
    <row r="26" spans="1:7" x14ac:dyDescent="0.25">
      <c r="A26" s="65">
        <v>12869</v>
      </c>
      <c r="B26" s="66" t="s">
        <v>369</v>
      </c>
      <c r="C26" s="6" t="s">
        <v>1397</v>
      </c>
      <c r="D26" s="67">
        <v>61</v>
      </c>
      <c r="E26" s="67">
        <v>8</v>
      </c>
      <c r="F26" s="110" t="s">
        <v>1434</v>
      </c>
      <c r="G26" s="111">
        <v>43875.455243055556</v>
      </c>
    </row>
    <row r="27" spans="1:7" x14ac:dyDescent="0.25">
      <c r="A27" s="65">
        <v>12888</v>
      </c>
      <c r="B27" s="66" t="s">
        <v>1026</v>
      </c>
      <c r="C27" s="6" t="s">
        <v>1397</v>
      </c>
      <c r="D27" s="67">
        <v>61</v>
      </c>
      <c r="E27" s="67">
        <v>8</v>
      </c>
      <c r="F27" s="110"/>
      <c r="G27" s="111"/>
    </row>
    <row r="28" spans="1:7" x14ac:dyDescent="0.25">
      <c r="A28" s="65">
        <v>12915</v>
      </c>
      <c r="B28" s="66" t="s">
        <v>1176</v>
      </c>
      <c r="C28" s="6" t="s">
        <v>1419</v>
      </c>
      <c r="D28" s="67">
        <v>76</v>
      </c>
      <c r="E28" s="67">
        <v>5</v>
      </c>
      <c r="F28" s="110"/>
      <c r="G28" s="111"/>
    </row>
    <row r="29" spans="1:7" x14ac:dyDescent="0.25">
      <c r="A29" s="65">
        <v>12925</v>
      </c>
      <c r="B29" s="66" t="s">
        <v>1177</v>
      </c>
      <c r="C29" s="6" t="s">
        <v>1397</v>
      </c>
      <c r="D29" s="67">
        <v>70</v>
      </c>
      <c r="E29" s="67">
        <v>17</v>
      </c>
      <c r="F29" s="110" t="s">
        <v>1434</v>
      </c>
      <c r="G29" s="111" t="s">
        <v>1464</v>
      </c>
    </row>
    <row r="30" spans="1:7" x14ac:dyDescent="0.25">
      <c r="A30" s="65">
        <v>12934</v>
      </c>
      <c r="B30" s="66" t="s">
        <v>1178</v>
      </c>
      <c r="C30" s="6" t="s">
        <v>1397</v>
      </c>
      <c r="D30" s="67">
        <v>70</v>
      </c>
      <c r="E30" s="67">
        <v>30</v>
      </c>
      <c r="F30" s="110"/>
      <c r="G30" s="111"/>
    </row>
    <row r="31" spans="1:7" x14ac:dyDescent="0.25">
      <c r="A31" s="65">
        <v>12937</v>
      </c>
      <c r="B31" s="66" t="s">
        <v>1044</v>
      </c>
      <c r="C31" s="6" t="s">
        <v>1397</v>
      </c>
      <c r="D31" s="67">
        <v>55</v>
      </c>
      <c r="E31" s="67">
        <v>26</v>
      </c>
      <c r="F31" s="110"/>
      <c r="G31" s="111"/>
    </row>
    <row r="32" spans="1:7" x14ac:dyDescent="0.25">
      <c r="A32" s="65">
        <v>12944</v>
      </c>
      <c r="B32" s="66" t="s">
        <v>1179</v>
      </c>
      <c r="C32" s="6" t="s">
        <v>1397</v>
      </c>
      <c r="D32" s="67">
        <v>61</v>
      </c>
      <c r="E32" s="67">
        <v>8</v>
      </c>
      <c r="F32" s="110"/>
      <c r="G32" s="111"/>
    </row>
    <row r="33" spans="1:7" x14ac:dyDescent="0.25">
      <c r="A33" s="65">
        <v>12953</v>
      </c>
      <c r="B33" s="66" t="s">
        <v>1082</v>
      </c>
      <c r="C33" s="6" t="s">
        <v>1397</v>
      </c>
      <c r="D33" s="67">
        <v>61</v>
      </c>
      <c r="E33" s="67">
        <v>8</v>
      </c>
      <c r="F33" s="110"/>
      <c r="G33" s="111"/>
    </row>
    <row r="34" spans="1:7" x14ac:dyDescent="0.25">
      <c r="A34" s="65">
        <v>12961</v>
      </c>
      <c r="B34" s="66" t="s">
        <v>1084</v>
      </c>
      <c r="C34" s="6" t="s">
        <v>1397</v>
      </c>
      <c r="D34" s="67">
        <v>61</v>
      </c>
      <c r="E34" s="67">
        <v>8</v>
      </c>
      <c r="F34" s="110"/>
      <c r="G34" s="111"/>
    </row>
    <row r="35" spans="1:7" x14ac:dyDescent="0.25">
      <c r="A35" s="65">
        <v>12964</v>
      </c>
      <c r="B35" s="66" t="s">
        <v>1086</v>
      </c>
      <c r="C35" s="6" t="s">
        <v>1397</v>
      </c>
      <c r="D35" s="67">
        <v>61</v>
      </c>
      <c r="E35" s="67">
        <v>8</v>
      </c>
      <c r="F35" s="110"/>
      <c r="G35" s="111"/>
    </row>
    <row r="36" spans="1:7" x14ac:dyDescent="0.25">
      <c r="A36" s="65">
        <v>13007</v>
      </c>
      <c r="B36" s="66" t="s">
        <v>1047</v>
      </c>
      <c r="C36" s="6" t="s">
        <v>1413</v>
      </c>
      <c r="D36" s="67">
        <v>55</v>
      </c>
      <c r="E36" s="67">
        <v>32</v>
      </c>
      <c r="F36" s="110"/>
      <c r="G36" s="111"/>
    </row>
    <row r="37" spans="1:7" x14ac:dyDescent="0.25">
      <c r="A37" s="65">
        <v>13013</v>
      </c>
      <c r="B37" s="66" t="s">
        <v>1081</v>
      </c>
      <c r="C37" s="6" t="s">
        <v>1397</v>
      </c>
      <c r="D37" s="67">
        <v>55</v>
      </c>
      <c r="E37" s="67">
        <v>49</v>
      </c>
      <c r="F37" s="110"/>
      <c r="G37" s="111"/>
    </row>
    <row r="38" spans="1:7" x14ac:dyDescent="0.25">
      <c r="A38" s="65">
        <v>13019</v>
      </c>
      <c r="B38" s="66" t="s">
        <v>1180</v>
      </c>
      <c r="F38" s="110"/>
      <c r="G38" s="111"/>
    </row>
    <row r="39" spans="1:7" x14ac:dyDescent="0.25">
      <c r="A39" s="65">
        <v>13033</v>
      </c>
      <c r="B39" s="66" t="s">
        <v>1181</v>
      </c>
      <c r="C39" s="6" t="s">
        <v>1397</v>
      </c>
      <c r="D39" s="67">
        <v>51</v>
      </c>
      <c r="E39" s="67">
        <v>26</v>
      </c>
      <c r="F39" s="110"/>
      <c r="G39" s="111"/>
    </row>
    <row r="40" spans="1:7" x14ac:dyDescent="0.25">
      <c r="A40" s="65">
        <v>13053</v>
      </c>
      <c r="B40" s="66" t="s">
        <v>1074</v>
      </c>
      <c r="C40" s="6" t="s">
        <v>1397</v>
      </c>
      <c r="D40" s="67">
        <v>55</v>
      </c>
      <c r="E40" s="67">
        <v>57</v>
      </c>
      <c r="F40" s="110" t="s">
        <v>1434</v>
      </c>
      <c r="G40" s="111">
        <v>43719.388321759259</v>
      </c>
    </row>
    <row r="41" spans="1:7" x14ac:dyDescent="0.25">
      <c r="A41" s="65">
        <v>13059</v>
      </c>
      <c r="B41" s="66" t="s">
        <v>546</v>
      </c>
      <c r="C41" s="6" t="s">
        <v>1397</v>
      </c>
      <c r="D41" s="67">
        <v>55</v>
      </c>
      <c r="E41" s="67">
        <v>52</v>
      </c>
      <c r="F41" s="110" t="s">
        <v>1434</v>
      </c>
      <c r="G41" s="111">
        <v>43901.63380787037</v>
      </c>
    </row>
    <row r="42" spans="1:7" x14ac:dyDescent="0.25">
      <c r="A42" s="65">
        <v>13060</v>
      </c>
      <c r="B42" s="66" t="s">
        <v>547</v>
      </c>
      <c r="C42" s="6" t="s">
        <v>1397</v>
      </c>
      <c r="D42" s="67">
        <v>55</v>
      </c>
      <c r="E42" s="67">
        <v>52</v>
      </c>
      <c r="F42" s="110" t="s">
        <v>1434</v>
      </c>
      <c r="G42" s="111">
        <v>43901.63380787037</v>
      </c>
    </row>
    <row r="43" spans="1:7" x14ac:dyDescent="0.25">
      <c r="A43" s="65">
        <v>13070</v>
      </c>
      <c r="B43" s="66" t="s">
        <v>1002</v>
      </c>
      <c r="C43" s="6" t="s">
        <v>1397</v>
      </c>
      <c r="D43" s="67">
        <v>61</v>
      </c>
      <c r="E43" s="67">
        <v>8</v>
      </c>
      <c r="F43" s="110"/>
      <c r="G43" s="111"/>
    </row>
    <row r="44" spans="1:7" x14ac:dyDescent="0.25">
      <c r="A44" s="65">
        <v>13076</v>
      </c>
      <c r="B44" s="66" t="s">
        <v>1126</v>
      </c>
      <c r="C44" s="6" t="s">
        <v>1405</v>
      </c>
      <c r="D44" s="67">
        <v>67</v>
      </c>
      <c r="E44" s="67">
        <v>6</v>
      </c>
      <c r="F44" s="110"/>
      <c r="G44" s="111"/>
    </row>
    <row r="45" spans="1:7" x14ac:dyDescent="0.25">
      <c r="A45" s="65">
        <v>13077</v>
      </c>
      <c r="B45" s="66" t="s">
        <v>1182</v>
      </c>
      <c r="C45" s="6" t="s">
        <v>1405</v>
      </c>
      <c r="D45" s="67">
        <v>67</v>
      </c>
      <c r="E45" s="67">
        <v>6</v>
      </c>
      <c r="F45" s="110"/>
      <c r="G45" s="111"/>
    </row>
    <row r="46" spans="1:7" x14ac:dyDescent="0.25">
      <c r="A46" s="65">
        <v>13078</v>
      </c>
      <c r="B46" s="66" t="s">
        <v>1157</v>
      </c>
      <c r="C46" s="6" t="s">
        <v>1397</v>
      </c>
      <c r="D46" s="67">
        <v>61</v>
      </c>
      <c r="E46" s="67">
        <v>8</v>
      </c>
      <c r="F46" s="110"/>
      <c r="G46" s="111"/>
    </row>
    <row r="47" spans="1:7" x14ac:dyDescent="0.25">
      <c r="A47" s="65">
        <v>13096</v>
      </c>
      <c r="B47" s="66" t="s">
        <v>1183</v>
      </c>
      <c r="C47" s="6" t="s">
        <v>1397</v>
      </c>
      <c r="D47" s="67">
        <v>51</v>
      </c>
      <c r="E47" s="67">
        <v>36</v>
      </c>
      <c r="F47" s="110"/>
      <c r="G47" s="111"/>
    </row>
    <row r="48" spans="1:7" x14ac:dyDescent="0.25">
      <c r="A48" s="65">
        <v>13100</v>
      </c>
      <c r="B48" s="66" t="s">
        <v>1159</v>
      </c>
      <c r="C48" s="6" t="s">
        <v>1397</v>
      </c>
      <c r="D48" s="67">
        <v>61</v>
      </c>
      <c r="E48" s="67">
        <v>8</v>
      </c>
      <c r="F48" s="110"/>
      <c r="G48" s="111"/>
    </row>
    <row r="49" spans="1:8" x14ac:dyDescent="0.25">
      <c r="A49" s="65">
        <v>13123</v>
      </c>
      <c r="B49" s="66" t="s">
        <v>1134</v>
      </c>
      <c r="C49" s="6" t="s">
        <v>1397</v>
      </c>
      <c r="D49" s="67">
        <v>61</v>
      </c>
      <c r="E49" s="67">
        <v>15</v>
      </c>
      <c r="F49" s="110"/>
      <c r="G49" s="111"/>
    </row>
    <row r="50" spans="1:8" x14ac:dyDescent="0.25">
      <c r="A50" s="65">
        <v>13125</v>
      </c>
      <c r="B50" s="66" t="s">
        <v>1135</v>
      </c>
      <c r="C50" s="6" t="s">
        <v>1397</v>
      </c>
      <c r="D50" s="67">
        <v>61</v>
      </c>
      <c r="E50" s="67">
        <v>15</v>
      </c>
      <c r="F50" s="110"/>
      <c r="G50" s="111"/>
    </row>
    <row r="51" spans="1:8" x14ac:dyDescent="0.25">
      <c r="A51" s="65">
        <v>13130</v>
      </c>
      <c r="B51" s="66" t="s">
        <v>1147</v>
      </c>
      <c r="F51" s="110" t="s">
        <v>1462</v>
      </c>
      <c r="G51" s="111" t="s">
        <v>1465</v>
      </c>
    </row>
    <row r="52" spans="1:8" x14ac:dyDescent="0.25">
      <c r="A52" s="65">
        <v>13152</v>
      </c>
      <c r="B52" s="66" t="s">
        <v>1184</v>
      </c>
      <c r="C52" s="6" t="s">
        <v>1397</v>
      </c>
      <c r="D52" s="67">
        <v>61</v>
      </c>
      <c r="E52" s="67">
        <v>14</v>
      </c>
      <c r="F52" s="110"/>
      <c r="G52" s="111"/>
    </row>
    <row r="53" spans="1:8" x14ac:dyDescent="0.25">
      <c r="A53" s="65">
        <v>13175</v>
      </c>
      <c r="B53" s="66" t="s">
        <v>939</v>
      </c>
      <c r="C53" s="6" t="s">
        <v>1397</v>
      </c>
      <c r="D53" s="67">
        <v>61</v>
      </c>
      <c r="E53" s="67">
        <v>14</v>
      </c>
      <c r="F53" s="110" t="s">
        <v>1462</v>
      </c>
      <c r="G53" s="111">
        <v>44370.551851851851</v>
      </c>
      <c r="H53">
        <v>141429</v>
      </c>
    </row>
    <row r="54" spans="1:8" x14ac:dyDescent="0.25">
      <c r="A54" s="65">
        <v>13202</v>
      </c>
      <c r="B54" s="66" t="s">
        <v>1185</v>
      </c>
      <c r="F54" s="110"/>
      <c r="G54" s="111"/>
      <c r="H54">
        <v>136556</v>
      </c>
    </row>
    <row r="55" spans="1:8" x14ac:dyDescent="0.25">
      <c r="A55" s="65">
        <v>13225</v>
      </c>
      <c r="B55" s="66" t="s">
        <v>1169</v>
      </c>
      <c r="C55" s="6" t="s">
        <v>1397</v>
      </c>
      <c r="D55" s="67">
        <v>51</v>
      </c>
      <c r="E55" s="67">
        <v>11</v>
      </c>
      <c r="F55" s="110" t="s">
        <v>1434</v>
      </c>
      <c r="G55" s="111" t="s">
        <v>1466</v>
      </c>
    </row>
    <row r="56" spans="1:8" x14ac:dyDescent="0.25">
      <c r="A56" s="65">
        <v>13975</v>
      </c>
      <c r="B56" s="66" t="s">
        <v>1186</v>
      </c>
      <c r="C56" s="6" t="s">
        <v>1397</v>
      </c>
      <c r="D56" s="67">
        <v>72</v>
      </c>
      <c r="E56" s="67">
        <v>6</v>
      </c>
      <c r="F56" s="110" t="s">
        <v>1434</v>
      </c>
      <c r="G56" s="111">
        <v>43651.669050925928</v>
      </c>
    </row>
    <row r="57" spans="1:8" x14ac:dyDescent="0.25">
      <c r="A57" s="65">
        <v>14009</v>
      </c>
      <c r="B57" s="66" t="s">
        <v>991</v>
      </c>
      <c r="C57" s="6" t="s">
        <v>1397</v>
      </c>
      <c r="D57" s="67">
        <v>55</v>
      </c>
      <c r="E57" s="67">
        <v>46</v>
      </c>
      <c r="F57" s="110"/>
      <c r="G57" s="111"/>
    </row>
    <row r="58" spans="1:8" x14ac:dyDescent="0.25">
      <c r="A58" s="65">
        <v>14010</v>
      </c>
      <c r="B58" s="66" t="s">
        <v>992</v>
      </c>
      <c r="C58" s="6" t="s">
        <v>1397</v>
      </c>
      <c r="D58" s="67">
        <v>55</v>
      </c>
      <c r="E58" s="67">
        <v>46</v>
      </c>
      <c r="F58" s="110"/>
      <c r="G58" s="111"/>
    </row>
    <row r="59" spans="1:8" x14ac:dyDescent="0.25">
      <c r="A59" s="65">
        <v>14014</v>
      </c>
      <c r="B59" s="66" t="s">
        <v>995</v>
      </c>
      <c r="C59" s="6" t="s">
        <v>1397</v>
      </c>
      <c r="D59" s="67">
        <v>55</v>
      </c>
      <c r="E59" s="67">
        <v>46</v>
      </c>
      <c r="F59" s="110" t="s">
        <v>1434</v>
      </c>
      <c r="G59" s="111" t="s">
        <v>1467</v>
      </c>
    </row>
    <row r="60" spans="1:8" x14ac:dyDescent="0.25">
      <c r="A60" s="65">
        <v>14199</v>
      </c>
      <c r="B60" s="66" t="s">
        <v>1187</v>
      </c>
      <c r="C60" s="6" t="s">
        <v>1428</v>
      </c>
      <c r="D60" s="67">
        <v>72</v>
      </c>
      <c r="E60" s="67">
        <v>9</v>
      </c>
      <c r="F60" s="110" t="s">
        <v>1434</v>
      </c>
      <c r="G60" s="111">
        <v>43732.432951388888</v>
      </c>
    </row>
    <row r="61" spans="1:8" x14ac:dyDescent="0.25">
      <c r="A61" s="65">
        <v>14895</v>
      </c>
      <c r="B61" s="66" t="s">
        <v>1150</v>
      </c>
      <c r="C61" s="6" t="s">
        <v>1397</v>
      </c>
      <c r="D61" s="67">
        <v>55</v>
      </c>
      <c r="E61" s="67">
        <v>27</v>
      </c>
      <c r="F61" s="110"/>
      <c r="G61" s="111"/>
    </row>
    <row r="62" spans="1:8" x14ac:dyDescent="0.25">
      <c r="A62" s="65">
        <v>15029</v>
      </c>
      <c r="B62" s="66" t="s">
        <v>1188</v>
      </c>
      <c r="C62" s="6" t="s">
        <v>1397</v>
      </c>
      <c r="D62" s="67">
        <v>61</v>
      </c>
      <c r="E62" s="67">
        <v>10</v>
      </c>
      <c r="F62" s="110" t="s">
        <v>1462</v>
      </c>
      <c r="G62" s="111">
        <v>43682.372615740744</v>
      </c>
      <c r="H62">
        <v>138055</v>
      </c>
    </row>
    <row r="63" spans="1:8" x14ac:dyDescent="0.25">
      <c r="A63" s="65">
        <v>15128</v>
      </c>
      <c r="B63" s="66" t="s">
        <v>1189</v>
      </c>
      <c r="C63" s="6" t="s">
        <v>1409</v>
      </c>
      <c r="D63" s="67">
        <v>61</v>
      </c>
      <c r="E63" s="67">
        <v>2</v>
      </c>
      <c r="F63" s="110"/>
      <c r="G63" s="111"/>
    </row>
    <row r="64" spans="1:8" x14ac:dyDescent="0.25">
      <c r="A64" s="65">
        <v>15438</v>
      </c>
      <c r="B64" s="66" t="s">
        <v>1054</v>
      </c>
      <c r="C64" s="6" t="s">
        <v>1397</v>
      </c>
      <c r="D64" s="67">
        <v>51</v>
      </c>
      <c r="E64" s="67">
        <v>9</v>
      </c>
      <c r="F64" s="110"/>
      <c r="G64" s="111"/>
    </row>
    <row r="65" spans="1:8" x14ac:dyDescent="0.25">
      <c r="A65" s="65">
        <v>15804</v>
      </c>
      <c r="B65" s="66" t="s">
        <v>1190</v>
      </c>
      <c r="C65" s="6" t="s">
        <v>1397</v>
      </c>
      <c r="D65" s="67">
        <v>51</v>
      </c>
      <c r="E65" s="67">
        <v>17</v>
      </c>
      <c r="F65" s="110"/>
      <c r="G65" s="111"/>
    </row>
    <row r="66" spans="1:8" x14ac:dyDescent="0.25">
      <c r="A66" s="65">
        <v>15840</v>
      </c>
      <c r="B66" s="66" t="s">
        <v>1191</v>
      </c>
      <c r="C66" s="6" t="s">
        <v>1419</v>
      </c>
      <c r="D66" s="67">
        <v>76</v>
      </c>
      <c r="E66" s="67">
        <v>3</v>
      </c>
      <c r="F66" s="110"/>
      <c r="G66" s="111"/>
      <c r="H66">
        <v>136037</v>
      </c>
    </row>
    <row r="67" spans="1:8" x14ac:dyDescent="0.25">
      <c r="A67" s="65">
        <v>15843</v>
      </c>
      <c r="B67" s="66" t="s">
        <v>1192</v>
      </c>
      <c r="C67" s="6" t="s">
        <v>1419</v>
      </c>
      <c r="D67" s="67">
        <v>76</v>
      </c>
      <c r="E67" s="67">
        <v>3</v>
      </c>
      <c r="F67" s="110" t="s">
        <v>1434</v>
      </c>
      <c r="G67" s="111" t="s">
        <v>1468</v>
      </c>
      <c r="H67">
        <v>135238</v>
      </c>
    </row>
    <row r="68" spans="1:8" x14ac:dyDescent="0.25">
      <c r="A68" s="65">
        <v>15845</v>
      </c>
      <c r="B68" s="66" t="s">
        <v>1193</v>
      </c>
      <c r="C68" s="6" t="s">
        <v>1419</v>
      </c>
      <c r="D68" s="67">
        <v>76</v>
      </c>
      <c r="E68" s="67">
        <v>3</v>
      </c>
      <c r="F68" s="110"/>
      <c r="G68" s="111"/>
      <c r="H68">
        <v>136038</v>
      </c>
    </row>
    <row r="69" spans="1:8" x14ac:dyDescent="0.25">
      <c r="A69" s="65">
        <v>15847</v>
      </c>
      <c r="B69" s="66" t="s">
        <v>1194</v>
      </c>
      <c r="C69" s="6" t="s">
        <v>1419</v>
      </c>
      <c r="D69" s="67">
        <v>76</v>
      </c>
      <c r="E69" s="67">
        <v>3</v>
      </c>
      <c r="F69" s="110"/>
      <c r="G69" s="111"/>
      <c r="H69">
        <v>136039</v>
      </c>
    </row>
    <row r="70" spans="1:8" x14ac:dyDescent="0.25">
      <c r="A70" s="65">
        <v>15900</v>
      </c>
      <c r="B70" s="66" t="s">
        <v>1195</v>
      </c>
      <c r="C70" s="6" t="s">
        <v>1419</v>
      </c>
      <c r="F70" s="110"/>
      <c r="G70" s="111"/>
      <c r="H70">
        <v>135239</v>
      </c>
    </row>
    <row r="71" spans="1:8" x14ac:dyDescent="0.25">
      <c r="A71" s="65">
        <v>16300</v>
      </c>
      <c r="B71" s="66" t="s">
        <v>1015</v>
      </c>
      <c r="C71" s="6" t="s">
        <v>1397</v>
      </c>
      <c r="D71" s="67">
        <v>74</v>
      </c>
      <c r="E71" s="67">
        <v>9</v>
      </c>
      <c r="F71" s="110"/>
      <c r="G71" s="111"/>
    </row>
    <row r="72" spans="1:8" x14ac:dyDescent="0.25">
      <c r="A72" s="65">
        <v>16427</v>
      </c>
      <c r="B72" s="66" t="s">
        <v>1058</v>
      </c>
      <c r="C72" s="6" t="s">
        <v>1397</v>
      </c>
      <c r="D72" s="67">
        <v>52</v>
      </c>
      <c r="E72" s="67">
        <v>7</v>
      </c>
      <c r="F72" s="110"/>
      <c r="G72" s="111"/>
    </row>
    <row r="73" spans="1:8" x14ac:dyDescent="0.25">
      <c r="A73" s="65">
        <v>16532</v>
      </c>
      <c r="B73" s="66" t="s">
        <v>1196</v>
      </c>
      <c r="C73" s="6" t="s">
        <v>1397</v>
      </c>
      <c r="D73" s="67">
        <v>73</v>
      </c>
      <c r="E73" s="67">
        <v>4</v>
      </c>
      <c r="F73" s="110"/>
      <c r="G73" s="111"/>
    </row>
    <row r="74" spans="1:8" x14ac:dyDescent="0.25">
      <c r="A74" s="65">
        <v>16590</v>
      </c>
      <c r="B74" s="66" t="s">
        <v>1197</v>
      </c>
      <c r="C74" s="6" t="s">
        <v>1404</v>
      </c>
      <c r="D74" s="67">
        <v>51</v>
      </c>
      <c r="E74" s="67">
        <v>49</v>
      </c>
      <c r="F74" s="110"/>
      <c r="G74" s="111"/>
    </row>
    <row r="75" spans="1:8" x14ac:dyDescent="0.25">
      <c r="A75" s="65">
        <v>16688</v>
      </c>
      <c r="B75" s="66" t="s">
        <v>1198</v>
      </c>
      <c r="C75" s="6" t="s">
        <v>1397</v>
      </c>
      <c r="D75" s="67">
        <v>52</v>
      </c>
      <c r="E75" s="67">
        <v>7</v>
      </c>
      <c r="F75" s="110"/>
      <c r="G75" s="111"/>
    </row>
    <row r="76" spans="1:8" x14ac:dyDescent="0.25">
      <c r="A76" s="65">
        <v>16691</v>
      </c>
      <c r="B76" s="66" t="s">
        <v>1199</v>
      </c>
      <c r="C76" s="6" t="s">
        <v>1397</v>
      </c>
      <c r="D76" s="67">
        <v>52</v>
      </c>
      <c r="E76" s="67">
        <v>7</v>
      </c>
      <c r="F76" s="110"/>
      <c r="G76" s="111"/>
    </row>
    <row r="77" spans="1:8" x14ac:dyDescent="0.25">
      <c r="A77" s="65">
        <v>16692</v>
      </c>
      <c r="B77" s="66" t="s">
        <v>1200</v>
      </c>
      <c r="C77" s="6" t="s">
        <v>1397</v>
      </c>
      <c r="D77" s="67">
        <v>52</v>
      </c>
      <c r="E77" s="67">
        <v>7</v>
      </c>
      <c r="F77" s="110"/>
      <c r="G77" s="111"/>
    </row>
    <row r="78" spans="1:8" x14ac:dyDescent="0.25">
      <c r="A78" s="65">
        <v>16729</v>
      </c>
      <c r="B78" s="66" t="s">
        <v>1201</v>
      </c>
      <c r="C78" s="6" t="s">
        <v>1404</v>
      </c>
      <c r="D78" s="67">
        <v>52</v>
      </c>
      <c r="E78" s="67">
        <v>13</v>
      </c>
      <c r="F78" s="110"/>
      <c r="G78" s="111"/>
    </row>
    <row r="79" spans="1:8" x14ac:dyDescent="0.25">
      <c r="A79" s="65">
        <v>16736</v>
      </c>
      <c r="B79" s="66" t="s">
        <v>1050</v>
      </c>
      <c r="C79" s="6" t="s">
        <v>1397</v>
      </c>
      <c r="D79" s="67">
        <v>52</v>
      </c>
      <c r="E79" s="67">
        <v>13</v>
      </c>
      <c r="F79" s="110"/>
      <c r="G79" s="111"/>
    </row>
    <row r="80" spans="1:8" x14ac:dyDescent="0.25">
      <c r="A80" s="65">
        <v>16737</v>
      </c>
      <c r="B80" s="66" t="s">
        <v>1049</v>
      </c>
      <c r="C80" s="6" t="s">
        <v>1397</v>
      </c>
      <c r="D80" s="67">
        <v>52</v>
      </c>
      <c r="E80" s="67">
        <v>13</v>
      </c>
      <c r="F80" s="110"/>
      <c r="G80" s="111"/>
    </row>
    <row r="81" spans="1:7" x14ac:dyDescent="0.25">
      <c r="A81" s="65">
        <v>16757</v>
      </c>
      <c r="B81" s="66" t="s">
        <v>1017</v>
      </c>
      <c r="C81" s="6" t="s">
        <v>1397</v>
      </c>
      <c r="D81" s="67">
        <v>52</v>
      </c>
      <c r="E81" s="67">
        <v>8</v>
      </c>
      <c r="F81" s="110"/>
      <c r="G81" s="111"/>
    </row>
    <row r="82" spans="1:7" x14ac:dyDescent="0.25">
      <c r="A82" s="65">
        <v>16763</v>
      </c>
      <c r="B82" s="66" t="s">
        <v>1004</v>
      </c>
      <c r="C82" s="6" t="s">
        <v>1397</v>
      </c>
      <c r="D82" s="67">
        <v>52</v>
      </c>
      <c r="E82" s="67">
        <v>7</v>
      </c>
      <c r="F82" s="110"/>
      <c r="G82" s="111"/>
    </row>
    <row r="83" spans="1:7" x14ac:dyDescent="0.25">
      <c r="A83" s="65">
        <v>16808</v>
      </c>
      <c r="B83" s="66" t="s">
        <v>1202</v>
      </c>
      <c r="C83" s="6" t="s">
        <v>1397</v>
      </c>
      <c r="D83" s="67">
        <v>52</v>
      </c>
      <c r="E83" s="67">
        <v>13</v>
      </c>
      <c r="F83" s="110"/>
      <c r="G83" s="111"/>
    </row>
    <row r="84" spans="1:7" x14ac:dyDescent="0.25">
      <c r="A84" s="65">
        <v>16813</v>
      </c>
      <c r="B84" s="66" t="s">
        <v>1062</v>
      </c>
      <c r="C84" s="6" t="s">
        <v>1397</v>
      </c>
      <c r="D84" s="67">
        <v>52</v>
      </c>
      <c r="E84" s="67">
        <v>13</v>
      </c>
      <c r="F84" s="110"/>
      <c r="G84" s="111"/>
    </row>
    <row r="85" spans="1:7" x14ac:dyDescent="0.25">
      <c r="A85" s="65">
        <v>16827</v>
      </c>
      <c r="B85" s="66" t="s">
        <v>1052</v>
      </c>
      <c r="C85" s="6" t="s">
        <v>1397</v>
      </c>
      <c r="D85" s="67">
        <v>52</v>
      </c>
      <c r="E85" s="67">
        <v>13</v>
      </c>
      <c r="F85" s="110"/>
      <c r="G85" s="111"/>
    </row>
    <row r="86" spans="1:7" x14ac:dyDescent="0.25">
      <c r="A86" s="65">
        <v>16835</v>
      </c>
      <c r="B86" s="66" t="s">
        <v>1053</v>
      </c>
      <c r="C86" s="6" t="s">
        <v>1397</v>
      </c>
      <c r="D86" s="67">
        <v>52</v>
      </c>
      <c r="E86" s="67">
        <v>13</v>
      </c>
      <c r="F86" s="110"/>
      <c r="G86" s="111"/>
    </row>
    <row r="87" spans="1:7" x14ac:dyDescent="0.25">
      <c r="A87" s="65">
        <v>16846</v>
      </c>
      <c r="B87" s="66" t="s">
        <v>1203</v>
      </c>
      <c r="C87" s="6" t="s">
        <v>1397</v>
      </c>
      <c r="D87" s="67">
        <v>52</v>
      </c>
      <c r="E87" s="67">
        <v>13</v>
      </c>
      <c r="F87" s="110"/>
      <c r="G87" s="111"/>
    </row>
    <row r="88" spans="1:7" x14ac:dyDescent="0.25">
      <c r="A88" s="65">
        <v>17026</v>
      </c>
      <c r="B88" s="66" t="s">
        <v>1204</v>
      </c>
      <c r="C88" s="6" t="s">
        <v>1397</v>
      </c>
      <c r="D88" s="67">
        <v>52</v>
      </c>
      <c r="E88" s="67">
        <v>7</v>
      </c>
      <c r="F88" s="110"/>
      <c r="G88" s="111"/>
    </row>
    <row r="89" spans="1:7" x14ac:dyDescent="0.25">
      <c r="A89" s="65">
        <v>17033</v>
      </c>
      <c r="B89" s="66" t="s">
        <v>1205</v>
      </c>
      <c r="C89" s="6" t="s">
        <v>1397</v>
      </c>
      <c r="D89" s="67">
        <v>52</v>
      </c>
      <c r="E89" s="67">
        <v>13</v>
      </c>
      <c r="F89" s="110"/>
      <c r="G89" s="111"/>
    </row>
    <row r="90" spans="1:7" x14ac:dyDescent="0.25">
      <c r="A90" s="65">
        <v>17064</v>
      </c>
      <c r="B90" s="66" t="s">
        <v>1018</v>
      </c>
      <c r="C90" s="6" t="s">
        <v>1397</v>
      </c>
      <c r="D90" s="67">
        <v>52</v>
      </c>
      <c r="E90" s="67">
        <v>13</v>
      </c>
      <c r="F90" s="110"/>
      <c r="G90" s="111"/>
    </row>
    <row r="91" spans="1:7" x14ac:dyDescent="0.25">
      <c r="A91" s="65">
        <v>17105</v>
      </c>
      <c r="B91" s="66" t="s">
        <v>1206</v>
      </c>
      <c r="C91" s="6" t="s">
        <v>1397</v>
      </c>
      <c r="D91" s="67">
        <v>52</v>
      </c>
      <c r="E91" s="67">
        <v>5</v>
      </c>
      <c r="F91" s="110"/>
      <c r="G91" s="111"/>
    </row>
    <row r="92" spans="1:7" x14ac:dyDescent="0.25">
      <c r="A92" s="65">
        <v>17537</v>
      </c>
      <c r="B92" s="66" t="s">
        <v>1207</v>
      </c>
      <c r="C92" s="6" t="s">
        <v>1397</v>
      </c>
      <c r="D92" s="67">
        <v>70</v>
      </c>
      <c r="E92" s="67">
        <v>17</v>
      </c>
      <c r="F92" s="110"/>
      <c r="G92" s="111"/>
    </row>
    <row r="93" spans="1:7" x14ac:dyDescent="0.25">
      <c r="A93" s="65">
        <v>17659</v>
      </c>
      <c r="B93" s="66" t="s">
        <v>1208</v>
      </c>
      <c r="C93" s="6" t="s">
        <v>1397</v>
      </c>
      <c r="D93" s="67">
        <v>83</v>
      </c>
      <c r="E93" s="67">
        <v>3</v>
      </c>
      <c r="F93" s="110" t="s">
        <v>1434</v>
      </c>
      <c r="G93" s="111">
        <v>43815.400833333333</v>
      </c>
    </row>
    <row r="94" spans="1:7" x14ac:dyDescent="0.25">
      <c r="A94" s="65">
        <v>17663</v>
      </c>
      <c r="B94" s="66" t="s">
        <v>567</v>
      </c>
      <c r="C94" s="6" t="s">
        <v>1416</v>
      </c>
      <c r="D94" s="67">
        <v>83</v>
      </c>
      <c r="E94" s="67">
        <v>2</v>
      </c>
      <c r="F94" s="110" t="s">
        <v>1434</v>
      </c>
      <c r="G94" s="111">
        <v>43962.459189814814</v>
      </c>
    </row>
    <row r="95" spans="1:7" x14ac:dyDescent="0.25">
      <c r="A95" s="65">
        <v>17670</v>
      </c>
      <c r="B95" s="66" t="s">
        <v>1122</v>
      </c>
      <c r="C95" s="6" t="s">
        <v>1405</v>
      </c>
      <c r="D95" s="67">
        <v>67</v>
      </c>
      <c r="E95" s="67">
        <v>6</v>
      </c>
      <c r="F95" s="110"/>
      <c r="G95" s="111"/>
    </row>
    <row r="96" spans="1:7" x14ac:dyDescent="0.25">
      <c r="A96" s="65">
        <v>18342</v>
      </c>
      <c r="B96" s="66" t="s">
        <v>1118</v>
      </c>
      <c r="C96" s="6" t="s">
        <v>1405</v>
      </c>
      <c r="D96" s="67">
        <v>67</v>
      </c>
      <c r="E96" s="67">
        <v>6</v>
      </c>
      <c r="F96" s="110"/>
      <c r="G96" s="111"/>
    </row>
    <row r="97" spans="1:8" x14ac:dyDescent="0.25">
      <c r="A97" s="65">
        <v>18351</v>
      </c>
      <c r="B97" s="66" t="s">
        <v>1119</v>
      </c>
      <c r="C97" s="6" t="s">
        <v>1405</v>
      </c>
      <c r="D97" s="67">
        <v>67</v>
      </c>
      <c r="E97" s="67">
        <v>6</v>
      </c>
      <c r="F97" s="110"/>
      <c r="G97" s="111"/>
    </row>
    <row r="98" spans="1:8" x14ac:dyDescent="0.25">
      <c r="A98" s="65">
        <v>19872</v>
      </c>
      <c r="B98" s="66" t="s">
        <v>1209</v>
      </c>
      <c r="C98" s="6" t="s">
        <v>1397</v>
      </c>
      <c r="D98" s="67">
        <v>70</v>
      </c>
      <c r="E98" s="67">
        <v>31</v>
      </c>
      <c r="F98" s="110"/>
      <c r="G98" s="111"/>
    </row>
    <row r="99" spans="1:8" x14ac:dyDescent="0.25">
      <c r="A99" s="65">
        <v>19881</v>
      </c>
      <c r="B99" s="66" t="s">
        <v>1210</v>
      </c>
      <c r="C99" s="6" t="s">
        <v>1397</v>
      </c>
      <c r="D99" s="67">
        <v>70</v>
      </c>
      <c r="E99" s="67">
        <v>31</v>
      </c>
      <c r="F99" s="110"/>
      <c r="G99" s="111"/>
    </row>
    <row r="100" spans="1:8" x14ac:dyDescent="0.25">
      <c r="A100" s="65">
        <v>19884</v>
      </c>
      <c r="B100" s="66" t="s">
        <v>1003</v>
      </c>
      <c r="C100" s="6" t="s">
        <v>1397</v>
      </c>
      <c r="D100" s="67">
        <v>70</v>
      </c>
      <c r="E100" s="67">
        <v>31</v>
      </c>
      <c r="F100" s="110"/>
      <c r="G100" s="111"/>
    </row>
    <row r="101" spans="1:8" x14ac:dyDescent="0.25">
      <c r="A101" s="65">
        <v>20169</v>
      </c>
      <c r="B101" s="66" t="s">
        <v>1211</v>
      </c>
      <c r="C101" s="6" t="s">
        <v>1397</v>
      </c>
      <c r="D101" s="67">
        <v>52</v>
      </c>
      <c r="E101" s="67">
        <v>6</v>
      </c>
      <c r="F101" s="110"/>
      <c r="G101" s="111"/>
    </row>
    <row r="102" spans="1:8" x14ac:dyDescent="0.25">
      <c r="A102" s="65">
        <v>20431</v>
      </c>
      <c r="B102" s="66" t="s">
        <v>1212</v>
      </c>
      <c r="C102" s="6" t="s">
        <v>1397</v>
      </c>
      <c r="D102" s="67">
        <v>70</v>
      </c>
      <c r="E102" s="67">
        <v>15</v>
      </c>
      <c r="F102" s="110"/>
      <c r="G102" s="111"/>
    </row>
    <row r="103" spans="1:8" x14ac:dyDescent="0.25">
      <c r="A103" s="65">
        <v>20539</v>
      </c>
      <c r="B103" s="66" t="s">
        <v>1213</v>
      </c>
      <c r="C103" s="6" t="s">
        <v>1405</v>
      </c>
      <c r="D103" s="67">
        <v>67</v>
      </c>
      <c r="E103" s="67">
        <v>6</v>
      </c>
      <c r="F103" s="110"/>
      <c r="G103" s="111"/>
    </row>
    <row r="104" spans="1:8" x14ac:dyDescent="0.25">
      <c r="A104" s="65">
        <v>20540</v>
      </c>
      <c r="B104" s="66" t="s">
        <v>1121</v>
      </c>
      <c r="C104" s="6" t="s">
        <v>1405</v>
      </c>
      <c r="D104" s="67">
        <v>67</v>
      </c>
      <c r="E104" s="67">
        <v>6</v>
      </c>
      <c r="F104" s="110"/>
      <c r="G104" s="111"/>
    </row>
    <row r="105" spans="1:8" x14ac:dyDescent="0.25">
      <c r="A105" s="65">
        <v>20585</v>
      </c>
      <c r="B105" s="66" t="s">
        <v>1214</v>
      </c>
      <c r="C105" s="6" t="s">
        <v>1397</v>
      </c>
      <c r="D105" s="67">
        <v>67</v>
      </c>
      <c r="E105" s="67">
        <v>7</v>
      </c>
      <c r="F105" s="110"/>
      <c r="G105" s="111"/>
    </row>
    <row r="106" spans="1:8" x14ac:dyDescent="0.25">
      <c r="A106" s="65">
        <v>23424</v>
      </c>
      <c r="B106" s="66" t="s">
        <v>1215</v>
      </c>
      <c r="C106" s="6" t="s">
        <v>1411</v>
      </c>
      <c r="D106" s="67">
        <v>57</v>
      </c>
      <c r="E106" s="67">
        <v>19</v>
      </c>
      <c r="F106" s="110"/>
      <c r="G106" s="111"/>
    </row>
    <row r="107" spans="1:8" x14ac:dyDescent="0.25">
      <c r="A107" s="65">
        <v>23992</v>
      </c>
      <c r="B107" s="66" t="s">
        <v>1216</v>
      </c>
      <c r="C107" s="6" t="s">
        <v>1408</v>
      </c>
      <c r="D107" s="67">
        <v>57</v>
      </c>
      <c r="E107" s="67">
        <v>2</v>
      </c>
      <c r="F107" s="110"/>
      <c r="G107" s="111"/>
    </row>
    <row r="108" spans="1:8" x14ac:dyDescent="0.25">
      <c r="A108" s="65">
        <v>24031</v>
      </c>
      <c r="B108" s="66" t="s">
        <v>1217</v>
      </c>
      <c r="C108" s="6" t="s">
        <v>1397</v>
      </c>
      <c r="D108" s="67">
        <v>70</v>
      </c>
      <c r="E108" s="67">
        <v>24</v>
      </c>
      <c r="F108" s="110"/>
      <c r="G108" s="111"/>
    </row>
    <row r="109" spans="1:8" x14ac:dyDescent="0.25">
      <c r="A109" s="65">
        <v>24205</v>
      </c>
      <c r="B109" s="66" t="s">
        <v>834</v>
      </c>
      <c r="C109" s="6" t="s">
        <v>1397</v>
      </c>
      <c r="D109" s="67">
        <v>76</v>
      </c>
      <c r="E109" s="67">
        <v>11</v>
      </c>
      <c r="F109" s="110" t="s">
        <v>1462</v>
      </c>
      <c r="G109" s="111">
        <v>44175.664502314816</v>
      </c>
      <c r="H109">
        <v>140315</v>
      </c>
    </row>
    <row r="110" spans="1:8" x14ac:dyDescent="0.25">
      <c r="A110" s="65">
        <v>24542</v>
      </c>
      <c r="B110" s="66" t="s">
        <v>1061</v>
      </c>
      <c r="C110" s="6" t="s">
        <v>1397</v>
      </c>
      <c r="D110" s="67">
        <v>52</v>
      </c>
      <c r="E110" s="67">
        <v>13</v>
      </c>
      <c r="F110" s="110"/>
      <c r="G110" s="111"/>
    </row>
    <row r="111" spans="1:8" x14ac:dyDescent="0.25">
      <c r="A111" s="65">
        <v>24890</v>
      </c>
      <c r="B111" s="66" t="s">
        <v>1117</v>
      </c>
      <c r="C111" s="6" t="s">
        <v>1405</v>
      </c>
      <c r="D111" s="67">
        <v>67</v>
      </c>
      <c r="E111" s="67">
        <v>6</v>
      </c>
      <c r="F111" s="110"/>
      <c r="G111" s="111"/>
    </row>
    <row r="112" spans="1:8" x14ac:dyDescent="0.25">
      <c r="A112" s="65">
        <v>25489</v>
      </c>
      <c r="B112" s="66" t="s">
        <v>1218</v>
      </c>
      <c r="C112" s="6" t="s">
        <v>1405</v>
      </c>
      <c r="D112" s="67">
        <v>67</v>
      </c>
      <c r="E112" s="67">
        <v>6</v>
      </c>
      <c r="F112" s="110"/>
      <c r="G112" s="111"/>
    </row>
    <row r="113" spans="1:8" x14ac:dyDescent="0.25">
      <c r="A113" s="65">
        <v>25519</v>
      </c>
      <c r="B113" s="66" t="s">
        <v>1219</v>
      </c>
      <c r="C113" s="6" t="s">
        <v>1397</v>
      </c>
      <c r="D113" s="67">
        <v>52</v>
      </c>
      <c r="E113" s="67">
        <v>13</v>
      </c>
      <c r="F113" s="110"/>
      <c r="G113" s="111"/>
    </row>
    <row r="114" spans="1:8" x14ac:dyDescent="0.25">
      <c r="A114" s="65">
        <v>25536</v>
      </c>
      <c r="B114" s="66" t="s">
        <v>990</v>
      </c>
      <c r="C114" s="6" t="s">
        <v>1397</v>
      </c>
      <c r="D114" s="67">
        <v>55</v>
      </c>
      <c r="E114" s="67">
        <v>46</v>
      </c>
      <c r="F114" s="110"/>
      <c r="G114" s="111"/>
    </row>
    <row r="115" spans="1:8" x14ac:dyDescent="0.25">
      <c r="A115" s="65">
        <v>26368</v>
      </c>
      <c r="B115" s="66" t="s">
        <v>1220</v>
      </c>
      <c r="C115" s="6" t="s">
        <v>1397</v>
      </c>
      <c r="D115" s="67">
        <v>51</v>
      </c>
      <c r="E115" s="67">
        <v>26</v>
      </c>
      <c r="F115" s="110"/>
      <c r="G115" s="111"/>
    </row>
    <row r="116" spans="1:8" x14ac:dyDescent="0.25">
      <c r="A116" s="65">
        <v>26503</v>
      </c>
      <c r="B116" s="66" t="s">
        <v>1221</v>
      </c>
      <c r="D116" s="67">
        <v>78</v>
      </c>
      <c r="E116" s="67">
        <v>6</v>
      </c>
      <c r="F116" s="110"/>
      <c r="G116" s="111"/>
    </row>
    <row r="117" spans="1:8" x14ac:dyDescent="0.25">
      <c r="A117" s="65">
        <v>26508</v>
      </c>
      <c r="B117" s="66" t="s">
        <v>1222</v>
      </c>
      <c r="D117" s="67">
        <v>78</v>
      </c>
      <c r="E117" s="67">
        <v>6</v>
      </c>
      <c r="F117" s="110"/>
      <c r="G117" s="111"/>
    </row>
    <row r="118" spans="1:8" x14ac:dyDescent="0.25">
      <c r="A118" s="65">
        <v>27479</v>
      </c>
      <c r="B118" s="66" t="s">
        <v>770</v>
      </c>
      <c r="C118" s="6" t="s">
        <v>1419</v>
      </c>
      <c r="D118" s="67">
        <v>76</v>
      </c>
      <c r="E118" s="67">
        <v>5</v>
      </c>
      <c r="F118" s="110" t="s">
        <v>1462</v>
      </c>
      <c r="G118" s="111">
        <v>44376.356828703705</v>
      </c>
      <c r="H118">
        <v>141253</v>
      </c>
    </row>
    <row r="119" spans="1:8" x14ac:dyDescent="0.25">
      <c r="A119" s="65">
        <v>27759</v>
      </c>
      <c r="B119" s="66" t="s">
        <v>798</v>
      </c>
      <c r="C119" s="6" t="s">
        <v>1397</v>
      </c>
      <c r="D119" s="67">
        <v>61</v>
      </c>
      <c r="E119" s="67">
        <v>15</v>
      </c>
      <c r="F119" s="110" t="s">
        <v>1434</v>
      </c>
      <c r="G119" s="111">
        <v>43875.458043981482</v>
      </c>
    </row>
    <row r="120" spans="1:8" x14ac:dyDescent="0.25">
      <c r="A120" s="65">
        <v>28040</v>
      </c>
      <c r="B120" s="66" t="s">
        <v>1123</v>
      </c>
      <c r="C120" s="6" t="s">
        <v>1405</v>
      </c>
      <c r="D120" s="67">
        <v>67</v>
      </c>
      <c r="E120" s="67">
        <v>6</v>
      </c>
      <c r="F120" s="110"/>
      <c r="G120" s="111"/>
    </row>
    <row r="121" spans="1:8" x14ac:dyDescent="0.25">
      <c r="A121" s="65">
        <v>28781</v>
      </c>
      <c r="B121" s="66" t="s">
        <v>993</v>
      </c>
      <c r="C121" s="6" t="s">
        <v>1397</v>
      </c>
      <c r="D121" s="67">
        <v>55</v>
      </c>
      <c r="E121" s="67">
        <v>46</v>
      </c>
      <c r="F121" s="110"/>
      <c r="G121" s="111"/>
    </row>
    <row r="122" spans="1:8" x14ac:dyDescent="0.25">
      <c r="A122" s="65">
        <v>28782</v>
      </c>
      <c r="B122" s="66" t="s">
        <v>994</v>
      </c>
      <c r="C122" s="6" t="s">
        <v>1397</v>
      </c>
      <c r="D122" s="67">
        <v>55</v>
      </c>
      <c r="E122" s="67">
        <v>46</v>
      </c>
      <c r="F122" s="110"/>
      <c r="G122" s="111"/>
    </row>
    <row r="123" spans="1:8" x14ac:dyDescent="0.25">
      <c r="A123" s="65">
        <v>29288</v>
      </c>
      <c r="B123" s="66" t="s">
        <v>1040</v>
      </c>
      <c r="F123" s="110"/>
      <c r="G123" s="111"/>
    </row>
    <row r="124" spans="1:8" x14ac:dyDescent="0.25">
      <c r="A124" s="65">
        <v>29294</v>
      </c>
      <c r="B124" s="66" t="s">
        <v>1223</v>
      </c>
      <c r="C124" s="6" t="s">
        <v>1397</v>
      </c>
      <c r="D124" s="67">
        <v>67</v>
      </c>
      <c r="E124" s="67">
        <v>9</v>
      </c>
      <c r="F124" s="110"/>
      <c r="G124" s="111"/>
    </row>
    <row r="125" spans="1:8" x14ac:dyDescent="0.25">
      <c r="A125" s="65">
        <v>29435</v>
      </c>
      <c r="B125" s="66" t="s">
        <v>553</v>
      </c>
      <c r="C125" s="6" t="s">
        <v>1404</v>
      </c>
      <c r="D125" s="67">
        <v>51</v>
      </c>
      <c r="E125" s="67">
        <v>36</v>
      </c>
      <c r="F125" s="110" t="s">
        <v>1462</v>
      </c>
      <c r="G125" s="111">
        <v>44172.356412037036</v>
      </c>
      <c r="H125">
        <v>140283</v>
      </c>
    </row>
    <row r="126" spans="1:8" x14ac:dyDescent="0.25">
      <c r="A126" s="65">
        <v>29437</v>
      </c>
      <c r="B126" s="66" t="s">
        <v>371</v>
      </c>
      <c r="C126" s="6" t="s">
        <v>1397</v>
      </c>
      <c r="D126" s="67">
        <v>61</v>
      </c>
      <c r="E126" s="67">
        <v>8</v>
      </c>
      <c r="F126" s="110" t="s">
        <v>1434</v>
      </c>
      <c r="G126" s="111">
        <v>43875.455578703702</v>
      </c>
    </row>
    <row r="127" spans="1:8" x14ac:dyDescent="0.25">
      <c r="A127" s="65">
        <v>29524</v>
      </c>
      <c r="B127" s="66" t="s">
        <v>1224</v>
      </c>
      <c r="C127" s="6" t="s">
        <v>1419</v>
      </c>
      <c r="D127" s="67">
        <v>76</v>
      </c>
      <c r="E127" s="67">
        <v>9</v>
      </c>
      <c r="F127" s="110"/>
      <c r="G127" s="111"/>
    </row>
    <row r="128" spans="1:8" x14ac:dyDescent="0.25">
      <c r="A128" s="65">
        <v>29526</v>
      </c>
      <c r="B128" s="66" t="s">
        <v>1225</v>
      </c>
      <c r="C128" s="6" t="s">
        <v>1419</v>
      </c>
      <c r="D128" s="67">
        <v>76</v>
      </c>
      <c r="E128" s="67">
        <v>9</v>
      </c>
      <c r="F128" s="110"/>
      <c r="G128" s="111"/>
    </row>
    <row r="129" spans="1:8" x14ac:dyDescent="0.25">
      <c r="A129" s="65">
        <v>29537</v>
      </c>
      <c r="B129" s="66" t="s">
        <v>1226</v>
      </c>
      <c r="C129" s="6" t="s">
        <v>1397</v>
      </c>
      <c r="D129" s="67">
        <v>61</v>
      </c>
      <c r="E129" s="67">
        <v>8</v>
      </c>
      <c r="F129" s="110"/>
      <c r="G129" s="111"/>
    </row>
    <row r="130" spans="1:8" x14ac:dyDescent="0.25">
      <c r="A130" s="65">
        <v>29829</v>
      </c>
      <c r="B130" s="66" t="s">
        <v>1133</v>
      </c>
      <c r="C130" s="6" t="s">
        <v>1397</v>
      </c>
      <c r="D130" s="67">
        <v>61</v>
      </c>
      <c r="E130" s="67">
        <v>15</v>
      </c>
      <c r="F130" s="110"/>
      <c r="G130" s="111"/>
    </row>
    <row r="131" spans="1:8" x14ac:dyDescent="0.25">
      <c r="A131" s="65">
        <v>29935</v>
      </c>
      <c r="B131" s="66" t="s">
        <v>832</v>
      </c>
      <c r="C131" s="6" t="s">
        <v>1397</v>
      </c>
      <c r="D131" s="67">
        <v>76</v>
      </c>
      <c r="E131" s="67">
        <v>11</v>
      </c>
      <c r="F131" s="110" t="s">
        <v>1434</v>
      </c>
      <c r="G131" s="111">
        <v>43899.571921296294</v>
      </c>
    </row>
    <row r="132" spans="1:8" x14ac:dyDescent="0.25">
      <c r="A132" s="65">
        <v>29936</v>
      </c>
      <c r="B132" s="66" t="s">
        <v>1227</v>
      </c>
      <c r="C132" s="6" t="s">
        <v>1397</v>
      </c>
      <c r="D132" s="67">
        <v>76</v>
      </c>
      <c r="E132" s="67">
        <v>11</v>
      </c>
      <c r="F132" s="110"/>
      <c r="G132" s="111"/>
    </row>
    <row r="133" spans="1:8" x14ac:dyDescent="0.25">
      <c r="A133" s="65">
        <v>29960</v>
      </c>
      <c r="B133" s="66" t="s">
        <v>1228</v>
      </c>
      <c r="C133" s="6" t="s">
        <v>1416</v>
      </c>
      <c r="D133" s="67">
        <v>57</v>
      </c>
      <c r="E133" s="67">
        <v>15</v>
      </c>
      <c r="F133" s="110"/>
      <c r="G133" s="111"/>
    </row>
    <row r="134" spans="1:8" x14ac:dyDescent="0.25">
      <c r="A134" s="65">
        <v>30171</v>
      </c>
      <c r="B134" s="66" t="s">
        <v>924</v>
      </c>
      <c r="C134" s="6" t="s">
        <v>1403</v>
      </c>
      <c r="D134" s="67">
        <v>76</v>
      </c>
      <c r="E134" s="67">
        <v>9</v>
      </c>
      <c r="F134" s="110" t="s">
        <v>1434</v>
      </c>
      <c r="G134" s="111">
        <v>43896.301296296297</v>
      </c>
    </row>
    <row r="135" spans="1:8" x14ac:dyDescent="0.25">
      <c r="A135" s="65">
        <v>30658</v>
      </c>
      <c r="B135" s="66" t="s">
        <v>1229</v>
      </c>
      <c r="C135" s="6" t="s">
        <v>1397</v>
      </c>
      <c r="D135" s="67">
        <v>61</v>
      </c>
      <c r="E135" s="67">
        <v>15</v>
      </c>
      <c r="F135" s="110" t="s">
        <v>1434</v>
      </c>
      <c r="G135" s="111">
        <v>43671.424050925925</v>
      </c>
    </row>
    <row r="136" spans="1:8" x14ac:dyDescent="0.25">
      <c r="A136" s="65">
        <v>30772</v>
      </c>
      <c r="B136" s="66" t="s">
        <v>1035</v>
      </c>
      <c r="C136" s="6" t="s">
        <v>1397</v>
      </c>
      <c r="D136" s="67">
        <v>72</v>
      </c>
      <c r="E136" s="67">
        <v>5</v>
      </c>
      <c r="F136" s="110"/>
      <c r="G136" s="111"/>
    </row>
    <row r="137" spans="1:8" x14ac:dyDescent="0.25">
      <c r="A137" s="65">
        <v>31321</v>
      </c>
      <c r="B137" s="66" t="s">
        <v>52</v>
      </c>
      <c r="C137" s="6" t="s">
        <v>1413</v>
      </c>
      <c r="D137" s="67">
        <v>55</v>
      </c>
      <c r="E137" s="67">
        <v>19</v>
      </c>
      <c r="F137" s="110" t="s">
        <v>1462</v>
      </c>
      <c r="G137" s="111">
        <v>44104.394143518519</v>
      </c>
      <c r="H137">
        <v>140032</v>
      </c>
    </row>
    <row r="138" spans="1:8" x14ac:dyDescent="0.25">
      <c r="A138" s="65">
        <v>31427</v>
      </c>
      <c r="B138" s="66" t="s">
        <v>1230</v>
      </c>
      <c r="C138" s="6" t="s">
        <v>1397</v>
      </c>
      <c r="D138" s="67">
        <v>52</v>
      </c>
      <c r="E138" s="67">
        <v>7</v>
      </c>
      <c r="F138" s="110"/>
      <c r="G138" s="111"/>
    </row>
    <row r="139" spans="1:8" x14ac:dyDescent="0.25">
      <c r="A139" s="65">
        <v>31428</v>
      </c>
      <c r="B139" s="66" t="s">
        <v>1231</v>
      </c>
      <c r="C139" s="6" t="s">
        <v>1397</v>
      </c>
      <c r="D139" s="67">
        <v>52</v>
      </c>
      <c r="E139" s="67">
        <v>7</v>
      </c>
      <c r="F139" s="110"/>
      <c r="G139" s="111"/>
    </row>
    <row r="140" spans="1:8" x14ac:dyDescent="0.25">
      <c r="A140" s="65">
        <v>32487</v>
      </c>
      <c r="B140" s="66" t="s">
        <v>923</v>
      </c>
      <c r="C140" s="6" t="s">
        <v>1419</v>
      </c>
      <c r="D140" s="67">
        <v>76</v>
      </c>
      <c r="E140" s="67">
        <v>9</v>
      </c>
      <c r="F140" s="110" t="s">
        <v>1434</v>
      </c>
      <c r="G140" s="111">
        <v>43896.301296296297</v>
      </c>
    </row>
    <row r="141" spans="1:8" x14ac:dyDescent="0.25">
      <c r="A141" s="65">
        <v>32648</v>
      </c>
      <c r="B141" s="66" t="s">
        <v>997</v>
      </c>
      <c r="C141" s="6" t="s">
        <v>1408</v>
      </c>
      <c r="D141" s="67">
        <v>67</v>
      </c>
      <c r="E141" s="67">
        <v>14</v>
      </c>
      <c r="F141" s="110"/>
      <c r="G141" s="111"/>
    </row>
    <row r="142" spans="1:8" x14ac:dyDescent="0.25">
      <c r="A142" s="65">
        <v>32752</v>
      </c>
      <c r="B142" s="66" t="s">
        <v>1232</v>
      </c>
      <c r="C142" s="6" t="s">
        <v>1405</v>
      </c>
      <c r="D142" s="67">
        <v>67</v>
      </c>
      <c r="E142" s="67">
        <v>6</v>
      </c>
      <c r="F142" s="110"/>
      <c r="G142" s="111"/>
    </row>
    <row r="143" spans="1:8" x14ac:dyDescent="0.25">
      <c r="A143" s="65">
        <v>32759</v>
      </c>
      <c r="B143" s="66" t="s">
        <v>1124</v>
      </c>
      <c r="C143" s="6" t="s">
        <v>1405</v>
      </c>
      <c r="D143" s="67">
        <v>67</v>
      </c>
      <c r="E143" s="67">
        <v>6</v>
      </c>
      <c r="F143" s="110"/>
      <c r="G143" s="111"/>
    </row>
    <row r="144" spans="1:8" x14ac:dyDescent="0.25">
      <c r="A144" s="65">
        <v>32761</v>
      </c>
      <c r="B144" s="66" t="s">
        <v>1233</v>
      </c>
      <c r="C144" s="6" t="s">
        <v>1405</v>
      </c>
      <c r="D144" s="67">
        <v>67</v>
      </c>
      <c r="E144" s="67">
        <v>6</v>
      </c>
      <c r="F144" s="110"/>
      <c r="G144" s="111"/>
    </row>
    <row r="145" spans="1:8" x14ac:dyDescent="0.25">
      <c r="A145" s="65">
        <v>34405</v>
      </c>
      <c r="B145" s="66" t="s">
        <v>1234</v>
      </c>
      <c r="C145" s="6" t="s">
        <v>1397</v>
      </c>
      <c r="D145" s="67">
        <v>84</v>
      </c>
      <c r="E145" s="67">
        <v>1</v>
      </c>
      <c r="F145" s="110"/>
      <c r="G145" s="111"/>
    </row>
    <row r="146" spans="1:8" x14ac:dyDescent="0.25">
      <c r="A146" s="65">
        <v>35238</v>
      </c>
      <c r="B146" s="66" t="s">
        <v>470</v>
      </c>
      <c r="C146" s="6" t="s">
        <v>1397</v>
      </c>
      <c r="D146" s="67">
        <v>54</v>
      </c>
      <c r="E146" s="67">
        <v>4</v>
      </c>
      <c r="F146" s="110" t="s">
        <v>1434</v>
      </c>
      <c r="G146" s="111">
        <v>43875.456620370373</v>
      </c>
    </row>
    <row r="147" spans="1:8" x14ac:dyDescent="0.25">
      <c r="A147" s="65">
        <v>35331</v>
      </c>
      <c r="B147" s="66" t="s">
        <v>600</v>
      </c>
      <c r="C147" s="6" t="s">
        <v>1412</v>
      </c>
      <c r="D147" s="67">
        <v>54</v>
      </c>
      <c r="E147" s="67">
        <v>4</v>
      </c>
      <c r="F147" s="110" t="s">
        <v>1434</v>
      </c>
      <c r="G147" s="111">
        <v>43999.45821759259</v>
      </c>
    </row>
    <row r="148" spans="1:8" x14ac:dyDescent="0.25">
      <c r="A148" s="65">
        <v>35359</v>
      </c>
      <c r="B148" s="66" t="s">
        <v>1235</v>
      </c>
      <c r="C148" s="6" t="s">
        <v>1412</v>
      </c>
      <c r="D148" s="67">
        <v>54</v>
      </c>
      <c r="E148" s="67">
        <v>4</v>
      </c>
      <c r="F148" s="110" t="s">
        <v>1434</v>
      </c>
      <c r="G148" s="111">
        <v>43720.378981481481</v>
      </c>
      <c r="H148">
        <v>137799</v>
      </c>
    </row>
    <row r="149" spans="1:8" x14ac:dyDescent="0.25">
      <c r="A149" s="65">
        <v>36011</v>
      </c>
      <c r="B149" s="66" t="s">
        <v>925</v>
      </c>
      <c r="C149" s="6" t="s">
        <v>1403</v>
      </c>
      <c r="D149" s="67">
        <v>76</v>
      </c>
      <c r="E149" s="67">
        <v>9</v>
      </c>
      <c r="F149" s="110" t="s">
        <v>1434</v>
      </c>
      <c r="G149" s="111">
        <v>43896.301296296297</v>
      </c>
    </row>
    <row r="150" spans="1:8" x14ac:dyDescent="0.25">
      <c r="A150" s="65">
        <v>36033</v>
      </c>
      <c r="B150" s="66" t="s">
        <v>1236</v>
      </c>
      <c r="C150" s="6" t="s">
        <v>1413</v>
      </c>
      <c r="D150" s="67">
        <v>55</v>
      </c>
      <c r="E150" s="67">
        <v>19</v>
      </c>
      <c r="F150" s="110"/>
      <c r="G150" s="111"/>
    </row>
    <row r="151" spans="1:8" x14ac:dyDescent="0.25">
      <c r="A151" s="65">
        <v>36107</v>
      </c>
      <c r="B151" s="66" t="s">
        <v>1237</v>
      </c>
      <c r="C151" s="6" t="s">
        <v>1397</v>
      </c>
      <c r="D151" s="67">
        <v>74</v>
      </c>
      <c r="E151" s="67">
        <v>9</v>
      </c>
      <c r="F151" s="110"/>
      <c r="G151" s="111"/>
    </row>
    <row r="152" spans="1:8" x14ac:dyDescent="0.25">
      <c r="A152" s="65">
        <v>36400</v>
      </c>
      <c r="B152" s="66" t="s">
        <v>824</v>
      </c>
      <c r="C152" s="6" t="s">
        <v>1397</v>
      </c>
      <c r="D152" s="67">
        <v>89</v>
      </c>
      <c r="E152" s="67">
        <v>12</v>
      </c>
      <c r="F152" s="110" t="s">
        <v>1434</v>
      </c>
      <c r="G152" s="111">
        <v>43875.379710648151</v>
      </c>
    </row>
    <row r="153" spans="1:8" x14ac:dyDescent="0.25">
      <c r="A153" s="65">
        <v>37847</v>
      </c>
      <c r="B153" s="66" t="s">
        <v>1039</v>
      </c>
      <c r="F153" s="110"/>
      <c r="G153" s="111"/>
    </row>
    <row r="154" spans="1:8" x14ac:dyDescent="0.25">
      <c r="A154" s="65">
        <v>38079</v>
      </c>
      <c r="B154" s="66" t="s">
        <v>1238</v>
      </c>
      <c r="C154" s="6" t="s">
        <v>1397</v>
      </c>
      <c r="D154" s="67">
        <v>55</v>
      </c>
      <c r="E154" s="67">
        <v>46</v>
      </c>
      <c r="F154" s="110"/>
      <c r="G154" s="111"/>
    </row>
    <row r="155" spans="1:8" x14ac:dyDescent="0.25">
      <c r="A155" s="65">
        <v>39982</v>
      </c>
      <c r="B155" s="66" t="s">
        <v>1239</v>
      </c>
      <c r="C155" s="6" t="s">
        <v>1397</v>
      </c>
      <c r="D155" s="67">
        <v>84</v>
      </c>
      <c r="E155" s="67">
        <v>1</v>
      </c>
      <c r="F155" s="110"/>
      <c r="G155" s="111"/>
    </row>
    <row r="156" spans="1:8" x14ac:dyDescent="0.25">
      <c r="A156" s="65">
        <v>40685</v>
      </c>
      <c r="B156" s="66" t="s">
        <v>54</v>
      </c>
      <c r="C156" s="6" t="s">
        <v>1413</v>
      </c>
      <c r="D156" s="67">
        <v>55</v>
      </c>
      <c r="E156" s="67">
        <v>19</v>
      </c>
      <c r="F156" s="110" t="s">
        <v>1462</v>
      </c>
      <c r="G156" s="111">
        <v>44104.394143518519</v>
      </c>
      <c r="H156">
        <v>140038</v>
      </c>
    </row>
    <row r="157" spans="1:8" x14ac:dyDescent="0.25">
      <c r="A157" s="65">
        <v>40688</v>
      </c>
      <c r="B157" s="66" t="s">
        <v>1240</v>
      </c>
      <c r="C157" s="6" t="s">
        <v>1397</v>
      </c>
      <c r="D157" s="67">
        <v>67</v>
      </c>
      <c r="E157" s="67">
        <v>18</v>
      </c>
      <c r="F157" s="110"/>
      <c r="G157" s="111"/>
    </row>
    <row r="158" spans="1:8" x14ac:dyDescent="0.25">
      <c r="A158" s="65">
        <v>40689</v>
      </c>
      <c r="B158" s="66" t="s">
        <v>1241</v>
      </c>
      <c r="C158" s="6" t="s">
        <v>1397</v>
      </c>
      <c r="D158" s="67">
        <v>67</v>
      </c>
      <c r="E158" s="67">
        <v>18</v>
      </c>
      <c r="F158" s="110"/>
      <c r="G158" s="111"/>
    </row>
    <row r="159" spans="1:8" x14ac:dyDescent="0.25">
      <c r="A159" s="65">
        <v>42681</v>
      </c>
      <c r="B159" s="66" t="s">
        <v>469</v>
      </c>
      <c r="C159" s="6" t="s">
        <v>1397</v>
      </c>
      <c r="D159" s="67">
        <v>54</v>
      </c>
      <c r="E159" s="67">
        <v>4</v>
      </c>
      <c r="F159" s="110" t="s">
        <v>1434</v>
      </c>
      <c r="G159" s="111">
        <v>43875.456400462965</v>
      </c>
    </row>
    <row r="160" spans="1:8" x14ac:dyDescent="0.25">
      <c r="A160" s="65">
        <v>43648</v>
      </c>
      <c r="B160" s="66" t="s">
        <v>998</v>
      </c>
      <c r="C160" s="6" t="s">
        <v>1397</v>
      </c>
      <c r="D160" s="67">
        <v>55</v>
      </c>
      <c r="E160" s="67">
        <v>32</v>
      </c>
      <c r="F160" s="110"/>
      <c r="G160" s="111"/>
    </row>
    <row r="161" spans="1:7" x14ac:dyDescent="0.25">
      <c r="A161" s="65">
        <v>43794</v>
      </c>
      <c r="B161" s="66" t="s">
        <v>1242</v>
      </c>
      <c r="C161" s="6" t="s">
        <v>1397</v>
      </c>
      <c r="D161" s="67">
        <v>74</v>
      </c>
      <c r="E161" s="67">
        <v>8</v>
      </c>
      <c r="F161" s="110"/>
      <c r="G161" s="111"/>
    </row>
    <row r="162" spans="1:7" x14ac:dyDescent="0.25">
      <c r="A162" s="65">
        <v>45067</v>
      </c>
      <c r="B162" s="66" t="s">
        <v>1243</v>
      </c>
      <c r="C162" s="6" t="s">
        <v>1413</v>
      </c>
      <c r="D162" s="67">
        <v>55</v>
      </c>
      <c r="E162" s="67">
        <v>19</v>
      </c>
      <c r="F162" s="110"/>
      <c r="G162" s="111"/>
    </row>
    <row r="163" spans="1:7" x14ac:dyDescent="0.25">
      <c r="A163" s="65">
        <v>45111</v>
      </c>
      <c r="B163" s="66" t="s">
        <v>1244</v>
      </c>
      <c r="C163" s="6" t="s">
        <v>1397</v>
      </c>
      <c r="D163" s="67">
        <v>84</v>
      </c>
      <c r="E163" s="67">
        <v>1</v>
      </c>
      <c r="F163" s="110"/>
      <c r="G163" s="111"/>
    </row>
    <row r="164" spans="1:7" x14ac:dyDescent="0.25">
      <c r="A164" s="65">
        <v>45195</v>
      </c>
      <c r="B164" s="66" t="s">
        <v>1138</v>
      </c>
      <c r="C164" s="6" t="s">
        <v>1404</v>
      </c>
      <c r="D164" s="67">
        <v>51</v>
      </c>
      <c r="E164" s="67">
        <v>11</v>
      </c>
      <c r="F164" s="110"/>
      <c r="G164" s="111"/>
    </row>
    <row r="165" spans="1:7" x14ac:dyDescent="0.25">
      <c r="A165" s="65">
        <v>45651</v>
      </c>
      <c r="B165" s="66" t="s">
        <v>1068</v>
      </c>
      <c r="C165" s="6" t="s">
        <v>1397</v>
      </c>
      <c r="D165" s="67">
        <v>67</v>
      </c>
      <c r="E165" s="67">
        <v>1</v>
      </c>
      <c r="F165" s="110"/>
      <c r="G165" s="111"/>
    </row>
    <row r="166" spans="1:7" x14ac:dyDescent="0.25">
      <c r="A166" s="65">
        <v>48178</v>
      </c>
      <c r="B166" s="66" t="s">
        <v>1014</v>
      </c>
      <c r="C166" s="6" t="s">
        <v>1397</v>
      </c>
      <c r="D166" s="67">
        <v>74</v>
      </c>
      <c r="E166" s="67">
        <v>8</v>
      </c>
      <c r="F166" s="110"/>
      <c r="G166" s="111"/>
    </row>
    <row r="167" spans="1:7" x14ac:dyDescent="0.25">
      <c r="A167" s="65">
        <v>48714</v>
      </c>
      <c r="B167" s="66" t="s">
        <v>1041</v>
      </c>
      <c r="C167" s="6" t="s">
        <v>1397</v>
      </c>
      <c r="D167" s="67">
        <v>83</v>
      </c>
      <c r="E167" s="67">
        <v>10</v>
      </c>
      <c r="F167" s="110"/>
      <c r="G167" s="111"/>
    </row>
    <row r="168" spans="1:7" x14ac:dyDescent="0.25">
      <c r="A168" s="65">
        <v>49099</v>
      </c>
      <c r="B168" s="66" t="s">
        <v>1120</v>
      </c>
      <c r="C168" s="6" t="s">
        <v>1405</v>
      </c>
      <c r="D168" s="67">
        <v>67</v>
      </c>
      <c r="E168" s="67">
        <v>6</v>
      </c>
      <c r="F168" s="110"/>
      <c r="G168" s="111"/>
    </row>
    <row r="169" spans="1:7" x14ac:dyDescent="0.25">
      <c r="A169" s="65">
        <v>49184</v>
      </c>
      <c r="B169" s="66" t="s">
        <v>1245</v>
      </c>
      <c r="C169" s="6" t="s">
        <v>1397</v>
      </c>
      <c r="D169" s="67">
        <v>52</v>
      </c>
      <c r="E169" s="67">
        <v>8</v>
      </c>
      <c r="F169" s="110"/>
      <c r="G169" s="111"/>
    </row>
    <row r="170" spans="1:7" x14ac:dyDescent="0.25">
      <c r="A170" s="65">
        <v>49188</v>
      </c>
      <c r="B170" s="66" t="s">
        <v>1246</v>
      </c>
      <c r="C170" s="6" t="s">
        <v>1397</v>
      </c>
      <c r="D170" s="67">
        <v>52</v>
      </c>
      <c r="E170" s="67">
        <v>7</v>
      </c>
      <c r="F170" s="110"/>
      <c r="G170" s="111"/>
    </row>
    <row r="171" spans="1:7" x14ac:dyDescent="0.25">
      <c r="A171" s="65">
        <v>49864</v>
      </c>
      <c r="B171" s="66" t="s">
        <v>1247</v>
      </c>
      <c r="C171" s="6" t="s">
        <v>1397</v>
      </c>
      <c r="D171" s="67">
        <v>73</v>
      </c>
      <c r="E171" s="67">
        <v>4</v>
      </c>
      <c r="F171" s="110"/>
      <c r="G171" s="111"/>
    </row>
    <row r="172" spans="1:7" x14ac:dyDescent="0.25">
      <c r="A172" s="65">
        <v>49866</v>
      </c>
      <c r="B172" s="66" t="s">
        <v>1073</v>
      </c>
      <c r="C172" s="6" t="s">
        <v>1397</v>
      </c>
      <c r="D172" s="67">
        <v>55</v>
      </c>
      <c r="E172" s="67">
        <v>57</v>
      </c>
      <c r="F172" s="110"/>
      <c r="G172" s="111"/>
    </row>
    <row r="173" spans="1:7" x14ac:dyDescent="0.25">
      <c r="A173" s="65">
        <v>49867</v>
      </c>
      <c r="B173" s="66" t="s">
        <v>1131</v>
      </c>
      <c r="C173" s="6" t="s">
        <v>1397</v>
      </c>
      <c r="D173" s="67">
        <v>55</v>
      </c>
      <c r="E173" s="67">
        <v>55</v>
      </c>
      <c r="F173" s="110"/>
      <c r="G173" s="111"/>
    </row>
    <row r="174" spans="1:7" x14ac:dyDescent="0.25">
      <c r="A174" s="65">
        <v>49984</v>
      </c>
      <c r="B174" s="66" t="s">
        <v>1248</v>
      </c>
      <c r="C174" s="6" t="s">
        <v>1397</v>
      </c>
      <c r="D174" s="67">
        <v>52</v>
      </c>
      <c r="E174" s="67">
        <v>7</v>
      </c>
      <c r="F174" s="110"/>
      <c r="G174" s="111"/>
    </row>
    <row r="175" spans="1:7" x14ac:dyDescent="0.25">
      <c r="A175" s="65">
        <v>49988</v>
      </c>
      <c r="B175" s="66" t="s">
        <v>1248</v>
      </c>
      <c r="C175" s="6" t="s">
        <v>1397</v>
      </c>
      <c r="D175" s="67">
        <v>52</v>
      </c>
      <c r="E175" s="67">
        <v>7</v>
      </c>
      <c r="F175" s="110"/>
      <c r="G175" s="111"/>
    </row>
    <row r="176" spans="1:7" x14ac:dyDescent="0.25">
      <c r="A176" s="65">
        <v>50294</v>
      </c>
      <c r="B176" s="66" t="s">
        <v>1085</v>
      </c>
      <c r="C176" s="6" t="s">
        <v>1397</v>
      </c>
      <c r="D176" s="67">
        <v>61</v>
      </c>
      <c r="E176" s="67">
        <v>8</v>
      </c>
      <c r="F176" s="110"/>
      <c r="G176" s="111"/>
    </row>
    <row r="177" spans="1:8" x14ac:dyDescent="0.25">
      <c r="A177" s="65">
        <v>50476</v>
      </c>
      <c r="B177" s="66" t="s">
        <v>1163</v>
      </c>
      <c r="C177" s="6" t="s">
        <v>1397</v>
      </c>
      <c r="D177" s="67">
        <v>51</v>
      </c>
      <c r="E177" s="67">
        <v>17</v>
      </c>
      <c r="F177" s="110"/>
      <c r="G177" s="111"/>
    </row>
    <row r="178" spans="1:8" x14ac:dyDescent="0.25">
      <c r="A178" s="65">
        <v>51013</v>
      </c>
      <c r="B178" s="66" t="s">
        <v>1249</v>
      </c>
      <c r="C178" s="6" t="s">
        <v>1403</v>
      </c>
      <c r="D178" s="67">
        <v>76</v>
      </c>
      <c r="E178" s="67">
        <v>10</v>
      </c>
      <c r="F178" s="110" t="s">
        <v>1434</v>
      </c>
      <c r="G178" s="111" t="s">
        <v>1469</v>
      </c>
    </row>
    <row r="179" spans="1:8" x14ac:dyDescent="0.25">
      <c r="A179" s="65">
        <v>51223</v>
      </c>
      <c r="B179" s="66" t="s">
        <v>1080</v>
      </c>
      <c r="C179" s="6" t="s">
        <v>1397</v>
      </c>
      <c r="D179" s="67">
        <v>55</v>
      </c>
      <c r="E179" s="67">
        <v>49</v>
      </c>
      <c r="F179" s="110"/>
      <c r="G179" s="111"/>
    </row>
    <row r="180" spans="1:8" x14ac:dyDescent="0.25">
      <c r="A180" s="65">
        <v>51337</v>
      </c>
      <c r="B180" s="66" t="s">
        <v>1250</v>
      </c>
      <c r="C180" s="6" t="s">
        <v>1397</v>
      </c>
      <c r="D180" s="67">
        <v>74</v>
      </c>
      <c r="E180" s="67">
        <v>10</v>
      </c>
      <c r="F180" s="110"/>
      <c r="G180" s="111"/>
    </row>
    <row r="181" spans="1:8" x14ac:dyDescent="0.25">
      <c r="A181" s="65">
        <v>52995</v>
      </c>
      <c r="B181" s="66" t="s">
        <v>1160</v>
      </c>
      <c r="C181" s="6" t="s">
        <v>1397</v>
      </c>
      <c r="D181" s="67">
        <v>61</v>
      </c>
      <c r="E181" s="67">
        <v>8</v>
      </c>
      <c r="F181" s="110"/>
      <c r="G181" s="111"/>
    </row>
    <row r="182" spans="1:8" x14ac:dyDescent="0.25">
      <c r="A182" s="65">
        <v>53016</v>
      </c>
      <c r="B182" s="66" t="s">
        <v>1251</v>
      </c>
      <c r="C182" s="6" t="s">
        <v>1421</v>
      </c>
      <c r="D182" s="67">
        <v>74</v>
      </c>
      <c r="E182" s="67">
        <v>10</v>
      </c>
      <c r="F182" s="110"/>
      <c r="G182" s="111"/>
    </row>
    <row r="183" spans="1:8" x14ac:dyDescent="0.25">
      <c r="A183" s="65">
        <v>53810</v>
      </c>
      <c r="B183" s="66" t="s">
        <v>1125</v>
      </c>
      <c r="C183" s="6" t="s">
        <v>1405</v>
      </c>
      <c r="D183" s="67">
        <v>67</v>
      </c>
      <c r="E183" s="67">
        <v>6</v>
      </c>
      <c r="F183" s="110"/>
      <c r="G183" s="111"/>
    </row>
    <row r="184" spans="1:8" x14ac:dyDescent="0.25">
      <c r="A184" s="65">
        <v>53928</v>
      </c>
      <c r="B184" s="66" t="s">
        <v>1252</v>
      </c>
      <c r="C184" s="6" t="s">
        <v>1397</v>
      </c>
      <c r="D184" s="67">
        <v>51</v>
      </c>
      <c r="E184" s="67">
        <v>30</v>
      </c>
      <c r="F184" s="110"/>
      <c r="G184" s="111"/>
    </row>
    <row r="185" spans="1:8" x14ac:dyDescent="0.25">
      <c r="A185" s="65">
        <v>54668</v>
      </c>
      <c r="B185" s="66" t="s">
        <v>922</v>
      </c>
      <c r="C185" s="6" t="s">
        <v>1403</v>
      </c>
      <c r="D185" s="67">
        <v>76</v>
      </c>
      <c r="E185" s="67">
        <v>9</v>
      </c>
      <c r="F185" s="110" t="s">
        <v>1434</v>
      </c>
      <c r="G185" s="111">
        <v>43896.300358796296</v>
      </c>
    </row>
    <row r="186" spans="1:8" x14ac:dyDescent="0.25">
      <c r="A186" s="65">
        <v>54969</v>
      </c>
      <c r="B186" s="66" t="s">
        <v>1158</v>
      </c>
      <c r="C186" s="6" t="s">
        <v>1397</v>
      </c>
      <c r="D186" s="67">
        <v>61</v>
      </c>
      <c r="E186" s="67">
        <v>8</v>
      </c>
      <c r="F186" s="110"/>
      <c r="G186" s="111"/>
    </row>
    <row r="187" spans="1:8" x14ac:dyDescent="0.25">
      <c r="A187" s="65">
        <v>57444</v>
      </c>
      <c r="B187" s="66" t="s">
        <v>1253</v>
      </c>
      <c r="C187" s="6" t="s">
        <v>1400</v>
      </c>
      <c r="D187" s="67">
        <v>76</v>
      </c>
      <c r="E187" s="67">
        <v>6</v>
      </c>
      <c r="F187" s="110" t="s">
        <v>1434</v>
      </c>
      <c r="G187" s="111" t="s">
        <v>1470</v>
      </c>
    </row>
    <row r="188" spans="1:8" x14ac:dyDescent="0.25">
      <c r="A188" s="65">
        <v>57895</v>
      </c>
      <c r="B188" s="66" t="s">
        <v>1254</v>
      </c>
      <c r="C188" s="6" t="s">
        <v>1397</v>
      </c>
      <c r="D188" s="67">
        <v>51</v>
      </c>
      <c r="E188" s="67">
        <v>11</v>
      </c>
      <c r="F188" s="110"/>
      <c r="G188" s="111"/>
    </row>
    <row r="189" spans="1:8" x14ac:dyDescent="0.25">
      <c r="A189" s="65">
        <v>58117</v>
      </c>
      <c r="B189" s="66" t="s">
        <v>250</v>
      </c>
      <c r="C189" s="6" t="s">
        <v>1397</v>
      </c>
      <c r="D189" s="67">
        <v>70</v>
      </c>
      <c r="E189" s="67">
        <v>38</v>
      </c>
      <c r="F189" s="110" t="s">
        <v>1462</v>
      </c>
      <c r="G189" s="111">
        <v>44313.495532407411</v>
      </c>
    </row>
    <row r="190" spans="1:8" x14ac:dyDescent="0.25">
      <c r="A190" s="65">
        <v>58647</v>
      </c>
      <c r="B190" s="66" t="s">
        <v>1255</v>
      </c>
      <c r="C190" s="6" t="s">
        <v>1413</v>
      </c>
      <c r="D190" s="67">
        <v>51</v>
      </c>
      <c r="E190" s="67">
        <v>30</v>
      </c>
      <c r="F190" s="110" t="s">
        <v>1434</v>
      </c>
      <c r="G190" s="111">
        <v>43720.441446759258</v>
      </c>
      <c r="H190">
        <v>64044</v>
      </c>
    </row>
    <row r="191" spans="1:8" x14ac:dyDescent="0.25">
      <c r="A191" s="65">
        <v>58792</v>
      </c>
      <c r="B191" s="66" t="s">
        <v>579</v>
      </c>
      <c r="C191" s="6" t="s">
        <v>1404</v>
      </c>
      <c r="D191" s="67">
        <v>72</v>
      </c>
      <c r="E191" s="67">
        <v>6</v>
      </c>
      <c r="F191" s="110" t="s">
        <v>1462</v>
      </c>
      <c r="G191" s="111">
        <v>44267.707777777781</v>
      </c>
    </row>
    <row r="192" spans="1:8" x14ac:dyDescent="0.25">
      <c r="A192" s="65">
        <v>58977</v>
      </c>
      <c r="B192" s="66" t="s">
        <v>1115</v>
      </c>
      <c r="C192" s="6" t="s">
        <v>1397</v>
      </c>
      <c r="D192" s="67">
        <v>51</v>
      </c>
      <c r="E192" s="67">
        <v>37</v>
      </c>
      <c r="F192" s="110" t="s">
        <v>1434</v>
      </c>
      <c r="G192" s="111">
        <v>43656.484259259261</v>
      </c>
    </row>
    <row r="193" spans="1:8" x14ac:dyDescent="0.25">
      <c r="A193" s="65">
        <v>58989</v>
      </c>
      <c r="B193" s="66" t="s">
        <v>1256</v>
      </c>
      <c r="F193" s="110" t="s">
        <v>1462</v>
      </c>
      <c r="G193" s="111">
        <v>43732.617048611108</v>
      </c>
    </row>
    <row r="194" spans="1:8" x14ac:dyDescent="0.25">
      <c r="A194" s="65">
        <v>60108</v>
      </c>
      <c r="B194" s="66" t="s">
        <v>1051</v>
      </c>
      <c r="C194" s="6" t="s">
        <v>1404</v>
      </c>
      <c r="D194" s="67">
        <v>52</v>
      </c>
      <c r="E194" s="67">
        <v>13</v>
      </c>
      <c r="F194" s="110"/>
      <c r="G194" s="111"/>
    </row>
    <row r="195" spans="1:8" x14ac:dyDescent="0.25">
      <c r="A195" s="65">
        <v>60110</v>
      </c>
      <c r="B195" s="66" t="s">
        <v>1129</v>
      </c>
      <c r="C195" s="6" t="s">
        <v>1404</v>
      </c>
      <c r="D195" s="67">
        <v>52</v>
      </c>
      <c r="E195" s="67">
        <v>10</v>
      </c>
      <c r="F195" s="110"/>
      <c r="G195" s="111"/>
    </row>
    <row r="196" spans="1:8" x14ac:dyDescent="0.25">
      <c r="A196" s="65">
        <v>60854</v>
      </c>
      <c r="B196" s="66" t="s">
        <v>1019</v>
      </c>
      <c r="C196" s="6" t="s">
        <v>1397</v>
      </c>
      <c r="D196" s="67">
        <v>55</v>
      </c>
      <c r="E196" s="67">
        <v>32</v>
      </c>
      <c r="F196" s="110"/>
      <c r="G196" s="111"/>
    </row>
    <row r="197" spans="1:8" x14ac:dyDescent="0.25">
      <c r="A197" s="65">
        <v>61167</v>
      </c>
      <c r="B197" s="66" t="s">
        <v>1168</v>
      </c>
      <c r="C197" s="6" t="s">
        <v>1419</v>
      </c>
      <c r="D197" s="67">
        <v>76</v>
      </c>
      <c r="E197" s="67">
        <v>3</v>
      </c>
      <c r="F197" s="110"/>
      <c r="G197" s="111"/>
    </row>
    <row r="198" spans="1:8" x14ac:dyDescent="0.25">
      <c r="A198" s="65">
        <v>62365</v>
      </c>
      <c r="B198" s="66" t="s">
        <v>1257</v>
      </c>
      <c r="C198" s="6" t="s">
        <v>1397</v>
      </c>
      <c r="D198" s="67">
        <v>52</v>
      </c>
      <c r="E198" s="67">
        <v>8</v>
      </c>
      <c r="F198" s="110"/>
      <c r="G198" s="111"/>
    </row>
    <row r="199" spans="1:8" x14ac:dyDescent="0.25">
      <c r="A199" s="65">
        <v>62625</v>
      </c>
      <c r="B199" s="66" t="s">
        <v>1132</v>
      </c>
      <c r="F199" s="110"/>
      <c r="G199" s="111"/>
    </row>
    <row r="200" spans="1:8" x14ac:dyDescent="0.25">
      <c r="A200" s="65">
        <v>63383</v>
      </c>
      <c r="B200" s="66" t="s">
        <v>1258</v>
      </c>
      <c r="C200" s="6" t="s">
        <v>1404</v>
      </c>
      <c r="D200" s="67">
        <v>52</v>
      </c>
      <c r="E200" s="67">
        <v>9</v>
      </c>
      <c r="F200" s="110"/>
      <c r="G200" s="111"/>
    </row>
    <row r="201" spans="1:8" x14ac:dyDescent="0.25">
      <c r="A201" s="65">
        <v>63384</v>
      </c>
      <c r="B201" s="66" t="s">
        <v>1259</v>
      </c>
      <c r="C201" s="6" t="s">
        <v>1397</v>
      </c>
      <c r="D201" s="67">
        <v>52</v>
      </c>
      <c r="E201" s="67">
        <v>5</v>
      </c>
      <c r="F201" s="110"/>
      <c r="G201" s="111"/>
    </row>
    <row r="202" spans="1:8" x14ac:dyDescent="0.25">
      <c r="A202" s="65">
        <v>64302</v>
      </c>
      <c r="B202" s="66" t="s">
        <v>210</v>
      </c>
      <c r="C202" s="6" t="s">
        <v>1413</v>
      </c>
      <c r="D202" s="67">
        <v>55</v>
      </c>
      <c r="E202" s="67">
        <v>19</v>
      </c>
      <c r="F202" s="110" t="s">
        <v>1462</v>
      </c>
      <c r="G202" s="111">
        <v>44104.394143518519</v>
      </c>
      <c r="H202">
        <v>140036</v>
      </c>
    </row>
    <row r="203" spans="1:8" x14ac:dyDescent="0.25">
      <c r="A203" s="65">
        <v>64460</v>
      </c>
      <c r="B203" s="66" t="s">
        <v>1113</v>
      </c>
      <c r="C203" s="6" t="s">
        <v>1397</v>
      </c>
      <c r="D203" s="67">
        <v>67</v>
      </c>
      <c r="E203" s="67">
        <v>4</v>
      </c>
      <c r="F203" s="110"/>
      <c r="G203" s="111"/>
    </row>
    <row r="204" spans="1:8" x14ac:dyDescent="0.25">
      <c r="A204" s="65">
        <v>64461</v>
      </c>
      <c r="B204" s="66" t="s">
        <v>1112</v>
      </c>
      <c r="C204" s="6" t="s">
        <v>1397</v>
      </c>
      <c r="D204" s="67">
        <v>67</v>
      </c>
      <c r="E204" s="67">
        <v>4</v>
      </c>
      <c r="F204" s="110"/>
      <c r="G204" s="111"/>
    </row>
    <row r="205" spans="1:8" x14ac:dyDescent="0.25">
      <c r="A205" s="65">
        <v>64463</v>
      </c>
      <c r="B205" s="66" t="s">
        <v>1110</v>
      </c>
      <c r="C205" s="6" t="s">
        <v>1397</v>
      </c>
      <c r="D205" s="67">
        <v>67</v>
      </c>
      <c r="E205" s="67">
        <v>4</v>
      </c>
      <c r="F205" s="110"/>
      <c r="G205" s="111"/>
    </row>
    <row r="206" spans="1:8" x14ac:dyDescent="0.25">
      <c r="A206" s="65">
        <v>64606</v>
      </c>
      <c r="B206" s="66" t="s">
        <v>1260</v>
      </c>
      <c r="C206" s="6" t="s">
        <v>1409</v>
      </c>
      <c r="D206" s="67">
        <v>69</v>
      </c>
      <c r="E206" s="67">
        <v>8</v>
      </c>
      <c r="F206" s="110"/>
      <c r="G206" s="111"/>
    </row>
    <row r="207" spans="1:8" x14ac:dyDescent="0.25">
      <c r="A207" s="65">
        <v>64608</v>
      </c>
      <c r="B207" s="66" t="s">
        <v>1261</v>
      </c>
      <c r="C207" s="6" t="s">
        <v>1409</v>
      </c>
      <c r="D207" s="67">
        <v>69</v>
      </c>
      <c r="E207" s="67">
        <v>3</v>
      </c>
      <c r="F207" s="110"/>
      <c r="G207" s="111"/>
    </row>
    <row r="208" spans="1:8" x14ac:dyDescent="0.25">
      <c r="A208" s="65">
        <v>64630</v>
      </c>
      <c r="B208" s="66" t="s">
        <v>1527</v>
      </c>
      <c r="C208" s="6" t="s">
        <v>1397</v>
      </c>
      <c r="D208" s="67">
        <v>83</v>
      </c>
      <c r="E208" s="67">
        <v>5</v>
      </c>
      <c r="F208" s="110" t="s">
        <v>1462</v>
      </c>
      <c r="G208" s="111">
        <v>44113.417395833334</v>
      </c>
    </row>
    <row r="209" spans="1:8" x14ac:dyDescent="0.25">
      <c r="A209" s="65">
        <v>64631</v>
      </c>
      <c r="B209" s="66" t="s">
        <v>1078</v>
      </c>
      <c r="C209" s="6" t="s">
        <v>1397</v>
      </c>
      <c r="D209" s="67">
        <v>83</v>
      </c>
      <c r="E209" s="67">
        <v>5</v>
      </c>
      <c r="F209" s="110"/>
      <c r="G209" s="111"/>
    </row>
    <row r="210" spans="1:8" x14ac:dyDescent="0.25">
      <c r="A210" s="65">
        <v>64633</v>
      </c>
      <c r="B210" s="66" t="s">
        <v>1262</v>
      </c>
      <c r="C210" s="6" t="s">
        <v>1397</v>
      </c>
      <c r="D210" s="67">
        <v>83</v>
      </c>
      <c r="E210" s="67">
        <v>10</v>
      </c>
      <c r="F210" s="110"/>
      <c r="G210" s="111"/>
    </row>
    <row r="211" spans="1:8" x14ac:dyDescent="0.25">
      <c r="A211" s="65">
        <v>64818</v>
      </c>
      <c r="B211" s="66" t="s">
        <v>1146</v>
      </c>
      <c r="C211" s="6" t="s">
        <v>1397</v>
      </c>
      <c r="D211" s="67">
        <v>61</v>
      </c>
      <c r="E211" s="67">
        <v>11</v>
      </c>
      <c r="F211" s="110"/>
      <c r="G211" s="111"/>
    </row>
    <row r="212" spans="1:8" x14ac:dyDescent="0.25">
      <c r="A212" s="65">
        <v>64819</v>
      </c>
      <c r="B212" s="66" t="s">
        <v>1263</v>
      </c>
      <c r="C212" s="6" t="s">
        <v>1413</v>
      </c>
      <c r="D212" s="67">
        <v>51</v>
      </c>
      <c r="E212" s="67">
        <v>30</v>
      </c>
      <c r="F212" s="110" t="s">
        <v>1434</v>
      </c>
      <c r="G212" s="111">
        <v>43720.454328703701</v>
      </c>
      <c r="H212">
        <v>54680</v>
      </c>
    </row>
    <row r="213" spans="1:8" x14ac:dyDescent="0.25">
      <c r="A213" s="65">
        <v>64820</v>
      </c>
      <c r="B213" s="66" t="s">
        <v>1264</v>
      </c>
      <c r="C213" s="6" t="s">
        <v>1397</v>
      </c>
      <c r="D213" s="67">
        <v>51</v>
      </c>
      <c r="E213" s="67">
        <v>17</v>
      </c>
      <c r="F213" s="110"/>
      <c r="G213" s="111"/>
    </row>
    <row r="214" spans="1:8" x14ac:dyDescent="0.25">
      <c r="A214" s="65">
        <v>64821</v>
      </c>
      <c r="B214" s="66" t="s">
        <v>921</v>
      </c>
      <c r="C214" s="6" t="s">
        <v>1403</v>
      </c>
      <c r="D214" s="67">
        <v>76</v>
      </c>
      <c r="E214" s="67">
        <v>9</v>
      </c>
      <c r="F214" s="110" t="s">
        <v>1434</v>
      </c>
      <c r="G214" s="111">
        <v>43896.298993055556</v>
      </c>
    </row>
    <row r="215" spans="1:8" x14ac:dyDescent="0.25">
      <c r="A215" s="65">
        <v>64822</v>
      </c>
      <c r="B215" s="66" t="s">
        <v>58</v>
      </c>
      <c r="C215" s="6" t="s">
        <v>1403</v>
      </c>
      <c r="D215" s="67">
        <v>76</v>
      </c>
      <c r="E215" s="67">
        <v>9</v>
      </c>
      <c r="F215" s="110" t="s">
        <v>1462</v>
      </c>
      <c r="G215" s="111">
        <v>44376.365567129629</v>
      </c>
      <c r="H215">
        <v>141608</v>
      </c>
    </row>
    <row r="216" spans="1:8" x14ac:dyDescent="0.25">
      <c r="A216" s="65">
        <v>65609</v>
      </c>
      <c r="B216" s="66" t="s">
        <v>1030</v>
      </c>
      <c r="C216" s="6" t="s">
        <v>1397</v>
      </c>
      <c r="D216" s="67">
        <v>51</v>
      </c>
      <c r="E216" s="67">
        <v>17</v>
      </c>
      <c r="F216" s="110"/>
      <c r="G216" s="111"/>
    </row>
    <row r="217" spans="1:8" x14ac:dyDescent="0.25">
      <c r="A217" s="65">
        <v>65610</v>
      </c>
      <c r="B217" s="66" t="s">
        <v>1029</v>
      </c>
      <c r="C217" s="6" t="s">
        <v>1397</v>
      </c>
      <c r="D217" s="67">
        <v>51</v>
      </c>
      <c r="E217" s="67">
        <v>17</v>
      </c>
      <c r="F217" s="110"/>
      <c r="G217" s="111"/>
    </row>
    <row r="218" spans="1:8" x14ac:dyDescent="0.25">
      <c r="A218" s="65">
        <v>65748</v>
      </c>
      <c r="B218" s="66" t="s">
        <v>59</v>
      </c>
      <c r="C218" s="6" t="s">
        <v>1413</v>
      </c>
      <c r="D218" s="67">
        <v>55</v>
      </c>
      <c r="E218" s="67">
        <v>19</v>
      </c>
      <c r="F218" s="110" t="s">
        <v>1462</v>
      </c>
      <c r="G218" s="111">
        <v>44104.394143518519</v>
      </c>
      <c r="H218">
        <v>140030</v>
      </c>
    </row>
    <row r="219" spans="1:8" x14ac:dyDescent="0.25">
      <c r="A219" s="65">
        <v>66786</v>
      </c>
      <c r="B219" s="66" t="s">
        <v>1141</v>
      </c>
      <c r="C219" s="6" t="s">
        <v>1427</v>
      </c>
      <c r="D219" s="67">
        <v>72</v>
      </c>
      <c r="E219" s="67">
        <v>9</v>
      </c>
      <c r="F219" s="110"/>
      <c r="G219" s="111"/>
    </row>
    <row r="220" spans="1:8" x14ac:dyDescent="0.25">
      <c r="A220" s="65">
        <v>67862</v>
      </c>
      <c r="B220" s="66" t="s">
        <v>1265</v>
      </c>
      <c r="C220" s="6" t="s">
        <v>1397</v>
      </c>
      <c r="D220" s="67">
        <v>78</v>
      </c>
      <c r="E220" s="67">
        <v>6</v>
      </c>
      <c r="F220" s="110"/>
      <c r="G220" s="111"/>
    </row>
    <row r="221" spans="1:8" x14ac:dyDescent="0.25">
      <c r="A221" s="65">
        <v>67892</v>
      </c>
      <c r="B221" s="66" t="s">
        <v>1170</v>
      </c>
      <c r="C221" s="6" t="s">
        <v>1397</v>
      </c>
      <c r="D221" s="67">
        <v>69</v>
      </c>
      <c r="E221" s="67">
        <v>5</v>
      </c>
      <c r="F221" s="110"/>
      <c r="G221" s="111"/>
    </row>
    <row r="222" spans="1:8" x14ac:dyDescent="0.25">
      <c r="A222" s="65">
        <v>68351</v>
      </c>
      <c r="B222" s="66" t="s">
        <v>1143</v>
      </c>
      <c r="C222" s="6" t="s">
        <v>1397</v>
      </c>
      <c r="D222" s="67">
        <v>55</v>
      </c>
      <c r="E222" s="67">
        <v>5</v>
      </c>
      <c r="F222" s="110" t="s">
        <v>1434</v>
      </c>
      <c r="G222" s="111" t="s">
        <v>1471</v>
      </c>
    </row>
    <row r="223" spans="1:8" x14ac:dyDescent="0.25">
      <c r="A223" s="65">
        <v>69339</v>
      </c>
      <c r="B223" s="66" t="s">
        <v>1128</v>
      </c>
      <c r="C223" s="6" t="s">
        <v>1397</v>
      </c>
      <c r="D223" s="67">
        <v>54</v>
      </c>
      <c r="E223" s="67">
        <v>16</v>
      </c>
      <c r="F223" s="110" t="s">
        <v>1434</v>
      </c>
      <c r="G223" s="111" t="s">
        <v>1472</v>
      </c>
    </row>
    <row r="224" spans="1:8" x14ac:dyDescent="0.25">
      <c r="A224" s="65">
        <v>71053</v>
      </c>
      <c r="B224" s="66" t="s">
        <v>818</v>
      </c>
      <c r="C224" s="6" t="s">
        <v>1397</v>
      </c>
      <c r="D224" s="67">
        <v>54</v>
      </c>
      <c r="E224" s="67">
        <v>4</v>
      </c>
      <c r="F224" s="110" t="s">
        <v>1434</v>
      </c>
      <c r="G224" s="111">
        <v>43875.37903935185</v>
      </c>
    </row>
    <row r="225" spans="1:8" x14ac:dyDescent="0.25">
      <c r="A225" s="65">
        <v>71189</v>
      </c>
      <c r="B225" s="66" t="s">
        <v>1046</v>
      </c>
      <c r="C225" s="6" t="s">
        <v>1404</v>
      </c>
      <c r="D225" s="67">
        <v>51</v>
      </c>
      <c r="E225" s="67">
        <v>10</v>
      </c>
      <c r="F225" s="110" t="s">
        <v>1462</v>
      </c>
      <c r="G225" s="111">
        <v>43815.590601851851</v>
      </c>
    </row>
    <row r="226" spans="1:8" x14ac:dyDescent="0.25">
      <c r="A226" s="65">
        <v>71190</v>
      </c>
      <c r="B226" s="66" t="s">
        <v>1046</v>
      </c>
      <c r="C226" s="6" t="s">
        <v>1397</v>
      </c>
      <c r="D226" s="67">
        <v>51</v>
      </c>
      <c r="E226" s="67">
        <v>10</v>
      </c>
      <c r="F226" s="110" t="s">
        <v>1434</v>
      </c>
      <c r="G226" s="111" t="s">
        <v>1473</v>
      </c>
      <c r="H226">
        <v>136553</v>
      </c>
    </row>
    <row r="227" spans="1:8" x14ac:dyDescent="0.25">
      <c r="A227" s="65">
        <v>72052</v>
      </c>
      <c r="B227" s="66" t="s">
        <v>983</v>
      </c>
      <c r="C227" s="6" t="s">
        <v>1419</v>
      </c>
      <c r="D227" s="67">
        <v>76</v>
      </c>
      <c r="E227" s="67">
        <v>5</v>
      </c>
      <c r="F227" s="110" t="s">
        <v>1462</v>
      </c>
      <c r="G227" s="111">
        <v>44376.404398148145</v>
      </c>
      <c r="H227">
        <v>141270</v>
      </c>
    </row>
    <row r="228" spans="1:8" x14ac:dyDescent="0.25">
      <c r="A228" s="65">
        <v>72174</v>
      </c>
      <c r="B228" s="66" t="s">
        <v>581</v>
      </c>
      <c r="C228" s="6" t="s">
        <v>1404</v>
      </c>
      <c r="D228" s="67">
        <v>72</v>
      </c>
      <c r="E228" s="67">
        <v>6</v>
      </c>
      <c r="F228" s="110" t="s">
        <v>1462</v>
      </c>
      <c r="G228" s="111">
        <v>44267.707777777781</v>
      </c>
    </row>
    <row r="229" spans="1:8" x14ac:dyDescent="0.25">
      <c r="A229" s="65">
        <v>73020</v>
      </c>
      <c r="B229" s="66" t="s">
        <v>1266</v>
      </c>
      <c r="C229" s="6" t="s">
        <v>1397</v>
      </c>
      <c r="D229" s="67">
        <v>76</v>
      </c>
      <c r="E229" s="67">
        <v>11</v>
      </c>
      <c r="F229" s="110"/>
      <c r="G229" s="111"/>
    </row>
    <row r="230" spans="1:8" x14ac:dyDescent="0.25">
      <c r="A230" s="65">
        <v>74081</v>
      </c>
      <c r="B230" s="66" t="s">
        <v>580</v>
      </c>
      <c r="C230" s="6" t="s">
        <v>1397</v>
      </c>
      <c r="D230" s="67">
        <v>72</v>
      </c>
      <c r="E230" s="67">
        <v>6</v>
      </c>
      <c r="F230" s="110" t="s">
        <v>1462</v>
      </c>
      <c r="G230" s="111">
        <v>44267.707777777781</v>
      </c>
    </row>
    <row r="231" spans="1:8" x14ac:dyDescent="0.25">
      <c r="A231" s="65">
        <v>74124</v>
      </c>
      <c r="B231" s="66" t="s">
        <v>60</v>
      </c>
      <c r="C231" s="6" t="s">
        <v>1413</v>
      </c>
      <c r="D231" s="67">
        <v>55</v>
      </c>
      <c r="E231" s="67">
        <v>19</v>
      </c>
      <c r="F231" s="110" t="s">
        <v>1462</v>
      </c>
      <c r="G231" s="111">
        <v>44104.394143518519</v>
      </c>
      <c r="H231">
        <v>140028</v>
      </c>
    </row>
    <row r="232" spans="1:8" x14ac:dyDescent="0.25">
      <c r="A232" s="65">
        <v>74491</v>
      </c>
      <c r="B232" s="66" t="s">
        <v>1267</v>
      </c>
      <c r="C232" s="6" t="s">
        <v>1412</v>
      </c>
      <c r="D232" s="67">
        <v>78</v>
      </c>
      <c r="E232" s="67">
        <v>2</v>
      </c>
      <c r="F232" s="110"/>
      <c r="G232" s="111"/>
    </row>
    <row r="233" spans="1:8" x14ac:dyDescent="0.25">
      <c r="A233" s="65">
        <v>74492</v>
      </c>
      <c r="B233" s="66" t="s">
        <v>1268</v>
      </c>
      <c r="C233" s="6" t="s">
        <v>1412</v>
      </c>
      <c r="D233" s="67">
        <v>78</v>
      </c>
      <c r="E233" s="67">
        <v>2</v>
      </c>
      <c r="F233" s="110"/>
      <c r="G233" s="111"/>
    </row>
    <row r="234" spans="1:8" x14ac:dyDescent="0.25">
      <c r="A234" s="65">
        <v>75027</v>
      </c>
      <c r="B234" s="66" t="s">
        <v>1269</v>
      </c>
      <c r="C234" s="6" t="s">
        <v>1398</v>
      </c>
      <c r="D234" s="67">
        <v>65</v>
      </c>
      <c r="E234" s="67">
        <v>26</v>
      </c>
      <c r="F234" s="110"/>
      <c r="G234" s="111"/>
    </row>
    <row r="235" spans="1:8" x14ac:dyDescent="0.25">
      <c r="A235" s="65">
        <v>75915</v>
      </c>
      <c r="B235" s="66" t="s">
        <v>1137</v>
      </c>
      <c r="C235" s="6" t="s">
        <v>1397</v>
      </c>
      <c r="D235" s="67">
        <v>51</v>
      </c>
      <c r="E235" s="67">
        <v>37</v>
      </c>
      <c r="F235" s="110"/>
      <c r="G235" s="111"/>
    </row>
    <row r="236" spans="1:8" x14ac:dyDescent="0.25">
      <c r="A236" s="65">
        <v>76217</v>
      </c>
      <c r="B236" s="66" t="s">
        <v>1270</v>
      </c>
      <c r="C236" s="6" t="s">
        <v>1405</v>
      </c>
      <c r="D236" s="67">
        <v>69</v>
      </c>
      <c r="E236" s="67">
        <v>1</v>
      </c>
      <c r="F236" s="110" t="s">
        <v>1434</v>
      </c>
      <c r="G236" s="111">
        <v>43685.445659722223</v>
      </c>
    </row>
    <row r="237" spans="1:8" x14ac:dyDescent="0.25">
      <c r="A237" s="65">
        <v>76776</v>
      </c>
      <c r="B237" s="66" t="s">
        <v>64</v>
      </c>
      <c r="C237" s="6" t="s">
        <v>1413</v>
      </c>
      <c r="D237" s="67">
        <v>55</v>
      </c>
      <c r="E237" s="67">
        <v>19</v>
      </c>
      <c r="F237" s="110" t="s">
        <v>1462</v>
      </c>
      <c r="G237" s="111">
        <v>44104.394143518519</v>
      </c>
      <c r="H237">
        <v>140033</v>
      </c>
    </row>
    <row r="238" spans="1:8" x14ac:dyDescent="0.25">
      <c r="A238" s="65">
        <v>76777</v>
      </c>
      <c r="B238" s="66" t="s">
        <v>213</v>
      </c>
      <c r="C238" s="6" t="s">
        <v>1413</v>
      </c>
      <c r="D238" s="67">
        <v>55</v>
      </c>
      <c r="E238" s="67">
        <v>19</v>
      </c>
      <c r="F238" s="110" t="s">
        <v>1462</v>
      </c>
      <c r="G238" s="111">
        <v>44104.394143518519</v>
      </c>
      <c r="H238">
        <v>140042</v>
      </c>
    </row>
    <row r="239" spans="1:8" x14ac:dyDescent="0.25">
      <c r="A239" s="65">
        <v>76780</v>
      </c>
      <c r="B239" s="66" t="s">
        <v>215</v>
      </c>
      <c r="C239" s="6" t="s">
        <v>1413</v>
      </c>
      <c r="D239" s="67">
        <v>55</v>
      </c>
      <c r="E239" s="67">
        <v>19</v>
      </c>
      <c r="F239" s="110" t="s">
        <v>1462</v>
      </c>
      <c r="G239" s="111">
        <v>44104.394143518519</v>
      </c>
      <c r="H239">
        <v>140035</v>
      </c>
    </row>
    <row r="240" spans="1:8" x14ac:dyDescent="0.25">
      <c r="A240" s="65">
        <v>76781</v>
      </c>
      <c r="B240" s="66" t="s">
        <v>214</v>
      </c>
      <c r="C240" s="6" t="s">
        <v>1413</v>
      </c>
      <c r="D240" s="67">
        <v>55</v>
      </c>
      <c r="E240" s="67">
        <v>19</v>
      </c>
      <c r="F240" s="110" t="s">
        <v>1462</v>
      </c>
      <c r="G240" s="111">
        <v>44104.394143518519</v>
      </c>
      <c r="H240">
        <v>140043</v>
      </c>
    </row>
    <row r="241" spans="1:8" x14ac:dyDescent="0.25">
      <c r="A241" s="65">
        <v>77380</v>
      </c>
      <c r="B241" s="66" t="s">
        <v>582</v>
      </c>
      <c r="C241" s="6" t="s">
        <v>1397</v>
      </c>
      <c r="D241" s="67">
        <v>72</v>
      </c>
      <c r="E241" s="67">
        <v>6</v>
      </c>
      <c r="F241" s="110" t="s">
        <v>1462</v>
      </c>
      <c r="G241" s="111">
        <v>44267.707777777781</v>
      </c>
    </row>
    <row r="242" spans="1:8" x14ac:dyDescent="0.25">
      <c r="A242" s="65">
        <v>77553</v>
      </c>
      <c r="B242" s="66" t="s">
        <v>1271</v>
      </c>
      <c r="C242" s="6" t="s">
        <v>1397</v>
      </c>
      <c r="D242" s="67">
        <v>74</v>
      </c>
      <c r="E242" s="67">
        <v>3</v>
      </c>
      <c r="F242" s="110"/>
      <c r="G242" s="111"/>
    </row>
    <row r="243" spans="1:8" x14ac:dyDescent="0.25">
      <c r="A243" s="65">
        <v>77555</v>
      </c>
      <c r="B243" s="66" t="s">
        <v>1272</v>
      </c>
      <c r="C243" s="6" t="s">
        <v>1397</v>
      </c>
      <c r="D243" s="67">
        <v>74</v>
      </c>
      <c r="E243" s="67">
        <v>3</v>
      </c>
      <c r="F243" s="110"/>
      <c r="G243" s="111"/>
    </row>
    <row r="244" spans="1:8" x14ac:dyDescent="0.25">
      <c r="A244" s="65">
        <v>77992</v>
      </c>
      <c r="B244" s="66" t="s">
        <v>1088</v>
      </c>
      <c r="C244" s="6" t="s">
        <v>1398</v>
      </c>
      <c r="D244" s="67">
        <v>52</v>
      </c>
      <c r="E244" s="67">
        <v>15</v>
      </c>
      <c r="F244" s="110" t="s">
        <v>1462</v>
      </c>
      <c r="G244" s="111">
        <v>43649.450671296298</v>
      </c>
    </row>
    <row r="245" spans="1:8" x14ac:dyDescent="0.25">
      <c r="A245" s="65">
        <v>78025</v>
      </c>
      <c r="B245" s="66" t="s">
        <v>1273</v>
      </c>
      <c r="C245" s="6" t="s">
        <v>1397</v>
      </c>
      <c r="D245" s="67">
        <v>72</v>
      </c>
      <c r="E245" s="67">
        <v>6</v>
      </c>
      <c r="F245" s="110" t="s">
        <v>1434</v>
      </c>
      <c r="G245" s="111" t="s">
        <v>1474</v>
      </c>
      <c r="H245">
        <v>74081</v>
      </c>
    </row>
    <row r="246" spans="1:8" x14ac:dyDescent="0.25">
      <c r="A246" s="65">
        <v>78027</v>
      </c>
      <c r="B246" s="66" t="s">
        <v>1274</v>
      </c>
      <c r="C246" s="6" t="s">
        <v>1397</v>
      </c>
      <c r="D246" s="67">
        <v>52</v>
      </c>
      <c r="E246" s="67">
        <v>13</v>
      </c>
      <c r="F246" s="110"/>
      <c r="G246" s="111"/>
    </row>
    <row r="247" spans="1:8" x14ac:dyDescent="0.25">
      <c r="A247" s="65">
        <v>78043</v>
      </c>
      <c r="B247" s="66" t="s">
        <v>1066</v>
      </c>
      <c r="C247" s="6" t="s">
        <v>1397</v>
      </c>
      <c r="D247" s="67">
        <v>45</v>
      </c>
      <c r="E247" s="67">
        <v>12</v>
      </c>
      <c r="F247" s="110"/>
      <c r="G247" s="111"/>
    </row>
    <row r="248" spans="1:8" x14ac:dyDescent="0.25">
      <c r="A248" s="65">
        <v>78304</v>
      </c>
      <c r="B248" s="66" t="s">
        <v>1095</v>
      </c>
      <c r="C248" s="6" t="s">
        <v>1397</v>
      </c>
      <c r="D248" s="67">
        <v>51</v>
      </c>
      <c r="E248" s="67">
        <v>36</v>
      </c>
      <c r="F248" s="110"/>
      <c r="G248" s="111"/>
    </row>
    <row r="249" spans="1:8" x14ac:dyDescent="0.25">
      <c r="A249" s="65">
        <v>78398</v>
      </c>
      <c r="B249" s="66" t="s">
        <v>471</v>
      </c>
      <c r="C249" s="6" t="s">
        <v>1397</v>
      </c>
      <c r="D249" s="67">
        <v>54</v>
      </c>
      <c r="E249" s="67">
        <v>9</v>
      </c>
      <c r="F249" s="110" t="s">
        <v>1434</v>
      </c>
      <c r="G249" s="111">
        <v>43875.379710648151</v>
      </c>
    </row>
    <row r="250" spans="1:8" x14ac:dyDescent="0.25">
      <c r="A250" s="65">
        <v>79118</v>
      </c>
      <c r="B250" s="66" t="s">
        <v>1275</v>
      </c>
      <c r="C250" s="6" t="s">
        <v>1397</v>
      </c>
      <c r="D250" s="67">
        <v>52</v>
      </c>
      <c r="E250" s="67">
        <v>13</v>
      </c>
      <c r="F250" s="110"/>
      <c r="G250" s="111"/>
    </row>
    <row r="251" spans="1:8" x14ac:dyDescent="0.25">
      <c r="A251" s="65">
        <v>79635</v>
      </c>
      <c r="B251" s="66" t="s">
        <v>1075</v>
      </c>
      <c r="C251" s="6" t="s">
        <v>1397</v>
      </c>
      <c r="D251" s="67">
        <v>55</v>
      </c>
      <c r="E251" s="67">
        <v>57</v>
      </c>
      <c r="F251" s="110" t="s">
        <v>1434</v>
      </c>
      <c r="G251" s="111" t="s">
        <v>1467</v>
      </c>
    </row>
    <row r="252" spans="1:8" x14ac:dyDescent="0.25">
      <c r="A252" s="65">
        <v>80297</v>
      </c>
      <c r="B252" s="66" t="s">
        <v>1162</v>
      </c>
      <c r="C252" s="6" t="s">
        <v>1397</v>
      </c>
      <c r="D252" s="67">
        <v>51</v>
      </c>
      <c r="E252" s="67">
        <v>30</v>
      </c>
      <c r="F252" s="110"/>
      <c r="G252" s="111"/>
    </row>
    <row r="253" spans="1:8" x14ac:dyDescent="0.25">
      <c r="A253" s="65">
        <v>80349</v>
      </c>
      <c r="B253" s="66" t="s">
        <v>1276</v>
      </c>
      <c r="C253" s="6" t="s">
        <v>1397</v>
      </c>
      <c r="D253" s="67">
        <v>84</v>
      </c>
      <c r="E253" s="67">
        <v>1</v>
      </c>
      <c r="F253" s="110"/>
      <c r="G253" s="111"/>
    </row>
    <row r="254" spans="1:8" x14ac:dyDescent="0.25">
      <c r="A254" s="65">
        <v>80384</v>
      </c>
      <c r="B254" s="66" t="s">
        <v>1277</v>
      </c>
      <c r="F254" s="110"/>
      <c r="G254" s="111"/>
    </row>
    <row r="255" spans="1:8" x14ac:dyDescent="0.25">
      <c r="A255" s="65">
        <v>80388</v>
      </c>
      <c r="B255" s="66" t="s">
        <v>1278</v>
      </c>
      <c r="C255" s="6" t="s">
        <v>1412</v>
      </c>
      <c r="D255" s="67">
        <v>78</v>
      </c>
      <c r="E255" s="67">
        <v>2</v>
      </c>
      <c r="F255" s="110"/>
      <c r="G255" s="111"/>
    </row>
    <row r="256" spans="1:8" x14ac:dyDescent="0.25">
      <c r="A256" s="65">
        <v>80391</v>
      </c>
      <c r="B256" s="66" t="s">
        <v>1148</v>
      </c>
      <c r="C256" s="6" t="s">
        <v>1397</v>
      </c>
      <c r="D256" s="67">
        <v>61</v>
      </c>
      <c r="E256" s="67">
        <v>11</v>
      </c>
      <c r="F256" s="110"/>
      <c r="G256" s="111"/>
    </row>
    <row r="257" spans="1:8" x14ac:dyDescent="0.25">
      <c r="A257" s="65">
        <v>80575</v>
      </c>
      <c r="B257" s="66" t="s">
        <v>1279</v>
      </c>
      <c r="C257" s="6" t="s">
        <v>1397</v>
      </c>
      <c r="D257" s="67">
        <v>52</v>
      </c>
      <c r="E257" s="67">
        <v>10</v>
      </c>
      <c r="F257" s="110"/>
      <c r="G257" s="111"/>
    </row>
    <row r="258" spans="1:8" x14ac:dyDescent="0.25">
      <c r="A258" s="65">
        <v>80650</v>
      </c>
      <c r="B258" s="66" t="s">
        <v>72</v>
      </c>
      <c r="C258" s="6" t="s">
        <v>1397</v>
      </c>
      <c r="D258" s="67">
        <v>55</v>
      </c>
      <c r="E258" s="67">
        <v>46</v>
      </c>
      <c r="F258" s="110" t="s">
        <v>1434</v>
      </c>
      <c r="G258" s="111" t="s">
        <v>1475</v>
      </c>
    </row>
    <row r="259" spans="1:8" x14ac:dyDescent="0.25">
      <c r="A259" s="65">
        <v>80749</v>
      </c>
      <c r="B259" s="66" t="s">
        <v>1104</v>
      </c>
      <c r="C259" s="6" t="s">
        <v>1397</v>
      </c>
      <c r="D259" s="67">
        <v>55</v>
      </c>
      <c r="E259" s="67">
        <v>37</v>
      </c>
      <c r="F259" s="110"/>
      <c r="G259" s="111"/>
    </row>
    <row r="260" spans="1:8" x14ac:dyDescent="0.25">
      <c r="A260" s="65">
        <v>81509</v>
      </c>
      <c r="B260" s="66" t="s">
        <v>1280</v>
      </c>
      <c r="C260" s="6" t="s">
        <v>1420</v>
      </c>
      <c r="D260" s="67">
        <v>51</v>
      </c>
      <c r="E260" s="67">
        <v>21</v>
      </c>
      <c r="F260" s="110"/>
      <c r="G260" s="111"/>
    </row>
    <row r="261" spans="1:8" x14ac:dyDescent="0.25">
      <c r="A261" s="65">
        <v>82732</v>
      </c>
      <c r="B261" s="66" t="s">
        <v>783</v>
      </c>
      <c r="C261" s="6" t="s">
        <v>1397</v>
      </c>
      <c r="D261" s="67">
        <v>55</v>
      </c>
      <c r="E261" s="67">
        <v>54</v>
      </c>
      <c r="F261" s="110" t="s">
        <v>1434</v>
      </c>
      <c r="G261" s="111">
        <v>43901.63380787037</v>
      </c>
    </row>
    <row r="262" spans="1:8" x14ac:dyDescent="0.25">
      <c r="A262" s="65">
        <v>82829</v>
      </c>
      <c r="B262" s="66" t="s">
        <v>1281</v>
      </c>
      <c r="C262" s="6" t="s">
        <v>1397</v>
      </c>
      <c r="D262" s="67">
        <v>52</v>
      </c>
      <c r="E262" s="67">
        <v>13</v>
      </c>
      <c r="F262" s="110"/>
      <c r="G262" s="111"/>
    </row>
    <row r="263" spans="1:8" x14ac:dyDescent="0.25">
      <c r="A263" s="65">
        <v>82916</v>
      </c>
      <c r="B263" s="66" t="s">
        <v>1025</v>
      </c>
      <c r="C263" s="6" t="s">
        <v>1400</v>
      </c>
      <c r="D263" s="67">
        <v>76</v>
      </c>
      <c r="E263" s="67">
        <v>6</v>
      </c>
      <c r="F263" s="110" t="s">
        <v>1434</v>
      </c>
      <c r="G263" s="111" t="s">
        <v>1470</v>
      </c>
    </row>
    <row r="264" spans="1:8" x14ac:dyDescent="0.25">
      <c r="A264" s="65">
        <v>83788</v>
      </c>
      <c r="B264" s="66" t="s">
        <v>1154</v>
      </c>
      <c r="C264" s="6" t="s">
        <v>1397</v>
      </c>
      <c r="D264" s="67">
        <v>55</v>
      </c>
      <c r="E264" s="67">
        <v>32</v>
      </c>
      <c r="F264" s="110"/>
      <c r="G264" s="111"/>
    </row>
    <row r="265" spans="1:8" x14ac:dyDescent="0.25">
      <c r="A265" s="65">
        <v>85798</v>
      </c>
      <c r="B265" s="66" t="s">
        <v>388</v>
      </c>
      <c r="C265" s="6" t="s">
        <v>1397</v>
      </c>
      <c r="D265" s="67">
        <v>83</v>
      </c>
      <c r="E265" s="67">
        <v>4</v>
      </c>
      <c r="F265" s="110" t="s">
        <v>1434</v>
      </c>
      <c r="G265" s="111">
        <v>43998.568171296298</v>
      </c>
      <c r="H265">
        <v>139545</v>
      </c>
    </row>
    <row r="266" spans="1:8" x14ac:dyDescent="0.25">
      <c r="A266" s="65">
        <v>86030</v>
      </c>
      <c r="B266" s="66" t="s">
        <v>515</v>
      </c>
      <c r="C266" s="6" t="s">
        <v>1397</v>
      </c>
      <c r="D266" s="67">
        <v>55</v>
      </c>
      <c r="E266" s="67">
        <v>49</v>
      </c>
      <c r="F266" s="110" t="s">
        <v>1434</v>
      </c>
      <c r="G266" s="111">
        <v>43900.625949074078</v>
      </c>
    </row>
    <row r="267" spans="1:8" x14ac:dyDescent="0.25">
      <c r="A267" s="65">
        <v>86118</v>
      </c>
      <c r="B267" s="66" t="s">
        <v>784</v>
      </c>
      <c r="C267" s="6" t="s">
        <v>1397</v>
      </c>
      <c r="D267" s="67">
        <v>55</v>
      </c>
      <c r="E267" s="67">
        <v>55</v>
      </c>
      <c r="F267" s="110" t="s">
        <v>1434</v>
      </c>
      <c r="G267" s="111">
        <v>43901.635428240741</v>
      </c>
    </row>
    <row r="268" spans="1:8" x14ac:dyDescent="0.25">
      <c r="A268" s="65">
        <v>86891</v>
      </c>
      <c r="B268" s="66" t="s">
        <v>1109</v>
      </c>
      <c r="C268" s="6" t="s">
        <v>1397</v>
      </c>
      <c r="D268" s="67">
        <v>78</v>
      </c>
      <c r="E268" s="67">
        <v>2</v>
      </c>
      <c r="F268" s="110"/>
      <c r="G268" s="111"/>
    </row>
    <row r="269" spans="1:8" x14ac:dyDescent="0.25">
      <c r="A269" s="65">
        <v>87157</v>
      </c>
      <c r="B269" s="66" t="s">
        <v>75</v>
      </c>
      <c r="C269" s="6" t="s">
        <v>1420</v>
      </c>
      <c r="D269" s="67">
        <v>51</v>
      </c>
      <c r="E269" s="67">
        <v>19</v>
      </c>
      <c r="F269" s="110"/>
      <c r="G269" s="111"/>
    </row>
    <row r="270" spans="1:8" x14ac:dyDescent="0.25">
      <c r="A270" s="65">
        <v>87160</v>
      </c>
      <c r="B270" s="66" t="s">
        <v>1282</v>
      </c>
      <c r="C270" s="6" t="s">
        <v>1420</v>
      </c>
      <c r="D270" s="67">
        <v>51</v>
      </c>
      <c r="E270" s="67">
        <v>19</v>
      </c>
      <c r="F270" s="110"/>
      <c r="G270" s="111"/>
    </row>
    <row r="271" spans="1:8" x14ac:dyDescent="0.25">
      <c r="A271" s="65">
        <v>88083</v>
      </c>
      <c r="B271" s="66" t="s">
        <v>1283</v>
      </c>
      <c r="C271" s="6" t="s">
        <v>1397</v>
      </c>
      <c r="D271" s="67">
        <v>84</v>
      </c>
      <c r="E271" s="67">
        <v>1</v>
      </c>
      <c r="F271" s="110"/>
      <c r="G271" s="111"/>
    </row>
    <row r="272" spans="1:8" x14ac:dyDescent="0.25">
      <c r="A272" s="65">
        <v>88084</v>
      </c>
      <c r="B272" s="66" t="s">
        <v>1284</v>
      </c>
      <c r="C272" s="6" t="s">
        <v>1397</v>
      </c>
      <c r="D272" s="67">
        <v>84</v>
      </c>
      <c r="E272" s="67">
        <v>2</v>
      </c>
      <c r="F272" s="110"/>
      <c r="G272" s="111"/>
    </row>
    <row r="273" spans="1:8" x14ac:dyDescent="0.25">
      <c r="A273" s="65">
        <v>88718</v>
      </c>
      <c r="B273" s="66" t="s">
        <v>391</v>
      </c>
      <c r="C273" s="6" t="s">
        <v>1397</v>
      </c>
      <c r="D273" s="67">
        <v>55</v>
      </c>
      <c r="E273" s="67">
        <v>26</v>
      </c>
      <c r="F273" s="110" t="s">
        <v>1462</v>
      </c>
      <c r="G273" s="111">
        <v>44146.427777777775</v>
      </c>
    </row>
    <row r="274" spans="1:8" x14ac:dyDescent="0.25">
      <c r="A274" s="65">
        <v>88719</v>
      </c>
      <c r="B274" s="66" t="s">
        <v>392</v>
      </c>
      <c r="C274" s="6" t="s">
        <v>1397</v>
      </c>
      <c r="D274" s="67">
        <v>55</v>
      </c>
      <c r="E274" s="67">
        <v>26</v>
      </c>
      <c r="F274" s="110" t="s">
        <v>1462</v>
      </c>
      <c r="G274" s="111">
        <v>44146.427777777775</v>
      </c>
    </row>
    <row r="275" spans="1:8" x14ac:dyDescent="0.25">
      <c r="A275" s="65">
        <v>88741</v>
      </c>
      <c r="B275" s="66" t="s">
        <v>1043</v>
      </c>
      <c r="C275" s="6" t="s">
        <v>1397</v>
      </c>
      <c r="D275" s="67">
        <v>55</v>
      </c>
      <c r="E275" s="67">
        <v>26</v>
      </c>
      <c r="F275" s="110"/>
      <c r="G275" s="111"/>
    </row>
    <row r="276" spans="1:8" x14ac:dyDescent="0.25">
      <c r="A276" s="65">
        <v>88742</v>
      </c>
      <c r="B276" s="66" t="s">
        <v>1042</v>
      </c>
      <c r="C276" s="6" t="s">
        <v>1397</v>
      </c>
      <c r="D276" s="67">
        <v>55</v>
      </c>
      <c r="E276" s="67">
        <v>26</v>
      </c>
      <c r="F276" s="110"/>
      <c r="G276" s="111"/>
    </row>
    <row r="277" spans="1:8" x14ac:dyDescent="0.25">
      <c r="A277" s="65">
        <v>88989</v>
      </c>
      <c r="B277" s="66" t="s">
        <v>1285</v>
      </c>
      <c r="C277" s="6" t="s">
        <v>1412</v>
      </c>
      <c r="D277" s="67">
        <v>54</v>
      </c>
      <c r="E277" s="67">
        <v>4</v>
      </c>
      <c r="F277" s="110" t="s">
        <v>1434</v>
      </c>
      <c r="G277" s="111">
        <v>43713.472581018519</v>
      </c>
    </row>
    <row r="278" spans="1:8" x14ac:dyDescent="0.25">
      <c r="A278" s="65">
        <v>88992</v>
      </c>
      <c r="B278" s="66" t="s">
        <v>1286</v>
      </c>
      <c r="C278" s="6" t="s">
        <v>1412</v>
      </c>
      <c r="D278" s="67">
        <v>54</v>
      </c>
      <c r="E278" s="67">
        <v>4</v>
      </c>
      <c r="F278" s="110" t="s">
        <v>1434</v>
      </c>
      <c r="G278" s="111">
        <v>43713.472581018519</v>
      </c>
    </row>
    <row r="279" spans="1:8" x14ac:dyDescent="0.25">
      <c r="A279" s="65">
        <v>88993</v>
      </c>
      <c r="B279" s="66" t="s">
        <v>1287</v>
      </c>
      <c r="C279" s="6" t="s">
        <v>1412</v>
      </c>
      <c r="D279" s="67">
        <v>54</v>
      </c>
      <c r="E279" s="67">
        <v>4</v>
      </c>
      <c r="F279" s="110" t="s">
        <v>1434</v>
      </c>
      <c r="G279" s="111">
        <v>43713.472581018519</v>
      </c>
    </row>
    <row r="280" spans="1:8" x14ac:dyDescent="0.25">
      <c r="A280" s="65">
        <v>89818</v>
      </c>
      <c r="B280" s="66" t="s">
        <v>1448</v>
      </c>
      <c r="C280" s="6" t="s">
        <v>1412</v>
      </c>
      <c r="D280" s="67">
        <v>54</v>
      </c>
      <c r="E280" s="67">
        <v>4</v>
      </c>
      <c r="F280" s="110"/>
      <c r="G280" s="111"/>
    </row>
    <row r="281" spans="1:8" x14ac:dyDescent="0.25">
      <c r="A281" s="65">
        <v>89855</v>
      </c>
      <c r="B281" s="66" t="s">
        <v>564</v>
      </c>
      <c r="C281" s="6" t="s">
        <v>1397</v>
      </c>
      <c r="D281" s="67">
        <v>83</v>
      </c>
      <c r="E281" s="67">
        <v>3</v>
      </c>
      <c r="F281" s="110" t="s">
        <v>1434</v>
      </c>
      <c r="G281" s="111">
        <v>43875.457060185188</v>
      </c>
    </row>
    <row r="282" spans="1:8" x14ac:dyDescent="0.25">
      <c r="A282" s="65">
        <v>89860</v>
      </c>
      <c r="B282" s="66" t="s">
        <v>1288</v>
      </c>
      <c r="C282" s="6" t="s">
        <v>1397</v>
      </c>
      <c r="D282" s="67">
        <v>83</v>
      </c>
      <c r="E282" s="67">
        <v>3</v>
      </c>
      <c r="F282" s="110"/>
      <c r="G282" s="111"/>
    </row>
    <row r="283" spans="1:8" x14ac:dyDescent="0.25">
      <c r="A283" s="65">
        <v>89866</v>
      </c>
      <c r="B283" s="66" t="s">
        <v>1090</v>
      </c>
      <c r="C283" s="6" t="s">
        <v>1417</v>
      </c>
      <c r="D283" s="67">
        <v>67</v>
      </c>
      <c r="E283" s="67">
        <v>3</v>
      </c>
      <c r="F283" s="110"/>
      <c r="G283" s="111"/>
    </row>
    <row r="284" spans="1:8" x14ac:dyDescent="0.25">
      <c r="A284" s="65">
        <v>90232</v>
      </c>
      <c r="B284" s="66" t="s">
        <v>1289</v>
      </c>
      <c r="C284" s="6" t="s">
        <v>1403</v>
      </c>
      <c r="D284" s="67">
        <v>76</v>
      </c>
      <c r="E284" s="67">
        <v>10</v>
      </c>
      <c r="F284" s="110"/>
      <c r="G284" s="111"/>
    </row>
    <row r="285" spans="1:8" x14ac:dyDescent="0.25">
      <c r="A285" s="65">
        <v>90469</v>
      </c>
      <c r="B285" s="66" t="s">
        <v>1290</v>
      </c>
      <c r="C285" s="6" t="s">
        <v>1419</v>
      </c>
      <c r="D285" s="67">
        <v>76</v>
      </c>
      <c r="E285" s="67">
        <v>3</v>
      </c>
      <c r="F285" s="110"/>
      <c r="G285" s="111"/>
      <c r="H285">
        <v>136040</v>
      </c>
    </row>
    <row r="286" spans="1:8" x14ac:dyDescent="0.25">
      <c r="A286" s="65">
        <v>90470</v>
      </c>
      <c r="B286" s="66" t="s">
        <v>1291</v>
      </c>
      <c r="C286" s="6" t="s">
        <v>1419</v>
      </c>
      <c r="D286" s="67">
        <v>76</v>
      </c>
      <c r="E286" s="67">
        <v>3</v>
      </c>
      <c r="F286" s="110"/>
      <c r="G286" s="111"/>
    </row>
    <row r="287" spans="1:8" x14ac:dyDescent="0.25">
      <c r="A287" s="65">
        <v>90500</v>
      </c>
      <c r="B287" s="66" t="s">
        <v>1292</v>
      </c>
      <c r="C287" s="6" t="s">
        <v>1413</v>
      </c>
      <c r="D287" s="67">
        <v>55</v>
      </c>
      <c r="E287" s="67">
        <v>19</v>
      </c>
      <c r="F287" s="110" t="s">
        <v>1462</v>
      </c>
      <c r="G287" s="111">
        <v>43648.569641203707</v>
      </c>
      <c r="H287">
        <v>136910</v>
      </c>
    </row>
    <row r="288" spans="1:8" x14ac:dyDescent="0.25">
      <c r="A288" s="65">
        <v>90502</v>
      </c>
      <c r="B288" s="66" t="s">
        <v>1293</v>
      </c>
      <c r="C288" s="6" t="s">
        <v>1413</v>
      </c>
      <c r="D288" s="67">
        <v>55</v>
      </c>
      <c r="E288" s="67">
        <v>19</v>
      </c>
      <c r="F288" s="110" t="s">
        <v>1462</v>
      </c>
      <c r="G288" s="111">
        <v>43648.569641203707</v>
      </c>
      <c r="H288">
        <v>136911</v>
      </c>
    </row>
    <row r="289" spans="1:8" x14ac:dyDescent="0.25">
      <c r="A289" s="65">
        <v>90827</v>
      </c>
      <c r="B289" s="66" t="s">
        <v>1294</v>
      </c>
      <c r="C289" s="6" t="s">
        <v>1419</v>
      </c>
      <c r="D289" s="67">
        <v>51</v>
      </c>
      <c r="E289" s="67">
        <v>3</v>
      </c>
      <c r="F289" s="110"/>
      <c r="G289" s="111"/>
    </row>
    <row r="290" spans="1:8" x14ac:dyDescent="0.25">
      <c r="A290" s="65">
        <v>90884</v>
      </c>
      <c r="B290" s="66" t="s">
        <v>1295</v>
      </c>
      <c r="C290" s="6" t="s">
        <v>1403</v>
      </c>
      <c r="D290" s="67">
        <v>76</v>
      </c>
      <c r="E290" s="67">
        <v>10</v>
      </c>
      <c r="F290" s="110"/>
      <c r="G290" s="111"/>
    </row>
    <row r="291" spans="1:8" x14ac:dyDescent="0.25">
      <c r="A291" s="65">
        <v>92111</v>
      </c>
      <c r="B291" s="66" t="s">
        <v>211</v>
      </c>
      <c r="C291" s="6" t="s">
        <v>1413</v>
      </c>
      <c r="D291" s="67">
        <v>55</v>
      </c>
      <c r="E291" s="67">
        <v>19</v>
      </c>
      <c r="F291" s="110" t="s">
        <v>1462</v>
      </c>
      <c r="G291" s="111">
        <v>44104.394143518519</v>
      </c>
      <c r="H291">
        <v>140052</v>
      </c>
    </row>
    <row r="292" spans="1:8" x14ac:dyDescent="0.25">
      <c r="A292" s="65">
        <v>92906</v>
      </c>
      <c r="B292" s="66" t="s">
        <v>1089</v>
      </c>
      <c r="C292" s="6" t="s">
        <v>1398</v>
      </c>
      <c r="D292" s="67">
        <v>57</v>
      </c>
      <c r="E292" s="67">
        <v>17</v>
      </c>
      <c r="F292" s="110" t="s">
        <v>1434</v>
      </c>
      <c r="G292" s="111">
        <v>43644.587048611109</v>
      </c>
    </row>
    <row r="293" spans="1:8" x14ac:dyDescent="0.25">
      <c r="A293" s="65">
        <v>93333</v>
      </c>
      <c r="B293" s="66" t="s">
        <v>1296</v>
      </c>
      <c r="C293" s="6" t="s">
        <v>1416</v>
      </c>
      <c r="D293" s="67">
        <v>57</v>
      </c>
      <c r="E293" s="67">
        <v>2</v>
      </c>
      <c r="F293" s="110"/>
      <c r="G293" s="111"/>
    </row>
    <row r="294" spans="1:8" x14ac:dyDescent="0.25">
      <c r="A294" s="65">
        <v>93344</v>
      </c>
      <c r="B294" s="66" t="s">
        <v>1297</v>
      </c>
      <c r="C294" s="6" t="s">
        <v>1412</v>
      </c>
      <c r="D294" s="67">
        <v>54</v>
      </c>
      <c r="E294" s="67">
        <v>4</v>
      </c>
      <c r="F294" s="110" t="s">
        <v>1434</v>
      </c>
      <c r="G294" s="111">
        <v>43825.339375000003</v>
      </c>
    </row>
    <row r="295" spans="1:8" x14ac:dyDescent="0.25">
      <c r="A295" s="65">
        <v>93346</v>
      </c>
      <c r="B295" s="66" t="s">
        <v>1298</v>
      </c>
      <c r="C295" s="6" t="s">
        <v>1412</v>
      </c>
      <c r="D295" s="67">
        <v>54</v>
      </c>
      <c r="E295" s="67">
        <v>4</v>
      </c>
      <c r="F295" s="110" t="s">
        <v>1434</v>
      </c>
      <c r="G295" s="111">
        <v>43713.466284722221</v>
      </c>
      <c r="H295">
        <v>137799</v>
      </c>
    </row>
    <row r="296" spans="1:8" x14ac:dyDescent="0.25">
      <c r="A296" s="65">
        <v>94013</v>
      </c>
      <c r="B296" s="66" t="s">
        <v>1299</v>
      </c>
      <c r="C296" s="6" t="s">
        <v>1397</v>
      </c>
      <c r="D296" s="67">
        <v>54</v>
      </c>
      <c r="E296" s="67">
        <v>19</v>
      </c>
      <c r="F296" s="110" t="s">
        <v>1434</v>
      </c>
      <c r="G296" s="111">
        <v>43713.472581018519</v>
      </c>
    </row>
    <row r="297" spans="1:8" x14ac:dyDescent="0.25">
      <c r="A297" s="65">
        <v>94615</v>
      </c>
      <c r="B297" s="66" t="s">
        <v>1001</v>
      </c>
      <c r="C297" s="6" t="s">
        <v>1397</v>
      </c>
      <c r="D297" s="67">
        <v>62</v>
      </c>
      <c r="E297" s="67">
        <v>4</v>
      </c>
      <c r="F297" s="110" t="s">
        <v>1434</v>
      </c>
      <c r="G297" s="111" t="s">
        <v>1476</v>
      </c>
    </row>
    <row r="298" spans="1:8" x14ac:dyDescent="0.25">
      <c r="A298" s="65">
        <v>94616</v>
      </c>
      <c r="B298" s="66" t="s">
        <v>1000</v>
      </c>
      <c r="C298" s="6" t="s">
        <v>1397</v>
      </c>
      <c r="D298" s="67">
        <v>62</v>
      </c>
      <c r="E298" s="67">
        <v>4</v>
      </c>
      <c r="F298" s="110" t="s">
        <v>1434</v>
      </c>
      <c r="G298" s="111" t="s">
        <v>1476</v>
      </c>
    </row>
    <row r="299" spans="1:8" x14ac:dyDescent="0.25">
      <c r="A299" s="65">
        <v>94617</v>
      </c>
      <c r="B299" s="66" t="s">
        <v>999</v>
      </c>
      <c r="C299" s="6" t="s">
        <v>1397</v>
      </c>
      <c r="D299" s="67">
        <v>62</v>
      </c>
      <c r="E299" s="67">
        <v>4</v>
      </c>
      <c r="F299" s="110" t="s">
        <v>1434</v>
      </c>
      <c r="G299" s="111" t="s">
        <v>1476</v>
      </c>
    </row>
    <row r="300" spans="1:8" x14ac:dyDescent="0.25">
      <c r="A300" s="65">
        <v>94618</v>
      </c>
      <c r="B300" s="66" t="s">
        <v>1300</v>
      </c>
      <c r="C300" s="6" t="s">
        <v>1397</v>
      </c>
      <c r="D300" s="67">
        <v>62</v>
      </c>
      <c r="E300" s="67">
        <v>4</v>
      </c>
      <c r="F300" s="110"/>
      <c r="G300" s="111"/>
    </row>
    <row r="301" spans="1:8" x14ac:dyDescent="0.25">
      <c r="A301" s="65">
        <v>94627</v>
      </c>
      <c r="B301" s="66" t="s">
        <v>578</v>
      </c>
      <c r="C301" s="6" t="s">
        <v>1416</v>
      </c>
      <c r="D301" s="67">
        <v>83</v>
      </c>
      <c r="E301" s="67">
        <v>2</v>
      </c>
      <c r="F301" s="110" t="s">
        <v>1434</v>
      </c>
      <c r="G301" s="111">
        <v>43962.459189814814</v>
      </c>
    </row>
    <row r="302" spans="1:8" x14ac:dyDescent="0.25">
      <c r="A302" s="65">
        <v>94787</v>
      </c>
      <c r="B302" s="66" t="s">
        <v>1069</v>
      </c>
      <c r="C302" s="6" t="s">
        <v>1397</v>
      </c>
      <c r="D302" s="67">
        <v>67</v>
      </c>
      <c r="E302" s="67">
        <v>1</v>
      </c>
      <c r="F302" s="110"/>
      <c r="G302" s="111"/>
    </row>
    <row r="303" spans="1:8" x14ac:dyDescent="0.25">
      <c r="A303" s="65">
        <v>95513</v>
      </c>
      <c r="B303" s="66" t="s">
        <v>216</v>
      </c>
      <c r="C303" s="6" t="s">
        <v>1413</v>
      </c>
      <c r="D303" s="67">
        <v>55</v>
      </c>
      <c r="E303" s="67">
        <v>19</v>
      </c>
      <c r="F303" s="110" t="s">
        <v>1462</v>
      </c>
      <c r="G303" s="111">
        <v>44104.394143518519</v>
      </c>
      <c r="H303">
        <v>140057</v>
      </c>
    </row>
    <row r="304" spans="1:8" x14ac:dyDescent="0.25">
      <c r="A304" s="65">
        <v>95970</v>
      </c>
      <c r="B304" s="66" t="s">
        <v>1140</v>
      </c>
      <c r="C304" s="6" t="s">
        <v>1397</v>
      </c>
      <c r="D304" s="67">
        <v>67</v>
      </c>
      <c r="E304" s="67">
        <v>13</v>
      </c>
      <c r="F304" s="110"/>
      <c r="G304" s="111"/>
    </row>
    <row r="305" spans="1:8" x14ac:dyDescent="0.25">
      <c r="A305" s="65">
        <v>97965</v>
      </c>
      <c r="B305" s="66" t="s">
        <v>330</v>
      </c>
      <c r="C305" s="6" t="s">
        <v>1414</v>
      </c>
      <c r="D305" s="67">
        <v>74</v>
      </c>
      <c r="E305" s="67">
        <v>4</v>
      </c>
      <c r="F305" s="110" t="s">
        <v>1434</v>
      </c>
      <c r="G305" s="111">
        <v>43875.455000000002</v>
      </c>
    </row>
    <row r="306" spans="1:8" x14ac:dyDescent="0.25">
      <c r="A306" s="65">
        <v>98360</v>
      </c>
      <c r="B306" s="66" t="s">
        <v>1055</v>
      </c>
      <c r="C306" s="6" t="s">
        <v>1408</v>
      </c>
      <c r="D306" s="67">
        <v>70</v>
      </c>
      <c r="E306" s="67">
        <v>47</v>
      </c>
      <c r="F306" s="110"/>
      <c r="G306" s="111"/>
    </row>
    <row r="307" spans="1:8" x14ac:dyDescent="0.25">
      <c r="A307" s="65">
        <v>98747</v>
      </c>
      <c r="B307" s="66" t="s">
        <v>1301</v>
      </c>
      <c r="C307" s="6" t="s">
        <v>1412</v>
      </c>
      <c r="D307" s="67">
        <v>54</v>
      </c>
      <c r="E307" s="67">
        <v>19</v>
      </c>
      <c r="F307" s="110" t="s">
        <v>1434</v>
      </c>
      <c r="G307" s="111">
        <v>43825.339375000003</v>
      </c>
    </row>
    <row r="308" spans="1:8" x14ac:dyDescent="0.25">
      <c r="A308" s="65">
        <v>98748</v>
      </c>
      <c r="B308" s="66" t="s">
        <v>1302</v>
      </c>
      <c r="C308" s="6" t="s">
        <v>1412</v>
      </c>
      <c r="D308" s="67">
        <v>54</v>
      </c>
      <c r="E308" s="67">
        <v>19</v>
      </c>
      <c r="F308" s="110" t="s">
        <v>1434</v>
      </c>
      <c r="G308" s="111">
        <v>43713.472581018519</v>
      </c>
    </row>
    <row r="309" spans="1:8" x14ac:dyDescent="0.25">
      <c r="A309" s="65">
        <v>98749</v>
      </c>
      <c r="B309" s="66" t="s">
        <v>1303</v>
      </c>
      <c r="C309" s="6" t="s">
        <v>1412</v>
      </c>
      <c r="D309" s="67">
        <v>54</v>
      </c>
      <c r="E309" s="67">
        <v>19</v>
      </c>
      <c r="F309" s="110" t="s">
        <v>1434</v>
      </c>
      <c r="G309" s="111">
        <v>43825.339375000003</v>
      </c>
    </row>
    <row r="310" spans="1:8" x14ac:dyDescent="0.25">
      <c r="A310" s="65">
        <v>98750</v>
      </c>
      <c r="B310" s="66" t="s">
        <v>1304</v>
      </c>
      <c r="C310" s="6" t="s">
        <v>1412</v>
      </c>
      <c r="D310" s="67">
        <v>54</v>
      </c>
      <c r="E310" s="67">
        <v>19</v>
      </c>
      <c r="F310" s="110" t="s">
        <v>1434</v>
      </c>
      <c r="G310" s="111">
        <v>43825.339375000003</v>
      </c>
    </row>
    <row r="311" spans="1:8" x14ac:dyDescent="0.25">
      <c r="A311" s="65">
        <v>98751</v>
      </c>
      <c r="B311" s="66" t="s">
        <v>1305</v>
      </c>
      <c r="C311" s="6" t="s">
        <v>1412</v>
      </c>
      <c r="D311" s="67">
        <v>54</v>
      </c>
      <c r="E311" s="67">
        <v>19</v>
      </c>
      <c r="F311" s="110" t="s">
        <v>1434</v>
      </c>
      <c r="G311" s="111">
        <v>43825.339375000003</v>
      </c>
    </row>
    <row r="312" spans="1:8" x14ac:dyDescent="0.25">
      <c r="A312" s="65">
        <v>98819</v>
      </c>
      <c r="B312" s="66" t="s">
        <v>1306</v>
      </c>
      <c r="C312" s="6" t="s">
        <v>1397</v>
      </c>
      <c r="D312" s="67">
        <v>51</v>
      </c>
      <c r="E312" s="67">
        <v>49</v>
      </c>
      <c r="F312" s="110"/>
      <c r="G312" s="111"/>
    </row>
    <row r="313" spans="1:8" x14ac:dyDescent="0.25">
      <c r="A313" s="65">
        <v>99790</v>
      </c>
      <c r="B313" s="66" t="s">
        <v>1022</v>
      </c>
      <c r="C313" s="6" t="s">
        <v>1397</v>
      </c>
      <c r="D313" s="67">
        <v>55</v>
      </c>
      <c r="E313" s="67">
        <v>32</v>
      </c>
      <c r="F313" s="110"/>
      <c r="G313" s="111"/>
    </row>
    <row r="314" spans="1:8" x14ac:dyDescent="0.25">
      <c r="A314" s="65">
        <v>99796</v>
      </c>
      <c r="B314" s="66" t="s">
        <v>1034</v>
      </c>
      <c r="C314" s="6" t="s">
        <v>1397</v>
      </c>
      <c r="D314" s="67">
        <v>61</v>
      </c>
      <c r="E314" s="67">
        <v>8</v>
      </c>
      <c r="F314" s="110" t="s">
        <v>1434</v>
      </c>
      <c r="G314" s="111" t="s">
        <v>1477</v>
      </c>
    </row>
    <row r="315" spans="1:8" x14ac:dyDescent="0.25">
      <c r="A315" s="65">
        <v>99810</v>
      </c>
      <c r="B315" s="66" t="s">
        <v>80</v>
      </c>
      <c r="C315" s="6" t="s">
        <v>1413</v>
      </c>
      <c r="D315" s="67">
        <v>55</v>
      </c>
      <c r="E315" s="67">
        <v>19</v>
      </c>
      <c r="F315" s="110" t="s">
        <v>1462</v>
      </c>
      <c r="G315" s="111">
        <v>44104.394143518519</v>
      </c>
      <c r="H315">
        <v>140048</v>
      </c>
    </row>
    <row r="316" spans="1:8" x14ac:dyDescent="0.25">
      <c r="A316" s="65">
        <v>101917</v>
      </c>
      <c r="B316" s="66" t="s">
        <v>205</v>
      </c>
      <c r="C316" s="6" t="s">
        <v>1413</v>
      </c>
      <c r="D316" s="67">
        <v>55</v>
      </c>
      <c r="E316" s="67">
        <v>19</v>
      </c>
      <c r="F316" s="110" t="s">
        <v>1462</v>
      </c>
      <c r="G316" s="111">
        <v>44104.394143518519</v>
      </c>
      <c r="H316">
        <v>140049</v>
      </c>
    </row>
    <row r="317" spans="1:8" x14ac:dyDescent="0.25">
      <c r="A317" s="65">
        <v>101938</v>
      </c>
      <c r="B317" s="66" t="s">
        <v>1307</v>
      </c>
      <c r="C317" s="6" t="s">
        <v>1412</v>
      </c>
      <c r="D317" s="67">
        <v>54</v>
      </c>
      <c r="E317" s="67">
        <v>4</v>
      </c>
      <c r="F317" s="110" t="s">
        <v>1434</v>
      </c>
      <c r="G317" s="111">
        <v>43713.472581018519</v>
      </c>
    </row>
    <row r="318" spans="1:8" x14ac:dyDescent="0.25">
      <c r="A318" s="65">
        <v>102234</v>
      </c>
      <c r="B318" s="66" t="s">
        <v>1083</v>
      </c>
      <c r="C318" s="6" t="s">
        <v>1397</v>
      </c>
      <c r="D318" s="67">
        <v>61</v>
      </c>
      <c r="E318" s="67">
        <v>8</v>
      </c>
      <c r="F318" s="110" t="s">
        <v>1462</v>
      </c>
      <c r="G318" s="111">
        <v>43682.464849537035</v>
      </c>
      <c r="H318">
        <v>135304</v>
      </c>
    </row>
    <row r="319" spans="1:8" x14ac:dyDescent="0.25">
      <c r="A319" s="65">
        <v>102443</v>
      </c>
      <c r="B319" s="66" t="s">
        <v>1155</v>
      </c>
      <c r="C319" s="6" t="s">
        <v>1397</v>
      </c>
      <c r="D319" s="67">
        <v>78</v>
      </c>
      <c r="E319" s="67">
        <v>6</v>
      </c>
      <c r="F319" s="110"/>
      <c r="G319" s="111"/>
    </row>
    <row r="320" spans="1:8" x14ac:dyDescent="0.25">
      <c r="A320" s="65">
        <v>102634</v>
      </c>
      <c r="B320" s="66" t="s">
        <v>1449</v>
      </c>
      <c r="C320" s="6" t="s">
        <v>1397</v>
      </c>
      <c r="D320" s="67">
        <v>69</v>
      </c>
      <c r="E320" s="67">
        <v>5</v>
      </c>
      <c r="F320" s="110"/>
      <c r="G320" s="111"/>
    </row>
    <row r="321" spans="1:8" x14ac:dyDescent="0.25">
      <c r="A321" s="65">
        <v>102684</v>
      </c>
      <c r="B321" s="66" t="s">
        <v>1166</v>
      </c>
      <c r="C321" s="6" t="s">
        <v>1397</v>
      </c>
      <c r="D321" s="67">
        <v>69</v>
      </c>
      <c r="E321" s="67">
        <v>5</v>
      </c>
      <c r="F321" s="110"/>
      <c r="G321" s="111"/>
    </row>
    <row r="322" spans="1:8" x14ac:dyDescent="0.25">
      <c r="A322" s="65">
        <v>102685</v>
      </c>
      <c r="B322" s="66" t="s">
        <v>1064</v>
      </c>
      <c r="C322" s="6" t="s">
        <v>1397</v>
      </c>
      <c r="D322" s="67">
        <v>69</v>
      </c>
      <c r="E322" s="67">
        <v>5</v>
      </c>
      <c r="F322" s="110"/>
      <c r="G322" s="111"/>
    </row>
    <row r="323" spans="1:8" x14ac:dyDescent="0.25">
      <c r="A323" s="65">
        <v>102686</v>
      </c>
      <c r="B323" s="66" t="s">
        <v>1036</v>
      </c>
      <c r="C323" s="6" t="s">
        <v>1397</v>
      </c>
      <c r="D323" s="67">
        <v>69</v>
      </c>
      <c r="E323" s="67">
        <v>5</v>
      </c>
      <c r="F323" s="110"/>
      <c r="G323" s="111"/>
    </row>
    <row r="324" spans="1:8" x14ac:dyDescent="0.25">
      <c r="A324" s="65">
        <v>102687</v>
      </c>
      <c r="B324" s="66" t="s">
        <v>1038</v>
      </c>
      <c r="C324" s="6" t="s">
        <v>1397</v>
      </c>
      <c r="D324" s="67">
        <v>69</v>
      </c>
      <c r="E324" s="67">
        <v>5</v>
      </c>
      <c r="F324" s="110"/>
      <c r="G324" s="111"/>
    </row>
    <row r="325" spans="1:8" x14ac:dyDescent="0.25">
      <c r="A325" s="65">
        <v>102688</v>
      </c>
      <c r="B325" s="66" t="s">
        <v>1033</v>
      </c>
      <c r="C325" s="6" t="s">
        <v>1397</v>
      </c>
      <c r="D325" s="67">
        <v>69</v>
      </c>
      <c r="E325" s="67">
        <v>5</v>
      </c>
      <c r="F325" s="110"/>
      <c r="G325" s="111"/>
    </row>
    <row r="326" spans="1:8" x14ac:dyDescent="0.25">
      <c r="A326" s="65">
        <v>102691</v>
      </c>
      <c r="B326" s="66" t="s">
        <v>372</v>
      </c>
      <c r="C326" s="6" t="s">
        <v>1397</v>
      </c>
      <c r="D326" s="67">
        <v>69</v>
      </c>
      <c r="E326" s="67">
        <v>5</v>
      </c>
      <c r="F326" s="110" t="s">
        <v>1434</v>
      </c>
      <c r="G326" s="111">
        <v>43875.455914351849</v>
      </c>
    </row>
    <row r="327" spans="1:8" x14ac:dyDescent="0.25">
      <c r="A327" s="65">
        <v>102692</v>
      </c>
      <c r="B327" s="66" t="s">
        <v>1027</v>
      </c>
      <c r="C327" s="6" t="s">
        <v>1397</v>
      </c>
      <c r="D327" s="67">
        <v>69</v>
      </c>
      <c r="E327" s="67">
        <v>5</v>
      </c>
      <c r="F327" s="110"/>
      <c r="G327" s="111"/>
    </row>
    <row r="328" spans="1:8" x14ac:dyDescent="0.25">
      <c r="A328" s="65">
        <v>102693</v>
      </c>
      <c r="B328" s="66" t="s">
        <v>1153</v>
      </c>
      <c r="C328" s="6" t="s">
        <v>1397</v>
      </c>
      <c r="D328" s="67">
        <v>69</v>
      </c>
      <c r="E328" s="67">
        <v>8</v>
      </c>
      <c r="F328" s="110"/>
      <c r="G328" s="111"/>
    </row>
    <row r="329" spans="1:8" x14ac:dyDescent="0.25">
      <c r="A329" s="65">
        <v>102695</v>
      </c>
      <c r="B329" s="66" t="s">
        <v>1037</v>
      </c>
      <c r="C329" s="6" t="s">
        <v>1397</v>
      </c>
      <c r="D329" s="67">
        <v>69</v>
      </c>
      <c r="E329" s="67">
        <v>5</v>
      </c>
      <c r="F329" s="110"/>
      <c r="G329" s="111"/>
    </row>
    <row r="330" spans="1:8" x14ac:dyDescent="0.25">
      <c r="A330" s="65">
        <v>102696</v>
      </c>
      <c r="B330" s="66" t="s">
        <v>1308</v>
      </c>
      <c r="C330" s="6" t="s">
        <v>1397</v>
      </c>
      <c r="D330" s="67">
        <v>69</v>
      </c>
      <c r="E330" s="67">
        <v>5</v>
      </c>
      <c r="F330" s="110"/>
      <c r="G330" s="111"/>
    </row>
    <row r="331" spans="1:8" x14ac:dyDescent="0.25">
      <c r="A331" s="65">
        <v>102697</v>
      </c>
      <c r="B331" s="66" t="s">
        <v>1059</v>
      </c>
      <c r="C331" s="6" t="s">
        <v>1397</v>
      </c>
      <c r="D331" s="67">
        <v>69</v>
      </c>
      <c r="E331" s="67">
        <v>8</v>
      </c>
      <c r="F331" s="110"/>
      <c r="G331" s="111"/>
    </row>
    <row r="332" spans="1:8" x14ac:dyDescent="0.25">
      <c r="A332" s="65">
        <v>102698</v>
      </c>
      <c r="B332" s="66" t="s">
        <v>1151</v>
      </c>
      <c r="C332" s="6" t="s">
        <v>1397</v>
      </c>
      <c r="D332" s="67">
        <v>69</v>
      </c>
      <c r="E332" s="67">
        <v>5</v>
      </c>
      <c r="F332" s="110"/>
      <c r="G332" s="111"/>
    </row>
    <row r="333" spans="1:8" x14ac:dyDescent="0.25">
      <c r="A333" s="65">
        <v>102699</v>
      </c>
      <c r="B333" s="66" t="s">
        <v>1060</v>
      </c>
      <c r="C333" s="6" t="s">
        <v>1397</v>
      </c>
      <c r="D333" s="67">
        <v>69</v>
      </c>
      <c r="E333" s="67">
        <v>18</v>
      </c>
      <c r="F333" s="110"/>
      <c r="G333" s="111"/>
    </row>
    <row r="334" spans="1:8" x14ac:dyDescent="0.25">
      <c r="A334" s="65">
        <v>102702</v>
      </c>
      <c r="B334" s="66" t="s">
        <v>1309</v>
      </c>
      <c r="C334" s="6" t="s">
        <v>1413</v>
      </c>
      <c r="D334" s="67">
        <v>60</v>
      </c>
      <c r="E334" s="67">
        <v>21</v>
      </c>
      <c r="F334" s="110" t="s">
        <v>1434</v>
      </c>
      <c r="G334" s="111" t="s">
        <v>1478</v>
      </c>
      <c r="H334">
        <v>136564</v>
      </c>
    </row>
    <row r="335" spans="1:8" x14ac:dyDescent="0.25">
      <c r="A335" s="65">
        <v>102726</v>
      </c>
      <c r="B335" s="66" t="s">
        <v>1165</v>
      </c>
      <c r="C335" s="6" t="s">
        <v>1397</v>
      </c>
      <c r="D335" s="67">
        <v>69</v>
      </c>
      <c r="E335" s="67">
        <v>5</v>
      </c>
      <c r="F335" s="110"/>
      <c r="G335" s="111"/>
    </row>
    <row r="336" spans="1:8" x14ac:dyDescent="0.25">
      <c r="A336" s="65">
        <v>102775</v>
      </c>
      <c r="B336" s="66" t="s">
        <v>857</v>
      </c>
      <c r="C336" s="6" t="s">
        <v>1397</v>
      </c>
      <c r="D336" s="67">
        <v>69</v>
      </c>
      <c r="E336" s="67">
        <v>8</v>
      </c>
      <c r="F336" s="110" t="s">
        <v>1434</v>
      </c>
      <c r="G336" s="111">
        <v>43875.458738425928</v>
      </c>
    </row>
    <row r="337" spans="1:8" x14ac:dyDescent="0.25">
      <c r="A337" s="65">
        <v>102777</v>
      </c>
      <c r="B337" s="66" t="s">
        <v>1023</v>
      </c>
      <c r="C337" s="6" t="s">
        <v>1397</v>
      </c>
      <c r="D337" s="67">
        <v>55</v>
      </c>
      <c r="E337" s="67">
        <v>32</v>
      </c>
      <c r="F337" s="110"/>
      <c r="G337" s="111"/>
    </row>
    <row r="338" spans="1:8" x14ac:dyDescent="0.25">
      <c r="A338" s="65">
        <v>102782</v>
      </c>
      <c r="B338" s="66" t="s">
        <v>1063</v>
      </c>
      <c r="C338" s="6" t="s">
        <v>1397</v>
      </c>
      <c r="D338" s="67">
        <v>69</v>
      </c>
      <c r="E338" s="67">
        <v>5</v>
      </c>
      <c r="F338" s="110"/>
      <c r="G338" s="111"/>
    </row>
    <row r="339" spans="1:8" x14ac:dyDescent="0.25">
      <c r="A339" s="65">
        <v>102791</v>
      </c>
      <c r="B339" s="66" t="s">
        <v>207</v>
      </c>
      <c r="C339" s="6" t="s">
        <v>1413</v>
      </c>
      <c r="D339" s="67">
        <v>55</v>
      </c>
      <c r="E339" s="67">
        <v>19</v>
      </c>
      <c r="F339" s="110" t="s">
        <v>1462</v>
      </c>
      <c r="G339" s="111">
        <v>44104.394143518519</v>
      </c>
      <c r="H339">
        <v>140054</v>
      </c>
    </row>
    <row r="340" spans="1:8" x14ac:dyDescent="0.25">
      <c r="A340" s="65">
        <v>103251</v>
      </c>
      <c r="B340" s="66" t="s">
        <v>212</v>
      </c>
      <c r="C340" s="6" t="s">
        <v>1413</v>
      </c>
      <c r="D340" s="67">
        <v>55</v>
      </c>
      <c r="E340" s="67">
        <v>19</v>
      </c>
      <c r="F340" s="110" t="s">
        <v>1462</v>
      </c>
      <c r="G340" s="111">
        <v>44104.394143518519</v>
      </c>
      <c r="H340">
        <v>140051</v>
      </c>
    </row>
    <row r="341" spans="1:8" x14ac:dyDescent="0.25">
      <c r="A341" s="65">
        <v>103298</v>
      </c>
      <c r="B341" s="66" t="s">
        <v>1079</v>
      </c>
      <c r="C341" s="6" t="s">
        <v>1397</v>
      </c>
      <c r="D341" s="67">
        <v>55</v>
      </c>
      <c r="E341" s="67">
        <v>49</v>
      </c>
      <c r="F341" s="110"/>
      <c r="G341" s="111"/>
    </row>
    <row r="342" spans="1:8" x14ac:dyDescent="0.25">
      <c r="A342" s="65">
        <v>103299</v>
      </c>
      <c r="B342" s="66" t="s">
        <v>1310</v>
      </c>
      <c r="C342" s="6" t="s">
        <v>1397</v>
      </c>
      <c r="D342" s="67">
        <v>55</v>
      </c>
      <c r="E342" s="67">
        <v>49</v>
      </c>
      <c r="F342" s="110"/>
      <c r="G342" s="111"/>
    </row>
    <row r="343" spans="1:8" x14ac:dyDescent="0.25">
      <c r="A343" s="65">
        <v>103405</v>
      </c>
      <c r="B343" s="66" t="s">
        <v>1311</v>
      </c>
      <c r="C343" s="6" t="s">
        <v>1424</v>
      </c>
      <c r="D343" s="67">
        <v>72</v>
      </c>
      <c r="E343" s="67">
        <v>8</v>
      </c>
      <c r="F343" s="110" t="s">
        <v>1462</v>
      </c>
      <c r="G343" s="111">
        <v>43696.583043981482</v>
      </c>
      <c r="H343">
        <v>138352</v>
      </c>
    </row>
    <row r="344" spans="1:8" x14ac:dyDescent="0.25">
      <c r="A344" s="65">
        <v>103444</v>
      </c>
      <c r="B344" s="66" t="s">
        <v>1103</v>
      </c>
      <c r="C344" s="6" t="s">
        <v>1417</v>
      </c>
      <c r="D344" s="67">
        <v>70</v>
      </c>
      <c r="E344" s="67">
        <v>13</v>
      </c>
      <c r="F344" s="110"/>
      <c r="G344" s="111"/>
    </row>
    <row r="345" spans="1:8" x14ac:dyDescent="0.25">
      <c r="A345" s="65">
        <v>104625</v>
      </c>
      <c r="B345" s="66" t="s">
        <v>1312</v>
      </c>
      <c r="C345" s="6" t="s">
        <v>1412</v>
      </c>
      <c r="D345" s="67">
        <v>54</v>
      </c>
      <c r="E345" s="67">
        <v>19</v>
      </c>
      <c r="F345" s="110" t="s">
        <v>1434</v>
      </c>
      <c r="G345" s="111">
        <v>43713.472581018519</v>
      </c>
    </row>
    <row r="346" spans="1:8" x14ac:dyDescent="0.25">
      <c r="A346" s="65">
        <v>104626</v>
      </c>
      <c r="B346" s="66" t="s">
        <v>1313</v>
      </c>
      <c r="C346" s="6" t="s">
        <v>1412</v>
      </c>
      <c r="D346" s="67">
        <v>54</v>
      </c>
      <c r="E346" s="67">
        <v>19</v>
      </c>
      <c r="F346" s="110" t="s">
        <v>1434</v>
      </c>
      <c r="G346" s="111">
        <v>43713.472581018519</v>
      </c>
    </row>
    <row r="347" spans="1:8" x14ac:dyDescent="0.25">
      <c r="A347" s="65">
        <v>104627</v>
      </c>
      <c r="B347" s="66" t="s">
        <v>1314</v>
      </c>
      <c r="C347" s="6" t="s">
        <v>1412</v>
      </c>
      <c r="D347" s="67">
        <v>54</v>
      </c>
      <c r="E347" s="67">
        <v>19</v>
      </c>
      <c r="F347" s="110" t="s">
        <v>1434</v>
      </c>
      <c r="G347" s="111">
        <v>43713.472581018519</v>
      </c>
    </row>
    <row r="348" spans="1:8" x14ac:dyDescent="0.25">
      <c r="A348" s="65">
        <v>104639</v>
      </c>
      <c r="B348" s="66" t="s">
        <v>1315</v>
      </c>
      <c r="C348" s="6" t="s">
        <v>1412</v>
      </c>
      <c r="D348" s="67">
        <v>54</v>
      </c>
      <c r="E348" s="67">
        <v>19</v>
      </c>
      <c r="F348" s="110" t="s">
        <v>1434</v>
      </c>
      <c r="G348" s="111">
        <v>43846.380925925929</v>
      </c>
    </row>
    <row r="349" spans="1:8" x14ac:dyDescent="0.25">
      <c r="A349" s="65">
        <v>104640</v>
      </c>
      <c r="B349" s="66" t="s">
        <v>1316</v>
      </c>
      <c r="C349" s="6" t="s">
        <v>1412</v>
      </c>
      <c r="D349" s="67">
        <v>54</v>
      </c>
      <c r="E349" s="67">
        <v>19</v>
      </c>
      <c r="F349" s="110" t="s">
        <v>1434</v>
      </c>
      <c r="G349" s="111">
        <v>43846.380925925929</v>
      </c>
    </row>
    <row r="350" spans="1:8" x14ac:dyDescent="0.25">
      <c r="A350" s="65">
        <v>104641</v>
      </c>
      <c r="B350" s="66" t="s">
        <v>1317</v>
      </c>
      <c r="C350" s="6" t="s">
        <v>1412</v>
      </c>
      <c r="D350" s="67">
        <v>54</v>
      </c>
      <c r="E350" s="67">
        <v>19</v>
      </c>
      <c r="F350" s="110" t="s">
        <v>1434</v>
      </c>
      <c r="G350" s="111">
        <v>43713.472581018519</v>
      </c>
    </row>
    <row r="351" spans="1:8" x14ac:dyDescent="0.25">
      <c r="A351" s="65">
        <v>104642</v>
      </c>
      <c r="B351" s="66" t="s">
        <v>1318</v>
      </c>
      <c r="C351" s="6" t="s">
        <v>1412</v>
      </c>
      <c r="D351" s="67">
        <v>54</v>
      </c>
      <c r="E351" s="67">
        <v>19</v>
      </c>
      <c r="F351" s="110" t="s">
        <v>1434</v>
      </c>
      <c r="G351" s="111">
        <v>43713.472581018519</v>
      </c>
    </row>
    <row r="352" spans="1:8" x14ac:dyDescent="0.25">
      <c r="A352" s="65">
        <v>104755</v>
      </c>
      <c r="B352" s="66" t="s">
        <v>1156</v>
      </c>
      <c r="D352" s="67">
        <v>78</v>
      </c>
      <c r="E352" s="67">
        <v>6</v>
      </c>
      <c r="F352" s="110"/>
      <c r="G352" s="111"/>
    </row>
    <row r="353" spans="1:8" x14ac:dyDescent="0.25">
      <c r="A353" s="65">
        <v>104832</v>
      </c>
      <c r="B353" s="66" t="s">
        <v>1045</v>
      </c>
      <c r="C353" s="6" t="s">
        <v>1404</v>
      </c>
      <c r="D353" s="67">
        <v>51</v>
      </c>
      <c r="E353" s="67">
        <v>37</v>
      </c>
      <c r="F353" s="110" t="s">
        <v>1434</v>
      </c>
      <c r="G353" s="111">
        <v>43656.484259259261</v>
      </c>
    </row>
    <row r="354" spans="1:8" x14ac:dyDescent="0.25">
      <c r="A354" s="65">
        <v>105116</v>
      </c>
      <c r="B354" s="66" t="s">
        <v>260</v>
      </c>
      <c r="C354" s="6" t="s">
        <v>1397</v>
      </c>
      <c r="D354" s="67">
        <v>62</v>
      </c>
      <c r="E354" s="67">
        <v>1</v>
      </c>
      <c r="F354" s="110" t="s">
        <v>1462</v>
      </c>
      <c r="G354" s="111">
        <v>44314.377430555556</v>
      </c>
    </row>
    <row r="355" spans="1:8" x14ac:dyDescent="0.25">
      <c r="A355" s="65">
        <v>105128</v>
      </c>
      <c r="B355" s="66" t="s">
        <v>1450</v>
      </c>
      <c r="F355" s="110"/>
      <c r="G355" s="111"/>
      <c r="H355">
        <v>135227</v>
      </c>
    </row>
    <row r="356" spans="1:8" x14ac:dyDescent="0.25">
      <c r="A356" s="65">
        <v>105180</v>
      </c>
      <c r="B356" s="66" t="s">
        <v>1319</v>
      </c>
      <c r="C356" s="6" t="s">
        <v>1420</v>
      </c>
      <c r="D356" s="67">
        <v>51</v>
      </c>
      <c r="E356" s="67">
        <v>21</v>
      </c>
      <c r="F356" s="110"/>
      <c r="G356" s="111"/>
    </row>
    <row r="357" spans="1:8" x14ac:dyDescent="0.25">
      <c r="A357" s="65">
        <v>105419</v>
      </c>
      <c r="B357" s="66" t="s">
        <v>1152</v>
      </c>
      <c r="C357" s="6" t="s">
        <v>1397</v>
      </c>
      <c r="D357" s="67">
        <v>55</v>
      </c>
      <c r="E357" s="67">
        <v>32</v>
      </c>
      <c r="F357" s="110"/>
      <c r="G357" s="111"/>
    </row>
    <row r="358" spans="1:8" x14ac:dyDescent="0.25">
      <c r="A358" s="65">
        <v>105489</v>
      </c>
      <c r="B358" s="66" t="s">
        <v>1167</v>
      </c>
      <c r="C358" s="6" t="s">
        <v>1403</v>
      </c>
      <c r="D358" s="67">
        <v>76</v>
      </c>
      <c r="E358" s="67">
        <v>9</v>
      </c>
      <c r="F358" s="110" t="s">
        <v>1434</v>
      </c>
      <c r="G358" s="111" t="s">
        <v>1479</v>
      </c>
    </row>
    <row r="359" spans="1:8" x14ac:dyDescent="0.25">
      <c r="A359" s="65">
        <v>105491</v>
      </c>
      <c r="B359" s="66" t="s">
        <v>1451</v>
      </c>
      <c r="C359" s="6" t="s">
        <v>1403</v>
      </c>
      <c r="D359" s="67">
        <v>76</v>
      </c>
      <c r="E359" s="67">
        <v>9</v>
      </c>
      <c r="F359" s="110" t="s">
        <v>1462</v>
      </c>
      <c r="G359" s="111" t="s">
        <v>1480</v>
      </c>
    </row>
    <row r="360" spans="1:8" x14ac:dyDescent="0.25">
      <c r="A360" s="65">
        <v>105492</v>
      </c>
      <c r="B360" s="66" t="s">
        <v>1452</v>
      </c>
      <c r="C360" s="6" t="s">
        <v>1403</v>
      </c>
      <c r="D360" s="67">
        <v>76</v>
      </c>
      <c r="E360" s="67">
        <v>9</v>
      </c>
      <c r="F360" s="110"/>
      <c r="G360" s="111"/>
    </row>
    <row r="361" spans="1:8" x14ac:dyDescent="0.25">
      <c r="A361" s="65">
        <v>105493</v>
      </c>
      <c r="B361" s="66" t="s">
        <v>1320</v>
      </c>
      <c r="C361" s="6" t="s">
        <v>1403</v>
      </c>
      <c r="D361" s="67">
        <v>76</v>
      </c>
      <c r="E361" s="67">
        <v>9</v>
      </c>
      <c r="F361" s="110"/>
      <c r="G361" s="111"/>
    </row>
    <row r="362" spans="1:8" x14ac:dyDescent="0.25">
      <c r="A362" s="65">
        <v>105810</v>
      </c>
      <c r="B362" s="66" t="s">
        <v>1321</v>
      </c>
      <c r="C362" s="6" t="s">
        <v>1412</v>
      </c>
      <c r="D362" s="67">
        <v>54</v>
      </c>
      <c r="E362" s="67">
        <v>4</v>
      </c>
      <c r="F362" s="110" t="s">
        <v>1434</v>
      </c>
      <c r="G362" s="111">
        <v>43713.472581018519</v>
      </c>
    </row>
    <row r="363" spans="1:8" x14ac:dyDescent="0.25">
      <c r="A363" s="65">
        <v>105993</v>
      </c>
      <c r="B363" s="66" t="s">
        <v>850</v>
      </c>
      <c r="C363" s="6" t="s">
        <v>1412</v>
      </c>
      <c r="D363" s="67">
        <v>54</v>
      </c>
      <c r="E363" s="67">
        <v>4</v>
      </c>
      <c r="F363" s="110" t="s">
        <v>1434</v>
      </c>
      <c r="G363" s="111">
        <v>44018.627002314817</v>
      </c>
    </row>
    <row r="364" spans="1:8" x14ac:dyDescent="0.25">
      <c r="A364" s="65">
        <v>105994</v>
      </c>
      <c r="B364" s="66" t="s">
        <v>849</v>
      </c>
      <c r="C364" s="6" t="s">
        <v>1412</v>
      </c>
      <c r="D364" s="67">
        <v>54</v>
      </c>
      <c r="E364" s="67">
        <v>4</v>
      </c>
      <c r="F364" s="110" t="s">
        <v>1434</v>
      </c>
      <c r="G364" s="111">
        <v>44018.628750000003</v>
      </c>
    </row>
    <row r="365" spans="1:8" x14ac:dyDescent="0.25">
      <c r="A365" s="65">
        <v>106027</v>
      </c>
      <c r="B365" s="66" t="s">
        <v>1322</v>
      </c>
      <c r="C365" s="6" t="s">
        <v>1412</v>
      </c>
      <c r="D365" s="67">
        <v>54</v>
      </c>
      <c r="E365" s="67">
        <v>4</v>
      </c>
      <c r="F365" s="110" t="s">
        <v>1434</v>
      </c>
      <c r="G365" s="111" t="s">
        <v>1481</v>
      </c>
      <c r="H365">
        <v>136858</v>
      </c>
    </row>
    <row r="366" spans="1:8" x14ac:dyDescent="0.25">
      <c r="A366" s="65">
        <v>106039</v>
      </c>
      <c r="B366" s="66" t="s">
        <v>1323</v>
      </c>
      <c r="C366" s="6" t="s">
        <v>1397</v>
      </c>
      <c r="D366" s="67">
        <v>52</v>
      </c>
      <c r="E366" s="67">
        <v>8</v>
      </c>
      <c r="F366" s="110"/>
      <c r="G366" s="111"/>
    </row>
    <row r="367" spans="1:8" x14ac:dyDescent="0.25">
      <c r="A367" s="65">
        <v>106631</v>
      </c>
      <c r="B367" s="66" t="s">
        <v>1142</v>
      </c>
      <c r="C367" s="6" t="s">
        <v>1404</v>
      </c>
      <c r="D367" s="67">
        <v>51</v>
      </c>
      <c r="E367" s="67">
        <v>37</v>
      </c>
      <c r="F367" s="110" t="s">
        <v>1434</v>
      </c>
      <c r="G367" s="111">
        <v>43656.491157407407</v>
      </c>
    </row>
    <row r="368" spans="1:8" x14ac:dyDescent="0.25">
      <c r="A368" s="65">
        <v>106765</v>
      </c>
      <c r="B368" s="66" t="s">
        <v>1324</v>
      </c>
      <c r="C368" s="6" t="s">
        <v>1397</v>
      </c>
      <c r="D368" s="67">
        <v>83</v>
      </c>
      <c r="E368" s="67">
        <v>3</v>
      </c>
      <c r="F368" s="110"/>
      <c r="G368" s="111"/>
    </row>
    <row r="369" spans="1:8" x14ac:dyDescent="0.25">
      <c r="A369" s="65">
        <v>107736</v>
      </c>
      <c r="B369" s="66" t="s">
        <v>1325</v>
      </c>
      <c r="C369" s="6" t="s">
        <v>1404</v>
      </c>
      <c r="D369" s="67">
        <v>52</v>
      </c>
      <c r="E369" s="67">
        <v>10</v>
      </c>
      <c r="F369" s="110"/>
      <c r="G369" s="111"/>
    </row>
    <row r="370" spans="1:8" x14ac:dyDescent="0.25">
      <c r="A370" s="65">
        <v>107737</v>
      </c>
      <c r="B370" s="66" t="s">
        <v>1326</v>
      </c>
      <c r="C370" s="6" t="s">
        <v>1404</v>
      </c>
      <c r="D370" s="67">
        <v>52</v>
      </c>
      <c r="E370" s="67">
        <v>10</v>
      </c>
      <c r="F370" s="110"/>
      <c r="G370" s="111"/>
    </row>
    <row r="371" spans="1:8" x14ac:dyDescent="0.25">
      <c r="A371" s="65">
        <v>107909</v>
      </c>
      <c r="B371" s="66" t="s">
        <v>1327</v>
      </c>
      <c r="C371" s="6" t="s">
        <v>1429</v>
      </c>
      <c r="D371" s="67">
        <v>72</v>
      </c>
      <c r="E371" s="67">
        <v>14</v>
      </c>
      <c r="F371" s="110"/>
      <c r="G371" s="111"/>
    </row>
    <row r="372" spans="1:8" x14ac:dyDescent="0.25">
      <c r="A372" s="65">
        <v>107925</v>
      </c>
      <c r="B372" s="66" t="s">
        <v>1328</v>
      </c>
      <c r="C372" s="6" t="s">
        <v>1404</v>
      </c>
      <c r="D372" s="67">
        <v>51</v>
      </c>
      <c r="E372" s="67">
        <v>11</v>
      </c>
      <c r="F372" s="110"/>
      <c r="G372" s="111"/>
    </row>
    <row r="373" spans="1:8" x14ac:dyDescent="0.25">
      <c r="A373" s="65">
        <v>108046</v>
      </c>
      <c r="B373" s="66" t="s">
        <v>1329</v>
      </c>
      <c r="C373" s="6" t="s">
        <v>1397</v>
      </c>
      <c r="D373" s="67">
        <v>70</v>
      </c>
      <c r="E373" s="67">
        <v>15</v>
      </c>
      <c r="F373" s="110"/>
      <c r="G373" s="111"/>
    </row>
    <row r="374" spans="1:8" x14ac:dyDescent="0.25">
      <c r="A374" s="65">
        <v>108440</v>
      </c>
      <c r="B374" s="66" t="s">
        <v>514</v>
      </c>
      <c r="C374" s="6" t="s">
        <v>1404</v>
      </c>
      <c r="D374" s="67">
        <v>55</v>
      </c>
      <c r="E374" s="67">
        <v>49</v>
      </c>
      <c r="F374" s="110" t="s">
        <v>1434</v>
      </c>
      <c r="G374" s="111">
        <v>43900.625949074078</v>
      </c>
    </row>
    <row r="375" spans="1:8" x14ac:dyDescent="0.25">
      <c r="A375" s="65">
        <v>108441</v>
      </c>
      <c r="B375" s="66" t="s">
        <v>787</v>
      </c>
      <c r="C375" s="6" t="s">
        <v>1397</v>
      </c>
      <c r="D375" s="67">
        <v>55</v>
      </c>
      <c r="E375" s="67">
        <v>65</v>
      </c>
      <c r="F375" s="110" t="s">
        <v>1434</v>
      </c>
      <c r="G375" s="111">
        <v>43901.63380787037</v>
      </c>
    </row>
    <row r="376" spans="1:8" x14ac:dyDescent="0.25">
      <c r="A376" s="65">
        <v>108463</v>
      </c>
      <c r="B376" s="66" t="s">
        <v>200</v>
      </c>
      <c r="C376" s="6" t="s">
        <v>1413</v>
      </c>
      <c r="D376" s="67">
        <v>55</v>
      </c>
      <c r="E376" s="67">
        <v>19</v>
      </c>
      <c r="F376" s="110" t="s">
        <v>1462</v>
      </c>
      <c r="G376" s="111">
        <v>44104.394143518519</v>
      </c>
      <c r="H376">
        <v>140055</v>
      </c>
    </row>
    <row r="377" spans="1:8" x14ac:dyDescent="0.25">
      <c r="A377" s="65">
        <v>108732</v>
      </c>
      <c r="B377" s="66" t="s">
        <v>1330</v>
      </c>
      <c r="C377" s="6" t="s">
        <v>1412</v>
      </c>
      <c r="D377" s="67">
        <v>54</v>
      </c>
      <c r="E377" s="67">
        <v>4</v>
      </c>
      <c r="F377" s="110"/>
      <c r="G377" s="111"/>
      <c r="H377">
        <v>98747</v>
      </c>
    </row>
    <row r="378" spans="1:8" x14ac:dyDescent="0.25">
      <c r="A378" s="65">
        <v>108734</v>
      </c>
      <c r="B378" s="66" t="s">
        <v>1331</v>
      </c>
      <c r="C378" s="6" t="s">
        <v>1412</v>
      </c>
      <c r="D378" s="67">
        <v>54</v>
      </c>
      <c r="E378" s="67">
        <v>4</v>
      </c>
      <c r="F378" s="110"/>
      <c r="G378" s="111"/>
      <c r="H378">
        <v>98749</v>
      </c>
    </row>
    <row r="379" spans="1:8" x14ac:dyDescent="0.25">
      <c r="A379" s="65">
        <v>108735</v>
      </c>
      <c r="B379" s="66" t="s">
        <v>1332</v>
      </c>
      <c r="C379" s="6" t="s">
        <v>1412</v>
      </c>
      <c r="D379" s="67">
        <v>54</v>
      </c>
      <c r="E379" s="67">
        <v>4</v>
      </c>
      <c r="F379" s="110"/>
      <c r="G379" s="111"/>
      <c r="H379">
        <v>98750</v>
      </c>
    </row>
    <row r="380" spans="1:8" x14ac:dyDescent="0.25">
      <c r="A380" s="65">
        <v>108736</v>
      </c>
      <c r="B380" s="66" t="s">
        <v>1333</v>
      </c>
      <c r="C380" s="6" t="s">
        <v>1412</v>
      </c>
      <c r="D380" s="67">
        <v>54</v>
      </c>
      <c r="E380" s="67">
        <v>4</v>
      </c>
      <c r="F380" s="110"/>
      <c r="G380" s="111"/>
      <c r="H380">
        <v>98751</v>
      </c>
    </row>
    <row r="381" spans="1:8" x14ac:dyDescent="0.25">
      <c r="A381" s="65">
        <v>109163</v>
      </c>
      <c r="B381" s="66" t="s">
        <v>1523</v>
      </c>
      <c r="C381" s="6" t="s">
        <v>1404</v>
      </c>
      <c r="D381" s="67">
        <v>45</v>
      </c>
      <c r="E381" s="67">
        <v>11</v>
      </c>
      <c r="F381" s="110" t="s">
        <v>1462</v>
      </c>
      <c r="G381" s="111">
        <v>44041.380925925929</v>
      </c>
      <c r="H381">
        <v>139767</v>
      </c>
    </row>
    <row r="382" spans="1:8" x14ac:dyDescent="0.25">
      <c r="A382" s="65">
        <v>110216</v>
      </c>
      <c r="B382" s="66" t="s">
        <v>1334</v>
      </c>
      <c r="C382" s="6" t="s">
        <v>1413</v>
      </c>
      <c r="D382" s="67">
        <v>51</v>
      </c>
      <c r="E382" s="67">
        <v>4</v>
      </c>
      <c r="F382" s="110"/>
      <c r="G382" s="111"/>
    </row>
    <row r="383" spans="1:8" x14ac:dyDescent="0.25">
      <c r="A383" s="65">
        <v>110503</v>
      </c>
      <c r="B383" s="66" t="s">
        <v>1011</v>
      </c>
      <c r="C383" s="6" t="s">
        <v>1397</v>
      </c>
      <c r="D383" s="67">
        <v>52</v>
      </c>
      <c r="E383" s="67">
        <v>6</v>
      </c>
      <c r="F383" s="110" t="s">
        <v>1434</v>
      </c>
      <c r="G383" s="111">
        <v>43700.590555555558</v>
      </c>
    </row>
    <row r="384" spans="1:8" x14ac:dyDescent="0.25">
      <c r="A384" s="65">
        <v>110890</v>
      </c>
      <c r="B384" s="66" t="s">
        <v>191</v>
      </c>
      <c r="C384" s="6" t="s">
        <v>1413</v>
      </c>
      <c r="D384" s="67">
        <v>55</v>
      </c>
      <c r="E384" s="67">
        <v>19</v>
      </c>
      <c r="F384" s="110" t="s">
        <v>1462</v>
      </c>
      <c r="G384" s="111">
        <v>44113.390856481485</v>
      </c>
      <c r="H384">
        <v>140125</v>
      </c>
    </row>
    <row r="385" spans="1:8" x14ac:dyDescent="0.25">
      <c r="A385" s="65">
        <v>110891</v>
      </c>
      <c r="B385" s="66" t="s">
        <v>202</v>
      </c>
      <c r="C385" s="6" t="s">
        <v>1413</v>
      </c>
      <c r="D385" s="67">
        <v>55</v>
      </c>
      <c r="E385" s="67">
        <v>19</v>
      </c>
      <c r="F385" s="110" t="s">
        <v>1462</v>
      </c>
      <c r="G385" s="111">
        <v>44104.394143518519</v>
      </c>
      <c r="H385">
        <v>140058</v>
      </c>
    </row>
    <row r="386" spans="1:8" x14ac:dyDescent="0.25">
      <c r="A386" s="65">
        <v>111756</v>
      </c>
      <c r="B386" s="66" t="s">
        <v>1335</v>
      </c>
      <c r="C386" s="6" t="s">
        <v>1404</v>
      </c>
      <c r="D386" s="67">
        <v>67</v>
      </c>
      <c r="E386" s="67">
        <v>13</v>
      </c>
      <c r="F386" s="110"/>
      <c r="G386" s="111"/>
    </row>
    <row r="387" spans="1:8" x14ac:dyDescent="0.25">
      <c r="A387" s="65">
        <v>112160</v>
      </c>
      <c r="B387" s="66" t="s">
        <v>1336</v>
      </c>
      <c r="C387" s="6" t="s">
        <v>1404</v>
      </c>
      <c r="D387" s="67">
        <v>55</v>
      </c>
      <c r="E387" s="67">
        <v>7</v>
      </c>
      <c r="F387" s="110" t="s">
        <v>1434</v>
      </c>
      <c r="G387" s="111">
        <v>43808.459768518522</v>
      </c>
    </row>
    <row r="388" spans="1:8" x14ac:dyDescent="0.25">
      <c r="A388" s="65">
        <v>112164</v>
      </c>
      <c r="B388" s="66" t="s">
        <v>1096</v>
      </c>
      <c r="C388" s="6" t="s">
        <v>1404</v>
      </c>
      <c r="D388" s="67">
        <v>55</v>
      </c>
      <c r="E388" s="67">
        <v>37</v>
      </c>
      <c r="F388" s="110"/>
      <c r="G388" s="111"/>
    </row>
    <row r="389" spans="1:8" x14ac:dyDescent="0.25">
      <c r="A389" s="65">
        <v>112330</v>
      </c>
      <c r="B389" s="66" t="s">
        <v>1337</v>
      </c>
      <c r="C389" s="6" t="s">
        <v>1405</v>
      </c>
      <c r="D389" s="67">
        <v>70</v>
      </c>
      <c r="E389" s="67">
        <v>33</v>
      </c>
      <c r="F389" s="110" t="s">
        <v>1434</v>
      </c>
      <c r="G389" s="111" t="s">
        <v>1482</v>
      </c>
      <c r="H389">
        <v>133371</v>
      </c>
    </row>
    <row r="390" spans="1:8" x14ac:dyDescent="0.25">
      <c r="A390" s="65">
        <v>112965</v>
      </c>
      <c r="B390" s="66" t="s">
        <v>201</v>
      </c>
      <c r="C390" s="6" t="s">
        <v>1413</v>
      </c>
      <c r="D390" s="67">
        <v>55</v>
      </c>
      <c r="E390" s="67">
        <v>19</v>
      </c>
      <c r="F390" s="110" t="s">
        <v>1462</v>
      </c>
      <c r="G390" s="111">
        <v>44104.394143518519</v>
      </c>
      <c r="H390">
        <v>140059</v>
      </c>
    </row>
    <row r="391" spans="1:8" x14ac:dyDescent="0.25">
      <c r="A391" s="65">
        <v>113097</v>
      </c>
      <c r="B391" s="66" t="s">
        <v>1338</v>
      </c>
      <c r="C391" s="6" t="s">
        <v>1397</v>
      </c>
      <c r="D391" s="67">
        <v>74</v>
      </c>
      <c r="E391" s="67">
        <v>2</v>
      </c>
      <c r="F391" s="110"/>
      <c r="G391" s="111"/>
    </row>
    <row r="392" spans="1:8" x14ac:dyDescent="0.25">
      <c r="A392" s="65">
        <v>113180</v>
      </c>
      <c r="B392" s="66" t="s">
        <v>1339</v>
      </c>
      <c r="F392" s="110"/>
      <c r="G392" s="111"/>
    </row>
    <row r="393" spans="1:8" x14ac:dyDescent="0.25">
      <c r="A393" s="65">
        <v>113207</v>
      </c>
      <c r="B393" s="66" t="s">
        <v>1340</v>
      </c>
      <c r="C393" s="6" t="s">
        <v>1420</v>
      </c>
      <c r="D393" s="67">
        <v>51</v>
      </c>
      <c r="E393" s="67">
        <v>21</v>
      </c>
      <c r="F393" s="110"/>
      <c r="G393" s="111"/>
    </row>
    <row r="394" spans="1:8" x14ac:dyDescent="0.25">
      <c r="A394" s="65">
        <v>114255</v>
      </c>
      <c r="B394" s="66" t="s">
        <v>1341</v>
      </c>
      <c r="C394" s="6" t="s">
        <v>1420</v>
      </c>
      <c r="D394" s="67">
        <v>51</v>
      </c>
      <c r="E394" s="67">
        <v>21</v>
      </c>
      <c r="F394" s="110"/>
      <c r="G394" s="111"/>
    </row>
    <row r="395" spans="1:8" x14ac:dyDescent="0.25">
      <c r="A395" s="65">
        <v>115135</v>
      </c>
      <c r="B395" s="66" t="s">
        <v>1031</v>
      </c>
      <c r="C395" s="6" t="s">
        <v>1397</v>
      </c>
      <c r="D395" s="67">
        <v>51</v>
      </c>
      <c r="E395" s="67">
        <v>17</v>
      </c>
      <c r="F395" s="110"/>
      <c r="G395" s="111"/>
    </row>
    <row r="396" spans="1:8" x14ac:dyDescent="0.25">
      <c r="A396" s="65">
        <v>115146</v>
      </c>
      <c r="B396" s="66" t="s">
        <v>1342</v>
      </c>
      <c r="C396" s="6" t="s">
        <v>1397</v>
      </c>
      <c r="D396" s="67">
        <v>55</v>
      </c>
      <c r="E396" s="67">
        <v>32</v>
      </c>
      <c r="F396" s="110"/>
      <c r="G396" s="111"/>
    </row>
    <row r="397" spans="1:8" x14ac:dyDescent="0.25">
      <c r="A397" s="65">
        <v>115149</v>
      </c>
      <c r="B397" s="66" t="s">
        <v>1021</v>
      </c>
      <c r="C397" s="6" t="s">
        <v>1397</v>
      </c>
      <c r="D397" s="67">
        <v>55</v>
      </c>
      <c r="E397" s="67">
        <v>32</v>
      </c>
      <c r="F397" s="110"/>
      <c r="G397" s="111"/>
    </row>
    <row r="398" spans="1:8" x14ac:dyDescent="0.25">
      <c r="A398" s="65">
        <v>115151</v>
      </c>
      <c r="B398" s="66" t="s">
        <v>1343</v>
      </c>
      <c r="C398" s="6" t="s">
        <v>1397</v>
      </c>
      <c r="D398" s="67">
        <v>55</v>
      </c>
      <c r="E398" s="67">
        <v>32</v>
      </c>
      <c r="F398" s="110"/>
      <c r="G398" s="111"/>
    </row>
    <row r="399" spans="1:8" x14ac:dyDescent="0.25">
      <c r="A399" s="65">
        <v>115152</v>
      </c>
      <c r="B399" s="66" t="s">
        <v>1344</v>
      </c>
      <c r="C399" s="6" t="s">
        <v>1397</v>
      </c>
      <c r="D399" s="67">
        <v>55</v>
      </c>
      <c r="E399" s="67">
        <v>32</v>
      </c>
      <c r="F399" s="110"/>
      <c r="G399" s="111"/>
    </row>
    <row r="400" spans="1:8" x14ac:dyDescent="0.25">
      <c r="A400" s="65">
        <v>115154</v>
      </c>
      <c r="B400" s="66" t="s">
        <v>1345</v>
      </c>
      <c r="C400" s="6" t="s">
        <v>1397</v>
      </c>
      <c r="D400" s="67">
        <v>55</v>
      </c>
      <c r="E400" s="67">
        <v>32</v>
      </c>
      <c r="F400" s="110"/>
      <c r="G400" s="111"/>
    </row>
    <row r="401" spans="1:8" x14ac:dyDescent="0.25">
      <c r="A401" s="65">
        <v>115214</v>
      </c>
      <c r="B401" s="66" t="s">
        <v>1346</v>
      </c>
      <c r="C401" s="6" t="s">
        <v>1397</v>
      </c>
      <c r="D401" s="67">
        <v>51</v>
      </c>
      <c r="E401" s="67">
        <v>17</v>
      </c>
      <c r="F401" s="110"/>
      <c r="G401" s="111"/>
    </row>
    <row r="402" spans="1:8" x14ac:dyDescent="0.25">
      <c r="A402" s="65">
        <v>115737</v>
      </c>
      <c r="B402" s="66" t="s">
        <v>1347</v>
      </c>
      <c r="C402" s="6" t="s">
        <v>1420</v>
      </c>
      <c r="D402" s="67">
        <v>51</v>
      </c>
      <c r="E402" s="67">
        <v>20</v>
      </c>
      <c r="F402" s="110"/>
      <c r="G402" s="111"/>
    </row>
    <row r="403" spans="1:8" x14ac:dyDescent="0.25">
      <c r="A403" s="65">
        <v>115781</v>
      </c>
      <c r="B403" s="66" t="s">
        <v>786</v>
      </c>
      <c r="C403" s="6" t="s">
        <v>1404</v>
      </c>
      <c r="D403" s="67">
        <v>55</v>
      </c>
      <c r="E403" s="67">
        <v>64</v>
      </c>
      <c r="F403" s="110" t="s">
        <v>1434</v>
      </c>
      <c r="G403" s="111">
        <v>43901.63380787037</v>
      </c>
    </row>
    <row r="404" spans="1:8" x14ac:dyDescent="0.25">
      <c r="A404" s="65">
        <v>116771</v>
      </c>
      <c r="B404" s="66" t="s">
        <v>1016</v>
      </c>
      <c r="C404" s="6" t="s">
        <v>1418</v>
      </c>
      <c r="D404" s="67">
        <v>69</v>
      </c>
      <c r="E404" s="67">
        <v>1</v>
      </c>
      <c r="F404" s="110"/>
      <c r="G404" s="111"/>
    </row>
    <row r="405" spans="1:8" x14ac:dyDescent="0.25">
      <c r="A405" s="65">
        <v>118243</v>
      </c>
      <c r="B405" s="66" t="s">
        <v>826</v>
      </c>
      <c r="C405" s="6" t="s">
        <v>1397</v>
      </c>
      <c r="D405" s="67">
        <v>89</v>
      </c>
      <c r="E405" s="67">
        <v>12</v>
      </c>
      <c r="F405" s="110" t="s">
        <v>1434</v>
      </c>
      <c r="G405" s="111">
        <v>43875.379710648151</v>
      </c>
    </row>
    <row r="406" spans="1:8" x14ac:dyDescent="0.25">
      <c r="A406" s="65">
        <v>118248</v>
      </c>
      <c r="B406" s="66" t="s">
        <v>1348</v>
      </c>
      <c r="C406" s="6" t="s">
        <v>1420</v>
      </c>
      <c r="D406" s="67">
        <v>51</v>
      </c>
      <c r="E406" s="67">
        <v>21</v>
      </c>
      <c r="F406" s="110"/>
      <c r="G406" s="111"/>
    </row>
    <row r="407" spans="1:8" x14ac:dyDescent="0.25">
      <c r="A407" s="65">
        <v>118578</v>
      </c>
      <c r="B407" s="66" t="s">
        <v>1105</v>
      </c>
      <c r="C407" s="6" t="s">
        <v>1420</v>
      </c>
      <c r="D407" s="67">
        <v>51</v>
      </c>
      <c r="E407" s="67">
        <v>21</v>
      </c>
      <c r="F407" s="110"/>
      <c r="G407" s="111"/>
    </row>
    <row r="408" spans="1:8" x14ac:dyDescent="0.25">
      <c r="A408" s="65">
        <v>118580</v>
      </c>
      <c r="B408" s="66" t="s">
        <v>1106</v>
      </c>
      <c r="C408" s="6" t="s">
        <v>1420</v>
      </c>
      <c r="D408" s="67">
        <v>51</v>
      </c>
      <c r="E408" s="67">
        <v>21</v>
      </c>
      <c r="F408" s="110"/>
      <c r="G408" s="111"/>
    </row>
    <row r="409" spans="1:8" x14ac:dyDescent="0.25">
      <c r="A409" s="65">
        <v>118660</v>
      </c>
      <c r="B409" s="66" t="s">
        <v>1349</v>
      </c>
      <c r="F409" s="110" t="s">
        <v>1434</v>
      </c>
      <c r="G409" s="111">
        <v>43808.444606481484</v>
      </c>
    </row>
    <row r="410" spans="1:8" x14ac:dyDescent="0.25">
      <c r="A410" s="65">
        <v>118779</v>
      </c>
      <c r="B410" s="66" t="s">
        <v>1020</v>
      </c>
      <c r="C410" s="6" t="s">
        <v>1397</v>
      </c>
      <c r="D410" s="67">
        <v>55</v>
      </c>
      <c r="E410" s="67">
        <v>32</v>
      </c>
      <c r="F410" s="110"/>
      <c r="G410" s="111"/>
    </row>
    <row r="411" spans="1:8" x14ac:dyDescent="0.25">
      <c r="A411" s="65">
        <v>118843</v>
      </c>
      <c r="B411" s="66" t="s">
        <v>1116</v>
      </c>
      <c r="C411" s="6" t="s">
        <v>1397</v>
      </c>
      <c r="D411" s="67">
        <v>52</v>
      </c>
      <c r="E411" s="67">
        <v>9</v>
      </c>
      <c r="F411" s="110"/>
      <c r="G411" s="111"/>
    </row>
    <row r="412" spans="1:8" x14ac:dyDescent="0.25">
      <c r="A412" s="65">
        <v>118864</v>
      </c>
      <c r="B412" s="66" t="s">
        <v>1350</v>
      </c>
      <c r="C412" s="6" t="s">
        <v>1397</v>
      </c>
      <c r="D412" s="67">
        <v>51</v>
      </c>
      <c r="E412" s="67">
        <v>9</v>
      </c>
      <c r="F412" s="110" t="s">
        <v>1434</v>
      </c>
      <c r="G412" s="111" t="s">
        <v>1473</v>
      </c>
      <c r="H412">
        <v>136554</v>
      </c>
    </row>
    <row r="413" spans="1:8" x14ac:dyDescent="0.25">
      <c r="A413" s="65">
        <v>118865</v>
      </c>
      <c r="B413" s="66" t="s">
        <v>1351</v>
      </c>
      <c r="C413" s="6" t="s">
        <v>1397</v>
      </c>
      <c r="D413" s="67">
        <v>51</v>
      </c>
      <c r="E413" s="67">
        <v>9</v>
      </c>
      <c r="F413" s="110" t="s">
        <v>1434</v>
      </c>
      <c r="G413" s="111" t="s">
        <v>1483</v>
      </c>
      <c r="H413">
        <v>136555</v>
      </c>
    </row>
    <row r="414" spans="1:8" x14ac:dyDescent="0.25">
      <c r="A414" s="65">
        <v>118993</v>
      </c>
      <c r="B414" s="66" t="s">
        <v>1139</v>
      </c>
      <c r="C414" s="6" t="s">
        <v>1420</v>
      </c>
      <c r="D414" s="67">
        <v>51</v>
      </c>
      <c r="E414" s="67">
        <v>21</v>
      </c>
      <c r="F414" s="110"/>
      <c r="G414" s="111"/>
    </row>
    <row r="415" spans="1:8" x14ac:dyDescent="0.25">
      <c r="A415" s="65">
        <v>118994</v>
      </c>
      <c r="B415" s="66" t="s">
        <v>83</v>
      </c>
      <c r="C415" s="6" t="s">
        <v>1420</v>
      </c>
      <c r="D415" s="67">
        <v>51</v>
      </c>
      <c r="E415" s="67">
        <v>21</v>
      </c>
      <c r="F415" s="110"/>
      <c r="G415" s="111"/>
    </row>
    <row r="416" spans="1:8" x14ac:dyDescent="0.25">
      <c r="A416" s="65">
        <v>119008</v>
      </c>
      <c r="B416" s="66" t="s">
        <v>623</v>
      </c>
      <c r="C416" s="6" t="s">
        <v>1404</v>
      </c>
      <c r="D416" s="67">
        <v>55</v>
      </c>
      <c r="E416" s="67">
        <v>62</v>
      </c>
      <c r="F416" s="110" t="s">
        <v>1434</v>
      </c>
      <c r="G416" s="111">
        <v>43875.457731481481</v>
      </c>
    </row>
    <row r="417" spans="1:8" x14ac:dyDescent="0.25">
      <c r="A417" s="65">
        <v>119182</v>
      </c>
      <c r="B417" s="66" t="s">
        <v>1352</v>
      </c>
      <c r="C417" s="6" t="s">
        <v>1404</v>
      </c>
      <c r="D417" s="67">
        <v>55</v>
      </c>
      <c r="E417" s="67">
        <v>37</v>
      </c>
      <c r="F417" s="110"/>
      <c r="G417" s="111"/>
      <c r="H417">
        <v>136083</v>
      </c>
    </row>
    <row r="418" spans="1:8" x14ac:dyDescent="0.25">
      <c r="A418" s="65">
        <v>119183</v>
      </c>
      <c r="B418" s="66" t="s">
        <v>1097</v>
      </c>
      <c r="C418" s="6" t="s">
        <v>1404</v>
      </c>
      <c r="D418" s="67">
        <v>55</v>
      </c>
      <c r="E418" s="67">
        <v>37</v>
      </c>
      <c r="F418" s="110"/>
      <c r="G418" s="111"/>
    </row>
    <row r="419" spans="1:8" x14ac:dyDescent="0.25">
      <c r="A419" s="65">
        <v>119514</v>
      </c>
      <c r="B419" s="66" t="s">
        <v>1067</v>
      </c>
      <c r="C419" s="6" t="s">
        <v>1413</v>
      </c>
      <c r="D419" s="67">
        <v>51</v>
      </c>
      <c r="E419" s="67">
        <v>28</v>
      </c>
      <c r="F419" s="110" t="s">
        <v>1434</v>
      </c>
      <c r="G419" s="111" t="s">
        <v>1484</v>
      </c>
    </row>
    <row r="420" spans="1:8" x14ac:dyDescent="0.25">
      <c r="A420" s="65">
        <v>119626</v>
      </c>
      <c r="B420" s="66" t="s">
        <v>1092</v>
      </c>
      <c r="C420" s="6" t="s">
        <v>1420</v>
      </c>
      <c r="D420" s="67">
        <v>51</v>
      </c>
      <c r="E420" s="67">
        <v>19</v>
      </c>
      <c r="F420" s="110"/>
      <c r="G420" s="111"/>
    </row>
    <row r="421" spans="1:8" x14ac:dyDescent="0.25">
      <c r="A421" s="65">
        <v>119627</v>
      </c>
      <c r="B421" s="66" t="s">
        <v>192</v>
      </c>
      <c r="C421" s="6" t="s">
        <v>1413</v>
      </c>
      <c r="D421" s="67">
        <v>55</v>
      </c>
      <c r="E421" s="67">
        <v>19</v>
      </c>
      <c r="F421" s="110" t="s">
        <v>1462</v>
      </c>
      <c r="G421" s="111">
        <v>44104.394143518519</v>
      </c>
      <c r="H421">
        <v>140050</v>
      </c>
    </row>
    <row r="422" spans="1:8" x14ac:dyDescent="0.25">
      <c r="A422" s="65">
        <v>119628</v>
      </c>
      <c r="B422" s="66" t="s">
        <v>199</v>
      </c>
      <c r="C422" s="6" t="s">
        <v>1413</v>
      </c>
      <c r="D422" s="67">
        <v>55</v>
      </c>
      <c r="E422" s="67">
        <v>19</v>
      </c>
      <c r="F422" s="110" t="s">
        <v>1462</v>
      </c>
      <c r="G422" s="111">
        <v>44104.394143518519</v>
      </c>
      <c r="H422">
        <v>140053</v>
      </c>
    </row>
    <row r="423" spans="1:8" x14ac:dyDescent="0.25">
      <c r="A423" s="65">
        <v>119793</v>
      </c>
      <c r="B423" s="66" t="s">
        <v>1353</v>
      </c>
      <c r="C423" s="6" t="s">
        <v>1420</v>
      </c>
      <c r="D423" s="67">
        <v>51</v>
      </c>
      <c r="E423" s="67">
        <v>19</v>
      </c>
      <c r="F423" s="110"/>
      <c r="G423" s="111"/>
    </row>
    <row r="424" spans="1:8" x14ac:dyDescent="0.25">
      <c r="A424" s="65">
        <v>119794</v>
      </c>
      <c r="B424" s="66" t="s">
        <v>1354</v>
      </c>
      <c r="C424" s="6" t="s">
        <v>1420</v>
      </c>
      <c r="D424" s="67">
        <v>51</v>
      </c>
      <c r="E424" s="67">
        <v>19</v>
      </c>
      <c r="F424" s="110"/>
      <c r="G424" s="111"/>
    </row>
    <row r="425" spans="1:8" x14ac:dyDescent="0.25">
      <c r="A425" s="65">
        <v>119795</v>
      </c>
      <c r="B425" s="66" t="s">
        <v>1094</v>
      </c>
      <c r="C425" s="6" t="s">
        <v>1420</v>
      </c>
      <c r="D425" s="67">
        <v>51</v>
      </c>
      <c r="E425" s="67">
        <v>19</v>
      </c>
      <c r="F425" s="110"/>
      <c r="G425" s="111"/>
    </row>
    <row r="426" spans="1:8" x14ac:dyDescent="0.25">
      <c r="A426" s="65">
        <v>119796</v>
      </c>
      <c r="B426" s="66" t="s">
        <v>1093</v>
      </c>
      <c r="C426" s="6" t="s">
        <v>1420</v>
      </c>
      <c r="D426" s="67">
        <v>51</v>
      </c>
      <c r="E426" s="67">
        <v>19</v>
      </c>
      <c r="F426" s="110"/>
      <c r="G426" s="111"/>
    </row>
    <row r="427" spans="1:8" x14ac:dyDescent="0.25">
      <c r="A427" s="65">
        <v>119798</v>
      </c>
      <c r="B427" s="66" t="s">
        <v>1355</v>
      </c>
      <c r="C427" s="6" t="s">
        <v>1420</v>
      </c>
      <c r="D427" s="67">
        <v>51</v>
      </c>
      <c r="E427" s="67">
        <v>19</v>
      </c>
      <c r="F427" s="110"/>
      <c r="G427" s="111"/>
    </row>
    <row r="428" spans="1:8" x14ac:dyDescent="0.25">
      <c r="A428" s="65">
        <v>119810</v>
      </c>
      <c r="B428" s="66" t="s">
        <v>538</v>
      </c>
      <c r="C428" s="6" t="s">
        <v>1397</v>
      </c>
      <c r="D428" s="67">
        <v>55</v>
      </c>
      <c r="E428" s="67">
        <v>52</v>
      </c>
      <c r="F428" s="110" t="s">
        <v>1434</v>
      </c>
      <c r="G428" s="111">
        <v>43901.63380787037</v>
      </c>
    </row>
    <row r="429" spans="1:8" x14ac:dyDescent="0.25">
      <c r="A429" s="65">
        <v>119811</v>
      </c>
      <c r="B429" s="66" t="s">
        <v>539</v>
      </c>
      <c r="C429" s="6" t="s">
        <v>1397</v>
      </c>
      <c r="D429" s="67">
        <v>55</v>
      </c>
      <c r="E429" s="67">
        <v>52</v>
      </c>
      <c r="F429" s="110" t="s">
        <v>1434</v>
      </c>
      <c r="G429" s="111">
        <v>43901.63380787037</v>
      </c>
    </row>
    <row r="430" spans="1:8" x14ac:dyDescent="0.25">
      <c r="A430" s="65">
        <v>120217</v>
      </c>
      <c r="B430" s="66" t="s">
        <v>1356</v>
      </c>
      <c r="C430" s="6" t="s">
        <v>1397</v>
      </c>
      <c r="D430" s="67">
        <v>84</v>
      </c>
      <c r="E430" s="67">
        <v>1</v>
      </c>
      <c r="F430" s="110"/>
      <c r="G430" s="111"/>
    </row>
    <row r="431" spans="1:8" x14ac:dyDescent="0.25">
      <c r="A431" s="65">
        <v>120477</v>
      </c>
      <c r="B431" s="66" t="s">
        <v>540</v>
      </c>
      <c r="C431" s="6" t="s">
        <v>1397</v>
      </c>
      <c r="D431" s="67">
        <v>55</v>
      </c>
      <c r="E431" s="67">
        <v>63</v>
      </c>
      <c r="F431" s="110" t="s">
        <v>1434</v>
      </c>
      <c r="G431" s="111">
        <v>43901.63380787037</v>
      </c>
    </row>
    <row r="432" spans="1:8" x14ac:dyDescent="0.25">
      <c r="A432" s="65">
        <v>121214</v>
      </c>
      <c r="B432" s="66" t="s">
        <v>1357</v>
      </c>
      <c r="C432" s="6" t="s">
        <v>1404</v>
      </c>
      <c r="D432" s="67">
        <v>83</v>
      </c>
      <c r="E432" s="67">
        <v>8</v>
      </c>
      <c r="F432" s="110" t="s">
        <v>1434</v>
      </c>
      <c r="G432" s="111" t="s">
        <v>1485</v>
      </c>
    </row>
    <row r="433" spans="1:8" x14ac:dyDescent="0.25">
      <c r="A433" s="65">
        <v>121292</v>
      </c>
      <c r="B433" s="66" t="s">
        <v>1358</v>
      </c>
      <c r="C433" s="6" t="s">
        <v>1404</v>
      </c>
      <c r="D433" s="67">
        <v>55</v>
      </c>
      <c r="E433" s="67">
        <v>49</v>
      </c>
      <c r="F433" s="110" t="s">
        <v>1434</v>
      </c>
      <c r="G433" s="111">
        <v>43808.481793981482</v>
      </c>
      <c r="H433">
        <v>136898</v>
      </c>
    </row>
    <row r="434" spans="1:8" x14ac:dyDescent="0.25">
      <c r="A434" s="65">
        <v>122153</v>
      </c>
      <c r="B434" s="66" t="s">
        <v>1028</v>
      </c>
      <c r="C434" s="6" t="s">
        <v>1397</v>
      </c>
      <c r="D434" s="67">
        <v>55</v>
      </c>
      <c r="E434" s="67">
        <v>46</v>
      </c>
      <c r="F434" s="110"/>
      <c r="G434" s="111"/>
    </row>
    <row r="435" spans="1:8" x14ac:dyDescent="0.25">
      <c r="A435" s="65">
        <v>122154</v>
      </c>
      <c r="B435" s="66" t="s">
        <v>1072</v>
      </c>
      <c r="C435" s="6" t="s">
        <v>1404</v>
      </c>
      <c r="D435" s="67">
        <v>55</v>
      </c>
      <c r="E435" s="67">
        <v>63</v>
      </c>
      <c r="F435" s="110"/>
      <c r="G435" s="111"/>
    </row>
    <row r="436" spans="1:8" x14ac:dyDescent="0.25">
      <c r="A436" s="65">
        <v>122545</v>
      </c>
      <c r="B436" s="66" t="s">
        <v>1359</v>
      </c>
      <c r="C436" s="6" t="s">
        <v>1397</v>
      </c>
      <c r="D436" s="67">
        <v>84</v>
      </c>
      <c r="E436" s="67">
        <v>2</v>
      </c>
      <c r="F436" s="110"/>
      <c r="G436" s="111"/>
    </row>
    <row r="437" spans="1:8" x14ac:dyDescent="0.25">
      <c r="A437" s="65">
        <v>123241</v>
      </c>
      <c r="B437" s="66" t="s">
        <v>720</v>
      </c>
      <c r="C437" s="6" t="s">
        <v>1409</v>
      </c>
      <c r="D437" s="67">
        <v>69</v>
      </c>
      <c r="E437" s="67">
        <v>2</v>
      </c>
      <c r="F437" s="110" t="s">
        <v>1462</v>
      </c>
      <c r="G437" s="111">
        <v>44237.476643518516</v>
      </c>
    </row>
    <row r="438" spans="1:8" x14ac:dyDescent="0.25">
      <c r="A438" s="65">
        <v>123347</v>
      </c>
      <c r="B438" s="66" t="s">
        <v>1098</v>
      </c>
      <c r="C438" s="6" t="s">
        <v>1417</v>
      </c>
      <c r="D438" s="67">
        <v>67</v>
      </c>
      <c r="E438" s="67">
        <v>7</v>
      </c>
      <c r="F438" s="110"/>
      <c r="G438" s="111"/>
    </row>
    <row r="439" spans="1:8" x14ac:dyDescent="0.25">
      <c r="A439" s="65">
        <v>123348</v>
      </c>
      <c r="B439" s="66" t="s">
        <v>1099</v>
      </c>
      <c r="C439" s="6" t="s">
        <v>1417</v>
      </c>
      <c r="D439" s="67">
        <v>67</v>
      </c>
      <c r="E439" s="67">
        <v>7</v>
      </c>
      <c r="F439" s="110"/>
      <c r="G439" s="111"/>
    </row>
    <row r="440" spans="1:8" x14ac:dyDescent="0.25">
      <c r="A440" s="65">
        <v>123351</v>
      </c>
      <c r="B440" s="66" t="s">
        <v>1100</v>
      </c>
      <c r="C440" s="6" t="s">
        <v>1417</v>
      </c>
      <c r="D440" s="67">
        <v>67</v>
      </c>
      <c r="E440" s="67">
        <v>7</v>
      </c>
      <c r="F440" s="110"/>
      <c r="G440" s="111"/>
    </row>
    <row r="441" spans="1:8" x14ac:dyDescent="0.25">
      <c r="A441" s="65">
        <v>123352</v>
      </c>
      <c r="B441" s="66" t="s">
        <v>1101</v>
      </c>
      <c r="C441" s="6" t="s">
        <v>1417</v>
      </c>
      <c r="D441" s="67">
        <v>67</v>
      </c>
      <c r="E441" s="67">
        <v>7</v>
      </c>
      <c r="F441" s="110"/>
      <c r="G441" s="111"/>
    </row>
    <row r="442" spans="1:8" x14ac:dyDescent="0.25">
      <c r="A442" s="65">
        <v>123353</v>
      </c>
      <c r="B442" s="66" t="s">
        <v>1102</v>
      </c>
      <c r="C442" s="6" t="s">
        <v>1417</v>
      </c>
      <c r="D442" s="67">
        <v>67</v>
      </c>
      <c r="E442" s="67">
        <v>7</v>
      </c>
      <c r="F442" s="110"/>
      <c r="G442" s="111"/>
    </row>
    <row r="443" spans="1:8" x14ac:dyDescent="0.25">
      <c r="A443" s="65">
        <v>123371</v>
      </c>
      <c r="B443" s="66" t="s">
        <v>193</v>
      </c>
      <c r="C443" s="6" t="s">
        <v>1413</v>
      </c>
      <c r="D443" s="67">
        <v>55</v>
      </c>
      <c r="E443" s="67">
        <v>19</v>
      </c>
      <c r="F443" s="110" t="s">
        <v>1462</v>
      </c>
      <c r="G443" s="111">
        <v>44104.394143518519</v>
      </c>
      <c r="H443">
        <v>140061</v>
      </c>
    </row>
    <row r="444" spans="1:8" x14ac:dyDescent="0.25">
      <c r="A444" s="65">
        <v>123373</v>
      </c>
      <c r="B444" s="66" t="s">
        <v>204</v>
      </c>
      <c r="C444" s="6" t="s">
        <v>1413</v>
      </c>
      <c r="D444" s="67">
        <v>55</v>
      </c>
      <c r="E444" s="67">
        <v>19</v>
      </c>
      <c r="F444" s="110" t="s">
        <v>1462</v>
      </c>
      <c r="G444" s="111">
        <v>44104.394143518519</v>
      </c>
      <c r="H444">
        <v>140060</v>
      </c>
    </row>
    <row r="445" spans="1:8" x14ac:dyDescent="0.25">
      <c r="A445" s="65">
        <v>124241</v>
      </c>
      <c r="B445" s="66" t="s">
        <v>1360</v>
      </c>
      <c r="C445" s="6" t="s">
        <v>1404</v>
      </c>
      <c r="D445" s="67">
        <v>61</v>
      </c>
      <c r="E445" s="67">
        <v>10</v>
      </c>
      <c r="F445" s="110" t="s">
        <v>1462</v>
      </c>
      <c r="G445" s="111">
        <v>43682.372615740744</v>
      </c>
      <c r="H445">
        <v>138054</v>
      </c>
    </row>
    <row r="446" spans="1:8" x14ac:dyDescent="0.25">
      <c r="A446" s="65">
        <v>124335</v>
      </c>
      <c r="B446" s="66" t="s">
        <v>1361</v>
      </c>
      <c r="C446" s="6" t="s">
        <v>1397</v>
      </c>
      <c r="D446" s="67">
        <v>55</v>
      </c>
      <c r="E446" s="67">
        <v>49</v>
      </c>
      <c r="F446" s="110" t="s">
        <v>1434</v>
      </c>
      <c r="G446" s="111">
        <v>43734.501006944447</v>
      </c>
      <c r="H446">
        <v>138547</v>
      </c>
    </row>
    <row r="447" spans="1:8" x14ac:dyDescent="0.25">
      <c r="A447" s="65">
        <v>124980</v>
      </c>
      <c r="B447" s="66" t="s">
        <v>206</v>
      </c>
      <c r="C447" s="6" t="s">
        <v>1413</v>
      </c>
      <c r="D447" s="67">
        <v>55</v>
      </c>
      <c r="E447" s="67">
        <v>19</v>
      </c>
      <c r="F447" s="110" t="s">
        <v>1462</v>
      </c>
      <c r="G447" s="111">
        <v>44104.394143518519</v>
      </c>
      <c r="H447">
        <v>140056</v>
      </c>
    </row>
    <row r="448" spans="1:8" x14ac:dyDescent="0.25">
      <c r="A448" s="65">
        <v>125260</v>
      </c>
      <c r="B448" s="66" t="s">
        <v>1362</v>
      </c>
      <c r="C448" s="6" t="s">
        <v>1420</v>
      </c>
      <c r="D448" s="67">
        <v>51</v>
      </c>
      <c r="E448" s="67">
        <v>21</v>
      </c>
      <c r="F448" s="110"/>
      <c r="G448" s="111"/>
    </row>
    <row r="449" spans="1:7" x14ac:dyDescent="0.25">
      <c r="A449" s="65">
        <v>125443</v>
      </c>
      <c r="B449" s="66" t="s">
        <v>1076</v>
      </c>
      <c r="C449" s="6" t="s">
        <v>1404</v>
      </c>
      <c r="D449" s="67">
        <v>55</v>
      </c>
      <c r="E449" s="67">
        <v>63</v>
      </c>
      <c r="F449" s="110"/>
      <c r="G449" s="111"/>
    </row>
    <row r="450" spans="1:7" x14ac:dyDescent="0.25">
      <c r="A450" s="65">
        <v>125576</v>
      </c>
      <c r="B450" s="66" t="s">
        <v>1108</v>
      </c>
      <c r="C450" s="6" t="s">
        <v>1404</v>
      </c>
      <c r="D450" s="67">
        <v>84</v>
      </c>
      <c r="E450" s="67">
        <v>7</v>
      </c>
      <c r="F450" s="110"/>
      <c r="G450" s="111"/>
    </row>
    <row r="451" spans="1:7" x14ac:dyDescent="0.25">
      <c r="A451" s="65">
        <v>126076</v>
      </c>
      <c r="B451" s="66" t="s">
        <v>541</v>
      </c>
      <c r="C451" s="6" t="s">
        <v>1404</v>
      </c>
      <c r="D451" s="67">
        <v>55</v>
      </c>
      <c r="E451" s="67">
        <v>57</v>
      </c>
      <c r="F451" s="110" t="s">
        <v>1434</v>
      </c>
      <c r="G451" s="111">
        <v>43901.63380787037</v>
      </c>
    </row>
    <row r="452" spans="1:7" x14ac:dyDescent="0.25">
      <c r="A452" s="65">
        <v>126078</v>
      </c>
      <c r="B452" s="66" t="s">
        <v>1363</v>
      </c>
      <c r="C452" s="6" t="s">
        <v>1404</v>
      </c>
      <c r="D452" s="67">
        <v>55</v>
      </c>
      <c r="E452" s="67">
        <v>37</v>
      </c>
      <c r="F452" s="110"/>
      <c r="G452" s="111"/>
    </row>
    <row r="453" spans="1:7" x14ac:dyDescent="0.25">
      <c r="A453" s="65">
        <v>126079</v>
      </c>
      <c r="B453" s="66" t="s">
        <v>1364</v>
      </c>
      <c r="C453" s="6" t="s">
        <v>1404</v>
      </c>
      <c r="D453" s="67">
        <v>55</v>
      </c>
      <c r="E453" s="67">
        <v>26</v>
      </c>
      <c r="F453" s="110"/>
      <c r="G453" s="111"/>
    </row>
    <row r="454" spans="1:7" x14ac:dyDescent="0.25">
      <c r="A454" s="65">
        <v>126080</v>
      </c>
      <c r="B454" s="66" t="s">
        <v>1071</v>
      </c>
      <c r="C454" s="6" t="s">
        <v>1404</v>
      </c>
      <c r="D454" s="67">
        <v>55</v>
      </c>
      <c r="E454" s="67">
        <v>26</v>
      </c>
      <c r="F454" s="110"/>
      <c r="G454" s="111"/>
    </row>
    <row r="455" spans="1:7" x14ac:dyDescent="0.25">
      <c r="A455" s="65">
        <v>126081</v>
      </c>
      <c r="B455" s="66" t="s">
        <v>1365</v>
      </c>
      <c r="C455" s="6" t="s">
        <v>1404</v>
      </c>
      <c r="D455" s="67">
        <v>55</v>
      </c>
      <c r="E455" s="67">
        <v>26</v>
      </c>
      <c r="F455" s="110"/>
      <c r="G455" s="111"/>
    </row>
    <row r="456" spans="1:7" x14ac:dyDescent="0.25">
      <c r="A456" s="65">
        <v>126127</v>
      </c>
      <c r="B456" s="66" t="s">
        <v>1070</v>
      </c>
      <c r="C456" s="6" t="s">
        <v>1404</v>
      </c>
      <c r="D456" s="67">
        <v>55</v>
      </c>
      <c r="E456" s="67">
        <v>26</v>
      </c>
      <c r="F456" s="110"/>
      <c r="G456" s="111"/>
    </row>
    <row r="457" spans="1:7" x14ac:dyDescent="0.25">
      <c r="A457" s="65">
        <v>126343</v>
      </c>
      <c r="B457" s="66" t="s">
        <v>1366</v>
      </c>
      <c r="C457" s="6" t="s">
        <v>1420</v>
      </c>
      <c r="D457" s="67">
        <v>51</v>
      </c>
      <c r="E457" s="67">
        <v>21</v>
      </c>
      <c r="F457" s="110"/>
      <c r="G457" s="111"/>
    </row>
    <row r="458" spans="1:7" x14ac:dyDescent="0.25">
      <c r="A458" s="65">
        <v>126344</v>
      </c>
      <c r="B458" s="66" t="s">
        <v>1367</v>
      </c>
      <c r="C458" s="6" t="s">
        <v>1420</v>
      </c>
      <c r="D458" s="67">
        <v>51</v>
      </c>
      <c r="E458" s="67">
        <v>21</v>
      </c>
      <c r="F458" s="110"/>
      <c r="G458" s="111"/>
    </row>
    <row r="459" spans="1:7" x14ac:dyDescent="0.25">
      <c r="A459" s="65">
        <v>127331</v>
      </c>
      <c r="B459" s="66" t="s">
        <v>120</v>
      </c>
      <c r="C459" s="6" t="s">
        <v>1402</v>
      </c>
      <c r="D459" s="67">
        <v>72</v>
      </c>
      <c r="E459" s="67">
        <v>8</v>
      </c>
      <c r="F459" s="110" t="s">
        <v>1462</v>
      </c>
      <c r="G459" s="111">
        <v>44258.722500000003</v>
      </c>
    </row>
    <row r="460" spans="1:7" x14ac:dyDescent="0.25">
      <c r="A460" s="65">
        <v>127963</v>
      </c>
      <c r="B460" s="66" t="s">
        <v>230</v>
      </c>
      <c r="C460" s="6" t="s">
        <v>1397</v>
      </c>
      <c r="D460" s="67">
        <v>55</v>
      </c>
      <c r="E460" s="67">
        <v>34</v>
      </c>
      <c r="F460" s="110" t="s">
        <v>1434</v>
      </c>
      <c r="G460" s="111">
        <v>43875.454641203702</v>
      </c>
    </row>
    <row r="461" spans="1:7" x14ac:dyDescent="0.25">
      <c r="A461" s="65">
        <v>128301</v>
      </c>
      <c r="B461" s="66" t="s">
        <v>1368</v>
      </c>
      <c r="C461" s="6" t="s">
        <v>1397</v>
      </c>
      <c r="D461" s="67">
        <v>55</v>
      </c>
      <c r="E461" s="67">
        <v>62</v>
      </c>
      <c r="F461" s="110"/>
      <c r="G461" s="111"/>
    </row>
    <row r="462" spans="1:7" x14ac:dyDescent="0.25">
      <c r="A462" s="65">
        <v>128302</v>
      </c>
      <c r="B462" s="66" t="s">
        <v>1161</v>
      </c>
      <c r="C462" s="6" t="s">
        <v>1397</v>
      </c>
      <c r="D462" s="67">
        <v>54</v>
      </c>
      <c r="E462" s="67">
        <v>16</v>
      </c>
      <c r="F462" s="110" t="s">
        <v>1434</v>
      </c>
      <c r="G462" s="111" t="s">
        <v>1472</v>
      </c>
    </row>
    <row r="463" spans="1:7" x14ac:dyDescent="0.25">
      <c r="A463" s="65">
        <v>128306</v>
      </c>
      <c r="B463" s="66" t="s">
        <v>1149</v>
      </c>
      <c r="C463" s="6" t="s">
        <v>1397</v>
      </c>
      <c r="D463" s="67">
        <v>54</v>
      </c>
      <c r="E463" s="67">
        <v>16</v>
      </c>
      <c r="F463" s="110" t="s">
        <v>1434</v>
      </c>
      <c r="G463" s="111" t="s">
        <v>1472</v>
      </c>
    </row>
    <row r="464" spans="1:7" x14ac:dyDescent="0.25">
      <c r="A464" s="65">
        <v>128307</v>
      </c>
      <c r="B464" s="66" t="s">
        <v>160</v>
      </c>
      <c r="C464" s="6" t="s">
        <v>1397</v>
      </c>
      <c r="D464" s="67">
        <v>54</v>
      </c>
      <c r="E464" s="67">
        <v>16</v>
      </c>
      <c r="F464" s="110" t="s">
        <v>1434</v>
      </c>
      <c r="G464" s="111">
        <v>44018.628750000003</v>
      </c>
    </row>
    <row r="465" spans="1:8" x14ac:dyDescent="0.25">
      <c r="A465" s="65">
        <v>128308</v>
      </c>
      <c r="B465" s="66" t="s">
        <v>1144</v>
      </c>
      <c r="C465" s="6" t="s">
        <v>1397</v>
      </c>
      <c r="D465" s="67">
        <v>56</v>
      </c>
      <c r="E465" s="67">
        <v>1</v>
      </c>
      <c r="F465" s="110" t="s">
        <v>1434</v>
      </c>
      <c r="G465" s="111" t="s">
        <v>1486</v>
      </c>
    </row>
    <row r="466" spans="1:8" x14ac:dyDescent="0.25">
      <c r="A466" s="65">
        <v>128309</v>
      </c>
      <c r="B466" s="66" t="s">
        <v>1145</v>
      </c>
      <c r="C466" s="6" t="s">
        <v>1397</v>
      </c>
      <c r="D466" s="67">
        <v>56</v>
      </c>
      <c r="E466" s="67">
        <v>1</v>
      </c>
      <c r="F466" s="110" t="s">
        <v>1434</v>
      </c>
      <c r="G466" s="111" t="s">
        <v>1486</v>
      </c>
    </row>
    <row r="467" spans="1:8" x14ac:dyDescent="0.25">
      <c r="A467" s="65">
        <v>128389</v>
      </c>
      <c r="B467" s="66" t="s">
        <v>775</v>
      </c>
      <c r="C467" s="6" t="s">
        <v>1397</v>
      </c>
      <c r="D467" s="67">
        <v>55</v>
      </c>
      <c r="E467" s="67">
        <v>5</v>
      </c>
      <c r="F467" s="110" t="s">
        <v>1462</v>
      </c>
      <c r="G467" s="111">
        <v>44069.495046296295</v>
      </c>
    </row>
    <row r="468" spans="1:8" x14ac:dyDescent="0.25">
      <c r="A468" s="65">
        <v>128392</v>
      </c>
      <c r="B468" s="66" t="s">
        <v>1056</v>
      </c>
      <c r="C468" s="6" t="s">
        <v>1408</v>
      </c>
      <c r="D468" s="67">
        <v>70</v>
      </c>
      <c r="E468" s="67">
        <v>47</v>
      </c>
      <c r="F468" s="110"/>
      <c r="G468" s="111"/>
    </row>
    <row r="469" spans="1:8" x14ac:dyDescent="0.25">
      <c r="A469" s="65">
        <v>128458</v>
      </c>
      <c r="B469" s="66" t="s">
        <v>1127</v>
      </c>
      <c r="C469" s="6" t="s">
        <v>1404</v>
      </c>
      <c r="D469" s="67">
        <v>54</v>
      </c>
      <c r="E469" s="67">
        <v>16</v>
      </c>
      <c r="F469" s="110" t="s">
        <v>1434</v>
      </c>
      <c r="G469" s="111" t="s">
        <v>1472</v>
      </c>
    </row>
    <row r="470" spans="1:8" x14ac:dyDescent="0.25">
      <c r="A470" s="65">
        <v>128817</v>
      </c>
      <c r="B470" s="66" t="s">
        <v>859</v>
      </c>
      <c r="C470" s="6" t="s">
        <v>1404</v>
      </c>
      <c r="D470" s="67">
        <v>55</v>
      </c>
      <c r="E470" s="67">
        <v>32</v>
      </c>
      <c r="F470" s="110" t="s">
        <v>1462</v>
      </c>
      <c r="G470" s="111">
        <v>44237.606608796297</v>
      </c>
    </row>
    <row r="471" spans="1:8" x14ac:dyDescent="0.25">
      <c r="A471" s="65">
        <v>128832</v>
      </c>
      <c r="B471" s="66" t="s">
        <v>1107</v>
      </c>
      <c r="C471" s="6" t="s">
        <v>1404</v>
      </c>
      <c r="D471" s="67">
        <v>84</v>
      </c>
      <c r="E471" s="67">
        <v>5</v>
      </c>
      <c r="F471" s="110"/>
      <c r="G471" s="111"/>
    </row>
    <row r="472" spans="1:8" x14ac:dyDescent="0.25">
      <c r="A472" s="65">
        <v>129959</v>
      </c>
      <c r="B472" s="66" t="s">
        <v>194</v>
      </c>
      <c r="C472" s="6" t="s">
        <v>1413</v>
      </c>
      <c r="D472" s="67">
        <v>55</v>
      </c>
      <c r="E472" s="67">
        <v>19</v>
      </c>
      <c r="F472" s="110" t="s">
        <v>1462</v>
      </c>
      <c r="G472" s="111">
        <v>44104.394143518519</v>
      </c>
      <c r="H472">
        <v>140047</v>
      </c>
    </row>
    <row r="473" spans="1:8" x14ac:dyDescent="0.25">
      <c r="A473" s="65">
        <v>129979</v>
      </c>
      <c r="B473" s="66" t="s">
        <v>1024</v>
      </c>
      <c r="C473" s="6" t="s">
        <v>1404</v>
      </c>
      <c r="D473" s="67">
        <v>61</v>
      </c>
      <c r="E473" s="67">
        <v>8</v>
      </c>
      <c r="F473" s="110" t="s">
        <v>1434</v>
      </c>
      <c r="G473" s="111" t="s">
        <v>1487</v>
      </c>
    </row>
    <row r="474" spans="1:8" x14ac:dyDescent="0.25">
      <c r="A474" s="65">
        <v>130157</v>
      </c>
      <c r="B474" s="66" t="s">
        <v>1007</v>
      </c>
      <c r="C474" s="6" t="s">
        <v>1413</v>
      </c>
      <c r="D474" s="67">
        <v>56</v>
      </c>
      <c r="E474" s="67">
        <v>9</v>
      </c>
      <c r="F474" s="110" t="s">
        <v>1434</v>
      </c>
      <c r="G474" s="111" t="s">
        <v>1486</v>
      </c>
    </row>
    <row r="475" spans="1:8" x14ac:dyDescent="0.25">
      <c r="A475" s="65">
        <v>130564</v>
      </c>
      <c r="B475" s="66" t="s">
        <v>1369</v>
      </c>
      <c r="C475" s="6" t="s">
        <v>1404</v>
      </c>
      <c r="D475" s="67">
        <v>54</v>
      </c>
      <c r="E475" s="67">
        <v>4</v>
      </c>
      <c r="F475" s="110" t="s">
        <v>1434</v>
      </c>
      <c r="G475" s="111">
        <v>43825.339375000003</v>
      </c>
    </row>
    <row r="476" spans="1:8" x14ac:dyDescent="0.25">
      <c r="A476" s="65">
        <v>130740</v>
      </c>
      <c r="B476" s="66" t="s">
        <v>1370</v>
      </c>
      <c r="C476" s="6" t="s">
        <v>1397</v>
      </c>
      <c r="D476" s="67">
        <v>54</v>
      </c>
      <c r="E476" s="67">
        <v>4</v>
      </c>
      <c r="F476" s="110" t="s">
        <v>1434</v>
      </c>
      <c r="G476" s="111">
        <v>43846.392233796294</v>
      </c>
    </row>
    <row r="477" spans="1:8" x14ac:dyDescent="0.25">
      <c r="A477" s="65">
        <v>131195</v>
      </c>
      <c r="B477" s="66" t="s">
        <v>1371</v>
      </c>
      <c r="C477" s="6" t="s">
        <v>1409</v>
      </c>
      <c r="D477" s="67">
        <v>61</v>
      </c>
      <c r="E477" s="67">
        <v>3</v>
      </c>
      <c r="F477" s="110"/>
      <c r="G477" s="111"/>
    </row>
    <row r="478" spans="1:8" x14ac:dyDescent="0.25">
      <c r="A478" s="65">
        <v>131221</v>
      </c>
      <c r="B478" s="66" t="s">
        <v>1372</v>
      </c>
      <c r="C478" s="6" t="s">
        <v>1418</v>
      </c>
      <c r="D478" s="67">
        <v>59</v>
      </c>
      <c r="E478" s="67">
        <v>35</v>
      </c>
      <c r="F478" s="110" t="s">
        <v>1434</v>
      </c>
      <c r="G478" s="111">
        <v>43808.459768518522</v>
      </c>
    </row>
    <row r="479" spans="1:8" x14ac:dyDescent="0.25">
      <c r="A479" s="65">
        <v>131579</v>
      </c>
      <c r="B479" s="66" t="s">
        <v>1373</v>
      </c>
      <c r="C479" s="6" t="s">
        <v>1404</v>
      </c>
      <c r="D479" s="67">
        <v>54</v>
      </c>
      <c r="E479" s="67">
        <v>4</v>
      </c>
      <c r="F479" s="110" t="s">
        <v>1434</v>
      </c>
      <c r="G479" s="111">
        <v>43713.472581018519</v>
      </c>
    </row>
    <row r="480" spans="1:8" x14ac:dyDescent="0.25">
      <c r="A480" s="65">
        <v>131931</v>
      </c>
      <c r="B480" s="66" t="s">
        <v>499</v>
      </c>
      <c r="C480" s="6" t="s">
        <v>1404</v>
      </c>
      <c r="D480" s="67">
        <v>45</v>
      </c>
      <c r="E480" s="67">
        <v>9</v>
      </c>
      <c r="F480" s="110" t="s">
        <v>1462</v>
      </c>
      <c r="G480" s="111">
        <v>44313.495532407411</v>
      </c>
      <c r="H480">
        <v>132299</v>
      </c>
    </row>
    <row r="481" spans="1:8" x14ac:dyDescent="0.25">
      <c r="A481" s="65">
        <v>131933</v>
      </c>
      <c r="B481" s="66" t="s">
        <v>1091</v>
      </c>
      <c r="C481" s="6" t="s">
        <v>1404</v>
      </c>
      <c r="D481" s="67">
        <v>45</v>
      </c>
      <c r="E481" s="67">
        <v>9</v>
      </c>
      <c r="F481" s="110" t="s">
        <v>1462</v>
      </c>
      <c r="G481" s="111">
        <v>43727.555393518516</v>
      </c>
      <c r="H481">
        <v>138465</v>
      </c>
    </row>
    <row r="482" spans="1:8" x14ac:dyDescent="0.25">
      <c r="A482" s="65">
        <v>131938</v>
      </c>
      <c r="B482" s="66" t="s">
        <v>737</v>
      </c>
      <c r="C482" s="6" t="s">
        <v>1404</v>
      </c>
      <c r="D482" s="67">
        <v>45</v>
      </c>
      <c r="E482" s="67">
        <v>9</v>
      </c>
      <c r="F482" s="110" t="s">
        <v>1462</v>
      </c>
      <c r="G482" s="111">
        <v>43881.673472222225</v>
      </c>
      <c r="H482">
        <v>139141</v>
      </c>
    </row>
    <row r="483" spans="1:8" x14ac:dyDescent="0.25">
      <c r="A483" s="65">
        <v>131939</v>
      </c>
      <c r="B483" s="66" t="s">
        <v>738</v>
      </c>
      <c r="C483" s="6" t="s">
        <v>1404</v>
      </c>
      <c r="D483" s="67">
        <v>45</v>
      </c>
      <c r="E483" s="67">
        <v>9</v>
      </c>
      <c r="F483" s="110" t="s">
        <v>1462</v>
      </c>
      <c r="G483" s="111">
        <v>43881.673472222225</v>
      </c>
      <c r="H483">
        <v>139142</v>
      </c>
    </row>
    <row r="484" spans="1:8" x14ac:dyDescent="0.25">
      <c r="A484" s="65">
        <v>131940</v>
      </c>
      <c r="B484" s="66" t="s">
        <v>740</v>
      </c>
      <c r="C484" s="6" t="s">
        <v>1404</v>
      </c>
      <c r="D484" s="67">
        <v>45</v>
      </c>
      <c r="E484" s="67">
        <v>9</v>
      </c>
      <c r="F484" s="110" t="s">
        <v>1462</v>
      </c>
      <c r="G484" s="111">
        <v>43881.673472222225</v>
      </c>
      <c r="H484">
        <v>139144</v>
      </c>
    </row>
    <row r="485" spans="1:8" x14ac:dyDescent="0.25">
      <c r="A485" s="65">
        <v>131942</v>
      </c>
      <c r="B485" s="66" t="s">
        <v>1374</v>
      </c>
      <c r="F485" s="110"/>
      <c r="G485" s="111"/>
      <c r="H485">
        <v>135701</v>
      </c>
    </row>
    <row r="486" spans="1:8" x14ac:dyDescent="0.25">
      <c r="A486" s="65">
        <v>132230</v>
      </c>
      <c r="B486" s="66" t="s">
        <v>209</v>
      </c>
      <c r="C486" s="6" t="s">
        <v>1413</v>
      </c>
      <c r="D486" s="67">
        <v>55</v>
      </c>
      <c r="E486" s="67">
        <v>19</v>
      </c>
      <c r="F486" s="110" t="s">
        <v>1462</v>
      </c>
      <c r="G486" s="111">
        <v>44113.390856481485</v>
      </c>
      <c r="H486">
        <v>140126</v>
      </c>
    </row>
    <row r="487" spans="1:8" x14ac:dyDescent="0.25">
      <c r="A487" s="65">
        <v>132231</v>
      </c>
      <c r="B487" s="66" t="s">
        <v>1524</v>
      </c>
      <c r="C487" s="6" t="s">
        <v>1413</v>
      </c>
      <c r="D487" s="67">
        <v>55</v>
      </c>
      <c r="E487" s="67">
        <v>19</v>
      </c>
      <c r="F487" s="110" t="s">
        <v>1462</v>
      </c>
      <c r="G487" s="111">
        <v>44132.463969907411</v>
      </c>
      <c r="H487">
        <v>140242</v>
      </c>
    </row>
    <row r="488" spans="1:8" x14ac:dyDescent="0.25">
      <c r="A488" s="65">
        <v>132305</v>
      </c>
      <c r="B488" s="66" t="s">
        <v>739</v>
      </c>
      <c r="C488" s="6" t="s">
        <v>1404</v>
      </c>
      <c r="D488" s="67">
        <v>45</v>
      </c>
      <c r="E488" s="67">
        <v>9</v>
      </c>
      <c r="F488" s="110" t="s">
        <v>1462</v>
      </c>
      <c r="G488" s="111">
        <v>43881.673472222225</v>
      </c>
      <c r="H488">
        <v>139143</v>
      </c>
    </row>
    <row r="489" spans="1:8" x14ac:dyDescent="0.25">
      <c r="A489" s="65">
        <v>132447</v>
      </c>
      <c r="B489" s="66" t="s">
        <v>1375</v>
      </c>
      <c r="C489" s="6" t="s">
        <v>1420</v>
      </c>
      <c r="D489" s="67">
        <v>51</v>
      </c>
      <c r="E489" s="67">
        <v>21</v>
      </c>
      <c r="F489" s="110"/>
      <c r="G489" s="111"/>
    </row>
    <row r="490" spans="1:8" x14ac:dyDescent="0.25">
      <c r="A490" s="65">
        <v>132612</v>
      </c>
      <c r="B490" s="66" t="s">
        <v>1376</v>
      </c>
      <c r="C490" s="6" t="s">
        <v>1404</v>
      </c>
      <c r="D490" s="67">
        <v>55</v>
      </c>
      <c r="E490" s="67">
        <v>66</v>
      </c>
      <c r="F490" s="110" t="s">
        <v>1434</v>
      </c>
      <c r="G490" s="111" t="s">
        <v>1488</v>
      </c>
      <c r="H490">
        <v>136895</v>
      </c>
    </row>
    <row r="491" spans="1:8" x14ac:dyDescent="0.25">
      <c r="A491" s="65">
        <v>132613</v>
      </c>
      <c r="B491" s="66" t="s">
        <v>1377</v>
      </c>
      <c r="C491" s="6" t="s">
        <v>1404</v>
      </c>
      <c r="D491" s="67">
        <v>55</v>
      </c>
      <c r="E491" s="67">
        <v>66</v>
      </c>
      <c r="F491" s="110" t="s">
        <v>1434</v>
      </c>
      <c r="G491" s="111" t="s">
        <v>1489</v>
      </c>
      <c r="H491">
        <v>136896</v>
      </c>
    </row>
    <row r="492" spans="1:8" x14ac:dyDescent="0.25">
      <c r="A492" s="65">
        <v>132713</v>
      </c>
      <c r="B492" s="66" t="s">
        <v>1378</v>
      </c>
      <c r="C492" s="6" t="s">
        <v>1397</v>
      </c>
      <c r="D492" s="67">
        <v>80</v>
      </c>
      <c r="E492" s="67">
        <v>12</v>
      </c>
      <c r="F492" s="110"/>
      <c r="G492" s="111"/>
    </row>
    <row r="493" spans="1:8" x14ac:dyDescent="0.25">
      <c r="A493" s="65">
        <v>132714</v>
      </c>
      <c r="B493" s="66" t="s">
        <v>89</v>
      </c>
      <c r="C493" s="6" t="s">
        <v>1397</v>
      </c>
      <c r="D493" s="67">
        <v>51</v>
      </c>
      <c r="E493" s="67">
        <v>17</v>
      </c>
      <c r="F493" s="110" t="s">
        <v>1434</v>
      </c>
      <c r="G493" s="111">
        <v>43738.410543981481</v>
      </c>
    </row>
    <row r="494" spans="1:8" x14ac:dyDescent="0.25">
      <c r="A494" s="65">
        <v>132715</v>
      </c>
      <c r="B494" s="66" t="s">
        <v>90</v>
      </c>
      <c r="C494" s="6" t="s">
        <v>1397</v>
      </c>
      <c r="D494" s="67">
        <v>51</v>
      </c>
      <c r="E494" s="67">
        <v>17</v>
      </c>
      <c r="F494" s="110" t="s">
        <v>1434</v>
      </c>
      <c r="G494" s="111">
        <v>43738.410856481481</v>
      </c>
    </row>
    <row r="495" spans="1:8" x14ac:dyDescent="0.25">
      <c r="A495" s="65">
        <v>132769</v>
      </c>
      <c r="B495" s="66" t="s">
        <v>115</v>
      </c>
      <c r="C495" s="6" t="s">
        <v>1400</v>
      </c>
      <c r="D495" s="67">
        <v>51</v>
      </c>
      <c r="E495" s="67">
        <v>33</v>
      </c>
      <c r="F495" s="110" t="s">
        <v>1462</v>
      </c>
      <c r="G495" s="111">
        <v>44181.387789351851</v>
      </c>
      <c r="H495">
        <v>140326</v>
      </c>
    </row>
    <row r="496" spans="1:8" x14ac:dyDescent="0.25">
      <c r="A496" s="65">
        <v>133042</v>
      </c>
      <c r="B496" s="66" t="s">
        <v>1164</v>
      </c>
      <c r="C496" s="6" t="s">
        <v>1404</v>
      </c>
      <c r="D496" s="67">
        <v>51</v>
      </c>
      <c r="E496" s="67">
        <v>17</v>
      </c>
      <c r="F496" s="110"/>
      <c r="G496" s="111"/>
    </row>
    <row r="497" spans="1:8" x14ac:dyDescent="0.25">
      <c r="A497" s="65">
        <v>133043</v>
      </c>
      <c r="B497" s="66" t="s">
        <v>1032</v>
      </c>
      <c r="C497" s="6" t="s">
        <v>1404</v>
      </c>
      <c r="D497" s="67">
        <v>51</v>
      </c>
      <c r="E497" s="67">
        <v>17</v>
      </c>
      <c r="F497" s="110"/>
      <c r="G497" s="111"/>
    </row>
    <row r="498" spans="1:8" x14ac:dyDescent="0.25">
      <c r="A498" s="65">
        <v>133452</v>
      </c>
      <c r="B498" s="66" t="s">
        <v>679</v>
      </c>
      <c r="C498" s="6" t="s">
        <v>1411</v>
      </c>
      <c r="D498" s="67">
        <v>57</v>
      </c>
      <c r="E498" s="67">
        <v>15</v>
      </c>
      <c r="F498" s="110" t="s">
        <v>1462</v>
      </c>
      <c r="G498" s="111">
        <v>43881.67491898148</v>
      </c>
    </row>
    <row r="499" spans="1:8" x14ac:dyDescent="0.25">
      <c r="A499" s="65">
        <v>133777</v>
      </c>
      <c r="B499" s="66" t="s">
        <v>1379</v>
      </c>
      <c r="F499" s="110"/>
      <c r="G499" s="111"/>
      <c r="H499">
        <v>135699</v>
      </c>
    </row>
    <row r="500" spans="1:8" x14ac:dyDescent="0.25">
      <c r="A500" s="65">
        <v>133778</v>
      </c>
      <c r="B500" s="66" t="s">
        <v>1380</v>
      </c>
      <c r="C500" s="6" t="s">
        <v>1404</v>
      </c>
      <c r="D500" s="67">
        <v>45</v>
      </c>
      <c r="E500" s="67">
        <v>9</v>
      </c>
      <c r="F500" s="110" t="s">
        <v>1462</v>
      </c>
      <c r="G500" s="111">
        <v>43727.555393518516</v>
      </c>
      <c r="H500">
        <v>138451</v>
      </c>
    </row>
    <row r="501" spans="1:8" x14ac:dyDescent="0.25">
      <c r="A501" s="65">
        <v>133779</v>
      </c>
      <c r="B501" s="66" t="s">
        <v>1008</v>
      </c>
      <c r="C501" s="6" t="s">
        <v>1404</v>
      </c>
      <c r="D501" s="67">
        <v>45</v>
      </c>
      <c r="E501" s="67">
        <v>11</v>
      </c>
      <c r="F501" s="110" t="s">
        <v>1462</v>
      </c>
      <c r="G501" s="111">
        <v>43727.555393518516</v>
      </c>
      <c r="H501">
        <v>138453</v>
      </c>
    </row>
    <row r="502" spans="1:8" x14ac:dyDescent="0.25">
      <c r="A502" s="65">
        <v>133781</v>
      </c>
      <c r="B502" s="66" t="s">
        <v>1381</v>
      </c>
      <c r="C502" s="6" t="s">
        <v>1404</v>
      </c>
      <c r="D502" s="67">
        <v>45</v>
      </c>
      <c r="E502" s="67">
        <v>11</v>
      </c>
      <c r="F502" s="110" t="s">
        <v>1462</v>
      </c>
      <c r="G502" s="111">
        <v>43727.555393518516</v>
      </c>
      <c r="H502">
        <v>138456</v>
      </c>
    </row>
    <row r="503" spans="1:8" x14ac:dyDescent="0.25">
      <c r="A503" s="65">
        <v>133782</v>
      </c>
      <c r="B503" s="66" t="s">
        <v>1009</v>
      </c>
      <c r="C503" s="6" t="s">
        <v>1404</v>
      </c>
      <c r="D503" s="67">
        <v>45</v>
      </c>
      <c r="E503" s="67">
        <v>11</v>
      </c>
      <c r="F503" s="110" t="s">
        <v>1462</v>
      </c>
      <c r="G503" s="111">
        <v>43727.555393518516</v>
      </c>
      <c r="H503">
        <v>138457</v>
      </c>
    </row>
    <row r="504" spans="1:8" x14ac:dyDescent="0.25">
      <c r="A504" s="65">
        <v>133783</v>
      </c>
      <c r="B504" s="66" t="s">
        <v>1010</v>
      </c>
      <c r="C504" s="6" t="s">
        <v>1404</v>
      </c>
      <c r="D504" s="67">
        <v>45</v>
      </c>
      <c r="E504" s="67">
        <v>11</v>
      </c>
      <c r="F504" s="110" t="s">
        <v>1434</v>
      </c>
      <c r="G504" s="111">
        <v>43882.591736111113</v>
      </c>
      <c r="H504">
        <v>138458</v>
      </c>
    </row>
    <row r="505" spans="1:8" x14ac:dyDescent="0.25">
      <c r="A505" s="65">
        <v>133787</v>
      </c>
      <c r="B505" s="66" t="s">
        <v>1382</v>
      </c>
      <c r="F505" s="110"/>
      <c r="G505" s="111"/>
      <c r="H505">
        <v>136408</v>
      </c>
    </row>
    <row r="506" spans="1:8" x14ac:dyDescent="0.25">
      <c r="A506" s="65">
        <v>133793</v>
      </c>
      <c r="B506" s="66" t="s">
        <v>1136</v>
      </c>
      <c r="C506" s="6" t="s">
        <v>1404</v>
      </c>
      <c r="D506" s="67">
        <v>45</v>
      </c>
      <c r="E506" s="67">
        <v>9</v>
      </c>
      <c r="F506" s="110" t="s">
        <v>1462</v>
      </c>
      <c r="G506" s="111">
        <v>43727.555393518516</v>
      </c>
      <c r="H506">
        <v>135703</v>
      </c>
    </row>
    <row r="507" spans="1:8" x14ac:dyDescent="0.25">
      <c r="A507" s="65">
        <v>133794</v>
      </c>
      <c r="B507" s="66" t="s">
        <v>1383</v>
      </c>
      <c r="F507" s="110"/>
      <c r="G507" s="111"/>
      <c r="H507">
        <v>135704</v>
      </c>
    </row>
    <row r="508" spans="1:8" x14ac:dyDescent="0.25">
      <c r="A508" s="65">
        <v>133812</v>
      </c>
      <c r="B508" s="66" t="s">
        <v>785</v>
      </c>
      <c r="C508" s="6" t="s">
        <v>1404</v>
      </c>
      <c r="D508" s="67">
        <v>55</v>
      </c>
      <c r="E508" s="67">
        <v>55</v>
      </c>
      <c r="F508" s="110" t="s">
        <v>1434</v>
      </c>
      <c r="G508" s="111">
        <v>43901.63380787037</v>
      </c>
    </row>
    <row r="509" spans="1:8" x14ac:dyDescent="0.25">
      <c r="A509" s="65">
        <v>133813</v>
      </c>
      <c r="B509" s="66" t="s">
        <v>1130</v>
      </c>
      <c r="C509" s="6" t="s">
        <v>1404</v>
      </c>
      <c r="D509" s="67">
        <v>55</v>
      </c>
      <c r="E509" s="67">
        <v>55</v>
      </c>
      <c r="F509" s="110" t="s">
        <v>1434</v>
      </c>
      <c r="G509" s="111" t="s">
        <v>1467</v>
      </c>
    </row>
    <row r="510" spans="1:8" x14ac:dyDescent="0.25">
      <c r="A510" s="65">
        <v>133851</v>
      </c>
      <c r="B510" s="66" t="s">
        <v>1384</v>
      </c>
      <c r="C510" s="6" t="s">
        <v>1411</v>
      </c>
      <c r="D510" s="67">
        <v>57</v>
      </c>
      <c r="E510" s="67">
        <v>2</v>
      </c>
      <c r="F510" s="110" t="s">
        <v>1434</v>
      </c>
      <c r="G510" s="111" t="s">
        <v>1490</v>
      </c>
      <c r="H510">
        <v>136941</v>
      </c>
    </row>
    <row r="511" spans="1:8" x14ac:dyDescent="0.25">
      <c r="A511" s="65">
        <v>133950</v>
      </c>
      <c r="B511" s="66" t="s">
        <v>1385</v>
      </c>
      <c r="C511" s="6" t="s">
        <v>1404</v>
      </c>
      <c r="D511" s="67">
        <v>45</v>
      </c>
      <c r="E511" s="67">
        <v>11</v>
      </c>
      <c r="F511" s="110" t="s">
        <v>1462</v>
      </c>
      <c r="G511" s="111">
        <v>43727.555393518516</v>
      </c>
      <c r="H511">
        <v>138454</v>
      </c>
    </row>
    <row r="512" spans="1:8" x14ac:dyDescent="0.25">
      <c r="A512" s="65">
        <v>133953</v>
      </c>
      <c r="B512" s="66" t="s">
        <v>1386</v>
      </c>
      <c r="C512" s="6" t="s">
        <v>1407</v>
      </c>
      <c r="D512" s="67">
        <v>45</v>
      </c>
      <c r="E512" s="67">
        <v>9</v>
      </c>
      <c r="F512" s="110" t="s">
        <v>1462</v>
      </c>
      <c r="G512" s="111">
        <v>43727.555393518516</v>
      </c>
      <c r="H512">
        <v>138461</v>
      </c>
    </row>
    <row r="513" spans="1:8" x14ac:dyDescent="0.25">
      <c r="A513" s="65">
        <v>133954</v>
      </c>
      <c r="B513" s="66" t="s">
        <v>1387</v>
      </c>
      <c r="C513" s="6" t="s">
        <v>1417</v>
      </c>
      <c r="D513" s="67">
        <v>45</v>
      </c>
      <c r="E513" s="67">
        <v>16</v>
      </c>
      <c r="F513" s="110" t="s">
        <v>1462</v>
      </c>
      <c r="G513" s="111">
        <v>43727.555393518516</v>
      </c>
      <c r="H513">
        <v>138462</v>
      </c>
    </row>
    <row r="514" spans="1:8" x14ac:dyDescent="0.25">
      <c r="A514" s="65">
        <v>133955</v>
      </c>
      <c r="B514" s="66" t="s">
        <v>1388</v>
      </c>
      <c r="C514" s="6" t="s">
        <v>1417</v>
      </c>
      <c r="D514" s="67">
        <v>45</v>
      </c>
      <c r="E514" s="67">
        <v>9</v>
      </c>
      <c r="F514" s="110" t="s">
        <v>1462</v>
      </c>
      <c r="G514" s="111">
        <v>43727.555393518516</v>
      </c>
      <c r="H514">
        <v>138463</v>
      </c>
    </row>
    <row r="515" spans="1:8" x14ac:dyDescent="0.25">
      <c r="A515" s="65">
        <v>133956</v>
      </c>
      <c r="B515" s="66" t="s">
        <v>1012</v>
      </c>
      <c r="C515" s="6" t="s">
        <v>1404</v>
      </c>
      <c r="D515" s="67">
        <v>45</v>
      </c>
      <c r="E515" s="67">
        <v>10</v>
      </c>
      <c r="F515" s="110" t="s">
        <v>1462</v>
      </c>
      <c r="G515" s="111">
        <v>43727.555393518516</v>
      </c>
      <c r="H515">
        <v>138459</v>
      </c>
    </row>
    <row r="516" spans="1:8" x14ac:dyDescent="0.25">
      <c r="A516" s="65">
        <v>133957</v>
      </c>
      <c r="B516" s="66" t="s">
        <v>1013</v>
      </c>
      <c r="C516" s="6" t="s">
        <v>1404</v>
      </c>
      <c r="D516" s="67">
        <v>45</v>
      </c>
      <c r="E516" s="67">
        <v>10</v>
      </c>
      <c r="F516" s="110" t="s">
        <v>1462</v>
      </c>
      <c r="G516" s="111">
        <v>43727.555393518516</v>
      </c>
      <c r="H516">
        <v>138460</v>
      </c>
    </row>
    <row r="517" spans="1:8" x14ac:dyDescent="0.25">
      <c r="A517" s="65">
        <v>134045</v>
      </c>
      <c r="B517" s="66" t="s">
        <v>421</v>
      </c>
      <c r="C517" s="6" t="s">
        <v>1404</v>
      </c>
      <c r="D517" s="67">
        <v>61</v>
      </c>
      <c r="E517" s="67">
        <v>16</v>
      </c>
      <c r="F517" s="110" t="s">
        <v>1462</v>
      </c>
      <c r="G517" s="111">
        <v>44370.556041666663</v>
      </c>
      <c r="H517">
        <v>141430</v>
      </c>
    </row>
    <row r="518" spans="1:8" x14ac:dyDescent="0.25">
      <c r="A518" s="65">
        <v>134542</v>
      </c>
      <c r="B518" s="66" t="s">
        <v>94</v>
      </c>
      <c r="C518" s="6" t="s">
        <v>1420</v>
      </c>
      <c r="D518" s="67">
        <v>51</v>
      </c>
      <c r="E518" s="67">
        <v>21</v>
      </c>
      <c r="F518" s="110" t="s">
        <v>1462</v>
      </c>
      <c r="G518" s="111">
        <v>44082.568240740744</v>
      </c>
      <c r="H518">
        <v>139957</v>
      </c>
    </row>
    <row r="519" spans="1:8" x14ac:dyDescent="0.25">
      <c r="A519" s="65">
        <v>134543</v>
      </c>
      <c r="B519" s="66" t="s">
        <v>96</v>
      </c>
      <c r="C519" s="6" t="s">
        <v>1420</v>
      </c>
      <c r="D519" s="67">
        <v>51</v>
      </c>
      <c r="E519" s="67">
        <v>21</v>
      </c>
      <c r="F519" s="110" t="s">
        <v>1462</v>
      </c>
      <c r="G519" s="111">
        <v>44082.568240740744</v>
      </c>
      <c r="H519">
        <v>139958</v>
      </c>
    </row>
    <row r="520" spans="1:8" x14ac:dyDescent="0.25">
      <c r="A520" s="65">
        <v>135012</v>
      </c>
      <c r="B520" s="66" t="s">
        <v>1389</v>
      </c>
      <c r="C520" s="6" t="s">
        <v>1412</v>
      </c>
      <c r="D520" s="67">
        <v>54</v>
      </c>
      <c r="E520" s="67">
        <v>4</v>
      </c>
      <c r="F520" s="110" t="s">
        <v>1462</v>
      </c>
      <c r="G520" s="111">
        <v>44313.495532407411</v>
      </c>
    </row>
    <row r="521" spans="1:8" x14ac:dyDescent="0.25">
      <c r="A521" s="65">
        <v>135016</v>
      </c>
      <c r="B521" s="66" t="s">
        <v>1392</v>
      </c>
      <c r="C521" s="6" t="s">
        <v>1412</v>
      </c>
      <c r="D521" s="67">
        <v>54</v>
      </c>
      <c r="E521" s="67">
        <v>4</v>
      </c>
      <c r="F521" s="110" t="s">
        <v>1462</v>
      </c>
      <c r="G521" s="111">
        <v>44313.495532407411</v>
      </c>
    </row>
    <row r="522" spans="1:8" x14ac:dyDescent="0.25">
      <c r="A522" s="65">
        <v>135023</v>
      </c>
      <c r="B522" s="66" t="s">
        <v>1517</v>
      </c>
      <c r="C522" s="6" t="s">
        <v>1404</v>
      </c>
      <c r="D522" s="67">
        <v>54</v>
      </c>
      <c r="E522" s="67">
        <v>4</v>
      </c>
      <c r="F522" s="110" t="s">
        <v>1462</v>
      </c>
      <c r="G522" s="111">
        <v>44313.495532407411</v>
      </c>
    </row>
    <row r="523" spans="1:8" x14ac:dyDescent="0.25">
      <c r="A523" s="65">
        <v>135224</v>
      </c>
      <c r="B523" s="66" t="s">
        <v>907</v>
      </c>
      <c r="C523" s="6" t="s">
        <v>1419</v>
      </c>
      <c r="D523" s="67">
        <v>76</v>
      </c>
      <c r="E523" s="67">
        <v>3</v>
      </c>
      <c r="F523" s="110" t="s">
        <v>1462</v>
      </c>
      <c r="G523" s="111">
        <v>44376.373101851852</v>
      </c>
      <c r="H523">
        <v>141680</v>
      </c>
    </row>
    <row r="524" spans="1:8" x14ac:dyDescent="0.25">
      <c r="A524" s="65">
        <v>135225</v>
      </c>
      <c r="B524" s="66" t="s">
        <v>918</v>
      </c>
      <c r="C524" s="6" t="s">
        <v>1403</v>
      </c>
      <c r="D524" s="67">
        <v>76</v>
      </c>
      <c r="E524" s="67">
        <v>10</v>
      </c>
      <c r="F524" s="110" t="s">
        <v>1462</v>
      </c>
      <c r="G524" s="111">
        <v>44376.377187500002</v>
      </c>
      <c r="H524">
        <v>141786</v>
      </c>
    </row>
    <row r="525" spans="1:8" x14ac:dyDescent="0.25">
      <c r="A525" s="65">
        <v>135226</v>
      </c>
      <c r="B525" s="66" t="s">
        <v>919</v>
      </c>
      <c r="C525" s="6" t="s">
        <v>1403</v>
      </c>
      <c r="D525" s="67">
        <v>76</v>
      </c>
      <c r="E525" s="67">
        <v>10</v>
      </c>
      <c r="F525" s="110" t="s">
        <v>1462</v>
      </c>
      <c r="G525" s="111">
        <v>44376.404398148145</v>
      </c>
      <c r="H525">
        <v>141787</v>
      </c>
    </row>
    <row r="526" spans="1:8" x14ac:dyDescent="0.25">
      <c r="A526" s="65">
        <v>135227</v>
      </c>
      <c r="B526" s="66" t="s">
        <v>920</v>
      </c>
      <c r="C526" s="6" t="s">
        <v>1403</v>
      </c>
      <c r="D526" s="67">
        <v>76</v>
      </c>
      <c r="E526" s="67">
        <v>10</v>
      </c>
      <c r="F526" s="110" t="s">
        <v>1462</v>
      </c>
      <c r="G526" s="111">
        <v>44376.404398148145</v>
      </c>
      <c r="H526">
        <v>141615</v>
      </c>
    </row>
    <row r="527" spans="1:8" x14ac:dyDescent="0.25">
      <c r="A527" s="65">
        <v>135238</v>
      </c>
      <c r="B527" s="66" t="s">
        <v>908</v>
      </c>
      <c r="C527" s="6" t="s">
        <v>1419</v>
      </c>
      <c r="D527" s="67">
        <v>76</v>
      </c>
      <c r="E527" s="67">
        <v>3</v>
      </c>
      <c r="F527" s="110" t="s">
        <v>1462</v>
      </c>
      <c r="G527" s="111">
        <v>44376.374710648146</v>
      </c>
      <c r="H527">
        <v>141268</v>
      </c>
    </row>
    <row r="528" spans="1:8" x14ac:dyDescent="0.25">
      <c r="A528" s="65">
        <v>135239</v>
      </c>
      <c r="B528" s="66" t="s">
        <v>1393</v>
      </c>
      <c r="C528" s="6" t="s">
        <v>1419</v>
      </c>
      <c r="D528" s="67">
        <v>76</v>
      </c>
      <c r="E528" s="67">
        <v>3</v>
      </c>
      <c r="F528" s="110"/>
      <c r="G528" s="111"/>
    </row>
    <row r="529" spans="1:8" x14ac:dyDescent="0.25">
      <c r="A529" s="65">
        <v>135699</v>
      </c>
      <c r="B529" s="66" t="s">
        <v>996</v>
      </c>
      <c r="C529" s="6" t="s">
        <v>1404</v>
      </c>
      <c r="D529" s="67">
        <v>45</v>
      </c>
      <c r="E529" s="67">
        <v>9</v>
      </c>
      <c r="F529" s="110" t="s">
        <v>1462</v>
      </c>
      <c r="G529" s="111">
        <v>43727.555393518516</v>
      </c>
      <c r="H529">
        <v>138450</v>
      </c>
    </row>
    <row r="530" spans="1:8" x14ac:dyDescent="0.25">
      <c r="A530" s="65">
        <v>135700</v>
      </c>
      <c r="B530" s="66" t="s">
        <v>1394</v>
      </c>
      <c r="C530" s="6" t="s">
        <v>1404</v>
      </c>
      <c r="D530" s="67">
        <v>45</v>
      </c>
      <c r="E530" s="67">
        <v>9</v>
      </c>
      <c r="F530" s="110" t="s">
        <v>1462</v>
      </c>
      <c r="G530" s="111">
        <v>43727.555393518516</v>
      </c>
      <c r="H530">
        <v>138464</v>
      </c>
    </row>
    <row r="531" spans="1:8" x14ac:dyDescent="0.25">
      <c r="A531" s="65">
        <v>135704</v>
      </c>
      <c r="B531" s="66" t="s">
        <v>1395</v>
      </c>
      <c r="C531" s="6" t="s">
        <v>1404</v>
      </c>
      <c r="D531" s="67">
        <v>45</v>
      </c>
      <c r="E531" s="67">
        <v>12</v>
      </c>
      <c r="F531" s="110" t="s">
        <v>1462</v>
      </c>
      <c r="G531" s="111">
        <v>43727.555393518516</v>
      </c>
      <c r="H531">
        <v>138471</v>
      </c>
    </row>
    <row r="532" spans="1:8" x14ac:dyDescent="0.25">
      <c r="A532" s="65">
        <v>135734</v>
      </c>
      <c r="B532" s="66" t="s">
        <v>1396</v>
      </c>
      <c r="C532" s="6" t="s">
        <v>1404</v>
      </c>
      <c r="D532" s="67">
        <v>55</v>
      </c>
      <c r="E532" s="67">
        <v>66</v>
      </c>
      <c r="F532" s="110" t="s">
        <v>1434</v>
      </c>
      <c r="G532" s="111" t="s">
        <v>1491</v>
      </c>
      <c r="H532">
        <v>135088</v>
      </c>
    </row>
    <row r="533" spans="1:8" x14ac:dyDescent="0.25">
      <c r="A533" s="65">
        <v>136037</v>
      </c>
      <c r="B533" s="66" t="s">
        <v>102</v>
      </c>
      <c r="C533" s="6" t="s">
        <v>1419</v>
      </c>
      <c r="D533" s="67">
        <v>76</v>
      </c>
      <c r="E533" s="67">
        <v>3</v>
      </c>
      <c r="F533" s="110" t="s">
        <v>1462</v>
      </c>
      <c r="G533" s="111">
        <v>44376.373101851852</v>
      </c>
      <c r="H533">
        <v>141679</v>
      </c>
    </row>
    <row r="534" spans="1:8" x14ac:dyDescent="0.25">
      <c r="A534" s="65">
        <v>136038</v>
      </c>
      <c r="B534" s="66" t="s">
        <v>909</v>
      </c>
      <c r="C534" s="6" t="s">
        <v>1419</v>
      </c>
      <c r="D534" s="67">
        <v>76</v>
      </c>
      <c r="E534" s="67">
        <v>3</v>
      </c>
      <c r="F534" s="110" t="s">
        <v>1462</v>
      </c>
      <c r="G534" s="111">
        <v>44376.375381944446</v>
      </c>
      <c r="H534">
        <v>141265</v>
      </c>
    </row>
    <row r="535" spans="1:8" x14ac:dyDescent="0.25">
      <c r="A535" s="65">
        <v>136039</v>
      </c>
      <c r="B535" s="66" t="s">
        <v>910</v>
      </c>
      <c r="C535" s="6" t="s">
        <v>1419</v>
      </c>
      <c r="D535" s="67">
        <v>76</v>
      </c>
      <c r="E535" s="67">
        <v>3</v>
      </c>
      <c r="F535" s="110" t="s">
        <v>1462</v>
      </c>
      <c r="G535" s="111">
        <v>44376.373912037037</v>
      </c>
      <c r="H535">
        <v>141681</v>
      </c>
    </row>
    <row r="536" spans="1:8" x14ac:dyDescent="0.25">
      <c r="A536" s="65">
        <v>136040</v>
      </c>
      <c r="B536" s="66" t="s">
        <v>103</v>
      </c>
      <c r="C536" s="6" t="s">
        <v>1419</v>
      </c>
      <c r="D536" s="67">
        <v>76</v>
      </c>
      <c r="E536" s="67">
        <v>3</v>
      </c>
      <c r="F536" s="110" t="s">
        <v>1462</v>
      </c>
      <c r="G536" s="111">
        <v>44376.377187500002</v>
      </c>
      <c r="H536">
        <v>141266</v>
      </c>
    </row>
    <row r="537" spans="1:8" x14ac:dyDescent="0.25">
      <c r="A537" s="65">
        <v>136676</v>
      </c>
      <c r="B537" s="66" t="s">
        <v>253</v>
      </c>
      <c r="C537" s="6" t="s">
        <v>1397</v>
      </c>
      <c r="D537" s="67">
        <v>62</v>
      </c>
      <c r="E537" s="67">
        <v>1</v>
      </c>
      <c r="F537" s="110" t="s">
        <v>1462</v>
      </c>
      <c r="G537" s="111">
        <v>44313.495532407411</v>
      </c>
    </row>
    <row r="538" spans="1:8" x14ac:dyDescent="0.25">
      <c r="A538" s="65">
        <v>136820</v>
      </c>
      <c r="B538" s="66" t="s">
        <v>161</v>
      </c>
      <c r="C538" s="6" t="s">
        <v>1412</v>
      </c>
      <c r="D538" s="67">
        <v>54</v>
      </c>
      <c r="E538" s="67">
        <v>4</v>
      </c>
      <c r="F538" s="110" t="s">
        <v>1462</v>
      </c>
      <c r="G538" s="111">
        <v>44315.660057870373</v>
      </c>
    </row>
    <row r="539" spans="1:8" x14ac:dyDescent="0.25">
      <c r="A539" s="65">
        <v>136821</v>
      </c>
      <c r="B539" s="66" t="s">
        <v>162</v>
      </c>
      <c r="C539" s="6" t="s">
        <v>1412</v>
      </c>
      <c r="D539" s="67">
        <v>54</v>
      </c>
      <c r="E539" s="67">
        <v>4</v>
      </c>
      <c r="F539" s="110" t="s">
        <v>1462</v>
      </c>
      <c r="G539" s="111">
        <v>44315.660057870373</v>
      </c>
    </row>
    <row r="540" spans="1:8" x14ac:dyDescent="0.25">
      <c r="A540" s="65">
        <v>136822</v>
      </c>
      <c r="B540" s="66" t="s">
        <v>163</v>
      </c>
      <c r="C540" s="6" t="s">
        <v>1412</v>
      </c>
      <c r="D540" s="67">
        <v>54</v>
      </c>
      <c r="E540" s="67">
        <v>4</v>
      </c>
      <c r="F540" s="110" t="s">
        <v>1462</v>
      </c>
      <c r="G540" s="111">
        <v>44315.660057870373</v>
      </c>
    </row>
    <row r="541" spans="1:8" x14ac:dyDescent="0.25">
      <c r="A541" s="65">
        <v>136837</v>
      </c>
      <c r="B541" s="66" t="s">
        <v>153</v>
      </c>
      <c r="C541" s="6" t="s">
        <v>1412</v>
      </c>
      <c r="D541" s="67">
        <v>54</v>
      </c>
      <c r="E541" s="67">
        <v>4</v>
      </c>
      <c r="F541" s="110" t="s">
        <v>1462</v>
      </c>
      <c r="G541" s="111">
        <v>44315.660057870373</v>
      </c>
    </row>
    <row r="542" spans="1:8" x14ac:dyDescent="0.25">
      <c r="A542" s="65">
        <v>136838</v>
      </c>
      <c r="B542" s="66" t="s">
        <v>154</v>
      </c>
      <c r="C542" s="6" t="s">
        <v>1412</v>
      </c>
      <c r="D542" s="67">
        <v>54</v>
      </c>
      <c r="E542" s="67">
        <v>4</v>
      </c>
      <c r="F542" s="110" t="s">
        <v>1462</v>
      </c>
      <c r="G542" s="111">
        <v>44315.660057870373</v>
      </c>
    </row>
    <row r="543" spans="1:8" x14ac:dyDescent="0.25">
      <c r="A543" s="65">
        <v>136839</v>
      </c>
      <c r="B543" s="66" t="s">
        <v>155</v>
      </c>
      <c r="C543" s="6" t="s">
        <v>1412</v>
      </c>
      <c r="D543" s="67">
        <v>54</v>
      </c>
      <c r="E543" s="67">
        <v>4</v>
      </c>
      <c r="F543" s="110" t="s">
        <v>1462</v>
      </c>
      <c r="G543" s="111">
        <v>44315.660057870373</v>
      </c>
    </row>
    <row r="544" spans="1:8" x14ac:dyDescent="0.25">
      <c r="A544" s="65">
        <v>136840</v>
      </c>
      <c r="B544" s="66" t="s">
        <v>156</v>
      </c>
      <c r="C544" s="6" t="s">
        <v>1412</v>
      </c>
      <c r="D544" s="67">
        <v>54</v>
      </c>
      <c r="E544" s="67">
        <v>4</v>
      </c>
      <c r="F544" s="110" t="s">
        <v>1462</v>
      </c>
      <c r="G544" s="111">
        <v>44315.660057870373</v>
      </c>
    </row>
    <row r="545" spans="1:8" x14ac:dyDescent="0.25">
      <c r="A545" s="65">
        <v>136841</v>
      </c>
      <c r="B545" s="66" t="s">
        <v>157</v>
      </c>
      <c r="C545" s="6" t="s">
        <v>1412</v>
      </c>
      <c r="D545" s="67">
        <v>54</v>
      </c>
      <c r="E545" s="67">
        <v>4</v>
      </c>
      <c r="F545" s="110" t="s">
        <v>1462</v>
      </c>
      <c r="G545" s="111">
        <v>44315.660057870373</v>
      </c>
    </row>
    <row r="546" spans="1:8" x14ac:dyDescent="0.25">
      <c r="A546" s="65">
        <v>136842</v>
      </c>
      <c r="B546" s="66" t="s">
        <v>158</v>
      </c>
      <c r="C546" s="6" t="s">
        <v>1412</v>
      </c>
      <c r="D546" s="67">
        <v>54</v>
      </c>
      <c r="E546" s="67">
        <v>4</v>
      </c>
      <c r="F546" s="110" t="s">
        <v>1462</v>
      </c>
      <c r="G546" s="111">
        <v>44315.660057870373</v>
      </c>
    </row>
    <row r="547" spans="1:8" x14ac:dyDescent="0.25">
      <c r="A547" s="65">
        <v>136843</v>
      </c>
      <c r="B547" s="66" t="s">
        <v>159</v>
      </c>
      <c r="C547" s="6" t="s">
        <v>1412</v>
      </c>
      <c r="D547" s="67">
        <v>54</v>
      </c>
      <c r="E547" s="67">
        <v>4</v>
      </c>
      <c r="F547" s="110" t="s">
        <v>1462</v>
      </c>
      <c r="G547" s="111">
        <v>44315.660057870373</v>
      </c>
    </row>
    <row r="548" spans="1:8" x14ac:dyDescent="0.25">
      <c r="A548" s="65">
        <v>136910</v>
      </c>
      <c r="B548" s="66" t="s">
        <v>1525</v>
      </c>
      <c r="C548" s="6" t="s">
        <v>1413</v>
      </c>
      <c r="D548" s="67">
        <v>55</v>
      </c>
      <c r="E548" s="67">
        <v>19</v>
      </c>
      <c r="F548" s="110" t="s">
        <v>1462</v>
      </c>
      <c r="G548" s="111">
        <v>44132.463969907411</v>
      </c>
      <c r="H548">
        <v>140241</v>
      </c>
    </row>
    <row r="549" spans="1:8" x14ac:dyDescent="0.25">
      <c r="A549" s="65">
        <v>136911</v>
      </c>
      <c r="B549" s="66" t="s">
        <v>1526</v>
      </c>
      <c r="C549" s="6" t="s">
        <v>1413</v>
      </c>
      <c r="D549" s="67">
        <v>55</v>
      </c>
      <c r="E549" s="67">
        <v>19</v>
      </c>
      <c r="F549" s="110" t="s">
        <v>1462</v>
      </c>
      <c r="G549" s="111">
        <v>44132.463969907411</v>
      </c>
      <c r="H549">
        <v>140063</v>
      </c>
    </row>
    <row r="550" spans="1:8" x14ac:dyDescent="0.25">
      <c r="A550" s="65">
        <v>138547</v>
      </c>
      <c r="B550" s="66" t="s">
        <v>587</v>
      </c>
      <c r="C550" s="6" t="s">
        <v>1404</v>
      </c>
      <c r="D550" s="67">
        <v>55</v>
      </c>
      <c r="E550" s="67">
        <v>49</v>
      </c>
      <c r="F550" s="110" t="s">
        <v>1462</v>
      </c>
      <c r="G550" s="111">
        <v>44267.707777777781</v>
      </c>
      <c r="H550">
        <v>140666</v>
      </c>
    </row>
    <row r="551" spans="1:8" x14ac:dyDescent="0.25">
      <c r="A551" s="65">
        <v>140315</v>
      </c>
      <c r="B551" s="66" t="s">
        <v>1530</v>
      </c>
      <c r="C551" s="6" t="s">
        <v>1404</v>
      </c>
      <c r="D551" s="67">
        <v>76</v>
      </c>
      <c r="E551" s="67">
        <v>11</v>
      </c>
      <c r="F551" s="110" t="s">
        <v>1462</v>
      </c>
      <c r="G551" s="111">
        <v>44376.360196759262</v>
      </c>
      <c r="H551">
        <v>141418</v>
      </c>
    </row>
  </sheetData>
  <sortState ref="A4:H551">
    <sortCondition ref="A3:A551"/>
  </sortState>
  <mergeCells count="2">
    <mergeCell ref="A1:H1"/>
    <mergeCell ref="A2:H2"/>
  </mergeCells>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7173" r:id="rId4" name="btn_Excluir_FilCód">
          <controlPr defaultSize="0" print="0" autoLine="0" r:id="rId5">
            <anchor moveWithCells="1" sizeWithCells="1">
              <from>
                <xdr:col>1</xdr:col>
                <xdr:colOff>5772150</xdr:colOff>
                <xdr:row>1</xdr:row>
                <xdr:rowOff>38100</xdr:rowOff>
              </from>
              <to>
                <xdr:col>1</xdr:col>
                <xdr:colOff>7296150</xdr:colOff>
                <xdr:row>1</xdr:row>
                <xdr:rowOff>371475</xdr:rowOff>
              </to>
            </anchor>
          </controlPr>
        </control>
      </mc:Choice>
      <mc:Fallback>
        <control shapeId="7173" r:id="rId4" name="btn_Excluir_FilCód"/>
      </mc:Fallback>
    </mc:AlternateContent>
    <mc:AlternateContent xmlns:mc="http://schemas.openxmlformats.org/markup-compatibility/2006">
      <mc:Choice Requires="x14">
        <control shapeId="7172" r:id="rId6" name="btn_Excluir_AbrirCadastro">
          <controlPr defaultSize="0" print="0" autoLine="0" r:id="rId7">
            <anchor moveWithCells="1" sizeWithCells="1">
              <from>
                <xdr:col>1</xdr:col>
                <xdr:colOff>4191000</xdr:colOff>
                <xdr:row>1</xdr:row>
                <xdr:rowOff>38100</xdr:rowOff>
              </from>
              <to>
                <xdr:col>1</xdr:col>
                <xdr:colOff>5715000</xdr:colOff>
                <xdr:row>1</xdr:row>
                <xdr:rowOff>371475</xdr:rowOff>
              </to>
            </anchor>
          </controlPr>
        </control>
      </mc:Choice>
      <mc:Fallback>
        <control shapeId="7172" r:id="rId6" name="btn_Excluir_AbrirCadastro"/>
      </mc:Fallback>
    </mc:AlternateContent>
    <mc:AlternateContent xmlns:mc="http://schemas.openxmlformats.org/markup-compatibility/2006">
      <mc:Choice Requires="x14">
        <control shapeId="7171" r:id="rId8" name="btn_Excluir_VoltarParaItens">
          <controlPr defaultSize="0" print="0" autoLine="0" r:id="rId9">
            <anchor moveWithCells="1" sizeWithCells="1">
              <from>
                <xdr:col>1</xdr:col>
                <xdr:colOff>1009650</xdr:colOff>
                <xdr:row>1</xdr:row>
                <xdr:rowOff>38100</xdr:rowOff>
              </from>
              <to>
                <xdr:col>1</xdr:col>
                <xdr:colOff>2533650</xdr:colOff>
                <xdr:row>1</xdr:row>
                <xdr:rowOff>371475</xdr:rowOff>
              </to>
            </anchor>
          </controlPr>
        </control>
      </mc:Choice>
      <mc:Fallback>
        <control shapeId="7171" r:id="rId8" name="btn_Excluir_VoltarParaItens"/>
      </mc:Fallback>
    </mc:AlternateContent>
    <mc:AlternateContent xmlns:mc="http://schemas.openxmlformats.org/markup-compatibility/2006">
      <mc:Choice Requires="x14">
        <control shapeId="7170" r:id="rId10" name="btn_Excluir_Atualizar_Planilha">
          <controlPr defaultSize="0" print="0" autoLine="0" r:id="rId11">
            <anchor moveWithCells="1" sizeWithCells="1">
              <from>
                <xdr:col>1</xdr:col>
                <xdr:colOff>2600325</xdr:colOff>
                <xdr:row>1</xdr:row>
                <xdr:rowOff>38100</xdr:rowOff>
              </from>
              <to>
                <xdr:col>1</xdr:col>
                <xdr:colOff>4124325</xdr:colOff>
                <xdr:row>1</xdr:row>
                <xdr:rowOff>371475</xdr:rowOff>
              </to>
            </anchor>
          </controlPr>
        </control>
      </mc:Choice>
      <mc:Fallback>
        <control shapeId="7170" r:id="rId10" name="btn_Excluir_Atualizar_Planilha"/>
      </mc:Fallback>
    </mc:AlternateContent>
    <mc:AlternateContent xmlns:mc="http://schemas.openxmlformats.org/markup-compatibility/2006">
      <mc:Choice Requires="x14">
        <control shapeId="7169" r:id="rId12" name="btn_Excluir_OcultarReexibir">
          <controlPr defaultSize="0" print="0" autoLine="0" r:id="rId13">
            <anchor moveWithCells="1" sizeWithCells="1">
              <from>
                <xdr:col>0</xdr:col>
                <xdr:colOff>66675</xdr:colOff>
                <xdr:row>1</xdr:row>
                <xdr:rowOff>38100</xdr:rowOff>
              </from>
              <to>
                <xdr:col>1</xdr:col>
                <xdr:colOff>952500</xdr:colOff>
                <xdr:row>1</xdr:row>
                <xdr:rowOff>371475</xdr:rowOff>
              </to>
            </anchor>
          </controlPr>
        </control>
      </mc:Choice>
      <mc:Fallback>
        <control shapeId="7169" r:id="rId12" name="btn_Excluir_OcultarReexibir"/>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41">
    <tabColor rgb="FF7030A0"/>
  </sheetPr>
  <dimension ref="A1:C4"/>
  <sheetViews>
    <sheetView workbookViewId="0">
      <pane xSplit="3" ySplit="2" topLeftCell="D3" activePane="bottomRight" state="frozen"/>
      <selection pane="topRight" activeCell="D1" sqref="D1"/>
      <selection pane="bottomLeft" activeCell="A3" sqref="A3"/>
      <selection pane="bottomRight" activeCell="A3" sqref="A3"/>
    </sheetView>
  </sheetViews>
  <sheetFormatPr defaultRowHeight="15" x14ac:dyDescent="0.25"/>
  <cols>
    <col min="1" max="1" width="72.85546875" bestFit="1" customWidth="1"/>
    <col min="2" max="2" width="67.42578125" bestFit="1" customWidth="1"/>
    <col min="3" max="3" width="125.28515625" bestFit="1" customWidth="1"/>
  </cols>
  <sheetData>
    <row r="1" spans="1:3" ht="56.25" customHeight="1" x14ac:dyDescent="0.25">
      <c r="A1" s="106"/>
      <c r="B1" s="106"/>
      <c r="C1" s="106"/>
    </row>
    <row r="2" spans="1:3" ht="21" x14ac:dyDescent="0.25">
      <c r="A2" s="68" t="s">
        <v>1453</v>
      </c>
      <c r="B2" s="69" t="s">
        <v>1454</v>
      </c>
      <c r="C2" s="68" t="s">
        <v>1455</v>
      </c>
    </row>
    <row r="3" spans="1:3" ht="18.75" x14ac:dyDescent="0.25">
      <c r="A3" s="70" t="s">
        <v>1456</v>
      </c>
      <c r="B3" s="71" t="s">
        <v>1457</v>
      </c>
      <c r="C3" s="71" t="s">
        <v>1458</v>
      </c>
    </row>
    <row r="4" spans="1:3" ht="18.75" x14ac:dyDescent="0.25">
      <c r="A4" s="70" t="s">
        <v>1459</v>
      </c>
      <c r="B4" s="71" t="s">
        <v>1461</v>
      </c>
      <c r="C4" s="72" t="s">
        <v>1460</v>
      </c>
    </row>
  </sheetData>
  <sortState ref="A3:C4">
    <sortCondition ref="A2:A4"/>
  </sortState>
  <dataConsolidate/>
  <mergeCells count="1">
    <mergeCell ref="A1:C1"/>
  </mergeCells>
  <hyperlinks>
    <hyperlink ref="C4" location="Parâmetros!C43" display="ABA#" xr:uid="{00000000-0004-0000-0400-000000000000}"/>
  </hyperlink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8193" r:id="rId4" name="btn_Parâmetros_Reordenar">
          <controlPr defaultSize="0" autoLine="0" r:id="rId5">
            <anchor moveWithCells="1">
              <from>
                <xdr:col>0</xdr:col>
                <xdr:colOff>638175</xdr:colOff>
                <xdr:row>0</xdr:row>
                <xdr:rowOff>123825</xdr:rowOff>
              </from>
              <to>
                <xdr:col>0</xdr:col>
                <xdr:colOff>3181350</xdr:colOff>
                <xdr:row>0</xdr:row>
                <xdr:rowOff>571500</xdr:rowOff>
              </to>
            </anchor>
          </controlPr>
        </control>
      </mc:Choice>
      <mc:Fallback>
        <control shapeId="8193" r:id="rId4" name="btn_Parâmetros_Reordenar"/>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9">
    <tabColor rgb="FFFF0000"/>
  </sheetPr>
  <dimension ref="A1:L11"/>
  <sheetViews>
    <sheetView workbookViewId="0">
      <selection activeCell="C4" sqref="C4"/>
    </sheetView>
  </sheetViews>
  <sheetFormatPr defaultRowHeight="15" x14ac:dyDescent="0.25"/>
  <cols>
    <col min="1" max="1" width="17.7109375" bestFit="1" customWidth="1"/>
    <col min="2" max="3" width="8.7109375" customWidth="1"/>
    <col min="4" max="4" width="21.42578125" customWidth="1"/>
    <col min="5" max="5" width="8.7109375" customWidth="1"/>
    <col min="6" max="6" width="11.85546875" bestFit="1" customWidth="1"/>
    <col min="7" max="7" width="11.5703125" bestFit="1" customWidth="1"/>
    <col min="8" max="8" width="61.140625" customWidth="1"/>
    <col min="9" max="9" width="95.85546875" customWidth="1"/>
    <col min="10" max="10" width="26.7109375" hidden="1" customWidth="1"/>
    <col min="11" max="11" width="62.85546875" hidden="1" customWidth="1"/>
  </cols>
  <sheetData>
    <row r="1" spans="1:12" ht="45.75" customHeight="1" x14ac:dyDescent="0.25">
      <c r="A1" s="106"/>
      <c r="B1" s="106"/>
      <c r="C1" s="106"/>
      <c r="D1" s="106"/>
      <c r="E1" s="106"/>
      <c r="F1" s="106"/>
      <c r="G1" s="106"/>
      <c r="H1" s="106"/>
      <c r="I1" s="106"/>
      <c r="J1" s="106"/>
      <c r="K1" s="106"/>
    </row>
    <row r="2" spans="1:12" ht="22.5" x14ac:dyDescent="0.25">
      <c r="A2" s="77" t="s">
        <v>1493</v>
      </c>
      <c r="B2" s="77" t="s">
        <v>1494</v>
      </c>
      <c r="C2" s="77" t="s">
        <v>1499</v>
      </c>
      <c r="D2" s="77" t="s">
        <v>1495</v>
      </c>
      <c r="E2" s="77" t="s">
        <v>1496</v>
      </c>
      <c r="F2" s="77" t="s">
        <v>1500</v>
      </c>
      <c r="G2" s="77" t="s">
        <v>0</v>
      </c>
      <c r="H2" s="77" t="s">
        <v>1</v>
      </c>
      <c r="I2" s="77" t="s">
        <v>4</v>
      </c>
      <c r="J2" s="77" t="s">
        <v>1430</v>
      </c>
      <c r="K2" s="77" t="s">
        <v>1431</v>
      </c>
      <c r="L2" s="78" t="s">
        <v>105</v>
      </c>
    </row>
    <row r="3" spans="1:12" x14ac:dyDescent="0.25">
      <c r="A3" s="79"/>
      <c r="B3" s="80">
        <v>2020</v>
      </c>
      <c r="C3" s="81">
        <v>4000</v>
      </c>
      <c r="D3" s="82">
        <v>711</v>
      </c>
      <c r="E3" s="83">
        <v>2019</v>
      </c>
      <c r="F3" s="90">
        <v>700</v>
      </c>
      <c r="G3" s="84">
        <v>131931</v>
      </c>
      <c r="H3" s="85" t="str">
        <f>VLOOKUP(tabRCsReemitidas[CÓDIGO],tabListaItens[#Data],2,FALSE)</f>
        <v>GIZAO DE CERA REDONDO, ATOXICO, COM 6 CORES</v>
      </c>
      <c r="I3" s="86" t="s">
        <v>1501</v>
      </c>
      <c r="J3" s="87" t="s">
        <v>1434</v>
      </c>
      <c r="K3" s="88">
        <v>43871.498969907407</v>
      </c>
      <c r="L3" s="89" t="str">
        <f t="shared" ref="L3:L11" si="0">"*"</f>
        <v>*</v>
      </c>
    </row>
    <row r="4" spans="1:12" x14ac:dyDescent="0.25">
      <c r="A4" s="79"/>
      <c r="B4" s="80">
        <v>2020</v>
      </c>
      <c r="C4" s="81">
        <v>4000</v>
      </c>
      <c r="D4" s="82">
        <v>845</v>
      </c>
      <c r="E4" s="83">
        <v>2019</v>
      </c>
      <c r="F4" s="90">
        <v>5000</v>
      </c>
      <c r="G4" s="84">
        <v>131931</v>
      </c>
      <c r="H4" s="85" t="str">
        <f>VLOOKUP(tabRCsReemitidas[CÓDIGO],tabListaItens[#Data],2,FALSE)</f>
        <v>GIZAO DE CERA REDONDO, ATOXICO, COM 6 CORES</v>
      </c>
      <c r="I4" s="86" t="s">
        <v>1501</v>
      </c>
      <c r="J4" s="87" t="s">
        <v>1434</v>
      </c>
      <c r="K4" s="88">
        <v>43871.499965277777</v>
      </c>
      <c r="L4" s="89" t="str">
        <f t="shared" si="0"/>
        <v>*</v>
      </c>
    </row>
    <row r="5" spans="1:12" x14ac:dyDescent="0.25">
      <c r="A5" s="91"/>
      <c r="B5" s="92">
        <v>2020</v>
      </c>
      <c r="C5" s="93">
        <v>100</v>
      </c>
      <c r="D5" s="94">
        <v>13192</v>
      </c>
      <c r="E5" s="95">
        <v>2019</v>
      </c>
      <c r="F5" s="96">
        <v>70</v>
      </c>
      <c r="G5" s="97">
        <v>64634</v>
      </c>
      <c r="H5" s="98" t="str">
        <f>VLOOKUP(tabRCsReemitidas[CÓDIGO],tabListaItens[#Data],2,FALSE)</f>
        <v>DISCO DE LIXA N. 40 - 30 CM DE DIAMETRO - PARA LIXADEIRA DE BANCADA</v>
      </c>
      <c r="I5" s="99" t="s">
        <v>1503</v>
      </c>
      <c r="J5" s="100" t="s">
        <v>1434</v>
      </c>
      <c r="K5" s="101">
        <v>43871.57571759259</v>
      </c>
      <c r="L5" s="102" t="str">
        <f t="shared" si="0"/>
        <v>*</v>
      </c>
    </row>
    <row r="6" spans="1:12" x14ac:dyDescent="0.25">
      <c r="A6" s="79"/>
      <c r="B6" s="80">
        <v>2020</v>
      </c>
      <c r="C6" s="81">
        <v>300</v>
      </c>
      <c r="D6" s="82">
        <v>13196</v>
      </c>
      <c r="E6" s="83">
        <v>2019</v>
      </c>
      <c r="F6" s="90">
        <v>100</v>
      </c>
      <c r="G6" s="84">
        <v>135301</v>
      </c>
      <c r="H6" s="85" t="str">
        <f>VLOOKUP(tabRCsReemitidas[CÓDIGO],tabListaItens[#Data],2,FALSE)</f>
        <v>COTOVELO DE 45°, EM PVC BRANCO, PARA ESGOTO, DE 4" (100 MM), DE ACORDO COM A NORMA NBR 5688. TODAS AS INFORMACOES DEVERAO ESTAR LITOGRAFADAS NA PECA.</v>
      </c>
      <c r="I6" s="99" t="s">
        <v>1502</v>
      </c>
      <c r="J6" s="87" t="s">
        <v>1434</v>
      </c>
      <c r="K6" s="88">
        <v>43871.577245370368</v>
      </c>
      <c r="L6" s="89" t="str">
        <f t="shared" si="0"/>
        <v>*</v>
      </c>
    </row>
    <row r="7" spans="1:12" x14ac:dyDescent="0.25">
      <c r="A7" s="79"/>
      <c r="B7" s="80">
        <v>2020</v>
      </c>
      <c r="C7" s="81">
        <v>1000</v>
      </c>
      <c r="D7" s="82">
        <v>13196</v>
      </c>
      <c r="E7" s="83">
        <v>2019</v>
      </c>
      <c r="F7" s="90">
        <v>1000</v>
      </c>
      <c r="G7" s="84">
        <v>135302</v>
      </c>
      <c r="H7" s="85" t="str">
        <f>VLOOKUP(tabRCsReemitidas[CÓDIGO],tabListaItens[#Data],2,FALSE)</f>
        <v>COTOVELO 90° DE REDUCAO DE PVC SOLDAVEL X ROSCA AZUL COM BUCHA DE LATAO 25 MM X 1/2", DE ACORDO COM A NBR 5648. TODAS AS INFORMACOES DEVERAO ESTAR LITOGRAFADAS NA PECA.</v>
      </c>
      <c r="I7" s="99" t="s">
        <v>1502</v>
      </c>
      <c r="J7" s="87" t="s">
        <v>1434</v>
      </c>
      <c r="K7" s="88">
        <v>43871.577245370368</v>
      </c>
      <c r="L7" s="89" t="str">
        <f t="shared" si="0"/>
        <v>*</v>
      </c>
    </row>
    <row r="8" spans="1:12" x14ac:dyDescent="0.25">
      <c r="A8" s="91"/>
      <c r="B8" s="92">
        <v>2020</v>
      </c>
      <c r="C8" s="93">
        <v>6000</v>
      </c>
      <c r="D8" s="94">
        <v>13260</v>
      </c>
      <c r="E8" s="95">
        <v>2019</v>
      </c>
      <c r="F8" s="96">
        <v>1000</v>
      </c>
      <c r="G8" s="97">
        <v>76777</v>
      </c>
      <c r="H8" s="98" t="str">
        <f>VLOOKUP(tabRCsReemitidas[CÓDIGO],tabListaItens[#Data],2,FALSE)</f>
        <v>CABO FLEXIVEL BITOLA 16,0 MM2, 750 VOLTS, ISOLACAO DE PVC 70° C, COR PRETA</v>
      </c>
      <c r="I8" s="99" t="s">
        <v>1502</v>
      </c>
      <c r="J8" s="100" t="s">
        <v>1434</v>
      </c>
      <c r="K8" s="101">
        <v>43871.57571759259</v>
      </c>
      <c r="L8" s="102" t="str">
        <f t="shared" si="0"/>
        <v>*</v>
      </c>
    </row>
    <row r="9" spans="1:12" x14ac:dyDescent="0.25">
      <c r="A9" s="79">
        <v>845</v>
      </c>
      <c r="B9" s="80">
        <v>2019</v>
      </c>
      <c r="C9" s="81">
        <v>800</v>
      </c>
      <c r="D9" s="82">
        <v>5881</v>
      </c>
      <c r="E9" s="83">
        <v>2018</v>
      </c>
      <c r="F9" s="81">
        <v>800</v>
      </c>
      <c r="G9" s="84">
        <v>131931</v>
      </c>
      <c r="H9" s="85" t="str">
        <f>VLOOKUP(tabRCsReemitidas[CÓDIGO],tabListaItens[#Data],2,FALSE)</f>
        <v>GIZAO DE CERA REDONDO, ATOXICO, COM 6 CORES</v>
      </c>
      <c r="I9" s="86" t="s">
        <v>1497</v>
      </c>
      <c r="J9" s="87" t="s">
        <v>1434</v>
      </c>
      <c r="K9" s="88">
        <v>43871.494814814818</v>
      </c>
      <c r="L9" s="89" t="str">
        <f t="shared" si="0"/>
        <v>*</v>
      </c>
    </row>
    <row r="10" spans="1:12" x14ac:dyDescent="0.25">
      <c r="A10" s="79">
        <v>845</v>
      </c>
      <c r="B10" s="80">
        <v>2019</v>
      </c>
      <c r="C10" s="81">
        <v>5000</v>
      </c>
      <c r="D10" s="82">
        <v>5881</v>
      </c>
      <c r="E10" s="83">
        <v>2018</v>
      </c>
      <c r="F10" s="81">
        <v>5000</v>
      </c>
      <c r="G10" s="84">
        <v>131935</v>
      </c>
      <c r="H10" s="85" t="str">
        <f>VLOOKUP(tabRCsReemitidas[CÓDIGO],tabListaItens[#Data],2,FALSE)</f>
        <v>PASTA EM PLASTICO PP CORRUGADO, COM ABAS E ELASTICO REVESTIDO DE TECIDO COM TERMINAIS DE PLASTICO MEDINDO 180MM X 245MM X 20MM</v>
      </c>
      <c r="I10" s="86" t="s">
        <v>1497</v>
      </c>
      <c r="J10" s="87" t="s">
        <v>1434</v>
      </c>
      <c r="K10" s="88">
        <v>43871.494814814818</v>
      </c>
      <c r="L10" s="89" t="str">
        <f t="shared" si="0"/>
        <v>*</v>
      </c>
    </row>
    <row r="11" spans="1:12" x14ac:dyDescent="0.25">
      <c r="A11" s="79">
        <v>711</v>
      </c>
      <c r="B11" s="80">
        <v>2019</v>
      </c>
      <c r="C11" s="81">
        <v>700</v>
      </c>
      <c r="D11" s="82">
        <v>1500</v>
      </c>
      <c r="E11" s="83">
        <v>2018</v>
      </c>
      <c r="F11" s="81">
        <v>700</v>
      </c>
      <c r="G11" s="84">
        <v>131931</v>
      </c>
      <c r="H11" s="85" t="str">
        <f>VLOOKUP(tabRCsReemitidas[CÓDIGO],tabListaItens[#Data],2,FALSE)</f>
        <v>GIZAO DE CERA REDONDO, ATOXICO, COM 6 CORES</v>
      </c>
      <c r="I11" s="86" t="s">
        <v>1498</v>
      </c>
      <c r="J11" s="87" t="s">
        <v>1434</v>
      </c>
      <c r="K11" s="88">
        <v>43871.494814814818</v>
      </c>
      <c r="L11" s="89" t="str">
        <f t="shared" si="0"/>
        <v>*</v>
      </c>
    </row>
  </sheetData>
  <sortState ref="A3:L11">
    <sortCondition descending="1" ref="B2:B11"/>
    <sortCondition descending="1" ref="A2:A11"/>
    <sortCondition ref="E2:E11"/>
    <sortCondition ref="D2:D11"/>
  </sortState>
  <mergeCells count="1">
    <mergeCell ref="A1:K1"/>
  </mergeCells>
  <dataValidations count="2">
    <dataValidation type="whole" allowBlank="1" showInputMessage="1" showErrorMessage="1" sqref="B3:B11 E3:E11" xr:uid="{00000000-0002-0000-0500-000000000000}">
      <formula1>2018</formula1>
      <formula2>2030</formula2>
    </dataValidation>
    <dataValidation allowBlank="1" showInputMessage="1" showErrorMessage="1" sqref="F3:F11" xr:uid="{00000000-0002-0000-0500-000001000000}"/>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0241" r:id="rId4" name="btn_RCsReemReord">
          <controlPr defaultSize="0" autoLine="0" r:id="rId5">
            <anchor moveWithCells="1">
              <from>
                <xdr:col>0</xdr:col>
                <xdr:colOff>66675</xdr:colOff>
                <xdr:row>0</xdr:row>
                <xdr:rowOff>104775</xdr:rowOff>
              </from>
              <to>
                <xdr:col>2</xdr:col>
                <xdr:colOff>428625</xdr:colOff>
                <xdr:row>0</xdr:row>
                <xdr:rowOff>485775</xdr:rowOff>
              </to>
            </anchor>
          </controlPr>
        </control>
      </mc:Choice>
      <mc:Fallback>
        <control shapeId="10241" r:id="rId4" name="btn_RCsReemReord"/>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tabColor theme="5" tint="-0.499984740745262"/>
    <pageSetUpPr fitToPage="1"/>
  </sheetPr>
  <dimension ref="A1:M3"/>
  <sheetViews>
    <sheetView workbookViewId="0">
      <pane ySplit="2" topLeftCell="A3" activePane="bottomLeft" state="frozen"/>
      <selection pane="bottomLeft" activeCell="A3" sqref="A3"/>
    </sheetView>
  </sheetViews>
  <sheetFormatPr defaultRowHeight="15" x14ac:dyDescent="0.25"/>
  <cols>
    <col min="1" max="1" width="12.7109375" customWidth="1"/>
    <col min="2" max="2" width="91.5703125" customWidth="1"/>
    <col min="3" max="3" width="5" customWidth="1"/>
    <col min="4" max="4" width="27.28515625" customWidth="1"/>
    <col min="5" max="5" width="13.140625" customWidth="1"/>
    <col min="6" max="6" width="11.85546875" customWidth="1"/>
    <col min="7" max="7" width="16.28515625" customWidth="1"/>
    <col min="8" max="8" width="13.140625" customWidth="1"/>
    <col min="9" max="9" width="34" customWidth="1"/>
    <col min="10" max="10" width="24.7109375" customWidth="1"/>
    <col min="11" max="11" width="23" customWidth="1"/>
    <col min="12" max="12" width="5.42578125" customWidth="1"/>
    <col min="13" max="13" width="9" bestFit="1" customWidth="1"/>
  </cols>
  <sheetData>
    <row r="1" spans="1:13" ht="45.75" customHeight="1" x14ac:dyDescent="0.25">
      <c r="A1" s="105"/>
      <c r="B1" s="105"/>
      <c r="C1" s="105"/>
      <c r="D1" s="105"/>
      <c r="E1" s="105"/>
      <c r="F1" s="105"/>
      <c r="G1" s="105"/>
      <c r="H1" s="105"/>
      <c r="I1" s="105"/>
      <c r="J1" s="105"/>
      <c r="K1" s="105"/>
      <c r="L1" s="105"/>
      <c r="M1" s="14"/>
    </row>
    <row r="2" spans="1:13" ht="49.5" customHeight="1" x14ac:dyDescent="0.25">
      <c r="A2" s="15" t="s">
        <v>0</v>
      </c>
      <c r="B2" s="16" t="s">
        <v>1</v>
      </c>
      <c r="C2" s="2" t="s">
        <v>2</v>
      </c>
      <c r="D2" s="17" t="s">
        <v>3</v>
      </c>
      <c r="E2" s="17" t="s">
        <v>1440</v>
      </c>
      <c r="F2" s="17" t="s">
        <v>1433</v>
      </c>
      <c r="G2" s="36" t="s">
        <v>1441</v>
      </c>
      <c r="H2" s="36" t="s">
        <v>1442</v>
      </c>
      <c r="I2" s="1" t="s">
        <v>4</v>
      </c>
      <c r="J2" s="1" t="s">
        <v>1430</v>
      </c>
      <c r="K2" s="1" t="s">
        <v>1431</v>
      </c>
      <c r="L2" s="1" t="s">
        <v>105</v>
      </c>
    </row>
    <row r="3" spans="1:13" ht="15.75" x14ac:dyDescent="0.25">
      <c r="A3" s="45"/>
      <c r="B3" s="46"/>
      <c r="C3" s="47"/>
      <c r="D3" s="48"/>
      <c r="E3" s="26"/>
      <c r="F3" s="30"/>
      <c r="G3" s="30"/>
      <c r="H3" s="44"/>
      <c r="I3" s="49"/>
      <c r="J3" s="50"/>
      <c r="K3" s="51"/>
      <c r="L3" s="47"/>
    </row>
  </sheetData>
  <sheetProtection sheet="1" objects="1" scenarios="1"/>
  <sortState ref="A3:L3">
    <sortCondition ref="A2:A3"/>
    <sortCondition descending="1" ref="E2:E3"/>
    <sortCondition ref="D2:D3"/>
  </sortState>
  <mergeCells count="1">
    <mergeCell ref="A1:L1"/>
  </mergeCells>
  <conditionalFormatting sqref="E3">
    <cfRule type="cellIs" dxfId="2" priority="2" operator="lessThan">
      <formula>TODAY()</formula>
    </cfRule>
  </conditionalFormatting>
  <conditionalFormatting sqref="F3">
    <cfRule type="cellIs" dxfId="1" priority="1" operator="greaterThan">
      <formula>1</formula>
    </cfRule>
  </conditionalFormatting>
  <conditionalFormatting sqref="A3">
    <cfRule type="duplicateValues" dxfId="0" priority="211"/>
  </conditionalFormatting>
  <pageMargins left="0.51181102362204722" right="0.51181102362204722" top="0.78740157480314965" bottom="0.78740157480314965" header="0.31496062992125984" footer="0.31496062992125984"/>
  <pageSetup paperSize="9" scale="46" fitToHeight="0" orientation="portrait" r:id="rId1"/>
  <drawing r:id="rId2"/>
  <legacyDrawing r:id="rId3"/>
  <controls>
    <mc:AlternateContent xmlns:mc="http://schemas.openxmlformats.org/markup-compatibility/2006">
      <mc:Choice Requires="x14">
        <control shapeId="5123" r:id="rId4" name="btn_ExtrasbReord">
          <controlPr defaultSize="0" autoLine="0" r:id="rId5">
            <anchor moveWithCells="1">
              <from>
                <xdr:col>1</xdr:col>
                <xdr:colOff>4419600</xdr:colOff>
                <xdr:row>0</xdr:row>
                <xdr:rowOff>85725</xdr:rowOff>
              </from>
              <to>
                <xdr:col>3</xdr:col>
                <xdr:colOff>523875</xdr:colOff>
                <xdr:row>0</xdr:row>
                <xdr:rowOff>533400</xdr:rowOff>
              </to>
            </anchor>
          </controlPr>
        </control>
      </mc:Choice>
      <mc:Fallback>
        <control shapeId="5123" r:id="rId4" name="btn_ExtrasbReord"/>
      </mc:Fallback>
    </mc:AlternateContent>
    <mc:AlternateContent xmlns:mc="http://schemas.openxmlformats.org/markup-compatibility/2006">
      <mc:Choice Requires="x14">
        <control shapeId="5122" r:id="rId6" name="btn_ExtrasBFilCód">
          <controlPr defaultSize="0" autoLine="0" r:id="rId7">
            <anchor moveWithCells="1">
              <from>
                <xdr:col>1</xdr:col>
                <xdr:colOff>1819275</xdr:colOff>
                <xdr:row>0</xdr:row>
                <xdr:rowOff>85725</xdr:rowOff>
              </from>
              <to>
                <xdr:col>1</xdr:col>
                <xdr:colOff>4362450</xdr:colOff>
                <xdr:row>0</xdr:row>
                <xdr:rowOff>533400</xdr:rowOff>
              </to>
            </anchor>
          </controlPr>
        </control>
      </mc:Choice>
      <mc:Fallback>
        <control shapeId="5122" r:id="rId6" name="btn_ExtrasBFilCód"/>
      </mc:Fallback>
    </mc:AlternateContent>
    <mc:AlternateContent xmlns:mc="http://schemas.openxmlformats.org/markup-compatibility/2006">
      <mc:Choice Requires="x14">
        <control shapeId="5121" r:id="rId8" name="btn_ExtrasBVoltarExtras">
          <controlPr defaultSize="0" autoLine="0" r:id="rId9">
            <anchor moveWithCells="1">
              <from>
                <xdr:col>0</xdr:col>
                <xdr:colOff>66675</xdr:colOff>
                <xdr:row>0</xdr:row>
                <xdr:rowOff>85725</xdr:rowOff>
              </from>
              <to>
                <xdr:col>1</xdr:col>
                <xdr:colOff>1762125</xdr:colOff>
                <xdr:row>0</xdr:row>
                <xdr:rowOff>533400</xdr:rowOff>
              </to>
            </anchor>
          </controlPr>
        </control>
      </mc:Choice>
      <mc:Fallback>
        <control shapeId="5121" r:id="rId8" name="btn_ExtrasBVoltarExtras"/>
      </mc:Fallback>
    </mc:AlternateContent>
  </controls>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Origens!#REF!</xm:f>
          </x14:formula1>
          <xm:sqref>D3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2</vt:i4>
      </vt:variant>
    </vt:vector>
  </HeadingPairs>
  <TitlesOfParts>
    <vt:vector size="9" baseType="lpstr">
      <vt:lpstr>Extras</vt:lpstr>
      <vt:lpstr>ListaItens</vt:lpstr>
      <vt:lpstr>Origens</vt:lpstr>
      <vt:lpstr>Excluir_do_Estoque</vt:lpstr>
      <vt:lpstr>Parâmetros</vt:lpstr>
      <vt:lpstr>RCsReemitidas_Excluir</vt:lpstr>
      <vt:lpstr>Extras_Backup</vt:lpstr>
      <vt:lpstr>Extras!Titulos_de_impressao</vt:lpstr>
      <vt:lpstr>Extras_Backup!Titulos_de_impressao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Marcos</dc:creator>
  <cp:lastModifiedBy>Rafael Genaro de Brito</cp:lastModifiedBy>
  <dcterms:created xsi:type="dcterms:W3CDTF">2019-12-20T18:44:30Z</dcterms:created>
  <dcterms:modified xsi:type="dcterms:W3CDTF">2021-08-10T11:32:28Z</dcterms:modified>
</cp:coreProperties>
</file>